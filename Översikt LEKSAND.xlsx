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45346</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45346</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45346</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45346</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45346</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45346</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45346</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45346</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45346</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45346</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45346</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45346</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45346</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45346</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45346</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45346</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45346</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45346</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6778-2022</t>
        </is>
      </c>
      <c r="B20" s="1" t="n">
        <v>44602</v>
      </c>
      <c r="C20" s="1" t="n">
        <v>45346</v>
      </c>
      <c r="D20" t="inlineStr">
        <is>
          <t>DALARNAS LÄN</t>
        </is>
      </c>
      <c r="E20" t="inlineStr">
        <is>
          <t>LEKSAND</t>
        </is>
      </c>
      <c r="F20" t="inlineStr">
        <is>
          <t>Kyrkan</t>
        </is>
      </c>
      <c r="G20" t="n">
        <v>2</v>
      </c>
      <c r="H20" t="n">
        <v>2</v>
      </c>
      <c r="I20" t="n">
        <v>0</v>
      </c>
      <c r="J20" t="n">
        <v>1</v>
      </c>
      <c r="K20" t="n">
        <v>0</v>
      </c>
      <c r="L20" t="n">
        <v>0</v>
      </c>
      <c r="M20" t="n">
        <v>0</v>
      </c>
      <c r="N20" t="n">
        <v>0</v>
      </c>
      <c r="O20" t="n">
        <v>1</v>
      </c>
      <c r="P20" t="n">
        <v>0</v>
      </c>
      <c r="Q20" t="n">
        <v>2</v>
      </c>
      <c r="R20" s="2" t="inlineStr">
        <is>
          <t>Talltita
Orre</t>
        </is>
      </c>
      <c r="S20">
        <f>HYPERLINK("https://klasma.github.io/Logging_2029/artfynd/A 6778-2022 artfynd.xlsx", "A 6778-2022")</f>
        <v/>
      </c>
      <c r="T20">
        <f>HYPERLINK("https://klasma.github.io/Logging_2029/kartor/A 6778-2022 karta.png", "A 6778-2022")</f>
        <v/>
      </c>
      <c r="V20">
        <f>HYPERLINK("https://klasma.github.io/Logging_2029/klagomål/A 6778-2022 FSC-klagomål.docx", "A 6778-2022")</f>
        <v/>
      </c>
      <c r="W20">
        <f>HYPERLINK("https://klasma.github.io/Logging_2029/klagomålsmail/A 6778-2022 FSC-klagomål mail.docx", "A 6778-2022")</f>
        <v/>
      </c>
      <c r="X20">
        <f>HYPERLINK("https://klasma.github.io/Logging_2029/tillsyn/A 6778-2022 tillsynsbegäran.docx", "A 6778-2022")</f>
        <v/>
      </c>
      <c r="Y20">
        <f>HYPERLINK("https://klasma.github.io/Logging_2029/tillsynsmail/A 6778-2022 tillsynsbegäran mail.docx", "A 6778-2022")</f>
        <v/>
      </c>
      <c r="Z20">
        <f>HYPERLINK("https://klasma.github.io/Logging_2029/fåglar/A 6778-2022 prioriterade fågelarter.docx", "A 6778-2022")</f>
        <v/>
      </c>
    </row>
    <row r="21" ht="15" customHeight="1">
      <c r="A21" t="inlineStr">
        <is>
          <t>A 17619-2019</t>
        </is>
      </c>
      <c r="B21" s="1" t="n">
        <v>43555</v>
      </c>
      <c r="C21" s="1" t="n">
        <v>45346</v>
      </c>
      <c r="D21" t="inlineStr">
        <is>
          <t>DALARNAS LÄN</t>
        </is>
      </c>
      <c r="E21" t="inlineStr">
        <is>
          <t>LEKSAND</t>
        </is>
      </c>
      <c r="G21" t="n">
        <v>2.1</v>
      </c>
      <c r="H21" t="n">
        <v>1</v>
      </c>
      <c r="I21" t="n">
        <v>0</v>
      </c>
      <c r="J21" t="n">
        <v>0</v>
      </c>
      <c r="K21" t="n">
        <v>0</v>
      </c>
      <c r="L21" t="n">
        <v>0</v>
      </c>
      <c r="M21" t="n">
        <v>0</v>
      </c>
      <c r="N21" t="n">
        <v>0</v>
      </c>
      <c r="O21" t="n">
        <v>0</v>
      </c>
      <c r="P21" t="n">
        <v>0</v>
      </c>
      <c r="Q21" t="n">
        <v>1</v>
      </c>
      <c r="R21" s="2" t="inlineStr">
        <is>
          <t>Nattviol</t>
        </is>
      </c>
      <c r="S21">
        <f>HYPERLINK("https://klasma.github.io/Logging_2029/artfynd/A 17619-2019 artfynd.xlsx", "A 17619-2019")</f>
        <v/>
      </c>
      <c r="T21">
        <f>HYPERLINK("https://klasma.github.io/Logging_2029/kartor/A 17619-2019 karta.png", "A 17619-2019")</f>
        <v/>
      </c>
      <c r="V21">
        <f>HYPERLINK("https://klasma.github.io/Logging_2029/klagomål/A 17619-2019 FSC-klagomål.docx", "A 17619-2019")</f>
        <v/>
      </c>
      <c r="W21">
        <f>HYPERLINK("https://klasma.github.io/Logging_2029/klagomålsmail/A 17619-2019 FSC-klagomål mail.docx", "A 17619-2019")</f>
        <v/>
      </c>
      <c r="X21">
        <f>HYPERLINK("https://klasma.github.io/Logging_2029/tillsyn/A 17619-2019 tillsynsbegäran.docx", "A 17619-2019")</f>
        <v/>
      </c>
      <c r="Y21">
        <f>HYPERLINK("https://klasma.github.io/Logging_2029/tillsynsmail/A 17619-2019 tillsynsbegäran mail.docx", "A 17619-2019")</f>
        <v/>
      </c>
    </row>
    <row r="22" ht="15" customHeight="1">
      <c r="A22" t="inlineStr">
        <is>
          <t>A 36549-2021</t>
        </is>
      </c>
      <c r="B22" s="1" t="n">
        <v>44391</v>
      </c>
      <c r="C22" s="1" t="n">
        <v>45346</v>
      </c>
      <c r="D22" t="inlineStr">
        <is>
          <t>DALARNAS LÄN</t>
        </is>
      </c>
      <c r="E22" t="inlineStr">
        <is>
          <t>LEKSAND</t>
        </is>
      </c>
      <c r="F22" t="inlineStr">
        <is>
          <t>Bergvik skog väst AB</t>
        </is>
      </c>
      <c r="G22" t="n">
        <v>5.9</v>
      </c>
      <c r="H22" t="n">
        <v>0</v>
      </c>
      <c r="I22" t="n">
        <v>1</v>
      </c>
      <c r="J22" t="n">
        <v>0</v>
      </c>
      <c r="K22" t="n">
        <v>0</v>
      </c>
      <c r="L22" t="n">
        <v>0</v>
      </c>
      <c r="M22" t="n">
        <v>0</v>
      </c>
      <c r="N22" t="n">
        <v>0</v>
      </c>
      <c r="O22" t="n">
        <v>0</v>
      </c>
      <c r="P22" t="n">
        <v>0</v>
      </c>
      <c r="Q22" t="n">
        <v>1</v>
      </c>
      <c r="R22" s="2" t="inlineStr">
        <is>
          <t>Dropptaggsvamp</t>
        </is>
      </c>
      <c r="S22">
        <f>HYPERLINK("https://klasma.github.io/Logging_2029/artfynd/A 36549-2021 artfynd.xlsx", "A 36549-2021")</f>
        <v/>
      </c>
      <c r="T22">
        <f>HYPERLINK("https://klasma.github.io/Logging_2029/kartor/A 36549-2021 karta.png", "A 36549-2021")</f>
        <v/>
      </c>
      <c r="V22">
        <f>HYPERLINK("https://klasma.github.io/Logging_2029/klagomål/A 36549-2021 FSC-klagomål.docx", "A 36549-2021")</f>
        <v/>
      </c>
      <c r="W22">
        <f>HYPERLINK("https://klasma.github.io/Logging_2029/klagomålsmail/A 36549-2021 FSC-klagomål mail.docx", "A 36549-2021")</f>
        <v/>
      </c>
      <c r="X22">
        <f>HYPERLINK("https://klasma.github.io/Logging_2029/tillsyn/A 36549-2021 tillsynsbegäran.docx", "A 36549-2021")</f>
        <v/>
      </c>
      <c r="Y22">
        <f>HYPERLINK("https://klasma.github.io/Logging_2029/tillsynsmail/A 36549-2021 tillsynsbegäran mail.docx", "A 36549-2021")</f>
        <v/>
      </c>
    </row>
    <row r="23" ht="15" customHeight="1">
      <c r="A23" t="inlineStr">
        <is>
          <t>A 41718-2021</t>
        </is>
      </c>
      <c r="B23" s="1" t="n">
        <v>44425</v>
      </c>
      <c r="C23" s="1" t="n">
        <v>45346</v>
      </c>
      <c r="D23" t="inlineStr">
        <is>
          <t>DALARNAS LÄN</t>
        </is>
      </c>
      <c r="E23" t="inlineStr">
        <is>
          <t>LEKSAND</t>
        </is>
      </c>
      <c r="F23" t="inlineStr">
        <is>
          <t>Bergvik skog väst AB</t>
        </is>
      </c>
      <c r="G23" t="n">
        <v>5.7</v>
      </c>
      <c r="H23" t="n">
        <v>0</v>
      </c>
      <c r="I23" t="n">
        <v>0</v>
      </c>
      <c r="J23" t="n">
        <v>1</v>
      </c>
      <c r="K23" t="n">
        <v>0</v>
      </c>
      <c r="L23" t="n">
        <v>0</v>
      </c>
      <c r="M23" t="n">
        <v>0</v>
      </c>
      <c r="N23" t="n">
        <v>0</v>
      </c>
      <c r="O23" t="n">
        <v>1</v>
      </c>
      <c r="P23" t="n">
        <v>0</v>
      </c>
      <c r="Q23" t="n">
        <v>1</v>
      </c>
      <c r="R23" s="2" t="inlineStr">
        <is>
          <t>Garnlav</t>
        </is>
      </c>
      <c r="S23">
        <f>HYPERLINK("https://klasma.github.io/Logging_2029/artfynd/A 41718-2021 artfynd.xlsx", "A 41718-2021")</f>
        <v/>
      </c>
      <c r="T23">
        <f>HYPERLINK("https://klasma.github.io/Logging_2029/kartor/A 41718-2021 karta.png", "A 41718-2021")</f>
        <v/>
      </c>
      <c r="V23">
        <f>HYPERLINK("https://klasma.github.io/Logging_2029/klagomål/A 41718-2021 FSC-klagomål.docx", "A 41718-2021")</f>
        <v/>
      </c>
      <c r="W23">
        <f>HYPERLINK("https://klasma.github.io/Logging_2029/klagomålsmail/A 41718-2021 FSC-klagomål mail.docx", "A 41718-2021")</f>
        <v/>
      </c>
      <c r="X23">
        <f>HYPERLINK("https://klasma.github.io/Logging_2029/tillsyn/A 41718-2021 tillsynsbegäran.docx", "A 41718-2021")</f>
        <v/>
      </c>
      <c r="Y23">
        <f>HYPERLINK("https://klasma.github.io/Logging_2029/tillsynsmail/A 41718-2021 tillsynsbegäran mail.docx", "A 41718-2021")</f>
        <v/>
      </c>
    </row>
    <row r="24" ht="15" customHeight="1">
      <c r="A24" t="inlineStr">
        <is>
          <t>A 66933-2021</t>
        </is>
      </c>
      <c r="B24" s="1" t="n">
        <v>44522</v>
      </c>
      <c r="C24" s="1" t="n">
        <v>45346</v>
      </c>
      <c r="D24" t="inlineStr">
        <is>
          <t>DALARNAS LÄN</t>
        </is>
      </c>
      <c r="E24" t="inlineStr">
        <is>
          <t>LEKSAND</t>
        </is>
      </c>
      <c r="G24" t="n">
        <v>5.5</v>
      </c>
      <c r="H24" t="n">
        <v>1</v>
      </c>
      <c r="I24" t="n">
        <v>0</v>
      </c>
      <c r="J24" t="n">
        <v>1</v>
      </c>
      <c r="K24" t="n">
        <v>0</v>
      </c>
      <c r="L24" t="n">
        <v>0</v>
      </c>
      <c r="M24" t="n">
        <v>0</v>
      </c>
      <c r="N24" t="n">
        <v>0</v>
      </c>
      <c r="O24" t="n">
        <v>1</v>
      </c>
      <c r="P24" t="n">
        <v>0</v>
      </c>
      <c r="Q24" t="n">
        <v>1</v>
      </c>
      <c r="R24" s="2" t="inlineStr">
        <is>
          <t>Tretåig hackspett</t>
        </is>
      </c>
      <c r="S24">
        <f>HYPERLINK("https://klasma.github.io/Logging_2029/artfynd/A 66933-2021 artfynd.xlsx", "A 66933-2021")</f>
        <v/>
      </c>
      <c r="T24">
        <f>HYPERLINK("https://klasma.github.io/Logging_2029/kartor/A 66933-2021 karta.png", "A 66933-2021")</f>
        <v/>
      </c>
      <c r="V24">
        <f>HYPERLINK("https://klasma.github.io/Logging_2029/klagomål/A 66933-2021 FSC-klagomål.docx", "A 66933-2021")</f>
        <v/>
      </c>
      <c r="W24">
        <f>HYPERLINK("https://klasma.github.io/Logging_2029/klagomålsmail/A 66933-2021 FSC-klagomål mail.docx", "A 66933-2021")</f>
        <v/>
      </c>
      <c r="X24">
        <f>HYPERLINK("https://klasma.github.io/Logging_2029/tillsyn/A 66933-2021 tillsynsbegäran.docx", "A 66933-2021")</f>
        <v/>
      </c>
      <c r="Y24">
        <f>HYPERLINK("https://klasma.github.io/Logging_2029/tillsynsmail/A 66933-2021 tillsynsbegäran mail.docx", "A 66933-2021")</f>
        <v/>
      </c>
      <c r="Z24">
        <f>HYPERLINK("https://klasma.github.io/Logging_2029/fåglar/A 66933-2021 prioriterade fågelarter.docx", "A 66933-2021")</f>
        <v/>
      </c>
    </row>
    <row r="25" ht="15" customHeight="1">
      <c r="A25" t="inlineStr">
        <is>
          <t>A 50360-2022</t>
        </is>
      </c>
      <c r="B25" s="1" t="n">
        <v>44866</v>
      </c>
      <c r="C25" s="1" t="n">
        <v>45346</v>
      </c>
      <c r="D25" t="inlineStr">
        <is>
          <t>DALARNAS LÄN</t>
        </is>
      </c>
      <c r="E25" t="inlineStr">
        <is>
          <t>LEKSAND</t>
        </is>
      </c>
      <c r="F25" t="inlineStr">
        <is>
          <t>Bergvik skog väst AB</t>
        </is>
      </c>
      <c r="G25" t="n">
        <v>0.7</v>
      </c>
      <c r="H25" t="n">
        <v>1</v>
      </c>
      <c r="I25" t="n">
        <v>0</v>
      </c>
      <c r="J25" t="n">
        <v>0</v>
      </c>
      <c r="K25" t="n">
        <v>1</v>
      </c>
      <c r="L25" t="n">
        <v>0</v>
      </c>
      <c r="M25" t="n">
        <v>0</v>
      </c>
      <c r="N25" t="n">
        <v>0</v>
      </c>
      <c r="O25" t="n">
        <v>1</v>
      </c>
      <c r="P25" t="n">
        <v>1</v>
      </c>
      <c r="Q25" t="n">
        <v>1</v>
      </c>
      <c r="R25" s="2" t="inlineStr">
        <is>
          <t>Knärot</t>
        </is>
      </c>
      <c r="S25">
        <f>HYPERLINK("https://klasma.github.io/Logging_2029/artfynd/A 50360-2022 artfynd.xlsx", "A 50360-2022")</f>
        <v/>
      </c>
      <c r="T25">
        <f>HYPERLINK("https://klasma.github.io/Logging_2029/kartor/A 50360-2022 karta.png", "A 50360-2022")</f>
        <v/>
      </c>
      <c r="U25">
        <f>HYPERLINK("https://klasma.github.io/Logging_2029/knärot/A 50360-2022 karta knärot.png", "A 50360-2022")</f>
        <v/>
      </c>
      <c r="V25">
        <f>HYPERLINK("https://klasma.github.io/Logging_2029/klagomål/A 50360-2022 FSC-klagomål.docx", "A 50360-2022")</f>
        <v/>
      </c>
      <c r="W25">
        <f>HYPERLINK("https://klasma.github.io/Logging_2029/klagomålsmail/A 50360-2022 FSC-klagomål mail.docx", "A 50360-2022")</f>
        <v/>
      </c>
      <c r="X25">
        <f>HYPERLINK("https://klasma.github.io/Logging_2029/tillsyn/A 50360-2022 tillsynsbegäran.docx", "A 50360-2022")</f>
        <v/>
      </c>
      <c r="Y25">
        <f>HYPERLINK("https://klasma.github.io/Logging_2029/tillsynsmail/A 50360-2022 tillsynsbegäran mail.docx", "A 50360-2022")</f>
        <v/>
      </c>
    </row>
    <row r="26" ht="15" customHeight="1">
      <c r="A26" t="inlineStr">
        <is>
          <t>A 6977-2023</t>
        </is>
      </c>
      <c r="B26" s="1" t="n">
        <v>44967</v>
      </c>
      <c r="C26" s="1" t="n">
        <v>45346</v>
      </c>
      <c r="D26" t="inlineStr">
        <is>
          <t>DALARNAS LÄN</t>
        </is>
      </c>
      <c r="E26" t="inlineStr">
        <is>
          <t>LEKSAND</t>
        </is>
      </c>
      <c r="G26" t="n">
        <v>5</v>
      </c>
      <c r="H26" t="n">
        <v>0</v>
      </c>
      <c r="I26" t="n">
        <v>0</v>
      </c>
      <c r="J26" t="n">
        <v>1</v>
      </c>
      <c r="K26" t="n">
        <v>0</v>
      </c>
      <c r="L26" t="n">
        <v>0</v>
      </c>
      <c r="M26" t="n">
        <v>0</v>
      </c>
      <c r="N26" t="n">
        <v>0</v>
      </c>
      <c r="O26" t="n">
        <v>1</v>
      </c>
      <c r="P26" t="n">
        <v>0</v>
      </c>
      <c r="Q26" t="n">
        <v>1</v>
      </c>
      <c r="R26" s="2" t="inlineStr">
        <is>
          <t>Backstarr</t>
        </is>
      </c>
      <c r="S26">
        <f>HYPERLINK("https://klasma.github.io/Logging_2029/artfynd/A 6977-2023 artfynd.xlsx", "A 6977-2023")</f>
        <v/>
      </c>
      <c r="T26">
        <f>HYPERLINK("https://klasma.github.io/Logging_2029/kartor/A 6977-2023 karta.png", "A 6977-2023")</f>
        <v/>
      </c>
      <c r="V26">
        <f>HYPERLINK("https://klasma.github.io/Logging_2029/klagomål/A 6977-2023 FSC-klagomål.docx", "A 6977-2023")</f>
        <v/>
      </c>
      <c r="W26">
        <f>HYPERLINK("https://klasma.github.io/Logging_2029/klagomålsmail/A 6977-2023 FSC-klagomål mail.docx", "A 6977-2023")</f>
        <v/>
      </c>
      <c r="X26">
        <f>HYPERLINK("https://klasma.github.io/Logging_2029/tillsyn/A 6977-2023 tillsynsbegäran.docx", "A 6977-2023")</f>
        <v/>
      </c>
      <c r="Y26">
        <f>HYPERLINK("https://klasma.github.io/Logging_2029/tillsynsmail/A 6977-2023 tillsynsbegäran mail.docx", "A 6977-2023")</f>
        <v/>
      </c>
    </row>
    <row r="27" ht="15" customHeight="1">
      <c r="A27" t="inlineStr">
        <is>
          <t>A 8529-2023</t>
        </is>
      </c>
      <c r="B27" s="1" t="n">
        <v>44977</v>
      </c>
      <c r="C27" s="1" t="n">
        <v>45346</v>
      </c>
      <c r="D27" t="inlineStr">
        <is>
          <t>DALARNAS LÄN</t>
        </is>
      </c>
      <c r="E27" t="inlineStr">
        <is>
          <t>LEKSAND</t>
        </is>
      </c>
      <c r="G27" t="n">
        <v>2.7</v>
      </c>
      <c r="H27" t="n">
        <v>1</v>
      </c>
      <c r="I27" t="n">
        <v>0</v>
      </c>
      <c r="J27" t="n">
        <v>0</v>
      </c>
      <c r="K27" t="n">
        <v>1</v>
      </c>
      <c r="L27" t="n">
        <v>0</v>
      </c>
      <c r="M27" t="n">
        <v>0</v>
      </c>
      <c r="N27" t="n">
        <v>0</v>
      </c>
      <c r="O27" t="n">
        <v>1</v>
      </c>
      <c r="P27" t="n">
        <v>1</v>
      </c>
      <c r="Q27" t="n">
        <v>1</v>
      </c>
      <c r="R27" s="2" t="inlineStr">
        <is>
          <t>Knärot</t>
        </is>
      </c>
      <c r="S27">
        <f>HYPERLINK("https://klasma.github.io/Logging_2029/artfynd/A 8529-2023 artfynd.xlsx", "A 8529-2023")</f>
        <v/>
      </c>
      <c r="T27">
        <f>HYPERLINK("https://klasma.github.io/Logging_2029/kartor/A 8529-2023 karta.png", "A 8529-2023")</f>
        <v/>
      </c>
      <c r="U27">
        <f>HYPERLINK("https://klasma.github.io/Logging_2029/knärot/A 8529-2023 karta knärot.png", "A 8529-2023")</f>
        <v/>
      </c>
      <c r="V27">
        <f>HYPERLINK("https://klasma.github.io/Logging_2029/klagomål/A 8529-2023 FSC-klagomål.docx", "A 8529-2023")</f>
        <v/>
      </c>
      <c r="W27">
        <f>HYPERLINK("https://klasma.github.io/Logging_2029/klagomålsmail/A 8529-2023 FSC-klagomål mail.docx", "A 8529-2023")</f>
        <v/>
      </c>
      <c r="X27">
        <f>HYPERLINK("https://klasma.github.io/Logging_2029/tillsyn/A 8529-2023 tillsynsbegäran.docx", "A 8529-2023")</f>
        <v/>
      </c>
      <c r="Y27">
        <f>HYPERLINK("https://klasma.github.io/Logging_2029/tillsynsmail/A 8529-2023 tillsynsbegäran mail.docx", "A 8529-2023")</f>
        <v/>
      </c>
    </row>
    <row r="28" ht="15" customHeight="1">
      <c r="A28" t="inlineStr">
        <is>
          <t>A 11754-2023</t>
        </is>
      </c>
      <c r="B28" s="1" t="n">
        <v>44993</v>
      </c>
      <c r="C28" s="1" t="n">
        <v>45346</v>
      </c>
      <c r="D28" t="inlineStr">
        <is>
          <t>DALARNAS LÄN</t>
        </is>
      </c>
      <c r="E28" t="inlineStr">
        <is>
          <t>LEKSAND</t>
        </is>
      </c>
      <c r="G28" t="n">
        <v>4.7</v>
      </c>
      <c r="H28" t="n">
        <v>1</v>
      </c>
      <c r="I28" t="n">
        <v>0</v>
      </c>
      <c r="J28" t="n">
        <v>0</v>
      </c>
      <c r="K28" t="n">
        <v>1</v>
      </c>
      <c r="L28" t="n">
        <v>0</v>
      </c>
      <c r="M28" t="n">
        <v>0</v>
      </c>
      <c r="N28" t="n">
        <v>0</v>
      </c>
      <c r="O28" t="n">
        <v>1</v>
      </c>
      <c r="P28" t="n">
        <v>1</v>
      </c>
      <c r="Q28" t="n">
        <v>1</v>
      </c>
      <c r="R28" s="2" t="inlineStr">
        <is>
          <t>Knärot</t>
        </is>
      </c>
      <c r="S28">
        <f>HYPERLINK("https://klasma.github.io/Logging_2029/artfynd/A 11754-2023 artfynd.xlsx", "A 11754-2023")</f>
        <v/>
      </c>
      <c r="T28">
        <f>HYPERLINK("https://klasma.github.io/Logging_2029/kartor/A 11754-2023 karta.png", "A 11754-2023")</f>
        <v/>
      </c>
      <c r="U28">
        <f>HYPERLINK("https://klasma.github.io/Logging_2029/knärot/A 11754-2023 karta knärot.png", "A 11754-2023")</f>
        <v/>
      </c>
      <c r="V28">
        <f>HYPERLINK("https://klasma.github.io/Logging_2029/klagomål/A 11754-2023 FSC-klagomål.docx", "A 11754-2023")</f>
        <v/>
      </c>
      <c r="W28">
        <f>HYPERLINK("https://klasma.github.io/Logging_2029/klagomålsmail/A 11754-2023 FSC-klagomål mail.docx", "A 11754-2023")</f>
        <v/>
      </c>
      <c r="X28">
        <f>HYPERLINK("https://klasma.github.io/Logging_2029/tillsyn/A 11754-2023 tillsynsbegäran.docx", "A 11754-2023")</f>
        <v/>
      </c>
      <c r="Y28">
        <f>HYPERLINK("https://klasma.github.io/Logging_2029/tillsynsmail/A 11754-2023 tillsynsbegäran mail.docx", "A 11754-2023")</f>
        <v/>
      </c>
    </row>
    <row r="29" ht="15" customHeight="1">
      <c r="A29" t="inlineStr">
        <is>
          <t>A 15432-2023</t>
        </is>
      </c>
      <c r="B29" s="1" t="n">
        <v>45020</v>
      </c>
      <c r="C29" s="1" t="n">
        <v>45346</v>
      </c>
      <c r="D29" t="inlineStr">
        <is>
          <t>DALARNAS LÄN</t>
        </is>
      </c>
      <c r="E29" t="inlineStr">
        <is>
          <t>LEKSAND</t>
        </is>
      </c>
      <c r="G29" t="n">
        <v>2.5</v>
      </c>
      <c r="H29" t="n">
        <v>0</v>
      </c>
      <c r="I29" t="n">
        <v>1</v>
      </c>
      <c r="J29" t="n">
        <v>0</v>
      </c>
      <c r="K29" t="n">
        <v>0</v>
      </c>
      <c r="L29" t="n">
        <v>0</v>
      </c>
      <c r="M29" t="n">
        <v>0</v>
      </c>
      <c r="N29" t="n">
        <v>0</v>
      </c>
      <c r="O29" t="n">
        <v>0</v>
      </c>
      <c r="P29" t="n">
        <v>0</v>
      </c>
      <c r="Q29" t="n">
        <v>1</v>
      </c>
      <c r="R29" s="2" t="inlineStr">
        <is>
          <t>Mindre märgborre</t>
        </is>
      </c>
      <c r="S29">
        <f>HYPERLINK("https://klasma.github.io/Logging_2029/artfynd/A 15432-2023 artfynd.xlsx", "A 15432-2023")</f>
        <v/>
      </c>
      <c r="T29">
        <f>HYPERLINK("https://klasma.github.io/Logging_2029/kartor/A 15432-2023 karta.png", "A 15432-2023")</f>
        <v/>
      </c>
      <c r="V29">
        <f>HYPERLINK("https://klasma.github.io/Logging_2029/klagomål/A 15432-2023 FSC-klagomål.docx", "A 15432-2023")</f>
        <v/>
      </c>
      <c r="W29">
        <f>HYPERLINK("https://klasma.github.io/Logging_2029/klagomålsmail/A 15432-2023 FSC-klagomål mail.docx", "A 15432-2023")</f>
        <v/>
      </c>
      <c r="X29">
        <f>HYPERLINK("https://klasma.github.io/Logging_2029/tillsyn/A 15432-2023 tillsynsbegäran.docx", "A 15432-2023")</f>
        <v/>
      </c>
      <c r="Y29">
        <f>HYPERLINK("https://klasma.github.io/Logging_2029/tillsynsmail/A 15432-2023 tillsynsbegäran mail.docx", "A 15432-2023")</f>
        <v/>
      </c>
    </row>
    <row r="30" ht="15" customHeight="1">
      <c r="A30" t="inlineStr">
        <is>
          <t>A 17899-2023</t>
        </is>
      </c>
      <c r="B30" s="1" t="n">
        <v>45039</v>
      </c>
      <c r="C30" s="1" t="n">
        <v>45346</v>
      </c>
      <c r="D30" t="inlineStr">
        <is>
          <t>DALARNAS LÄN</t>
        </is>
      </c>
      <c r="E30" t="inlineStr">
        <is>
          <t>LEKSAND</t>
        </is>
      </c>
      <c r="G30" t="n">
        <v>1.9</v>
      </c>
      <c r="H30" t="n">
        <v>0</v>
      </c>
      <c r="I30" t="n">
        <v>0</v>
      </c>
      <c r="J30" t="n">
        <v>1</v>
      </c>
      <c r="K30" t="n">
        <v>0</v>
      </c>
      <c r="L30" t="n">
        <v>0</v>
      </c>
      <c r="M30" t="n">
        <v>0</v>
      </c>
      <c r="N30" t="n">
        <v>0</v>
      </c>
      <c r="O30" t="n">
        <v>1</v>
      </c>
      <c r="P30" t="n">
        <v>0</v>
      </c>
      <c r="Q30" t="n">
        <v>1</v>
      </c>
      <c r="R30" s="2" t="inlineStr">
        <is>
          <t>Grantaggsvamp</t>
        </is>
      </c>
      <c r="S30">
        <f>HYPERLINK("https://klasma.github.io/Logging_2029/artfynd/A 17899-2023 artfynd.xlsx", "A 17899-2023")</f>
        <v/>
      </c>
      <c r="T30">
        <f>HYPERLINK("https://klasma.github.io/Logging_2029/kartor/A 17899-2023 karta.png", "A 17899-2023")</f>
        <v/>
      </c>
      <c r="V30">
        <f>HYPERLINK("https://klasma.github.io/Logging_2029/klagomål/A 17899-2023 FSC-klagomål.docx", "A 17899-2023")</f>
        <v/>
      </c>
      <c r="W30">
        <f>HYPERLINK("https://klasma.github.io/Logging_2029/klagomålsmail/A 17899-2023 FSC-klagomål mail.docx", "A 17899-2023")</f>
        <v/>
      </c>
      <c r="X30">
        <f>HYPERLINK("https://klasma.github.io/Logging_2029/tillsyn/A 17899-2023 tillsynsbegäran.docx", "A 17899-2023")</f>
        <v/>
      </c>
      <c r="Y30">
        <f>HYPERLINK("https://klasma.github.io/Logging_2029/tillsynsmail/A 17899-2023 tillsynsbegäran mail.docx", "A 17899-2023")</f>
        <v/>
      </c>
    </row>
    <row r="31" ht="15" customHeight="1">
      <c r="A31" t="inlineStr">
        <is>
          <t>A 21419-2023</t>
        </is>
      </c>
      <c r="B31" s="1" t="n">
        <v>45061</v>
      </c>
      <c r="C31" s="1" t="n">
        <v>45346</v>
      </c>
      <c r="D31" t="inlineStr">
        <is>
          <t>DALARNAS LÄN</t>
        </is>
      </c>
      <c r="E31" t="inlineStr">
        <is>
          <t>LEKSAND</t>
        </is>
      </c>
      <c r="G31" t="n">
        <v>5.5</v>
      </c>
      <c r="H31" t="n">
        <v>1</v>
      </c>
      <c r="I31" t="n">
        <v>0</v>
      </c>
      <c r="J31" t="n">
        <v>0</v>
      </c>
      <c r="K31" t="n">
        <v>0</v>
      </c>
      <c r="L31" t="n">
        <v>0</v>
      </c>
      <c r="M31" t="n">
        <v>0</v>
      </c>
      <c r="N31" t="n">
        <v>0</v>
      </c>
      <c r="O31" t="n">
        <v>0</v>
      </c>
      <c r="P31" t="n">
        <v>0</v>
      </c>
      <c r="Q31" t="n">
        <v>1</v>
      </c>
      <c r="R31" s="2" t="inlineStr">
        <is>
          <t>Nattviol</t>
        </is>
      </c>
      <c r="S31">
        <f>HYPERLINK("https://klasma.github.io/Logging_2029/artfynd/A 21419-2023 artfynd.xlsx", "A 21419-2023")</f>
        <v/>
      </c>
      <c r="T31">
        <f>HYPERLINK("https://klasma.github.io/Logging_2029/kartor/A 21419-2023 karta.png", "A 21419-2023")</f>
        <v/>
      </c>
      <c r="V31">
        <f>HYPERLINK("https://klasma.github.io/Logging_2029/klagomål/A 21419-2023 FSC-klagomål.docx", "A 21419-2023")</f>
        <v/>
      </c>
      <c r="W31">
        <f>HYPERLINK("https://klasma.github.io/Logging_2029/klagomålsmail/A 21419-2023 FSC-klagomål mail.docx", "A 21419-2023")</f>
        <v/>
      </c>
      <c r="X31">
        <f>HYPERLINK("https://klasma.github.io/Logging_2029/tillsyn/A 21419-2023 tillsynsbegäran.docx", "A 21419-2023")</f>
        <v/>
      </c>
      <c r="Y31">
        <f>HYPERLINK("https://klasma.github.io/Logging_2029/tillsynsmail/A 21419-2023 tillsynsbegäran mail.docx", "A 21419-2023")</f>
        <v/>
      </c>
    </row>
    <row r="32" ht="15" customHeight="1">
      <c r="A32" t="inlineStr">
        <is>
          <t>A 26287-2023</t>
        </is>
      </c>
      <c r="B32" s="1" t="n">
        <v>45091</v>
      </c>
      <c r="C32" s="1" t="n">
        <v>45346</v>
      </c>
      <c r="D32" t="inlineStr">
        <is>
          <t>DALARNAS LÄN</t>
        </is>
      </c>
      <c r="E32" t="inlineStr">
        <is>
          <t>LEKSAND</t>
        </is>
      </c>
      <c r="G32" t="n">
        <v>2.4</v>
      </c>
      <c r="H32" t="n">
        <v>0</v>
      </c>
      <c r="I32" t="n">
        <v>1</v>
      </c>
      <c r="J32" t="n">
        <v>0</v>
      </c>
      <c r="K32" t="n">
        <v>0</v>
      </c>
      <c r="L32" t="n">
        <v>0</v>
      </c>
      <c r="M32" t="n">
        <v>0</v>
      </c>
      <c r="N32" t="n">
        <v>0</v>
      </c>
      <c r="O32" t="n">
        <v>0</v>
      </c>
      <c r="P32" t="n">
        <v>0</v>
      </c>
      <c r="Q32" t="n">
        <v>1</v>
      </c>
      <c r="R32" s="2" t="inlineStr">
        <is>
          <t>Mindre märgborre</t>
        </is>
      </c>
      <c r="S32">
        <f>HYPERLINK("https://klasma.github.io/Logging_2029/artfynd/A 26287-2023 artfynd.xlsx", "A 26287-2023")</f>
        <v/>
      </c>
      <c r="T32">
        <f>HYPERLINK("https://klasma.github.io/Logging_2029/kartor/A 26287-2023 karta.png", "A 26287-2023")</f>
        <v/>
      </c>
      <c r="V32">
        <f>HYPERLINK("https://klasma.github.io/Logging_2029/klagomål/A 26287-2023 FSC-klagomål.docx", "A 26287-2023")</f>
        <v/>
      </c>
      <c r="W32">
        <f>HYPERLINK("https://klasma.github.io/Logging_2029/klagomålsmail/A 26287-2023 FSC-klagomål mail.docx", "A 26287-2023")</f>
        <v/>
      </c>
      <c r="X32">
        <f>HYPERLINK("https://klasma.github.io/Logging_2029/tillsyn/A 26287-2023 tillsynsbegäran.docx", "A 26287-2023")</f>
        <v/>
      </c>
      <c r="Y32">
        <f>HYPERLINK("https://klasma.github.io/Logging_2029/tillsynsmail/A 26287-2023 tillsynsbegäran mail.docx", "A 26287-2023")</f>
        <v/>
      </c>
    </row>
    <row r="33" ht="15" customHeight="1">
      <c r="A33" t="inlineStr">
        <is>
          <t>A 47803-2023</t>
        </is>
      </c>
      <c r="B33" s="1" t="n">
        <v>45204</v>
      </c>
      <c r="C33" s="1" t="n">
        <v>45346</v>
      </c>
      <c r="D33" t="inlineStr">
        <is>
          <t>DALARNAS LÄN</t>
        </is>
      </c>
      <c r="E33" t="inlineStr">
        <is>
          <t>LEKSAND</t>
        </is>
      </c>
      <c r="G33" t="n">
        <v>2</v>
      </c>
      <c r="H33" t="n">
        <v>1</v>
      </c>
      <c r="I33" t="n">
        <v>0</v>
      </c>
      <c r="J33" t="n">
        <v>0</v>
      </c>
      <c r="K33" t="n">
        <v>1</v>
      </c>
      <c r="L33" t="n">
        <v>0</v>
      </c>
      <c r="M33" t="n">
        <v>0</v>
      </c>
      <c r="N33" t="n">
        <v>0</v>
      </c>
      <c r="O33" t="n">
        <v>1</v>
      </c>
      <c r="P33" t="n">
        <v>1</v>
      </c>
      <c r="Q33" t="n">
        <v>1</v>
      </c>
      <c r="R33" s="2" t="inlineStr">
        <is>
          <t>Lappuggla</t>
        </is>
      </c>
      <c r="S33">
        <f>HYPERLINK("https://klasma.github.io/Logging_2029/artfynd/A 47803-2023 artfynd.xlsx", "A 47803-2023")</f>
        <v/>
      </c>
      <c r="T33">
        <f>HYPERLINK("https://klasma.github.io/Logging_2029/kartor/A 47803-2023 karta.png", "A 47803-2023")</f>
        <v/>
      </c>
      <c r="V33">
        <f>HYPERLINK("https://klasma.github.io/Logging_2029/klagomål/A 47803-2023 FSC-klagomål.docx", "A 47803-2023")</f>
        <v/>
      </c>
      <c r="W33">
        <f>HYPERLINK("https://klasma.github.io/Logging_2029/klagomålsmail/A 47803-2023 FSC-klagomål mail.docx", "A 47803-2023")</f>
        <v/>
      </c>
      <c r="X33">
        <f>HYPERLINK("https://klasma.github.io/Logging_2029/tillsyn/A 47803-2023 tillsynsbegäran.docx", "A 47803-2023")</f>
        <v/>
      </c>
      <c r="Y33">
        <f>HYPERLINK("https://klasma.github.io/Logging_2029/tillsynsmail/A 47803-2023 tillsynsbegäran mail.docx", "A 47803-2023")</f>
        <v/>
      </c>
      <c r="Z33">
        <f>HYPERLINK("https://klasma.github.io/Logging_2029/fåglar/A 47803-2023 prioriterade fågelarter.docx", "A 47803-2023")</f>
        <v/>
      </c>
    </row>
    <row r="34" ht="15" customHeight="1">
      <c r="A34" t="inlineStr">
        <is>
          <t>A 53262-2023</t>
        </is>
      </c>
      <c r="B34" s="1" t="n">
        <v>45229</v>
      </c>
      <c r="C34" s="1" t="n">
        <v>45346</v>
      </c>
      <c r="D34" t="inlineStr">
        <is>
          <t>DALARNAS LÄN</t>
        </is>
      </c>
      <c r="E34" t="inlineStr">
        <is>
          <t>LEKSAND</t>
        </is>
      </c>
      <c r="G34" t="n">
        <v>6.1</v>
      </c>
      <c r="H34" t="n">
        <v>1</v>
      </c>
      <c r="I34" t="n">
        <v>0</v>
      </c>
      <c r="J34" t="n">
        <v>0</v>
      </c>
      <c r="K34" t="n">
        <v>0</v>
      </c>
      <c r="L34" t="n">
        <v>1</v>
      </c>
      <c r="M34" t="n">
        <v>0</v>
      </c>
      <c r="N34" t="n">
        <v>0</v>
      </c>
      <c r="O34" t="n">
        <v>1</v>
      </c>
      <c r="P34" t="n">
        <v>1</v>
      </c>
      <c r="Q34" t="n">
        <v>1</v>
      </c>
      <c r="R34" s="2" t="inlineStr">
        <is>
          <t>Mosippa</t>
        </is>
      </c>
      <c r="S34">
        <f>HYPERLINK("https://klasma.github.io/Logging_2029/artfynd/A 53262-2023 artfynd.xlsx", "A 53262-2023")</f>
        <v/>
      </c>
      <c r="T34">
        <f>HYPERLINK("https://klasma.github.io/Logging_2029/kartor/A 53262-2023 karta.png", "A 53262-2023")</f>
        <v/>
      </c>
      <c r="V34">
        <f>HYPERLINK("https://klasma.github.io/Logging_2029/klagomål/A 53262-2023 FSC-klagomål.docx", "A 53262-2023")</f>
        <v/>
      </c>
      <c r="W34">
        <f>HYPERLINK("https://klasma.github.io/Logging_2029/klagomålsmail/A 53262-2023 FSC-klagomål mail.docx", "A 53262-2023")</f>
        <v/>
      </c>
      <c r="X34">
        <f>HYPERLINK("https://klasma.github.io/Logging_2029/tillsyn/A 53262-2023 tillsynsbegäran.docx", "A 53262-2023")</f>
        <v/>
      </c>
      <c r="Y34">
        <f>HYPERLINK("https://klasma.github.io/Logging_2029/tillsynsmail/A 53262-2023 tillsynsbegäran mail.docx", "A 53262-2023")</f>
        <v/>
      </c>
    </row>
    <row r="35" ht="15" customHeight="1">
      <c r="A35" t="inlineStr">
        <is>
          <t>A 59205-2023</t>
        </is>
      </c>
      <c r="B35" s="1" t="n">
        <v>45251</v>
      </c>
      <c r="C35" s="1" t="n">
        <v>45346</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60238-2023</t>
        </is>
      </c>
      <c r="B36" s="1" t="n">
        <v>45258</v>
      </c>
      <c r="C36" s="1" t="n">
        <v>45346</v>
      </c>
      <c r="D36" t="inlineStr">
        <is>
          <t>DALARNAS LÄN</t>
        </is>
      </c>
      <c r="E36" t="inlineStr">
        <is>
          <t>LEKSAND</t>
        </is>
      </c>
      <c r="G36" t="n">
        <v>3.2</v>
      </c>
      <c r="H36" t="n">
        <v>1</v>
      </c>
      <c r="I36" t="n">
        <v>0</v>
      </c>
      <c r="J36" t="n">
        <v>0</v>
      </c>
      <c r="K36" t="n">
        <v>0</v>
      </c>
      <c r="L36" t="n">
        <v>0</v>
      </c>
      <c r="M36" t="n">
        <v>0</v>
      </c>
      <c r="N36" t="n">
        <v>0</v>
      </c>
      <c r="O36" t="n">
        <v>0</v>
      </c>
      <c r="P36" t="n">
        <v>0</v>
      </c>
      <c r="Q36" t="n">
        <v>1</v>
      </c>
      <c r="R36" s="2" t="inlineStr">
        <is>
          <t>Blåsippa</t>
        </is>
      </c>
      <c r="S36">
        <f>HYPERLINK("https://klasma.github.io/Logging_2029/artfynd/A 60238-2023 artfynd.xlsx", "A 60238-2023")</f>
        <v/>
      </c>
      <c r="T36">
        <f>HYPERLINK("https://klasma.github.io/Logging_2029/kartor/A 60238-2023 karta.png", "A 60238-2023")</f>
        <v/>
      </c>
      <c r="V36">
        <f>HYPERLINK("https://klasma.github.io/Logging_2029/klagomål/A 60238-2023 FSC-klagomål.docx", "A 60238-2023")</f>
        <v/>
      </c>
      <c r="W36">
        <f>HYPERLINK("https://klasma.github.io/Logging_2029/klagomålsmail/A 60238-2023 FSC-klagomål mail.docx", "A 60238-2023")</f>
        <v/>
      </c>
      <c r="X36">
        <f>HYPERLINK("https://klasma.github.io/Logging_2029/tillsyn/A 60238-2023 tillsynsbegäran.docx", "A 60238-2023")</f>
        <v/>
      </c>
      <c r="Y36">
        <f>HYPERLINK("https://klasma.github.io/Logging_2029/tillsynsmail/A 60238-2023 tillsynsbegäran mail.docx", "A 60238-2023")</f>
        <v/>
      </c>
    </row>
    <row r="37" ht="15" customHeight="1">
      <c r="A37" t="inlineStr">
        <is>
          <t>A 164-2024</t>
        </is>
      </c>
      <c r="B37" s="1" t="n">
        <v>45294</v>
      </c>
      <c r="C37" s="1" t="n">
        <v>45346</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988-2024</t>
        </is>
      </c>
      <c r="B38" s="1" t="n">
        <v>45301</v>
      </c>
      <c r="C38" s="1" t="n">
        <v>45346</v>
      </c>
      <c r="D38" t="inlineStr">
        <is>
          <t>DALARNAS LÄN</t>
        </is>
      </c>
      <c r="E38" t="inlineStr">
        <is>
          <t>LEKSAND</t>
        </is>
      </c>
      <c r="G38" t="n">
        <v>2.2</v>
      </c>
      <c r="H38" t="n">
        <v>1</v>
      </c>
      <c r="I38" t="n">
        <v>0</v>
      </c>
      <c r="J38" t="n">
        <v>0</v>
      </c>
      <c r="K38" t="n">
        <v>0</v>
      </c>
      <c r="L38" t="n">
        <v>0</v>
      </c>
      <c r="M38" t="n">
        <v>0</v>
      </c>
      <c r="N38" t="n">
        <v>0</v>
      </c>
      <c r="O38" t="n">
        <v>0</v>
      </c>
      <c r="P38" t="n">
        <v>0</v>
      </c>
      <c r="Q38" t="n">
        <v>1</v>
      </c>
      <c r="R38" s="2" t="inlineStr">
        <is>
          <t>Nattviol</t>
        </is>
      </c>
      <c r="S38">
        <f>HYPERLINK("https://klasma.github.io/Logging_2029/artfynd/A 988-2024 artfynd.xlsx", "A 988-2024")</f>
        <v/>
      </c>
      <c r="T38">
        <f>HYPERLINK("https://klasma.github.io/Logging_2029/kartor/A 988-2024 karta.png", "A 988-2024")</f>
        <v/>
      </c>
      <c r="V38">
        <f>HYPERLINK("https://klasma.github.io/Logging_2029/klagomål/A 988-2024 FSC-klagomål.docx", "A 988-2024")</f>
        <v/>
      </c>
      <c r="W38">
        <f>HYPERLINK("https://klasma.github.io/Logging_2029/klagomålsmail/A 988-2024 FSC-klagomål mail.docx", "A 988-2024")</f>
        <v/>
      </c>
      <c r="X38">
        <f>HYPERLINK("https://klasma.github.io/Logging_2029/tillsyn/A 988-2024 tillsynsbegäran.docx", "A 988-2024")</f>
        <v/>
      </c>
      <c r="Y38">
        <f>HYPERLINK("https://klasma.github.io/Logging_2029/tillsynsmail/A 988-2024 tillsynsbegäran mail.docx", "A 988-2024")</f>
        <v/>
      </c>
    </row>
    <row r="39" ht="15" customHeight="1">
      <c r="A39" t="inlineStr">
        <is>
          <t>A 34219-2018</t>
        </is>
      </c>
      <c r="B39" s="1" t="n">
        <v>43318</v>
      </c>
      <c r="C39" s="1" t="n">
        <v>45346</v>
      </c>
      <c r="D39" t="inlineStr">
        <is>
          <t>DALARNAS LÄN</t>
        </is>
      </c>
      <c r="E39" t="inlineStr">
        <is>
          <t>LEKSAND</t>
        </is>
      </c>
      <c r="G39" t="n">
        <v>0.6</v>
      </c>
      <c r="H39" t="n">
        <v>0</v>
      </c>
      <c r="I39" t="n">
        <v>0</v>
      </c>
      <c r="J39" t="n">
        <v>0</v>
      </c>
      <c r="K39" t="n">
        <v>0</v>
      </c>
      <c r="L39" t="n">
        <v>0</v>
      </c>
      <c r="M39" t="n">
        <v>0</v>
      </c>
      <c r="N39" t="n">
        <v>0</v>
      </c>
      <c r="O39" t="n">
        <v>0</v>
      </c>
      <c r="P39" t="n">
        <v>0</v>
      </c>
      <c r="Q39" t="n">
        <v>0</v>
      </c>
      <c r="R39" s="2" t="inlineStr"/>
    </row>
    <row r="40" ht="15" customHeight="1">
      <c r="A40" t="inlineStr">
        <is>
          <t>A 34220-2018</t>
        </is>
      </c>
      <c r="B40" s="1" t="n">
        <v>43318</v>
      </c>
      <c r="C40" s="1" t="n">
        <v>45346</v>
      </c>
      <c r="D40" t="inlineStr">
        <is>
          <t>DALARNAS LÄN</t>
        </is>
      </c>
      <c r="E40" t="inlineStr">
        <is>
          <t>LEKSAND</t>
        </is>
      </c>
      <c r="G40" t="n">
        <v>0.8</v>
      </c>
      <c r="H40" t="n">
        <v>0</v>
      </c>
      <c r="I40" t="n">
        <v>0</v>
      </c>
      <c r="J40" t="n">
        <v>0</v>
      </c>
      <c r="K40" t="n">
        <v>0</v>
      </c>
      <c r="L40" t="n">
        <v>0</v>
      </c>
      <c r="M40" t="n">
        <v>0</v>
      </c>
      <c r="N40" t="n">
        <v>0</v>
      </c>
      <c r="O40" t="n">
        <v>0</v>
      </c>
      <c r="P40" t="n">
        <v>0</v>
      </c>
      <c r="Q40" t="n">
        <v>0</v>
      </c>
      <c r="R40" s="2" t="inlineStr"/>
    </row>
    <row r="41" ht="15" customHeight="1">
      <c r="A41" t="inlineStr">
        <is>
          <t>A 38789-2018</t>
        </is>
      </c>
      <c r="B41" s="1" t="n">
        <v>43336</v>
      </c>
      <c r="C41" s="1" t="n">
        <v>45346</v>
      </c>
      <c r="D41" t="inlineStr">
        <is>
          <t>DALARNAS LÄN</t>
        </is>
      </c>
      <c r="E41" t="inlineStr">
        <is>
          <t>LEKSAND</t>
        </is>
      </c>
      <c r="G41" t="n">
        <v>2.4</v>
      </c>
      <c r="H41" t="n">
        <v>0</v>
      </c>
      <c r="I41" t="n">
        <v>0</v>
      </c>
      <c r="J41" t="n">
        <v>0</v>
      </c>
      <c r="K41" t="n">
        <v>0</v>
      </c>
      <c r="L41" t="n">
        <v>0</v>
      </c>
      <c r="M41" t="n">
        <v>0</v>
      </c>
      <c r="N41" t="n">
        <v>0</v>
      </c>
      <c r="O41" t="n">
        <v>0</v>
      </c>
      <c r="P41" t="n">
        <v>0</v>
      </c>
      <c r="Q41" t="n">
        <v>0</v>
      </c>
      <c r="R41" s="2" t="inlineStr"/>
    </row>
    <row r="42" ht="15" customHeight="1">
      <c r="A42" t="inlineStr">
        <is>
          <t>A 42604-2018</t>
        </is>
      </c>
      <c r="B42" s="1" t="n">
        <v>43350</v>
      </c>
      <c r="C42" s="1" t="n">
        <v>45346</v>
      </c>
      <c r="D42" t="inlineStr">
        <is>
          <t>DALARNAS LÄN</t>
        </is>
      </c>
      <c r="E42" t="inlineStr">
        <is>
          <t>LEKSAND</t>
        </is>
      </c>
      <c r="G42" t="n">
        <v>9.9</v>
      </c>
      <c r="H42" t="n">
        <v>0</v>
      </c>
      <c r="I42" t="n">
        <v>0</v>
      </c>
      <c r="J42" t="n">
        <v>0</v>
      </c>
      <c r="K42" t="n">
        <v>0</v>
      </c>
      <c r="L42" t="n">
        <v>0</v>
      </c>
      <c r="M42" t="n">
        <v>0</v>
      </c>
      <c r="N42" t="n">
        <v>0</v>
      </c>
      <c r="O42" t="n">
        <v>0</v>
      </c>
      <c r="P42" t="n">
        <v>0</v>
      </c>
      <c r="Q42" t="n">
        <v>0</v>
      </c>
      <c r="R42" s="2" t="inlineStr"/>
    </row>
    <row r="43" ht="15" customHeight="1">
      <c r="A43" t="inlineStr">
        <is>
          <t>A 45680-2018</t>
        </is>
      </c>
      <c r="B43" s="1" t="n">
        <v>43362</v>
      </c>
      <c r="C43" s="1" t="n">
        <v>45346</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46347-2018</t>
        </is>
      </c>
      <c r="B44" s="1" t="n">
        <v>43364</v>
      </c>
      <c r="C44" s="1" t="n">
        <v>45346</v>
      </c>
      <c r="D44" t="inlineStr">
        <is>
          <t>DALARNAS LÄN</t>
        </is>
      </c>
      <c r="E44" t="inlineStr">
        <is>
          <t>LEKSAND</t>
        </is>
      </c>
      <c r="G44" t="n">
        <v>1.5</v>
      </c>
      <c r="H44" t="n">
        <v>0</v>
      </c>
      <c r="I44" t="n">
        <v>0</v>
      </c>
      <c r="J44" t="n">
        <v>0</v>
      </c>
      <c r="K44" t="n">
        <v>0</v>
      </c>
      <c r="L44" t="n">
        <v>0</v>
      </c>
      <c r="M44" t="n">
        <v>0</v>
      </c>
      <c r="N44" t="n">
        <v>0</v>
      </c>
      <c r="O44" t="n">
        <v>0</v>
      </c>
      <c r="P44" t="n">
        <v>0</v>
      </c>
      <c r="Q44" t="n">
        <v>0</v>
      </c>
      <c r="R44" s="2" t="inlineStr"/>
    </row>
    <row r="45" ht="15" customHeight="1">
      <c r="A45" t="inlineStr">
        <is>
          <t>A 53584-2018</t>
        </is>
      </c>
      <c r="B45" s="1" t="n">
        <v>43388</v>
      </c>
      <c r="C45" s="1" t="n">
        <v>45346</v>
      </c>
      <c r="D45" t="inlineStr">
        <is>
          <t>DALARNAS LÄN</t>
        </is>
      </c>
      <c r="E45" t="inlineStr">
        <is>
          <t>LEKSAND</t>
        </is>
      </c>
      <c r="G45" t="n">
        <v>0.3</v>
      </c>
      <c r="H45" t="n">
        <v>0</v>
      </c>
      <c r="I45" t="n">
        <v>0</v>
      </c>
      <c r="J45" t="n">
        <v>0</v>
      </c>
      <c r="K45" t="n">
        <v>0</v>
      </c>
      <c r="L45" t="n">
        <v>0</v>
      </c>
      <c r="M45" t="n">
        <v>0</v>
      </c>
      <c r="N45" t="n">
        <v>0</v>
      </c>
      <c r="O45" t="n">
        <v>0</v>
      </c>
      <c r="P45" t="n">
        <v>0</v>
      </c>
      <c r="Q45" t="n">
        <v>0</v>
      </c>
      <c r="R45" s="2" t="inlineStr"/>
    </row>
    <row r="46" ht="15" customHeight="1">
      <c r="A46" t="inlineStr">
        <is>
          <t>A 53808-2018</t>
        </is>
      </c>
      <c r="B46" s="1" t="n">
        <v>43391</v>
      </c>
      <c r="C46" s="1" t="n">
        <v>45346</v>
      </c>
      <c r="D46" t="inlineStr">
        <is>
          <t>DALARNAS LÄN</t>
        </is>
      </c>
      <c r="E46" t="inlineStr">
        <is>
          <t>LEKSAND</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59274-2018</t>
        </is>
      </c>
      <c r="B47" s="1" t="n">
        <v>43404</v>
      </c>
      <c r="C47" s="1" t="n">
        <v>45346</v>
      </c>
      <c r="D47" t="inlineStr">
        <is>
          <t>DALARNAS LÄN</t>
        </is>
      </c>
      <c r="E47" t="inlineStr">
        <is>
          <t>LEKSAND</t>
        </is>
      </c>
      <c r="G47" t="n">
        <v>3</v>
      </c>
      <c r="H47" t="n">
        <v>0</v>
      </c>
      <c r="I47" t="n">
        <v>0</v>
      </c>
      <c r="J47" t="n">
        <v>0</v>
      </c>
      <c r="K47" t="n">
        <v>0</v>
      </c>
      <c r="L47" t="n">
        <v>0</v>
      </c>
      <c r="M47" t="n">
        <v>0</v>
      </c>
      <c r="N47" t="n">
        <v>0</v>
      </c>
      <c r="O47" t="n">
        <v>0</v>
      </c>
      <c r="P47" t="n">
        <v>0</v>
      </c>
      <c r="Q47" t="n">
        <v>0</v>
      </c>
      <c r="R47" s="2" t="inlineStr"/>
    </row>
    <row r="48" ht="15" customHeight="1">
      <c r="A48" t="inlineStr">
        <is>
          <t>A 58202-2018</t>
        </is>
      </c>
      <c r="B48" s="1" t="n">
        <v>43408</v>
      </c>
      <c r="C48" s="1" t="n">
        <v>45346</v>
      </c>
      <c r="D48" t="inlineStr">
        <is>
          <t>DALARNAS LÄN</t>
        </is>
      </c>
      <c r="E48" t="inlineStr">
        <is>
          <t>LEKSAND</t>
        </is>
      </c>
      <c r="G48" t="n">
        <v>0.8</v>
      </c>
      <c r="H48" t="n">
        <v>0</v>
      </c>
      <c r="I48" t="n">
        <v>0</v>
      </c>
      <c r="J48" t="n">
        <v>0</v>
      </c>
      <c r="K48" t="n">
        <v>0</v>
      </c>
      <c r="L48" t="n">
        <v>0</v>
      </c>
      <c r="M48" t="n">
        <v>0</v>
      </c>
      <c r="N48" t="n">
        <v>0</v>
      </c>
      <c r="O48" t="n">
        <v>0</v>
      </c>
      <c r="P48" t="n">
        <v>0</v>
      </c>
      <c r="Q48" t="n">
        <v>0</v>
      </c>
      <c r="R48" s="2" t="inlineStr"/>
    </row>
    <row r="49" ht="15" customHeight="1">
      <c r="A49" t="inlineStr">
        <is>
          <t>A 58829-2018</t>
        </is>
      </c>
      <c r="B49" s="1" t="n">
        <v>43410</v>
      </c>
      <c r="C49" s="1" t="n">
        <v>45346</v>
      </c>
      <c r="D49" t="inlineStr">
        <is>
          <t>DALARNAS LÄN</t>
        </is>
      </c>
      <c r="E49" t="inlineStr">
        <is>
          <t>LEKSAND</t>
        </is>
      </c>
      <c r="G49" t="n">
        <v>2</v>
      </c>
      <c r="H49" t="n">
        <v>0</v>
      </c>
      <c r="I49" t="n">
        <v>0</v>
      </c>
      <c r="J49" t="n">
        <v>0</v>
      </c>
      <c r="K49" t="n">
        <v>0</v>
      </c>
      <c r="L49" t="n">
        <v>0</v>
      </c>
      <c r="M49" t="n">
        <v>0</v>
      </c>
      <c r="N49" t="n">
        <v>0</v>
      </c>
      <c r="O49" t="n">
        <v>0</v>
      </c>
      <c r="P49" t="n">
        <v>0</v>
      </c>
      <c r="Q49" t="n">
        <v>0</v>
      </c>
      <c r="R49" s="2" t="inlineStr"/>
    </row>
    <row r="50" ht="15" customHeight="1">
      <c r="A50" t="inlineStr">
        <is>
          <t>A 61564-2018</t>
        </is>
      </c>
      <c r="B50" s="1" t="n">
        <v>43413</v>
      </c>
      <c r="C50" s="1" t="n">
        <v>45346</v>
      </c>
      <c r="D50" t="inlineStr">
        <is>
          <t>DALARNAS LÄN</t>
        </is>
      </c>
      <c r="E50" t="inlineStr">
        <is>
          <t>LEKSAND</t>
        </is>
      </c>
      <c r="G50" t="n">
        <v>1.1</v>
      </c>
      <c r="H50" t="n">
        <v>0</v>
      </c>
      <c r="I50" t="n">
        <v>0</v>
      </c>
      <c r="J50" t="n">
        <v>0</v>
      </c>
      <c r="K50" t="n">
        <v>0</v>
      </c>
      <c r="L50" t="n">
        <v>0</v>
      </c>
      <c r="M50" t="n">
        <v>0</v>
      </c>
      <c r="N50" t="n">
        <v>0</v>
      </c>
      <c r="O50" t="n">
        <v>0</v>
      </c>
      <c r="P50" t="n">
        <v>0</v>
      </c>
      <c r="Q50" t="n">
        <v>0</v>
      </c>
      <c r="R50" s="2" t="inlineStr"/>
    </row>
    <row r="51" ht="15" customHeight="1">
      <c r="A51" t="inlineStr">
        <is>
          <t>A 62034-2018</t>
        </is>
      </c>
      <c r="B51" s="1" t="n">
        <v>43416</v>
      </c>
      <c r="C51" s="1" t="n">
        <v>45346</v>
      </c>
      <c r="D51" t="inlineStr">
        <is>
          <t>DALARNAS LÄN</t>
        </is>
      </c>
      <c r="E51" t="inlineStr">
        <is>
          <t>LEKSAND</t>
        </is>
      </c>
      <c r="G51" t="n">
        <v>4.2</v>
      </c>
      <c r="H51" t="n">
        <v>0</v>
      </c>
      <c r="I51" t="n">
        <v>0</v>
      </c>
      <c r="J51" t="n">
        <v>0</v>
      </c>
      <c r="K51" t="n">
        <v>0</v>
      </c>
      <c r="L51" t="n">
        <v>0</v>
      </c>
      <c r="M51" t="n">
        <v>0</v>
      </c>
      <c r="N51" t="n">
        <v>0</v>
      </c>
      <c r="O51" t="n">
        <v>0</v>
      </c>
      <c r="P51" t="n">
        <v>0</v>
      </c>
      <c r="Q51" t="n">
        <v>0</v>
      </c>
      <c r="R51" s="2" t="inlineStr"/>
    </row>
    <row r="52" ht="15" customHeight="1">
      <c r="A52" t="inlineStr">
        <is>
          <t>A 61127-2018</t>
        </is>
      </c>
      <c r="B52" s="1" t="n">
        <v>43423</v>
      </c>
      <c r="C52" s="1" t="n">
        <v>45346</v>
      </c>
      <c r="D52" t="inlineStr">
        <is>
          <t>DALARNAS LÄN</t>
        </is>
      </c>
      <c r="E52" t="inlineStr">
        <is>
          <t>LEKSAND</t>
        </is>
      </c>
      <c r="F52" t="inlineStr">
        <is>
          <t>Bergvik skog väst AB</t>
        </is>
      </c>
      <c r="G52" t="n">
        <v>6</v>
      </c>
      <c r="H52" t="n">
        <v>0</v>
      </c>
      <c r="I52" t="n">
        <v>0</v>
      </c>
      <c r="J52" t="n">
        <v>0</v>
      </c>
      <c r="K52" t="n">
        <v>0</v>
      </c>
      <c r="L52" t="n">
        <v>0</v>
      </c>
      <c r="M52" t="n">
        <v>0</v>
      </c>
      <c r="N52" t="n">
        <v>0</v>
      </c>
      <c r="O52" t="n">
        <v>0</v>
      </c>
      <c r="P52" t="n">
        <v>0</v>
      </c>
      <c r="Q52" t="n">
        <v>0</v>
      </c>
      <c r="R52" s="2" t="inlineStr"/>
    </row>
    <row r="53" ht="15" customHeight="1">
      <c r="A53" t="inlineStr">
        <is>
          <t>A 61240-2018</t>
        </is>
      </c>
      <c r="B53" s="1" t="n">
        <v>43423</v>
      </c>
      <c r="C53" s="1" t="n">
        <v>45346</v>
      </c>
      <c r="D53" t="inlineStr">
        <is>
          <t>DALARNAS LÄN</t>
        </is>
      </c>
      <c r="E53" t="inlineStr">
        <is>
          <t>LEKSAND</t>
        </is>
      </c>
      <c r="F53" t="inlineStr">
        <is>
          <t>Bergvik skog väst AB</t>
        </is>
      </c>
      <c r="G53" t="n">
        <v>3.8</v>
      </c>
      <c r="H53" t="n">
        <v>0</v>
      </c>
      <c r="I53" t="n">
        <v>0</v>
      </c>
      <c r="J53" t="n">
        <v>0</v>
      </c>
      <c r="K53" t="n">
        <v>0</v>
      </c>
      <c r="L53" t="n">
        <v>0</v>
      </c>
      <c r="M53" t="n">
        <v>0</v>
      </c>
      <c r="N53" t="n">
        <v>0</v>
      </c>
      <c r="O53" t="n">
        <v>0</v>
      </c>
      <c r="P53" t="n">
        <v>0</v>
      </c>
      <c r="Q53" t="n">
        <v>0</v>
      </c>
      <c r="R53" s="2" t="inlineStr"/>
    </row>
    <row r="54" ht="15" customHeight="1">
      <c r="A54" t="inlineStr">
        <is>
          <t>A 65585-2018</t>
        </is>
      </c>
      <c r="B54" s="1" t="n">
        <v>43425</v>
      </c>
      <c r="C54" s="1" t="n">
        <v>45346</v>
      </c>
      <c r="D54" t="inlineStr">
        <is>
          <t>DALARNAS LÄN</t>
        </is>
      </c>
      <c r="E54" t="inlineStr">
        <is>
          <t>LEKSAND</t>
        </is>
      </c>
      <c r="G54" t="n">
        <v>1.7</v>
      </c>
      <c r="H54" t="n">
        <v>0</v>
      </c>
      <c r="I54" t="n">
        <v>0</v>
      </c>
      <c r="J54" t="n">
        <v>0</v>
      </c>
      <c r="K54" t="n">
        <v>0</v>
      </c>
      <c r="L54" t="n">
        <v>0</v>
      </c>
      <c r="M54" t="n">
        <v>0</v>
      </c>
      <c r="N54" t="n">
        <v>0</v>
      </c>
      <c r="O54" t="n">
        <v>0</v>
      </c>
      <c r="P54" t="n">
        <v>0</v>
      </c>
      <c r="Q54" t="n">
        <v>0</v>
      </c>
      <c r="R54" s="2" t="inlineStr"/>
    </row>
    <row r="55" ht="15" customHeight="1">
      <c r="A55" t="inlineStr">
        <is>
          <t>A 62907-2018</t>
        </is>
      </c>
      <c r="B55" s="1" t="n">
        <v>43426</v>
      </c>
      <c r="C55" s="1" t="n">
        <v>45346</v>
      </c>
      <c r="D55" t="inlineStr">
        <is>
          <t>DALARNAS LÄN</t>
        </is>
      </c>
      <c r="E55" t="inlineStr">
        <is>
          <t>LEKSAND</t>
        </is>
      </c>
      <c r="G55" t="n">
        <v>0.5</v>
      </c>
      <c r="H55" t="n">
        <v>0</v>
      </c>
      <c r="I55" t="n">
        <v>0</v>
      </c>
      <c r="J55" t="n">
        <v>0</v>
      </c>
      <c r="K55" t="n">
        <v>0</v>
      </c>
      <c r="L55" t="n">
        <v>0</v>
      </c>
      <c r="M55" t="n">
        <v>0</v>
      </c>
      <c r="N55" t="n">
        <v>0</v>
      </c>
      <c r="O55" t="n">
        <v>0</v>
      </c>
      <c r="P55" t="n">
        <v>0</v>
      </c>
      <c r="Q55" t="n">
        <v>0</v>
      </c>
      <c r="R55" s="2" t="inlineStr"/>
    </row>
    <row r="56" ht="15" customHeight="1">
      <c r="A56" t="inlineStr">
        <is>
          <t>A 64756-2018</t>
        </is>
      </c>
      <c r="B56" s="1" t="n">
        <v>43431</v>
      </c>
      <c r="C56" s="1" t="n">
        <v>45346</v>
      </c>
      <c r="D56" t="inlineStr">
        <is>
          <t>DALARNAS LÄN</t>
        </is>
      </c>
      <c r="E56" t="inlineStr">
        <is>
          <t>LEKSAND</t>
        </is>
      </c>
      <c r="G56" t="n">
        <v>4.2</v>
      </c>
      <c r="H56" t="n">
        <v>0</v>
      </c>
      <c r="I56" t="n">
        <v>0</v>
      </c>
      <c r="J56" t="n">
        <v>0</v>
      </c>
      <c r="K56" t="n">
        <v>0</v>
      </c>
      <c r="L56" t="n">
        <v>0</v>
      </c>
      <c r="M56" t="n">
        <v>0</v>
      </c>
      <c r="N56" t="n">
        <v>0</v>
      </c>
      <c r="O56" t="n">
        <v>0</v>
      </c>
      <c r="P56" t="n">
        <v>0</v>
      </c>
      <c r="Q56" t="n">
        <v>0</v>
      </c>
      <c r="R56" s="2" t="inlineStr"/>
    </row>
    <row r="57" ht="15" customHeight="1">
      <c r="A57" t="inlineStr">
        <is>
          <t>A 65406-2018</t>
        </is>
      </c>
      <c r="B57" s="1" t="n">
        <v>43433</v>
      </c>
      <c r="C57" s="1" t="n">
        <v>45346</v>
      </c>
      <c r="D57" t="inlineStr">
        <is>
          <t>DALARNAS LÄN</t>
        </is>
      </c>
      <c r="E57" t="inlineStr">
        <is>
          <t>LEKSAND</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65395-2018</t>
        </is>
      </c>
      <c r="B58" s="1" t="n">
        <v>43433</v>
      </c>
      <c r="C58" s="1" t="n">
        <v>45346</v>
      </c>
      <c r="D58" t="inlineStr">
        <is>
          <t>DALARNAS LÄN</t>
        </is>
      </c>
      <c r="E58" t="inlineStr">
        <is>
          <t>LEKSAND</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67653-2018</t>
        </is>
      </c>
      <c r="B59" s="1" t="n">
        <v>43434</v>
      </c>
      <c r="C59" s="1" t="n">
        <v>45346</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66382-2018</t>
        </is>
      </c>
      <c r="B60" s="1" t="n">
        <v>43436</v>
      </c>
      <c r="C60" s="1" t="n">
        <v>45346</v>
      </c>
      <c r="D60" t="inlineStr">
        <is>
          <t>DALARNAS LÄN</t>
        </is>
      </c>
      <c r="E60" t="inlineStr">
        <is>
          <t>LEKSAND</t>
        </is>
      </c>
      <c r="G60" t="n">
        <v>2.2</v>
      </c>
      <c r="H60" t="n">
        <v>0</v>
      </c>
      <c r="I60" t="n">
        <v>0</v>
      </c>
      <c r="J60" t="n">
        <v>0</v>
      </c>
      <c r="K60" t="n">
        <v>0</v>
      </c>
      <c r="L60" t="n">
        <v>0</v>
      </c>
      <c r="M60" t="n">
        <v>0</v>
      </c>
      <c r="N60" t="n">
        <v>0</v>
      </c>
      <c r="O60" t="n">
        <v>0</v>
      </c>
      <c r="P60" t="n">
        <v>0</v>
      </c>
      <c r="Q60" t="n">
        <v>0</v>
      </c>
      <c r="R60" s="2" t="inlineStr"/>
    </row>
    <row r="61" ht="15" customHeight="1">
      <c r="A61" t="inlineStr">
        <is>
          <t>A 66387-2018</t>
        </is>
      </c>
      <c r="B61" s="1" t="n">
        <v>43436</v>
      </c>
      <c r="C61" s="1" t="n">
        <v>45346</v>
      </c>
      <c r="D61" t="inlineStr">
        <is>
          <t>DALARNAS LÄN</t>
        </is>
      </c>
      <c r="E61" t="inlineStr">
        <is>
          <t>LEKSAND</t>
        </is>
      </c>
      <c r="G61" t="n">
        <v>2.8</v>
      </c>
      <c r="H61" t="n">
        <v>0</v>
      </c>
      <c r="I61" t="n">
        <v>0</v>
      </c>
      <c r="J61" t="n">
        <v>0</v>
      </c>
      <c r="K61" t="n">
        <v>0</v>
      </c>
      <c r="L61" t="n">
        <v>0</v>
      </c>
      <c r="M61" t="n">
        <v>0</v>
      </c>
      <c r="N61" t="n">
        <v>0</v>
      </c>
      <c r="O61" t="n">
        <v>0</v>
      </c>
      <c r="P61" t="n">
        <v>0</v>
      </c>
      <c r="Q61" t="n">
        <v>0</v>
      </c>
      <c r="R61" s="2" t="inlineStr"/>
    </row>
    <row r="62" ht="15" customHeight="1">
      <c r="A62" t="inlineStr">
        <is>
          <t>A 66601-2018</t>
        </is>
      </c>
      <c r="B62" s="1" t="n">
        <v>43437</v>
      </c>
      <c r="C62" s="1" t="n">
        <v>45346</v>
      </c>
      <c r="D62" t="inlineStr">
        <is>
          <t>DALARNAS LÄN</t>
        </is>
      </c>
      <c r="E62" t="inlineStr">
        <is>
          <t>LEKSAND</t>
        </is>
      </c>
      <c r="F62" t="inlineStr">
        <is>
          <t>Bergvik skog väst AB</t>
        </is>
      </c>
      <c r="G62" t="n">
        <v>0.7</v>
      </c>
      <c r="H62" t="n">
        <v>0</v>
      </c>
      <c r="I62" t="n">
        <v>0</v>
      </c>
      <c r="J62" t="n">
        <v>0</v>
      </c>
      <c r="K62" t="n">
        <v>0</v>
      </c>
      <c r="L62" t="n">
        <v>0</v>
      </c>
      <c r="M62" t="n">
        <v>0</v>
      </c>
      <c r="N62" t="n">
        <v>0</v>
      </c>
      <c r="O62" t="n">
        <v>0</v>
      </c>
      <c r="P62" t="n">
        <v>0</v>
      </c>
      <c r="Q62" t="n">
        <v>0</v>
      </c>
      <c r="R62" s="2" t="inlineStr"/>
    </row>
    <row r="63" ht="15" customHeight="1">
      <c r="A63" t="inlineStr">
        <is>
          <t>A 66607-2018</t>
        </is>
      </c>
      <c r="B63" s="1" t="n">
        <v>43437</v>
      </c>
      <c r="C63" s="1" t="n">
        <v>45346</v>
      </c>
      <c r="D63" t="inlineStr">
        <is>
          <t>DALARNAS LÄN</t>
        </is>
      </c>
      <c r="E63" t="inlineStr">
        <is>
          <t>LEKSAND</t>
        </is>
      </c>
      <c r="F63" t="inlineStr">
        <is>
          <t>Bergvik skog väst AB</t>
        </is>
      </c>
      <c r="G63" t="n">
        <v>3.7</v>
      </c>
      <c r="H63" t="n">
        <v>0</v>
      </c>
      <c r="I63" t="n">
        <v>0</v>
      </c>
      <c r="J63" t="n">
        <v>0</v>
      </c>
      <c r="K63" t="n">
        <v>0</v>
      </c>
      <c r="L63" t="n">
        <v>0</v>
      </c>
      <c r="M63" t="n">
        <v>0</v>
      </c>
      <c r="N63" t="n">
        <v>0</v>
      </c>
      <c r="O63" t="n">
        <v>0</v>
      </c>
      <c r="P63" t="n">
        <v>0</v>
      </c>
      <c r="Q63" t="n">
        <v>0</v>
      </c>
      <c r="R63" s="2" t="inlineStr"/>
    </row>
    <row r="64" ht="15" customHeight="1">
      <c r="A64" t="inlineStr">
        <is>
          <t>A 68468-2018</t>
        </is>
      </c>
      <c r="B64" s="1" t="n">
        <v>43439</v>
      </c>
      <c r="C64" s="1" t="n">
        <v>45346</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69049-2018</t>
        </is>
      </c>
      <c r="B65" s="1" t="n">
        <v>43440</v>
      </c>
      <c r="C65" s="1" t="n">
        <v>45346</v>
      </c>
      <c r="D65" t="inlineStr">
        <is>
          <t>DALARNAS LÄN</t>
        </is>
      </c>
      <c r="E65" t="inlineStr">
        <is>
          <t>LEKSAND</t>
        </is>
      </c>
      <c r="G65" t="n">
        <v>1.4</v>
      </c>
      <c r="H65" t="n">
        <v>0</v>
      </c>
      <c r="I65" t="n">
        <v>0</v>
      </c>
      <c r="J65" t="n">
        <v>0</v>
      </c>
      <c r="K65" t="n">
        <v>0</v>
      </c>
      <c r="L65" t="n">
        <v>0</v>
      </c>
      <c r="M65" t="n">
        <v>0</v>
      </c>
      <c r="N65" t="n">
        <v>0</v>
      </c>
      <c r="O65" t="n">
        <v>0</v>
      </c>
      <c r="P65" t="n">
        <v>0</v>
      </c>
      <c r="Q65" t="n">
        <v>0</v>
      </c>
      <c r="R65" s="2" t="inlineStr"/>
    </row>
    <row r="66" ht="15" customHeight="1">
      <c r="A66" t="inlineStr">
        <is>
          <t>A 69061-2018</t>
        </is>
      </c>
      <c r="B66" s="1" t="n">
        <v>43441</v>
      </c>
      <c r="C66" s="1" t="n">
        <v>45346</v>
      </c>
      <c r="D66" t="inlineStr">
        <is>
          <t>DALARNAS LÄN</t>
        </is>
      </c>
      <c r="E66" t="inlineStr">
        <is>
          <t>LEKSAND</t>
        </is>
      </c>
      <c r="G66" t="n">
        <v>2.3</v>
      </c>
      <c r="H66" t="n">
        <v>0</v>
      </c>
      <c r="I66" t="n">
        <v>0</v>
      </c>
      <c r="J66" t="n">
        <v>0</v>
      </c>
      <c r="K66" t="n">
        <v>0</v>
      </c>
      <c r="L66" t="n">
        <v>0</v>
      </c>
      <c r="M66" t="n">
        <v>0</v>
      </c>
      <c r="N66" t="n">
        <v>0</v>
      </c>
      <c r="O66" t="n">
        <v>0</v>
      </c>
      <c r="P66" t="n">
        <v>0</v>
      </c>
      <c r="Q66" t="n">
        <v>0</v>
      </c>
      <c r="R66" s="2" t="inlineStr"/>
    </row>
    <row r="67" ht="15" customHeight="1">
      <c r="A67" t="inlineStr">
        <is>
          <t>A 69897-2018</t>
        </is>
      </c>
      <c r="B67" s="1" t="n">
        <v>43447</v>
      </c>
      <c r="C67" s="1" t="n">
        <v>45346</v>
      </c>
      <c r="D67" t="inlineStr">
        <is>
          <t>DALARNAS LÄN</t>
        </is>
      </c>
      <c r="E67" t="inlineStr">
        <is>
          <t>LEKSAND</t>
        </is>
      </c>
      <c r="G67" t="n">
        <v>1</v>
      </c>
      <c r="H67" t="n">
        <v>0</v>
      </c>
      <c r="I67" t="n">
        <v>0</v>
      </c>
      <c r="J67" t="n">
        <v>0</v>
      </c>
      <c r="K67" t="n">
        <v>0</v>
      </c>
      <c r="L67" t="n">
        <v>0</v>
      </c>
      <c r="M67" t="n">
        <v>0</v>
      </c>
      <c r="N67" t="n">
        <v>0</v>
      </c>
      <c r="O67" t="n">
        <v>0</v>
      </c>
      <c r="P67" t="n">
        <v>0</v>
      </c>
      <c r="Q67" t="n">
        <v>0</v>
      </c>
      <c r="R67" s="2" t="inlineStr"/>
    </row>
    <row r="68" ht="15" customHeight="1">
      <c r="A68" t="inlineStr">
        <is>
          <t>A 70015-2018</t>
        </is>
      </c>
      <c r="B68" s="1" t="n">
        <v>43448</v>
      </c>
      <c r="C68" s="1" t="n">
        <v>45346</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70403-2018</t>
        </is>
      </c>
      <c r="B69" s="1" t="n">
        <v>43450</v>
      </c>
      <c r="C69" s="1" t="n">
        <v>45346</v>
      </c>
      <c r="D69" t="inlineStr">
        <is>
          <t>DALARNAS LÄN</t>
        </is>
      </c>
      <c r="E69" t="inlineStr">
        <is>
          <t>LEKSAND</t>
        </is>
      </c>
      <c r="G69" t="n">
        <v>1.5</v>
      </c>
      <c r="H69" t="n">
        <v>0</v>
      </c>
      <c r="I69" t="n">
        <v>0</v>
      </c>
      <c r="J69" t="n">
        <v>0</v>
      </c>
      <c r="K69" t="n">
        <v>0</v>
      </c>
      <c r="L69" t="n">
        <v>0</v>
      </c>
      <c r="M69" t="n">
        <v>0</v>
      </c>
      <c r="N69" t="n">
        <v>0</v>
      </c>
      <c r="O69" t="n">
        <v>0</v>
      </c>
      <c r="P69" t="n">
        <v>0</v>
      </c>
      <c r="Q69" t="n">
        <v>0</v>
      </c>
      <c r="R69" s="2" t="inlineStr"/>
    </row>
    <row r="70" ht="15" customHeight="1">
      <c r="A70" t="inlineStr">
        <is>
          <t>A 70947-2018</t>
        </is>
      </c>
      <c r="B70" s="1" t="n">
        <v>43452</v>
      </c>
      <c r="C70" s="1" t="n">
        <v>45346</v>
      </c>
      <c r="D70" t="inlineStr">
        <is>
          <t>DALARNAS LÄN</t>
        </is>
      </c>
      <c r="E70" t="inlineStr">
        <is>
          <t>LEKSAND</t>
        </is>
      </c>
      <c r="F70" t="inlineStr">
        <is>
          <t>Bergvik skog väst AB</t>
        </is>
      </c>
      <c r="G70" t="n">
        <v>2.7</v>
      </c>
      <c r="H70" t="n">
        <v>0</v>
      </c>
      <c r="I70" t="n">
        <v>0</v>
      </c>
      <c r="J70" t="n">
        <v>0</v>
      </c>
      <c r="K70" t="n">
        <v>0</v>
      </c>
      <c r="L70" t="n">
        <v>0</v>
      </c>
      <c r="M70" t="n">
        <v>0</v>
      </c>
      <c r="N70" t="n">
        <v>0</v>
      </c>
      <c r="O70" t="n">
        <v>0</v>
      </c>
      <c r="P70" t="n">
        <v>0</v>
      </c>
      <c r="Q70" t="n">
        <v>0</v>
      </c>
      <c r="R70" s="2" t="inlineStr"/>
    </row>
    <row r="71" ht="15" customHeight="1">
      <c r="A71" t="inlineStr">
        <is>
          <t>A 71040-2018</t>
        </is>
      </c>
      <c r="B71" s="1" t="n">
        <v>43452</v>
      </c>
      <c r="C71" s="1" t="n">
        <v>45346</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72512-2018</t>
        </is>
      </c>
      <c r="B72" s="1" t="n">
        <v>43454</v>
      </c>
      <c r="C72" s="1" t="n">
        <v>45346</v>
      </c>
      <c r="D72" t="inlineStr">
        <is>
          <t>DALARNAS LÄN</t>
        </is>
      </c>
      <c r="E72" t="inlineStr">
        <is>
          <t>LEKSAND</t>
        </is>
      </c>
      <c r="G72" t="n">
        <v>1.6</v>
      </c>
      <c r="H72" t="n">
        <v>0</v>
      </c>
      <c r="I72" t="n">
        <v>0</v>
      </c>
      <c r="J72" t="n">
        <v>0</v>
      </c>
      <c r="K72" t="n">
        <v>0</v>
      </c>
      <c r="L72" t="n">
        <v>0</v>
      </c>
      <c r="M72" t="n">
        <v>0</v>
      </c>
      <c r="N72" t="n">
        <v>0</v>
      </c>
      <c r="O72" t="n">
        <v>0</v>
      </c>
      <c r="P72" t="n">
        <v>0</v>
      </c>
      <c r="Q72" t="n">
        <v>0</v>
      </c>
      <c r="R72" s="2" t="inlineStr"/>
    </row>
    <row r="73" ht="15" customHeight="1">
      <c r="A73" t="inlineStr">
        <is>
          <t>A 958-2019</t>
        </is>
      </c>
      <c r="B73" s="1" t="n">
        <v>43461</v>
      </c>
      <c r="C73" s="1" t="n">
        <v>45346</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2093-2019</t>
        </is>
      </c>
      <c r="B74" s="1" t="n">
        <v>43462</v>
      </c>
      <c r="C74" s="1" t="n">
        <v>45346</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72626-2018</t>
        </is>
      </c>
      <c r="B75" s="1" t="n">
        <v>43464</v>
      </c>
      <c r="C75" s="1" t="n">
        <v>45346</v>
      </c>
      <c r="D75" t="inlineStr">
        <is>
          <t>DALARNAS LÄN</t>
        </is>
      </c>
      <c r="E75" t="inlineStr">
        <is>
          <t>LEKSAND</t>
        </is>
      </c>
      <c r="G75" t="n">
        <v>4.9</v>
      </c>
      <c r="H75" t="n">
        <v>0</v>
      </c>
      <c r="I75" t="n">
        <v>0</v>
      </c>
      <c r="J75" t="n">
        <v>0</v>
      </c>
      <c r="K75" t="n">
        <v>0</v>
      </c>
      <c r="L75" t="n">
        <v>0</v>
      </c>
      <c r="M75" t="n">
        <v>0</v>
      </c>
      <c r="N75" t="n">
        <v>0</v>
      </c>
      <c r="O75" t="n">
        <v>0</v>
      </c>
      <c r="P75" t="n">
        <v>0</v>
      </c>
      <c r="Q75" t="n">
        <v>0</v>
      </c>
      <c r="R75" s="2" t="inlineStr"/>
    </row>
    <row r="76" ht="15" customHeight="1">
      <c r="A76" t="inlineStr">
        <is>
          <t>A 760-2019</t>
        </is>
      </c>
      <c r="B76" s="1" t="n">
        <v>43471</v>
      </c>
      <c r="C76" s="1" t="n">
        <v>45346</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2666-2019</t>
        </is>
      </c>
      <c r="B77" s="1" t="n">
        <v>43478</v>
      </c>
      <c r="C77" s="1" t="n">
        <v>45346</v>
      </c>
      <c r="D77" t="inlineStr">
        <is>
          <t>DALARNAS LÄN</t>
        </is>
      </c>
      <c r="E77" t="inlineStr">
        <is>
          <t>LEKSAND</t>
        </is>
      </c>
      <c r="G77" t="n">
        <v>0.7</v>
      </c>
      <c r="H77" t="n">
        <v>0</v>
      </c>
      <c r="I77" t="n">
        <v>0</v>
      </c>
      <c r="J77" t="n">
        <v>0</v>
      </c>
      <c r="K77" t="n">
        <v>0</v>
      </c>
      <c r="L77" t="n">
        <v>0</v>
      </c>
      <c r="M77" t="n">
        <v>0</v>
      </c>
      <c r="N77" t="n">
        <v>0</v>
      </c>
      <c r="O77" t="n">
        <v>0</v>
      </c>
      <c r="P77" t="n">
        <v>0</v>
      </c>
      <c r="Q77" t="n">
        <v>0</v>
      </c>
      <c r="R77" s="2" t="inlineStr"/>
    </row>
    <row r="78" ht="15" customHeight="1">
      <c r="A78" t="inlineStr">
        <is>
          <t>A 4667-2019</t>
        </is>
      </c>
      <c r="B78" s="1" t="n">
        <v>43486</v>
      </c>
      <c r="C78" s="1" t="n">
        <v>45346</v>
      </c>
      <c r="D78" t="inlineStr">
        <is>
          <t>DALARNAS LÄN</t>
        </is>
      </c>
      <c r="E78" t="inlineStr">
        <is>
          <t>LEKSAND</t>
        </is>
      </c>
      <c r="G78" t="n">
        <v>4.3</v>
      </c>
      <c r="H78" t="n">
        <v>0</v>
      </c>
      <c r="I78" t="n">
        <v>0</v>
      </c>
      <c r="J78" t="n">
        <v>0</v>
      </c>
      <c r="K78" t="n">
        <v>0</v>
      </c>
      <c r="L78" t="n">
        <v>0</v>
      </c>
      <c r="M78" t="n">
        <v>0</v>
      </c>
      <c r="N78" t="n">
        <v>0</v>
      </c>
      <c r="O78" t="n">
        <v>0</v>
      </c>
      <c r="P78" t="n">
        <v>0</v>
      </c>
      <c r="Q78" t="n">
        <v>0</v>
      </c>
      <c r="R78" s="2" t="inlineStr"/>
    </row>
    <row r="79" ht="15" customHeight="1">
      <c r="A79" t="inlineStr">
        <is>
          <t>A 5136-2019</t>
        </is>
      </c>
      <c r="B79" s="1" t="n">
        <v>43487</v>
      </c>
      <c r="C79" s="1" t="n">
        <v>45346</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5137-2019</t>
        </is>
      </c>
      <c r="B80" s="1" t="n">
        <v>43487</v>
      </c>
      <c r="C80" s="1" t="n">
        <v>45346</v>
      </c>
      <c r="D80" t="inlineStr">
        <is>
          <t>DALARNAS LÄN</t>
        </is>
      </c>
      <c r="E80" t="inlineStr">
        <is>
          <t>LEKSAND</t>
        </is>
      </c>
      <c r="G80" t="n">
        <v>0.2</v>
      </c>
      <c r="H80" t="n">
        <v>0</v>
      </c>
      <c r="I80" t="n">
        <v>0</v>
      </c>
      <c r="J80" t="n">
        <v>0</v>
      </c>
      <c r="K80" t="n">
        <v>0</v>
      </c>
      <c r="L80" t="n">
        <v>0</v>
      </c>
      <c r="M80" t="n">
        <v>0</v>
      </c>
      <c r="N80" t="n">
        <v>0</v>
      </c>
      <c r="O80" t="n">
        <v>0</v>
      </c>
      <c r="P80" t="n">
        <v>0</v>
      </c>
      <c r="Q80" t="n">
        <v>0</v>
      </c>
      <c r="R80" s="2" t="inlineStr"/>
    </row>
    <row r="81" ht="15" customHeight="1">
      <c r="A81" t="inlineStr">
        <is>
          <t>A 5712-2019</t>
        </is>
      </c>
      <c r="B81" s="1" t="n">
        <v>43490</v>
      </c>
      <c r="C81" s="1" t="n">
        <v>45346</v>
      </c>
      <c r="D81" t="inlineStr">
        <is>
          <t>DALARNAS LÄN</t>
        </is>
      </c>
      <c r="E81" t="inlineStr">
        <is>
          <t>LEKSAND</t>
        </is>
      </c>
      <c r="G81" t="n">
        <v>5.2</v>
      </c>
      <c r="H81" t="n">
        <v>0</v>
      </c>
      <c r="I81" t="n">
        <v>0</v>
      </c>
      <c r="J81" t="n">
        <v>0</v>
      </c>
      <c r="K81" t="n">
        <v>0</v>
      </c>
      <c r="L81" t="n">
        <v>0</v>
      </c>
      <c r="M81" t="n">
        <v>0</v>
      </c>
      <c r="N81" t="n">
        <v>0</v>
      </c>
      <c r="O81" t="n">
        <v>0</v>
      </c>
      <c r="P81" t="n">
        <v>0</v>
      </c>
      <c r="Q81" t="n">
        <v>0</v>
      </c>
      <c r="R81" s="2" t="inlineStr"/>
    </row>
    <row r="82" ht="15" customHeight="1">
      <c r="A82" t="inlineStr">
        <is>
          <t>A 7655-2019</t>
        </is>
      </c>
      <c r="B82" s="1" t="n">
        <v>43493</v>
      </c>
      <c r="C82" s="1" t="n">
        <v>45346</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7596-2019</t>
        </is>
      </c>
      <c r="B83" s="1" t="n">
        <v>43498</v>
      </c>
      <c r="C83" s="1" t="n">
        <v>45346</v>
      </c>
      <c r="D83" t="inlineStr">
        <is>
          <t>DALARNAS LÄN</t>
        </is>
      </c>
      <c r="E83" t="inlineStr">
        <is>
          <t>LEKSAND</t>
        </is>
      </c>
      <c r="G83" t="n">
        <v>7.1</v>
      </c>
      <c r="H83" t="n">
        <v>0</v>
      </c>
      <c r="I83" t="n">
        <v>0</v>
      </c>
      <c r="J83" t="n">
        <v>0</v>
      </c>
      <c r="K83" t="n">
        <v>0</v>
      </c>
      <c r="L83" t="n">
        <v>0</v>
      </c>
      <c r="M83" t="n">
        <v>0</v>
      </c>
      <c r="N83" t="n">
        <v>0</v>
      </c>
      <c r="O83" t="n">
        <v>0</v>
      </c>
      <c r="P83" t="n">
        <v>0</v>
      </c>
      <c r="Q83" t="n">
        <v>0</v>
      </c>
      <c r="R83" s="2" t="inlineStr"/>
    </row>
    <row r="84" ht="15" customHeight="1">
      <c r="A84" t="inlineStr">
        <is>
          <t>A 8555-2019</t>
        </is>
      </c>
      <c r="B84" s="1" t="n">
        <v>43502</v>
      </c>
      <c r="C84" s="1" t="n">
        <v>45346</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8542-2019</t>
        </is>
      </c>
      <c r="B85" s="1" t="n">
        <v>43502</v>
      </c>
      <c r="C85" s="1" t="n">
        <v>45346</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9301-2019</t>
        </is>
      </c>
      <c r="B86" s="1" t="n">
        <v>43507</v>
      </c>
      <c r="C86" s="1" t="n">
        <v>45346</v>
      </c>
      <c r="D86" t="inlineStr">
        <is>
          <t>DALARNAS LÄN</t>
        </is>
      </c>
      <c r="E86" t="inlineStr">
        <is>
          <t>LEKSAND</t>
        </is>
      </c>
      <c r="G86" t="n">
        <v>4.4</v>
      </c>
      <c r="H86" t="n">
        <v>0</v>
      </c>
      <c r="I86" t="n">
        <v>0</v>
      </c>
      <c r="J86" t="n">
        <v>0</v>
      </c>
      <c r="K86" t="n">
        <v>0</v>
      </c>
      <c r="L86" t="n">
        <v>0</v>
      </c>
      <c r="M86" t="n">
        <v>0</v>
      </c>
      <c r="N86" t="n">
        <v>0</v>
      </c>
      <c r="O86" t="n">
        <v>0</v>
      </c>
      <c r="P86" t="n">
        <v>0</v>
      </c>
      <c r="Q86" t="n">
        <v>0</v>
      </c>
      <c r="R86" s="2" t="inlineStr"/>
    </row>
    <row r="87" ht="15" customHeight="1">
      <c r="A87" t="inlineStr">
        <is>
          <t>A 9744-2019</t>
        </is>
      </c>
      <c r="B87" s="1" t="n">
        <v>43508</v>
      </c>
      <c r="C87" s="1" t="n">
        <v>45346</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9955-2019</t>
        </is>
      </c>
      <c r="B88" s="1" t="n">
        <v>43509</v>
      </c>
      <c r="C88" s="1" t="n">
        <v>45346</v>
      </c>
      <c r="D88" t="inlineStr">
        <is>
          <t>DALARNAS LÄN</t>
        </is>
      </c>
      <c r="E88" t="inlineStr">
        <is>
          <t>LEKSAND</t>
        </is>
      </c>
      <c r="F88" t="inlineStr">
        <is>
          <t>Kommuner</t>
        </is>
      </c>
      <c r="G88" t="n">
        <v>1.7</v>
      </c>
      <c r="H88" t="n">
        <v>0</v>
      </c>
      <c r="I88" t="n">
        <v>0</v>
      </c>
      <c r="J88" t="n">
        <v>0</v>
      </c>
      <c r="K88" t="n">
        <v>0</v>
      </c>
      <c r="L88" t="n">
        <v>0</v>
      </c>
      <c r="M88" t="n">
        <v>0</v>
      </c>
      <c r="N88" t="n">
        <v>0</v>
      </c>
      <c r="O88" t="n">
        <v>0</v>
      </c>
      <c r="P88" t="n">
        <v>0</v>
      </c>
      <c r="Q88" t="n">
        <v>0</v>
      </c>
      <c r="R88" s="2" t="inlineStr"/>
    </row>
    <row r="89" ht="15" customHeight="1">
      <c r="A89" t="inlineStr">
        <is>
          <t>A 10236-2019</t>
        </is>
      </c>
      <c r="B89" s="1" t="n">
        <v>43510</v>
      </c>
      <c r="C89" s="1" t="n">
        <v>45346</v>
      </c>
      <c r="D89" t="inlineStr">
        <is>
          <t>DALARNAS LÄN</t>
        </is>
      </c>
      <c r="E89" t="inlineStr">
        <is>
          <t>LEKSAND</t>
        </is>
      </c>
      <c r="G89" t="n">
        <v>0.2</v>
      </c>
      <c r="H89" t="n">
        <v>0</v>
      </c>
      <c r="I89" t="n">
        <v>0</v>
      </c>
      <c r="J89" t="n">
        <v>0</v>
      </c>
      <c r="K89" t="n">
        <v>0</v>
      </c>
      <c r="L89" t="n">
        <v>0</v>
      </c>
      <c r="M89" t="n">
        <v>0</v>
      </c>
      <c r="N89" t="n">
        <v>0</v>
      </c>
      <c r="O89" t="n">
        <v>0</v>
      </c>
      <c r="P89" t="n">
        <v>0</v>
      </c>
      <c r="Q89" t="n">
        <v>0</v>
      </c>
      <c r="R89" s="2" t="inlineStr"/>
    </row>
    <row r="90" ht="15" customHeight="1">
      <c r="A90" t="inlineStr">
        <is>
          <t>A 10414-2019</t>
        </is>
      </c>
      <c r="B90" s="1" t="n">
        <v>43511</v>
      </c>
      <c r="C90" s="1" t="n">
        <v>45346</v>
      </c>
      <c r="D90" t="inlineStr">
        <is>
          <t>DALARNAS LÄN</t>
        </is>
      </c>
      <c r="E90" t="inlineStr">
        <is>
          <t>LEKSAND</t>
        </is>
      </c>
      <c r="G90" t="n">
        <v>5.6</v>
      </c>
      <c r="H90" t="n">
        <v>0</v>
      </c>
      <c r="I90" t="n">
        <v>0</v>
      </c>
      <c r="J90" t="n">
        <v>0</v>
      </c>
      <c r="K90" t="n">
        <v>0</v>
      </c>
      <c r="L90" t="n">
        <v>0</v>
      </c>
      <c r="M90" t="n">
        <v>0</v>
      </c>
      <c r="N90" t="n">
        <v>0</v>
      </c>
      <c r="O90" t="n">
        <v>0</v>
      </c>
      <c r="P90" t="n">
        <v>0</v>
      </c>
      <c r="Q90" t="n">
        <v>0</v>
      </c>
      <c r="R90" s="2" t="inlineStr"/>
    </row>
    <row r="91" ht="15" customHeight="1">
      <c r="A91" t="inlineStr">
        <is>
          <t>A 12168-2019</t>
        </is>
      </c>
      <c r="B91" s="1" t="n">
        <v>43522</v>
      </c>
      <c r="C91" s="1" t="n">
        <v>45346</v>
      </c>
      <c r="D91" t="inlineStr">
        <is>
          <t>DALARNAS LÄN</t>
        </is>
      </c>
      <c r="E91" t="inlineStr">
        <is>
          <t>LEKSAND</t>
        </is>
      </c>
      <c r="F91" t="inlineStr">
        <is>
          <t>Kommuner</t>
        </is>
      </c>
      <c r="G91" t="n">
        <v>1.9</v>
      </c>
      <c r="H91" t="n">
        <v>0</v>
      </c>
      <c r="I91" t="n">
        <v>0</v>
      </c>
      <c r="J91" t="n">
        <v>0</v>
      </c>
      <c r="K91" t="n">
        <v>0</v>
      </c>
      <c r="L91" t="n">
        <v>0</v>
      </c>
      <c r="M91" t="n">
        <v>0</v>
      </c>
      <c r="N91" t="n">
        <v>0</v>
      </c>
      <c r="O91" t="n">
        <v>0</v>
      </c>
      <c r="P91" t="n">
        <v>0</v>
      </c>
      <c r="Q91" t="n">
        <v>0</v>
      </c>
      <c r="R91" s="2" t="inlineStr"/>
    </row>
    <row r="92" ht="15" customHeight="1">
      <c r="A92" t="inlineStr">
        <is>
          <t>A 12430-2019</t>
        </is>
      </c>
      <c r="B92" s="1" t="n">
        <v>43523</v>
      </c>
      <c r="C92" s="1" t="n">
        <v>45346</v>
      </c>
      <c r="D92" t="inlineStr">
        <is>
          <t>DALARNAS LÄN</t>
        </is>
      </c>
      <c r="E92" t="inlineStr">
        <is>
          <t>LEKSAND</t>
        </is>
      </c>
      <c r="G92" t="n">
        <v>3.6</v>
      </c>
      <c r="H92" t="n">
        <v>0</v>
      </c>
      <c r="I92" t="n">
        <v>0</v>
      </c>
      <c r="J92" t="n">
        <v>0</v>
      </c>
      <c r="K92" t="n">
        <v>0</v>
      </c>
      <c r="L92" t="n">
        <v>0</v>
      </c>
      <c r="M92" t="n">
        <v>0</v>
      </c>
      <c r="N92" t="n">
        <v>0</v>
      </c>
      <c r="O92" t="n">
        <v>0</v>
      </c>
      <c r="P92" t="n">
        <v>0</v>
      </c>
      <c r="Q92" t="n">
        <v>0</v>
      </c>
      <c r="R92" s="2" t="inlineStr"/>
    </row>
    <row r="93" ht="15" customHeight="1">
      <c r="A93" t="inlineStr">
        <is>
          <t>A 13554-2019</t>
        </is>
      </c>
      <c r="B93" s="1" t="n">
        <v>43530</v>
      </c>
      <c r="C93" s="1" t="n">
        <v>45346</v>
      </c>
      <c r="D93" t="inlineStr">
        <is>
          <t>DALARNAS LÄN</t>
        </is>
      </c>
      <c r="E93" t="inlineStr">
        <is>
          <t>LEKSAND</t>
        </is>
      </c>
      <c r="G93" t="n">
        <v>2.2</v>
      </c>
      <c r="H93" t="n">
        <v>0</v>
      </c>
      <c r="I93" t="n">
        <v>0</v>
      </c>
      <c r="J93" t="n">
        <v>0</v>
      </c>
      <c r="K93" t="n">
        <v>0</v>
      </c>
      <c r="L93" t="n">
        <v>0</v>
      </c>
      <c r="M93" t="n">
        <v>0</v>
      </c>
      <c r="N93" t="n">
        <v>0</v>
      </c>
      <c r="O93" t="n">
        <v>0</v>
      </c>
      <c r="P93" t="n">
        <v>0</v>
      </c>
      <c r="Q93" t="n">
        <v>0</v>
      </c>
      <c r="R93" s="2" t="inlineStr"/>
    </row>
    <row r="94" ht="15" customHeight="1">
      <c r="A94" t="inlineStr">
        <is>
          <t>A 14501-2019</t>
        </is>
      </c>
      <c r="B94" s="1" t="n">
        <v>43535</v>
      </c>
      <c r="C94" s="1" t="n">
        <v>45346</v>
      </c>
      <c r="D94" t="inlineStr">
        <is>
          <t>DALARNAS LÄN</t>
        </is>
      </c>
      <c r="E94" t="inlineStr">
        <is>
          <t>LEKSAND</t>
        </is>
      </c>
      <c r="G94" t="n">
        <v>1.3</v>
      </c>
      <c r="H94" t="n">
        <v>0</v>
      </c>
      <c r="I94" t="n">
        <v>0</v>
      </c>
      <c r="J94" t="n">
        <v>0</v>
      </c>
      <c r="K94" t="n">
        <v>0</v>
      </c>
      <c r="L94" t="n">
        <v>0</v>
      </c>
      <c r="M94" t="n">
        <v>0</v>
      </c>
      <c r="N94" t="n">
        <v>0</v>
      </c>
      <c r="O94" t="n">
        <v>0</v>
      </c>
      <c r="P94" t="n">
        <v>0</v>
      </c>
      <c r="Q94" t="n">
        <v>0</v>
      </c>
      <c r="R94" s="2" t="inlineStr"/>
    </row>
    <row r="95" ht="15" customHeight="1">
      <c r="A95" t="inlineStr">
        <is>
          <t>A 17939-2019</t>
        </is>
      </c>
      <c r="B95" s="1" t="n">
        <v>43553</v>
      </c>
      <c r="C95" s="1" t="n">
        <v>45346</v>
      </c>
      <c r="D95" t="inlineStr">
        <is>
          <t>DALARNAS LÄN</t>
        </is>
      </c>
      <c r="E95" t="inlineStr">
        <is>
          <t>LEKSAND</t>
        </is>
      </c>
      <c r="G95" t="n">
        <v>3.9</v>
      </c>
      <c r="H95" t="n">
        <v>0</v>
      </c>
      <c r="I95" t="n">
        <v>0</v>
      </c>
      <c r="J95" t="n">
        <v>0</v>
      </c>
      <c r="K95" t="n">
        <v>0</v>
      </c>
      <c r="L95" t="n">
        <v>0</v>
      </c>
      <c r="M95" t="n">
        <v>0</v>
      </c>
      <c r="N95" t="n">
        <v>0</v>
      </c>
      <c r="O95" t="n">
        <v>0</v>
      </c>
      <c r="P95" t="n">
        <v>0</v>
      </c>
      <c r="Q95" t="n">
        <v>0</v>
      </c>
      <c r="R95" s="2" t="inlineStr"/>
    </row>
    <row r="96" ht="15" customHeight="1">
      <c r="A96" t="inlineStr">
        <is>
          <t>A 17822-2019</t>
        </is>
      </c>
      <c r="B96" s="1" t="n">
        <v>43556</v>
      </c>
      <c r="C96" s="1" t="n">
        <v>45346</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17967-2019</t>
        </is>
      </c>
      <c r="B97" s="1" t="n">
        <v>43557</v>
      </c>
      <c r="C97" s="1" t="n">
        <v>45346</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17970-2019</t>
        </is>
      </c>
      <c r="B98" s="1" t="n">
        <v>43557</v>
      </c>
      <c r="C98" s="1" t="n">
        <v>45346</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18238-2019</t>
        </is>
      </c>
      <c r="B99" s="1" t="n">
        <v>43558</v>
      </c>
      <c r="C99" s="1" t="n">
        <v>45346</v>
      </c>
      <c r="D99" t="inlineStr">
        <is>
          <t>DALARNAS LÄN</t>
        </is>
      </c>
      <c r="E99" t="inlineStr">
        <is>
          <t>LEKSAND</t>
        </is>
      </c>
      <c r="G99" t="n">
        <v>3.3</v>
      </c>
      <c r="H99" t="n">
        <v>0</v>
      </c>
      <c r="I99" t="n">
        <v>0</v>
      </c>
      <c r="J99" t="n">
        <v>0</v>
      </c>
      <c r="K99" t="n">
        <v>0</v>
      </c>
      <c r="L99" t="n">
        <v>0</v>
      </c>
      <c r="M99" t="n">
        <v>0</v>
      </c>
      <c r="N99" t="n">
        <v>0</v>
      </c>
      <c r="O99" t="n">
        <v>0</v>
      </c>
      <c r="P99" t="n">
        <v>0</v>
      </c>
      <c r="Q99" t="n">
        <v>0</v>
      </c>
      <c r="R99" s="2" t="inlineStr"/>
    </row>
    <row r="100" ht="15" customHeight="1">
      <c r="A100" t="inlineStr">
        <is>
          <t>A 19703-2019</t>
        </is>
      </c>
      <c r="B100" s="1" t="n">
        <v>43566</v>
      </c>
      <c r="C100" s="1" t="n">
        <v>45346</v>
      </c>
      <c r="D100" t="inlineStr">
        <is>
          <t>DALARNAS LÄN</t>
        </is>
      </c>
      <c r="E100" t="inlineStr">
        <is>
          <t>LEKSAND</t>
        </is>
      </c>
      <c r="G100" t="n">
        <v>0.4</v>
      </c>
      <c r="H100" t="n">
        <v>0</v>
      </c>
      <c r="I100" t="n">
        <v>0</v>
      </c>
      <c r="J100" t="n">
        <v>0</v>
      </c>
      <c r="K100" t="n">
        <v>0</v>
      </c>
      <c r="L100" t="n">
        <v>0</v>
      </c>
      <c r="M100" t="n">
        <v>0</v>
      </c>
      <c r="N100" t="n">
        <v>0</v>
      </c>
      <c r="O100" t="n">
        <v>0</v>
      </c>
      <c r="P100" t="n">
        <v>0</v>
      </c>
      <c r="Q100" t="n">
        <v>0</v>
      </c>
      <c r="R100" s="2" t="inlineStr"/>
    </row>
    <row r="101" ht="15" customHeight="1">
      <c r="A101" t="inlineStr">
        <is>
          <t>A 19790-2019</t>
        </is>
      </c>
      <c r="B101" s="1" t="n">
        <v>43566</v>
      </c>
      <c r="C101" s="1" t="n">
        <v>45346</v>
      </c>
      <c r="D101" t="inlineStr">
        <is>
          <t>DALARNAS LÄN</t>
        </is>
      </c>
      <c r="E101" t="inlineStr">
        <is>
          <t>LEKSAND</t>
        </is>
      </c>
      <c r="G101" t="n">
        <v>11.4</v>
      </c>
      <c r="H101" t="n">
        <v>0</v>
      </c>
      <c r="I101" t="n">
        <v>0</v>
      </c>
      <c r="J101" t="n">
        <v>0</v>
      </c>
      <c r="K101" t="n">
        <v>0</v>
      </c>
      <c r="L101" t="n">
        <v>0</v>
      </c>
      <c r="M101" t="n">
        <v>0</v>
      </c>
      <c r="N101" t="n">
        <v>0</v>
      </c>
      <c r="O101" t="n">
        <v>0</v>
      </c>
      <c r="P101" t="n">
        <v>0</v>
      </c>
      <c r="Q101" t="n">
        <v>0</v>
      </c>
      <c r="R101" s="2" t="inlineStr"/>
    </row>
    <row r="102" ht="15" customHeight="1">
      <c r="A102" t="inlineStr">
        <is>
          <t>A 22975-2019</t>
        </is>
      </c>
      <c r="B102" s="1" t="n">
        <v>43591</v>
      </c>
      <c r="C102" s="1" t="n">
        <v>45346</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24300-2019</t>
        </is>
      </c>
      <c r="B103" s="1" t="n">
        <v>43598</v>
      </c>
      <c r="C103" s="1" t="n">
        <v>45346</v>
      </c>
      <c r="D103" t="inlineStr">
        <is>
          <t>DALARNAS LÄN</t>
        </is>
      </c>
      <c r="E103" t="inlineStr">
        <is>
          <t>LEKSAND</t>
        </is>
      </c>
      <c r="G103" t="n">
        <v>0.5</v>
      </c>
      <c r="H103" t="n">
        <v>0</v>
      </c>
      <c r="I103" t="n">
        <v>0</v>
      </c>
      <c r="J103" t="n">
        <v>0</v>
      </c>
      <c r="K103" t="n">
        <v>0</v>
      </c>
      <c r="L103" t="n">
        <v>0</v>
      </c>
      <c r="M103" t="n">
        <v>0</v>
      </c>
      <c r="N103" t="n">
        <v>0</v>
      </c>
      <c r="O103" t="n">
        <v>0</v>
      </c>
      <c r="P103" t="n">
        <v>0</v>
      </c>
      <c r="Q103" t="n">
        <v>0</v>
      </c>
      <c r="R103" s="2" t="inlineStr"/>
    </row>
    <row r="104" ht="15" customHeight="1">
      <c r="A104" t="inlineStr">
        <is>
          <t>A 24051-2019</t>
        </is>
      </c>
      <c r="B104" s="1" t="n">
        <v>43598</v>
      </c>
      <c r="C104" s="1" t="n">
        <v>45346</v>
      </c>
      <c r="D104" t="inlineStr">
        <is>
          <t>DALARNAS LÄN</t>
        </is>
      </c>
      <c r="E104" t="inlineStr">
        <is>
          <t>LEKSAND</t>
        </is>
      </c>
      <c r="G104" t="n">
        <v>5.4</v>
      </c>
      <c r="H104" t="n">
        <v>0</v>
      </c>
      <c r="I104" t="n">
        <v>0</v>
      </c>
      <c r="J104" t="n">
        <v>0</v>
      </c>
      <c r="K104" t="n">
        <v>0</v>
      </c>
      <c r="L104" t="n">
        <v>0</v>
      </c>
      <c r="M104" t="n">
        <v>0</v>
      </c>
      <c r="N104" t="n">
        <v>0</v>
      </c>
      <c r="O104" t="n">
        <v>0</v>
      </c>
      <c r="P104" t="n">
        <v>0</v>
      </c>
      <c r="Q104" t="n">
        <v>0</v>
      </c>
      <c r="R104" s="2" t="inlineStr"/>
    </row>
    <row r="105" ht="15" customHeight="1">
      <c r="A105" t="inlineStr">
        <is>
          <t>A 24542-2019</t>
        </is>
      </c>
      <c r="B105" s="1" t="n">
        <v>43600</v>
      </c>
      <c r="C105" s="1" t="n">
        <v>45346</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32532-2019</t>
        </is>
      </c>
      <c r="B106" s="1" t="n">
        <v>43646</v>
      </c>
      <c r="C106" s="1" t="n">
        <v>45346</v>
      </c>
      <c r="D106" t="inlineStr">
        <is>
          <t>DALARNAS LÄN</t>
        </is>
      </c>
      <c r="E106" t="inlineStr">
        <is>
          <t>LEKSAND</t>
        </is>
      </c>
      <c r="G106" t="n">
        <v>3.1</v>
      </c>
      <c r="H106" t="n">
        <v>0</v>
      </c>
      <c r="I106" t="n">
        <v>0</v>
      </c>
      <c r="J106" t="n">
        <v>0</v>
      </c>
      <c r="K106" t="n">
        <v>0</v>
      </c>
      <c r="L106" t="n">
        <v>0</v>
      </c>
      <c r="M106" t="n">
        <v>0</v>
      </c>
      <c r="N106" t="n">
        <v>0</v>
      </c>
      <c r="O106" t="n">
        <v>0</v>
      </c>
      <c r="P106" t="n">
        <v>0</v>
      </c>
      <c r="Q106" t="n">
        <v>0</v>
      </c>
      <c r="R106" s="2" t="inlineStr"/>
    </row>
    <row r="107" ht="15" customHeight="1">
      <c r="A107" t="inlineStr">
        <is>
          <t>A 33903-2019</t>
        </is>
      </c>
      <c r="B107" s="1" t="n">
        <v>43654</v>
      </c>
      <c r="C107" s="1" t="n">
        <v>45346</v>
      </c>
      <c r="D107" t="inlineStr">
        <is>
          <t>DALARNAS LÄN</t>
        </is>
      </c>
      <c r="E107" t="inlineStr">
        <is>
          <t>LEKSAND</t>
        </is>
      </c>
      <c r="G107" t="n">
        <v>1.7</v>
      </c>
      <c r="H107" t="n">
        <v>0</v>
      </c>
      <c r="I107" t="n">
        <v>0</v>
      </c>
      <c r="J107" t="n">
        <v>0</v>
      </c>
      <c r="K107" t="n">
        <v>0</v>
      </c>
      <c r="L107" t="n">
        <v>0</v>
      </c>
      <c r="M107" t="n">
        <v>0</v>
      </c>
      <c r="N107" t="n">
        <v>0</v>
      </c>
      <c r="O107" t="n">
        <v>0</v>
      </c>
      <c r="P107" t="n">
        <v>0</v>
      </c>
      <c r="Q107" t="n">
        <v>0</v>
      </c>
      <c r="R107" s="2" t="inlineStr"/>
    </row>
    <row r="108" ht="15" customHeight="1">
      <c r="A108" t="inlineStr">
        <is>
          <t>A 36014-2019</t>
        </is>
      </c>
      <c r="B108" s="1" t="n">
        <v>43657</v>
      </c>
      <c r="C108" s="1" t="n">
        <v>45346</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36023-2019</t>
        </is>
      </c>
      <c r="B109" s="1" t="n">
        <v>43657</v>
      </c>
      <c r="C109" s="1" t="n">
        <v>45346</v>
      </c>
      <c r="D109" t="inlineStr">
        <is>
          <t>DALARNAS LÄN</t>
        </is>
      </c>
      <c r="E109" t="inlineStr">
        <is>
          <t>LEKSAND</t>
        </is>
      </c>
      <c r="G109" t="n">
        <v>1.5</v>
      </c>
      <c r="H109" t="n">
        <v>0</v>
      </c>
      <c r="I109" t="n">
        <v>0</v>
      </c>
      <c r="J109" t="n">
        <v>0</v>
      </c>
      <c r="K109" t="n">
        <v>0</v>
      </c>
      <c r="L109" t="n">
        <v>0</v>
      </c>
      <c r="M109" t="n">
        <v>0</v>
      </c>
      <c r="N109" t="n">
        <v>0</v>
      </c>
      <c r="O109" t="n">
        <v>0</v>
      </c>
      <c r="P109" t="n">
        <v>0</v>
      </c>
      <c r="Q109" t="n">
        <v>0</v>
      </c>
      <c r="R109" s="2" t="inlineStr"/>
    </row>
    <row r="110" ht="15" customHeight="1">
      <c r="A110" t="inlineStr">
        <is>
          <t>A 36287-2019</t>
        </is>
      </c>
      <c r="B110" s="1" t="n">
        <v>43669</v>
      </c>
      <c r="C110" s="1" t="n">
        <v>45346</v>
      </c>
      <c r="D110" t="inlineStr">
        <is>
          <t>DALARNAS LÄN</t>
        </is>
      </c>
      <c r="E110" t="inlineStr">
        <is>
          <t>LEKSAND</t>
        </is>
      </c>
      <c r="G110" t="n">
        <v>1.1</v>
      </c>
      <c r="H110" t="n">
        <v>0</v>
      </c>
      <c r="I110" t="n">
        <v>0</v>
      </c>
      <c r="J110" t="n">
        <v>0</v>
      </c>
      <c r="K110" t="n">
        <v>0</v>
      </c>
      <c r="L110" t="n">
        <v>0</v>
      </c>
      <c r="M110" t="n">
        <v>0</v>
      </c>
      <c r="N110" t="n">
        <v>0</v>
      </c>
      <c r="O110" t="n">
        <v>0</v>
      </c>
      <c r="P110" t="n">
        <v>0</v>
      </c>
      <c r="Q110" t="n">
        <v>0</v>
      </c>
      <c r="R110" s="2" t="inlineStr"/>
    </row>
    <row r="111" ht="15" customHeight="1">
      <c r="A111" t="inlineStr">
        <is>
          <t>A 37733-2019</t>
        </is>
      </c>
      <c r="B111" s="1" t="n">
        <v>43682</v>
      </c>
      <c r="C111" s="1" t="n">
        <v>45346</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37822-2019</t>
        </is>
      </c>
      <c r="B112" s="1" t="n">
        <v>43682</v>
      </c>
      <c r="C112" s="1" t="n">
        <v>45346</v>
      </c>
      <c r="D112" t="inlineStr">
        <is>
          <t>DALARNAS LÄN</t>
        </is>
      </c>
      <c r="E112" t="inlineStr">
        <is>
          <t>LEKSAND</t>
        </is>
      </c>
      <c r="G112" t="n">
        <v>8.9</v>
      </c>
      <c r="H112" t="n">
        <v>0</v>
      </c>
      <c r="I112" t="n">
        <v>0</v>
      </c>
      <c r="J112" t="n">
        <v>0</v>
      </c>
      <c r="K112" t="n">
        <v>0</v>
      </c>
      <c r="L112" t="n">
        <v>0</v>
      </c>
      <c r="M112" t="n">
        <v>0</v>
      </c>
      <c r="N112" t="n">
        <v>0</v>
      </c>
      <c r="O112" t="n">
        <v>0</v>
      </c>
      <c r="P112" t="n">
        <v>0</v>
      </c>
      <c r="Q112" t="n">
        <v>0</v>
      </c>
      <c r="R112" s="2" t="inlineStr"/>
    </row>
    <row r="113" ht="15" customHeight="1">
      <c r="A113" t="inlineStr">
        <is>
          <t>A 38350-2019</t>
        </is>
      </c>
      <c r="B113" s="1" t="n">
        <v>43685</v>
      </c>
      <c r="C113" s="1" t="n">
        <v>45346</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39025-2019</t>
        </is>
      </c>
      <c r="B114" s="1" t="n">
        <v>43689</v>
      </c>
      <c r="C114" s="1" t="n">
        <v>45346</v>
      </c>
      <c r="D114" t="inlineStr">
        <is>
          <t>DALARNAS LÄN</t>
        </is>
      </c>
      <c r="E114" t="inlineStr">
        <is>
          <t>LEKSAND</t>
        </is>
      </c>
      <c r="F114" t="inlineStr">
        <is>
          <t>Bergvik skog väst AB</t>
        </is>
      </c>
      <c r="G114" t="n">
        <v>10.1</v>
      </c>
      <c r="H114" t="n">
        <v>0</v>
      </c>
      <c r="I114" t="n">
        <v>0</v>
      </c>
      <c r="J114" t="n">
        <v>0</v>
      </c>
      <c r="K114" t="n">
        <v>0</v>
      </c>
      <c r="L114" t="n">
        <v>0</v>
      </c>
      <c r="M114" t="n">
        <v>0</v>
      </c>
      <c r="N114" t="n">
        <v>0</v>
      </c>
      <c r="O114" t="n">
        <v>0</v>
      </c>
      <c r="P114" t="n">
        <v>0</v>
      </c>
      <c r="Q114" t="n">
        <v>0</v>
      </c>
      <c r="R114" s="2" t="inlineStr"/>
    </row>
    <row r="115" ht="15" customHeight="1">
      <c r="A115" t="inlineStr">
        <is>
          <t>A 41329-2019</t>
        </is>
      </c>
      <c r="B115" s="1" t="n">
        <v>43698</v>
      </c>
      <c r="C115" s="1" t="n">
        <v>45346</v>
      </c>
      <c r="D115" t="inlineStr">
        <is>
          <t>DALARNAS LÄN</t>
        </is>
      </c>
      <c r="E115" t="inlineStr">
        <is>
          <t>LEKSAND</t>
        </is>
      </c>
      <c r="G115" t="n">
        <v>2</v>
      </c>
      <c r="H115" t="n">
        <v>0</v>
      </c>
      <c r="I115" t="n">
        <v>0</v>
      </c>
      <c r="J115" t="n">
        <v>0</v>
      </c>
      <c r="K115" t="n">
        <v>0</v>
      </c>
      <c r="L115" t="n">
        <v>0</v>
      </c>
      <c r="M115" t="n">
        <v>0</v>
      </c>
      <c r="N115" t="n">
        <v>0</v>
      </c>
      <c r="O115" t="n">
        <v>0</v>
      </c>
      <c r="P115" t="n">
        <v>0</v>
      </c>
      <c r="Q115" t="n">
        <v>0</v>
      </c>
      <c r="R115" s="2" t="inlineStr"/>
    </row>
    <row r="116" ht="15" customHeight="1">
      <c r="A116" t="inlineStr">
        <is>
          <t>A 43082-2019</t>
        </is>
      </c>
      <c r="B116" s="1" t="n">
        <v>43705</v>
      </c>
      <c r="C116" s="1" t="n">
        <v>45346</v>
      </c>
      <c r="D116" t="inlineStr">
        <is>
          <t>DALARNAS LÄN</t>
        </is>
      </c>
      <c r="E116" t="inlineStr">
        <is>
          <t>LEKSAND</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43887-2019</t>
        </is>
      </c>
      <c r="B117" s="1" t="n">
        <v>43707</v>
      </c>
      <c r="C117" s="1" t="n">
        <v>45346</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43884-2019</t>
        </is>
      </c>
      <c r="B118" s="1" t="n">
        <v>43707</v>
      </c>
      <c r="C118" s="1" t="n">
        <v>45346</v>
      </c>
      <c r="D118" t="inlineStr">
        <is>
          <t>DALARNAS LÄN</t>
        </is>
      </c>
      <c r="E118" t="inlineStr">
        <is>
          <t>LEKSAND</t>
        </is>
      </c>
      <c r="F118" t="inlineStr">
        <is>
          <t>Övriga Aktiebolag</t>
        </is>
      </c>
      <c r="G118" t="n">
        <v>1.4</v>
      </c>
      <c r="H118" t="n">
        <v>0</v>
      </c>
      <c r="I118" t="n">
        <v>0</v>
      </c>
      <c r="J118" t="n">
        <v>0</v>
      </c>
      <c r="K118" t="n">
        <v>0</v>
      </c>
      <c r="L118" t="n">
        <v>0</v>
      </c>
      <c r="M118" t="n">
        <v>0</v>
      </c>
      <c r="N118" t="n">
        <v>0</v>
      </c>
      <c r="O118" t="n">
        <v>0</v>
      </c>
      <c r="P118" t="n">
        <v>0</v>
      </c>
      <c r="Q118" t="n">
        <v>0</v>
      </c>
      <c r="R118" s="2" t="inlineStr"/>
    </row>
    <row r="119" ht="15" customHeight="1">
      <c r="A119" t="inlineStr">
        <is>
          <t>A 44058-2019</t>
        </is>
      </c>
      <c r="B119" s="1" t="n">
        <v>43710</v>
      </c>
      <c r="C119" s="1" t="n">
        <v>45346</v>
      </c>
      <c r="D119" t="inlineStr">
        <is>
          <t>DALARNAS LÄN</t>
        </is>
      </c>
      <c r="E119" t="inlineStr">
        <is>
          <t>LEKSAND</t>
        </is>
      </c>
      <c r="F119" t="inlineStr">
        <is>
          <t>Kyrkan</t>
        </is>
      </c>
      <c r="G119" t="n">
        <v>1.3</v>
      </c>
      <c r="H119" t="n">
        <v>0</v>
      </c>
      <c r="I119" t="n">
        <v>0</v>
      </c>
      <c r="J119" t="n">
        <v>0</v>
      </c>
      <c r="K119" t="n">
        <v>0</v>
      </c>
      <c r="L119" t="n">
        <v>0</v>
      </c>
      <c r="M119" t="n">
        <v>0</v>
      </c>
      <c r="N119" t="n">
        <v>0</v>
      </c>
      <c r="O119" t="n">
        <v>0</v>
      </c>
      <c r="P119" t="n">
        <v>0</v>
      </c>
      <c r="Q119" t="n">
        <v>0</v>
      </c>
      <c r="R119" s="2" t="inlineStr"/>
    </row>
    <row r="120" ht="15" customHeight="1">
      <c r="A120" t="inlineStr">
        <is>
          <t>A 45526-2019</t>
        </is>
      </c>
      <c r="B120" s="1" t="n">
        <v>43714</v>
      </c>
      <c r="C120" s="1" t="n">
        <v>45346</v>
      </c>
      <c r="D120" t="inlineStr">
        <is>
          <t>DALARNAS LÄN</t>
        </is>
      </c>
      <c r="E120" t="inlineStr">
        <is>
          <t>LEKSAND</t>
        </is>
      </c>
      <c r="F120" t="inlineStr">
        <is>
          <t>Bergvik skog väst AB</t>
        </is>
      </c>
      <c r="G120" t="n">
        <v>5.9</v>
      </c>
      <c r="H120" t="n">
        <v>0</v>
      </c>
      <c r="I120" t="n">
        <v>0</v>
      </c>
      <c r="J120" t="n">
        <v>0</v>
      </c>
      <c r="K120" t="n">
        <v>0</v>
      </c>
      <c r="L120" t="n">
        <v>0</v>
      </c>
      <c r="M120" t="n">
        <v>0</v>
      </c>
      <c r="N120" t="n">
        <v>0</v>
      </c>
      <c r="O120" t="n">
        <v>0</v>
      </c>
      <c r="P120" t="n">
        <v>0</v>
      </c>
      <c r="Q120" t="n">
        <v>0</v>
      </c>
      <c r="R120" s="2" t="inlineStr"/>
    </row>
    <row r="121" ht="15" customHeight="1">
      <c r="A121" t="inlineStr">
        <is>
          <t>A 45572-2019</t>
        </is>
      </c>
      <c r="B121" s="1" t="n">
        <v>43716</v>
      </c>
      <c r="C121" s="1" t="n">
        <v>45346</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46739-2019</t>
        </is>
      </c>
      <c r="B122" s="1" t="n">
        <v>43719</v>
      </c>
      <c r="C122" s="1" t="n">
        <v>45346</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46740-2019</t>
        </is>
      </c>
      <c r="B123" s="1" t="n">
        <v>43719</v>
      </c>
      <c r="C123" s="1" t="n">
        <v>45346</v>
      </c>
      <c r="D123" t="inlineStr">
        <is>
          <t>DALARNAS LÄN</t>
        </is>
      </c>
      <c r="E123" t="inlineStr">
        <is>
          <t>LEKSAND</t>
        </is>
      </c>
      <c r="G123" t="n">
        <v>0.3</v>
      </c>
      <c r="H123" t="n">
        <v>0</v>
      </c>
      <c r="I123" t="n">
        <v>0</v>
      </c>
      <c r="J123" t="n">
        <v>0</v>
      </c>
      <c r="K123" t="n">
        <v>0</v>
      </c>
      <c r="L123" t="n">
        <v>0</v>
      </c>
      <c r="M123" t="n">
        <v>0</v>
      </c>
      <c r="N123" t="n">
        <v>0</v>
      </c>
      <c r="O123" t="n">
        <v>0</v>
      </c>
      <c r="P123" t="n">
        <v>0</v>
      </c>
      <c r="Q123" t="n">
        <v>0</v>
      </c>
      <c r="R123" s="2" t="inlineStr"/>
    </row>
    <row r="124" ht="15" customHeight="1">
      <c r="A124" t="inlineStr">
        <is>
          <t>A 47532-2019</t>
        </is>
      </c>
      <c r="B124" s="1" t="n">
        <v>43724</v>
      </c>
      <c r="C124" s="1" t="n">
        <v>45346</v>
      </c>
      <c r="D124" t="inlineStr">
        <is>
          <t>DALARNAS LÄN</t>
        </is>
      </c>
      <c r="E124" t="inlineStr">
        <is>
          <t>LEKSAND</t>
        </is>
      </c>
      <c r="G124" t="n">
        <v>2.3</v>
      </c>
      <c r="H124" t="n">
        <v>0</v>
      </c>
      <c r="I124" t="n">
        <v>0</v>
      </c>
      <c r="J124" t="n">
        <v>0</v>
      </c>
      <c r="K124" t="n">
        <v>0</v>
      </c>
      <c r="L124" t="n">
        <v>0</v>
      </c>
      <c r="M124" t="n">
        <v>0</v>
      </c>
      <c r="N124" t="n">
        <v>0</v>
      </c>
      <c r="O124" t="n">
        <v>0</v>
      </c>
      <c r="P124" t="n">
        <v>0</v>
      </c>
      <c r="Q124" t="n">
        <v>0</v>
      </c>
      <c r="R124" s="2" t="inlineStr"/>
    </row>
    <row r="125" ht="15" customHeight="1">
      <c r="A125" t="inlineStr">
        <is>
          <t>A 49132-2019</t>
        </is>
      </c>
      <c r="B125" s="1" t="n">
        <v>43728</v>
      </c>
      <c r="C125" s="1" t="n">
        <v>45346</v>
      </c>
      <c r="D125" t="inlineStr">
        <is>
          <t>DALARNAS LÄN</t>
        </is>
      </c>
      <c r="E125" t="inlineStr">
        <is>
          <t>LEKSAND</t>
        </is>
      </c>
      <c r="G125" t="n">
        <v>1.9</v>
      </c>
      <c r="H125" t="n">
        <v>0</v>
      </c>
      <c r="I125" t="n">
        <v>0</v>
      </c>
      <c r="J125" t="n">
        <v>0</v>
      </c>
      <c r="K125" t="n">
        <v>0</v>
      </c>
      <c r="L125" t="n">
        <v>0</v>
      </c>
      <c r="M125" t="n">
        <v>0</v>
      </c>
      <c r="N125" t="n">
        <v>0</v>
      </c>
      <c r="O125" t="n">
        <v>0</v>
      </c>
      <c r="P125" t="n">
        <v>0</v>
      </c>
      <c r="Q125" t="n">
        <v>0</v>
      </c>
      <c r="R125" s="2" t="inlineStr"/>
    </row>
    <row r="126" ht="15" customHeight="1">
      <c r="A126" t="inlineStr">
        <is>
          <t>A 51390-2019</t>
        </is>
      </c>
      <c r="B126" s="1" t="n">
        <v>43733</v>
      </c>
      <c r="C126" s="1" t="n">
        <v>45346</v>
      </c>
      <c r="D126" t="inlineStr">
        <is>
          <t>DALARNAS LÄN</t>
        </is>
      </c>
      <c r="E126" t="inlineStr">
        <is>
          <t>LEKSAND</t>
        </is>
      </c>
      <c r="G126" t="n">
        <v>4.7</v>
      </c>
      <c r="H126" t="n">
        <v>0</v>
      </c>
      <c r="I126" t="n">
        <v>0</v>
      </c>
      <c r="J126" t="n">
        <v>0</v>
      </c>
      <c r="K126" t="n">
        <v>0</v>
      </c>
      <c r="L126" t="n">
        <v>0</v>
      </c>
      <c r="M126" t="n">
        <v>0</v>
      </c>
      <c r="N126" t="n">
        <v>0</v>
      </c>
      <c r="O126" t="n">
        <v>0</v>
      </c>
      <c r="P126" t="n">
        <v>0</v>
      </c>
      <c r="Q126" t="n">
        <v>0</v>
      </c>
      <c r="R126" s="2" t="inlineStr"/>
    </row>
    <row r="127" ht="15" customHeight="1">
      <c r="A127" t="inlineStr">
        <is>
          <t>A 50532-2019</t>
        </is>
      </c>
      <c r="B127" s="1" t="n">
        <v>43735</v>
      </c>
      <c r="C127" s="1" t="n">
        <v>45346</v>
      </c>
      <c r="D127" t="inlineStr">
        <is>
          <t>DALARNAS LÄN</t>
        </is>
      </c>
      <c r="E127" t="inlineStr">
        <is>
          <t>LEKSAND</t>
        </is>
      </c>
      <c r="F127" t="inlineStr">
        <is>
          <t>Kyrkan</t>
        </is>
      </c>
      <c r="G127" t="n">
        <v>1.3</v>
      </c>
      <c r="H127" t="n">
        <v>0</v>
      </c>
      <c r="I127" t="n">
        <v>0</v>
      </c>
      <c r="J127" t="n">
        <v>0</v>
      </c>
      <c r="K127" t="n">
        <v>0</v>
      </c>
      <c r="L127" t="n">
        <v>0</v>
      </c>
      <c r="M127" t="n">
        <v>0</v>
      </c>
      <c r="N127" t="n">
        <v>0</v>
      </c>
      <c r="O127" t="n">
        <v>0</v>
      </c>
      <c r="P127" t="n">
        <v>0</v>
      </c>
      <c r="Q127" t="n">
        <v>0</v>
      </c>
      <c r="R127" s="2" t="inlineStr"/>
    </row>
    <row r="128" ht="15" customHeight="1">
      <c r="A128" t="inlineStr">
        <is>
          <t>A 52130-2019</t>
        </is>
      </c>
      <c r="B128" s="1" t="n">
        <v>43735</v>
      </c>
      <c r="C128" s="1" t="n">
        <v>45346</v>
      </c>
      <c r="D128" t="inlineStr">
        <is>
          <t>DALARNAS LÄN</t>
        </is>
      </c>
      <c r="E128" t="inlineStr">
        <is>
          <t>LEKSAND</t>
        </is>
      </c>
      <c r="G128" t="n">
        <v>0.8</v>
      </c>
      <c r="H128" t="n">
        <v>0</v>
      </c>
      <c r="I128" t="n">
        <v>0</v>
      </c>
      <c r="J128" t="n">
        <v>0</v>
      </c>
      <c r="K128" t="n">
        <v>0</v>
      </c>
      <c r="L128" t="n">
        <v>0</v>
      </c>
      <c r="M128" t="n">
        <v>0</v>
      </c>
      <c r="N128" t="n">
        <v>0</v>
      </c>
      <c r="O128" t="n">
        <v>0</v>
      </c>
      <c r="P128" t="n">
        <v>0</v>
      </c>
      <c r="Q128" t="n">
        <v>0</v>
      </c>
      <c r="R128" s="2" t="inlineStr"/>
    </row>
    <row r="129" ht="15" customHeight="1">
      <c r="A129" t="inlineStr">
        <is>
          <t>A 52827-2019</t>
        </is>
      </c>
      <c r="B129" s="1" t="n">
        <v>43746</v>
      </c>
      <c r="C129" s="1" t="n">
        <v>45346</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52957-2019</t>
        </is>
      </c>
      <c r="B130" s="1" t="n">
        <v>43747</v>
      </c>
      <c r="C130" s="1" t="n">
        <v>45346</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53553-2019</t>
        </is>
      </c>
      <c r="B131" s="1" t="n">
        <v>43749</v>
      </c>
      <c r="C131" s="1" t="n">
        <v>45346</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56844-2019</t>
        </is>
      </c>
      <c r="B132" s="1" t="n">
        <v>43765</v>
      </c>
      <c r="C132" s="1" t="n">
        <v>45346</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57221-2019</t>
        </is>
      </c>
      <c r="B133" s="1" t="n">
        <v>43767</v>
      </c>
      <c r="C133" s="1" t="n">
        <v>45346</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58237-2019</t>
        </is>
      </c>
      <c r="B134" s="1" t="n">
        <v>43770</v>
      </c>
      <c r="C134" s="1" t="n">
        <v>45346</v>
      </c>
      <c r="D134" t="inlineStr">
        <is>
          <t>DALARNAS LÄN</t>
        </is>
      </c>
      <c r="E134" t="inlineStr">
        <is>
          <t>LEKSAND</t>
        </is>
      </c>
      <c r="G134" t="n">
        <v>2.5</v>
      </c>
      <c r="H134" t="n">
        <v>0</v>
      </c>
      <c r="I134" t="n">
        <v>0</v>
      </c>
      <c r="J134" t="n">
        <v>0</v>
      </c>
      <c r="K134" t="n">
        <v>0</v>
      </c>
      <c r="L134" t="n">
        <v>0</v>
      </c>
      <c r="M134" t="n">
        <v>0</v>
      </c>
      <c r="N134" t="n">
        <v>0</v>
      </c>
      <c r="O134" t="n">
        <v>0</v>
      </c>
      <c r="P134" t="n">
        <v>0</v>
      </c>
      <c r="Q134" t="n">
        <v>0</v>
      </c>
      <c r="R134" s="2" t="inlineStr"/>
    </row>
    <row r="135" ht="15" customHeight="1">
      <c r="A135" t="inlineStr">
        <is>
          <t>A 59714-2019</t>
        </is>
      </c>
      <c r="B135" s="1" t="n">
        <v>43776</v>
      </c>
      <c r="C135" s="1" t="n">
        <v>45346</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59721-2019</t>
        </is>
      </c>
      <c r="B136" s="1" t="n">
        <v>43776</v>
      </c>
      <c r="C136" s="1" t="n">
        <v>45346</v>
      </c>
      <c r="D136" t="inlineStr">
        <is>
          <t>DALARNAS LÄN</t>
        </is>
      </c>
      <c r="E136" t="inlineStr">
        <is>
          <t>LEKSAND</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60809-2019</t>
        </is>
      </c>
      <c r="B137" s="1" t="n">
        <v>43780</v>
      </c>
      <c r="C137" s="1" t="n">
        <v>45346</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61111-2019</t>
        </is>
      </c>
      <c r="B138" s="1" t="n">
        <v>43782</v>
      </c>
      <c r="C138" s="1" t="n">
        <v>45346</v>
      </c>
      <c r="D138" t="inlineStr">
        <is>
          <t>DALARNAS LÄN</t>
        </is>
      </c>
      <c r="E138" t="inlineStr">
        <is>
          <t>LEKSAND</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61113-2019</t>
        </is>
      </c>
      <c r="B139" s="1" t="n">
        <v>43782</v>
      </c>
      <c r="C139" s="1" t="n">
        <v>45346</v>
      </c>
      <c r="D139" t="inlineStr">
        <is>
          <t>DALARNAS LÄN</t>
        </is>
      </c>
      <c r="E139" t="inlineStr">
        <is>
          <t>LEKSAND</t>
        </is>
      </c>
      <c r="F139" t="inlineStr">
        <is>
          <t>Bergvik skog väst AB</t>
        </is>
      </c>
      <c r="G139" t="n">
        <v>0.2</v>
      </c>
      <c r="H139" t="n">
        <v>0</v>
      </c>
      <c r="I139" t="n">
        <v>0</v>
      </c>
      <c r="J139" t="n">
        <v>0</v>
      </c>
      <c r="K139" t="n">
        <v>0</v>
      </c>
      <c r="L139" t="n">
        <v>0</v>
      </c>
      <c r="M139" t="n">
        <v>0</v>
      </c>
      <c r="N139" t="n">
        <v>0</v>
      </c>
      <c r="O139" t="n">
        <v>0</v>
      </c>
      <c r="P139" t="n">
        <v>0</v>
      </c>
      <c r="Q139" t="n">
        <v>0</v>
      </c>
      <c r="R139" s="2" t="inlineStr"/>
    </row>
    <row r="140" ht="15" customHeight="1">
      <c r="A140" t="inlineStr">
        <is>
          <t>A 64635-2019</t>
        </is>
      </c>
      <c r="B140" s="1" t="n">
        <v>43794</v>
      </c>
      <c r="C140" s="1" t="n">
        <v>45346</v>
      </c>
      <c r="D140" t="inlineStr">
        <is>
          <t>DALARNAS LÄN</t>
        </is>
      </c>
      <c r="E140" t="inlineStr">
        <is>
          <t>LEKSAND</t>
        </is>
      </c>
      <c r="G140" t="n">
        <v>5.4</v>
      </c>
      <c r="H140" t="n">
        <v>0</v>
      </c>
      <c r="I140" t="n">
        <v>0</v>
      </c>
      <c r="J140" t="n">
        <v>0</v>
      </c>
      <c r="K140" t="n">
        <v>0</v>
      </c>
      <c r="L140" t="n">
        <v>0</v>
      </c>
      <c r="M140" t="n">
        <v>0</v>
      </c>
      <c r="N140" t="n">
        <v>0</v>
      </c>
      <c r="O140" t="n">
        <v>0</v>
      </c>
      <c r="P140" t="n">
        <v>0</v>
      </c>
      <c r="Q140" t="n">
        <v>0</v>
      </c>
      <c r="R140" s="2" t="inlineStr"/>
    </row>
    <row r="141" ht="15" customHeight="1">
      <c r="A141" t="inlineStr">
        <is>
          <t>A 66288-2019</t>
        </is>
      </c>
      <c r="B141" s="1" t="n">
        <v>43808</v>
      </c>
      <c r="C141" s="1" t="n">
        <v>45346</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66822-2019</t>
        </is>
      </c>
      <c r="B142" s="1" t="n">
        <v>43810</v>
      </c>
      <c r="C142" s="1" t="n">
        <v>45346</v>
      </c>
      <c r="D142" t="inlineStr">
        <is>
          <t>DALARNAS LÄN</t>
        </is>
      </c>
      <c r="E142" t="inlineStr">
        <is>
          <t>LEKSAND</t>
        </is>
      </c>
      <c r="G142" t="n">
        <v>5.2</v>
      </c>
      <c r="H142" t="n">
        <v>0</v>
      </c>
      <c r="I142" t="n">
        <v>0</v>
      </c>
      <c r="J142" t="n">
        <v>0</v>
      </c>
      <c r="K142" t="n">
        <v>0</v>
      </c>
      <c r="L142" t="n">
        <v>0</v>
      </c>
      <c r="M142" t="n">
        <v>0</v>
      </c>
      <c r="N142" t="n">
        <v>0</v>
      </c>
      <c r="O142" t="n">
        <v>0</v>
      </c>
      <c r="P142" t="n">
        <v>0</v>
      </c>
      <c r="Q142" t="n">
        <v>0</v>
      </c>
      <c r="R142" s="2" t="inlineStr"/>
    </row>
    <row r="143" ht="15" customHeight="1">
      <c r="A143" t="inlineStr">
        <is>
          <t>A 67123-2019</t>
        </is>
      </c>
      <c r="B143" s="1" t="n">
        <v>43811</v>
      </c>
      <c r="C143" s="1" t="n">
        <v>45346</v>
      </c>
      <c r="D143" t="inlineStr">
        <is>
          <t>DALARNAS LÄN</t>
        </is>
      </c>
      <c r="E143" t="inlineStr">
        <is>
          <t>LEKSAND</t>
        </is>
      </c>
      <c r="G143" t="n">
        <v>2.1</v>
      </c>
      <c r="H143" t="n">
        <v>0</v>
      </c>
      <c r="I143" t="n">
        <v>0</v>
      </c>
      <c r="J143" t="n">
        <v>0</v>
      </c>
      <c r="K143" t="n">
        <v>0</v>
      </c>
      <c r="L143" t="n">
        <v>0</v>
      </c>
      <c r="M143" t="n">
        <v>0</v>
      </c>
      <c r="N143" t="n">
        <v>0</v>
      </c>
      <c r="O143" t="n">
        <v>0</v>
      </c>
      <c r="P143" t="n">
        <v>0</v>
      </c>
      <c r="Q143" t="n">
        <v>0</v>
      </c>
      <c r="R143" s="2" t="inlineStr"/>
    </row>
    <row r="144" ht="15" customHeight="1">
      <c r="A144" t="inlineStr">
        <is>
          <t>A 68808-2019</t>
        </is>
      </c>
      <c r="B144" s="1" t="n">
        <v>43815</v>
      </c>
      <c r="C144" s="1" t="n">
        <v>45346</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1604-2020</t>
        </is>
      </c>
      <c r="B145" s="1" t="n">
        <v>43829</v>
      </c>
      <c r="C145" s="1" t="n">
        <v>45346</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1915-2020</t>
        </is>
      </c>
      <c r="B146" s="1" t="n">
        <v>43837</v>
      </c>
      <c r="C146" s="1" t="n">
        <v>45346</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1778-2020</t>
        </is>
      </c>
      <c r="B147" s="1" t="n">
        <v>43844</v>
      </c>
      <c r="C147" s="1" t="n">
        <v>45346</v>
      </c>
      <c r="D147" t="inlineStr">
        <is>
          <t>DALARNAS LÄN</t>
        </is>
      </c>
      <c r="E147" t="inlineStr">
        <is>
          <t>LEKSAND</t>
        </is>
      </c>
      <c r="G147" t="n">
        <v>1.3</v>
      </c>
      <c r="H147" t="n">
        <v>0</v>
      </c>
      <c r="I147" t="n">
        <v>0</v>
      </c>
      <c r="J147" t="n">
        <v>0</v>
      </c>
      <c r="K147" t="n">
        <v>0</v>
      </c>
      <c r="L147" t="n">
        <v>0</v>
      </c>
      <c r="M147" t="n">
        <v>0</v>
      </c>
      <c r="N147" t="n">
        <v>0</v>
      </c>
      <c r="O147" t="n">
        <v>0</v>
      </c>
      <c r="P147" t="n">
        <v>0</v>
      </c>
      <c r="Q147" t="n">
        <v>0</v>
      </c>
      <c r="R147" s="2" t="inlineStr"/>
    </row>
    <row r="148" ht="15" customHeight="1">
      <c r="A148" t="inlineStr">
        <is>
          <t>A 2670-2020</t>
        </is>
      </c>
      <c r="B148" s="1" t="n">
        <v>43849</v>
      </c>
      <c r="C148" s="1" t="n">
        <v>45346</v>
      </c>
      <c r="D148" t="inlineStr">
        <is>
          <t>DALARNAS LÄN</t>
        </is>
      </c>
      <c r="E148" t="inlineStr">
        <is>
          <t>LEKSAND</t>
        </is>
      </c>
      <c r="G148" t="n">
        <v>2.4</v>
      </c>
      <c r="H148" t="n">
        <v>0</v>
      </c>
      <c r="I148" t="n">
        <v>0</v>
      </c>
      <c r="J148" t="n">
        <v>0</v>
      </c>
      <c r="K148" t="n">
        <v>0</v>
      </c>
      <c r="L148" t="n">
        <v>0</v>
      </c>
      <c r="M148" t="n">
        <v>0</v>
      </c>
      <c r="N148" t="n">
        <v>0</v>
      </c>
      <c r="O148" t="n">
        <v>0</v>
      </c>
      <c r="P148" t="n">
        <v>0</v>
      </c>
      <c r="Q148" t="n">
        <v>0</v>
      </c>
      <c r="R148" s="2" t="inlineStr"/>
    </row>
    <row r="149" ht="15" customHeight="1">
      <c r="A149" t="inlineStr">
        <is>
          <t>A 4479-2020</t>
        </is>
      </c>
      <c r="B149" s="1" t="n">
        <v>43850</v>
      </c>
      <c r="C149" s="1" t="n">
        <v>45346</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4004-2020</t>
        </is>
      </c>
      <c r="B150" s="1" t="n">
        <v>43856</v>
      </c>
      <c r="C150" s="1" t="n">
        <v>45346</v>
      </c>
      <c r="D150" t="inlineStr">
        <is>
          <t>DALARNAS LÄN</t>
        </is>
      </c>
      <c r="E150" t="inlineStr">
        <is>
          <t>LEKSAND</t>
        </is>
      </c>
      <c r="G150" t="n">
        <v>6</v>
      </c>
      <c r="H150" t="n">
        <v>0</v>
      </c>
      <c r="I150" t="n">
        <v>0</v>
      </c>
      <c r="J150" t="n">
        <v>0</v>
      </c>
      <c r="K150" t="n">
        <v>0</v>
      </c>
      <c r="L150" t="n">
        <v>0</v>
      </c>
      <c r="M150" t="n">
        <v>0</v>
      </c>
      <c r="N150" t="n">
        <v>0</v>
      </c>
      <c r="O150" t="n">
        <v>0</v>
      </c>
      <c r="P150" t="n">
        <v>0</v>
      </c>
      <c r="Q150" t="n">
        <v>0</v>
      </c>
      <c r="R150" s="2" t="inlineStr"/>
    </row>
    <row r="151" ht="15" customHeight="1">
      <c r="A151" t="inlineStr">
        <is>
          <t>A 6002-2020</t>
        </is>
      </c>
      <c r="B151" s="1" t="n">
        <v>43864</v>
      </c>
      <c r="C151" s="1" t="n">
        <v>45346</v>
      </c>
      <c r="D151" t="inlineStr">
        <is>
          <t>DALARNAS LÄN</t>
        </is>
      </c>
      <c r="E151" t="inlineStr">
        <is>
          <t>LEKSAND</t>
        </is>
      </c>
      <c r="G151" t="n">
        <v>0.6</v>
      </c>
      <c r="H151" t="n">
        <v>0</v>
      </c>
      <c r="I151" t="n">
        <v>0</v>
      </c>
      <c r="J151" t="n">
        <v>0</v>
      </c>
      <c r="K151" t="n">
        <v>0</v>
      </c>
      <c r="L151" t="n">
        <v>0</v>
      </c>
      <c r="M151" t="n">
        <v>0</v>
      </c>
      <c r="N151" t="n">
        <v>0</v>
      </c>
      <c r="O151" t="n">
        <v>0</v>
      </c>
      <c r="P151" t="n">
        <v>0</v>
      </c>
      <c r="Q151" t="n">
        <v>0</v>
      </c>
      <c r="R151" s="2" t="inlineStr"/>
    </row>
    <row r="152" ht="15" customHeight="1">
      <c r="A152" t="inlineStr">
        <is>
          <t>A 6017-2020</t>
        </is>
      </c>
      <c r="B152" s="1" t="n">
        <v>43864</v>
      </c>
      <c r="C152" s="1" t="n">
        <v>45346</v>
      </c>
      <c r="D152" t="inlineStr">
        <is>
          <t>DALARNAS LÄN</t>
        </is>
      </c>
      <c r="E152" t="inlineStr">
        <is>
          <t>LEKSAND</t>
        </is>
      </c>
      <c r="G152" t="n">
        <v>2.6</v>
      </c>
      <c r="H152" t="n">
        <v>0</v>
      </c>
      <c r="I152" t="n">
        <v>0</v>
      </c>
      <c r="J152" t="n">
        <v>0</v>
      </c>
      <c r="K152" t="n">
        <v>0</v>
      </c>
      <c r="L152" t="n">
        <v>0</v>
      </c>
      <c r="M152" t="n">
        <v>0</v>
      </c>
      <c r="N152" t="n">
        <v>0</v>
      </c>
      <c r="O152" t="n">
        <v>0</v>
      </c>
      <c r="P152" t="n">
        <v>0</v>
      </c>
      <c r="Q152" t="n">
        <v>0</v>
      </c>
      <c r="R152" s="2" t="inlineStr"/>
    </row>
    <row r="153" ht="15" customHeight="1">
      <c r="A153" t="inlineStr">
        <is>
          <t>A 6751-2020</t>
        </is>
      </c>
      <c r="B153" s="1" t="n">
        <v>43866</v>
      </c>
      <c r="C153" s="1" t="n">
        <v>45346</v>
      </c>
      <c r="D153" t="inlineStr">
        <is>
          <t>DALARNAS LÄN</t>
        </is>
      </c>
      <c r="E153" t="inlineStr">
        <is>
          <t>LEKSAND</t>
        </is>
      </c>
      <c r="G153" t="n">
        <v>1.4</v>
      </c>
      <c r="H153" t="n">
        <v>0</v>
      </c>
      <c r="I153" t="n">
        <v>0</v>
      </c>
      <c r="J153" t="n">
        <v>0</v>
      </c>
      <c r="K153" t="n">
        <v>0</v>
      </c>
      <c r="L153" t="n">
        <v>0</v>
      </c>
      <c r="M153" t="n">
        <v>0</v>
      </c>
      <c r="N153" t="n">
        <v>0</v>
      </c>
      <c r="O153" t="n">
        <v>0</v>
      </c>
      <c r="P153" t="n">
        <v>0</v>
      </c>
      <c r="Q153" t="n">
        <v>0</v>
      </c>
      <c r="R153" s="2" t="inlineStr"/>
    </row>
    <row r="154" ht="15" customHeight="1">
      <c r="A154" t="inlineStr">
        <is>
          <t>A 7351-2020</t>
        </is>
      </c>
      <c r="B154" s="1" t="n">
        <v>43871</v>
      </c>
      <c r="C154" s="1" t="n">
        <v>45346</v>
      </c>
      <c r="D154" t="inlineStr">
        <is>
          <t>DALARNAS LÄN</t>
        </is>
      </c>
      <c r="E154" t="inlineStr">
        <is>
          <t>LEKSAND</t>
        </is>
      </c>
      <c r="F154" t="inlineStr">
        <is>
          <t>Bergvik skog väst AB</t>
        </is>
      </c>
      <c r="G154" t="n">
        <v>5.4</v>
      </c>
      <c r="H154" t="n">
        <v>0</v>
      </c>
      <c r="I154" t="n">
        <v>0</v>
      </c>
      <c r="J154" t="n">
        <v>0</v>
      </c>
      <c r="K154" t="n">
        <v>0</v>
      </c>
      <c r="L154" t="n">
        <v>0</v>
      </c>
      <c r="M154" t="n">
        <v>0</v>
      </c>
      <c r="N154" t="n">
        <v>0</v>
      </c>
      <c r="O154" t="n">
        <v>0</v>
      </c>
      <c r="P154" t="n">
        <v>0</v>
      </c>
      <c r="Q154" t="n">
        <v>0</v>
      </c>
      <c r="R154" s="2" t="inlineStr"/>
    </row>
    <row r="155" ht="15" customHeight="1">
      <c r="A155" t="inlineStr">
        <is>
          <t>A 7868-2020</t>
        </is>
      </c>
      <c r="B155" s="1" t="n">
        <v>43873</v>
      </c>
      <c r="C155" s="1" t="n">
        <v>45346</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9710-2020</t>
        </is>
      </c>
      <c r="B156" s="1" t="n">
        <v>43881</v>
      </c>
      <c r="C156" s="1" t="n">
        <v>45346</v>
      </c>
      <c r="D156" t="inlineStr">
        <is>
          <t>DALARNAS LÄN</t>
        </is>
      </c>
      <c r="E156" t="inlineStr">
        <is>
          <t>LEKSAND</t>
        </is>
      </c>
      <c r="G156" t="n">
        <v>1</v>
      </c>
      <c r="H156" t="n">
        <v>0</v>
      </c>
      <c r="I156" t="n">
        <v>0</v>
      </c>
      <c r="J156" t="n">
        <v>0</v>
      </c>
      <c r="K156" t="n">
        <v>0</v>
      </c>
      <c r="L156" t="n">
        <v>0</v>
      </c>
      <c r="M156" t="n">
        <v>0</v>
      </c>
      <c r="N156" t="n">
        <v>0</v>
      </c>
      <c r="O156" t="n">
        <v>0</v>
      </c>
      <c r="P156" t="n">
        <v>0</v>
      </c>
      <c r="Q156" t="n">
        <v>0</v>
      </c>
      <c r="R156" s="2" t="inlineStr"/>
    </row>
    <row r="157" ht="15" customHeight="1">
      <c r="A157" t="inlineStr">
        <is>
          <t>A 11372-2020</t>
        </is>
      </c>
      <c r="B157" s="1" t="n">
        <v>43892</v>
      </c>
      <c r="C157" s="1" t="n">
        <v>45346</v>
      </c>
      <c r="D157" t="inlineStr">
        <is>
          <t>DALARNAS LÄN</t>
        </is>
      </c>
      <c r="E157" t="inlineStr">
        <is>
          <t>LEKSAND</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12176-2020</t>
        </is>
      </c>
      <c r="B158" s="1" t="n">
        <v>43895</v>
      </c>
      <c r="C158" s="1" t="n">
        <v>45346</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12247-2020</t>
        </is>
      </c>
      <c r="B159" s="1" t="n">
        <v>43895</v>
      </c>
      <c r="C159" s="1" t="n">
        <v>45346</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13340-2020</t>
        </is>
      </c>
      <c r="B160" s="1" t="n">
        <v>43902</v>
      </c>
      <c r="C160" s="1" t="n">
        <v>45346</v>
      </c>
      <c r="D160" t="inlineStr">
        <is>
          <t>DALARNAS LÄN</t>
        </is>
      </c>
      <c r="E160" t="inlineStr">
        <is>
          <t>LEKSAND</t>
        </is>
      </c>
      <c r="G160" t="n">
        <v>1.4</v>
      </c>
      <c r="H160" t="n">
        <v>0</v>
      </c>
      <c r="I160" t="n">
        <v>0</v>
      </c>
      <c r="J160" t="n">
        <v>0</v>
      </c>
      <c r="K160" t="n">
        <v>0</v>
      </c>
      <c r="L160" t="n">
        <v>0</v>
      </c>
      <c r="M160" t="n">
        <v>0</v>
      </c>
      <c r="N160" t="n">
        <v>0</v>
      </c>
      <c r="O160" t="n">
        <v>0</v>
      </c>
      <c r="P160" t="n">
        <v>0</v>
      </c>
      <c r="Q160" t="n">
        <v>0</v>
      </c>
      <c r="R160" s="2" t="inlineStr"/>
    </row>
    <row r="161" ht="15" customHeight="1">
      <c r="A161" t="inlineStr">
        <is>
          <t>A 13356-2020</t>
        </is>
      </c>
      <c r="B161" s="1" t="n">
        <v>43902</v>
      </c>
      <c r="C161" s="1" t="n">
        <v>45346</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13352-2020</t>
        </is>
      </c>
      <c r="B162" s="1" t="n">
        <v>43902</v>
      </c>
      <c r="C162" s="1" t="n">
        <v>45346</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15165-2020</t>
        </is>
      </c>
      <c r="B163" s="1" t="n">
        <v>43912</v>
      </c>
      <c r="C163" s="1" t="n">
        <v>45346</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16288-2020</t>
        </is>
      </c>
      <c r="B164" s="1" t="n">
        <v>43917</v>
      </c>
      <c r="C164" s="1" t="n">
        <v>45346</v>
      </c>
      <c r="D164" t="inlineStr">
        <is>
          <t>DALARNAS LÄN</t>
        </is>
      </c>
      <c r="E164" t="inlineStr">
        <is>
          <t>LEKSAND</t>
        </is>
      </c>
      <c r="F164" t="inlineStr">
        <is>
          <t>Bergvik skog väst AB</t>
        </is>
      </c>
      <c r="G164" t="n">
        <v>0.6</v>
      </c>
      <c r="H164" t="n">
        <v>0</v>
      </c>
      <c r="I164" t="n">
        <v>0</v>
      </c>
      <c r="J164" t="n">
        <v>0</v>
      </c>
      <c r="K164" t="n">
        <v>0</v>
      </c>
      <c r="L164" t="n">
        <v>0</v>
      </c>
      <c r="M164" t="n">
        <v>0</v>
      </c>
      <c r="N164" t="n">
        <v>0</v>
      </c>
      <c r="O164" t="n">
        <v>0</v>
      </c>
      <c r="P164" t="n">
        <v>0</v>
      </c>
      <c r="Q164" t="n">
        <v>0</v>
      </c>
      <c r="R164" s="2" t="inlineStr"/>
    </row>
    <row r="165" ht="15" customHeight="1">
      <c r="A165" t="inlineStr">
        <is>
          <t>A 18803-2020</t>
        </is>
      </c>
      <c r="B165" s="1" t="n">
        <v>43933</v>
      </c>
      <c r="C165" s="1" t="n">
        <v>45346</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19361-2020</t>
        </is>
      </c>
      <c r="B166" s="1" t="n">
        <v>43938</v>
      </c>
      <c r="C166" s="1" t="n">
        <v>45346</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21141-2020</t>
        </is>
      </c>
      <c r="B167" s="1" t="n">
        <v>43951</v>
      </c>
      <c r="C167" s="1" t="n">
        <v>45346</v>
      </c>
      <c r="D167" t="inlineStr">
        <is>
          <t>DALARNAS LÄN</t>
        </is>
      </c>
      <c r="E167" t="inlineStr">
        <is>
          <t>LEKSAND</t>
        </is>
      </c>
      <c r="F167" t="inlineStr">
        <is>
          <t>Bergvik skog väst AB</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22718-2020</t>
        </is>
      </c>
      <c r="B168" s="1" t="n">
        <v>43964</v>
      </c>
      <c r="C168" s="1" t="n">
        <v>45346</v>
      </c>
      <c r="D168" t="inlineStr">
        <is>
          <t>DALARNAS LÄN</t>
        </is>
      </c>
      <c r="E168" t="inlineStr">
        <is>
          <t>LEKSAND</t>
        </is>
      </c>
      <c r="G168" t="n">
        <v>1.7</v>
      </c>
      <c r="H168" t="n">
        <v>0</v>
      </c>
      <c r="I168" t="n">
        <v>0</v>
      </c>
      <c r="J168" t="n">
        <v>0</v>
      </c>
      <c r="K168" t="n">
        <v>0</v>
      </c>
      <c r="L168" t="n">
        <v>0</v>
      </c>
      <c r="M168" t="n">
        <v>0</v>
      </c>
      <c r="N168" t="n">
        <v>0</v>
      </c>
      <c r="O168" t="n">
        <v>0</v>
      </c>
      <c r="P168" t="n">
        <v>0</v>
      </c>
      <c r="Q168" t="n">
        <v>0</v>
      </c>
      <c r="R168" s="2" t="inlineStr"/>
    </row>
    <row r="169" ht="15" customHeight="1">
      <c r="A169" t="inlineStr">
        <is>
          <t>A 24207-2020</t>
        </is>
      </c>
      <c r="B169" s="1" t="n">
        <v>43973</v>
      </c>
      <c r="C169" s="1" t="n">
        <v>45346</v>
      </c>
      <c r="D169" t="inlineStr">
        <is>
          <t>DALARNAS LÄN</t>
        </is>
      </c>
      <c r="E169" t="inlineStr">
        <is>
          <t>LEKSAND</t>
        </is>
      </c>
      <c r="G169" t="n">
        <v>2.2</v>
      </c>
      <c r="H169" t="n">
        <v>0</v>
      </c>
      <c r="I169" t="n">
        <v>0</v>
      </c>
      <c r="J169" t="n">
        <v>0</v>
      </c>
      <c r="K169" t="n">
        <v>0</v>
      </c>
      <c r="L169" t="n">
        <v>0</v>
      </c>
      <c r="M169" t="n">
        <v>0</v>
      </c>
      <c r="N169" t="n">
        <v>0</v>
      </c>
      <c r="O169" t="n">
        <v>0</v>
      </c>
      <c r="P169" t="n">
        <v>0</v>
      </c>
      <c r="Q169" t="n">
        <v>0</v>
      </c>
      <c r="R169" s="2" t="inlineStr"/>
    </row>
    <row r="170" ht="15" customHeight="1">
      <c r="A170" t="inlineStr">
        <is>
          <t>A 25156-2020</t>
        </is>
      </c>
      <c r="B170" s="1" t="n">
        <v>43978</v>
      </c>
      <c r="C170" s="1" t="n">
        <v>45346</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25720-2020</t>
        </is>
      </c>
      <c r="B171" s="1" t="n">
        <v>43984</v>
      </c>
      <c r="C171" s="1" t="n">
        <v>45346</v>
      </c>
      <c r="D171" t="inlineStr">
        <is>
          <t>DALARNAS LÄN</t>
        </is>
      </c>
      <c r="E171" t="inlineStr">
        <is>
          <t>LEKSAND</t>
        </is>
      </c>
      <c r="G171" t="n">
        <v>3.5</v>
      </c>
      <c r="H171" t="n">
        <v>0</v>
      </c>
      <c r="I171" t="n">
        <v>0</v>
      </c>
      <c r="J171" t="n">
        <v>0</v>
      </c>
      <c r="K171" t="n">
        <v>0</v>
      </c>
      <c r="L171" t="n">
        <v>0</v>
      </c>
      <c r="M171" t="n">
        <v>0</v>
      </c>
      <c r="N171" t="n">
        <v>0</v>
      </c>
      <c r="O171" t="n">
        <v>0</v>
      </c>
      <c r="P171" t="n">
        <v>0</v>
      </c>
      <c r="Q171" t="n">
        <v>0</v>
      </c>
      <c r="R171" s="2" t="inlineStr"/>
    </row>
    <row r="172" ht="15" customHeight="1">
      <c r="A172" t="inlineStr">
        <is>
          <t>A 25989-2020</t>
        </is>
      </c>
      <c r="B172" s="1" t="n">
        <v>43985</v>
      </c>
      <c r="C172" s="1" t="n">
        <v>45346</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26456-2020</t>
        </is>
      </c>
      <c r="B173" s="1" t="n">
        <v>43986</v>
      </c>
      <c r="C173" s="1" t="n">
        <v>45346</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26560-2020</t>
        </is>
      </c>
      <c r="B174" s="1" t="n">
        <v>43987</v>
      </c>
      <c r="C174" s="1" t="n">
        <v>45346</v>
      </c>
      <c r="D174" t="inlineStr">
        <is>
          <t>DALARNAS LÄN</t>
        </is>
      </c>
      <c r="E174" t="inlineStr">
        <is>
          <t>LEKSAND</t>
        </is>
      </c>
      <c r="G174" t="n">
        <v>0.8</v>
      </c>
      <c r="H174" t="n">
        <v>0</v>
      </c>
      <c r="I174" t="n">
        <v>0</v>
      </c>
      <c r="J174" t="n">
        <v>0</v>
      </c>
      <c r="K174" t="n">
        <v>0</v>
      </c>
      <c r="L174" t="n">
        <v>0</v>
      </c>
      <c r="M174" t="n">
        <v>0</v>
      </c>
      <c r="N174" t="n">
        <v>0</v>
      </c>
      <c r="O174" t="n">
        <v>0</v>
      </c>
      <c r="P174" t="n">
        <v>0</v>
      </c>
      <c r="Q174" t="n">
        <v>0</v>
      </c>
      <c r="R174" s="2" t="inlineStr"/>
    </row>
    <row r="175" ht="15" customHeight="1">
      <c r="A175" t="inlineStr">
        <is>
          <t>A 28161-2020</t>
        </is>
      </c>
      <c r="B175" s="1" t="n">
        <v>43997</v>
      </c>
      <c r="C175" s="1" t="n">
        <v>45346</v>
      </c>
      <c r="D175" t="inlineStr">
        <is>
          <t>DALARNAS LÄN</t>
        </is>
      </c>
      <c r="E175" t="inlineStr">
        <is>
          <t>LEKSAND</t>
        </is>
      </c>
      <c r="G175" t="n">
        <v>1.2</v>
      </c>
      <c r="H175" t="n">
        <v>0</v>
      </c>
      <c r="I175" t="n">
        <v>0</v>
      </c>
      <c r="J175" t="n">
        <v>0</v>
      </c>
      <c r="K175" t="n">
        <v>0</v>
      </c>
      <c r="L175" t="n">
        <v>0</v>
      </c>
      <c r="M175" t="n">
        <v>0</v>
      </c>
      <c r="N175" t="n">
        <v>0</v>
      </c>
      <c r="O175" t="n">
        <v>0</v>
      </c>
      <c r="P175" t="n">
        <v>0</v>
      </c>
      <c r="Q175" t="n">
        <v>0</v>
      </c>
      <c r="R175" s="2" t="inlineStr"/>
    </row>
    <row r="176" ht="15" customHeight="1">
      <c r="A176" t="inlineStr">
        <is>
          <t>A 28796-2020</t>
        </is>
      </c>
      <c r="B176" s="1" t="n">
        <v>44000</v>
      </c>
      <c r="C176" s="1" t="n">
        <v>45346</v>
      </c>
      <c r="D176" t="inlineStr">
        <is>
          <t>DALARNAS LÄN</t>
        </is>
      </c>
      <c r="E176" t="inlineStr">
        <is>
          <t>LEKSAND</t>
        </is>
      </c>
      <c r="F176" t="inlineStr">
        <is>
          <t>Bergvik skog väst AB</t>
        </is>
      </c>
      <c r="G176" t="n">
        <v>4.7</v>
      </c>
      <c r="H176" t="n">
        <v>0</v>
      </c>
      <c r="I176" t="n">
        <v>0</v>
      </c>
      <c r="J176" t="n">
        <v>0</v>
      </c>
      <c r="K176" t="n">
        <v>0</v>
      </c>
      <c r="L176" t="n">
        <v>0</v>
      </c>
      <c r="M176" t="n">
        <v>0</v>
      </c>
      <c r="N176" t="n">
        <v>0</v>
      </c>
      <c r="O176" t="n">
        <v>0</v>
      </c>
      <c r="P176" t="n">
        <v>0</v>
      </c>
      <c r="Q176" t="n">
        <v>0</v>
      </c>
      <c r="R176" s="2" t="inlineStr"/>
    </row>
    <row r="177" ht="15" customHeight="1">
      <c r="A177" t="inlineStr">
        <is>
          <t>A 29089-2020</t>
        </is>
      </c>
      <c r="B177" s="1" t="n">
        <v>44002</v>
      </c>
      <c r="C177" s="1" t="n">
        <v>45346</v>
      </c>
      <c r="D177" t="inlineStr">
        <is>
          <t>DALARNAS LÄN</t>
        </is>
      </c>
      <c r="E177" t="inlineStr">
        <is>
          <t>LEKSAND</t>
        </is>
      </c>
      <c r="G177" t="n">
        <v>1.8</v>
      </c>
      <c r="H177" t="n">
        <v>0</v>
      </c>
      <c r="I177" t="n">
        <v>0</v>
      </c>
      <c r="J177" t="n">
        <v>0</v>
      </c>
      <c r="K177" t="n">
        <v>0</v>
      </c>
      <c r="L177" t="n">
        <v>0</v>
      </c>
      <c r="M177" t="n">
        <v>0</v>
      </c>
      <c r="N177" t="n">
        <v>0</v>
      </c>
      <c r="O177" t="n">
        <v>0</v>
      </c>
      <c r="P177" t="n">
        <v>0</v>
      </c>
      <c r="Q177" t="n">
        <v>0</v>
      </c>
      <c r="R177" s="2" t="inlineStr"/>
    </row>
    <row r="178" ht="15" customHeight="1">
      <c r="A178" t="inlineStr">
        <is>
          <t>A 29088-2020</t>
        </is>
      </c>
      <c r="B178" s="1" t="n">
        <v>44002</v>
      </c>
      <c r="C178" s="1" t="n">
        <v>45346</v>
      </c>
      <c r="D178" t="inlineStr">
        <is>
          <t>DALARNAS LÄN</t>
        </is>
      </c>
      <c r="E178" t="inlineStr">
        <is>
          <t>LEKSAND</t>
        </is>
      </c>
      <c r="G178" t="n">
        <v>0.6</v>
      </c>
      <c r="H178" t="n">
        <v>0</v>
      </c>
      <c r="I178" t="n">
        <v>0</v>
      </c>
      <c r="J178" t="n">
        <v>0</v>
      </c>
      <c r="K178" t="n">
        <v>0</v>
      </c>
      <c r="L178" t="n">
        <v>0</v>
      </c>
      <c r="M178" t="n">
        <v>0</v>
      </c>
      <c r="N178" t="n">
        <v>0</v>
      </c>
      <c r="O178" t="n">
        <v>0</v>
      </c>
      <c r="P178" t="n">
        <v>0</v>
      </c>
      <c r="Q178" t="n">
        <v>0</v>
      </c>
      <c r="R178" s="2" t="inlineStr"/>
    </row>
    <row r="179" ht="15" customHeight="1">
      <c r="A179" t="inlineStr">
        <is>
          <t>A 29672-2020</t>
        </is>
      </c>
      <c r="B179" s="1" t="n">
        <v>44005</v>
      </c>
      <c r="C179" s="1" t="n">
        <v>45346</v>
      </c>
      <c r="D179" t="inlineStr">
        <is>
          <t>DALARNAS LÄN</t>
        </is>
      </c>
      <c r="E179" t="inlineStr">
        <is>
          <t>LEKSAND</t>
        </is>
      </c>
      <c r="G179" t="n">
        <v>0.4</v>
      </c>
      <c r="H179" t="n">
        <v>0</v>
      </c>
      <c r="I179" t="n">
        <v>0</v>
      </c>
      <c r="J179" t="n">
        <v>0</v>
      </c>
      <c r="K179" t="n">
        <v>0</v>
      </c>
      <c r="L179" t="n">
        <v>0</v>
      </c>
      <c r="M179" t="n">
        <v>0</v>
      </c>
      <c r="N179" t="n">
        <v>0</v>
      </c>
      <c r="O179" t="n">
        <v>0</v>
      </c>
      <c r="P179" t="n">
        <v>0</v>
      </c>
      <c r="Q179" t="n">
        <v>0</v>
      </c>
      <c r="R179" s="2" t="inlineStr"/>
    </row>
    <row r="180" ht="15" customHeight="1">
      <c r="A180" t="inlineStr">
        <is>
          <t>A 31629-2020</t>
        </is>
      </c>
      <c r="B180" s="1" t="n">
        <v>44013</v>
      </c>
      <c r="C180" s="1" t="n">
        <v>45346</v>
      </c>
      <c r="D180" t="inlineStr">
        <is>
          <t>DALARNAS LÄN</t>
        </is>
      </c>
      <c r="E180" t="inlineStr">
        <is>
          <t>LEKSAND</t>
        </is>
      </c>
      <c r="G180" t="n">
        <v>5.4</v>
      </c>
      <c r="H180" t="n">
        <v>0</v>
      </c>
      <c r="I180" t="n">
        <v>0</v>
      </c>
      <c r="J180" t="n">
        <v>0</v>
      </c>
      <c r="K180" t="n">
        <v>0</v>
      </c>
      <c r="L180" t="n">
        <v>0</v>
      </c>
      <c r="M180" t="n">
        <v>0</v>
      </c>
      <c r="N180" t="n">
        <v>0</v>
      </c>
      <c r="O180" t="n">
        <v>0</v>
      </c>
      <c r="P180" t="n">
        <v>0</v>
      </c>
      <c r="Q180" t="n">
        <v>0</v>
      </c>
      <c r="R180" s="2" t="inlineStr"/>
    </row>
    <row r="181" ht="15" customHeight="1">
      <c r="A181" t="inlineStr">
        <is>
          <t>A 36306-2020</t>
        </is>
      </c>
      <c r="B181" s="1" t="n">
        <v>44049</v>
      </c>
      <c r="C181" s="1" t="n">
        <v>45346</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37568-2020</t>
        </is>
      </c>
      <c r="B182" s="1" t="n">
        <v>44056</v>
      </c>
      <c r="C182" s="1" t="n">
        <v>45346</v>
      </c>
      <c r="D182" t="inlineStr">
        <is>
          <t>DALARNAS LÄN</t>
        </is>
      </c>
      <c r="E182" t="inlineStr">
        <is>
          <t>LEKSAND</t>
        </is>
      </c>
      <c r="G182" t="n">
        <v>3.4</v>
      </c>
      <c r="H182" t="n">
        <v>0</v>
      </c>
      <c r="I182" t="n">
        <v>0</v>
      </c>
      <c r="J182" t="n">
        <v>0</v>
      </c>
      <c r="K182" t="n">
        <v>0</v>
      </c>
      <c r="L182" t="n">
        <v>0</v>
      </c>
      <c r="M182" t="n">
        <v>0</v>
      </c>
      <c r="N182" t="n">
        <v>0</v>
      </c>
      <c r="O182" t="n">
        <v>0</v>
      </c>
      <c r="P182" t="n">
        <v>0</v>
      </c>
      <c r="Q182" t="n">
        <v>0</v>
      </c>
      <c r="R182" s="2" t="inlineStr"/>
    </row>
    <row r="183" ht="15" customHeight="1">
      <c r="A183" t="inlineStr">
        <is>
          <t>A 41093-2020</t>
        </is>
      </c>
      <c r="B183" s="1" t="n">
        <v>44071</v>
      </c>
      <c r="C183" s="1" t="n">
        <v>45346</v>
      </c>
      <c r="D183" t="inlineStr">
        <is>
          <t>DALARNAS LÄN</t>
        </is>
      </c>
      <c r="E183" t="inlineStr">
        <is>
          <t>LEKSAND</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41200-2020</t>
        </is>
      </c>
      <c r="B184" s="1" t="n">
        <v>44071</v>
      </c>
      <c r="C184" s="1" t="n">
        <v>45346</v>
      </c>
      <c r="D184" t="inlineStr">
        <is>
          <t>DALARNAS LÄN</t>
        </is>
      </c>
      <c r="E184" t="inlineStr">
        <is>
          <t>LEKSAND</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41432-2020</t>
        </is>
      </c>
      <c r="B185" s="1" t="n">
        <v>44073</v>
      </c>
      <c r="C185" s="1" t="n">
        <v>45346</v>
      </c>
      <c r="D185" t="inlineStr">
        <is>
          <t>DALARNAS LÄN</t>
        </is>
      </c>
      <c r="E185" t="inlineStr">
        <is>
          <t>LEKSAND</t>
        </is>
      </c>
      <c r="G185" t="n">
        <v>0.9</v>
      </c>
      <c r="H185" t="n">
        <v>0</v>
      </c>
      <c r="I185" t="n">
        <v>0</v>
      </c>
      <c r="J185" t="n">
        <v>0</v>
      </c>
      <c r="K185" t="n">
        <v>0</v>
      </c>
      <c r="L185" t="n">
        <v>0</v>
      </c>
      <c r="M185" t="n">
        <v>0</v>
      </c>
      <c r="N185" t="n">
        <v>0</v>
      </c>
      <c r="O185" t="n">
        <v>0</v>
      </c>
      <c r="P185" t="n">
        <v>0</v>
      </c>
      <c r="Q185" t="n">
        <v>0</v>
      </c>
      <c r="R185" s="2" t="inlineStr"/>
    </row>
    <row r="186" ht="15" customHeight="1">
      <c r="A186" t="inlineStr">
        <is>
          <t>A 42890-2020</t>
        </is>
      </c>
      <c r="B186" s="1" t="n">
        <v>44078</v>
      </c>
      <c r="C186" s="1" t="n">
        <v>45346</v>
      </c>
      <c r="D186" t="inlineStr">
        <is>
          <t>DALARNAS LÄN</t>
        </is>
      </c>
      <c r="E186" t="inlineStr">
        <is>
          <t>LEKSAND</t>
        </is>
      </c>
      <c r="F186" t="inlineStr">
        <is>
          <t>Bergvik skog väst AB</t>
        </is>
      </c>
      <c r="G186" t="n">
        <v>1.1</v>
      </c>
      <c r="H186" t="n">
        <v>0</v>
      </c>
      <c r="I186" t="n">
        <v>0</v>
      </c>
      <c r="J186" t="n">
        <v>0</v>
      </c>
      <c r="K186" t="n">
        <v>0</v>
      </c>
      <c r="L186" t="n">
        <v>0</v>
      </c>
      <c r="M186" t="n">
        <v>0</v>
      </c>
      <c r="N186" t="n">
        <v>0</v>
      </c>
      <c r="O186" t="n">
        <v>0</v>
      </c>
      <c r="P186" t="n">
        <v>0</v>
      </c>
      <c r="Q186" t="n">
        <v>0</v>
      </c>
      <c r="R186" s="2" t="inlineStr"/>
    </row>
    <row r="187" ht="15" customHeight="1">
      <c r="A187" t="inlineStr">
        <is>
          <t>A 44665-2020</t>
        </is>
      </c>
      <c r="B187" s="1" t="n">
        <v>44085</v>
      </c>
      <c r="C187" s="1" t="n">
        <v>45346</v>
      </c>
      <c r="D187" t="inlineStr">
        <is>
          <t>DALARNAS LÄN</t>
        </is>
      </c>
      <c r="E187" t="inlineStr">
        <is>
          <t>LEKSAND</t>
        </is>
      </c>
      <c r="F187" t="inlineStr">
        <is>
          <t>Bergvik skog väst AB</t>
        </is>
      </c>
      <c r="G187" t="n">
        <v>5.1</v>
      </c>
      <c r="H187" t="n">
        <v>0</v>
      </c>
      <c r="I187" t="n">
        <v>0</v>
      </c>
      <c r="J187" t="n">
        <v>0</v>
      </c>
      <c r="K187" t="n">
        <v>0</v>
      </c>
      <c r="L187" t="n">
        <v>0</v>
      </c>
      <c r="M187" t="n">
        <v>0</v>
      </c>
      <c r="N187" t="n">
        <v>0</v>
      </c>
      <c r="O187" t="n">
        <v>0</v>
      </c>
      <c r="P187" t="n">
        <v>0</v>
      </c>
      <c r="Q187" t="n">
        <v>0</v>
      </c>
      <c r="R187" s="2" t="inlineStr"/>
    </row>
    <row r="188" ht="15" customHeight="1">
      <c r="A188" t="inlineStr">
        <is>
          <t>A 45995-2020</t>
        </is>
      </c>
      <c r="B188" s="1" t="n">
        <v>44088</v>
      </c>
      <c r="C188" s="1" t="n">
        <v>45346</v>
      </c>
      <c r="D188" t="inlineStr">
        <is>
          <t>DALARNAS LÄN</t>
        </is>
      </c>
      <c r="E188" t="inlineStr">
        <is>
          <t>LEKSAND</t>
        </is>
      </c>
      <c r="G188" t="n">
        <v>7.8</v>
      </c>
      <c r="H188" t="n">
        <v>0</v>
      </c>
      <c r="I188" t="n">
        <v>0</v>
      </c>
      <c r="J188" t="n">
        <v>0</v>
      </c>
      <c r="K188" t="n">
        <v>0</v>
      </c>
      <c r="L188" t="n">
        <v>0</v>
      </c>
      <c r="M188" t="n">
        <v>0</v>
      </c>
      <c r="N188" t="n">
        <v>0</v>
      </c>
      <c r="O188" t="n">
        <v>0</v>
      </c>
      <c r="P188" t="n">
        <v>0</v>
      </c>
      <c r="Q188" t="n">
        <v>0</v>
      </c>
      <c r="R188" s="2" t="inlineStr"/>
    </row>
    <row r="189" ht="15" customHeight="1">
      <c r="A189" t="inlineStr">
        <is>
          <t>A 45950-2020</t>
        </is>
      </c>
      <c r="B189" s="1" t="n">
        <v>44088</v>
      </c>
      <c r="C189" s="1" t="n">
        <v>45346</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45991-2020</t>
        </is>
      </c>
      <c r="B190" s="1" t="n">
        <v>44088</v>
      </c>
      <c r="C190" s="1" t="n">
        <v>45346</v>
      </c>
      <c r="D190" t="inlineStr">
        <is>
          <t>DALARNAS LÄN</t>
        </is>
      </c>
      <c r="E190" t="inlineStr">
        <is>
          <t>LEKSAND</t>
        </is>
      </c>
      <c r="G190" t="n">
        <v>9.9</v>
      </c>
      <c r="H190" t="n">
        <v>0</v>
      </c>
      <c r="I190" t="n">
        <v>0</v>
      </c>
      <c r="J190" t="n">
        <v>0</v>
      </c>
      <c r="K190" t="n">
        <v>0</v>
      </c>
      <c r="L190" t="n">
        <v>0</v>
      </c>
      <c r="M190" t="n">
        <v>0</v>
      </c>
      <c r="N190" t="n">
        <v>0</v>
      </c>
      <c r="O190" t="n">
        <v>0</v>
      </c>
      <c r="P190" t="n">
        <v>0</v>
      </c>
      <c r="Q190" t="n">
        <v>0</v>
      </c>
      <c r="R190" s="2" t="inlineStr"/>
    </row>
    <row r="191" ht="15" customHeight="1">
      <c r="A191" t="inlineStr">
        <is>
          <t>A 46854-2020</t>
        </is>
      </c>
      <c r="B191" s="1" t="n">
        <v>44090</v>
      </c>
      <c r="C191" s="1" t="n">
        <v>45346</v>
      </c>
      <c r="D191" t="inlineStr">
        <is>
          <t>DALARNAS LÄN</t>
        </is>
      </c>
      <c r="E191" t="inlineStr">
        <is>
          <t>LEKSAND</t>
        </is>
      </c>
      <c r="G191" t="n">
        <v>1.6</v>
      </c>
      <c r="H191" t="n">
        <v>0</v>
      </c>
      <c r="I191" t="n">
        <v>0</v>
      </c>
      <c r="J191" t="n">
        <v>0</v>
      </c>
      <c r="K191" t="n">
        <v>0</v>
      </c>
      <c r="L191" t="n">
        <v>0</v>
      </c>
      <c r="M191" t="n">
        <v>0</v>
      </c>
      <c r="N191" t="n">
        <v>0</v>
      </c>
      <c r="O191" t="n">
        <v>0</v>
      </c>
      <c r="P191" t="n">
        <v>0</v>
      </c>
      <c r="Q191" t="n">
        <v>0</v>
      </c>
      <c r="R191" s="2" t="inlineStr"/>
    </row>
    <row r="192" ht="15" customHeight="1">
      <c r="A192" t="inlineStr">
        <is>
          <t>A 47004-2020</t>
        </is>
      </c>
      <c r="B192" s="1" t="n">
        <v>44091</v>
      </c>
      <c r="C192" s="1" t="n">
        <v>45346</v>
      </c>
      <c r="D192" t="inlineStr">
        <is>
          <t>DALARNAS LÄN</t>
        </is>
      </c>
      <c r="E192" t="inlineStr">
        <is>
          <t>LEKSAND</t>
        </is>
      </c>
      <c r="G192" t="n">
        <v>3.2</v>
      </c>
      <c r="H192" t="n">
        <v>0</v>
      </c>
      <c r="I192" t="n">
        <v>0</v>
      </c>
      <c r="J192" t="n">
        <v>0</v>
      </c>
      <c r="K192" t="n">
        <v>0</v>
      </c>
      <c r="L192" t="n">
        <v>0</v>
      </c>
      <c r="M192" t="n">
        <v>0</v>
      </c>
      <c r="N192" t="n">
        <v>0</v>
      </c>
      <c r="O192" t="n">
        <v>0</v>
      </c>
      <c r="P192" t="n">
        <v>0</v>
      </c>
      <c r="Q192" t="n">
        <v>0</v>
      </c>
      <c r="R192" s="2" t="inlineStr"/>
    </row>
    <row r="193" ht="15" customHeight="1">
      <c r="A193" t="inlineStr">
        <is>
          <t>A 47069-2020</t>
        </is>
      </c>
      <c r="B193" s="1" t="n">
        <v>44096</v>
      </c>
      <c r="C193" s="1" t="n">
        <v>45346</v>
      </c>
      <c r="D193" t="inlineStr">
        <is>
          <t>DALARNAS LÄN</t>
        </is>
      </c>
      <c r="E193" t="inlineStr">
        <is>
          <t>LEKSAND</t>
        </is>
      </c>
      <c r="G193" t="n">
        <v>5.5</v>
      </c>
      <c r="H193" t="n">
        <v>0</v>
      </c>
      <c r="I193" t="n">
        <v>0</v>
      </c>
      <c r="J193" t="n">
        <v>0</v>
      </c>
      <c r="K193" t="n">
        <v>0</v>
      </c>
      <c r="L193" t="n">
        <v>0</v>
      </c>
      <c r="M193" t="n">
        <v>0</v>
      </c>
      <c r="N193" t="n">
        <v>0</v>
      </c>
      <c r="O193" t="n">
        <v>0</v>
      </c>
      <c r="P193" t="n">
        <v>0</v>
      </c>
      <c r="Q193" t="n">
        <v>0</v>
      </c>
      <c r="R193" s="2" t="inlineStr"/>
    </row>
    <row r="194" ht="15" customHeight="1">
      <c r="A194" t="inlineStr">
        <is>
          <t>A 50123-2020</t>
        </is>
      </c>
      <c r="B194" s="1" t="n">
        <v>44104</v>
      </c>
      <c r="C194" s="1" t="n">
        <v>45346</v>
      </c>
      <c r="D194" t="inlineStr">
        <is>
          <t>DALARNAS LÄN</t>
        </is>
      </c>
      <c r="E194" t="inlineStr">
        <is>
          <t>LEKSAND</t>
        </is>
      </c>
      <c r="F194" t="inlineStr">
        <is>
          <t>Övriga Aktiebolag</t>
        </is>
      </c>
      <c r="G194" t="n">
        <v>2.7</v>
      </c>
      <c r="H194" t="n">
        <v>0</v>
      </c>
      <c r="I194" t="n">
        <v>0</v>
      </c>
      <c r="J194" t="n">
        <v>0</v>
      </c>
      <c r="K194" t="n">
        <v>0</v>
      </c>
      <c r="L194" t="n">
        <v>0</v>
      </c>
      <c r="M194" t="n">
        <v>0</v>
      </c>
      <c r="N194" t="n">
        <v>0</v>
      </c>
      <c r="O194" t="n">
        <v>0</v>
      </c>
      <c r="P194" t="n">
        <v>0</v>
      </c>
      <c r="Q194" t="n">
        <v>0</v>
      </c>
      <c r="R194" s="2" t="inlineStr"/>
    </row>
    <row r="195" ht="15" customHeight="1">
      <c r="A195" t="inlineStr">
        <is>
          <t>A 50102-2020</t>
        </is>
      </c>
      <c r="B195" s="1" t="n">
        <v>44104</v>
      </c>
      <c r="C195" s="1" t="n">
        <v>45346</v>
      </c>
      <c r="D195" t="inlineStr">
        <is>
          <t>DALARNAS LÄN</t>
        </is>
      </c>
      <c r="E195" t="inlineStr">
        <is>
          <t>LEKSAND</t>
        </is>
      </c>
      <c r="G195" t="n">
        <v>2.4</v>
      </c>
      <c r="H195" t="n">
        <v>0</v>
      </c>
      <c r="I195" t="n">
        <v>0</v>
      </c>
      <c r="J195" t="n">
        <v>0</v>
      </c>
      <c r="K195" t="n">
        <v>0</v>
      </c>
      <c r="L195" t="n">
        <v>0</v>
      </c>
      <c r="M195" t="n">
        <v>0</v>
      </c>
      <c r="N195" t="n">
        <v>0</v>
      </c>
      <c r="O195" t="n">
        <v>0</v>
      </c>
      <c r="P195" t="n">
        <v>0</v>
      </c>
      <c r="Q195" t="n">
        <v>0</v>
      </c>
      <c r="R195" s="2" t="inlineStr"/>
    </row>
    <row r="196" ht="15" customHeight="1">
      <c r="A196" t="inlineStr">
        <is>
          <t>A 60920-2020</t>
        </is>
      </c>
      <c r="B196" s="1" t="n">
        <v>44153</v>
      </c>
      <c r="C196" s="1" t="n">
        <v>45346</v>
      </c>
      <c r="D196" t="inlineStr">
        <is>
          <t>DALARNAS LÄN</t>
        </is>
      </c>
      <c r="E196" t="inlineStr">
        <is>
          <t>LEKSAND</t>
        </is>
      </c>
      <c r="G196" t="n">
        <v>0.6</v>
      </c>
      <c r="H196" t="n">
        <v>0</v>
      </c>
      <c r="I196" t="n">
        <v>0</v>
      </c>
      <c r="J196" t="n">
        <v>0</v>
      </c>
      <c r="K196" t="n">
        <v>0</v>
      </c>
      <c r="L196" t="n">
        <v>0</v>
      </c>
      <c r="M196" t="n">
        <v>0</v>
      </c>
      <c r="N196" t="n">
        <v>0</v>
      </c>
      <c r="O196" t="n">
        <v>0</v>
      </c>
      <c r="P196" t="n">
        <v>0</v>
      </c>
      <c r="Q196" t="n">
        <v>0</v>
      </c>
      <c r="R196" s="2" t="inlineStr"/>
    </row>
    <row r="197" ht="15" customHeight="1">
      <c r="A197" t="inlineStr">
        <is>
          <t>A 60963-2020</t>
        </is>
      </c>
      <c r="B197" s="1" t="n">
        <v>44154</v>
      </c>
      <c r="C197" s="1" t="n">
        <v>45346</v>
      </c>
      <c r="D197" t="inlineStr">
        <is>
          <t>DALARNAS LÄN</t>
        </is>
      </c>
      <c r="E197" t="inlineStr">
        <is>
          <t>LEKSAND</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62118-2020</t>
        </is>
      </c>
      <c r="B198" s="1" t="n">
        <v>44159</v>
      </c>
      <c r="C198" s="1" t="n">
        <v>45346</v>
      </c>
      <c r="D198" t="inlineStr">
        <is>
          <t>DALARNAS LÄN</t>
        </is>
      </c>
      <c r="E198" t="inlineStr">
        <is>
          <t>LEKSAND</t>
        </is>
      </c>
      <c r="F198" t="inlineStr">
        <is>
          <t>Bergvik skog väst AB</t>
        </is>
      </c>
      <c r="G198" t="n">
        <v>3.9</v>
      </c>
      <c r="H198" t="n">
        <v>0</v>
      </c>
      <c r="I198" t="n">
        <v>0</v>
      </c>
      <c r="J198" t="n">
        <v>0</v>
      </c>
      <c r="K198" t="n">
        <v>0</v>
      </c>
      <c r="L198" t="n">
        <v>0</v>
      </c>
      <c r="M198" t="n">
        <v>0</v>
      </c>
      <c r="N198" t="n">
        <v>0</v>
      </c>
      <c r="O198" t="n">
        <v>0</v>
      </c>
      <c r="P198" t="n">
        <v>0</v>
      </c>
      <c r="Q198" t="n">
        <v>0</v>
      </c>
      <c r="R198" s="2" t="inlineStr"/>
    </row>
    <row r="199" ht="15" customHeight="1">
      <c r="A199" t="inlineStr">
        <is>
          <t>A 63481-2020</t>
        </is>
      </c>
      <c r="B199" s="1" t="n">
        <v>44161</v>
      </c>
      <c r="C199" s="1" t="n">
        <v>45346</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64109-2020</t>
        </is>
      </c>
      <c r="B200" s="1" t="n">
        <v>44167</v>
      </c>
      <c r="C200" s="1" t="n">
        <v>45346</v>
      </c>
      <c r="D200" t="inlineStr">
        <is>
          <t>DALARNAS LÄN</t>
        </is>
      </c>
      <c r="E200" t="inlineStr">
        <is>
          <t>LEKSAND</t>
        </is>
      </c>
      <c r="G200" t="n">
        <v>2.7</v>
      </c>
      <c r="H200" t="n">
        <v>0</v>
      </c>
      <c r="I200" t="n">
        <v>0</v>
      </c>
      <c r="J200" t="n">
        <v>0</v>
      </c>
      <c r="K200" t="n">
        <v>0</v>
      </c>
      <c r="L200" t="n">
        <v>0</v>
      </c>
      <c r="M200" t="n">
        <v>0</v>
      </c>
      <c r="N200" t="n">
        <v>0</v>
      </c>
      <c r="O200" t="n">
        <v>0</v>
      </c>
      <c r="P200" t="n">
        <v>0</v>
      </c>
      <c r="Q200" t="n">
        <v>0</v>
      </c>
      <c r="R200" s="2" t="inlineStr"/>
    </row>
    <row r="201" ht="15" customHeight="1">
      <c r="A201" t="inlineStr">
        <is>
          <t>A 64449-2020</t>
        </is>
      </c>
      <c r="B201" s="1" t="n">
        <v>44168</v>
      </c>
      <c r="C201" s="1" t="n">
        <v>45346</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64876-2020</t>
        </is>
      </c>
      <c r="B202" s="1" t="n">
        <v>44171</v>
      </c>
      <c r="C202" s="1" t="n">
        <v>45346</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65058-2020</t>
        </is>
      </c>
      <c r="B203" s="1" t="n">
        <v>44172</v>
      </c>
      <c r="C203" s="1" t="n">
        <v>45346</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66169-2020</t>
        </is>
      </c>
      <c r="B204" s="1" t="n">
        <v>44174</v>
      </c>
      <c r="C204" s="1" t="n">
        <v>45346</v>
      </c>
      <c r="D204" t="inlineStr">
        <is>
          <t>DALARNAS LÄN</t>
        </is>
      </c>
      <c r="E204" t="inlineStr">
        <is>
          <t>LEKSAND</t>
        </is>
      </c>
      <c r="G204" t="n">
        <v>5.3</v>
      </c>
      <c r="H204" t="n">
        <v>0</v>
      </c>
      <c r="I204" t="n">
        <v>0</v>
      </c>
      <c r="J204" t="n">
        <v>0</v>
      </c>
      <c r="K204" t="n">
        <v>0</v>
      </c>
      <c r="L204" t="n">
        <v>0</v>
      </c>
      <c r="M204" t="n">
        <v>0</v>
      </c>
      <c r="N204" t="n">
        <v>0</v>
      </c>
      <c r="O204" t="n">
        <v>0</v>
      </c>
      <c r="P204" t="n">
        <v>0</v>
      </c>
      <c r="Q204" t="n">
        <v>0</v>
      </c>
      <c r="R204" s="2" t="inlineStr"/>
    </row>
    <row r="205" ht="15" customHeight="1">
      <c r="A205" t="inlineStr">
        <is>
          <t>A 67100-2020</t>
        </is>
      </c>
      <c r="B205" s="1" t="n">
        <v>44179</v>
      </c>
      <c r="C205" s="1" t="n">
        <v>45346</v>
      </c>
      <c r="D205" t="inlineStr">
        <is>
          <t>DALARNAS LÄN</t>
        </is>
      </c>
      <c r="E205" t="inlineStr">
        <is>
          <t>LEKSAND</t>
        </is>
      </c>
      <c r="G205" t="n">
        <v>1.9</v>
      </c>
      <c r="H205" t="n">
        <v>0</v>
      </c>
      <c r="I205" t="n">
        <v>0</v>
      </c>
      <c r="J205" t="n">
        <v>0</v>
      </c>
      <c r="K205" t="n">
        <v>0</v>
      </c>
      <c r="L205" t="n">
        <v>0</v>
      </c>
      <c r="M205" t="n">
        <v>0</v>
      </c>
      <c r="N205" t="n">
        <v>0</v>
      </c>
      <c r="O205" t="n">
        <v>0</v>
      </c>
      <c r="P205" t="n">
        <v>0</v>
      </c>
      <c r="Q205" t="n">
        <v>0</v>
      </c>
      <c r="R205" s="2" t="inlineStr"/>
    </row>
    <row r="206" ht="15" customHeight="1">
      <c r="A206" t="inlineStr">
        <is>
          <t>A 67307-2020</t>
        </is>
      </c>
      <c r="B206" s="1" t="n">
        <v>44181</v>
      </c>
      <c r="C206" s="1" t="n">
        <v>45346</v>
      </c>
      <c r="D206" t="inlineStr">
        <is>
          <t>DALARNAS LÄN</t>
        </is>
      </c>
      <c r="E206" t="inlineStr">
        <is>
          <t>LEKSAND</t>
        </is>
      </c>
      <c r="G206" t="n">
        <v>5.9</v>
      </c>
      <c r="H206" t="n">
        <v>0</v>
      </c>
      <c r="I206" t="n">
        <v>0</v>
      </c>
      <c r="J206" t="n">
        <v>0</v>
      </c>
      <c r="K206" t="n">
        <v>0</v>
      </c>
      <c r="L206" t="n">
        <v>0</v>
      </c>
      <c r="M206" t="n">
        <v>0</v>
      </c>
      <c r="N206" t="n">
        <v>0</v>
      </c>
      <c r="O206" t="n">
        <v>0</v>
      </c>
      <c r="P206" t="n">
        <v>0</v>
      </c>
      <c r="Q206" t="n">
        <v>0</v>
      </c>
      <c r="R206" s="2" t="inlineStr"/>
    </row>
    <row r="207" ht="15" customHeight="1">
      <c r="A207" t="inlineStr">
        <is>
          <t>A 68058-2020</t>
        </is>
      </c>
      <c r="B207" s="1" t="n">
        <v>44183</v>
      </c>
      <c r="C207" s="1" t="n">
        <v>45346</v>
      </c>
      <c r="D207" t="inlineStr">
        <is>
          <t>DALARNAS LÄN</t>
        </is>
      </c>
      <c r="E207" t="inlineStr">
        <is>
          <t>LEKSAND</t>
        </is>
      </c>
      <c r="F207" t="inlineStr">
        <is>
          <t>Bergvik skog väst AB</t>
        </is>
      </c>
      <c r="G207" t="n">
        <v>4.9</v>
      </c>
      <c r="H207" t="n">
        <v>0</v>
      </c>
      <c r="I207" t="n">
        <v>0</v>
      </c>
      <c r="J207" t="n">
        <v>0</v>
      </c>
      <c r="K207" t="n">
        <v>0</v>
      </c>
      <c r="L207" t="n">
        <v>0</v>
      </c>
      <c r="M207" t="n">
        <v>0</v>
      </c>
      <c r="N207" t="n">
        <v>0</v>
      </c>
      <c r="O207" t="n">
        <v>0</v>
      </c>
      <c r="P207" t="n">
        <v>0</v>
      </c>
      <c r="Q207" t="n">
        <v>0</v>
      </c>
      <c r="R207" s="2" t="inlineStr"/>
    </row>
    <row r="208" ht="15" customHeight="1">
      <c r="A208" t="inlineStr">
        <is>
          <t>A 776-2021</t>
        </is>
      </c>
      <c r="B208" s="1" t="n">
        <v>44203</v>
      </c>
      <c r="C208" s="1" t="n">
        <v>45346</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1078-2021</t>
        </is>
      </c>
      <c r="B209" s="1" t="n">
        <v>44207</v>
      </c>
      <c r="C209" s="1" t="n">
        <v>45346</v>
      </c>
      <c r="D209" t="inlineStr">
        <is>
          <t>DALARNAS LÄN</t>
        </is>
      </c>
      <c r="E209" t="inlineStr">
        <is>
          <t>LEKSAND</t>
        </is>
      </c>
      <c r="G209" t="n">
        <v>4.9</v>
      </c>
      <c r="H209" t="n">
        <v>0</v>
      </c>
      <c r="I209" t="n">
        <v>0</v>
      </c>
      <c r="J209" t="n">
        <v>0</v>
      </c>
      <c r="K209" t="n">
        <v>0</v>
      </c>
      <c r="L209" t="n">
        <v>0</v>
      </c>
      <c r="M209" t="n">
        <v>0</v>
      </c>
      <c r="N209" t="n">
        <v>0</v>
      </c>
      <c r="O209" t="n">
        <v>0</v>
      </c>
      <c r="P209" t="n">
        <v>0</v>
      </c>
      <c r="Q209" t="n">
        <v>0</v>
      </c>
      <c r="R209" s="2" t="inlineStr"/>
    </row>
    <row r="210" ht="15" customHeight="1">
      <c r="A210" t="inlineStr">
        <is>
          <t>A 2311-2021</t>
        </is>
      </c>
      <c r="B210" s="1" t="n">
        <v>44213</v>
      </c>
      <c r="C210" s="1" t="n">
        <v>45346</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9131-2021</t>
        </is>
      </c>
      <c r="B211" s="1" t="n">
        <v>44249</v>
      </c>
      <c r="C211" s="1" t="n">
        <v>45346</v>
      </c>
      <c r="D211" t="inlineStr">
        <is>
          <t>DALARNAS LÄN</t>
        </is>
      </c>
      <c r="E211" t="inlineStr">
        <is>
          <t>LEKSAND</t>
        </is>
      </c>
      <c r="G211" t="n">
        <v>1.1</v>
      </c>
      <c r="H211" t="n">
        <v>0</v>
      </c>
      <c r="I211" t="n">
        <v>0</v>
      </c>
      <c r="J211" t="n">
        <v>0</v>
      </c>
      <c r="K211" t="n">
        <v>0</v>
      </c>
      <c r="L211" t="n">
        <v>0</v>
      </c>
      <c r="M211" t="n">
        <v>0</v>
      </c>
      <c r="N211" t="n">
        <v>0</v>
      </c>
      <c r="O211" t="n">
        <v>0</v>
      </c>
      <c r="P211" t="n">
        <v>0</v>
      </c>
      <c r="Q211" t="n">
        <v>0</v>
      </c>
      <c r="R211" s="2" t="inlineStr"/>
    </row>
    <row r="212" ht="15" customHeight="1">
      <c r="A212" t="inlineStr">
        <is>
          <t>A 9133-2021</t>
        </is>
      </c>
      <c r="B212" s="1" t="n">
        <v>44249</v>
      </c>
      <c r="C212" s="1" t="n">
        <v>45346</v>
      </c>
      <c r="D212" t="inlineStr">
        <is>
          <t>DALARNAS LÄN</t>
        </is>
      </c>
      <c r="E212" t="inlineStr">
        <is>
          <t>LEKSAND</t>
        </is>
      </c>
      <c r="G212" t="n">
        <v>2.5</v>
      </c>
      <c r="H212" t="n">
        <v>0</v>
      </c>
      <c r="I212" t="n">
        <v>0</v>
      </c>
      <c r="J212" t="n">
        <v>0</v>
      </c>
      <c r="K212" t="n">
        <v>0</v>
      </c>
      <c r="L212" t="n">
        <v>0</v>
      </c>
      <c r="M212" t="n">
        <v>0</v>
      </c>
      <c r="N212" t="n">
        <v>0</v>
      </c>
      <c r="O212" t="n">
        <v>0</v>
      </c>
      <c r="P212" t="n">
        <v>0</v>
      </c>
      <c r="Q212" t="n">
        <v>0</v>
      </c>
      <c r="R212" s="2" t="inlineStr"/>
    </row>
    <row r="213" ht="15" customHeight="1">
      <c r="A213" t="inlineStr">
        <is>
          <t>A 13705-2021</t>
        </is>
      </c>
      <c r="B213" s="1" t="n">
        <v>44274</v>
      </c>
      <c r="C213" s="1" t="n">
        <v>45346</v>
      </c>
      <c r="D213" t="inlineStr">
        <is>
          <t>DALARNAS LÄN</t>
        </is>
      </c>
      <c r="E213" t="inlineStr">
        <is>
          <t>LEKSAND</t>
        </is>
      </c>
      <c r="G213" t="n">
        <v>3.8</v>
      </c>
      <c r="H213" t="n">
        <v>0</v>
      </c>
      <c r="I213" t="n">
        <v>0</v>
      </c>
      <c r="J213" t="n">
        <v>0</v>
      </c>
      <c r="K213" t="n">
        <v>0</v>
      </c>
      <c r="L213" t="n">
        <v>0</v>
      </c>
      <c r="M213" t="n">
        <v>0</v>
      </c>
      <c r="N213" t="n">
        <v>0</v>
      </c>
      <c r="O213" t="n">
        <v>0</v>
      </c>
      <c r="P213" t="n">
        <v>0</v>
      </c>
      <c r="Q213" t="n">
        <v>0</v>
      </c>
      <c r="R213" s="2" t="inlineStr"/>
    </row>
    <row r="214" ht="15" customHeight="1">
      <c r="A214" t="inlineStr">
        <is>
          <t>A 16231-2021</t>
        </is>
      </c>
      <c r="B214" s="1" t="n">
        <v>44292</v>
      </c>
      <c r="C214" s="1" t="n">
        <v>45346</v>
      </c>
      <c r="D214" t="inlineStr">
        <is>
          <t>DALARNAS LÄN</t>
        </is>
      </c>
      <c r="E214" t="inlineStr">
        <is>
          <t>LEKSAND</t>
        </is>
      </c>
      <c r="G214" t="n">
        <v>1.1</v>
      </c>
      <c r="H214" t="n">
        <v>0</v>
      </c>
      <c r="I214" t="n">
        <v>0</v>
      </c>
      <c r="J214" t="n">
        <v>0</v>
      </c>
      <c r="K214" t="n">
        <v>0</v>
      </c>
      <c r="L214" t="n">
        <v>0</v>
      </c>
      <c r="M214" t="n">
        <v>0</v>
      </c>
      <c r="N214" t="n">
        <v>0</v>
      </c>
      <c r="O214" t="n">
        <v>0</v>
      </c>
      <c r="P214" t="n">
        <v>0</v>
      </c>
      <c r="Q214" t="n">
        <v>0</v>
      </c>
      <c r="R214" s="2" t="inlineStr"/>
    </row>
    <row r="215" ht="15" customHeight="1">
      <c r="A215" t="inlineStr">
        <is>
          <t>A 17615-2021</t>
        </is>
      </c>
      <c r="B215" s="1" t="n">
        <v>44299</v>
      </c>
      <c r="C215" s="1" t="n">
        <v>45346</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18267-2021</t>
        </is>
      </c>
      <c r="B216" s="1" t="n">
        <v>44305</v>
      </c>
      <c r="C216" s="1" t="n">
        <v>45346</v>
      </c>
      <c r="D216" t="inlineStr">
        <is>
          <t>DALARNAS LÄN</t>
        </is>
      </c>
      <c r="E216" t="inlineStr">
        <is>
          <t>LEKSAND</t>
        </is>
      </c>
      <c r="G216" t="n">
        <v>1.1</v>
      </c>
      <c r="H216" t="n">
        <v>0</v>
      </c>
      <c r="I216" t="n">
        <v>0</v>
      </c>
      <c r="J216" t="n">
        <v>0</v>
      </c>
      <c r="K216" t="n">
        <v>0</v>
      </c>
      <c r="L216" t="n">
        <v>0</v>
      </c>
      <c r="M216" t="n">
        <v>0</v>
      </c>
      <c r="N216" t="n">
        <v>0</v>
      </c>
      <c r="O216" t="n">
        <v>0</v>
      </c>
      <c r="P216" t="n">
        <v>0</v>
      </c>
      <c r="Q216" t="n">
        <v>0</v>
      </c>
      <c r="R216" s="2" t="inlineStr"/>
    </row>
    <row r="217" ht="15" customHeight="1">
      <c r="A217" t="inlineStr">
        <is>
          <t>A 18706-2021</t>
        </is>
      </c>
      <c r="B217" s="1" t="n">
        <v>44307</v>
      </c>
      <c r="C217" s="1" t="n">
        <v>45346</v>
      </c>
      <c r="D217" t="inlineStr">
        <is>
          <t>DALARNAS LÄN</t>
        </is>
      </c>
      <c r="E217" t="inlineStr">
        <is>
          <t>LEKSAND</t>
        </is>
      </c>
      <c r="G217" t="n">
        <v>3.4</v>
      </c>
      <c r="H217" t="n">
        <v>0</v>
      </c>
      <c r="I217" t="n">
        <v>0</v>
      </c>
      <c r="J217" t="n">
        <v>0</v>
      </c>
      <c r="K217" t="n">
        <v>0</v>
      </c>
      <c r="L217" t="n">
        <v>0</v>
      </c>
      <c r="M217" t="n">
        <v>0</v>
      </c>
      <c r="N217" t="n">
        <v>0</v>
      </c>
      <c r="O217" t="n">
        <v>0</v>
      </c>
      <c r="P217" t="n">
        <v>0</v>
      </c>
      <c r="Q217" t="n">
        <v>0</v>
      </c>
      <c r="R217" s="2" t="inlineStr"/>
    </row>
    <row r="218" ht="15" customHeight="1">
      <c r="A218" t="inlineStr">
        <is>
          <t>A 19677-2021</t>
        </is>
      </c>
      <c r="B218" s="1" t="n">
        <v>44312</v>
      </c>
      <c r="C218" s="1" t="n">
        <v>45346</v>
      </c>
      <c r="D218" t="inlineStr">
        <is>
          <t>DALARNAS LÄN</t>
        </is>
      </c>
      <c r="E218" t="inlineStr">
        <is>
          <t>LEKSAND</t>
        </is>
      </c>
      <c r="F218" t="inlineStr">
        <is>
          <t>Bergvik skog väst AB</t>
        </is>
      </c>
      <c r="G218" t="n">
        <v>3.1</v>
      </c>
      <c r="H218" t="n">
        <v>0</v>
      </c>
      <c r="I218" t="n">
        <v>0</v>
      </c>
      <c r="J218" t="n">
        <v>0</v>
      </c>
      <c r="K218" t="n">
        <v>0</v>
      </c>
      <c r="L218" t="n">
        <v>0</v>
      </c>
      <c r="M218" t="n">
        <v>0</v>
      </c>
      <c r="N218" t="n">
        <v>0</v>
      </c>
      <c r="O218" t="n">
        <v>0</v>
      </c>
      <c r="P218" t="n">
        <v>0</v>
      </c>
      <c r="Q218" t="n">
        <v>0</v>
      </c>
      <c r="R218" s="2" t="inlineStr"/>
    </row>
    <row r="219" ht="15" customHeight="1">
      <c r="A219" t="inlineStr">
        <is>
          <t>A 21132-2021</t>
        </is>
      </c>
      <c r="B219" s="1" t="n">
        <v>44319</v>
      </c>
      <c r="C219" s="1" t="n">
        <v>45346</v>
      </c>
      <c r="D219" t="inlineStr">
        <is>
          <t>DALARNAS LÄN</t>
        </is>
      </c>
      <c r="E219" t="inlineStr">
        <is>
          <t>LEKSAND</t>
        </is>
      </c>
      <c r="G219" t="n">
        <v>6.8</v>
      </c>
      <c r="H219" t="n">
        <v>0</v>
      </c>
      <c r="I219" t="n">
        <v>0</v>
      </c>
      <c r="J219" t="n">
        <v>0</v>
      </c>
      <c r="K219" t="n">
        <v>0</v>
      </c>
      <c r="L219" t="n">
        <v>0</v>
      </c>
      <c r="M219" t="n">
        <v>0</v>
      </c>
      <c r="N219" t="n">
        <v>0</v>
      </c>
      <c r="O219" t="n">
        <v>0</v>
      </c>
      <c r="P219" t="n">
        <v>0</v>
      </c>
      <c r="Q219" t="n">
        <v>0</v>
      </c>
      <c r="R219" s="2" t="inlineStr"/>
    </row>
    <row r="220" ht="15" customHeight="1">
      <c r="A220" t="inlineStr">
        <is>
          <t>A 21968-2021</t>
        </is>
      </c>
      <c r="B220" s="1" t="n">
        <v>44323</v>
      </c>
      <c r="C220" s="1" t="n">
        <v>45346</v>
      </c>
      <c r="D220" t="inlineStr">
        <is>
          <t>DALARNAS LÄN</t>
        </is>
      </c>
      <c r="E220" t="inlineStr">
        <is>
          <t>LEKSAND</t>
        </is>
      </c>
      <c r="G220" t="n">
        <v>1.4</v>
      </c>
      <c r="H220" t="n">
        <v>0</v>
      </c>
      <c r="I220" t="n">
        <v>0</v>
      </c>
      <c r="J220" t="n">
        <v>0</v>
      </c>
      <c r="K220" t="n">
        <v>0</v>
      </c>
      <c r="L220" t="n">
        <v>0</v>
      </c>
      <c r="M220" t="n">
        <v>0</v>
      </c>
      <c r="N220" t="n">
        <v>0</v>
      </c>
      <c r="O220" t="n">
        <v>0</v>
      </c>
      <c r="P220" t="n">
        <v>0</v>
      </c>
      <c r="Q220" t="n">
        <v>0</v>
      </c>
      <c r="R220" s="2" t="inlineStr"/>
    </row>
    <row r="221" ht="15" customHeight="1">
      <c r="A221" t="inlineStr">
        <is>
          <t>A 21969-2021</t>
        </is>
      </c>
      <c r="B221" s="1" t="n">
        <v>44323</v>
      </c>
      <c r="C221" s="1" t="n">
        <v>45346</v>
      </c>
      <c r="D221" t="inlineStr">
        <is>
          <t>DALARNAS LÄN</t>
        </is>
      </c>
      <c r="E221" t="inlineStr">
        <is>
          <t>LEKSAND</t>
        </is>
      </c>
      <c r="G221" t="n">
        <v>3.8</v>
      </c>
      <c r="H221" t="n">
        <v>0</v>
      </c>
      <c r="I221" t="n">
        <v>0</v>
      </c>
      <c r="J221" t="n">
        <v>0</v>
      </c>
      <c r="K221" t="n">
        <v>0</v>
      </c>
      <c r="L221" t="n">
        <v>0</v>
      </c>
      <c r="M221" t="n">
        <v>0</v>
      </c>
      <c r="N221" t="n">
        <v>0</v>
      </c>
      <c r="O221" t="n">
        <v>0</v>
      </c>
      <c r="P221" t="n">
        <v>0</v>
      </c>
      <c r="Q221" t="n">
        <v>0</v>
      </c>
      <c r="R221" s="2" t="inlineStr"/>
    </row>
    <row r="222" ht="15" customHeight="1">
      <c r="A222" t="inlineStr">
        <is>
          <t>A 21965-2021</t>
        </is>
      </c>
      <c r="B222" s="1" t="n">
        <v>44323</v>
      </c>
      <c r="C222" s="1" t="n">
        <v>45346</v>
      </c>
      <c r="D222" t="inlineStr">
        <is>
          <t>DALARNAS LÄN</t>
        </is>
      </c>
      <c r="E222" t="inlineStr">
        <is>
          <t>LEKSAND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22431-2021</t>
        </is>
      </c>
      <c r="B223" s="1" t="n">
        <v>44326</v>
      </c>
      <c r="C223" s="1" t="n">
        <v>45346</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22703-2021</t>
        </is>
      </c>
      <c r="B224" s="1" t="n">
        <v>44327</v>
      </c>
      <c r="C224" s="1" t="n">
        <v>45346</v>
      </c>
      <c r="D224" t="inlineStr">
        <is>
          <t>DALARNAS LÄN</t>
        </is>
      </c>
      <c r="E224" t="inlineStr">
        <is>
          <t>LEKSAND</t>
        </is>
      </c>
      <c r="F224" t="inlineStr">
        <is>
          <t>Bergvik skog väst AB</t>
        </is>
      </c>
      <c r="G224" t="n">
        <v>3.4</v>
      </c>
      <c r="H224" t="n">
        <v>0</v>
      </c>
      <c r="I224" t="n">
        <v>0</v>
      </c>
      <c r="J224" t="n">
        <v>0</v>
      </c>
      <c r="K224" t="n">
        <v>0</v>
      </c>
      <c r="L224" t="n">
        <v>0</v>
      </c>
      <c r="M224" t="n">
        <v>0</v>
      </c>
      <c r="N224" t="n">
        <v>0</v>
      </c>
      <c r="O224" t="n">
        <v>0</v>
      </c>
      <c r="P224" t="n">
        <v>0</v>
      </c>
      <c r="Q224" t="n">
        <v>0</v>
      </c>
      <c r="R224" s="2" t="inlineStr"/>
      <c r="U224">
        <f>HYPERLINK("https://klasma.github.io/Logging_2029/knärot/A 22703-2021 karta knärot.png", "A 22703-2021")</f>
        <v/>
      </c>
      <c r="V224">
        <f>HYPERLINK("https://klasma.github.io/Logging_2029/klagomål/A 22703-2021 FSC-klagomål.docx", "A 22703-2021")</f>
        <v/>
      </c>
      <c r="W224">
        <f>HYPERLINK("https://klasma.github.io/Logging_2029/klagomålsmail/A 22703-2021 FSC-klagomål mail.docx", "A 22703-2021")</f>
        <v/>
      </c>
      <c r="X224">
        <f>HYPERLINK("https://klasma.github.io/Logging_2029/tillsyn/A 22703-2021 tillsynsbegäran.docx", "A 22703-2021")</f>
        <v/>
      </c>
      <c r="Y224">
        <f>HYPERLINK("https://klasma.github.io/Logging_2029/tillsynsmail/A 22703-2021 tillsynsbegäran mail.docx", "A 22703-2021")</f>
        <v/>
      </c>
    </row>
    <row r="225" ht="15" customHeight="1">
      <c r="A225" t="inlineStr">
        <is>
          <t>A 22684-2021</t>
        </is>
      </c>
      <c r="B225" s="1" t="n">
        <v>44327</v>
      </c>
      <c r="C225" s="1" t="n">
        <v>45346</v>
      </c>
      <c r="D225" t="inlineStr">
        <is>
          <t>DALARNAS LÄN</t>
        </is>
      </c>
      <c r="E225" t="inlineStr">
        <is>
          <t>LEKSAND</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22999-2021</t>
        </is>
      </c>
      <c r="B226" s="1" t="n">
        <v>44328</v>
      </c>
      <c r="C226" s="1" t="n">
        <v>45346</v>
      </c>
      <c r="D226" t="inlineStr">
        <is>
          <t>DALARNAS LÄN</t>
        </is>
      </c>
      <c r="E226" t="inlineStr">
        <is>
          <t>LEKSAND</t>
        </is>
      </c>
      <c r="F226" t="inlineStr">
        <is>
          <t>Bergvik skog väst AB</t>
        </is>
      </c>
      <c r="G226" t="n">
        <v>8.5</v>
      </c>
      <c r="H226" t="n">
        <v>0</v>
      </c>
      <c r="I226" t="n">
        <v>0</v>
      </c>
      <c r="J226" t="n">
        <v>0</v>
      </c>
      <c r="K226" t="n">
        <v>0</v>
      </c>
      <c r="L226" t="n">
        <v>0</v>
      </c>
      <c r="M226" t="n">
        <v>0</v>
      </c>
      <c r="N226" t="n">
        <v>0</v>
      </c>
      <c r="O226" t="n">
        <v>0</v>
      </c>
      <c r="P226" t="n">
        <v>0</v>
      </c>
      <c r="Q226" t="n">
        <v>0</v>
      </c>
      <c r="R226" s="2" t="inlineStr"/>
    </row>
    <row r="227" ht="15" customHeight="1">
      <c r="A227" t="inlineStr">
        <is>
          <t>A 23824-2021</t>
        </is>
      </c>
      <c r="B227" s="1" t="n">
        <v>44335</v>
      </c>
      <c r="C227" s="1" t="n">
        <v>45346</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24142-2021</t>
        </is>
      </c>
      <c r="B228" s="1" t="n">
        <v>44336</v>
      </c>
      <c r="C228" s="1" t="n">
        <v>45346</v>
      </c>
      <c r="D228" t="inlineStr">
        <is>
          <t>DALARNAS LÄN</t>
        </is>
      </c>
      <c r="E228" t="inlineStr">
        <is>
          <t>LEKSAND</t>
        </is>
      </c>
      <c r="F228" t="inlineStr">
        <is>
          <t>Bergvik skog väst AB</t>
        </is>
      </c>
      <c r="G228" t="n">
        <v>18.9</v>
      </c>
      <c r="H228" t="n">
        <v>0</v>
      </c>
      <c r="I228" t="n">
        <v>0</v>
      </c>
      <c r="J228" t="n">
        <v>0</v>
      </c>
      <c r="K228" t="n">
        <v>0</v>
      </c>
      <c r="L228" t="n">
        <v>0</v>
      </c>
      <c r="M228" t="n">
        <v>0</v>
      </c>
      <c r="N228" t="n">
        <v>0</v>
      </c>
      <c r="O228" t="n">
        <v>0</v>
      </c>
      <c r="P228" t="n">
        <v>0</v>
      </c>
      <c r="Q228" t="n">
        <v>0</v>
      </c>
      <c r="R228" s="2" t="inlineStr"/>
    </row>
    <row r="229" ht="15" customHeight="1">
      <c r="A229" t="inlineStr">
        <is>
          <t>A 24479-2021</t>
        </is>
      </c>
      <c r="B229" s="1" t="n">
        <v>44337</v>
      </c>
      <c r="C229" s="1" t="n">
        <v>45346</v>
      </c>
      <c r="D229" t="inlineStr">
        <is>
          <t>DALARNAS LÄN</t>
        </is>
      </c>
      <c r="E229" t="inlineStr">
        <is>
          <t>LEKSAND</t>
        </is>
      </c>
      <c r="F229" t="inlineStr">
        <is>
          <t>Bergvik skog väst AB</t>
        </is>
      </c>
      <c r="G229" t="n">
        <v>6.6</v>
      </c>
      <c r="H229" t="n">
        <v>0</v>
      </c>
      <c r="I229" t="n">
        <v>0</v>
      </c>
      <c r="J229" t="n">
        <v>0</v>
      </c>
      <c r="K229" t="n">
        <v>0</v>
      </c>
      <c r="L229" t="n">
        <v>0</v>
      </c>
      <c r="M229" t="n">
        <v>0</v>
      </c>
      <c r="N229" t="n">
        <v>0</v>
      </c>
      <c r="O229" t="n">
        <v>0</v>
      </c>
      <c r="P229" t="n">
        <v>0</v>
      </c>
      <c r="Q229" t="n">
        <v>0</v>
      </c>
      <c r="R229" s="2" t="inlineStr"/>
    </row>
    <row r="230" ht="15" customHeight="1">
      <c r="A230" t="inlineStr">
        <is>
          <t>A 26738-2021</t>
        </is>
      </c>
      <c r="B230" s="1" t="n">
        <v>44349</v>
      </c>
      <c r="C230" s="1" t="n">
        <v>45346</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27154-2021</t>
        </is>
      </c>
      <c r="B231" s="1" t="n">
        <v>44350</v>
      </c>
      <c r="C231" s="1" t="n">
        <v>45346</v>
      </c>
      <c r="D231" t="inlineStr">
        <is>
          <t>DALARNAS LÄN</t>
        </is>
      </c>
      <c r="E231" t="inlineStr">
        <is>
          <t>LEKSAND</t>
        </is>
      </c>
      <c r="G231" t="n">
        <v>0.7</v>
      </c>
      <c r="H231" t="n">
        <v>0</v>
      </c>
      <c r="I231" t="n">
        <v>0</v>
      </c>
      <c r="J231" t="n">
        <v>0</v>
      </c>
      <c r="K231" t="n">
        <v>0</v>
      </c>
      <c r="L231" t="n">
        <v>0</v>
      </c>
      <c r="M231" t="n">
        <v>0</v>
      </c>
      <c r="N231" t="n">
        <v>0</v>
      </c>
      <c r="O231" t="n">
        <v>0</v>
      </c>
      <c r="P231" t="n">
        <v>0</v>
      </c>
      <c r="Q231" t="n">
        <v>0</v>
      </c>
      <c r="R231" s="2" t="inlineStr"/>
    </row>
    <row r="232" ht="15" customHeight="1">
      <c r="A232" t="inlineStr">
        <is>
          <t>A 27317-2021</t>
        </is>
      </c>
      <c r="B232" s="1" t="n">
        <v>44351</v>
      </c>
      <c r="C232" s="1" t="n">
        <v>45346</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32152-2021</t>
        </is>
      </c>
      <c r="B233" s="1" t="n">
        <v>44371</v>
      </c>
      <c r="C233" s="1" t="n">
        <v>45346</v>
      </c>
      <c r="D233" t="inlineStr">
        <is>
          <t>DALARNAS LÄN</t>
        </is>
      </c>
      <c r="E233" t="inlineStr">
        <is>
          <t>LEKSAND</t>
        </is>
      </c>
      <c r="G233" t="n">
        <v>2.1</v>
      </c>
      <c r="H233" t="n">
        <v>0</v>
      </c>
      <c r="I233" t="n">
        <v>0</v>
      </c>
      <c r="J233" t="n">
        <v>0</v>
      </c>
      <c r="K233" t="n">
        <v>0</v>
      </c>
      <c r="L233" t="n">
        <v>0</v>
      </c>
      <c r="M233" t="n">
        <v>0</v>
      </c>
      <c r="N233" t="n">
        <v>0</v>
      </c>
      <c r="O233" t="n">
        <v>0</v>
      </c>
      <c r="P233" t="n">
        <v>0</v>
      </c>
      <c r="Q233" t="n">
        <v>0</v>
      </c>
      <c r="R233" s="2" t="inlineStr"/>
    </row>
    <row r="234" ht="15" customHeight="1">
      <c r="A234" t="inlineStr">
        <is>
          <t>A 32635-2021</t>
        </is>
      </c>
      <c r="B234" s="1" t="n">
        <v>44374</v>
      </c>
      <c r="C234" s="1" t="n">
        <v>45346</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33072-2021</t>
        </is>
      </c>
      <c r="B235" s="1" t="n">
        <v>44375</v>
      </c>
      <c r="C235" s="1" t="n">
        <v>45346</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33170-2021</t>
        </is>
      </c>
      <c r="B236" s="1" t="n">
        <v>44376</v>
      </c>
      <c r="C236" s="1" t="n">
        <v>45346</v>
      </c>
      <c r="D236" t="inlineStr">
        <is>
          <t>DALARNAS LÄN</t>
        </is>
      </c>
      <c r="E236" t="inlineStr">
        <is>
          <t>LEKSAND</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34869-2021</t>
        </is>
      </c>
      <c r="B237" s="1" t="n">
        <v>44383</v>
      </c>
      <c r="C237" s="1" t="n">
        <v>45346</v>
      </c>
      <c r="D237" t="inlineStr">
        <is>
          <t>DALARNAS LÄN</t>
        </is>
      </c>
      <c r="E237" t="inlineStr">
        <is>
          <t>LEKSAND</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34867-2021</t>
        </is>
      </c>
      <c r="B238" s="1" t="n">
        <v>44383</v>
      </c>
      <c r="C238" s="1" t="n">
        <v>45346</v>
      </c>
      <c r="D238" t="inlineStr">
        <is>
          <t>DALARNAS LÄN</t>
        </is>
      </c>
      <c r="E238" t="inlineStr">
        <is>
          <t>LEKSAND</t>
        </is>
      </c>
      <c r="F238" t="inlineStr">
        <is>
          <t>Bergvik skog väst AB</t>
        </is>
      </c>
      <c r="G238" t="n">
        <v>2.5</v>
      </c>
      <c r="H238" t="n">
        <v>0</v>
      </c>
      <c r="I238" t="n">
        <v>0</v>
      </c>
      <c r="J238" t="n">
        <v>0</v>
      </c>
      <c r="K238" t="n">
        <v>0</v>
      </c>
      <c r="L238" t="n">
        <v>0</v>
      </c>
      <c r="M238" t="n">
        <v>0</v>
      </c>
      <c r="N238" t="n">
        <v>0</v>
      </c>
      <c r="O238" t="n">
        <v>0</v>
      </c>
      <c r="P238" t="n">
        <v>0</v>
      </c>
      <c r="Q238" t="n">
        <v>0</v>
      </c>
      <c r="R238" s="2" t="inlineStr"/>
    </row>
    <row r="239" ht="15" customHeight="1">
      <c r="A239" t="inlineStr">
        <is>
          <t>A 34911-2021</t>
        </is>
      </c>
      <c r="B239" s="1" t="n">
        <v>44383</v>
      </c>
      <c r="C239" s="1" t="n">
        <v>45346</v>
      </c>
      <c r="D239" t="inlineStr">
        <is>
          <t>DALARNAS LÄN</t>
        </is>
      </c>
      <c r="E239" t="inlineStr">
        <is>
          <t>LEKSAND</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36438-2021</t>
        </is>
      </c>
      <c r="B240" s="1" t="n">
        <v>44390</v>
      </c>
      <c r="C240" s="1" t="n">
        <v>45346</v>
      </c>
      <c r="D240" t="inlineStr">
        <is>
          <t>DALARNAS LÄN</t>
        </is>
      </c>
      <c r="E240" t="inlineStr">
        <is>
          <t>LEKSAND</t>
        </is>
      </c>
      <c r="G240" t="n">
        <v>5</v>
      </c>
      <c r="H240" t="n">
        <v>0</v>
      </c>
      <c r="I240" t="n">
        <v>0</v>
      </c>
      <c r="J240" t="n">
        <v>0</v>
      </c>
      <c r="K240" t="n">
        <v>0</v>
      </c>
      <c r="L240" t="n">
        <v>0</v>
      </c>
      <c r="M240" t="n">
        <v>0</v>
      </c>
      <c r="N240" t="n">
        <v>0</v>
      </c>
      <c r="O240" t="n">
        <v>0</v>
      </c>
      <c r="P240" t="n">
        <v>0</v>
      </c>
      <c r="Q240" t="n">
        <v>0</v>
      </c>
      <c r="R240" s="2" t="inlineStr"/>
    </row>
    <row r="241" ht="15" customHeight="1">
      <c r="A241" t="inlineStr">
        <is>
          <t>A 36956-2021</t>
        </is>
      </c>
      <c r="B241" s="1" t="n">
        <v>44393</v>
      </c>
      <c r="C241" s="1" t="n">
        <v>45346</v>
      </c>
      <c r="D241" t="inlineStr">
        <is>
          <t>DALARNAS LÄN</t>
        </is>
      </c>
      <c r="E241" t="inlineStr">
        <is>
          <t>LEKSAND</t>
        </is>
      </c>
      <c r="G241" t="n">
        <v>4.1</v>
      </c>
      <c r="H241" t="n">
        <v>0</v>
      </c>
      <c r="I241" t="n">
        <v>0</v>
      </c>
      <c r="J241" t="n">
        <v>0</v>
      </c>
      <c r="K241" t="n">
        <v>0</v>
      </c>
      <c r="L241" t="n">
        <v>0</v>
      </c>
      <c r="M241" t="n">
        <v>0</v>
      </c>
      <c r="N241" t="n">
        <v>0</v>
      </c>
      <c r="O241" t="n">
        <v>0</v>
      </c>
      <c r="P241" t="n">
        <v>0</v>
      </c>
      <c r="Q241" t="n">
        <v>0</v>
      </c>
      <c r="R241" s="2" t="inlineStr"/>
    </row>
    <row r="242" ht="15" customHeight="1">
      <c r="A242" t="inlineStr">
        <is>
          <t>A 37073-2021</t>
        </is>
      </c>
      <c r="B242" s="1" t="n">
        <v>44394</v>
      </c>
      <c r="C242" s="1" t="n">
        <v>45346</v>
      </c>
      <c r="D242" t="inlineStr">
        <is>
          <t>DALARNAS LÄN</t>
        </is>
      </c>
      <c r="E242" t="inlineStr">
        <is>
          <t>LEKSAND</t>
        </is>
      </c>
      <c r="F242" t="inlineStr">
        <is>
          <t>Bergvik skog väst AB</t>
        </is>
      </c>
      <c r="G242" t="n">
        <v>0.5</v>
      </c>
      <c r="H242" t="n">
        <v>0</v>
      </c>
      <c r="I242" t="n">
        <v>0</v>
      </c>
      <c r="J242" t="n">
        <v>0</v>
      </c>
      <c r="K242" t="n">
        <v>0</v>
      </c>
      <c r="L242" t="n">
        <v>0</v>
      </c>
      <c r="M242" t="n">
        <v>0</v>
      </c>
      <c r="N242" t="n">
        <v>0</v>
      </c>
      <c r="O242" t="n">
        <v>0</v>
      </c>
      <c r="P242" t="n">
        <v>0</v>
      </c>
      <c r="Q242" t="n">
        <v>0</v>
      </c>
      <c r="R242" s="2" t="inlineStr"/>
    </row>
    <row r="243" ht="15" customHeight="1">
      <c r="A243" t="inlineStr">
        <is>
          <t>A 37283-2021</t>
        </is>
      </c>
      <c r="B243" s="1" t="n">
        <v>44397</v>
      </c>
      <c r="C243" s="1" t="n">
        <v>45346</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37531-2021</t>
        </is>
      </c>
      <c r="B244" s="1" t="n">
        <v>44399</v>
      </c>
      <c r="C244" s="1" t="n">
        <v>45346</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38192-2021</t>
        </is>
      </c>
      <c r="B245" s="1" t="n">
        <v>44405</v>
      </c>
      <c r="C245" s="1" t="n">
        <v>45346</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38619-2021</t>
        </is>
      </c>
      <c r="B246" s="1" t="n">
        <v>44409</v>
      </c>
      <c r="C246" s="1" t="n">
        <v>45346</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39203-2021</t>
        </is>
      </c>
      <c r="B247" s="1" t="n">
        <v>44413</v>
      </c>
      <c r="C247" s="1" t="n">
        <v>45346</v>
      </c>
      <c r="D247" t="inlineStr">
        <is>
          <t>DALARNAS LÄN</t>
        </is>
      </c>
      <c r="E247" t="inlineStr">
        <is>
          <t>LEKSAND</t>
        </is>
      </c>
      <c r="G247" t="n">
        <v>5</v>
      </c>
      <c r="H247" t="n">
        <v>0</v>
      </c>
      <c r="I247" t="n">
        <v>0</v>
      </c>
      <c r="J247" t="n">
        <v>0</v>
      </c>
      <c r="K247" t="n">
        <v>0</v>
      </c>
      <c r="L247" t="n">
        <v>0</v>
      </c>
      <c r="M247" t="n">
        <v>0</v>
      </c>
      <c r="N247" t="n">
        <v>0</v>
      </c>
      <c r="O247" t="n">
        <v>0</v>
      </c>
      <c r="P247" t="n">
        <v>0</v>
      </c>
      <c r="Q247" t="n">
        <v>0</v>
      </c>
      <c r="R247" s="2" t="inlineStr"/>
    </row>
    <row r="248" ht="15" customHeight="1">
      <c r="A248" t="inlineStr">
        <is>
          <t>A 40584-2021</t>
        </is>
      </c>
      <c r="B248" s="1" t="n">
        <v>44420</v>
      </c>
      <c r="C248" s="1" t="n">
        <v>45346</v>
      </c>
      <c r="D248" t="inlineStr">
        <is>
          <t>DALARNAS LÄN</t>
        </is>
      </c>
      <c r="E248" t="inlineStr">
        <is>
          <t>LEKSAND</t>
        </is>
      </c>
      <c r="G248" t="n">
        <v>6</v>
      </c>
      <c r="H248" t="n">
        <v>0</v>
      </c>
      <c r="I248" t="n">
        <v>0</v>
      </c>
      <c r="J248" t="n">
        <v>0</v>
      </c>
      <c r="K248" t="n">
        <v>0</v>
      </c>
      <c r="L248" t="n">
        <v>0</v>
      </c>
      <c r="M248" t="n">
        <v>0</v>
      </c>
      <c r="N248" t="n">
        <v>0</v>
      </c>
      <c r="O248" t="n">
        <v>0</v>
      </c>
      <c r="P248" t="n">
        <v>0</v>
      </c>
      <c r="Q248" t="n">
        <v>0</v>
      </c>
      <c r="R248" s="2" t="inlineStr"/>
    </row>
    <row r="249" ht="15" customHeight="1">
      <c r="A249" t="inlineStr">
        <is>
          <t>A 42952-2021</t>
        </is>
      </c>
      <c r="B249" s="1" t="n">
        <v>44431</v>
      </c>
      <c r="C249" s="1" t="n">
        <v>45346</v>
      </c>
      <c r="D249" t="inlineStr">
        <is>
          <t>DALARNAS LÄN</t>
        </is>
      </c>
      <c r="E249" t="inlineStr">
        <is>
          <t>LEKSAND</t>
        </is>
      </c>
      <c r="G249" t="n">
        <v>5.4</v>
      </c>
      <c r="H249" t="n">
        <v>0</v>
      </c>
      <c r="I249" t="n">
        <v>0</v>
      </c>
      <c r="J249" t="n">
        <v>0</v>
      </c>
      <c r="K249" t="n">
        <v>0</v>
      </c>
      <c r="L249" t="n">
        <v>0</v>
      </c>
      <c r="M249" t="n">
        <v>0</v>
      </c>
      <c r="N249" t="n">
        <v>0</v>
      </c>
      <c r="O249" t="n">
        <v>0</v>
      </c>
      <c r="P249" t="n">
        <v>0</v>
      </c>
      <c r="Q249" t="n">
        <v>0</v>
      </c>
      <c r="R249" s="2" t="inlineStr"/>
    </row>
    <row r="250" ht="15" customHeight="1">
      <c r="A250" t="inlineStr">
        <is>
          <t>A 43410-2021</t>
        </is>
      </c>
      <c r="B250" s="1" t="n">
        <v>44432</v>
      </c>
      <c r="C250" s="1" t="n">
        <v>45346</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44922-2021</t>
        </is>
      </c>
      <c r="B251" s="1" t="n">
        <v>44438</v>
      </c>
      <c r="C251" s="1" t="n">
        <v>45346</v>
      </c>
      <c r="D251" t="inlineStr">
        <is>
          <t>DALARNAS LÄN</t>
        </is>
      </c>
      <c r="E251" t="inlineStr">
        <is>
          <t>LEKSAND</t>
        </is>
      </c>
      <c r="G251" t="n">
        <v>0.8</v>
      </c>
      <c r="H251" t="n">
        <v>0</v>
      </c>
      <c r="I251" t="n">
        <v>0</v>
      </c>
      <c r="J251" t="n">
        <v>0</v>
      </c>
      <c r="K251" t="n">
        <v>0</v>
      </c>
      <c r="L251" t="n">
        <v>0</v>
      </c>
      <c r="M251" t="n">
        <v>0</v>
      </c>
      <c r="N251" t="n">
        <v>0</v>
      </c>
      <c r="O251" t="n">
        <v>0</v>
      </c>
      <c r="P251" t="n">
        <v>0</v>
      </c>
      <c r="Q251" t="n">
        <v>0</v>
      </c>
      <c r="R251" s="2" t="inlineStr"/>
    </row>
    <row r="252" ht="15" customHeight="1">
      <c r="A252" t="inlineStr">
        <is>
          <t>A 45155-2021</t>
        </is>
      </c>
      <c r="B252" s="1" t="n">
        <v>44439</v>
      </c>
      <c r="C252" s="1" t="n">
        <v>45346</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45788-2021</t>
        </is>
      </c>
      <c r="B253" s="1" t="n">
        <v>44441</v>
      </c>
      <c r="C253" s="1" t="n">
        <v>45346</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47121-2021</t>
        </is>
      </c>
      <c r="B254" s="1" t="n">
        <v>44446</v>
      </c>
      <c r="C254" s="1" t="n">
        <v>45346</v>
      </c>
      <c r="D254" t="inlineStr">
        <is>
          <t>DALARNAS LÄN</t>
        </is>
      </c>
      <c r="E254" t="inlineStr">
        <is>
          <t>LEKSAND</t>
        </is>
      </c>
      <c r="G254" t="n">
        <v>3.5</v>
      </c>
      <c r="H254" t="n">
        <v>0</v>
      </c>
      <c r="I254" t="n">
        <v>0</v>
      </c>
      <c r="J254" t="n">
        <v>0</v>
      </c>
      <c r="K254" t="n">
        <v>0</v>
      </c>
      <c r="L254" t="n">
        <v>0</v>
      </c>
      <c r="M254" t="n">
        <v>0</v>
      </c>
      <c r="N254" t="n">
        <v>0</v>
      </c>
      <c r="O254" t="n">
        <v>0</v>
      </c>
      <c r="P254" t="n">
        <v>0</v>
      </c>
      <c r="Q254" t="n">
        <v>0</v>
      </c>
      <c r="R254" s="2" t="inlineStr"/>
    </row>
    <row r="255" ht="15" customHeight="1">
      <c r="A255" t="inlineStr">
        <is>
          <t>A 48949-2021</t>
        </is>
      </c>
      <c r="B255" s="1" t="n">
        <v>44453</v>
      </c>
      <c r="C255" s="1" t="n">
        <v>45346</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53625-2021</t>
        </is>
      </c>
      <c r="B256" s="1" t="n">
        <v>44469</v>
      </c>
      <c r="C256" s="1" t="n">
        <v>45346</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56153-2021</t>
        </is>
      </c>
      <c r="B257" s="1" t="n">
        <v>44477</v>
      </c>
      <c r="C257" s="1" t="n">
        <v>45346</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58569-2021</t>
        </is>
      </c>
      <c r="B258" s="1" t="n">
        <v>44488</v>
      </c>
      <c r="C258" s="1" t="n">
        <v>45346</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59422-2021</t>
        </is>
      </c>
      <c r="B259" s="1" t="n">
        <v>44491</v>
      </c>
      <c r="C259" s="1" t="n">
        <v>45346</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61546-2021</t>
        </is>
      </c>
      <c r="B260" s="1" t="n">
        <v>44501</v>
      </c>
      <c r="C260" s="1" t="n">
        <v>45346</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61669-2021</t>
        </is>
      </c>
      <c r="B261" s="1" t="n">
        <v>44501</v>
      </c>
      <c r="C261" s="1" t="n">
        <v>45346</v>
      </c>
      <c r="D261" t="inlineStr">
        <is>
          <t>DALARNAS LÄN</t>
        </is>
      </c>
      <c r="E261" t="inlineStr">
        <is>
          <t>LEKSAND</t>
        </is>
      </c>
      <c r="G261" t="n">
        <v>3.6</v>
      </c>
      <c r="H261" t="n">
        <v>0</v>
      </c>
      <c r="I261" t="n">
        <v>0</v>
      </c>
      <c r="J261" t="n">
        <v>0</v>
      </c>
      <c r="K261" t="n">
        <v>0</v>
      </c>
      <c r="L261" t="n">
        <v>0</v>
      </c>
      <c r="M261" t="n">
        <v>0</v>
      </c>
      <c r="N261" t="n">
        <v>0</v>
      </c>
      <c r="O261" t="n">
        <v>0</v>
      </c>
      <c r="P261" t="n">
        <v>0</v>
      </c>
      <c r="Q261" t="n">
        <v>0</v>
      </c>
      <c r="R261" s="2" t="inlineStr"/>
    </row>
    <row r="262" ht="15" customHeight="1">
      <c r="A262" t="inlineStr">
        <is>
          <t>A 61676-2021</t>
        </is>
      </c>
      <c r="B262" s="1" t="n">
        <v>44501</v>
      </c>
      <c r="C262" s="1" t="n">
        <v>45346</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62279-2021</t>
        </is>
      </c>
      <c r="B263" s="1" t="n">
        <v>44503</v>
      </c>
      <c r="C263" s="1" t="n">
        <v>45346</v>
      </c>
      <c r="D263" t="inlineStr">
        <is>
          <t>DALARNAS LÄN</t>
        </is>
      </c>
      <c r="E263" t="inlineStr">
        <is>
          <t>LEKSAND</t>
        </is>
      </c>
      <c r="G263" t="n">
        <v>1.8</v>
      </c>
      <c r="H263" t="n">
        <v>0</v>
      </c>
      <c r="I263" t="n">
        <v>0</v>
      </c>
      <c r="J263" t="n">
        <v>0</v>
      </c>
      <c r="K263" t="n">
        <v>0</v>
      </c>
      <c r="L263" t="n">
        <v>0</v>
      </c>
      <c r="M263" t="n">
        <v>0</v>
      </c>
      <c r="N263" t="n">
        <v>0</v>
      </c>
      <c r="O263" t="n">
        <v>0</v>
      </c>
      <c r="P263" t="n">
        <v>0</v>
      </c>
      <c r="Q263" t="n">
        <v>0</v>
      </c>
      <c r="R263" s="2" t="inlineStr"/>
    </row>
    <row r="264" ht="15" customHeight="1">
      <c r="A264" t="inlineStr">
        <is>
          <t>A 64718-2021</t>
        </is>
      </c>
      <c r="B264" s="1" t="n">
        <v>44512</v>
      </c>
      <c r="C264" s="1" t="n">
        <v>45346</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68573-2021</t>
        </is>
      </c>
      <c r="B265" s="1" t="n">
        <v>44529</v>
      </c>
      <c r="C265" s="1" t="n">
        <v>45346</v>
      </c>
      <c r="D265" t="inlineStr">
        <is>
          <t>DALARNAS LÄN</t>
        </is>
      </c>
      <c r="E265" t="inlineStr">
        <is>
          <t>LEKSAND</t>
        </is>
      </c>
      <c r="G265" t="n">
        <v>1.6</v>
      </c>
      <c r="H265" t="n">
        <v>0</v>
      </c>
      <c r="I265" t="n">
        <v>0</v>
      </c>
      <c r="J265" t="n">
        <v>0</v>
      </c>
      <c r="K265" t="n">
        <v>0</v>
      </c>
      <c r="L265" t="n">
        <v>0</v>
      </c>
      <c r="M265" t="n">
        <v>0</v>
      </c>
      <c r="N265" t="n">
        <v>0</v>
      </c>
      <c r="O265" t="n">
        <v>0</v>
      </c>
      <c r="P265" t="n">
        <v>0</v>
      </c>
      <c r="Q265" t="n">
        <v>0</v>
      </c>
      <c r="R265" s="2" t="inlineStr"/>
    </row>
    <row r="266" ht="15" customHeight="1">
      <c r="A266" t="inlineStr">
        <is>
          <t>A 68617-2021</t>
        </is>
      </c>
      <c r="B266" s="1" t="n">
        <v>44529</v>
      </c>
      <c r="C266" s="1" t="n">
        <v>45346</v>
      </c>
      <c r="D266" t="inlineStr">
        <is>
          <t>DALARNAS LÄN</t>
        </is>
      </c>
      <c r="E266" t="inlineStr">
        <is>
          <t>LEKSAND</t>
        </is>
      </c>
      <c r="G266" t="n">
        <v>0.4</v>
      </c>
      <c r="H266" t="n">
        <v>0</v>
      </c>
      <c r="I266" t="n">
        <v>0</v>
      </c>
      <c r="J266" t="n">
        <v>0</v>
      </c>
      <c r="K266" t="n">
        <v>0</v>
      </c>
      <c r="L266" t="n">
        <v>0</v>
      </c>
      <c r="M266" t="n">
        <v>0</v>
      </c>
      <c r="N266" t="n">
        <v>0</v>
      </c>
      <c r="O266" t="n">
        <v>0</v>
      </c>
      <c r="P266" t="n">
        <v>0</v>
      </c>
      <c r="Q266" t="n">
        <v>0</v>
      </c>
      <c r="R266" s="2" t="inlineStr"/>
    </row>
    <row r="267" ht="15" customHeight="1">
      <c r="A267" t="inlineStr">
        <is>
          <t>A 69525-2021</t>
        </is>
      </c>
      <c r="B267" s="1" t="n">
        <v>44531</v>
      </c>
      <c r="C267" s="1" t="n">
        <v>45346</v>
      </c>
      <c r="D267" t="inlineStr">
        <is>
          <t>DALARNAS LÄN</t>
        </is>
      </c>
      <c r="E267" t="inlineStr">
        <is>
          <t>LEKSAND</t>
        </is>
      </c>
      <c r="G267" t="n">
        <v>2.9</v>
      </c>
      <c r="H267" t="n">
        <v>0</v>
      </c>
      <c r="I267" t="n">
        <v>0</v>
      </c>
      <c r="J267" t="n">
        <v>0</v>
      </c>
      <c r="K267" t="n">
        <v>0</v>
      </c>
      <c r="L267" t="n">
        <v>0</v>
      </c>
      <c r="M267" t="n">
        <v>0</v>
      </c>
      <c r="N267" t="n">
        <v>0</v>
      </c>
      <c r="O267" t="n">
        <v>0</v>
      </c>
      <c r="P267" t="n">
        <v>0</v>
      </c>
      <c r="Q267" t="n">
        <v>0</v>
      </c>
      <c r="R267" s="2" t="inlineStr"/>
    </row>
    <row r="268" ht="15" customHeight="1">
      <c r="A268" t="inlineStr">
        <is>
          <t>A 70098-2021</t>
        </is>
      </c>
      <c r="B268" s="1" t="n">
        <v>44533</v>
      </c>
      <c r="C268" s="1" t="n">
        <v>45346</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70099-2021</t>
        </is>
      </c>
      <c r="B269" s="1" t="n">
        <v>44533</v>
      </c>
      <c r="C269" s="1" t="n">
        <v>45346</v>
      </c>
      <c r="D269" t="inlineStr">
        <is>
          <t>DALARNAS LÄN</t>
        </is>
      </c>
      <c r="E269" t="inlineStr">
        <is>
          <t>LEKSAND</t>
        </is>
      </c>
      <c r="G269" t="n">
        <v>2.8</v>
      </c>
      <c r="H269" t="n">
        <v>0</v>
      </c>
      <c r="I269" t="n">
        <v>0</v>
      </c>
      <c r="J269" t="n">
        <v>0</v>
      </c>
      <c r="K269" t="n">
        <v>0</v>
      </c>
      <c r="L269" t="n">
        <v>0</v>
      </c>
      <c r="M269" t="n">
        <v>0</v>
      </c>
      <c r="N269" t="n">
        <v>0</v>
      </c>
      <c r="O269" t="n">
        <v>0</v>
      </c>
      <c r="P269" t="n">
        <v>0</v>
      </c>
      <c r="Q269" t="n">
        <v>0</v>
      </c>
      <c r="R269" s="2" t="inlineStr"/>
    </row>
    <row r="270" ht="15" customHeight="1">
      <c r="A270" t="inlineStr">
        <is>
          <t>A 70026-2021</t>
        </is>
      </c>
      <c r="B270" s="1" t="n">
        <v>44533</v>
      </c>
      <c r="C270" s="1" t="n">
        <v>45346</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70296-2021</t>
        </is>
      </c>
      <c r="B271" s="1" t="n">
        <v>44536</v>
      </c>
      <c r="C271" s="1" t="n">
        <v>45346</v>
      </c>
      <c r="D271" t="inlineStr">
        <is>
          <t>DALARNAS LÄN</t>
        </is>
      </c>
      <c r="E271" t="inlineStr">
        <is>
          <t>LEKSAND</t>
        </is>
      </c>
      <c r="G271" t="n">
        <v>2.7</v>
      </c>
      <c r="H271" t="n">
        <v>0</v>
      </c>
      <c r="I271" t="n">
        <v>0</v>
      </c>
      <c r="J271" t="n">
        <v>0</v>
      </c>
      <c r="K271" t="n">
        <v>0</v>
      </c>
      <c r="L271" t="n">
        <v>0</v>
      </c>
      <c r="M271" t="n">
        <v>0</v>
      </c>
      <c r="N271" t="n">
        <v>0</v>
      </c>
      <c r="O271" t="n">
        <v>0</v>
      </c>
      <c r="P271" t="n">
        <v>0</v>
      </c>
      <c r="Q271" t="n">
        <v>0</v>
      </c>
      <c r="R271" s="2" t="inlineStr"/>
    </row>
    <row r="272" ht="15" customHeight="1">
      <c r="A272" t="inlineStr">
        <is>
          <t>A 70451-2021</t>
        </is>
      </c>
      <c r="B272" s="1" t="n">
        <v>44536</v>
      </c>
      <c r="C272" s="1" t="n">
        <v>45346</v>
      </c>
      <c r="D272" t="inlineStr">
        <is>
          <t>DALARNAS LÄN</t>
        </is>
      </c>
      <c r="E272" t="inlineStr">
        <is>
          <t>LEKSAND</t>
        </is>
      </c>
      <c r="G272" t="n">
        <v>3.7</v>
      </c>
      <c r="H272" t="n">
        <v>0</v>
      </c>
      <c r="I272" t="n">
        <v>0</v>
      </c>
      <c r="J272" t="n">
        <v>0</v>
      </c>
      <c r="K272" t="n">
        <v>0</v>
      </c>
      <c r="L272" t="n">
        <v>0</v>
      </c>
      <c r="M272" t="n">
        <v>0</v>
      </c>
      <c r="N272" t="n">
        <v>0</v>
      </c>
      <c r="O272" t="n">
        <v>0</v>
      </c>
      <c r="P272" t="n">
        <v>0</v>
      </c>
      <c r="Q272" t="n">
        <v>0</v>
      </c>
      <c r="R272" s="2" t="inlineStr"/>
    </row>
    <row r="273" ht="15" customHeight="1">
      <c r="A273" t="inlineStr">
        <is>
          <t>A 71311-2021</t>
        </is>
      </c>
      <c r="B273" s="1" t="n">
        <v>44539</v>
      </c>
      <c r="C273" s="1" t="n">
        <v>45346</v>
      </c>
      <c r="D273" t="inlineStr">
        <is>
          <t>DALARNAS LÄN</t>
        </is>
      </c>
      <c r="E273" t="inlineStr">
        <is>
          <t>LEKSAND</t>
        </is>
      </c>
      <c r="G273" t="n">
        <v>1.5</v>
      </c>
      <c r="H273" t="n">
        <v>0</v>
      </c>
      <c r="I273" t="n">
        <v>0</v>
      </c>
      <c r="J273" t="n">
        <v>0</v>
      </c>
      <c r="K273" t="n">
        <v>0</v>
      </c>
      <c r="L273" t="n">
        <v>0</v>
      </c>
      <c r="M273" t="n">
        <v>0</v>
      </c>
      <c r="N273" t="n">
        <v>0</v>
      </c>
      <c r="O273" t="n">
        <v>0</v>
      </c>
      <c r="P273" t="n">
        <v>0</v>
      </c>
      <c r="Q273" t="n">
        <v>0</v>
      </c>
      <c r="R273" s="2" t="inlineStr"/>
    </row>
    <row r="274" ht="15" customHeight="1">
      <c r="A274" t="inlineStr">
        <is>
          <t>A 71754-2021</t>
        </is>
      </c>
      <c r="B274" s="1" t="n">
        <v>44543</v>
      </c>
      <c r="C274" s="1" t="n">
        <v>45346</v>
      </c>
      <c r="D274" t="inlineStr">
        <is>
          <t>DALARNAS LÄN</t>
        </is>
      </c>
      <c r="E274" t="inlineStr">
        <is>
          <t>LEKSAND</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71817-2021</t>
        </is>
      </c>
      <c r="B275" s="1" t="n">
        <v>44543</v>
      </c>
      <c r="C275" s="1" t="n">
        <v>45346</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72155-2021</t>
        </is>
      </c>
      <c r="B276" s="1" t="n">
        <v>44543</v>
      </c>
      <c r="C276" s="1" t="n">
        <v>45346</v>
      </c>
      <c r="D276" t="inlineStr">
        <is>
          <t>DALARNAS LÄN</t>
        </is>
      </c>
      <c r="E276" t="inlineStr">
        <is>
          <t>LEKSAND</t>
        </is>
      </c>
      <c r="G276" t="n">
        <v>2.5</v>
      </c>
      <c r="H276" t="n">
        <v>0</v>
      </c>
      <c r="I276" t="n">
        <v>0</v>
      </c>
      <c r="J276" t="n">
        <v>0</v>
      </c>
      <c r="K276" t="n">
        <v>0</v>
      </c>
      <c r="L276" t="n">
        <v>0</v>
      </c>
      <c r="M276" t="n">
        <v>0</v>
      </c>
      <c r="N276" t="n">
        <v>0</v>
      </c>
      <c r="O276" t="n">
        <v>0</v>
      </c>
      <c r="P276" t="n">
        <v>0</v>
      </c>
      <c r="Q276" t="n">
        <v>0</v>
      </c>
      <c r="R276" s="2" t="inlineStr"/>
    </row>
    <row r="277" ht="15" customHeight="1">
      <c r="A277" t="inlineStr">
        <is>
          <t>A 72000-2021</t>
        </is>
      </c>
      <c r="B277" s="1" t="n">
        <v>44544</v>
      </c>
      <c r="C277" s="1" t="n">
        <v>45346</v>
      </c>
      <c r="D277" t="inlineStr">
        <is>
          <t>DALARNAS LÄN</t>
        </is>
      </c>
      <c r="E277" t="inlineStr">
        <is>
          <t>LEKSAND</t>
        </is>
      </c>
      <c r="F277" t="inlineStr">
        <is>
          <t>Bergvik skog väst AB</t>
        </is>
      </c>
      <c r="G277" t="n">
        <v>2</v>
      </c>
      <c r="H277" t="n">
        <v>0</v>
      </c>
      <c r="I277" t="n">
        <v>0</v>
      </c>
      <c r="J277" t="n">
        <v>0</v>
      </c>
      <c r="K277" t="n">
        <v>0</v>
      </c>
      <c r="L277" t="n">
        <v>0</v>
      </c>
      <c r="M277" t="n">
        <v>0</v>
      </c>
      <c r="N277" t="n">
        <v>0</v>
      </c>
      <c r="O277" t="n">
        <v>0</v>
      </c>
      <c r="P277" t="n">
        <v>0</v>
      </c>
      <c r="Q277" t="n">
        <v>0</v>
      </c>
      <c r="R277" s="2" t="inlineStr"/>
    </row>
    <row r="278" ht="15" customHeight="1">
      <c r="A278" t="inlineStr">
        <is>
          <t>A 72001-2021</t>
        </is>
      </c>
      <c r="B278" s="1" t="n">
        <v>44544</v>
      </c>
      <c r="C278" s="1" t="n">
        <v>45346</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72581-2021</t>
        </is>
      </c>
      <c r="B279" s="1" t="n">
        <v>44546</v>
      </c>
      <c r="C279" s="1" t="n">
        <v>45346</v>
      </c>
      <c r="D279" t="inlineStr">
        <is>
          <t>DALARNAS LÄN</t>
        </is>
      </c>
      <c r="E279" t="inlineStr">
        <is>
          <t>LEKSAND</t>
        </is>
      </c>
      <c r="G279" t="n">
        <v>0.6</v>
      </c>
      <c r="H279" t="n">
        <v>0</v>
      </c>
      <c r="I279" t="n">
        <v>0</v>
      </c>
      <c r="J279" t="n">
        <v>0</v>
      </c>
      <c r="K279" t="n">
        <v>0</v>
      </c>
      <c r="L279" t="n">
        <v>0</v>
      </c>
      <c r="M279" t="n">
        <v>0</v>
      </c>
      <c r="N279" t="n">
        <v>0</v>
      </c>
      <c r="O279" t="n">
        <v>0</v>
      </c>
      <c r="P279" t="n">
        <v>0</v>
      </c>
      <c r="Q279" t="n">
        <v>0</v>
      </c>
      <c r="R279" s="2" t="inlineStr"/>
    </row>
    <row r="280" ht="15" customHeight="1">
      <c r="A280" t="inlineStr">
        <is>
          <t>A 72531-2021</t>
        </is>
      </c>
      <c r="B280" s="1" t="n">
        <v>44546</v>
      </c>
      <c r="C280" s="1" t="n">
        <v>45346</v>
      </c>
      <c r="D280" t="inlineStr">
        <is>
          <t>DALARNAS LÄN</t>
        </is>
      </c>
      <c r="E280" t="inlineStr">
        <is>
          <t>LEKSAND</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72575-2021</t>
        </is>
      </c>
      <c r="B281" s="1" t="n">
        <v>44546</v>
      </c>
      <c r="C281" s="1" t="n">
        <v>45346</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74067-2021</t>
        </is>
      </c>
      <c r="B282" s="1" t="n">
        <v>44553</v>
      </c>
      <c r="C282" s="1" t="n">
        <v>45346</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791-2022</t>
        </is>
      </c>
      <c r="B283" s="1" t="n">
        <v>44570</v>
      </c>
      <c r="C283" s="1" t="n">
        <v>45346</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1775-2022</t>
        </is>
      </c>
      <c r="B284" s="1" t="n">
        <v>44574</v>
      </c>
      <c r="C284" s="1" t="n">
        <v>45346</v>
      </c>
      <c r="D284" t="inlineStr">
        <is>
          <t>DALARNAS LÄN</t>
        </is>
      </c>
      <c r="E284" t="inlineStr">
        <is>
          <t>LEKSAND</t>
        </is>
      </c>
      <c r="G284" t="n">
        <v>2</v>
      </c>
      <c r="H284" t="n">
        <v>0</v>
      </c>
      <c r="I284" t="n">
        <v>0</v>
      </c>
      <c r="J284" t="n">
        <v>0</v>
      </c>
      <c r="K284" t="n">
        <v>0</v>
      </c>
      <c r="L284" t="n">
        <v>0</v>
      </c>
      <c r="M284" t="n">
        <v>0</v>
      </c>
      <c r="N284" t="n">
        <v>0</v>
      </c>
      <c r="O284" t="n">
        <v>0</v>
      </c>
      <c r="P284" t="n">
        <v>0</v>
      </c>
      <c r="Q284" t="n">
        <v>0</v>
      </c>
      <c r="R284" s="2" t="inlineStr"/>
    </row>
    <row r="285" ht="15" customHeight="1">
      <c r="A285" t="inlineStr">
        <is>
          <t>A 2579-2022</t>
        </is>
      </c>
      <c r="B285" s="1" t="n">
        <v>44580</v>
      </c>
      <c r="C285" s="1" t="n">
        <v>45346</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4257-2022</t>
        </is>
      </c>
      <c r="B286" s="1" t="n">
        <v>44588</v>
      </c>
      <c r="C286" s="1" t="n">
        <v>45346</v>
      </c>
      <c r="D286" t="inlineStr">
        <is>
          <t>DALARNAS LÄN</t>
        </is>
      </c>
      <c r="E286" t="inlineStr">
        <is>
          <t>LEKSAND</t>
        </is>
      </c>
      <c r="G286" t="n">
        <v>6.8</v>
      </c>
      <c r="H286" t="n">
        <v>0</v>
      </c>
      <c r="I286" t="n">
        <v>0</v>
      </c>
      <c r="J286" t="n">
        <v>0</v>
      </c>
      <c r="K286" t="n">
        <v>0</v>
      </c>
      <c r="L286" t="n">
        <v>0</v>
      </c>
      <c r="M286" t="n">
        <v>0</v>
      </c>
      <c r="N286" t="n">
        <v>0</v>
      </c>
      <c r="O286" t="n">
        <v>0</v>
      </c>
      <c r="P286" t="n">
        <v>0</v>
      </c>
      <c r="Q286" t="n">
        <v>0</v>
      </c>
      <c r="R286" s="2" t="inlineStr"/>
    </row>
    <row r="287" ht="15" customHeight="1">
      <c r="A287" t="inlineStr">
        <is>
          <t>A 4609-2022</t>
        </is>
      </c>
      <c r="B287" s="1" t="n">
        <v>44592</v>
      </c>
      <c r="C287" s="1" t="n">
        <v>45346</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45346</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45346</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45346</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45346</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45346</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45346</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45346</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45346</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45346</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45346</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45346</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45346</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45346</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45346</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45346</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45346</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45346</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45346</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45346</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45346</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45346</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45346</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45346</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45346</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45346</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45346</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45346</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45346</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45346</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45346</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45346</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45346</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45346</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45346</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45346</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45346</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45346</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45346</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45346</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45346</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45346</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45346</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45346</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45346</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45346</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45346</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45346</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45346</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45346</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45346</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45346</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45346</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45346</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45346</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45346</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45346</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45346</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45346</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45346</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45346</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45346</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45346</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45346</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45346</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45346</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45346</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45346</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45346</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45346</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45346</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45346</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45346</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45346</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45346</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45346</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45346</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45346</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45346</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45346</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45346</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45346</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45346</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45346</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45346</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45346</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45346</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45346</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45346</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45346</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45346</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45346</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45346</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45346</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45346</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45346</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45346</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45346</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45346</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45346</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45346</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45346</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45346</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45346</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45346</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45346</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45346</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45346</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45346</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45346</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45346</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45346</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45346</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45346</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45346</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45346</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45346</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45346</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45346</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45346</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45346</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45346</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45346</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45346</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45346</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45346</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45346</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45346</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45346</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45346</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45346</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45346</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45346</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45346</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45346</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45346</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45346</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45346</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45346</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45346</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45346</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45346</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45346</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45346</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45346</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45346</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45346</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45346</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45346</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45346</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45346</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45346</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45346</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45346</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45346</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45346</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45346</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45346</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45346</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45346</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45346</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45346</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45346</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45346</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45346</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45346</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45346</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45346</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45346</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45346</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45346</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45346</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45346</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45346</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45346</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45346</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45346</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45346</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45346</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45346</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45346</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45346</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45346</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45346</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45346</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45346</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45346</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45346</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45346</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45346</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45346</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45346</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45346</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45346</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45346</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45346</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45346</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45346</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45346</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45346</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45346</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45346</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45346</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45346</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45346</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45346</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45346</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45346</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45346</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45346</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45346</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45346</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45346</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45346</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45346</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45346</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45346</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45346</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45346</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45346</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45346</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45346</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45346</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45346</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45346</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45346</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45346</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45346</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45346</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45346</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45346</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45346</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45346</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45346</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45346</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45346</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45346</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45346</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45346</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45346</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45346</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45346</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45346</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45346</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45346</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45346</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45346</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45346</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45346</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45346</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45346</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45346</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45346</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45346</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45346</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45346</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45346</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45346</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45346</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45346</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45346</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45346</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45346</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45346</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45346</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45346</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45346</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45346</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45346</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45346</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45346</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45346</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45346</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45346</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45346</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45346</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45346</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45346</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45346</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45346</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45346</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45346</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45346</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45346</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45346</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45346</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45346</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45346</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45346</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45346</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45346</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45346</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45346</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45346</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45346</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45346</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45346</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45346</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45346</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45346</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45346</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45346</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45346</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45346</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45346</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45346</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45346</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45346</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45346</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45346</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45346</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45346</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45346</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45346</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45346</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45346</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45346</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45346</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45346</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45346</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45346</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45346</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45346</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45346</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45346</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45346</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45346</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45346</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45346</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45346</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45346</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45346</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45346</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45346</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45346</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45346</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45346</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45346</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45346</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45346</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45346</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45346</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45346</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45346</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45346</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45346</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45346</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45346</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45346</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45346</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45346</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45346</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45346</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45346</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45346</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45346</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45346</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45346</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45346</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45346</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45346</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45346</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45346</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45346</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45346</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45346</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45346</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45346</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45346</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45346</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45346</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45346</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45346</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45346</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45346</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45346</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45346</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45346</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45346</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45346</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45346</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45346</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45346</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45346</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45346</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45346</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45346</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45346</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45346</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45346</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45346</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45346</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45346</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45346</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45346</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45346</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45346</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45346</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45346</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45346</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45346</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45346</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45346</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45346</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45346</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45346</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45346</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45346</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45346</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45346</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45346</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45346</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45346</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45346</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45346</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45346</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45346</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45346</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45346</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45346</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45346</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45346</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45346</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45346</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45346</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45346</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45346</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45346</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45346</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45346</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45346</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45346</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45346</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45346</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45346</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45346</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45346</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45346</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45346</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45346</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45346</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45346</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45346</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45346</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45346</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45346</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45346</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45346</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45346</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45346</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45346</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45346</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45346</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45346</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45346</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45346</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45346</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45346</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45346</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45346</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45346</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45346</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45346</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45346</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45346</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45346</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45346</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45346</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45346</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45346</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45346</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45346</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45346</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45346</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45346</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45346</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45346</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45346</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45346</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45346</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45346</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45346</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45346</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45346</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45346</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45346</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45346</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45346</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45346</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45346</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45346</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45346</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45346</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45346</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45346</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45346</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45346</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45346</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45346</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45346</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45346</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45346</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45346</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45346</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45346</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45346</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45346</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45346</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45346</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45346</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45346</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45346</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45346</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45346</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45346</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45346</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45346</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45346</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45346</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45346</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45346</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45346</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45346</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45346</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45346</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45346</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45346</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45346</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45346</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45346</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45346</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45346</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45346</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45346</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45346</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45346</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45346</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45346</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45346</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45346</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45346</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45346</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45346</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45346</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45346</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45346</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45346</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45346</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45346</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45346</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45346</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45346</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45346</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45346</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45346</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45346</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45346</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45346</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45346</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45346</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45346</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45346</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45346</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45346</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45346</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45346</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45346</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45346</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45346</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45346</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45346</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45346</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45346</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45346</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45346</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45346</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45346</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45346</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45346</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45346</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45346</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45346</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45346</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45346</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45346</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45346</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45346</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45346</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45346</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45346</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45346</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45346</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45346</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45346</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45346</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45346</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45346</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45346</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45346</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45346</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45346</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45346</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45346</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45346</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45346</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45346</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2536-2024</t>
        </is>
      </c>
      <c r="B893" s="1" t="n">
        <v>45313</v>
      </c>
      <c r="C893" s="1" t="n">
        <v>45346</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2517-2024</t>
        </is>
      </c>
      <c r="B894" s="1" t="n">
        <v>45313</v>
      </c>
      <c r="C894" s="1" t="n">
        <v>45346</v>
      </c>
      <c r="D894" t="inlineStr">
        <is>
          <t>DALARNAS LÄN</t>
        </is>
      </c>
      <c r="E894" t="inlineStr">
        <is>
          <t>LEKSAND</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2820-2024</t>
        </is>
      </c>
      <c r="B895" s="1" t="n">
        <v>45314</v>
      </c>
      <c r="C895" s="1" t="n">
        <v>45346</v>
      </c>
      <c r="D895" t="inlineStr">
        <is>
          <t>DALARNAS LÄN</t>
        </is>
      </c>
      <c r="E895" t="inlineStr">
        <is>
          <t>LEKSAND</t>
        </is>
      </c>
      <c r="G895" t="n">
        <v>1.7</v>
      </c>
      <c r="H895" t="n">
        <v>0</v>
      </c>
      <c r="I895" t="n">
        <v>0</v>
      </c>
      <c r="J895" t="n">
        <v>0</v>
      </c>
      <c r="K895" t="n">
        <v>0</v>
      </c>
      <c r="L895" t="n">
        <v>0</v>
      </c>
      <c r="M895" t="n">
        <v>0</v>
      </c>
      <c r="N895" t="n">
        <v>0</v>
      </c>
      <c r="O895" t="n">
        <v>0</v>
      </c>
      <c r="P895" t="n">
        <v>0</v>
      </c>
      <c r="Q895" t="n">
        <v>0</v>
      </c>
      <c r="R895" s="2" t="inlineStr"/>
    </row>
    <row r="896" ht="15" customHeight="1">
      <c r="A896" t="inlineStr">
        <is>
          <t>A 2822-2024</t>
        </is>
      </c>
      <c r="B896" s="1" t="n">
        <v>45314</v>
      </c>
      <c r="C896" s="1" t="n">
        <v>45346</v>
      </c>
      <c r="D896" t="inlineStr">
        <is>
          <t>DALARNAS LÄN</t>
        </is>
      </c>
      <c r="E896" t="inlineStr">
        <is>
          <t>LEKSAND</t>
        </is>
      </c>
      <c r="G896" t="n">
        <v>1.6</v>
      </c>
      <c r="H896" t="n">
        <v>0</v>
      </c>
      <c r="I896" t="n">
        <v>0</v>
      </c>
      <c r="J896" t="n">
        <v>0</v>
      </c>
      <c r="K896" t="n">
        <v>0</v>
      </c>
      <c r="L896" t="n">
        <v>0</v>
      </c>
      <c r="M896" t="n">
        <v>0</v>
      </c>
      <c r="N896" t="n">
        <v>0</v>
      </c>
      <c r="O896" t="n">
        <v>0</v>
      </c>
      <c r="P896" t="n">
        <v>0</v>
      </c>
      <c r="Q896" t="n">
        <v>0</v>
      </c>
      <c r="R896" s="2" t="inlineStr"/>
    </row>
    <row r="897" ht="15" customHeight="1">
      <c r="A897" t="inlineStr">
        <is>
          <t>A 3048-2024</t>
        </is>
      </c>
      <c r="B897" s="1" t="n">
        <v>45316</v>
      </c>
      <c r="C897" s="1" t="n">
        <v>45346</v>
      </c>
      <c r="D897" t="inlineStr">
        <is>
          <t>DALARNAS LÄN</t>
        </is>
      </c>
      <c r="E897" t="inlineStr">
        <is>
          <t>LEKSAND</t>
        </is>
      </c>
      <c r="G897" t="n">
        <v>1.3</v>
      </c>
      <c r="H897" t="n">
        <v>0</v>
      </c>
      <c r="I897" t="n">
        <v>0</v>
      </c>
      <c r="J897" t="n">
        <v>0</v>
      </c>
      <c r="K897" t="n">
        <v>0</v>
      </c>
      <c r="L897" t="n">
        <v>0</v>
      </c>
      <c r="M897" t="n">
        <v>0</v>
      </c>
      <c r="N897" t="n">
        <v>0</v>
      </c>
      <c r="O897" t="n">
        <v>0</v>
      </c>
      <c r="P897" t="n">
        <v>0</v>
      </c>
      <c r="Q897" t="n">
        <v>0</v>
      </c>
      <c r="R897" s="2" t="inlineStr"/>
    </row>
    <row r="898" ht="15" customHeight="1">
      <c r="A898" t="inlineStr">
        <is>
          <t>A 3202-2024</t>
        </is>
      </c>
      <c r="B898" s="1" t="n">
        <v>45316</v>
      </c>
      <c r="C898" s="1" t="n">
        <v>45346</v>
      </c>
      <c r="D898" t="inlineStr">
        <is>
          <t>DALARNAS LÄN</t>
        </is>
      </c>
      <c r="E898" t="inlineStr">
        <is>
          <t>LEKSAND</t>
        </is>
      </c>
      <c r="G898" t="n">
        <v>3.3</v>
      </c>
      <c r="H898" t="n">
        <v>0</v>
      </c>
      <c r="I898" t="n">
        <v>0</v>
      </c>
      <c r="J898" t="n">
        <v>0</v>
      </c>
      <c r="K898" t="n">
        <v>0</v>
      </c>
      <c r="L898" t="n">
        <v>0</v>
      </c>
      <c r="M898" t="n">
        <v>0</v>
      </c>
      <c r="N898" t="n">
        <v>0</v>
      </c>
      <c r="O898" t="n">
        <v>0</v>
      </c>
      <c r="P898" t="n">
        <v>0</v>
      </c>
      <c r="Q898" t="n">
        <v>0</v>
      </c>
      <c r="R898" s="2" t="inlineStr"/>
    </row>
    <row r="899" ht="15" customHeight="1">
      <c r="A899" t="inlineStr">
        <is>
          <t>A 3138-2024</t>
        </is>
      </c>
      <c r="B899" s="1" t="n">
        <v>45316</v>
      </c>
      <c r="C899" s="1" t="n">
        <v>45346</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3205-2024</t>
        </is>
      </c>
      <c r="B900" s="1" t="n">
        <v>45316</v>
      </c>
      <c r="C900" s="1" t="n">
        <v>45346</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45346</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3970-2024</t>
        </is>
      </c>
      <c r="B902" s="1" t="n">
        <v>45322</v>
      </c>
      <c r="C902" s="1" t="n">
        <v>45346</v>
      </c>
      <c r="D902" t="inlineStr">
        <is>
          <t>DALARNAS LÄN</t>
        </is>
      </c>
      <c r="E902" t="inlineStr">
        <is>
          <t>LEKSAND</t>
        </is>
      </c>
      <c r="G902" t="n">
        <v>2.4</v>
      </c>
      <c r="H902" t="n">
        <v>0</v>
      </c>
      <c r="I902" t="n">
        <v>0</v>
      </c>
      <c r="J902" t="n">
        <v>0</v>
      </c>
      <c r="K902" t="n">
        <v>0</v>
      </c>
      <c r="L902" t="n">
        <v>0</v>
      </c>
      <c r="M902" t="n">
        <v>0</v>
      </c>
      <c r="N902" t="n">
        <v>0</v>
      </c>
      <c r="O902" t="n">
        <v>0</v>
      </c>
      <c r="P902" t="n">
        <v>0</v>
      </c>
      <c r="Q902" t="n">
        <v>0</v>
      </c>
      <c r="R902" s="2" t="inlineStr"/>
    </row>
    <row r="903" ht="15" customHeight="1">
      <c r="A903" t="inlineStr">
        <is>
          <t>A 3974-2024</t>
        </is>
      </c>
      <c r="B903" s="1" t="n">
        <v>45322</v>
      </c>
      <c r="C903" s="1" t="n">
        <v>45346</v>
      </c>
      <c r="D903" t="inlineStr">
        <is>
          <t>DALARNAS LÄN</t>
        </is>
      </c>
      <c r="E903" t="inlineStr">
        <is>
          <t>LEKSAND</t>
        </is>
      </c>
      <c r="G903" t="n">
        <v>3.3</v>
      </c>
      <c r="H903" t="n">
        <v>0</v>
      </c>
      <c r="I903" t="n">
        <v>0</v>
      </c>
      <c r="J903" t="n">
        <v>0</v>
      </c>
      <c r="K903" t="n">
        <v>0</v>
      </c>
      <c r="L903" t="n">
        <v>0</v>
      </c>
      <c r="M903" t="n">
        <v>0</v>
      </c>
      <c r="N903" t="n">
        <v>0</v>
      </c>
      <c r="O903" t="n">
        <v>0</v>
      </c>
      <c r="P903" t="n">
        <v>0</v>
      </c>
      <c r="Q903" t="n">
        <v>0</v>
      </c>
      <c r="R903" s="2" t="inlineStr"/>
    </row>
    <row r="904" ht="15" customHeight="1">
      <c r="A904" t="inlineStr">
        <is>
          <t>A 3901-2024</t>
        </is>
      </c>
      <c r="B904" s="1" t="n">
        <v>45322</v>
      </c>
      <c r="C904" s="1" t="n">
        <v>45346</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4121-2024</t>
        </is>
      </c>
      <c r="B905" s="1" t="n">
        <v>45323</v>
      </c>
      <c r="C905" s="1" t="n">
        <v>45346</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4248-2024</t>
        </is>
      </c>
      <c r="B906" s="1" t="n">
        <v>45324</v>
      </c>
      <c r="C906" s="1" t="n">
        <v>45346</v>
      </c>
      <c r="D906" t="inlineStr">
        <is>
          <t>DALARNAS LÄN</t>
        </is>
      </c>
      <c r="E906" t="inlineStr">
        <is>
          <t>LEKSAND</t>
        </is>
      </c>
      <c r="G906" t="n">
        <v>3.6</v>
      </c>
      <c r="H906" t="n">
        <v>0</v>
      </c>
      <c r="I906" t="n">
        <v>0</v>
      </c>
      <c r="J906" t="n">
        <v>0</v>
      </c>
      <c r="K906" t="n">
        <v>0</v>
      </c>
      <c r="L906" t="n">
        <v>0</v>
      </c>
      <c r="M906" t="n">
        <v>0</v>
      </c>
      <c r="N906" t="n">
        <v>0</v>
      </c>
      <c r="O906" t="n">
        <v>0</v>
      </c>
      <c r="P906" t="n">
        <v>0</v>
      </c>
      <c r="Q906" t="n">
        <v>0</v>
      </c>
      <c r="R906" s="2" t="inlineStr"/>
    </row>
    <row r="907" ht="15" customHeight="1">
      <c r="A907" t="inlineStr">
        <is>
          <t>A 4938-2024</t>
        </is>
      </c>
      <c r="B907" s="1" t="n">
        <v>45329</v>
      </c>
      <c r="C907" s="1" t="n">
        <v>45346</v>
      </c>
      <c r="D907" t="inlineStr">
        <is>
          <t>DALARNAS LÄN</t>
        </is>
      </c>
      <c r="E907" t="inlineStr">
        <is>
          <t>LEKSAND</t>
        </is>
      </c>
      <c r="G907" t="n">
        <v>7.7</v>
      </c>
      <c r="H907" t="n">
        <v>0</v>
      </c>
      <c r="I907" t="n">
        <v>0</v>
      </c>
      <c r="J907" t="n">
        <v>0</v>
      </c>
      <c r="K907" t="n">
        <v>0</v>
      </c>
      <c r="L907" t="n">
        <v>0</v>
      </c>
      <c r="M907" t="n">
        <v>0</v>
      </c>
      <c r="N907" t="n">
        <v>0</v>
      </c>
      <c r="O907" t="n">
        <v>0</v>
      </c>
      <c r="P907" t="n">
        <v>0</v>
      </c>
      <c r="Q907" t="n">
        <v>0</v>
      </c>
      <c r="R907" s="2" t="inlineStr"/>
    </row>
    <row r="908" ht="15" customHeight="1">
      <c r="A908" t="inlineStr">
        <is>
          <t>A 4956-2024</t>
        </is>
      </c>
      <c r="B908" s="1" t="n">
        <v>45329</v>
      </c>
      <c r="C908" s="1" t="n">
        <v>45346</v>
      </c>
      <c r="D908" t="inlineStr">
        <is>
          <t>DALARNAS LÄN</t>
        </is>
      </c>
      <c r="E908" t="inlineStr">
        <is>
          <t>LEKSAND</t>
        </is>
      </c>
      <c r="F908" t="inlineStr">
        <is>
          <t>Kommuner</t>
        </is>
      </c>
      <c r="G908" t="n">
        <v>1.1</v>
      </c>
      <c r="H908" t="n">
        <v>0</v>
      </c>
      <c r="I908" t="n">
        <v>0</v>
      </c>
      <c r="J908" t="n">
        <v>0</v>
      </c>
      <c r="K908" t="n">
        <v>0</v>
      </c>
      <c r="L908" t="n">
        <v>0</v>
      </c>
      <c r="M908" t="n">
        <v>0</v>
      </c>
      <c r="N908" t="n">
        <v>0</v>
      </c>
      <c r="O908" t="n">
        <v>0</v>
      </c>
      <c r="P908" t="n">
        <v>0</v>
      </c>
      <c r="Q908" t="n">
        <v>0</v>
      </c>
      <c r="R908" s="2" t="inlineStr"/>
    </row>
    <row r="909" ht="15" customHeight="1">
      <c r="A909" t="inlineStr">
        <is>
          <t>A 5231-2024</t>
        </is>
      </c>
      <c r="B909" s="1" t="n">
        <v>45330</v>
      </c>
      <c r="C909" s="1" t="n">
        <v>45346</v>
      </c>
      <c r="D909" t="inlineStr">
        <is>
          <t>DALARNAS LÄN</t>
        </is>
      </c>
      <c r="E909" t="inlineStr">
        <is>
          <t>LEKSAND</t>
        </is>
      </c>
      <c r="F909" t="inlineStr">
        <is>
          <t>Bergvik skog väst AB</t>
        </is>
      </c>
      <c r="G909" t="n">
        <v>11.2</v>
      </c>
      <c r="H909" t="n">
        <v>0</v>
      </c>
      <c r="I909" t="n">
        <v>0</v>
      </c>
      <c r="J909" t="n">
        <v>0</v>
      </c>
      <c r="K909" t="n">
        <v>0</v>
      </c>
      <c r="L909" t="n">
        <v>0</v>
      </c>
      <c r="M909" t="n">
        <v>0</v>
      </c>
      <c r="N909" t="n">
        <v>0</v>
      </c>
      <c r="O909" t="n">
        <v>0</v>
      </c>
      <c r="P909" t="n">
        <v>0</v>
      </c>
      <c r="Q909" t="n">
        <v>0</v>
      </c>
      <c r="R909" s="2" t="inlineStr"/>
    </row>
    <row r="910" ht="15" customHeight="1">
      <c r="A910" t="inlineStr">
        <is>
          <t>A 5369-2024</t>
        </is>
      </c>
      <c r="B910" s="1" t="n">
        <v>45331</v>
      </c>
      <c r="C910" s="1" t="n">
        <v>45346</v>
      </c>
      <c r="D910" t="inlineStr">
        <is>
          <t>DALARNAS LÄN</t>
        </is>
      </c>
      <c r="E910" t="inlineStr">
        <is>
          <t>LEKSAND</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5514-2024</t>
        </is>
      </c>
      <c r="B911" s="1" t="n">
        <v>45334</v>
      </c>
      <c r="C911" s="1" t="n">
        <v>45346</v>
      </c>
      <c r="D911" t="inlineStr">
        <is>
          <t>DALARNAS LÄN</t>
        </is>
      </c>
      <c r="E911" t="inlineStr">
        <is>
          <t>LEKSAND</t>
        </is>
      </c>
      <c r="G911" t="n">
        <v>2.9</v>
      </c>
      <c r="H911" t="n">
        <v>0</v>
      </c>
      <c r="I911" t="n">
        <v>0</v>
      </c>
      <c r="J911" t="n">
        <v>0</v>
      </c>
      <c r="K911" t="n">
        <v>0</v>
      </c>
      <c r="L911" t="n">
        <v>0</v>
      </c>
      <c r="M911" t="n">
        <v>0</v>
      </c>
      <c r="N911" t="n">
        <v>0</v>
      </c>
      <c r="O911" t="n">
        <v>0</v>
      </c>
      <c r="P911" t="n">
        <v>0</v>
      </c>
      <c r="Q911" t="n">
        <v>0</v>
      </c>
      <c r="R911" s="2" t="inlineStr"/>
    </row>
    <row r="912" ht="15" customHeight="1">
      <c r="A912" t="inlineStr">
        <is>
          <t>A 5584-2024</t>
        </is>
      </c>
      <c r="B912" s="1" t="n">
        <v>45334</v>
      </c>
      <c r="C912" s="1" t="n">
        <v>45346</v>
      </c>
      <c r="D912" t="inlineStr">
        <is>
          <t>DALARNAS LÄN</t>
        </is>
      </c>
      <c r="E912" t="inlineStr">
        <is>
          <t>LEKSAND</t>
        </is>
      </c>
      <c r="F912" t="inlineStr">
        <is>
          <t>Kyrkan</t>
        </is>
      </c>
      <c r="G912" t="n">
        <v>0.4</v>
      </c>
      <c r="H912" t="n">
        <v>0</v>
      </c>
      <c r="I912" t="n">
        <v>0</v>
      </c>
      <c r="J912" t="n">
        <v>0</v>
      </c>
      <c r="K912" t="n">
        <v>0</v>
      </c>
      <c r="L912" t="n">
        <v>0</v>
      </c>
      <c r="M912" t="n">
        <v>0</v>
      </c>
      <c r="N912" t="n">
        <v>0</v>
      </c>
      <c r="O912" t="n">
        <v>0</v>
      </c>
      <c r="P912" t="n">
        <v>0</v>
      </c>
      <c r="Q912" t="n">
        <v>0</v>
      </c>
      <c r="R912" s="2" t="inlineStr"/>
    </row>
    <row r="913" ht="15" customHeight="1">
      <c r="A913" t="inlineStr">
        <is>
          <t>A 5583-2024</t>
        </is>
      </c>
      <c r="B913" s="1" t="n">
        <v>45334</v>
      </c>
      <c r="C913" s="1" t="n">
        <v>45346</v>
      </c>
      <c r="D913" t="inlineStr">
        <is>
          <t>DALARNAS LÄN</t>
        </is>
      </c>
      <c r="E913" t="inlineStr">
        <is>
          <t>LEKSAND</t>
        </is>
      </c>
      <c r="F913" t="inlineStr">
        <is>
          <t>Kyrkan</t>
        </is>
      </c>
      <c r="G913" t="n">
        <v>0.4</v>
      </c>
      <c r="H913" t="n">
        <v>0</v>
      </c>
      <c r="I913" t="n">
        <v>0</v>
      </c>
      <c r="J913" t="n">
        <v>0</v>
      </c>
      <c r="K913" t="n">
        <v>0</v>
      </c>
      <c r="L913" t="n">
        <v>0</v>
      </c>
      <c r="M913" t="n">
        <v>0</v>
      </c>
      <c r="N913" t="n">
        <v>0</v>
      </c>
      <c r="O913" t="n">
        <v>0</v>
      </c>
      <c r="P913" t="n">
        <v>0</v>
      </c>
      <c r="Q913" t="n">
        <v>0</v>
      </c>
      <c r="R913" s="2" t="inlineStr"/>
    </row>
    <row r="914" ht="15" customHeight="1">
      <c r="A914" t="inlineStr">
        <is>
          <t>A 5570-2024</t>
        </is>
      </c>
      <c r="B914" s="1" t="n">
        <v>45334</v>
      </c>
      <c r="C914" s="1" t="n">
        <v>45346</v>
      </c>
      <c r="D914" t="inlineStr">
        <is>
          <t>DALARNAS LÄN</t>
        </is>
      </c>
      <c r="E914" t="inlineStr">
        <is>
          <t>LEKSAND</t>
        </is>
      </c>
      <c r="G914" t="n">
        <v>0.3</v>
      </c>
      <c r="H914" t="n">
        <v>0</v>
      </c>
      <c r="I914" t="n">
        <v>0</v>
      </c>
      <c r="J914" t="n">
        <v>0</v>
      </c>
      <c r="K914" t="n">
        <v>0</v>
      </c>
      <c r="L914" t="n">
        <v>0</v>
      </c>
      <c r="M914" t="n">
        <v>0</v>
      </c>
      <c r="N914" t="n">
        <v>0</v>
      </c>
      <c r="O914" t="n">
        <v>0</v>
      </c>
      <c r="P914" t="n">
        <v>0</v>
      </c>
      <c r="Q914" t="n">
        <v>0</v>
      </c>
      <c r="R914" s="2" t="inlineStr"/>
    </row>
    <row r="915" ht="15" customHeight="1">
      <c r="A915" t="inlineStr">
        <is>
          <t>A 5574-2024</t>
        </is>
      </c>
      <c r="B915" s="1" t="n">
        <v>45334</v>
      </c>
      <c r="C915" s="1" t="n">
        <v>45346</v>
      </c>
      <c r="D915" t="inlineStr">
        <is>
          <t>DALARNAS LÄN</t>
        </is>
      </c>
      <c r="E915" t="inlineStr">
        <is>
          <t>LEKSAND</t>
        </is>
      </c>
      <c r="G915" t="n">
        <v>0.4</v>
      </c>
      <c r="H915" t="n">
        <v>0</v>
      </c>
      <c r="I915" t="n">
        <v>0</v>
      </c>
      <c r="J915" t="n">
        <v>0</v>
      </c>
      <c r="K915" t="n">
        <v>0</v>
      </c>
      <c r="L915" t="n">
        <v>0</v>
      </c>
      <c r="M915" t="n">
        <v>0</v>
      </c>
      <c r="N915" t="n">
        <v>0</v>
      </c>
      <c r="O915" t="n">
        <v>0</v>
      </c>
      <c r="P915" t="n">
        <v>0</v>
      </c>
      <c r="Q915" t="n">
        <v>0</v>
      </c>
      <c r="R915" s="2" t="inlineStr"/>
    </row>
    <row r="916" ht="15" customHeight="1">
      <c r="A916" t="inlineStr">
        <is>
          <t>A 5582-2024</t>
        </is>
      </c>
      <c r="B916" s="1" t="n">
        <v>45334</v>
      </c>
      <c r="C916" s="1" t="n">
        <v>45346</v>
      </c>
      <c r="D916" t="inlineStr">
        <is>
          <t>DALARNAS LÄN</t>
        </is>
      </c>
      <c r="E916" t="inlineStr">
        <is>
          <t>LEKSAND</t>
        </is>
      </c>
      <c r="G916" t="n">
        <v>0.5</v>
      </c>
      <c r="H916" t="n">
        <v>0</v>
      </c>
      <c r="I916" t="n">
        <v>0</v>
      </c>
      <c r="J916" t="n">
        <v>0</v>
      </c>
      <c r="K916" t="n">
        <v>0</v>
      </c>
      <c r="L916" t="n">
        <v>0</v>
      </c>
      <c r="M916" t="n">
        <v>0</v>
      </c>
      <c r="N916" t="n">
        <v>0</v>
      </c>
      <c r="O916" t="n">
        <v>0</v>
      </c>
      <c r="P916" t="n">
        <v>0</v>
      </c>
      <c r="Q916" t="n">
        <v>0</v>
      </c>
      <c r="R916" s="2" t="inlineStr"/>
    </row>
    <row r="917" ht="15" customHeight="1">
      <c r="A917" t="inlineStr">
        <is>
          <t>A 5900-2024</t>
        </is>
      </c>
      <c r="B917" s="1" t="n">
        <v>45335</v>
      </c>
      <c r="C917" s="1" t="n">
        <v>45346</v>
      </c>
      <c r="D917" t="inlineStr">
        <is>
          <t>DALARNAS LÄN</t>
        </is>
      </c>
      <c r="E917" t="inlineStr">
        <is>
          <t>LEKSAND</t>
        </is>
      </c>
      <c r="G917" t="n">
        <v>0.8</v>
      </c>
      <c r="H917" t="n">
        <v>0</v>
      </c>
      <c r="I917" t="n">
        <v>0</v>
      </c>
      <c r="J917" t="n">
        <v>0</v>
      </c>
      <c r="K917" t="n">
        <v>0</v>
      </c>
      <c r="L917" t="n">
        <v>0</v>
      </c>
      <c r="M917" t="n">
        <v>0</v>
      </c>
      <c r="N917" t="n">
        <v>0</v>
      </c>
      <c r="O917" t="n">
        <v>0</v>
      </c>
      <c r="P917" t="n">
        <v>0</v>
      </c>
      <c r="Q917" t="n">
        <v>0</v>
      </c>
      <c r="R917" s="2" t="inlineStr"/>
    </row>
    <row r="918" ht="15" customHeight="1">
      <c r="A918" t="inlineStr">
        <is>
          <t>A 6758-2024</t>
        </is>
      </c>
      <c r="B918" s="1" t="n">
        <v>45342</v>
      </c>
      <c r="C918" s="1" t="n">
        <v>45346</v>
      </c>
      <c r="D918" t="inlineStr">
        <is>
          <t>DALARNAS LÄN</t>
        </is>
      </c>
      <c r="E918" t="inlineStr">
        <is>
          <t>LEKSAND</t>
        </is>
      </c>
      <c r="F918" t="inlineStr">
        <is>
          <t>Bergvik skog väst AB</t>
        </is>
      </c>
      <c r="G918" t="n">
        <v>6.2</v>
      </c>
      <c r="H918" t="n">
        <v>0</v>
      </c>
      <c r="I918" t="n">
        <v>0</v>
      </c>
      <c r="J918" t="n">
        <v>0</v>
      </c>
      <c r="K918" t="n">
        <v>0</v>
      </c>
      <c r="L918" t="n">
        <v>0</v>
      </c>
      <c r="M918" t="n">
        <v>0</v>
      </c>
      <c r="N918" t="n">
        <v>0</v>
      </c>
      <c r="O918" t="n">
        <v>0</v>
      </c>
      <c r="P918" t="n">
        <v>0</v>
      </c>
      <c r="Q918" t="n">
        <v>0</v>
      </c>
      <c r="R918" s="2" t="inlineStr"/>
    </row>
    <row r="919">
      <c r="A919" t="inlineStr">
        <is>
          <t>A 7417-2024</t>
        </is>
      </c>
      <c r="B919" s="1" t="n">
        <v>45345</v>
      </c>
      <c r="C919" s="1" t="n">
        <v>45346</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2024-02-24T12:30:27Z</dcterms:created>
  <dcterms:modified xmlns:dcterms="http://purl.org/dc/terms/" xmlns:xsi="http://www.w3.org/2001/XMLSchema-instance" xsi:type="dcterms:W3CDTF">2024-02-24T12:30:28Z</dcterms:modified>
</cp:coreProperties>
</file>