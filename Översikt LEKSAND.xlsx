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45878</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45878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45878</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45878</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45878</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45878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45878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45878</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45878</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45878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45878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45878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45878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45878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45878</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45878</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45878</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45878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45878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45878</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45878</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45878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45878</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45878</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45878</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45878</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16735-2025</t>
        </is>
      </c>
      <c r="B28" s="1" t="n">
        <v>45754.54314814815</v>
      </c>
      <c r="C28" s="1" t="n">
        <v>45878</v>
      </c>
      <c r="D28" t="inlineStr">
        <is>
          <t>DALARNAS LÄN</t>
        </is>
      </c>
      <c r="E28" t="inlineStr">
        <is>
          <t>LEKSAND</t>
        </is>
      </c>
      <c r="G28" t="n">
        <v>1.8</v>
      </c>
      <c r="H28" t="n">
        <v>1</v>
      </c>
      <c r="I28" t="n">
        <v>0</v>
      </c>
      <c r="J28" t="n">
        <v>0</v>
      </c>
      <c r="K28" t="n">
        <v>0</v>
      </c>
      <c r="L28" t="n">
        <v>0</v>
      </c>
      <c r="M28" t="n">
        <v>0</v>
      </c>
      <c r="N28" t="n">
        <v>0</v>
      </c>
      <c r="O28" t="n">
        <v>0</v>
      </c>
      <c r="P28" t="n">
        <v>0</v>
      </c>
      <c r="Q28" t="n">
        <v>1</v>
      </c>
      <c r="R28" s="2" t="inlineStr">
        <is>
          <t>Gröngöling</t>
        </is>
      </c>
      <c r="S28">
        <f>HYPERLINK("https://klasma.github.io/Logging_2029/artfynd/A 16735-2025 artfynd.xlsx", "A 16735-2025")</f>
        <v/>
      </c>
      <c r="T28">
        <f>HYPERLINK("https://klasma.github.io/Logging_2029/kartor/A 16735-2025 karta.png", "A 16735-2025")</f>
        <v/>
      </c>
      <c r="V28">
        <f>HYPERLINK("https://klasma.github.io/Logging_2029/klagomål/A 16735-2025 FSC-klagomål.docx", "A 16735-2025")</f>
        <v/>
      </c>
      <c r="W28">
        <f>HYPERLINK("https://klasma.github.io/Logging_2029/klagomålsmail/A 16735-2025 FSC-klagomål mail.docx", "A 16735-2025")</f>
        <v/>
      </c>
      <c r="X28">
        <f>HYPERLINK("https://klasma.github.io/Logging_2029/tillsyn/A 16735-2025 tillsynsbegäran.docx", "A 16735-2025")</f>
        <v/>
      </c>
      <c r="Y28">
        <f>HYPERLINK("https://klasma.github.io/Logging_2029/tillsynsmail/A 16735-2025 tillsynsbegäran mail.docx", "A 16735-2025")</f>
        <v/>
      </c>
      <c r="Z28">
        <f>HYPERLINK("https://klasma.github.io/Logging_2029/fåglar/A 16735-2025 prioriterade fågelarter.docx", "A 16735-2025")</f>
        <v/>
      </c>
    </row>
    <row r="29" ht="15" customHeight="1">
      <c r="A29" t="inlineStr">
        <is>
          <t>A 23137-2022</t>
        </is>
      </c>
      <c r="B29" s="1" t="n">
        <v>44719</v>
      </c>
      <c r="C29" s="1" t="n">
        <v>45878</v>
      </c>
      <c r="D29" t="inlineStr">
        <is>
          <t>DALARNAS LÄN</t>
        </is>
      </c>
      <c r="E29" t="inlineStr">
        <is>
          <t>LEKSAND</t>
        </is>
      </c>
      <c r="G29" t="n">
        <v>3</v>
      </c>
      <c r="H29" t="n">
        <v>0</v>
      </c>
      <c r="I29" t="n">
        <v>0</v>
      </c>
      <c r="J29" t="n">
        <v>0</v>
      </c>
      <c r="K29" t="n">
        <v>1</v>
      </c>
      <c r="L29" t="n">
        <v>0</v>
      </c>
      <c r="M29" t="n">
        <v>0</v>
      </c>
      <c r="N29" t="n">
        <v>0</v>
      </c>
      <c r="O29" t="n">
        <v>1</v>
      </c>
      <c r="P29" t="n">
        <v>1</v>
      </c>
      <c r="Q29" t="n">
        <v>1</v>
      </c>
      <c r="R29" s="2" t="inlineStr">
        <is>
          <t>Koppartaggsvamp</t>
        </is>
      </c>
      <c r="S29">
        <f>HYPERLINK("https://klasma.github.io/Logging_2029/artfynd/A 23137-2022 artfynd.xlsx", "A 23137-2022")</f>
        <v/>
      </c>
      <c r="T29">
        <f>HYPERLINK("https://klasma.github.io/Logging_2029/kartor/A 23137-2022 karta.png", "A 23137-2022")</f>
        <v/>
      </c>
      <c r="V29">
        <f>HYPERLINK("https://klasma.github.io/Logging_2029/klagomål/A 23137-2022 FSC-klagomål.docx", "A 23137-2022")</f>
        <v/>
      </c>
      <c r="W29">
        <f>HYPERLINK("https://klasma.github.io/Logging_2029/klagomålsmail/A 23137-2022 FSC-klagomål mail.docx", "A 23137-2022")</f>
        <v/>
      </c>
      <c r="X29">
        <f>HYPERLINK("https://klasma.github.io/Logging_2029/tillsyn/A 23137-2022 tillsynsbegäran.docx", "A 23137-2022")</f>
        <v/>
      </c>
      <c r="Y29">
        <f>HYPERLINK("https://klasma.github.io/Logging_2029/tillsynsmail/A 23137-2022 tillsynsbegäran mail.docx", "A 23137-2022")</f>
        <v/>
      </c>
    </row>
    <row r="30" ht="15" customHeight="1">
      <c r="A30" t="inlineStr">
        <is>
          <t>A 164-2024</t>
        </is>
      </c>
      <c r="B30" s="1" t="n">
        <v>45294.49954861111</v>
      </c>
      <c r="C30" s="1" t="n">
        <v>45878</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31124-2024</t>
        </is>
      </c>
      <c r="B31" s="1" t="n">
        <v>45502.62886574074</v>
      </c>
      <c r="C31" s="1" t="n">
        <v>45878</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55633-2024</t>
        </is>
      </c>
      <c r="B32" s="1" t="n">
        <v>45621</v>
      </c>
      <c r="C32" s="1" t="n">
        <v>45878</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52600-2024</t>
        </is>
      </c>
      <c r="B33" s="1" t="n">
        <v>45609</v>
      </c>
      <c r="C33" s="1" t="n">
        <v>45878</v>
      </c>
      <c r="D33" t="inlineStr">
        <is>
          <t>DALARNAS LÄN</t>
        </is>
      </c>
      <c r="E33" t="inlineStr">
        <is>
          <t>LEKSAND</t>
        </is>
      </c>
      <c r="G33" t="n">
        <v>3.4</v>
      </c>
      <c r="H33" t="n">
        <v>1</v>
      </c>
      <c r="I33" t="n">
        <v>0</v>
      </c>
      <c r="J33" t="n">
        <v>0</v>
      </c>
      <c r="K33" t="n">
        <v>0</v>
      </c>
      <c r="L33" t="n">
        <v>0</v>
      </c>
      <c r="M33" t="n">
        <v>0</v>
      </c>
      <c r="N33" t="n">
        <v>0</v>
      </c>
      <c r="O33" t="n">
        <v>0</v>
      </c>
      <c r="P33" t="n">
        <v>0</v>
      </c>
      <c r="Q33" t="n">
        <v>1</v>
      </c>
      <c r="R33" s="2" t="inlineStr">
        <is>
          <t>Fläcknycklar</t>
        </is>
      </c>
      <c r="S33">
        <f>HYPERLINK("https://klasma.github.io/Logging_2029/artfynd/A 52600-2024 artfynd.xlsx", "A 52600-2024")</f>
        <v/>
      </c>
      <c r="T33">
        <f>HYPERLINK("https://klasma.github.io/Logging_2029/kartor/A 52600-2024 karta.png", "A 52600-2024")</f>
        <v/>
      </c>
      <c r="V33">
        <f>HYPERLINK("https://klasma.github.io/Logging_2029/klagomål/A 52600-2024 FSC-klagomål.docx", "A 52600-2024")</f>
        <v/>
      </c>
      <c r="W33">
        <f>HYPERLINK("https://klasma.github.io/Logging_2029/klagomålsmail/A 52600-2024 FSC-klagomål mail.docx", "A 52600-2024")</f>
        <v/>
      </c>
      <c r="X33">
        <f>HYPERLINK("https://klasma.github.io/Logging_2029/tillsyn/A 52600-2024 tillsynsbegäran.docx", "A 52600-2024")</f>
        <v/>
      </c>
      <c r="Y33">
        <f>HYPERLINK("https://klasma.github.io/Logging_2029/tillsynsmail/A 52600-2024 tillsynsbegäran mail.docx", "A 52600-2024")</f>
        <v/>
      </c>
    </row>
    <row r="34" ht="15" customHeight="1">
      <c r="A34" t="inlineStr">
        <is>
          <t>A 34993-2025</t>
        </is>
      </c>
      <c r="B34" s="1" t="n">
        <v>45849.82383101852</v>
      </c>
      <c r="C34" s="1" t="n">
        <v>45878</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45878</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59205-2023</t>
        </is>
      </c>
      <c r="B36" s="1" t="n">
        <v>45251</v>
      </c>
      <c r="C36" s="1" t="n">
        <v>45878</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41873-2022</t>
        </is>
      </c>
      <c r="B37" s="1" t="n">
        <v>44829</v>
      </c>
      <c r="C37" s="1" t="n">
        <v>45878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4974-2025</t>
        </is>
      </c>
      <c r="B38" s="1" t="n">
        <v>45690.8478587963</v>
      </c>
      <c r="C38" s="1" t="n">
        <v>45878</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45878</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26287-2023</t>
        </is>
      </c>
      <c r="B40" s="1" t="n">
        <v>45091</v>
      </c>
      <c r="C40" s="1" t="n">
        <v>45878</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36778-2025</t>
        </is>
      </c>
      <c r="B41" s="1" t="n">
        <v>45873</v>
      </c>
      <c r="C41" s="1" t="n">
        <v>45878</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6029-2025</t>
        </is>
      </c>
      <c r="B42" s="1" t="n">
        <v>45695</v>
      </c>
      <c r="C42" s="1" t="n">
        <v>45878</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1078-2021</t>
        </is>
      </c>
      <c r="B43" s="1" t="n">
        <v>44207</v>
      </c>
      <c r="C43" s="1" t="n">
        <v>45878</v>
      </c>
      <c r="D43" t="inlineStr">
        <is>
          <t>DALARNAS LÄN</t>
        </is>
      </c>
      <c r="E43" t="inlineStr">
        <is>
          <t>LEKSAND</t>
        </is>
      </c>
      <c r="G43" t="n">
        <v>4.9</v>
      </c>
      <c r="H43" t="n">
        <v>0</v>
      </c>
      <c r="I43" t="n">
        <v>0</v>
      </c>
      <c r="J43" t="n">
        <v>0</v>
      </c>
      <c r="K43" t="n">
        <v>0</v>
      </c>
      <c r="L43" t="n">
        <v>0</v>
      </c>
      <c r="M43" t="n">
        <v>0</v>
      </c>
      <c r="N43" t="n">
        <v>0</v>
      </c>
      <c r="O43" t="n">
        <v>0</v>
      </c>
      <c r="P43" t="n">
        <v>0</v>
      </c>
      <c r="Q43" t="n">
        <v>0</v>
      </c>
      <c r="R43" s="2" t="inlineStr"/>
    </row>
    <row r="44" ht="15" customHeight="1">
      <c r="A44" t="inlineStr">
        <is>
          <t>A 36438-2021</t>
        </is>
      </c>
      <c r="B44" s="1" t="n">
        <v>44390.91288194444</v>
      </c>
      <c r="C44" s="1" t="n">
        <v>45878</v>
      </c>
      <c r="D44" t="inlineStr">
        <is>
          <t>DALARNAS LÄN</t>
        </is>
      </c>
      <c r="E44" t="inlineStr">
        <is>
          <t>LEKSAND</t>
        </is>
      </c>
      <c r="G44" t="n">
        <v>5</v>
      </c>
      <c r="H44" t="n">
        <v>0</v>
      </c>
      <c r="I44" t="n">
        <v>0</v>
      </c>
      <c r="J44" t="n">
        <v>0</v>
      </c>
      <c r="K44" t="n">
        <v>0</v>
      </c>
      <c r="L44" t="n">
        <v>0</v>
      </c>
      <c r="M44" t="n">
        <v>0</v>
      </c>
      <c r="N44" t="n">
        <v>0</v>
      </c>
      <c r="O44" t="n">
        <v>0</v>
      </c>
      <c r="P44" t="n">
        <v>0</v>
      </c>
      <c r="Q44" t="n">
        <v>0</v>
      </c>
      <c r="R44" s="2" t="inlineStr"/>
    </row>
    <row r="45" ht="15" customHeight="1">
      <c r="A45" t="inlineStr">
        <is>
          <t>A 70451-2021</t>
        </is>
      </c>
      <c r="B45" s="1" t="n">
        <v>44536</v>
      </c>
      <c r="C45" s="1" t="n">
        <v>45878</v>
      </c>
      <c r="D45" t="inlineStr">
        <is>
          <t>DALARNAS LÄN</t>
        </is>
      </c>
      <c r="E45" t="inlineStr">
        <is>
          <t>LEKSAND</t>
        </is>
      </c>
      <c r="G45" t="n">
        <v>3.7</v>
      </c>
      <c r="H45" t="n">
        <v>0</v>
      </c>
      <c r="I45" t="n">
        <v>0</v>
      </c>
      <c r="J45" t="n">
        <v>0</v>
      </c>
      <c r="K45" t="n">
        <v>0</v>
      </c>
      <c r="L45" t="n">
        <v>0</v>
      </c>
      <c r="M45" t="n">
        <v>0</v>
      </c>
      <c r="N45" t="n">
        <v>0</v>
      </c>
      <c r="O45" t="n">
        <v>0</v>
      </c>
      <c r="P45" t="n">
        <v>0</v>
      </c>
      <c r="Q45" t="n">
        <v>0</v>
      </c>
      <c r="R45" s="2" t="inlineStr"/>
    </row>
    <row r="46" ht="15" customHeight="1">
      <c r="A46" t="inlineStr">
        <is>
          <t>A 42952-2021</t>
        </is>
      </c>
      <c r="B46" s="1" t="n">
        <v>44431.39752314815</v>
      </c>
      <c r="C46" s="1" t="n">
        <v>45878</v>
      </c>
      <c r="D46" t="inlineStr">
        <is>
          <t>DALARNAS LÄN</t>
        </is>
      </c>
      <c r="E46" t="inlineStr">
        <is>
          <t>LEKSAND</t>
        </is>
      </c>
      <c r="G46" t="n">
        <v>5.4</v>
      </c>
      <c r="H46" t="n">
        <v>0</v>
      </c>
      <c r="I46" t="n">
        <v>0</v>
      </c>
      <c r="J46" t="n">
        <v>0</v>
      </c>
      <c r="K46" t="n">
        <v>0</v>
      </c>
      <c r="L46" t="n">
        <v>0</v>
      </c>
      <c r="M46" t="n">
        <v>0</v>
      </c>
      <c r="N46" t="n">
        <v>0</v>
      </c>
      <c r="O46" t="n">
        <v>0</v>
      </c>
      <c r="P46" t="n">
        <v>0</v>
      </c>
      <c r="Q46" t="n">
        <v>0</v>
      </c>
      <c r="R46" s="2" t="inlineStr"/>
    </row>
    <row r="47" ht="15" customHeight="1">
      <c r="A47" t="inlineStr">
        <is>
          <t>A 32476-2022</t>
        </is>
      </c>
      <c r="B47" s="1" t="n">
        <v>44782.60024305555</v>
      </c>
      <c r="C47" s="1" t="n">
        <v>45878</v>
      </c>
      <c r="D47" t="inlineStr">
        <is>
          <t>DALARNAS LÄN</t>
        </is>
      </c>
      <c r="E47" t="inlineStr">
        <is>
          <t>LEKSAND</t>
        </is>
      </c>
      <c r="G47" t="n">
        <v>5.6</v>
      </c>
      <c r="H47" t="n">
        <v>0</v>
      </c>
      <c r="I47" t="n">
        <v>0</v>
      </c>
      <c r="J47" t="n">
        <v>0</v>
      </c>
      <c r="K47" t="n">
        <v>0</v>
      </c>
      <c r="L47" t="n">
        <v>0</v>
      </c>
      <c r="M47" t="n">
        <v>0</v>
      </c>
      <c r="N47" t="n">
        <v>0</v>
      </c>
      <c r="O47" t="n">
        <v>0</v>
      </c>
      <c r="P47" t="n">
        <v>0</v>
      </c>
      <c r="Q47" t="n">
        <v>0</v>
      </c>
      <c r="R47" s="2" t="inlineStr"/>
    </row>
    <row r="48" ht="15" customHeight="1">
      <c r="A48" t="inlineStr">
        <is>
          <t>A 51502-2022</t>
        </is>
      </c>
      <c r="B48" s="1" t="n">
        <v>44869</v>
      </c>
      <c r="C48" s="1" t="n">
        <v>45878</v>
      </c>
      <c r="D48" t="inlineStr">
        <is>
          <t>DALARNAS LÄN</t>
        </is>
      </c>
      <c r="E48" t="inlineStr">
        <is>
          <t>LEKSAND</t>
        </is>
      </c>
      <c r="F48" t="inlineStr">
        <is>
          <t>Bergvik skog väst AB</t>
        </is>
      </c>
      <c r="G48" t="n">
        <v>2.4</v>
      </c>
      <c r="H48" t="n">
        <v>0</v>
      </c>
      <c r="I48" t="n">
        <v>0</v>
      </c>
      <c r="J48" t="n">
        <v>0</v>
      </c>
      <c r="K48" t="n">
        <v>0</v>
      </c>
      <c r="L48" t="n">
        <v>0</v>
      </c>
      <c r="M48" t="n">
        <v>0</v>
      </c>
      <c r="N48" t="n">
        <v>0</v>
      </c>
      <c r="O48" t="n">
        <v>0</v>
      </c>
      <c r="P48" t="n">
        <v>0</v>
      </c>
      <c r="Q48" t="n">
        <v>0</v>
      </c>
      <c r="R48" s="2" t="inlineStr"/>
    </row>
    <row r="49" ht="15" customHeight="1">
      <c r="A49" t="inlineStr">
        <is>
          <t>A 59422-2021</t>
        </is>
      </c>
      <c r="B49" s="1" t="n">
        <v>44491</v>
      </c>
      <c r="C49" s="1" t="n">
        <v>45878</v>
      </c>
      <c r="D49" t="inlineStr">
        <is>
          <t>DALARNAS LÄN</t>
        </is>
      </c>
      <c r="E49" t="inlineStr">
        <is>
          <t>LEKSAND</t>
        </is>
      </c>
      <c r="G49" t="n">
        <v>0.7</v>
      </c>
      <c r="H49" t="n">
        <v>0</v>
      </c>
      <c r="I49" t="n">
        <v>0</v>
      </c>
      <c r="J49" t="n">
        <v>0</v>
      </c>
      <c r="K49" t="n">
        <v>0</v>
      </c>
      <c r="L49" t="n">
        <v>0</v>
      </c>
      <c r="M49" t="n">
        <v>0</v>
      </c>
      <c r="N49" t="n">
        <v>0</v>
      </c>
      <c r="O49" t="n">
        <v>0</v>
      </c>
      <c r="P49" t="n">
        <v>0</v>
      </c>
      <c r="Q49" t="n">
        <v>0</v>
      </c>
      <c r="R49" s="2" t="inlineStr"/>
    </row>
    <row r="50" ht="15" customHeight="1">
      <c r="A50" t="inlineStr">
        <is>
          <t>A 64109-2020</t>
        </is>
      </c>
      <c r="B50" s="1" t="n">
        <v>44167</v>
      </c>
      <c r="C50" s="1" t="n">
        <v>45878</v>
      </c>
      <c r="D50" t="inlineStr">
        <is>
          <t>DALARNAS LÄN</t>
        </is>
      </c>
      <c r="E50" t="inlineStr">
        <is>
          <t>LEKSAND</t>
        </is>
      </c>
      <c r="G50" t="n">
        <v>2.7</v>
      </c>
      <c r="H50" t="n">
        <v>0</v>
      </c>
      <c r="I50" t="n">
        <v>0</v>
      </c>
      <c r="J50" t="n">
        <v>0</v>
      </c>
      <c r="K50" t="n">
        <v>0</v>
      </c>
      <c r="L50" t="n">
        <v>0</v>
      </c>
      <c r="M50" t="n">
        <v>0</v>
      </c>
      <c r="N50" t="n">
        <v>0</v>
      </c>
      <c r="O50" t="n">
        <v>0</v>
      </c>
      <c r="P50" t="n">
        <v>0</v>
      </c>
      <c r="Q50" t="n">
        <v>0</v>
      </c>
      <c r="R50" s="2" t="inlineStr"/>
    </row>
    <row r="51" ht="15" customHeight="1">
      <c r="A51" t="inlineStr">
        <is>
          <t>A 47004-2020</t>
        </is>
      </c>
      <c r="B51" s="1" t="n">
        <v>44091</v>
      </c>
      <c r="C51" s="1" t="n">
        <v>45878</v>
      </c>
      <c r="D51" t="inlineStr">
        <is>
          <t>DALARNAS LÄN</t>
        </is>
      </c>
      <c r="E51" t="inlineStr">
        <is>
          <t>LEKSAND</t>
        </is>
      </c>
      <c r="G51" t="n">
        <v>3.2</v>
      </c>
      <c r="H51" t="n">
        <v>0</v>
      </c>
      <c r="I51" t="n">
        <v>0</v>
      </c>
      <c r="J51" t="n">
        <v>0</v>
      </c>
      <c r="K51" t="n">
        <v>0</v>
      </c>
      <c r="L51" t="n">
        <v>0</v>
      </c>
      <c r="M51" t="n">
        <v>0</v>
      </c>
      <c r="N51" t="n">
        <v>0</v>
      </c>
      <c r="O51" t="n">
        <v>0</v>
      </c>
      <c r="P51" t="n">
        <v>0</v>
      </c>
      <c r="Q51" t="n">
        <v>0</v>
      </c>
      <c r="R51" s="2" t="inlineStr"/>
    </row>
    <row r="52" ht="15" customHeight="1">
      <c r="A52" t="inlineStr">
        <is>
          <t>A 9133-2021</t>
        </is>
      </c>
      <c r="B52" s="1" t="n">
        <v>44249</v>
      </c>
      <c r="C52" s="1" t="n">
        <v>45878</v>
      </c>
      <c r="D52" t="inlineStr">
        <is>
          <t>DALARNAS LÄN</t>
        </is>
      </c>
      <c r="E52" t="inlineStr">
        <is>
          <t>LEKSAND</t>
        </is>
      </c>
      <c r="G52" t="n">
        <v>2.5</v>
      </c>
      <c r="H52" t="n">
        <v>0</v>
      </c>
      <c r="I52" t="n">
        <v>0</v>
      </c>
      <c r="J52" t="n">
        <v>0</v>
      </c>
      <c r="K52" t="n">
        <v>0</v>
      </c>
      <c r="L52" t="n">
        <v>0</v>
      </c>
      <c r="M52" t="n">
        <v>0</v>
      </c>
      <c r="N52" t="n">
        <v>0</v>
      </c>
      <c r="O52" t="n">
        <v>0</v>
      </c>
      <c r="P52" t="n">
        <v>0</v>
      </c>
      <c r="Q52" t="n">
        <v>0</v>
      </c>
      <c r="R52" s="2" t="inlineStr"/>
    </row>
    <row r="53" ht="15" customHeight="1">
      <c r="A53" t="inlineStr">
        <is>
          <t>A 64876-2020</t>
        </is>
      </c>
      <c r="B53" s="1" t="n">
        <v>44171</v>
      </c>
      <c r="C53" s="1" t="n">
        <v>45878</v>
      </c>
      <c r="D53" t="inlineStr">
        <is>
          <t>DALARNAS LÄN</t>
        </is>
      </c>
      <c r="E53" t="inlineStr">
        <is>
          <t>LEKSAND</t>
        </is>
      </c>
      <c r="G53" t="n">
        <v>2.1</v>
      </c>
      <c r="H53" t="n">
        <v>0</v>
      </c>
      <c r="I53" t="n">
        <v>0</v>
      </c>
      <c r="J53" t="n">
        <v>0</v>
      </c>
      <c r="K53" t="n">
        <v>0</v>
      </c>
      <c r="L53" t="n">
        <v>0</v>
      </c>
      <c r="M53" t="n">
        <v>0</v>
      </c>
      <c r="N53" t="n">
        <v>0</v>
      </c>
      <c r="O53" t="n">
        <v>0</v>
      </c>
      <c r="P53" t="n">
        <v>0</v>
      </c>
      <c r="Q53" t="n">
        <v>0</v>
      </c>
      <c r="R53" s="2" t="inlineStr"/>
    </row>
    <row r="54" ht="15" customHeight="1">
      <c r="A54" t="inlineStr">
        <is>
          <t>A 43300-2022</t>
        </is>
      </c>
      <c r="B54" s="1" t="n">
        <v>44834</v>
      </c>
      <c r="C54" s="1" t="n">
        <v>45878</v>
      </c>
      <c r="D54" t="inlineStr">
        <is>
          <t>DALARNAS LÄN</t>
        </is>
      </c>
      <c r="E54" t="inlineStr">
        <is>
          <t>LEKSAND</t>
        </is>
      </c>
      <c r="G54" t="n">
        <v>1.4</v>
      </c>
      <c r="H54" t="n">
        <v>0</v>
      </c>
      <c r="I54" t="n">
        <v>0</v>
      </c>
      <c r="J54" t="n">
        <v>0</v>
      </c>
      <c r="K54" t="n">
        <v>0</v>
      </c>
      <c r="L54" t="n">
        <v>0</v>
      </c>
      <c r="M54" t="n">
        <v>0</v>
      </c>
      <c r="N54" t="n">
        <v>0</v>
      </c>
      <c r="O54" t="n">
        <v>0</v>
      </c>
      <c r="P54" t="n">
        <v>0</v>
      </c>
      <c r="Q54" t="n">
        <v>0</v>
      </c>
      <c r="R54" s="2" t="inlineStr"/>
    </row>
    <row r="55" ht="15" customHeight="1">
      <c r="A55" t="inlineStr">
        <is>
          <t>A 35801-2022</t>
        </is>
      </c>
      <c r="B55" s="1" t="n">
        <v>44802</v>
      </c>
      <c r="C55" s="1" t="n">
        <v>45878</v>
      </c>
      <c r="D55" t="inlineStr">
        <is>
          <t>DALARNAS LÄN</t>
        </is>
      </c>
      <c r="E55" t="inlineStr">
        <is>
          <t>LEKSAND</t>
        </is>
      </c>
      <c r="F55" t="inlineStr">
        <is>
          <t>Bergvik skog väst AB</t>
        </is>
      </c>
      <c r="G55" t="n">
        <v>6.4</v>
      </c>
      <c r="H55" t="n">
        <v>0</v>
      </c>
      <c r="I55" t="n">
        <v>0</v>
      </c>
      <c r="J55" t="n">
        <v>0</v>
      </c>
      <c r="K55" t="n">
        <v>0</v>
      </c>
      <c r="L55" t="n">
        <v>0</v>
      </c>
      <c r="M55" t="n">
        <v>0</v>
      </c>
      <c r="N55" t="n">
        <v>0</v>
      </c>
      <c r="O55" t="n">
        <v>0</v>
      </c>
      <c r="P55" t="n">
        <v>0</v>
      </c>
      <c r="Q55" t="n">
        <v>0</v>
      </c>
      <c r="R55" s="2" t="inlineStr"/>
    </row>
    <row r="56" ht="15" customHeight="1">
      <c r="A56" t="inlineStr">
        <is>
          <t>A 16375-2022</t>
        </is>
      </c>
      <c r="B56" s="1" t="n">
        <v>44671.336875</v>
      </c>
      <c r="C56" s="1" t="n">
        <v>45878</v>
      </c>
      <c r="D56" t="inlineStr">
        <is>
          <t>DALARNAS LÄN</t>
        </is>
      </c>
      <c r="E56" t="inlineStr">
        <is>
          <t>LEKSAND</t>
        </is>
      </c>
      <c r="G56" t="n">
        <v>0.9</v>
      </c>
      <c r="H56" t="n">
        <v>0</v>
      </c>
      <c r="I56" t="n">
        <v>0</v>
      </c>
      <c r="J56" t="n">
        <v>0</v>
      </c>
      <c r="K56" t="n">
        <v>0</v>
      </c>
      <c r="L56" t="n">
        <v>0</v>
      </c>
      <c r="M56" t="n">
        <v>0</v>
      </c>
      <c r="N56" t="n">
        <v>0</v>
      </c>
      <c r="O56" t="n">
        <v>0</v>
      </c>
      <c r="P56" t="n">
        <v>0</v>
      </c>
      <c r="Q56" t="n">
        <v>0</v>
      </c>
      <c r="R56" s="2" t="inlineStr"/>
    </row>
    <row r="57" ht="15" customHeight="1">
      <c r="A57" t="inlineStr">
        <is>
          <t>A 51842-2022</t>
        </is>
      </c>
      <c r="B57" s="1" t="n">
        <v>44872.57618055555</v>
      </c>
      <c r="C57" s="1" t="n">
        <v>45878</v>
      </c>
      <c r="D57" t="inlineStr">
        <is>
          <t>DALARNAS LÄN</t>
        </is>
      </c>
      <c r="E57" t="inlineStr">
        <is>
          <t>LEKSAND</t>
        </is>
      </c>
      <c r="F57" t="inlineStr">
        <is>
          <t>Bergvik skog väst AB</t>
        </is>
      </c>
      <c r="G57" t="n">
        <v>4</v>
      </c>
      <c r="H57" t="n">
        <v>0</v>
      </c>
      <c r="I57" t="n">
        <v>0</v>
      </c>
      <c r="J57" t="n">
        <v>0</v>
      </c>
      <c r="K57" t="n">
        <v>0</v>
      </c>
      <c r="L57" t="n">
        <v>0</v>
      </c>
      <c r="M57" t="n">
        <v>0</v>
      </c>
      <c r="N57" t="n">
        <v>0</v>
      </c>
      <c r="O57" t="n">
        <v>0</v>
      </c>
      <c r="P57" t="n">
        <v>0</v>
      </c>
      <c r="Q57" t="n">
        <v>0</v>
      </c>
      <c r="R57" s="2" t="inlineStr"/>
    </row>
    <row r="58" ht="15" customHeight="1">
      <c r="A58" t="inlineStr">
        <is>
          <t>A 21132-2021</t>
        </is>
      </c>
      <c r="B58" s="1" t="n">
        <v>44319</v>
      </c>
      <c r="C58" s="1" t="n">
        <v>45878</v>
      </c>
      <c r="D58" t="inlineStr">
        <is>
          <t>DALARNAS LÄN</t>
        </is>
      </c>
      <c r="E58" t="inlineStr">
        <is>
          <t>LEKSAND</t>
        </is>
      </c>
      <c r="G58" t="n">
        <v>6.8</v>
      </c>
      <c r="H58" t="n">
        <v>0</v>
      </c>
      <c r="I58" t="n">
        <v>0</v>
      </c>
      <c r="J58" t="n">
        <v>0</v>
      </c>
      <c r="K58" t="n">
        <v>0</v>
      </c>
      <c r="L58" t="n">
        <v>0</v>
      </c>
      <c r="M58" t="n">
        <v>0</v>
      </c>
      <c r="N58" t="n">
        <v>0</v>
      </c>
      <c r="O58" t="n">
        <v>0</v>
      </c>
      <c r="P58" t="n">
        <v>0</v>
      </c>
      <c r="Q58" t="n">
        <v>0</v>
      </c>
      <c r="R58" s="2" t="inlineStr"/>
    </row>
    <row r="59" ht="15" customHeight="1">
      <c r="A59" t="inlineStr">
        <is>
          <t>A 37568-2020</t>
        </is>
      </c>
      <c r="B59" s="1" t="n">
        <v>44056</v>
      </c>
      <c r="C59" s="1" t="n">
        <v>45878</v>
      </c>
      <c r="D59" t="inlineStr">
        <is>
          <t>DALARNAS LÄN</t>
        </is>
      </c>
      <c r="E59" t="inlineStr">
        <is>
          <t>LEKSAND</t>
        </is>
      </c>
      <c r="G59" t="n">
        <v>3.4</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45878</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45878</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45878</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45878</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45878</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45878</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45878</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45878</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45878</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45878</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45878</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45878</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45878</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45878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45878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45878</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45878</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45878</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45878</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45878</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46672-2022</t>
        </is>
      </c>
      <c r="B80" s="1" t="n">
        <v>44851</v>
      </c>
      <c r="C80" s="1" t="n">
        <v>45878</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31871-2022</t>
        </is>
      </c>
      <c r="B81" s="1" t="n">
        <v>44777.37854166667</v>
      </c>
      <c r="C81" s="1" t="n">
        <v>45878</v>
      </c>
      <c r="D81" t="inlineStr">
        <is>
          <t>DALARNAS LÄN</t>
        </is>
      </c>
      <c r="E81" t="inlineStr">
        <is>
          <t>LEKSAND</t>
        </is>
      </c>
      <c r="G81" t="n">
        <v>4.1</v>
      </c>
      <c r="H81" t="n">
        <v>0</v>
      </c>
      <c r="I81" t="n">
        <v>0</v>
      </c>
      <c r="J81" t="n">
        <v>0</v>
      </c>
      <c r="K81" t="n">
        <v>0</v>
      </c>
      <c r="L81" t="n">
        <v>0</v>
      </c>
      <c r="M81" t="n">
        <v>0</v>
      </c>
      <c r="N81" t="n">
        <v>0</v>
      </c>
      <c r="O81" t="n">
        <v>0</v>
      </c>
      <c r="P81" t="n">
        <v>0</v>
      </c>
      <c r="Q81" t="n">
        <v>0</v>
      </c>
      <c r="R81" s="2" t="inlineStr"/>
    </row>
    <row r="82" ht="15" customHeight="1">
      <c r="A82" t="inlineStr">
        <is>
          <t>A 14140-2022</t>
        </is>
      </c>
      <c r="B82" s="1" t="n">
        <v>44651</v>
      </c>
      <c r="C82" s="1" t="n">
        <v>45878</v>
      </c>
      <c r="D82" t="inlineStr">
        <is>
          <t>DALARNAS LÄN</t>
        </is>
      </c>
      <c r="E82" t="inlineStr">
        <is>
          <t>LEKSAND</t>
        </is>
      </c>
      <c r="G82" t="n">
        <v>0.9</v>
      </c>
      <c r="H82" t="n">
        <v>0</v>
      </c>
      <c r="I82" t="n">
        <v>0</v>
      </c>
      <c r="J82" t="n">
        <v>0</v>
      </c>
      <c r="K82" t="n">
        <v>0</v>
      </c>
      <c r="L82" t="n">
        <v>0</v>
      </c>
      <c r="M82" t="n">
        <v>0</v>
      </c>
      <c r="N82" t="n">
        <v>0</v>
      </c>
      <c r="O82" t="n">
        <v>0</v>
      </c>
      <c r="P82" t="n">
        <v>0</v>
      </c>
      <c r="Q82" t="n">
        <v>0</v>
      </c>
      <c r="R82" s="2" t="inlineStr"/>
    </row>
    <row r="83" ht="15" customHeight="1">
      <c r="A83" t="inlineStr">
        <is>
          <t>A 21968-2021</t>
        </is>
      </c>
      <c r="B83" s="1" t="n">
        <v>44323</v>
      </c>
      <c r="C83" s="1" t="n">
        <v>45878</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68573-2021</t>
        </is>
      </c>
      <c r="B84" s="1" t="n">
        <v>44529</v>
      </c>
      <c r="C84" s="1" t="n">
        <v>45878</v>
      </c>
      <c r="D84" t="inlineStr">
        <is>
          <t>DALARNAS LÄN</t>
        </is>
      </c>
      <c r="E84" t="inlineStr">
        <is>
          <t>LEKSAND</t>
        </is>
      </c>
      <c r="G84" t="n">
        <v>1.6</v>
      </c>
      <c r="H84" t="n">
        <v>0</v>
      </c>
      <c r="I84" t="n">
        <v>0</v>
      </c>
      <c r="J84" t="n">
        <v>0</v>
      </c>
      <c r="K84" t="n">
        <v>0</v>
      </c>
      <c r="L84" t="n">
        <v>0</v>
      </c>
      <c r="M84" t="n">
        <v>0</v>
      </c>
      <c r="N84" t="n">
        <v>0</v>
      </c>
      <c r="O84" t="n">
        <v>0</v>
      </c>
      <c r="P84" t="n">
        <v>0</v>
      </c>
      <c r="Q84" t="n">
        <v>0</v>
      </c>
      <c r="R84" s="2" t="inlineStr"/>
    </row>
    <row r="85" ht="15" customHeight="1">
      <c r="A85" t="inlineStr">
        <is>
          <t>A 47069-2020</t>
        </is>
      </c>
      <c r="B85" s="1" t="n">
        <v>44096</v>
      </c>
      <c r="C85" s="1" t="n">
        <v>45878</v>
      </c>
      <c r="D85" t="inlineStr">
        <is>
          <t>DALARNAS LÄN</t>
        </is>
      </c>
      <c r="E85" t="inlineStr">
        <is>
          <t>LEKSAND</t>
        </is>
      </c>
      <c r="G85" t="n">
        <v>5.5</v>
      </c>
      <c r="H85" t="n">
        <v>0</v>
      </c>
      <c r="I85" t="n">
        <v>0</v>
      </c>
      <c r="J85" t="n">
        <v>0</v>
      </c>
      <c r="K85" t="n">
        <v>0</v>
      </c>
      <c r="L85" t="n">
        <v>0</v>
      </c>
      <c r="M85" t="n">
        <v>0</v>
      </c>
      <c r="N85" t="n">
        <v>0</v>
      </c>
      <c r="O85" t="n">
        <v>0</v>
      </c>
      <c r="P85" t="n">
        <v>0</v>
      </c>
      <c r="Q85" t="n">
        <v>0</v>
      </c>
      <c r="R85" s="2" t="inlineStr"/>
    </row>
    <row r="86" ht="15" customHeight="1">
      <c r="A86" t="inlineStr">
        <is>
          <t>A 43410-2021</t>
        </is>
      </c>
      <c r="B86" s="1" t="n">
        <v>44432.60814814815</v>
      </c>
      <c r="C86" s="1" t="n">
        <v>45878</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45155-2021</t>
        </is>
      </c>
      <c r="B87" s="1" t="n">
        <v>44439</v>
      </c>
      <c r="C87" s="1" t="n">
        <v>45878</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72155-2021</t>
        </is>
      </c>
      <c r="B88" s="1" t="n">
        <v>44543</v>
      </c>
      <c r="C88" s="1" t="n">
        <v>45878</v>
      </c>
      <c r="D88" t="inlineStr">
        <is>
          <t>DALARNAS LÄN</t>
        </is>
      </c>
      <c r="E88" t="inlineStr">
        <is>
          <t>LEKSAND</t>
        </is>
      </c>
      <c r="G88" t="n">
        <v>2.5</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45878</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45995-2020</t>
        </is>
      </c>
      <c r="B90" s="1" t="n">
        <v>44088</v>
      </c>
      <c r="C90" s="1" t="n">
        <v>45878</v>
      </c>
      <c r="D90" t="inlineStr">
        <is>
          <t>DALARNAS LÄN</t>
        </is>
      </c>
      <c r="E90" t="inlineStr">
        <is>
          <t>LEKSAND</t>
        </is>
      </c>
      <c r="G90" t="n">
        <v>7.8</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45878</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56153-2021</t>
        </is>
      </c>
      <c r="B92" s="1" t="n">
        <v>44477</v>
      </c>
      <c r="C92" s="1" t="n">
        <v>45878</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21965-2021</t>
        </is>
      </c>
      <c r="B93" s="1" t="n">
        <v>44323</v>
      </c>
      <c r="C93" s="1" t="n">
        <v>45878</v>
      </c>
      <c r="D93" t="inlineStr">
        <is>
          <t>DALARNAS LÄN</t>
        </is>
      </c>
      <c r="E93" t="inlineStr">
        <is>
          <t>LEKSAND</t>
        </is>
      </c>
      <c r="G93" t="n">
        <v>0.5</v>
      </c>
      <c r="H93" t="n">
        <v>0</v>
      </c>
      <c r="I93" t="n">
        <v>0</v>
      </c>
      <c r="J93" t="n">
        <v>0</v>
      </c>
      <c r="K93" t="n">
        <v>0</v>
      </c>
      <c r="L93" t="n">
        <v>0</v>
      </c>
      <c r="M93" t="n">
        <v>0</v>
      </c>
      <c r="N93" t="n">
        <v>0</v>
      </c>
      <c r="O93" t="n">
        <v>0</v>
      </c>
      <c r="P93" t="n">
        <v>0</v>
      </c>
      <c r="Q93" t="n">
        <v>0</v>
      </c>
      <c r="R93" s="2" t="inlineStr"/>
    </row>
    <row r="94" ht="15" customHeight="1">
      <c r="A94" t="inlineStr">
        <is>
          <t>A 21969-2021</t>
        </is>
      </c>
      <c r="B94" s="1" t="n">
        <v>44323</v>
      </c>
      <c r="C94" s="1" t="n">
        <v>45878</v>
      </c>
      <c r="D94" t="inlineStr">
        <is>
          <t>DALARNAS LÄN</t>
        </is>
      </c>
      <c r="E94" t="inlineStr">
        <is>
          <t>LEKSAND</t>
        </is>
      </c>
      <c r="G94" t="n">
        <v>3.8</v>
      </c>
      <c r="H94" t="n">
        <v>0</v>
      </c>
      <c r="I94" t="n">
        <v>0</v>
      </c>
      <c r="J94" t="n">
        <v>0</v>
      </c>
      <c r="K94" t="n">
        <v>0</v>
      </c>
      <c r="L94" t="n">
        <v>0</v>
      </c>
      <c r="M94" t="n">
        <v>0</v>
      </c>
      <c r="N94" t="n">
        <v>0</v>
      </c>
      <c r="O94" t="n">
        <v>0</v>
      </c>
      <c r="P94" t="n">
        <v>0</v>
      </c>
      <c r="Q94" t="n">
        <v>0</v>
      </c>
      <c r="R94" s="2" t="inlineStr"/>
    </row>
    <row r="95" ht="15" customHeight="1">
      <c r="A95" t="inlineStr">
        <is>
          <t>A 35080-2022</t>
        </is>
      </c>
      <c r="B95" s="1" t="n">
        <v>44797</v>
      </c>
      <c r="C95" s="1" t="n">
        <v>45878</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70098-2021</t>
        </is>
      </c>
      <c r="B96" s="1" t="n">
        <v>44533</v>
      </c>
      <c r="C96" s="1" t="n">
        <v>45878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70296-2021</t>
        </is>
      </c>
      <c r="B97" s="1" t="n">
        <v>44536.40434027778</v>
      </c>
      <c r="C97" s="1" t="n">
        <v>45878</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45878</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40165-2022</t>
        </is>
      </c>
      <c r="B99" s="1" t="n">
        <v>44820.56857638889</v>
      </c>
      <c r="C99" s="1" t="n">
        <v>45878</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45878</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43275-2022</t>
        </is>
      </c>
      <c r="B101" s="1" t="n">
        <v>44824</v>
      </c>
      <c r="C101" s="1" t="n">
        <v>45878</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43304-2022</t>
        </is>
      </c>
      <c r="B102" s="1" t="n">
        <v>44834</v>
      </c>
      <c r="C102" s="1" t="n">
        <v>45878</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45878</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45878</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19480-2022</t>
        </is>
      </c>
      <c r="B105" s="1" t="n">
        <v>44693</v>
      </c>
      <c r="C105" s="1" t="n">
        <v>45878</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45878</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64449-2020</t>
        </is>
      </c>
      <c r="B107" s="1" t="n">
        <v>44168</v>
      </c>
      <c r="C107" s="1" t="n">
        <v>45878</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18866-2022</t>
        </is>
      </c>
      <c r="B108" s="1" t="n">
        <v>44690</v>
      </c>
      <c r="C108" s="1" t="n">
        <v>45878</v>
      </c>
      <c r="D108" t="inlineStr">
        <is>
          <t>DALARNAS LÄN</t>
        </is>
      </c>
      <c r="E108" t="inlineStr">
        <is>
          <t>LEKSAND</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18870-2022</t>
        </is>
      </c>
      <c r="B109" s="1" t="n">
        <v>44690.50725694445</v>
      </c>
      <c r="C109" s="1" t="n">
        <v>45878</v>
      </c>
      <c r="D109" t="inlineStr">
        <is>
          <t>DALARNAS LÄN</t>
        </is>
      </c>
      <c r="E109" t="inlineStr">
        <is>
          <t>LEKSAND</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45878</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45878</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45878</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70026-2021</t>
        </is>
      </c>
      <c r="B113" s="1" t="n">
        <v>44533</v>
      </c>
      <c r="C113" s="1" t="n">
        <v>45878</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45040-2021</t>
        </is>
      </c>
      <c r="B114" s="1" t="n">
        <v>44438</v>
      </c>
      <c r="C114" s="1" t="n">
        <v>45878</v>
      </c>
      <c r="D114" t="inlineStr">
        <is>
          <t>DALARNAS LÄN</t>
        </is>
      </c>
      <c r="E114" t="inlineStr">
        <is>
          <t>LEKSAND</t>
        </is>
      </c>
      <c r="G114" t="n">
        <v>2.7</v>
      </c>
      <c r="H114" t="n">
        <v>0</v>
      </c>
      <c r="I114" t="n">
        <v>0</v>
      </c>
      <c r="J114" t="n">
        <v>0</v>
      </c>
      <c r="K114" t="n">
        <v>0</v>
      </c>
      <c r="L114" t="n">
        <v>0</v>
      </c>
      <c r="M114" t="n">
        <v>0</v>
      </c>
      <c r="N114" t="n">
        <v>0</v>
      </c>
      <c r="O114" t="n">
        <v>0</v>
      </c>
      <c r="P114" t="n">
        <v>0</v>
      </c>
      <c r="Q114" t="n">
        <v>0</v>
      </c>
      <c r="R114" s="2" t="inlineStr"/>
    </row>
    <row r="115" ht="15" customHeight="1">
      <c r="A115" t="inlineStr">
        <is>
          <t>A 8501-2022</t>
        </is>
      </c>
      <c r="B115" s="1" t="n">
        <v>44613.40672453704</v>
      </c>
      <c r="C115" s="1" t="n">
        <v>45878</v>
      </c>
      <c r="D115" t="inlineStr">
        <is>
          <t>DALARNAS LÄN</t>
        </is>
      </c>
      <c r="E115" t="inlineStr">
        <is>
          <t>LEKSAND</t>
        </is>
      </c>
      <c r="G115" t="n">
        <v>3</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44684.58278935185</v>
      </c>
      <c r="C116" s="1" t="n">
        <v>45878</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45878</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11015-2022</t>
        </is>
      </c>
      <c r="B118" s="1" t="n">
        <v>44628.52340277778</v>
      </c>
      <c r="C118" s="1" t="n">
        <v>45878</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12582-2025</t>
        </is>
      </c>
      <c r="B119" s="1" t="n">
        <v>45732.62988425926</v>
      </c>
      <c r="C119" s="1" t="n">
        <v>45878</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1182-2025</t>
        </is>
      </c>
      <c r="B120" s="1" t="n">
        <v>45667.35712962963</v>
      </c>
      <c r="C120" s="1" t="n">
        <v>45878</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1519-2024</t>
        </is>
      </c>
      <c r="B121" s="1" t="n">
        <v>45306</v>
      </c>
      <c r="C121" s="1" t="n">
        <v>45878</v>
      </c>
      <c r="D121" t="inlineStr">
        <is>
          <t>DALARNAS LÄN</t>
        </is>
      </c>
      <c r="E121" t="inlineStr">
        <is>
          <t>LEKSAND</t>
        </is>
      </c>
      <c r="G121" t="n">
        <v>3.3</v>
      </c>
      <c r="H121" t="n">
        <v>0</v>
      </c>
      <c r="I121" t="n">
        <v>0</v>
      </c>
      <c r="J121" t="n">
        <v>0</v>
      </c>
      <c r="K121" t="n">
        <v>0</v>
      </c>
      <c r="L121" t="n">
        <v>0</v>
      </c>
      <c r="M121" t="n">
        <v>0</v>
      </c>
      <c r="N121" t="n">
        <v>0</v>
      </c>
      <c r="O121" t="n">
        <v>0</v>
      </c>
      <c r="P121" t="n">
        <v>0</v>
      </c>
      <c r="Q121" t="n">
        <v>0</v>
      </c>
      <c r="R121" s="2" t="inlineStr"/>
    </row>
    <row r="122" ht="15" customHeight="1">
      <c r="A122" t="inlineStr">
        <is>
          <t>A 7897-2025</t>
        </is>
      </c>
      <c r="B122" s="1" t="n">
        <v>45707.30969907407</v>
      </c>
      <c r="C122" s="1" t="n">
        <v>45878</v>
      </c>
      <c r="D122" t="inlineStr">
        <is>
          <t>DALARNAS LÄN</t>
        </is>
      </c>
      <c r="E122" t="inlineStr">
        <is>
          <t>LEKSAND</t>
        </is>
      </c>
      <c r="G122" t="n">
        <v>3.1</v>
      </c>
      <c r="H122" t="n">
        <v>0</v>
      </c>
      <c r="I122" t="n">
        <v>0</v>
      </c>
      <c r="J122" t="n">
        <v>0</v>
      </c>
      <c r="K122" t="n">
        <v>0</v>
      </c>
      <c r="L122" t="n">
        <v>0</v>
      </c>
      <c r="M122" t="n">
        <v>0</v>
      </c>
      <c r="N122" t="n">
        <v>0</v>
      </c>
      <c r="O122" t="n">
        <v>0</v>
      </c>
      <c r="P122" t="n">
        <v>0</v>
      </c>
      <c r="Q122" t="n">
        <v>0</v>
      </c>
      <c r="R122" s="2" t="inlineStr"/>
    </row>
    <row r="123" ht="15" customHeight="1">
      <c r="A123" t="inlineStr">
        <is>
          <t>A 36956-2021</t>
        </is>
      </c>
      <c r="B123" s="1" t="n">
        <v>44393.55643518519</v>
      </c>
      <c r="C123" s="1" t="n">
        <v>45878</v>
      </c>
      <c r="D123" t="inlineStr">
        <is>
          <t>DALARNAS LÄN</t>
        </is>
      </c>
      <c r="E123" t="inlineStr">
        <is>
          <t>LEKSAND</t>
        </is>
      </c>
      <c r="G123" t="n">
        <v>4.1</v>
      </c>
      <c r="H123" t="n">
        <v>0</v>
      </c>
      <c r="I123" t="n">
        <v>0</v>
      </c>
      <c r="J123" t="n">
        <v>0</v>
      </c>
      <c r="K123" t="n">
        <v>0</v>
      </c>
      <c r="L123" t="n">
        <v>0</v>
      </c>
      <c r="M123" t="n">
        <v>0</v>
      </c>
      <c r="N123" t="n">
        <v>0</v>
      </c>
      <c r="O123" t="n">
        <v>0</v>
      </c>
      <c r="P123" t="n">
        <v>0</v>
      </c>
      <c r="Q123" t="n">
        <v>0</v>
      </c>
      <c r="R123" s="2" t="inlineStr"/>
    </row>
    <row r="124" ht="15" customHeight="1">
      <c r="A124" t="inlineStr">
        <is>
          <t>A 46834-2023</t>
        </is>
      </c>
      <c r="B124" s="1" t="n">
        <v>45199.35668981481</v>
      </c>
      <c r="C124" s="1" t="n">
        <v>45878</v>
      </c>
      <c r="D124" t="inlineStr">
        <is>
          <t>DALARNAS LÄN</t>
        </is>
      </c>
      <c r="E124" t="inlineStr">
        <is>
          <t>LEKSAND</t>
        </is>
      </c>
      <c r="G124" t="n">
        <v>16.3</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45878</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1983-2025</t>
        </is>
      </c>
      <c r="B126" s="1" t="n">
        <v>45670</v>
      </c>
      <c r="C126" s="1" t="n">
        <v>45878</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8046-2024</t>
        </is>
      </c>
      <c r="B127" s="1" t="n">
        <v>45351.31555555556</v>
      </c>
      <c r="C127" s="1" t="n">
        <v>45878</v>
      </c>
      <c r="D127" t="inlineStr">
        <is>
          <t>DALARNAS LÄN</t>
        </is>
      </c>
      <c r="E127" t="inlineStr">
        <is>
          <t>LEKSAND</t>
        </is>
      </c>
      <c r="G127" t="n">
        <v>2.9</v>
      </c>
      <c r="H127" t="n">
        <v>0</v>
      </c>
      <c r="I127" t="n">
        <v>0</v>
      </c>
      <c r="J127" t="n">
        <v>0</v>
      </c>
      <c r="K127" t="n">
        <v>0</v>
      </c>
      <c r="L127" t="n">
        <v>0</v>
      </c>
      <c r="M127" t="n">
        <v>0</v>
      </c>
      <c r="N127" t="n">
        <v>0</v>
      </c>
      <c r="O127" t="n">
        <v>0</v>
      </c>
      <c r="P127" t="n">
        <v>0</v>
      </c>
      <c r="Q127" t="n">
        <v>0</v>
      </c>
      <c r="R127" s="2" t="inlineStr"/>
    </row>
    <row r="128" ht="15" customHeight="1">
      <c r="A128" t="inlineStr">
        <is>
          <t>A 71817-2021</t>
        </is>
      </c>
      <c r="B128" s="1" t="n">
        <v>44543.59780092593</v>
      </c>
      <c r="C128" s="1" t="n">
        <v>45878</v>
      </c>
      <c r="D128" t="inlineStr">
        <is>
          <t>DALARNAS LÄN</t>
        </is>
      </c>
      <c r="E128" t="inlineStr">
        <is>
          <t>LEKSAND</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21402-2023</t>
        </is>
      </c>
      <c r="B129" s="1" t="n">
        <v>45061</v>
      </c>
      <c r="C129" s="1" t="n">
        <v>45878</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32-2024</t>
        </is>
      </c>
      <c r="B130" s="1" t="n">
        <v>45293</v>
      </c>
      <c r="C130" s="1" t="n">
        <v>45878</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14797-2025</t>
        </is>
      </c>
      <c r="B131" s="1" t="n">
        <v>45742.90363425926</v>
      </c>
      <c r="C131" s="1" t="n">
        <v>45878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43142-2024</t>
        </is>
      </c>
      <c r="B132" s="1" t="n">
        <v>45567.62144675926</v>
      </c>
      <c r="C132" s="1" t="n">
        <v>45878</v>
      </c>
      <c r="D132" t="inlineStr">
        <is>
          <t>DALARNAS LÄN</t>
        </is>
      </c>
      <c r="E132" t="inlineStr">
        <is>
          <t>LEKSAND</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28128-2022</t>
        </is>
      </c>
      <c r="B133" s="1" t="n">
        <v>44746.50628472222</v>
      </c>
      <c r="C133" s="1" t="n">
        <v>45878</v>
      </c>
      <c r="D133" t="inlineStr">
        <is>
          <t>DALARNAS LÄN</t>
        </is>
      </c>
      <c r="E133" t="inlineStr">
        <is>
          <t>LEKSAND</t>
        </is>
      </c>
      <c r="G133" t="n">
        <v>3.5</v>
      </c>
      <c r="H133" t="n">
        <v>0</v>
      </c>
      <c r="I133" t="n">
        <v>0</v>
      </c>
      <c r="J133" t="n">
        <v>0</v>
      </c>
      <c r="K133" t="n">
        <v>0</v>
      </c>
      <c r="L133" t="n">
        <v>0</v>
      </c>
      <c r="M133" t="n">
        <v>0</v>
      </c>
      <c r="N133" t="n">
        <v>0</v>
      </c>
      <c r="O133" t="n">
        <v>0</v>
      </c>
      <c r="P133" t="n">
        <v>0</v>
      </c>
      <c r="Q133" t="n">
        <v>0</v>
      </c>
      <c r="R133" s="2" t="inlineStr"/>
    </row>
    <row r="134" ht="15" customHeight="1">
      <c r="A134" t="inlineStr">
        <is>
          <t>A 27348-2023</t>
        </is>
      </c>
      <c r="B134" s="1" t="n">
        <v>45096</v>
      </c>
      <c r="C134" s="1" t="n">
        <v>45878</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36932-2023</t>
        </is>
      </c>
      <c r="B135" s="1" t="n">
        <v>45154</v>
      </c>
      <c r="C135" s="1" t="n">
        <v>45878</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23663-2024</t>
        </is>
      </c>
      <c r="B136" s="1" t="n">
        <v>45454.57049768518</v>
      </c>
      <c r="C136" s="1" t="n">
        <v>45878</v>
      </c>
      <c r="D136" t="inlineStr">
        <is>
          <t>DALARNAS LÄN</t>
        </is>
      </c>
      <c r="E136" t="inlineStr">
        <is>
          <t>LEKSAND</t>
        </is>
      </c>
      <c r="G136" t="n">
        <v>2.5</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45518.44481481481</v>
      </c>
      <c r="C137" s="1" t="n">
        <v>45878</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38001-2023</t>
        </is>
      </c>
      <c r="B138" s="1" t="n">
        <v>45160</v>
      </c>
      <c r="C138" s="1" t="n">
        <v>45878</v>
      </c>
      <c r="D138" t="inlineStr">
        <is>
          <t>DALARNAS LÄN</t>
        </is>
      </c>
      <c r="E138" t="inlineStr">
        <is>
          <t>LEKSAND</t>
        </is>
      </c>
      <c r="G138" t="n">
        <v>3.6</v>
      </c>
      <c r="H138" t="n">
        <v>0</v>
      </c>
      <c r="I138" t="n">
        <v>0</v>
      </c>
      <c r="J138" t="n">
        <v>0</v>
      </c>
      <c r="K138" t="n">
        <v>0</v>
      </c>
      <c r="L138" t="n">
        <v>0</v>
      </c>
      <c r="M138" t="n">
        <v>0</v>
      </c>
      <c r="N138" t="n">
        <v>0</v>
      </c>
      <c r="O138" t="n">
        <v>0</v>
      </c>
      <c r="P138" t="n">
        <v>0</v>
      </c>
      <c r="Q138" t="n">
        <v>0</v>
      </c>
      <c r="R138" s="2" t="inlineStr"/>
    </row>
    <row r="139" ht="15" customHeight="1">
      <c r="A139" t="inlineStr">
        <is>
          <t>A 60715-2022</t>
        </is>
      </c>
      <c r="B139" s="1" t="n">
        <v>44912</v>
      </c>
      <c r="C139" s="1" t="n">
        <v>45878</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47673-2023</t>
        </is>
      </c>
      <c r="B140" s="1" t="n">
        <v>45203</v>
      </c>
      <c r="C140" s="1" t="n">
        <v>45878</v>
      </c>
      <c r="D140" t="inlineStr">
        <is>
          <t>DALARNAS LÄN</t>
        </is>
      </c>
      <c r="E140" t="inlineStr">
        <is>
          <t>LEKSAND</t>
        </is>
      </c>
      <c r="G140" t="n">
        <v>2</v>
      </c>
      <c r="H140" t="n">
        <v>0</v>
      </c>
      <c r="I140" t="n">
        <v>0</v>
      </c>
      <c r="J140" t="n">
        <v>0</v>
      </c>
      <c r="K140" t="n">
        <v>0</v>
      </c>
      <c r="L140" t="n">
        <v>0</v>
      </c>
      <c r="M140" t="n">
        <v>0</v>
      </c>
      <c r="N140" t="n">
        <v>0</v>
      </c>
      <c r="O140" t="n">
        <v>0</v>
      </c>
      <c r="P140" t="n">
        <v>0</v>
      </c>
      <c r="Q140" t="n">
        <v>0</v>
      </c>
      <c r="R140" s="2" t="inlineStr"/>
    </row>
    <row r="141" ht="15" customHeight="1">
      <c r="A141" t="inlineStr">
        <is>
          <t>A 11092-2023</t>
        </is>
      </c>
      <c r="B141" s="1" t="n">
        <v>44992</v>
      </c>
      <c r="C141" s="1" t="n">
        <v>45878</v>
      </c>
      <c r="D141" t="inlineStr">
        <is>
          <t>DALARNAS LÄN</t>
        </is>
      </c>
      <c r="E141" t="inlineStr">
        <is>
          <t>LEKSAND</t>
        </is>
      </c>
      <c r="G141" t="n">
        <v>0.5</v>
      </c>
      <c r="H141" t="n">
        <v>0</v>
      </c>
      <c r="I141" t="n">
        <v>0</v>
      </c>
      <c r="J141" t="n">
        <v>0</v>
      </c>
      <c r="K141" t="n">
        <v>0</v>
      </c>
      <c r="L141" t="n">
        <v>0</v>
      </c>
      <c r="M141" t="n">
        <v>0</v>
      </c>
      <c r="N141" t="n">
        <v>0</v>
      </c>
      <c r="O141" t="n">
        <v>0</v>
      </c>
      <c r="P141" t="n">
        <v>0</v>
      </c>
      <c r="Q141" t="n">
        <v>0</v>
      </c>
      <c r="R141" s="2" t="inlineStr"/>
    </row>
    <row r="142" ht="15" customHeight="1">
      <c r="A142" t="inlineStr">
        <is>
          <t>A 15882-2023</t>
        </is>
      </c>
      <c r="B142" s="1" t="n">
        <v>45022</v>
      </c>
      <c r="C142" s="1" t="n">
        <v>45878</v>
      </c>
      <c r="D142" t="inlineStr">
        <is>
          <t>DALARNAS LÄN</t>
        </is>
      </c>
      <c r="E142" t="inlineStr">
        <is>
          <t>LEKSAND</t>
        </is>
      </c>
      <c r="G142" t="n">
        <v>0.1</v>
      </c>
      <c r="H142" t="n">
        <v>0</v>
      </c>
      <c r="I142" t="n">
        <v>0</v>
      </c>
      <c r="J142" t="n">
        <v>0</v>
      </c>
      <c r="K142" t="n">
        <v>0</v>
      </c>
      <c r="L142" t="n">
        <v>0</v>
      </c>
      <c r="M142" t="n">
        <v>0</v>
      </c>
      <c r="N142" t="n">
        <v>0</v>
      </c>
      <c r="O142" t="n">
        <v>0</v>
      </c>
      <c r="P142" t="n">
        <v>0</v>
      </c>
      <c r="Q142" t="n">
        <v>0</v>
      </c>
      <c r="R142" s="2" t="inlineStr"/>
    </row>
    <row r="143" ht="15" customHeight="1">
      <c r="A143" t="inlineStr">
        <is>
          <t>A 59718-2023</t>
        </is>
      </c>
      <c r="B143" s="1" t="n">
        <v>45257</v>
      </c>
      <c r="C143" s="1" t="n">
        <v>45878</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5583-2024</t>
        </is>
      </c>
      <c r="B144" s="1" t="n">
        <v>45334</v>
      </c>
      <c r="C144" s="1" t="n">
        <v>45878</v>
      </c>
      <c r="D144" t="inlineStr">
        <is>
          <t>DALARNAS LÄN</t>
        </is>
      </c>
      <c r="E144" t="inlineStr">
        <is>
          <t>LEKSAND</t>
        </is>
      </c>
      <c r="F144" t="inlineStr">
        <is>
          <t>Kyrkan</t>
        </is>
      </c>
      <c r="G144" t="n">
        <v>0.4</v>
      </c>
      <c r="H144" t="n">
        <v>0</v>
      </c>
      <c r="I144" t="n">
        <v>0</v>
      </c>
      <c r="J144" t="n">
        <v>0</v>
      </c>
      <c r="K144" t="n">
        <v>0</v>
      </c>
      <c r="L144" t="n">
        <v>0</v>
      </c>
      <c r="M144" t="n">
        <v>0</v>
      </c>
      <c r="N144" t="n">
        <v>0</v>
      </c>
      <c r="O144" t="n">
        <v>0</v>
      </c>
      <c r="P144" t="n">
        <v>0</v>
      </c>
      <c r="Q144" t="n">
        <v>0</v>
      </c>
      <c r="R144" s="2" t="inlineStr"/>
    </row>
    <row r="145" ht="15" customHeight="1">
      <c r="A145" t="inlineStr">
        <is>
          <t>A 1443-2024</t>
        </is>
      </c>
      <c r="B145" s="1" t="n">
        <v>45303</v>
      </c>
      <c r="C145" s="1" t="n">
        <v>45878</v>
      </c>
      <c r="D145" t="inlineStr">
        <is>
          <t>DALARNAS LÄN</t>
        </is>
      </c>
      <c r="E145" t="inlineStr">
        <is>
          <t>LEKSAND</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1457-2024</t>
        </is>
      </c>
      <c r="B146" s="1" t="n">
        <v>45303</v>
      </c>
      <c r="C146" s="1" t="n">
        <v>45878</v>
      </c>
      <c r="D146" t="inlineStr">
        <is>
          <t>DALARNAS LÄN</t>
        </is>
      </c>
      <c r="E146" t="inlineStr">
        <is>
          <t>LEKSAND</t>
        </is>
      </c>
      <c r="G146" t="n">
        <v>4.4</v>
      </c>
      <c r="H146" t="n">
        <v>0</v>
      </c>
      <c r="I146" t="n">
        <v>0</v>
      </c>
      <c r="J146" t="n">
        <v>0</v>
      </c>
      <c r="K146" t="n">
        <v>0</v>
      </c>
      <c r="L146" t="n">
        <v>0</v>
      </c>
      <c r="M146" t="n">
        <v>0</v>
      </c>
      <c r="N146" t="n">
        <v>0</v>
      </c>
      <c r="O146" t="n">
        <v>0</v>
      </c>
      <c r="P146" t="n">
        <v>0</v>
      </c>
      <c r="Q146" t="n">
        <v>0</v>
      </c>
      <c r="R146" s="2" t="inlineStr"/>
    </row>
    <row r="147" ht="15" customHeight="1">
      <c r="A147" t="inlineStr">
        <is>
          <t>A 1775-2022</t>
        </is>
      </c>
      <c r="B147" s="1" t="n">
        <v>44574</v>
      </c>
      <c r="C147" s="1" t="n">
        <v>45878</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30994-2023</t>
        </is>
      </c>
      <c r="B148" s="1" t="n">
        <v>45113</v>
      </c>
      <c r="C148" s="1" t="n">
        <v>45878</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1215-2024</t>
        </is>
      </c>
      <c r="B149" s="1" t="n">
        <v>45302</v>
      </c>
      <c r="C149" s="1" t="n">
        <v>45878</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31915-2024</t>
        </is>
      </c>
      <c r="B150" s="1" t="n">
        <v>45510.38956018518</v>
      </c>
      <c r="C150" s="1" t="n">
        <v>45878</v>
      </c>
      <c r="D150" t="inlineStr">
        <is>
          <t>DALARNAS LÄN</t>
        </is>
      </c>
      <c r="E150" t="inlineStr">
        <is>
          <t>LEKSAND</t>
        </is>
      </c>
      <c r="G150" t="n">
        <v>1.9</v>
      </c>
      <c r="H150" t="n">
        <v>0</v>
      </c>
      <c r="I150" t="n">
        <v>0</v>
      </c>
      <c r="J150" t="n">
        <v>0</v>
      </c>
      <c r="K150" t="n">
        <v>0</v>
      </c>
      <c r="L150" t="n">
        <v>0</v>
      </c>
      <c r="M150" t="n">
        <v>0</v>
      </c>
      <c r="N150" t="n">
        <v>0</v>
      </c>
      <c r="O150" t="n">
        <v>0</v>
      </c>
      <c r="P150" t="n">
        <v>0</v>
      </c>
      <c r="Q150" t="n">
        <v>0</v>
      </c>
      <c r="R150" s="2" t="inlineStr"/>
    </row>
    <row r="151" ht="15" customHeight="1">
      <c r="A151" t="inlineStr">
        <is>
          <t>A 53464-2024</t>
        </is>
      </c>
      <c r="B151" s="1" t="n">
        <v>45611</v>
      </c>
      <c r="C151" s="1" t="n">
        <v>45878</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56330-2022</t>
        </is>
      </c>
      <c r="B152" s="1" t="n">
        <v>44890.62630787037</v>
      </c>
      <c r="C152" s="1" t="n">
        <v>45878</v>
      </c>
      <c r="D152" t="inlineStr">
        <is>
          <t>DALARNAS LÄN</t>
        </is>
      </c>
      <c r="E152" t="inlineStr">
        <is>
          <t>LEKSAND</t>
        </is>
      </c>
      <c r="G152" t="n">
        <v>4.9</v>
      </c>
      <c r="H152" t="n">
        <v>0</v>
      </c>
      <c r="I152" t="n">
        <v>0</v>
      </c>
      <c r="J152" t="n">
        <v>0</v>
      </c>
      <c r="K152" t="n">
        <v>0</v>
      </c>
      <c r="L152" t="n">
        <v>0</v>
      </c>
      <c r="M152" t="n">
        <v>0</v>
      </c>
      <c r="N152" t="n">
        <v>0</v>
      </c>
      <c r="O152" t="n">
        <v>0</v>
      </c>
      <c r="P152" t="n">
        <v>0</v>
      </c>
      <c r="Q152" t="n">
        <v>0</v>
      </c>
      <c r="R152" s="2" t="inlineStr"/>
    </row>
    <row r="153" ht="15" customHeight="1">
      <c r="A153" t="inlineStr">
        <is>
          <t>A 2140-2024</t>
        </is>
      </c>
      <c r="B153" s="1" t="n">
        <v>45309</v>
      </c>
      <c r="C153" s="1" t="n">
        <v>45878</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59826-2023</t>
        </is>
      </c>
      <c r="B154" s="1" t="n">
        <v>45254</v>
      </c>
      <c r="C154" s="1" t="n">
        <v>45878</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57665-2023</t>
        </is>
      </c>
      <c r="B155" s="1" t="n">
        <v>45246</v>
      </c>
      <c r="C155" s="1" t="n">
        <v>45878</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7417-2024</t>
        </is>
      </c>
      <c r="B156" s="1" t="n">
        <v>45345.62378472222</v>
      </c>
      <c r="C156" s="1" t="n">
        <v>45878</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13161-2024</t>
        </is>
      </c>
      <c r="B157" s="1" t="n">
        <v>45386.38972222222</v>
      </c>
      <c r="C157" s="1" t="n">
        <v>45878</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2694-2025</t>
        </is>
      </c>
      <c r="B158" s="1" t="n">
        <v>45677.38246527778</v>
      </c>
      <c r="C158" s="1" t="n">
        <v>45878</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18176-2024</t>
        </is>
      </c>
      <c r="B159" s="1" t="n">
        <v>45420.63901620371</v>
      </c>
      <c r="C159" s="1" t="n">
        <v>45878</v>
      </c>
      <c r="D159" t="inlineStr">
        <is>
          <t>DALARNAS LÄN</t>
        </is>
      </c>
      <c r="E159" t="inlineStr">
        <is>
          <t>LEKSAND</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12290-2024</t>
        </is>
      </c>
      <c r="B160" s="1" t="n">
        <v>45378.57877314815</v>
      </c>
      <c r="C160" s="1" t="n">
        <v>45878</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55268-2024</t>
        </is>
      </c>
      <c r="B161" s="1" t="n">
        <v>45621.61266203703</v>
      </c>
      <c r="C161" s="1" t="n">
        <v>45878</v>
      </c>
      <c r="D161" t="inlineStr">
        <is>
          <t>DALARNAS LÄN</t>
        </is>
      </c>
      <c r="E161" t="inlineStr">
        <is>
          <t>LEKSAND</t>
        </is>
      </c>
      <c r="G161" t="n">
        <v>4.2</v>
      </c>
      <c r="H161" t="n">
        <v>0</v>
      </c>
      <c r="I161" t="n">
        <v>0</v>
      </c>
      <c r="J161" t="n">
        <v>0</v>
      </c>
      <c r="K161" t="n">
        <v>0</v>
      </c>
      <c r="L161" t="n">
        <v>0</v>
      </c>
      <c r="M161" t="n">
        <v>0</v>
      </c>
      <c r="N161" t="n">
        <v>0</v>
      </c>
      <c r="O161" t="n">
        <v>0</v>
      </c>
      <c r="P161" t="n">
        <v>0</v>
      </c>
      <c r="Q161" t="n">
        <v>0</v>
      </c>
      <c r="R161" s="2" t="inlineStr"/>
    </row>
    <row r="162" ht="15" customHeight="1">
      <c r="A162" t="inlineStr">
        <is>
          <t>A 51480-2022</t>
        </is>
      </c>
      <c r="B162" s="1" t="n">
        <v>44869.57961805556</v>
      </c>
      <c r="C162" s="1" t="n">
        <v>45878</v>
      </c>
      <c r="D162" t="inlineStr">
        <is>
          <t>DALARNAS LÄN</t>
        </is>
      </c>
      <c r="E162" t="inlineStr">
        <is>
          <t>LEKSAND</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62130-2024</t>
        </is>
      </c>
      <c r="B163" s="1" t="n">
        <v>45656.61827546296</v>
      </c>
      <c r="C163" s="1" t="n">
        <v>45878</v>
      </c>
      <c r="D163" t="inlineStr">
        <is>
          <t>DALARNAS LÄN</t>
        </is>
      </c>
      <c r="E163" t="inlineStr">
        <is>
          <t>LEKSAND</t>
        </is>
      </c>
      <c r="G163" t="n">
        <v>11.4</v>
      </c>
      <c r="H163" t="n">
        <v>0</v>
      </c>
      <c r="I163" t="n">
        <v>0</v>
      </c>
      <c r="J163" t="n">
        <v>0</v>
      </c>
      <c r="K163" t="n">
        <v>0</v>
      </c>
      <c r="L163" t="n">
        <v>0</v>
      </c>
      <c r="M163" t="n">
        <v>0</v>
      </c>
      <c r="N163" t="n">
        <v>0</v>
      </c>
      <c r="O163" t="n">
        <v>0</v>
      </c>
      <c r="P163" t="n">
        <v>0</v>
      </c>
      <c r="Q163" t="n">
        <v>0</v>
      </c>
      <c r="R163" s="2" t="inlineStr"/>
    </row>
    <row r="164" ht="15" customHeight="1">
      <c r="A164" t="inlineStr">
        <is>
          <t>A 30998-2023</t>
        </is>
      </c>
      <c r="B164" s="1" t="n">
        <v>45113.54193287037</v>
      </c>
      <c r="C164" s="1" t="n">
        <v>45878</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6758-2024</t>
        </is>
      </c>
      <c r="B165" s="1" t="n">
        <v>45342.46857638889</v>
      </c>
      <c r="C165" s="1" t="n">
        <v>45878</v>
      </c>
      <c r="D165" t="inlineStr">
        <is>
          <t>DALARNAS LÄN</t>
        </is>
      </c>
      <c r="E165" t="inlineStr">
        <is>
          <t>LEKSAND</t>
        </is>
      </c>
      <c r="F165" t="inlineStr">
        <is>
          <t>Bergvik skog väst AB</t>
        </is>
      </c>
      <c r="G165" t="n">
        <v>6.2</v>
      </c>
      <c r="H165" t="n">
        <v>0</v>
      </c>
      <c r="I165" t="n">
        <v>0</v>
      </c>
      <c r="J165" t="n">
        <v>0</v>
      </c>
      <c r="K165" t="n">
        <v>0</v>
      </c>
      <c r="L165" t="n">
        <v>0</v>
      </c>
      <c r="M165" t="n">
        <v>0</v>
      </c>
      <c r="N165" t="n">
        <v>0</v>
      </c>
      <c r="O165" t="n">
        <v>0</v>
      </c>
      <c r="P165" t="n">
        <v>0</v>
      </c>
      <c r="Q165" t="n">
        <v>0</v>
      </c>
      <c r="R165" s="2" t="inlineStr"/>
    </row>
    <row r="166" ht="15" customHeight="1">
      <c r="A166" t="inlineStr">
        <is>
          <t>A 6519-2025</t>
        </is>
      </c>
      <c r="B166" s="1" t="n">
        <v>45699</v>
      </c>
      <c r="C166" s="1" t="n">
        <v>45878</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14616-2024</t>
        </is>
      </c>
      <c r="B167" s="1" t="n">
        <v>45397.2624537037</v>
      </c>
      <c r="C167" s="1" t="n">
        <v>45878</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43237-2024</t>
        </is>
      </c>
      <c r="B168" s="1" t="n">
        <v>45567</v>
      </c>
      <c r="C168" s="1" t="n">
        <v>45878</v>
      </c>
      <c r="D168" t="inlineStr">
        <is>
          <t>DALARNAS LÄN</t>
        </is>
      </c>
      <c r="E168" t="inlineStr">
        <is>
          <t>LEKSAND</t>
        </is>
      </c>
      <c r="G168" t="n">
        <v>0.8</v>
      </c>
      <c r="H168" t="n">
        <v>0</v>
      </c>
      <c r="I168" t="n">
        <v>0</v>
      </c>
      <c r="J168" t="n">
        <v>0</v>
      </c>
      <c r="K168" t="n">
        <v>0</v>
      </c>
      <c r="L168" t="n">
        <v>0</v>
      </c>
      <c r="M168" t="n">
        <v>0</v>
      </c>
      <c r="N168" t="n">
        <v>0</v>
      </c>
      <c r="O168" t="n">
        <v>0</v>
      </c>
      <c r="P168" t="n">
        <v>0</v>
      </c>
      <c r="Q168" t="n">
        <v>0</v>
      </c>
      <c r="R168" s="2" t="inlineStr"/>
    </row>
    <row r="169" ht="15" customHeight="1">
      <c r="A169" t="inlineStr">
        <is>
          <t>A 9143-2023</t>
        </is>
      </c>
      <c r="B169" s="1" t="n">
        <v>44974</v>
      </c>
      <c r="C169" s="1" t="n">
        <v>45878</v>
      </c>
      <c r="D169" t="inlineStr">
        <is>
          <t>DALARNAS LÄN</t>
        </is>
      </c>
      <c r="E169" t="inlineStr">
        <is>
          <t>LEKSAND</t>
        </is>
      </c>
      <c r="G169" t="n">
        <v>4.3</v>
      </c>
      <c r="H169" t="n">
        <v>0</v>
      </c>
      <c r="I169" t="n">
        <v>0</v>
      </c>
      <c r="J169" t="n">
        <v>0</v>
      </c>
      <c r="K169" t="n">
        <v>0</v>
      </c>
      <c r="L169" t="n">
        <v>0</v>
      </c>
      <c r="M169" t="n">
        <v>0</v>
      </c>
      <c r="N169" t="n">
        <v>0</v>
      </c>
      <c r="O169" t="n">
        <v>0</v>
      </c>
      <c r="P169" t="n">
        <v>0</v>
      </c>
      <c r="Q169" t="n">
        <v>0</v>
      </c>
      <c r="R169" s="2" t="inlineStr"/>
    </row>
    <row r="170" ht="15" customHeight="1">
      <c r="A170" t="inlineStr">
        <is>
          <t>A 34482-2022</t>
        </is>
      </c>
      <c r="B170" s="1" t="n">
        <v>44792</v>
      </c>
      <c r="C170" s="1" t="n">
        <v>45878</v>
      </c>
      <c r="D170" t="inlineStr">
        <is>
          <t>DALARNAS LÄN</t>
        </is>
      </c>
      <c r="E170" t="inlineStr">
        <is>
          <t>LEKSAND</t>
        </is>
      </c>
      <c r="G170" t="n">
        <v>2.6</v>
      </c>
      <c r="H170" t="n">
        <v>0</v>
      </c>
      <c r="I170" t="n">
        <v>0</v>
      </c>
      <c r="J170" t="n">
        <v>0</v>
      </c>
      <c r="K170" t="n">
        <v>0</v>
      </c>
      <c r="L170" t="n">
        <v>0</v>
      </c>
      <c r="M170" t="n">
        <v>0</v>
      </c>
      <c r="N170" t="n">
        <v>0</v>
      </c>
      <c r="O170" t="n">
        <v>0</v>
      </c>
      <c r="P170" t="n">
        <v>0</v>
      </c>
      <c r="Q170" t="n">
        <v>0</v>
      </c>
      <c r="R170" s="2" t="inlineStr"/>
    </row>
    <row r="171" ht="15" customHeight="1">
      <c r="A171" t="inlineStr">
        <is>
          <t>A 17485-2025</t>
        </is>
      </c>
      <c r="B171" s="1" t="n">
        <v>45757.49976851852</v>
      </c>
      <c r="C171" s="1" t="n">
        <v>45878</v>
      </c>
      <c r="D171" t="inlineStr">
        <is>
          <t>DALARNAS LÄN</t>
        </is>
      </c>
      <c r="E171" t="inlineStr">
        <is>
          <t>LEKSAND</t>
        </is>
      </c>
      <c r="G171" t="n">
        <v>3.7</v>
      </c>
      <c r="H171" t="n">
        <v>0</v>
      </c>
      <c r="I171" t="n">
        <v>0</v>
      </c>
      <c r="J171" t="n">
        <v>0</v>
      </c>
      <c r="K171" t="n">
        <v>0</v>
      </c>
      <c r="L171" t="n">
        <v>0</v>
      </c>
      <c r="M171" t="n">
        <v>0</v>
      </c>
      <c r="N171" t="n">
        <v>0</v>
      </c>
      <c r="O171" t="n">
        <v>0</v>
      </c>
      <c r="P171" t="n">
        <v>0</v>
      </c>
      <c r="Q171" t="n">
        <v>0</v>
      </c>
      <c r="R171" s="2" t="inlineStr"/>
    </row>
    <row r="172" ht="15" customHeight="1">
      <c r="A172" t="inlineStr">
        <is>
          <t>A 30595-2023</t>
        </is>
      </c>
      <c r="B172" s="1" t="n">
        <v>45112</v>
      </c>
      <c r="C172" s="1" t="n">
        <v>45878</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48644-2023</t>
        </is>
      </c>
      <c r="B173" s="1" t="n">
        <v>45208.58997685185</v>
      </c>
      <c r="C173" s="1" t="n">
        <v>45878</v>
      </c>
      <c r="D173" t="inlineStr">
        <is>
          <t>DALARNAS LÄN</t>
        </is>
      </c>
      <c r="E173" t="inlineStr">
        <is>
          <t>LEKSAND</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36262-2023</t>
        </is>
      </c>
      <c r="B174" s="1" t="n">
        <v>45151.9096875</v>
      </c>
      <c r="C174" s="1" t="n">
        <v>45878</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25025-2023</t>
        </is>
      </c>
      <c r="B175" s="1" t="n">
        <v>45085.92146990741</v>
      </c>
      <c r="C175" s="1" t="n">
        <v>45878</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25038-2023</t>
        </is>
      </c>
      <c r="B176" s="1" t="n">
        <v>45085</v>
      </c>
      <c r="C176" s="1" t="n">
        <v>45878</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56943-2024</t>
        </is>
      </c>
      <c r="B177" s="1" t="n">
        <v>45625</v>
      </c>
      <c r="C177" s="1" t="n">
        <v>45878</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16748-2025</t>
        </is>
      </c>
      <c r="B178" s="1" t="n">
        <v>45754</v>
      </c>
      <c r="C178" s="1" t="n">
        <v>45878</v>
      </c>
      <c r="D178" t="inlineStr">
        <is>
          <t>DALARNAS LÄN</t>
        </is>
      </c>
      <c r="E178" t="inlineStr">
        <is>
          <t>LEKSAND</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15257-2025</t>
        </is>
      </c>
      <c r="B179" s="1" t="n">
        <v>45744</v>
      </c>
      <c r="C179" s="1" t="n">
        <v>45878</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60095-2022</t>
        </is>
      </c>
      <c r="B180" s="1" t="n">
        <v>44909</v>
      </c>
      <c r="C180" s="1" t="n">
        <v>45878</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38117-2023</t>
        </is>
      </c>
      <c r="B181" s="1" t="n">
        <v>45161</v>
      </c>
      <c r="C181" s="1" t="n">
        <v>45878</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11418-2023</t>
        </is>
      </c>
      <c r="B182" s="1" t="n">
        <v>44993</v>
      </c>
      <c r="C182" s="1" t="n">
        <v>45878</v>
      </c>
      <c r="D182" t="inlineStr">
        <is>
          <t>DALARNAS LÄN</t>
        </is>
      </c>
      <c r="E182" t="inlineStr">
        <is>
          <t>LEKSAND</t>
        </is>
      </c>
      <c r="G182" t="n">
        <v>2.7</v>
      </c>
      <c r="H182" t="n">
        <v>0</v>
      </c>
      <c r="I182" t="n">
        <v>0</v>
      </c>
      <c r="J182" t="n">
        <v>0</v>
      </c>
      <c r="K182" t="n">
        <v>0</v>
      </c>
      <c r="L182" t="n">
        <v>0</v>
      </c>
      <c r="M182" t="n">
        <v>0</v>
      </c>
      <c r="N182" t="n">
        <v>0</v>
      </c>
      <c r="O182" t="n">
        <v>0</v>
      </c>
      <c r="P182" t="n">
        <v>0</v>
      </c>
      <c r="Q182" t="n">
        <v>0</v>
      </c>
      <c r="R182" s="2" t="inlineStr"/>
    </row>
    <row r="183" ht="15" customHeight="1">
      <c r="A183" t="inlineStr">
        <is>
          <t>A 24142-2021</t>
        </is>
      </c>
      <c r="B183" s="1" t="n">
        <v>44336</v>
      </c>
      <c r="C183" s="1" t="n">
        <v>45878</v>
      </c>
      <c r="D183" t="inlineStr">
        <is>
          <t>DALARNAS LÄN</t>
        </is>
      </c>
      <c r="E183" t="inlineStr">
        <is>
          <t>LEKSAND</t>
        </is>
      </c>
      <c r="F183" t="inlineStr">
        <is>
          <t>Bergvik skog väst AB</t>
        </is>
      </c>
      <c r="G183" t="n">
        <v>18.9</v>
      </c>
      <c r="H183" t="n">
        <v>0</v>
      </c>
      <c r="I183" t="n">
        <v>0</v>
      </c>
      <c r="J183" t="n">
        <v>0</v>
      </c>
      <c r="K183" t="n">
        <v>0</v>
      </c>
      <c r="L183" t="n">
        <v>0</v>
      </c>
      <c r="M183" t="n">
        <v>0</v>
      </c>
      <c r="N183" t="n">
        <v>0</v>
      </c>
      <c r="O183" t="n">
        <v>0</v>
      </c>
      <c r="P183" t="n">
        <v>0</v>
      </c>
      <c r="Q183" t="n">
        <v>0</v>
      </c>
      <c r="R183" s="2" t="inlineStr"/>
    </row>
    <row r="184" ht="15" customHeight="1">
      <c r="A184" t="inlineStr">
        <is>
          <t>A 16815-2025</t>
        </is>
      </c>
      <c r="B184" s="1" t="n">
        <v>45754</v>
      </c>
      <c r="C184" s="1" t="n">
        <v>45878</v>
      </c>
      <c r="D184" t="inlineStr">
        <is>
          <t>DALARNAS LÄN</t>
        </is>
      </c>
      <c r="E184" t="inlineStr">
        <is>
          <t>LEKSAND</t>
        </is>
      </c>
      <c r="G184" t="n">
        <v>2.8</v>
      </c>
      <c r="H184" t="n">
        <v>0</v>
      </c>
      <c r="I184" t="n">
        <v>0</v>
      </c>
      <c r="J184" t="n">
        <v>0</v>
      </c>
      <c r="K184" t="n">
        <v>0</v>
      </c>
      <c r="L184" t="n">
        <v>0</v>
      </c>
      <c r="M184" t="n">
        <v>0</v>
      </c>
      <c r="N184" t="n">
        <v>0</v>
      </c>
      <c r="O184" t="n">
        <v>0</v>
      </c>
      <c r="P184" t="n">
        <v>0</v>
      </c>
      <c r="Q184" t="n">
        <v>0</v>
      </c>
      <c r="R184" s="2" t="inlineStr"/>
    </row>
    <row r="185" ht="15" customHeight="1">
      <c r="A185" t="inlineStr">
        <is>
          <t>A 51857-2022</t>
        </is>
      </c>
      <c r="B185" s="1" t="n">
        <v>44867</v>
      </c>
      <c r="C185" s="1" t="n">
        <v>45878</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39558-2023</t>
        </is>
      </c>
      <c r="B186" s="1" t="n">
        <v>45167.38664351852</v>
      </c>
      <c r="C186" s="1" t="n">
        <v>45878</v>
      </c>
      <c r="D186" t="inlineStr">
        <is>
          <t>DALARNAS LÄN</t>
        </is>
      </c>
      <c r="E186" t="inlineStr">
        <is>
          <t>LEKSAND</t>
        </is>
      </c>
      <c r="G186" t="n">
        <v>39.9</v>
      </c>
      <c r="H186" t="n">
        <v>0</v>
      </c>
      <c r="I186" t="n">
        <v>0</v>
      </c>
      <c r="J186" t="n">
        <v>0</v>
      </c>
      <c r="K186" t="n">
        <v>0</v>
      </c>
      <c r="L186" t="n">
        <v>0</v>
      </c>
      <c r="M186" t="n">
        <v>0</v>
      </c>
      <c r="N186" t="n">
        <v>0</v>
      </c>
      <c r="O186" t="n">
        <v>0</v>
      </c>
      <c r="P186" t="n">
        <v>0</v>
      </c>
      <c r="Q186" t="n">
        <v>0</v>
      </c>
      <c r="R186" s="2" t="inlineStr"/>
    </row>
    <row r="187" ht="15" customHeight="1">
      <c r="A187" t="inlineStr">
        <is>
          <t>A 61208-2023</t>
        </is>
      </c>
      <c r="B187" s="1" t="n">
        <v>45260</v>
      </c>
      <c r="C187" s="1" t="n">
        <v>45878</v>
      </c>
      <c r="D187" t="inlineStr">
        <is>
          <t>DALARNAS LÄN</t>
        </is>
      </c>
      <c r="E187" t="inlineStr">
        <is>
          <t>LEKSAND</t>
        </is>
      </c>
      <c r="G187" t="n">
        <v>1.7</v>
      </c>
      <c r="H187" t="n">
        <v>0</v>
      </c>
      <c r="I187" t="n">
        <v>0</v>
      </c>
      <c r="J187" t="n">
        <v>0</v>
      </c>
      <c r="K187" t="n">
        <v>0</v>
      </c>
      <c r="L187" t="n">
        <v>0</v>
      </c>
      <c r="M187" t="n">
        <v>0</v>
      </c>
      <c r="N187" t="n">
        <v>0</v>
      </c>
      <c r="O187" t="n">
        <v>0</v>
      </c>
      <c r="P187" t="n">
        <v>0</v>
      </c>
      <c r="Q187" t="n">
        <v>0</v>
      </c>
      <c r="R187" s="2" t="inlineStr"/>
    </row>
    <row r="188" ht="15" customHeight="1">
      <c r="A188" t="inlineStr">
        <is>
          <t>A 52977-2022</t>
        </is>
      </c>
      <c r="B188" s="1" t="n">
        <v>44875</v>
      </c>
      <c r="C188" s="1" t="n">
        <v>45878</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43222-2024</t>
        </is>
      </c>
      <c r="B189" s="1" t="n">
        <v>45567.87177083334</v>
      </c>
      <c r="C189" s="1" t="n">
        <v>45878</v>
      </c>
      <c r="D189" t="inlineStr">
        <is>
          <t>DALARNAS LÄN</t>
        </is>
      </c>
      <c r="E189" t="inlineStr">
        <is>
          <t>LEKSAND</t>
        </is>
      </c>
      <c r="F189" t="inlineStr">
        <is>
          <t>Bergvik skog väst AB</t>
        </is>
      </c>
      <c r="G189" t="n">
        <v>8.6</v>
      </c>
      <c r="H189" t="n">
        <v>0</v>
      </c>
      <c r="I189" t="n">
        <v>0</v>
      </c>
      <c r="J189" t="n">
        <v>0</v>
      </c>
      <c r="K189" t="n">
        <v>0</v>
      </c>
      <c r="L189" t="n">
        <v>0</v>
      </c>
      <c r="M189" t="n">
        <v>0</v>
      </c>
      <c r="N189" t="n">
        <v>0</v>
      </c>
      <c r="O189" t="n">
        <v>0</v>
      </c>
      <c r="P189" t="n">
        <v>0</v>
      </c>
      <c r="Q189" t="n">
        <v>0</v>
      </c>
      <c r="R189" s="2" t="inlineStr"/>
    </row>
    <row r="190" ht="15" customHeight="1">
      <c r="A190" t="inlineStr">
        <is>
          <t>A 43231-2024</t>
        </is>
      </c>
      <c r="B190" s="1" t="n">
        <v>45567.89709490741</v>
      </c>
      <c r="C190" s="1" t="n">
        <v>45878</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43234-2024</t>
        </is>
      </c>
      <c r="B191" s="1" t="n">
        <v>45567.92238425926</v>
      </c>
      <c r="C191" s="1" t="n">
        <v>45878</v>
      </c>
      <c r="D191" t="inlineStr">
        <is>
          <t>DALARNAS LÄN</t>
        </is>
      </c>
      <c r="E191" t="inlineStr">
        <is>
          <t>LEKSAND</t>
        </is>
      </c>
      <c r="G191" t="n">
        <v>1.8</v>
      </c>
      <c r="H191" t="n">
        <v>0</v>
      </c>
      <c r="I191" t="n">
        <v>0</v>
      </c>
      <c r="J191" t="n">
        <v>0</v>
      </c>
      <c r="K191" t="n">
        <v>0</v>
      </c>
      <c r="L191" t="n">
        <v>0</v>
      </c>
      <c r="M191" t="n">
        <v>0</v>
      </c>
      <c r="N191" t="n">
        <v>0</v>
      </c>
      <c r="O191" t="n">
        <v>0</v>
      </c>
      <c r="P191" t="n">
        <v>0</v>
      </c>
      <c r="Q191" t="n">
        <v>0</v>
      </c>
      <c r="R191" s="2" t="inlineStr"/>
    </row>
    <row r="192" ht="15" customHeight="1">
      <c r="A192" t="inlineStr">
        <is>
          <t>A 15968-2025</t>
        </is>
      </c>
      <c r="B192" s="1" t="n">
        <v>45749.54818287037</v>
      </c>
      <c r="C192" s="1" t="n">
        <v>45878</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16005-2025</t>
        </is>
      </c>
      <c r="B193" s="1" t="n">
        <v>45749.59765046297</v>
      </c>
      <c r="C193" s="1" t="n">
        <v>45878</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25921-2024</t>
        </is>
      </c>
      <c r="B194" s="1" t="n">
        <v>45467.6053587963</v>
      </c>
      <c r="C194" s="1" t="n">
        <v>45878</v>
      </c>
      <c r="D194" t="inlineStr">
        <is>
          <t>DALARNAS LÄN</t>
        </is>
      </c>
      <c r="E194" t="inlineStr">
        <is>
          <t>LEKSAND</t>
        </is>
      </c>
      <c r="G194" t="n">
        <v>2.8</v>
      </c>
      <c r="H194" t="n">
        <v>0</v>
      </c>
      <c r="I194" t="n">
        <v>0</v>
      </c>
      <c r="J194" t="n">
        <v>0</v>
      </c>
      <c r="K194" t="n">
        <v>0</v>
      </c>
      <c r="L194" t="n">
        <v>0</v>
      </c>
      <c r="M194" t="n">
        <v>0</v>
      </c>
      <c r="N194" t="n">
        <v>0</v>
      </c>
      <c r="O194" t="n">
        <v>0</v>
      </c>
      <c r="P194" t="n">
        <v>0</v>
      </c>
      <c r="Q194" t="n">
        <v>0</v>
      </c>
      <c r="R194" s="2" t="inlineStr"/>
    </row>
    <row r="195" ht="15" customHeight="1">
      <c r="A195" t="inlineStr">
        <is>
          <t>A 19820-2024</t>
        </is>
      </c>
      <c r="B195" s="1" t="n">
        <v>45433.33907407407</v>
      </c>
      <c r="C195" s="1" t="n">
        <v>45878</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19823-2024</t>
        </is>
      </c>
      <c r="B196" s="1" t="n">
        <v>45433.34469907408</v>
      </c>
      <c r="C196" s="1" t="n">
        <v>45878</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53122-2023</t>
        </is>
      </c>
      <c r="B197" s="1" t="n">
        <v>45228</v>
      </c>
      <c r="C197" s="1" t="n">
        <v>45878</v>
      </c>
      <c r="D197" t="inlineStr">
        <is>
          <t>DALARNAS LÄN</t>
        </is>
      </c>
      <c r="E197" t="inlineStr">
        <is>
          <t>LEKSAND</t>
        </is>
      </c>
      <c r="G197" t="n">
        <v>1.9</v>
      </c>
      <c r="H197" t="n">
        <v>0</v>
      </c>
      <c r="I197" t="n">
        <v>0</v>
      </c>
      <c r="J197" t="n">
        <v>0</v>
      </c>
      <c r="K197" t="n">
        <v>0</v>
      </c>
      <c r="L197" t="n">
        <v>0</v>
      </c>
      <c r="M197" t="n">
        <v>0</v>
      </c>
      <c r="N197" t="n">
        <v>0</v>
      </c>
      <c r="O197" t="n">
        <v>0</v>
      </c>
      <c r="P197" t="n">
        <v>0</v>
      </c>
      <c r="Q197" t="n">
        <v>0</v>
      </c>
      <c r="R197" s="2" t="inlineStr"/>
    </row>
    <row r="198" ht="15" customHeight="1">
      <c r="A198" t="inlineStr">
        <is>
          <t>A 28892-2022</t>
        </is>
      </c>
      <c r="B198" s="1" t="n">
        <v>44749</v>
      </c>
      <c r="C198" s="1" t="n">
        <v>45878</v>
      </c>
      <c r="D198" t="inlineStr">
        <is>
          <t>DALARNAS LÄN</t>
        </is>
      </c>
      <c r="E198" t="inlineStr">
        <is>
          <t>LEKSAND</t>
        </is>
      </c>
      <c r="F198" t="inlineStr">
        <is>
          <t>Bergvik skog väst AB</t>
        </is>
      </c>
      <c r="G198" t="n">
        <v>9.1</v>
      </c>
      <c r="H198" t="n">
        <v>0</v>
      </c>
      <c r="I198" t="n">
        <v>0</v>
      </c>
      <c r="J198" t="n">
        <v>0</v>
      </c>
      <c r="K198" t="n">
        <v>0</v>
      </c>
      <c r="L198" t="n">
        <v>0</v>
      </c>
      <c r="M198" t="n">
        <v>0</v>
      </c>
      <c r="N198" t="n">
        <v>0</v>
      </c>
      <c r="O198" t="n">
        <v>0</v>
      </c>
      <c r="P198" t="n">
        <v>0</v>
      </c>
      <c r="Q198" t="n">
        <v>0</v>
      </c>
      <c r="R198" s="2" t="inlineStr"/>
    </row>
    <row r="199" ht="15" customHeight="1">
      <c r="A199" t="inlineStr">
        <is>
          <t>A 64516-2023</t>
        </is>
      </c>
      <c r="B199" s="1" t="n">
        <v>45280</v>
      </c>
      <c r="C199" s="1" t="n">
        <v>45878</v>
      </c>
      <c r="D199" t="inlineStr">
        <is>
          <t>DALARNAS LÄN</t>
        </is>
      </c>
      <c r="E199" t="inlineStr">
        <is>
          <t>LEKSAND</t>
        </is>
      </c>
      <c r="G199" t="n">
        <v>4.4</v>
      </c>
      <c r="H199" t="n">
        <v>0</v>
      </c>
      <c r="I199" t="n">
        <v>0</v>
      </c>
      <c r="J199" t="n">
        <v>0</v>
      </c>
      <c r="K199" t="n">
        <v>0</v>
      </c>
      <c r="L199" t="n">
        <v>0</v>
      </c>
      <c r="M199" t="n">
        <v>0</v>
      </c>
      <c r="N199" t="n">
        <v>0</v>
      </c>
      <c r="O199" t="n">
        <v>0</v>
      </c>
      <c r="P199" t="n">
        <v>0</v>
      </c>
      <c r="Q199" t="n">
        <v>0</v>
      </c>
      <c r="R199" s="2" t="inlineStr"/>
    </row>
    <row r="200" ht="15" customHeight="1">
      <c r="A200" t="inlineStr">
        <is>
          <t>A 24135-2024</t>
        </is>
      </c>
      <c r="B200" s="1" t="n">
        <v>45456.63747685185</v>
      </c>
      <c r="C200" s="1" t="n">
        <v>45878</v>
      </c>
      <c r="D200" t="inlineStr">
        <is>
          <t>DALARNAS LÄN</t>
        </is>
      </c>
      <c r="E200" t="inlineStr">
        <is>
          <t>LEKSAND</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45878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320-2023</t>
        </is>
      </c>
      <c r="B202" s="1" t="n">
        <v>44929</v>
      </c>
      <c r="C202" s="1" t="n">
        <v>45878</v>
      </c>
      <c r="D202" t="inlineStr">
        <is>
          <t>DALARNAS LÄN</t>
        </is>
      </c>
      <c r="E202" t="inlineStr">
        <is>
          <t>LEKSAND</t>
        </is>
      </c>
      <c r="F202" t="inlineStr">
        <is>
          <t>Övriga Aktiebolag</t>
        </is>
      </c>
      <c r="G202" t="n">
        <v>5.4</v>
      </c>
      <c r="H202" t="n">
        <v>0</v>
      </c>
      <c r="I202" t="n">
        <v>0</v>
      </c>
      <c r="J202" t="n">
        <v>0</v>
      </c>
      <c r="K202" t="n">
        <v>0</v>
      </c>
      <c r="L202" t="n">
        <v>0</v>
      </c>
      <c r="M202" t="n">
        <v>0</v>
      </c>
      <c r="N202" t="n">
        <v>0</v>
      </c>
      <c r="O202" t="n">
        <v>0</v>
      </c>
      <c r="P202" t="n">
        <v>0</v>
      </c>
      <c r="Q202" t="n">
        <v>0</v>
      </c>
      <c r="R202" s="2" t="inlineStr"/>
    </row>
    <row r="203" ht="15" customHeight="1">
      <c r="A203" t="inlineStr">
        <is>
          <t>A 412-2024</t>
        </is>
      </c>
      <c r="B203" s="1" t="n">
        <v>45296</v>
      </c>
      <c r="C203" s="1" t="n">
        <v>45878</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59673-2023</t>
        </is>
      </c>
      <c r="B204" s="1" t="n">
        <v>45255.44603009259</v>
      </c>
      <c r="C204" s="1" t="n">
        <v>45878</v>
      </c>
      <c r="D204" t="inlineStr">
        <is>
          <t>DALARNAS LÄN</t>
        </is>
      </c>
      <c r="E204" t="inlineStr">
        <is>
          <t>LEKSAND</t>
        </is>
      </c>
      <c r="G204" t="n">
        <v>12.2</v>
      </c>
      <c r="H204" t="n">
        <v>0</v>
      </c>
      <c r="I204" t="n">
        <v>0</v>
      </c>
      <c r="J204" t="n">
        <v>0</v>
      </c>
      <c r="K204" t="n">
        <v>0</v>
      </c>
      <c r="L204" t="n">
        <v>0</v>
      </c>
      <c r="M204" t="n">
        <v>0</v>
      </c>
      <c r="N204" t="n">
        <v>0</v>
      </c>
      <c r="O204" t="n">
        <v>0</v>
      </c>
      <c r="P204" t="n">
        <v>0</v>
      </c>
      <c r="Q204" t="n">
        <v>0</v>
      </c>
      <c r="R204" s="2" t="inlineStr"/>
    </row>
    <row r="205" ht="15" customHeight="1">
      <c r="A205" t="inlineStr">
        <is>
          <t>A 23068-2024</t>
        </is>
      </c>
      <c r="B205" s="1" t="n">
        <v>45450.45521990741</v>
      </c>
      <c r="C205" s="1" t="n">
        <v>45878</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22281-2024</t>
        </is>
      </c>
      <c r="B206" s="1" t="n">
        <v>45446.54756944445</v>
      </c>
      <c r="C206" s="1" t="n">
        <v>45878</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12581-2025</t>
        </is>
      </c>
      <c r="B207" s="1" t="n">
        <v>45732.62201388889</v>
      </c>
      <c r="C207" s="1" t="n">
        <v>45878</v>
      </c>
      <c r="D207" t="inlineStr">
        <is>
          <t>DALARNAS LÄN</t>
        </is>
      </c>
      <c r="E207" t="inlineStr">
        <is>
          <t>LEKSAND</t>
        </is>
      </c>
      <c r="G207" t="n">
        <v>5.1</v>
      </c>
      <c r="H207" t="n">
        <v>0</v>
      </c>
      <c r="I207" t="n">
        <v>0</v>
      </c>
      <c r="J207" t="n">
        <v>0</v>
      </c>
      <c r="K207" t="n">
        <v>0</v>
      </c>
      <c r="L207" t="n">
        <v>0</v>
      </c>
      <c r="M207" t="n">
        <v>0</v>
      </c>
      <c r="N207" t="n">
        <v>0</v>
      </c>
      <c r="O207" t="n">
        <v>0</v>
      </c>
      <c r="P207" t="n">
        <v>0</v>
      </c>
      <c r="Q207" t="n">
        <v>0</v>
      </c>
      <c r="R207" s="2" t="inlineStr"/>
    </row>
    <row r="208" ht="15" customHeight="1">
      <c r="A208" t="inlineStr">
        <is>
          <t>A 12620-2025</t>
        </is>
      </c>
      <c r="B208" s="1" t="n">
        <v>45733.35498842593</v>
      </c>
      <c r="C208" s="1" t="n">
        <v>45878</v>
      </c>
      <c r="D208" t="inlineStr">
        <is>
          <t>DALARNAS LÄN</t>
        </is>
      </c>
      <c r="E208" t="inlineStr">
        <is>
          <t>LEKSAND</t>
        </is>
      </c>
      <c r="F208" t="inlineStr">
        <is>
          <t>Bergvik skog väst AB</t>
        </is>
      </c>
      <c r="G208" t="n">
        <v>3.9</v>
      </c>
      <c r="H208" t="n">
        <v>0</v>
      </c>
      <c r="I208" t="n">
        <v>0</v>
      </c>
      <c r="J208" t="n">
        <v>0</v>
      </c>
      <c r="K208" t="n">
        <v>0</v>
      </c>
      <c r="L208" t="n">
        <v>0</v>
      </c>
      <c r="M208" t="n">
        <v>0</v>
      </c>
      <c r="N208" t="n">
        <v>0</v>
      </c>
      <c r="O208" t="n">
        <v>0</v>
      </c>
      <c r="P208" t="n">
        <v>0</v>
      </c>
      <c r="Q208" t="n">
        <v>0</v>
      </c>
      <c r="R208" s="2" t="inlineStr"/>
    </row>
    <row r="209" ht="15" customHeight="1">
      <c r="A209" t="inlineStr">
        <is>
          <t>A 12623-2025</t>
        </is>
      </c>
      <c r="B209" s="1" t="n">
        <v>45733.36079861111</v>
      </c>
      <c r="C209" s="1" t="n">
        <v>45878</v>
      </c>
      <c r="D209" t="inlineStr">
        <is>
          <t>DALARNAS LÄN</t>
        </is>
      </c>
      <c r="E209" t="inlineStr">
        <is>
          <t>LEKSAND</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32666-2023</t>
        </is>
      </c>
      <c r="B210" s="1" t="n">
        <v>45121</v>
      </c>
      <c r="C210" s="1" t="n">
        <v>45878</v>
      </c>
      <c r="D210" t="inlineStr">
        <is>
          <t>DALARNAS LÄN</t>
        </is>
      </c>
      <c r="E210" t="inlineStr">
        <is>
          <t>LEKSAND</t>
        </is>
      </c>
      <c r="G210" t="n">
        <v>9.9</v>
      </c>
      <c r="H210" t="n">
        <v>0</v>
      </c>
      <c r="I210" t="n">
        <v>0</v>
      </c>
      <c r="J210" t="n">
        <v>0</v>
      </c>
      <c r="K210" t="n">
        <v>0</v>
      </c>
      <c r="L210" t="n">
        <v>0</v>
      </c>
      <c r="M210" t="n">
        <v>0</v>
      </c>
      <c r="N210" t="n">
        <v>0</v>
      </c>
      <c r="O210" t="n">
        <v>0</v>
      </c>
      <c r="P210" t="n">
        <v>0</v>
      </c>
      <c r="Q210" t="n">
        <v>0</v>
      </c>
      <c r="R210" s="2" t="inlineStr"/>
    </row>
    <row r="211" ht="15" customHeight="1">
      <c r="A211" t="inlineStr">
        <is>
          <t>A 53799-2023</t>
        </is>
      </c>
      <c r="B211" s="1" t="n">
        <v>45231.35564814815</v>
      </c>
      <c r="C211" s="1" t="n">
        <v>45878</v>
      </c>
      <c r="D211" t="inlineStr">
        <is>
          <t>DALARNAS LÄN</t>
        </is>
      </c>
      <c r="E211" t="inlineStr">
        <is>
          <t>LEKSAND</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40193-2024</t>
        </is>
      </c>
      <c r="B212" s="1" t="n">
        <v>45554.5734375</v>
      </c>
      <c r="C212" s="1" t="n">
        <v>45878</v>
      </c>
      <c r="D212" t="inlineStr">
        <is>
          <t>DALARNAS LÄN</t>
        </is>
      </c>
      <c r="E212" t="inlineStr">
        <is>
          <t>LEKSAND</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5231-2024</t>
        </is>
      </c>
      <c r="B213" s="1" t="n">
        <v>45330</v>
      </c>
      <c r="C213" s="1" t="n">
        <v>45878</v>
      </c>
      <c r="D213" t="inlineStr">
        <is>
          <t>DALARNAS LÄN</t>
        </is>
      </c>
      <c r="E213" t="inlineStr">
        <is>
          <t>LEKSAND</t>
        </is>
      </c>
      <c r="F213" t="inlineStr">
        <is>
          <t>Bergvik skog väst AB</t>
        </is>
      </c>
      <c r="G213" t="n">
        <v>11.2</v>
      </c>
      <c r="H213" t="n">
        <v>0</v>
      </c>
      <c r="I213" t="n">
        <v>0</v>
      </c>
      <c r="J213" t="n">
        <v>0</v>
      </c>
      <c r="K213" t="n">
        <v>0</v>
      </c>
      <c r="L213" t="n">
        <v>0</v>
      </c>
      <c r="M213" t="n">
        <v>0</v>
      </c>
      <c r="N213" t="n">
        <v>0</v>
      </c>
      <c r="O213" t="n">
        <v>0</v>
      </c>
      <c r="P213" t="n">
        <v>0</v>
      </c>
      <c r="Q213" t="n">
        <v>0</v>
      </c>
      <c r="R213" s="2" t="inlineStr"/>
    </row>
    <row r="214" ht="15" customHeight="1">
      <c r="A214" t="inlineStr">
        <is>
          <t>A 14792-2024</t>
        </is>
      </c>
      <c r="B214" s="1" t="n">
        <v>45397.8344212963</v>
      </c>
      <c r="C214" s="1" t="n">
        <v>45878</v>
      </c>
      <c r="D214" t="inlineStr">
        <is>
          <t>DALARNAS LÄN</t>
        </is>
      </c>
      <c r="E214" t="inlineStr">
        <is>
          <t>LEKSAND</t>
        </is>
      </c>
      <c r="F214" t="inlineStr">
        <is>
          <t>Bergvik skog väst AB</t>
        </is>
      </c>
      <c r="G214" t="n">
        <v>3.9</v>
      </c>
      <c r="H214" t="n">
        <v>0</v>
      </c>
      <c r="I214" t="n">
        <v>0</v>
      </c>
      <c r="J214" t="n">
        <v>0</v>
      </c>
      <c r="K214" t="n">
        <v>0</v>
      </c>
      <c r="L214" t="n">
        <v>0</v>
      </c>
      <c r="M214" t="n">
        <v>0</v>
      </c>
      <c r="N214" t="n">
        <v>0</v>
      </c>
      <c r="O214" t="n">
        <v>0</v>
      </c>
      <c r="P214" t="n">
        <v>0</v>
      </c>
      <c r="Q214" t="n">
        <v>0</v>
      </c>
      <c r="R214" s="2" t="inlineStr"/>
    </row>
    <row r="215" ht="15" customHeight="1">
      <c r="A215" t="inlineStr">
        <is>
          <t>A 31728-2024</t>
        </is>
      </c>
      <c r="B215" s="1" t="n">
        <v>45509.34517361111</v>
      </c>
      <c r="C215" s="1" t="n">
        <v>45878</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32394-2024</t>
        </is>
      </c>
      <c r="B216" s="1" t="n">
        <v>45512.64349537037</v>
      </c>
      <c r="C216" s="1" t="n">
        <v>45878</v>
      </c>
      <c r="D216" t="inlineStr">
        <is>
          <t>DALARNAS LÄN</t>
        </is>
      </c>
      <c r="E216" t="inlineStr">
        <is>
          <t>LEKSAND</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43221-2024</t>
        </is>
      </c>
      <c r="B217" s="1" t="n">
        <v>45567.86695601852</v>
      </c>
      <c r="C217" s="1" t="n">
        <v>45878</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60920-2020</t>
        </is>
      </c>
      <c r="B218" s="1" t="n">
        <v>44153</v>
      </c>
      <c r="C218" s="1" t="n">
        <v>45878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40755-2024</t>
        </is>
      </c>
      <c r="B219" s="1" t="n">
        <v>45558.45815972222</v>
      </c>
      <c r="C219" s="1" t="n">
        <v>45878</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23615-2024</t>
        </is>
      </c>
      <c r="B220" s="1" t="n">
        <v>45454.43050925926</v>
      </c>
      <c r="C220" s="1" t="n">
        <v>45878</v>
      </c>
      <c r="D220" t="inlineStr">
        <is>
          <t>DALARNAS LÄN</t>
        </is>
      </c>
      <c r="E220" t="inlineStr">
        <is>
          <t>LEKSAND</t>
        </is>
      </c>
      <c r="G220" t="n">
        <v>1.7</v>
      </c>
      <c r="H220" t="n">
        <v>0</v>
      </c>
      <c r="I220" t="n">
        <v>0</v>
      </c>
      <c r="J220" t="n">
        <v>0</v>
      </c>
      <c r="K220" t="n">
        <v>0</v>
      </c>
      <c r="L220" t="n">
        <v>0</v>
      </c>
      <c r="M220" t="n">
        <v>0</v>
      </c>
      <c r="N220" t="n">
        <v>0</v>
      </c>
      <c r="O220" t="n">
        <v>0</v>
      </c>
      <c r="P220" t="n">
        <v>0</v>
      </c>
      <c r="Q220" t="n">
        <v>0</v>
      </c>
      <c r="R220" s="2" t="inlineStr"/>
    </row>
    <row r="221" ht="15" customHeight="1">
      <c r="A221" t="inlineStr">
        <is>
          <t>A 23896-2024</t>
        </is>
      </c>
      <c r="B221" s="1" t="n">
        <v>45455.6758449074</v>
      </c>
      <c r="C221" s="1" t="n">
        <v>45878</v>
      </c>
      <c r="D221" t="inlineStr">
        <is>
          <t>DALARNAS LÄN</t>
        </is>
      </c>
      <c r="E221" t="inlineStr">
        <is>
          <t>LEKSAND</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28578-2023</t>
        </is>
      </c>
      <c r="B222" s="1" t="n">
        <v>45103</v>
      </c>
      <c r="C222" s="1" t="n">
        <v>45878</v>
      </c>
      <c r="D222" t="inlineStr">
        <is>
          <t>DALARNAS LÄN</t>
        </is>
      </c>
      <c r="E222" t="inlineStr">
        <is>
          <t>LEKSAND</t>
        </is>
      </c>
      <c r="G222" t="n">
        <v>4.4</v>
      </c>
      <c r="H222" t="n">
        <v>0</v>
      </c>
      <c r="I222" t="n">
        <v>0</v>
      </c>
      <c r="J222" t="n">
        <v>0</v>
      </c>
      <c r="K222" t="n">
        <v>0</v>
      </c>
      <c r="L222" t="n">
        <v>0</v>
      </c>
      <c r="M222" t="n">
        <v>0</v>
      </c>
      <c r="N222" t="n">
        <v>0</v>
      </c>
      <c r="O222" t="n">
        <v>0</v>
      </c>
      <c r="P222" t="n">
        <v>0</v>
      </c>
      <c r="Q222" t="n">
        <v>0</v>
      </c>
      <c r="R222" s="2" t="inlineStr"/>
    </row>
    <row r="223" ht="15" customHeight="1">
      <c r="A223" t="inlineStr">
        <is>
          <t>A 61288-2022</t>
        </is>
      </c>
      <c r="B223" s="1" t="n">
        <v>44915</v>
      </c>
      <c r="C223" s="1" t="n">
        <v>45878</v>
      </c>
      <c r="D223" t="inlineStr">
        <is>
          <t>DALARNAS LÄN</t>
        </is>
      </c>
      <c r="E223" t="inlineStr">
        <is>
          <t>LEKSAND</t>
        </is>
      </c>
      <c r="G223" t="n">
        <v>1.7</v>
      </c>
      <c r="H223" t="n">
        <v>0</v>
      </c>
      <c r="I223" t="n">
        <v>0</v>
      </c>
      <c r="J223" t="n">
        <v>0</v>
      </c>
      <c r="K223" t="n">
        <v>0</v>
      </c>
      <c r="L223" t="n">
        <v>0</v>
      </c>
      <c r="M223" t="n">
        <v>0</v>
      </c>
      <c r="N223" t="n">
        <v>0</v>
      </c>
      <c r="O223" t="n">
        <v>0</v>
      </c>
      <c r="P223" t="n">
        <v>0</v>
      </c>
      <c r="Q223" t="n">
        <v>0</v>
      </c>
      <c r="R223" s="2" t="inlineStr"/>
    </row>
    <row r="224" ht="15" customHeight="1">
      <c r="A224" t="inlineStr">
        <is>
          <t>A 20936-2023</t>
        </is>
      </c>
      <c r="B224" s="1" t="n">
        <v>45061</v>
      </c>
      <c r="C224" s="1" t="n">
        <v>45878</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41169-2024</t>
        </is>
      </c>
      <c r="B225" s="1" t="n">
        <v>45559.48637731482</v>
      </c>
      <c r="C225" s="1" t="n">
        <v>45878</v>
      </c>
      <c r="D225" t="inlineStr">
        <is>
          <t>DALARNAS LÄN</t>
        </is>
      </c>
      <c r="E225" t="inlineStr">
        <is>
          <t>LEKSAND</t>
        </is>
      </c>
      <c r="G225" t="n">
        <v>8.9</v>
      </c>
      <c r="H225" t="n">
        <v>0</v>
      </c>
      <c r="I225" t="n">
        <v>0</v>
      </c>
      <c r="J225" t="n">
        <v>0</v>
      </c>
      <c r="K225" t="n">
        <v>0</v>
      </c>
      <c r="L225" t="n">
        <v>0</v>
      </c>
      <c r="M225" t="n">
        <v>0</v>
      </c>
      <c r="N225" t="n">
        <v>0</v>
      </c>
      <c r="O225" t="n">
        <v>0</v>
      </c>
      <c r="P225" t="n">
        <v>0</v>
      </c>
      <c r="Q225" t="n">
        <v>0</v>
      </c>
      <c r="R225" s="2" t="inlineStr"/>
    </row>
    <row r="226" ht="15" customHeight="1">
      <c r="A226" t="inlineStr">
        <is>
          <t>A 21839-2022</t>
        </is>
      </c>
      <c r="B226" s="1" t="n">
        <v>44711</v>
      </c>
      <c r="C226" s="1" t="n">
        <v>45878</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22388-2024</t>
        </is>
      </c>
      <c r="B227" s="1" t="n">
        <v>45446</v>
      </c>
      <c r="C227" s="1" t="n">
        <v>45878</v>
      </c>
      <c r="D227" t="inlineStr">
        <is>
          <t>DALARNAS LÄN</t>
        </is>
      </c>
      <c r="E227" t="inlineStr">
        <is>
          <t>LEKSAND</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5738-2023</t>
        </is>
      </c>
      <c r="B228" s="1" t="n">
        <v>44962</v>
      </c>
      <c r="C228" s="1" t="n">
        <v>45878</v>
      </c>
      <c r="D228" t="inlineStr">
        <is>
          <t>DALARNAS LÄN</t>
        </is>
      </c>
      <c r="E228" t="inlineStr">
        <is>
          <t>LEKSAND</t>
        </is>
      </c>
      <c r="G228" t="n">
        <v>0.2</v>
      </c>
      <c r="H228" t="n">
        <v>0</v>
      </c>
      <c r="I228" t="n">
        <v>0</v>
      </c>
      <c r="J228" t="n">
        <v>0</v>
      </c>
      <c r="K228" t="n">
        <v>0</v>
      </c>
      <c r="L228" t="n">
        <v>0</v>
      </c>
      <c r="M228" t="n">
        <v>0</v>
      </c>
      <c r="N228" t="n">
        <v>0</v>
      </c>
      <c r="O228" t="n">
        <v>0</v>
      </c>
      <c r="P228" t="n">
        <v>0</v>
      </c>
      <c r="Q228" t="n">
        <v>0</v>
      </c>
      <c r="R228" s="2" t="inlineStr"/>
    </row>
    <row r="229" ht="15" customHeight="1">
      <c r="A229" t="inlineStr">
        <is>
          <t>A 5570-2024</t>
        </is>
      </c>
      <c r="B229" s="1" t="n">
        <v>45334</v>
      </c>
      <c r="C229" s="1" t="n">
        <v>45878</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43693-2022</t>
        </is>
      </c>
      <c r="B230" s="1" t="n">
        <v>44837.6369212963</v>
      </c>
      <c r="C230" s="1" t="n">
        <v>45878</v>
      </c>
      <c r="D230" t="inlineStr">
        <is>
          <t>DALARNAS LÄN</t>
        </is>
      </c>
      <c r="E230" t="inlineStr">
        <is>
          <t>LEKSAND</t>
        </is>
      </c>
      <c r="G230" t="n">
        <v>2.7</v>
      </c>
      <c r="H230" t="n">
        <v>0</v>
      </c>
      <c r="I230" t="n">
        <v>0</v>
      </c>
      <c r="J230" t="n">
        <v>0</v>
      </c>
      <c r="K230" t="n">
        <v>0</v>
      </c>
      <c r="L230" t="n">
        <v>0</v>
      </c>
      <c r="M230" t="n">
        <v>0</v>
      </c>
      <c r="N230" t="n">
        <v>0</v>
      </c>
      <c r="O230" t="n">
        <v>0</v>
      </c>
      <c r="P230" t="n">
        <v>0</v>
      </c>
      <c r="Q230" t="n">
        <v>0</v>
      </c>
      <c r="R230" s="2" t="inlineStr"/>
    </row>
    <row r="231" ht="15" customHeight="1">
      <c r="A231" t="inlineStr">
        <is>
          <t>A 43735-2022</t>
        </is>
      </c>
      <c r="B231" s="1" t="n">
        <v>44837.70210648148</v>
      </c>
      <c r="C231" s="1" t="n">
        <v>45878</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17726-2024</t>
        </is>
      </c>
      <c r="B232" s="1" t="n">
        <v>45418.55609953704</v>
      </c>
      <c r="C232" s="1" t="n">
        <v>45878</v>
      </c>
      <c r="D232" t="inlineStr">
        <is>
          <t>DALARNAS LÄN</t>
        </is>
      </c>
      <c r="E232" t="inlineStr">
        <is>
          <t>LEKSAND</t>
        </is>
      </c>
      <c r="G232" t="n">
        <v>5.2</v>
      </c>
      <c r="H232" t="n">
        <v>0</v>
      </c>
      <c r="I232" t="n">
        <v>0</v>
      </c>
      <c r="J232" t="n">
        <v>0</v>
      </c>
      <c r="K232" t="n">
        <v>0</v>
      </c>
      <c r="L232" t="n">
        <v>0</v>
      </c>
      <c r="M232" t="n">
        <v>0</v>
      </c>
      <c r="N232" t="n">
        <v>0</v>
      </c>
      <c r="O232" t="n">
        <v>0</v>
      </c>
      <c r="P232" t="n">
        <v>0</v>
      </c>
      <c r="Q232" t="n">
        <v>0</v>
      </c>
      <c r="R232" s="2" t="inlineStr"/>
    </row>
    <row r="233" ht="15" customHeight="1">
      <c r="A233" t="inlineStr">
        <is>
          <t>A 15120-2023</t>
        </is>
      </c>
      <c r="B233" s="1" t="n">
        <v>45016.46484953703</v>
      </c>
      <c r="C233" s="1" t="n">
        <v>45878</v>
      </c>
      <c r="D233" t="inlineStr">
        <is>
          <t>DALARNAS LÄN</t>
        </is>
      </c>
      <c r="E233" t="inlineStr">
        <is>
          <t>LEKSAND</t>
        </is>
      </c>
      <c r="G233" t="n">
        <v>2.7</v>
      </c>
      <c r="H233" t="n">
        <v>0</v>
      </c>
      <c r="I233" t="n">
        <v>0</v>
      </c>
      <c r="J233" t="n">
        <v>0</v>
      </c>
      <c r="K233" t="n">
        <v>0</v>
      </c>
      <c r="L233" t="n">
        <v>0</v>
      </c>
      <c r="M233" t="n">
        <v>0</v>
      </c>
      <c r="N233" t="n">
        <v>0</v>
      </c>
      <c r="O233" t="n">
        <v>0</v>
      </c>
      <c r="P233" t="n">
        <v>0</v>
      </c>
      <c r="Q233" t="n">
        <v>0</v>
      </c>
      <c r="R233" s="2" t="inlineStr"/>
    </row>
    <row r="234" ht="15" customHeight="1">
      <c r="A234" t="inlineStr">
        <is>
          <t>A 17413-2023</t>
        </is>
      </c>
      <c r="B234" s="1" t="n">
        <v>45035</v>
      </c>
      <c r="C234" s="1" t="n">
        <v>45878</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9138-2023</t>
        </is>
      </c>
      <c r="B235" s="1" t="n">
        <v>44974</v>
      </c>
      <c r="C235" s="1" t="n">
        <v>45878</v>
      </c>
      <c r="D235" t="inlineStr">
        <is>
          <t>DALARNAS LÄN</t>
        </is>
      </c>
      <c r="E235" t="inlineStr">
        <is>
          <t>LEKSAND</t>
        </is>
      </c>
      <c r="G235" t="n">
        <v>4.6</v>
      </c>
      <c r="H235" t="n">
        <v>0</v>
      </c>
      <c r="I235" t="n">
        <v>0</v>
      </c>
      <c r="J235" t="n">
        <v>0</v>
      </c>
      <c r="K235" t="n">
        <v>0</v>
      </c>
      <c r="L235" t="n">
        <v>0</v>
      </c>
      <c r="M235" t="n">
        <v>0</v>
      </c>
      <c r="N235" t="n">
        <v>0</v>
      </c>
      <c r="O235" t="n">
        <v>0</v>
      </c>
      <c r="P235" t="n">
        <v>0</v>
      </c>
      <c r="Q235" t="n">
        <v>0</v>
      </c>
      <c r="R235" s="2" t="inlineStr"/>
    </row>
    <row r="236" ht="15" customHeight="1">
      <c r="A236" t="inlineStr">
        <is>
          <t>A 2517-2024</t>
        </is>
      </c>
      <c r="B236" s="1" t="n">
        <v>45313</v>
      </c>
      <c r="C236" s="1" t="n">
        <v>45878</v>
      </c>
      <c r="D236" t="inlineStr">
        <is>
          <t>DALARNAS LÄN</t>
        </is>
      </c>
      <c r="E236" t="inlineStr">
        <is>
          <t>LEKSAND</t>
        </is>
      </c>
      <c r="F236" t="inlineStr">
        <is>
          <t>Bergvik skog väst AB</t>
        </is>
      </c>
      <c r="G236" t="n">
        <v>4</v>
      </c>
      <c r="H236" t="n">
        <v>0</v>
      </c>
      <c r="I236" t="n">
        <v>0</v>
      </c>
      <c r="J236" t="n">
        <v>0</v>
      </c>
      <c r="K236" t="n">
        <v>0</v>
      </c>
      <c r="L236" t="n">
        <v>0</v>
      </c>
      <c r="M236" t="n">
        <v>0</v>
      </c>
      <c r="N236" t="n">
        <v>0</v>
      </c>
      <c r="O236" t="n">
        <v>0</v>
      </c>
      <c r="P236" t="n">
        <v>0</v>
      </c>
      <c r="Q236" t="n">
        <v>0</v>
      </c>
      <c r="R236" s="2" t="inlineStr"/>
    </row>
    <row r="237" ht="15" customHeight="1">
      <c r="A237" t="inlineStr">
        <is>
          <t>A 17377-2025</t>
        </is>
      </c>
      <c r="B237" s="1" t="n">
        <v>45756.983125</v>
      </c>
      <c r="C237" s="1" t="n">
        <v>45878</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61680-2024</t>
        </is>
      </c>
      <c r="B238" s="1" t="n">
        <v>45647.42890046296</v>
      </c>
      <c r="C238" s="1" t="n">
        <v>45878</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61269-2022</t>
        </is>
      </c>
      <c r="B239" s="1" t="n">
        <v>44909</v>
      </c>
      <c r="C239" s="1" t="n">
        <v>45878</v>
      </c>
      <c r="D239" t="inlineStr">
        <is>
          <t>DALARNAS LÄN</t>
        </is>
      </c>
      <c r="E239" t="inlineStr">
        <is>
          <t>LEKSAND</t>
        </is>
      </c>
      <c r="G239" t="n">
        <v>4.2</v>
      </c>
      <c r="H239" t="n">
        <v>0</v>
      </c>
      <c r="I239" t="n">
        <v>0</v>
      </c>
      <c r="J239" t="n">
        <v>0</v>
      </c>
      <c r="K239" t="n">
        <v>0</v>
      </c>
      <c r="L239" t="n">
        <v>0</v>
      </c>
      <c r="M239" t="n">
        <v>0</v>
      </c>
      <c r="N239" t="n">
        <v>0</v>
      </c>
      <c r="O239" t="n">
        <v>0</v>
      </c>
      <c r="P239" t="n">
        <v>0</v>
      </c>
      <c r="Q239" t="n">
        <v>0</v>
      </c>
      <c r="R239" s="2" t="inlineStr"/>
    </row>
    <row r="240" ht="15" customHeight="1">
      <c r="A240" t="inlineStr">
        <is>
          <t>A 54911-2024</t>
        </is>
      </c>
      <c r="B240" s="1" t="n">
        <v>45618.68929398148</v>
      </c>
      <c r="C240" s="1" t="n">
        <v>45878</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13384-2025</t>
        </is>
      </c>
      <c r="B241" s="1" t="n">
        <v>45735</v>
      </c>
      <c r="C241" s="1" t="n">
        <v>45878</v>
      </c>
      <c r="D241" t="inlineStr">
        <is>
          <t>DALARNAS LÄN</t>
        </is>
      </c>
      <c r="E241" t="inlineStr">
        <is>
          <t>LEKSAND</t>
        </is>
      </c>
      <c r="G241" t="n">
        <v>3.2</v>
      </c>
      <c r="H241" t="n">
        <v>0</v>
      </c>
      <c r="I241" t="n">
        <v>0</v>
      </c>
      <c r="J241" t="n">
        <v>0</v>
      </c>
      <c r="K241" t="n">
        <v>0</v>
      </c>
      <c r="L241" t="n">
        <v>0</v>
      </c>
      <c r="M241" t="n">
        <v>0</v>
      </c>
      <c r="N241" t="n">
        <v>0</v>
      </c>
      <c r="O241" t="n">
        <v>0</v>
      </c>
      <c r="P241" t="n">
        <v>0</v>
      </c>
      <c r="Q241" t="n">
        <v>0</v>
      </c>
      <c r="R241" s="2" t="inlineStr"/>
    </row>
    <row r="242" ht="15" customHeight="1">
      <c r="A242" t="inlineStr">
        <is>
          <t>A 60692-2023</t>
        </is>
      </c>
      <c r="B242" s="1" t="n">
        <v>45260.50008101852</v>
      </c>
      <c r="C242" s="1" t="n">
        <v>45878</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53817-2023</t>
        </is>
      </c>
      <c r="B243" s="1" t="n">
        <v>45231.40488425926</v>
      </c>
      <c r="C243" s="1" t="n">
        <v>45878</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16611-2024</t>
        </is>
      </c>
      <c r="B244" s="1" t="n">
        <v>45408.55504629629</v>
      </c>
      <c r="C244" s="1" t="n">
        <v>45878</v>
      </c>
      <c r="D244" t="inlineStr">
        <is>
          <t>DALARNAS LÄN</t>
        </is>
      </c>
      <c r="E244" t="inlineStr">
        <is>
          <t>LEKSAND</t>
        </is>
      </c>
      <c r="G244" t="n">
        <v>5.9</v>
      </c>
      <c r="H244" t="n">
        <v>0</v>
      </c>
      <c r="I244" t="n">
        <v>0</v>
      </c>
      <c r="J244" t="n">
        <v>0</v>
      </c>
      <c r="K244" t="n">
        <v>0</v>
      </c>
      <c r="L244" t="n">
        <v>0</v>
      </c>
      <c r="M244" t="n">
        <v>0</v>
      </c>
      <c r="N244" t="n">
        <v>0</v>
      </c>
      <c r="O244" t="n">
        <v>0</v>
      </c>
      <c r="P244" t="n">
        <v>0</v>
      </c>
      <c r="Q244" t="n">
        <v>0</v>
      </c>
      <c r="R244" s="2" t="inlineStr"/>
    </row>
    <row r="245" ht="15" customHeight="1">
      <c r="A245" t="inlineStr">
        <is>
          <t>A 30204-2024</t>
        </is>
      </c>
      <c r="B245" s="1" t="n">
        <v>45490.35402777778</v>
      </c>
      <c r="C245" s="1" t="n">
        <v>45878</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19618-2024</t>
        </is>
      </c>
      <c r="B246" s="1" t="n">
        <v>45432.32896990741</v>
      </c>
      <c r="C246" s="1" t="n">
        <v>45878</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5574-2024</t>
        </is>
      </c>
      <c r="B247" s="1" t="n">
        <v>45334</v>
      </c>
      <c r="C247" s="1" t="n">
        <v>45878</v>
      </c>
      <c r="D247" t="inlineStr">
        <is>
          <t>DALARNAS LÄN</t>
        </is>
      </c>
      <c r="E247" t="inlineStr">
        <is>
          <t>LEKSAND</t>
        </is>
      </c>
      <c r="G247" t="n">
        <v>0.4</v>
      </c>
      <c r="H247" t="n">
        <v>0</v>
      </c>
      <c r="I247" t="n">
        <v>0</v>
      </c>
      <c r="J247" t="n">
        <v>0</v>
      </c>
      <c r="K247" t="n">
        <v>0</v>
      </c>
      <c r="L247" t="n">
        <v>0</v>
      </c>
      <c r="M247" t="n">
        <v>0</v>
      </c>
      <c r="N247" t="n">
        <v>0</v>
      </c>
      <c r="O247" t="n">
        <v>0</v>
      </c>
      <c r="P247" t="n">
        <v>0</v>
      </c>
      <c r="Q247" t="n">
        <v>0</v>
      </c>
      <c r="R247" s="2" t="inlineStr"/>
    </row>
    <row r="248" ht="15" customHeight="1">
      <c r="A248" t="inlineStr">
        <is>
          <t>A 28633-2023</t>
        </is>
      </c>
      <c r="B248" s="1" t="n">
        <v>45103.61575231481</v>
      </c>
      <c r="C248" s="1" t="n">
        <v>45878</v>
      </c>
      <c r="D248" t="inlineStr">
        <is>
          <t>DALARNAS LÄN</t>
        </is>
      </c>
      <c r="E248" t="inlineStr">
        <is>
          <t>LEKSAND</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23283-2024</t>
        </is>
      </c>
      <c r="B249" s="1" t="n">
        <v>45453</v>
      </c>
      <c r="C249" s="1" t="n">
        <v>45878</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47121-2021</t>
        </is>
      </c>
      <c r="B250" s="1" t="n">
        <v>44446</v>
      </c>
      <c r="C250" s="1" t="n">
        <v>45878</v>
      </c>
      <c r="D250" t="inlineStr">
        <is>
          <t>DALARNAS LÄN</t>
        </is>
      </c>
      <c r="E250" t="inlineStr">
        <is>
          <t>LEKSAND</t>
        </is>
      </c>
      <c r="G250" t="n">
        <v>3.5</v>
      </c>
      <c r="H250" t="n">
        <v>0</v>
      </c>
      <c r="I250" t="n">
        <v>0</v>
      </c>
      <c r="J250" t="n">
        <v>0</v>
      </c>
      <c r="K250" t="n">
        <v>0</v>
      </c>
      <c r="L250" t="n">
        <v>0</v>
      </c>
      <c r="M250" t="n">
        <v>0</v>
      </c>
      <c r="N250" t="n">
        <v>0</v>
      </c>
      <c r="O250" t="n">
        <v>0</v>
      </c>
      <c r="P250" t="n">
        <v>0</v>
      </c>
      <c r="Q250" t="n">
        <v>0</v>
      </c>
      <c r="R250" s="2" t="inlineStr"/>
    </row>
    <row r="251" ht="15" customHeight="1">
      <c r="A251" t="inlineStr">
        <is>
          <t>A 32688-2024</t>
        </is>
      </c>
      <c r="B251" s="1" t="n">
        <v>45515.83091435185</v>
      </c>
      <c r="C251" s="1" t="n">
        <v>45878</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45512-2023</t>
        </is>
      </c>
      <c r="B252" s="1" t="n">
        <v>45194.49178240741</v>
      </c>
      <c r="C252" s="1" t="n">
        <v>45878</v>
      </c>
      <c r="D252" t="inlineStr">
        <is>
          <t>DALARNAS LÄN</t>
        </is>
      </c>
      <c r="E252" t="inlineStr">
        <is>
          <t>LEKSAND</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402-2024</t>
        </is>
      </c>
      <c r="B253" s="1" t="n">
        <v>45296.45545138889</v>
      </c>
      <c r="C253" s="1" t="n">
        <v>45878</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51677-2024</t>
        </is>
      </c>
      <c r="B254" s="1" t="n">
        <v>45607.30265046296</v>
      </c>
      <c r="C254" s="1" t="n">
        <v>45878</v>
      </c>
      <c r="D254" t="inlineStr">
        <is>
          <t>DALARNAS LÄN</t>
        </is>
      </c>
      <c r="E254" t="inlineStr">
        <is>
          <t>LEKSAND</t>
        </is>
      </c>
      <c r="G254" t="n">
        <v>3.4</v>
      </c>
      <c r="H254" t="n">
        <v>0</v>
      </c>
      <c r="I254" t="n">
        <v>0</v>
      </c>
      <c r="J254" t="n">
        <v>0</v>
      </c>
      <c r="K254" t="n">
        <v>0</v>
      </c>
      <c r="L254" t="n">
        <v>0</v>
      </c>
      <c r="M254" t="n">
        <v>0</v>
      </c>
      <c r="N254" t="n">
        <v>0</v>
      </c>
      <c r="O254" t="n">
        <v>0</v>
      </c>
      <c r="P254" t="n">
        <v>0</v>
      </c>
      <c r="Q254" t="n">
        <v>0</v>
      </c>
      <c r="R254" s="2" t="inlineStr"/>
    </row>
    <row r="255" ht="15" customHeight="1">
      <c r="A255" t="inlineStr">
        <is>
          <t>A 4121-2024</t>
        </is>
      </c>
      <c r="B255" s="1" t="n">
        <v>45323</v>
      </c>
      <c r="C255" s="1" t="n">
        <v>45878</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47640-2024</t>
        </is>
      </c>
      <c r="B256" s="1" t="n">
        <v>45588.36508101852</v>
      </c>
      <c r="C256" s="1" t="n">
        <v>45878</v>
      </c>
      <c r="D256" t="inlineStr">
        <is>
          <t>DALARNAS LÄN</t>
        </is>
      </c>
      <c r="E256" t="inlineStr">
        <is>
          <t>LEKSAND</t>
        </is>
      </c>
      <c r="G256" t="n">
        <v>9.1</v>
      </c>
      <c r="H256" t="n">
        <v>0</v>
      </c>
      <c r="I256" t="n">
        <v>0</v>
      </c>
      <c r="J256" t="n">
        <v>0</v>
      </c>
      <c r="K256" t="n">
        <v>0</v>
      </c>
      <c r="L256" t="n">
        <v>0</v>
      </c>
      <c r="M256" t="n">
        <v>0</v>
      </c>
      <c r="N256" t="n">
        <v>0</v>
      </c>
      <c r="O256" t="n">
        <v>0</v>
      </c>
      <c r="P256" t="n">
        <v>0</v>
      </c>
      <c r="Q256" t="n">
        <v>0</v>
      </c>
      <c r="R256" s="2" t="inlineStr"/>
    </row>
    <row r="257" ht="15" customHeight="1">
      <c r="A257" t="inlineStr">
        <is>
          <t>A 7778-2025</t>
        </is>
      </c>
      <c r="B257" s="1" t="n">
        <v>45706</v>
      </c>
      <c r="C257" s="1" t="n">
        <v>45878</v>
      </c>
      <c r="D257" t="inlineStr">
        <is>
          <t>DALARNAS LÄN</t>
        </is>
      </c>
      <c r="E257" t="inlineStr">
        <is>
          <t>LEKSAND</t>
        </is>
      </c>
      <c r="G257" t="n">
        <v>2.2</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45878</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72581-2021</t>
        </is>
      </c>
      <c r="B259" s="1" t="n">
        <v>44546.46354166666</v>
      </c>
      <c r="C259" s="1" t="n">
        <v>45878</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14943-2023</t>
        </is>
      </c>
      <c r="B260" s="1" t="n">
        <v>45015</v>
      </c>
      <c r="C260" s="1" t="n">
        <v>45878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41840-2024</t>
        </is>
      </c>
      <c r="B261" s="1" t="n">
        <v>45561.42170138889</v>
      </c>
      <c r="C261" s="1" t="n">
        <v>45878</v>
      </c>
      <c r="D261" t="inlineStr">
        <is>
          <t>DALARNAS LÄN</t>
        </is>
      </c>
      <c r="E261" t="inlineStr">
        <is>
          <t>LEKSAND</t>
        </is>
      </c>
      <c r="G261" t="n">
        <v>0.4</v>
      </c>
      <c r="H261" t="n">
        <v>0</v>
      </c>
      <c r="I261" t="n">
        <v>0</v>
      </c>
      <c r="J261" t="n">
        <v>0</v>
      </c>
      <c r="K261" t="n">
        <v>0</v>
      </c>
      <c r="L261" t="n">
        <v>0</v>
      </c>
      <c r="M261" t="n">
        <v>0</v>
      </c>
      <c r="N261" t="n">
        <v>0</v>
      </c>
      <c r="O261" t="n">
        <v>0</v>
      </c>
      <c r="P261" t="n">
        <v>0</v>
      </c>
      <c r="Q261" t="n">
        <v>0</v>
      </c>
      <c r="R261" s="2" t="inlineStr"/>
    </row>
    <row r="262" ht="15" customHeight="1">
      <c r="A262" t="inlineStr">
        <is>
          <t>A 33143-2024</t>
        </is>
      </c>
      <c r="B262" s="1" t="n">
        <v>45518</v>
      </c>
      <c r="C262" s="1" t="n">
        <v>45878</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19590-2023</t>
        </is>
      </c>
      <c r="B263" s="1" t="n">
        <v>45049</v>
      </c>
      <c r="C263" s="1" t="n">
        <v>45878</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39807-2024</t>
        </is>
      </c>
      <c r="B264" s="1" t="n">
        <v>45553.35763888889</v>
      </c>
      <c r="C264" s="1" t="n">
        <v>45878</v>
      </c>
      <c r="D264" t="inlineStr">
        <is>
          <t>DALARNAS LÄN</t>
        </is>
      </c>
      <c r="E264" t="inlineStr">
        <is>
          <t>LEKSAND</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61614-2023</t>
        </is>
      </c>
      <c r="B265" s="1" t="n">
        <v>45261</v>
      </c>
      <c r="C265" s="1" t="n">
        <v>45878</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31850-2024</t>
        </is>
      </c>
      <c r="B266" s="1" t="n">
        <v>45509.67334490741</v>
      </c>
      <c r="C266" s="1" t="n">
        <v>45878</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26062-2024</t>
        </is>
      </c>
      <c r="B267" s="1" t="n">
        <v>45468.3509375</v>
      </c>
      <c r="C267" s="1" t="n">
        <v>45878</v>
      </c>
      <c r="D267" t="inlineStr">
        <is>
          <t>DALARNAS LÄN</t>
        </is>
      </c>
      <c r="E267" t="inlineStr">
        <is>
          <t>LEKSAND</t>
        </is>
      </c>
      <c r="F267" t="inlineStr">
        <is>
          <t>Övriga statliga verk och myndigheter</t>
        </is>
      </c>
      <c r="G267" t="n">
        <v>6.4</v>
      </c>
      <c r="H267" t="n">
        <v>0</v>
      </c>
      <c r="I267" t="n">
        <v>0</v>
      </c>
      <c r="J267" t="n">
        <v>0</v>
      </c>
      <c r="K267" t="n">
        <v>0</v>
      </c>
      <c r="L267" t="n">
        <v>0</v>
      </c>
      <c r="M267" t="n">
        <v>0</v>
      </c>
      <c r="N267" t="n">
        <v>0</v>
      </c>
      <c r="O267" t="n">
        <v>0</v>
      </c>
      <c r="P267" t="n">
        <v>0</v>
      </c>
      <c r="Q267" t="n">
        <v>0</v>
      </c>
      <c r="R267" s="2" t="inlineStr"/>
    </row>
    <row r="268" ht="15" customHeight="1">
      <c r="A268" t="inlineStr">
        <is>
          <t>A 55029-2024</t>
        </is>
      </c>
      <c r="B268" s="1" t="n">
        <v>45621.38016203704</v>
      </c>
      <c r="C268" s="1" t="n">
        <v>45878</v>
      </c>
      <c r="D268" t="inlineStr">
        <is>
          <t>DALARNAS LÄN</t>
        </is>
      </c>
      <c r="E268" t="inlineStr">
        <is>
          <t>LEKSAND</t>
        </is>
      </c>
      <c r="G268" t="n">
        <v>1.9</v>
      </c>
      <c r="H268" t="n">
        <v>0</v>
      </c>
      <c r="I268" t="n">
        <v>0</v>
      </c>
      <c r="J268" t="n">
        <v>0</v>
      </c>
      <c r="K268" t="n">
        <v>0</v>
      </c>
      <c r="L268" t="n">
        <v>0</v>
      </c>
      <c r="M268" t="n">
        <v>0</v>
      </c>
      <c r="N268" t="n">
        <v>0</v>
      </c>
      <c r="O268" t="n">
        <v>0</v>
      </c>
      <c r="P268" t="n">
        <v>0</v>
      </c>
      <c r="Q268" t="n">
        <v>0</v>
      </c>
      <c r="R268" s="2" t="inlineStr"/>
    </row>
    <row r="269" ht="15" customHeight="1">
      <c r="A269" t="inlineStr">
        <is>
          <t>A 19415-2025</t>
        </is>
      </c>
      <c r="B269" s="1" t="n">
        <v>45769</v>
      </c>
      <c r="C269" s="1" t="n">
        <v>45878</v>
      </c>
      <c r="D269" t="inlineStr">
        <is>
          <t>DALARNAS LÄN</t>
        </is>
      </c>
      <c r="E269" t="inlineStr">
        <is>
          <t>LEKSAND</t>
        </is>
      </c>
      <c r="F269" t="inlineStr">
        <is>
          <t>Bergvik skog väst AB</t>
        </is>
      </c>
      <c r="G269" t="n">
        <v>11.5</v>
      </c>
      <c r="H269" t="n">
        <v>0</v>
      </c>
      <c r="I269" t="n">
        <v>0</v>
      </c>
      <c r="J269" t="n">
        <v>0</v>
      </c>
      <c r="K269" t="n">
        <v>0</v>
      </c>
      <c r="L269" t="n">
        <v>0</v>
      </c>
      <c r="M269" t="n">
        <v>0</v>
      </c>
      <c r="N269" t="n">
        <v>0</v>
      </c>
      <c r="O269" t="n">
        <v>0</v>
      </c>
      <c r="P269" t="n">
        <v>0</v>
      </c>
      <c r="Q269" t="n">
        <v>0</v>
      </c>
      <c r="R269" s="2" t="inlineStr"/>
    </row>
    <row r="270" ht="15" customHeight="1">
      <c r="A270" t="inlineStr">
        <is>
          <t>A 34585-2024</t>
        </is>
      </c>
      <c r="B270" s="1" t="n">
        <v>45526.37697916666</v>
      </c>
      <c r="C270" s="1" t="n">
        <v>45878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11277-2025</t>
        </is>
      </c>
      <c r="B271" s="1" t="n">
        <v>45726.41565972222</v>
      </c>
      <c r="C271" s="1" t="n">
        <v>45878</v>
      </c>
      <c r="D271" t="inlineStr">
        <is>
          <t>DALARNAS LÄN</t>
        </is>
      </c>
      <c r="E271" t="inlineStr">
        <is>
          <t>LEKSAND</t>
        </is>
      </c>
      <c r="G271" t="n">
        <v>2</v>
      </c>
      <c r="H271" t="n">
        <v>0</v>
      </c>
      <c r="I271" t="n">
        <v>0</v>
      </c>
      <c r="J271" t="n">
        <v>0</v>
      </c>
      <c r="K271" t="n">
        <v>0</v>
      </c>
      <c r="L271" t="n">
        <v>0</v>
      </c>
      <c r="M271" t="n">
        <v>0</v>
      </c>
      <c r="N271" t="n">
        <v>0</v>
      </c>
      <c r="O271" t="n">
        <v>0</v>
      </c>
      <c r="P271" t="n">
        <v>0</v>
      </c>
      <c r="Q271" t="n">
        <v>0</v>
      </c>
      <c r="R271" s="2" t="inlineStr"/>
    </row>
    <row r="272" ht="15" customHeight="1">
      <c r="A272" t="inlineStr">
        <is>
          <t>A 325-2023</t>
        </is>
      </c>
      <c r="B272" s="1" t="n">
        <v>44929</v>
      </c>
      <c r="C272" s="1" t="n">
        <v>45878</v>
      </c>
      <c r="D272" t="inlineStr">
        <is>
          <t>DALARNAS LÄN</t>
        </is>
      </c>
      <c r="E272" t="inlineStr">
        <is>
          <t>LEKSAND</t>
        </is>
      </c>
      <c r="F272" t="inlineStr">
        <is>
          <t>Övriga Aktiebolag</t>
        </is>
      </c>
      <c r="G272" t="n">
        <v>7.1</v>
      </c>
      <c r="H272" t="n">
        <v>0</v>
      </c>
      <c r="I272" t="n">
        <v>0</v>
      </c>
      <c r="J272" t="n">
        <v>0</v>
      </c>
      <c r="K272" t="n">
        <v>0</v>
      </c>
      <c r="L272" t="n">
        <v>0</v>
      </c>
      <c r="M272" t="n">
        <v>0</v>
      </c>
      <c r="N272" t="n">
        <v>0</v>
      </c>
      <c r="O272" t="n">
        <v>0</v>
      </c>
      <c r="P272" t="n">
        <v>0</v>
      </c>
      <c r="Q272" t="n">
        <v>0</v>
      </c>
      <c r="R272" s="2" t="inlineStr"/>
    </row>
    <row r="273" ht="15" customHeight="1">
      <c r="A273" t="inlineStr">
        <is>
          <t>A 63514-2023</t>
        </is>
      </c>
      <c r="B273" s="1" t="n">
        <v>45274</v>
      </c>
      <c r="C273" s="1" t="n">
        <v>45878</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11678-2025</t>
        </is>
      </c>
      <c r="B274" s="1" t="n">
        <v>45726</v>
      </c>
      <c r="C274" s="1" t="n">
        <v>45878</v>
      </c>
      <c r="D274" t="inlineStr">
        <is>
          <t>DALARNAS LÄN</t>
        </is>
      </c>
      <c r="E274" t="inlineStr">
        <is>
          <t>LEKSAND</t>
        </is>
      </c>
      <c r="G274" t="n">
        <v>9.4</v>
      </c>
      <c r="H274" t="n">
        <v>0</v>
      </c>
      <c r="I274" t="n">
        <v>0</v>
      </c>
      <c r="J274" t="n">
        <v>0</v>
      </c>
      <c r="K274" t="n">
        <v>0</v>
      </c>
      <c r="L274" t="n">
        <v>0</v>
      </c>
      <c r="M274" t="n">
        <v>0</v>
      </c>
      <c r="N274" t="n">
        <v>0</v>
      </c>
      <c r="O274" t="n">
        <v>0</v>
      </c>
      <c r="P274" t="n">
        <v>0</v>
      </c>
      <c r="Q274" t="n">
        <v>0</v>
      </c>
      <c r="R274" s="2" t="inlineStr"/>
    </row>
    <row r="275" ht="15" customHeight="1">
      <c r="A275" t="inlineStr">
        <is>
          <t>A 471-2025</t>
        </is>
      </c>
      <c r="B275" s="1" t="n">
        <v>45664.43394675926</v>
      </c>
      <c r="C275" s="1" t="n">
        <v>45878</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28630-2023</t>
        </is>
      </c>
      <c r="B276" s="1" t="n">
        <v>45103.61003472222</v>
      </c>
      <c r="C276" s="1" t="n">
        <v>45878</v>
      </c>
      <c r="D276" t="inlineStr">
        <is>
          <t>DALARNAS LÄN</t>
        </is>
      </c>
      <c r="E276" t="inlineStr">
        <is>
          <t>LEKSAND</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7759-2025</t>
        </is>
      </c>
      <c r="B277" s="1" t="n">
        <v>45706.53827546296</v>
      </c>
      <c r="C277" s="1" t="n">
        <v>45878</v>
      </c>
      <c r="D277" t="inlineStr">
        <is>
          <t>DALARNAS LÄN</t>
        </is>
      </c>
      <c r="E277" t="inlineStr">
        <is>
          <t>LEKSAND</t>
        </is>
      </c>
      <c r="G277" t="n">
        <v>3.3</v>
      </c>
      <c r="H277" t="n">
        <v>0</v>
      </c>
      <c r="I277" t="n">
        <v>0</v>
      </c>
      <c r="J277" t="n">
        <v>0</v>
      </c>
      <c r="K277" t="n">
        <v>0</v>
      </c>
      <c r="L277" t="n">
        <v>0</v>
      </c>
      <c r="M277" t="n">
        <v>0</v>
      </c>
      <c r="N277" t="n">
        <v>0</v>
      </c>
      <c r="O277" t="n">
        <v>0</v>
      </c>
      <c r="P277" t="n">
        <v>0</v>
      </c>
      <c r="Q277" t="n">
        <v>0</v>
      </c>
      <c r="R277" s="2" t="inlineStr"/>
    </row>
    <row r="278" ht="15" customHeight="1">
      <c r="A278" t="inlineStr">
        <is>
          <t>A 7928-2023</t>
        </is>
      </c>
      <c r="B278" s="1" t="n">
        <v>44973</v>
      </c>
      <c r="C278" s="1" t="n">
        <v>45878</v>
      </c>
      <c r="D278" t="inlineStr">
        <is>
          <t>DALARNAS LÄN</t>
        </is>
      </c>
      <c r="E278" t="inlineStr">
        <is>
          <t>LEKSAND</t>
        </is>
      </c>
      <c r="G278" t="n">
        <v>1.9</v>
      </c>
      <c r="H278" t="n">
        <v>0</v>
      </c>
      <c r="I278" t="n">
        <v>0</v>
      </c>
      <c r="J278" t="n">
        <v>0</v>
      </c>
      <c r="K278" t="n">
        <v>0</v>
      </c>
      <c r="L278" t="n">
        <v>0</v>
      </c>
      <c r="M278" t="n">
        <v>0</v>
      </c>
      <c r="N278" t="n">
        <v>0</v>
      </c>
      <c r="O278" t="n">
        <v>0</v>
      </c>
      <c r="P278" t="n">
        <v>0</v>
      </c>
      <c r="Q278" t="n">
        <v>0</v>
      </c>
      <c r="R278" s="2" t="inlineStr"/>
    </row>
    <row r="279" ht="15" customHeight="1">
      <c r="A279" t="inlineStr">
        <is>
          <t>A 17078-2023</t>
        </is>
      </c>
      <c r="B279" s="1" t="n">
        <v>45034</v>
      </c>
      <c r="C279" s="1" t="n">
        <v>45878</v>
      </c>
      <c r="D279" t="inlineStr">
        <is>
          <t>DALARNAS LÄN</t>
        </is>
      </c>
      <c r="E279" t="inlineStr">
        <is>
          <t>LEKSAND</t>
        </is>
      </c>
      <c r="G279" t="n">
        <v>0.5</v>
      </c>
      <c r="H279" t="n">
        <v>0</v>
      </c>
      <c r="I279" t="n">
        <v>0</v>
      </c>
      <c r="J279" t="n">
        <v>0</v>
      </c>
      <c r="K279" t="n">
        <v>0</v>
      </c>
      <c r="L279" t="n">
        <v>0</v>
      </c>
      <c r="M279" t="n">
        <v>0</v>
      </c>
      <c r="N279" t="n">
        <v>0</v>
      </c>
      <c r="O279" t="n">
        <v>0</v>
      </c>
      <c r="P279" t="n">
        <v>0</v>
      </c>
      <c r="Q279" t="n">
        <v>0</v>
      </c>
      <c r="R279" s="2" t="inlineStr"/>
    </row>
    <row r="280" ht="15" customHeight="1">
      <c r="A280" t="inlineStr">
        <is>
          <t>A 14865-2025</t>
        </is>
      </c>
      <c r="B280" s="1" t="n">
        <v>45743.43929398148</v>
      </c>
      <c r="C280" s="1" t="n">
        <v>45878</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30860-2024</t>
        </is>
      </c>
      <c r="B281" s="1" t="n">
        <v>45497.69108796296</v>
      </c>
      <c r="C281" s="1" t="n">
        <v>45878</v>
      </c>
      <c r="D281" t="inlineStr">
        <is>
          <t>DALARNAS LÄN</t>
        </is>
      </c>
      <c r="E281" t="inlineStr">
        <is>
          <t>LEKSAND</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30864-2024</t>
        </is>
      </c>
      <c r="B282" s="1" t="n">
        <v>45497.71550925926</v>
      </c>
      <c r="C282" s="1" t="n">
        <v>45878</v>
      </c>
      <c r="D282" t="inlineStr">
        <is>
          <t>DALARNAS LÄN</t>
        </is>
      </c>
      <c r="E282" t="inlineStr">
        <is>
          <t>LEKSAND</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16854-2025</t>
        </is>
      </c>
      <c r="B283" s="1" t="n">
        <v>45754.72883101852</v>
      </c>
      <c r="C283" s="1" t="n">
        <v>45878</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11128-2023</t>
        </is>
      </c>
      <c r="B284" s="1" t="n">
        <v>44992</v>
      </c>
      <c r="C284" s="1" t="n">
        <v>45878</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11218-2023</t>
        </is>
      </c>
      <c r="B285" s="1" t="n">
        <v>44992.62401620371</v>
      </c>
      <c r="C285" s="1" t="n">
        <v>45878</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60024-2023</t>
        </is>
      </c>
      <c r="B286" s="1" t="n">
        <v>45258</v>
      </c>
      <c r="C286" s="1" t="n">
        <v>45878</v>
      </c>
      <c r="D286" t="inlineStr">
        <is>
          <t>DALARNAS LÄN</t>
        </is>
      </c>
      <c r="E286" t="inlineStr">
        <is>
          <t>LEKSAND</t>
        </is>
      </c>
      <c r="G286" t="n">
        <v>4.2</v>
      </c>
      <c r="H286" t="n">
        <v>0</v>
      </c>
      <c r="I286" t="n">
        <v>0</v>
      </c>
      <c r="J286" t="n">
        <v>0</v>
      </c>
      <c r="K286" t="n">
        <v>0</v>
      </c>
      <c r="L286" t="n">
        <v>0</v>
      </c>
      <c r="M286" t="n">
        <v>0</v>
      </c>
      <c r="N286" t="n">
        <v>0</v>
      </c>
      <c r="O286" t="n">
        <v>0</v>
      </c>
      <c r="P286" t="n">
        <v>0</v>
      </c>
      <c r="Q286" t="n">
        <v>0</v>
      </c>
      <c r="R286" s="2" t="inlineStr"/>
    </row>
    <row r="287" ht="15" customHeight="1">
      <c r="A287" t="inlineStr">
        <is>
          <t>A 5847-2025</t>
        </is>
      </c>
      <c r="B287" s="1" t="n">
        <v>45695.30824074074</v>
      </c>
      <c r="C287" s="1" t="n">
        <v>45878</v>
      </c>
      <c r="D287" t="inlineStr">
        <is>
          <t>DALARNAS LÄN</t>
        </is>
      </c>
      <c r="E287" t="inlineStr">
        <is>
          <t>LEKSAND</t>
        </is>
      </c>
      <c r="G287" t="n">
        <v>2.6</v>
      </c>
      <c r="H287" t="n">
        <v>0</v>
      </c>
      <c r="I287" t="n">
        <v>0</v>
      </c>
      <c r="J287" t="n">
        <v>0</v>
      </c>
      <c r="K287" t="n">
        <v>0</v>
      </c>
      <c r="L287" t="n">
        <v>0</v>
      </c>
      <c r="M287" t="n">
        <v>0</v>
      </c>
      <c r="N287" t="n">
        <v>0</v>
      </c>
      <c r="O287" t="n">
        <v>0</v>
      </c>
      <c r="P287" t="n">
        <v>0</v>
      </c>
      <c r="Q287" t="n">
        <v>0</v>
      </c>
      <c r="R287" s="2" t="inlineStr"/>
    </row>
    <row r="288" ht="15" customHeight="1">
      <c r="A288" t="inlineStr">
        <is>
          <t>A 5873-2025</t>
        </is>
      </c>
      <c r="B288" s="1" t="n">
        <v>45695.36715277778</v>
      </c>
      <c r="C288" s="1" t="n">
        <v>45878</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11859-2024</t>
        </is>
      </c>
      <c r="B289" s="1" t="n">
        <v>45376.44569444445</v>
      </c>
      <c r="C289" s="1" t="n">
        <v>45878</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18481-2024</t>
        </is>
      </c>
      <c r="B290" s="1" t="n">
        <v>45425.52193287037</v>
      </c>
      <c r="C290" s="1" t="n">
        <v>45878</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18484-2024</t>
        </is>
      </c>
      <c r="B291" s="1" t="n">
        <v>45425.52559027778</v>
      </c>
      <c r="C291" s="1" t="n">
        <v>45878</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53193-2024</t>
        </is>
      </c>
      <c r="B292" s="1" t="n">
        <v>45610</v>
      </c>
      <c r="C292" s="1" t="n">
        <v>45878</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11080-2023</t>
        </is>
      </c>
      <c r="B293" s="1" t="n">
        <v>44992</v>
      </c>
      <c r="C293" s="1" t="n">
        <v>45878</v>
      </c>
      <c r="D293" t="inlineStr">
        <is>
          <t>DALARNAS LÄN</t>
        </is>
      </c>
      <c r="E293" t="inlineStr">
        <is>
          <t>LEKSAND</t>
        </is>
      </c>
      <c r="G293" t="n">
        <v>6.9</v>
      </c>
      <c r="H293" t="n">
        <v>0</v>
      </c>
      <c r="I293" t="n">
        <v>0</v>
      </c>
      <c r="J293" t="n">
        <v>0</v>
      </c>
      <c r="K293" t="n">
        <v>0</v>
      </c>
      <c r="L293" t="n">
        <v>0</v>
      </c>
      <c r="M293" t="n">
        <v>0</v>
      </c>
      <c r="N293" t="n">
        <v>0</v>
      </c>
      <c r="O293" t="n">
        <v>0</v>
      </c>
      <c r="P293" t="n">
        <v>0</v>
      </c>
      <c r="Q293" t="n">
        <v>0</v>
      </c>
      <c r="R293" s="2" t="inlineStr"/>
    </row>
    <row r="294" ht="15" customHeight="1">
      <c r="A294" t="inlineStr">
        <is>
          <t>A 5582-2024</t>
        </is>
      </c>
      <c r="B294" s="1" t="n">
        <v>45334</v>
      </c>
      <c r="C294" s="1" t="n">
        <v>45878</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5584-2024</t>
        </is>
      </c>
      <c r="B295" s="1" t="n">
        <v>45334</v>
      </c>
      <c r="C295" s="1" t="n">
        <v>45878</v>
      </c>
      <c r="D295" t="inlineStr">
        <is>
          <t>DALARNAS LÄN</t>
        </is>
      </c>
      <c r="E295" t="inlineStr">
        <is>
          <t>LEKSAND</t>
        </is>
      </c>
      <c r="F295" t="inlineStr">
        <is>
          <t>Kyrkan</t>
        </is>
      </c>
      <c r="G295" t="n">
        <v>0.4</v>
      </c>
      <c r="H295" t="n">
        <v>0</v>
      </c>
      <c r="I295" t="n">
        <v>0</v>
      </c>
      <c r="J295" t="n">
        <v>0</v>
      </c>
      <c r="K295" t="n">
        <v>0</v>
      </c>
      <c r="L295" t="n">
        <v>0</v>
      </c>
      <c r="M295" t="n">
        <v>0</v>
      </c>
      <c r="N295" t="n">
        <v>0</v>
      </c>
      <c r="O295" t="n">
        <v>0</v>
      </c>
      <c r="P295" t="n">
        <v>0</v>
      </c>
      <c r="Q295" t="n">
        <v>0</v>
      </c>
      <c r="R295" s="2" t="inlineStr"/>
    </row>
    <row r="296" ht="15" customHeight="1">
      <c r="A296" t="inlineStr">
        <is>
          <t>A 62133-2023</t>
        </is>
      </c>
      <c r="B296" s="1" t="n">
        <v>45267.35582175926</v>
      </c>
      <c r="C296" s="1" t="n">
        <v>45878</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14908-2024</t>
        </is>
      </c>
      <c r="B297" s="1" t="n">
        <v>45398.59402777778</v>
      </c>
      <c r="C297" s="1" t="n">
        <v>45878</v>
      </c>
      <c r="D297" t="inlineStr">
        <is>
          <t>DALARNAS LÄN</t>
        </is>
      </c>
      <c r="E297" t="inlineStr">
        <is>
          <t>LEKSAND</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58495-2023</t>
        </is>
      </c>
      <c r="B298" s="1" t="n">
        <v>45251</v>
      </c>
      <c r="C298" s="1" t="n">
        <v>45878</v>
      </c>
      <c r="D298" t="inlineStr">
        <is>
          <t>DALARNAS LÄN</t>
        </is>
      </c>
      <c r="E298" t="inlineStr">
        <is>
          <t>LEKSAND</t>
        </is>
      </c>
      <c r="G298" t="n">
        <v>1.7</v>
      </c>
      <c r="H298" t="n">
        <v>0</v>
      </c>
      <c r="I298" t="n">
        <v>0</v>
      </c>
      <c r="J298" t="n">
        <v>0</v>
      </c>
      <c r="K298" t="n">
        <v>0</v>
      </c>
      <c r="L298" t="n">
        <v>0</v>
      </c>
      <c r="M298" t="n">
        <v>0</v>
      </c>
      <c r="N298" t="n">
        <v>0</v>
      </c>
      <c r="O298" t="n">
        <v>0</v>
      </c>
      <c r="P298" t="n">
        <v>0</v>
      </c>
      <c r="Q298" t="n">
        <v>0</v>
      </c>
      <c r="R298" s="2" t="inlineStr"/>
    </row>
    <row r="299" ht="15" customHeight="1">
      <c r="A299" t="inlineStr">
        <is>
          <t>A 26957-2023</t>
        </is>
      </c>
      <c r="B299" s="1" t="n">
        <v>45093</v>
      </c>
      <c r="C299" s="1" t="n">
        <v>45878</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26959-2023</t>
        </is>
      </c>
      <c r="B300" s="1" t="n">
        <v>45093.67210648148</v>
      </c>
      <c r="C300" s="1" t="n">
        <v>45878</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6039-2023</t>
        </is>
      </c>
      <c r="B301" s="1" t="n">
        <v>44959</v>
      </c>
      <c r="C301" s="1" t="n">
        <v>45878</v>
      </c>
      <c r="D301" t="inlineStr">
        <is>
          <t>DALARNAS LÄN</t>
        </is>
      </c>
      <c r="E301" t="inlineStr">
        <is>
          <t>LEKSAND</t>
        </is>
      </c>
      <c r="G301" t="n">
        <v>1.3</v>
      </c>
      <c r="H301" t="n">
        <v>0</v>
      </c>
      <c r="I301" t="n">
        <v>0</v>
      </c>
      <c r="J301" t="n">
        <v>0</v>
      </c>
      <c r="K301" t="n">
        <v>0</v>
      </c>
      <c r="L301" t="n">
        <v>0</v>
      </c>
      <c r="M301" t="n">
        <v>0</v>
      </c>
      <c r="N301" t="n">
        <v>0</v>
      </c>
      <c r="O301" t="n">
        <v>0</v>
      </c>
      <c r="P301" t="n">
        <v>0</v>
      </c>
      <c r="Q301" t="n">
        <v>0</v>
      </c>
      <c r="R301" s="2" t="inlineStr"/>
    </row>
    <row r="302" ht="15" customHeight="1">
      <c r="A302" t="inlineStr">
        <is>
          <t>A 22517-2024</t>
        </is>
      </c>
      <c r="B302" s="1" t="n">
        <v>45447.40143518519</v>
      </c>
      <c r="C302" s="1" t="n">
        <v>45878</v>
      </c>
      <c r="D302" t="inlineStr">
        <is>
          <t>DALARNAS LÄN</t>
        </is>
      </c>
      <c r="E302" t="inlineStr">
        <is>
          <t>LEKSAND</t>
        </is>
      </c>
      <c r="G302" t="n">
        <v>0.4</v>
      </c>
      <c r="H302" t="n">
        <v>0</v>
      </c>
      <c r="I302" t="n">
        <v>0</v>
      </c>
      <c r="J302" t="n">
        <v>0</v>
      </c>
      <c r="K302" t="n">
        <v>0</v>
      </c>
      <c r="L302" t="n">
        <v>0</v>
      </c>
      <c r="M302" t="n">
        <v>0</v>
      </c>
      <c r="N302" t="n">
        <v>0</v>
      </c>
      <c r="O302" t="n">
        <v>0</v>
      </c>
      <c r="P302" t="n">
        <v>0</v>
      </c>
      <c r="Q302" t="n">
        <v>0</v>
      </c>
      <c r="R302" s="2" t="inlineStr"/>
    </row>
    <row r="303" ht="15" customHeight="1">
      <c r="A303" t="inlineStr">
        <is>
          <t>A 52801-2023</t>
        </is>
      </c>
      <c r="B303" s="1" t="n">
        <v>45219</v>
      </c>
      <c r="C303" s="1" t="n">
        <v>45878</v>
      </c>
      <c r="D303" t="inlineStr">
        <is>
          <t>DALARNAS LÄN</t>
        </is>
      </c>
      <c r="E303" t="inlineStr">
        <is>
          <t>LEKSAND</t>
        </is>
      </c>
      <c r="G303" t="n">
        <v>4.9</v>
      </c>
      <c r="H303" t="n">
        <v>0</v>
      </c>
      <c r="I303" t="n">
        <v>0</v>
      </c>
      <c r="J303" t="n">
        <v>0</v>
      </c>
      <c r="K303" t="n">
        <v>0</v>
      </c>
      <c r="L303" t="n">
        <v>0</v>
      </c>
      <c r="M303" t="n">
        <v>0</v>
      </c>
      <c r="N303" t="n">
        <v>0</v>
      </c>
      <c r="O303" t="n">
        <v>0</v>
      </c>
      <c r="P303" t="n">
        <v>0</v>
      </c>
      <c r="Q303" t="n">
        <v>0</v>
      </c>
      <c r="R303" s="2" t="inlineStr"/>
    </row>
    <row r="304" ht="15" customHeight="1">
      <c r="A304" t="inlineStr">
        <is>
          <t>A 45768-2023</t>
        </is>
      </c>
      <c r="B304" s="1" t="n">
        <v>45195</v>
      </c>
      <c r="C304" s="1" t="n">
        <v>45878</v>
      </c>
      <c r="D304" t="inlineStr">
        <is>
          <t>DALARNAS LÄN</t>
        </is>
      </c>
      <c r="E304" t="inlineStr">
        <is>
          <t>LEKSAND</t>
        </is>
      </c>
      <c r="G304" t="n">
        <v>0.4</v>
      </c>
      <c r="H304" t="n">
        <v>0</v>
      </c>
      <c r="I304" t="n">
        <v>0</v>
      </c>
      <c r="J304" t="n">
        <v>0</v>
      </c>
      <c r="K304" t="n">
        <v>0</v>
      </c>
      <c r="L304" t="n">
        <v>0</v>
      </c>
      <c r="M304" t="n">
        <v>0</v>
      </c>
      <c r="N304" t="n">
        <v>0</v>
      </c>
      <c r="O304" t="n">
        <v>0</v>
      </c>
      <c r="P304" t="n">
        <v>0</v>
      </c>
      <c r="Q304" t="n">
        <v>0</v>
      </c>
      <c r="R304" s="2" t="inlineStr"/>
    </row>
    <row r="305" ht="15" customHeight="1">
      <c r="A305" t="inlineStr">
        <is>
          <t>A 16829-2025</t>
        </is>
      </c>
      <c r="B305" s="1" t="n">
        <v>45754</v>
      </c>
      <c r="C305" s="1" t="n">
        <v>45878</v>
      </c>
      <c r="D305" t="inlineStr">
        <is>
          <t>DALARNAS LÄN</t>
        </is>
      </c>
      <c r="E305" t="inlineStr">
        <is>
          <t>LEKSAND</t>
        </is>
      </c>
      <c r="F305" t="inlineStr">
        <is>
          <t>Bergvik skog väst AB</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40752-2024</t>
        </is>
      </c>
      <c r="B306" s="1" t="n">
        <v>45558.45638888889</v>
      </c>
      <c r="C306" s="1" t="n">
        <v>45878</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19371-2024</t>
        </is>
      </c>
      <c r="B307" s="1" t="n">
        <v>45429.34969907408</v>
      </c>
      <c r="C307" s="1" t="n">
        <v>45878</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41306-2024</t>
        </is>
      </c>
      <c r="B308" s="1" t="n">
        <v>45559.62550925926</v>
      </c>
      <c r="C308" s="1" t="n">
        <v>45878</v>
      </c>
      <c r="D308" t="inlineStr">
        <is>
          <t>DALARNAS LÄN</t>
        </is>
      </c>
      <c r="E308" t="inlineStr">
        <is>
          <t>LEKSAND</t>
        </is>
      </c>
      <c r="G308" t="n">
        <v>0.5</v>
      </c>
      <c r="H308" t="n">
        <v>0</v>
      </c>
      <c r="I308" t="n">
        <v>0</v>
      </c>
      <c r="J308" t="n">
        <v>0</v>
      </c>
      <c r="K308" t="n">
        <v>0</v>
      </c>
      <c r="L308" t="n">
        <v>0</v>
      </c>
      <c r="M308" t="n">
        <v>0</v>
      </c>
      <c r="N308" t="n">
        <v>0</v>
      </c>
      <c r="O308" t="n">
        <v>0</v>
      </c>
      <c r="P308" t="n">
        <v>0</v>
      </c>
      <c r="Q308" t="n">
        <v>0</v>
      </c>
      <c r="R308" s="2" t="inlineStr"/>
    </row>
    <row r="309" ht="15" customHeight="1">
      <c r="A309" t="inlineStr">
        <is>
          <t>A 36450-2023</t>
        </is>
      </c>
      <c r="B309" s="1" t="n">
        <v>45152.64842592592</v>
      </c>
      <c r="C309" s="1" t="n">
        <v>45878</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7827-2024</t>
        </is>
      </c>
      <c r="B310" s="1" t="n">
        <v>45349.7467824074</v>
      </c>
      <c r="C310" s="1" t="n">
        <v>45878</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1458-2024</t>
        </is>
      </c>
      <c r="B311" s="1" t="n">
        <v>45303</v>
      </c>
      <c r="C311" s="1" t="n">
        <v>45878</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1461-2024</t>
        </is>
      </c>
      <c r="B312" s="1" t="n">
        <v>45303</v>
      </c>
      <c r="C312" s="1" t="n">
        <v>45878</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49405-2024</t>
        </is>
      </c>
      <c r="B313" s="1" t="n">
        <v>45595</v>
      </c>
      <c r="C313" s="1" t="n">
        <v>45878</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3737-2023</t>
        </is>
      </c>
      <c r="B314" s="1" t="n">
        <v>44951.42983796296</v>
      </c>
      <c r="C314" s="1" t="n">
        <v>45878</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58244-2024</t>
        </is>
      </c>
      <c r="B315" s="1" t="n">
        <v>45631</v>
      </c>
      <c r="C315" s="1" t="n">
        <v>45878</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62161-2024</t>
        </is>
      </c>
      <c r="B316" s="1" t="n">
        <v>45656.86009259259</v>
      </c>
      <c r="C316" s="1" t="n">
        <v>45878</v>
      </c>
      <c r="D316" t="inlineStr">
        <is>
          <t>DALARNAS LÄN</t>
        </is>
      </c>
      <c r="E316" t="inlineStr">
        <is>
          <t>LEKSAND</t>
        </is>
      </c>
      <c r="G316" t="n">
        <v>2</v>
      </c>
      <c r="H316" t="n">
        <v>0</v>
      </c>
      <c r="I316" t="n">
        <v>0</v>
      </c>
      <c r="J316" t="n">
        <v>0</v>
      </c>
      <c r="K316" t="n">
        <v>0</v>
      </c>
      <c r="L316" t="n">
        <v>0</v>
      </c>
      <c r="M316" t="n">
        <v>0</v>
      </c>
      <c r="N316" t="n">
        <v>0</v>
      </c>
      <c r="O316" t="n">
        <v>0</v>
      </c>
      <c r="P316" t="n">
        <v>0</v>
      </c>
      <c r="Q316" t="n">
        <v>0</v>
      </c>
      <c r="R316" s="2" t="inlineStr"/>
    </row>
    <row r="317" ht="15" customHeight="1">
      <c r="A317" t="inlineStr">
        <is>
          <t>A 20683-2025</t>
        </is>
      </c>
      <c r="B317" s="1" t="n">
        <v>45776</v>
      </c>
      <c r="C317" s="1" t="n">
        <v>45878</v>
      </c>
      <c r="D317" t="inlineStr">
        <is>
          <t>DALARNAS LÄN</t>
        </is>
      </c>
      <c r="E317" t="inlineStr">
        <is>
          <t>LEKSAND</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11606-2025</t>
        </is>
      </c>
      <c r="B318" s="1" t="n">
        <v>45727</v>
      </c>
      <c r="C318" s="1" t="n">
        <v>45878</v>
      </c>
      <c r="D318" t="inlineStr">
        <is>
          <t>DALARNAS LÄN</t>
        </is>
      </c>
      <c r="E318" t="inlineStr">
        <is>
          <t>LEKSAND</t>
        </is>
      </c>
      <c r="G318" t="n">
        <v>2.3</v>
      </c>
      <c r="H318" t="n">
        <v>0</v>
      </c>
      <c r="I318" t="n">
        <v>0</v>
      </c>
      <c r="J318" t="n">
        <v>0</v>
      </c>
      <c r="K318" t="n">
        <v>0</v>
      </c>
      <c r="L318" t="n">
        <v>0</v>
      </c>
      <c r="M318" t="n">
        <v>0</v>
      </c>
      <c r="N318" t="n">
        <v>0</v>
      </c>
      <c r="O318" t="n">
        <v>0</v>
      </c>
      <c r="P318" t="n">
        <v>0</v>
      </c>
      <c r="Q318" t="n">
        <v>0</v>
      </c>
      <c r="R318" s="2" t="inlineStr"/>
    </row>
    <row r="319" ht="15" customHeight="1">
      <c r="A319" t="inlineStr">
        <is>
          <t>A 21954-2023</t>
        </is>
      </c>
      <c r="B319" s="1" t="n">
        <v>45068</v>
      </c>
      <c r="C319" s="1" t="n">
        <v>45878</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11678-2023</t>
        </is>
      </c>
      <c r="B320" s="1" t="n">
        <v>44994</v>
      </c>
      <c r="C320" s="1" t="n">
        <v>45878</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8743-2023</t>
        </is>
      </c>
      <c r="B321" s="1" t="n">
        <v>44978</v>
      </c>
      <c r="C321" s="1" t="n">
        <v>45878</v>
      </c>
      <c r="D321" t="inlineStr">
        <is>
          <t>DALARNAS LÄN</t>
        </is>
      </c>
      <c r="E321" t="inlineStr">
        <is>
          <t>LEKSAND</t>
        </is>
      </c>
      <c r="G321" t="n">
        <v>3</v>
      </c>
      <c r="H321" t="n">
        <v>0</v>
      </c>
      <c r="I321" t="n">
        <v>0</v>
      </c>
      <c r="J321" t="n">
        <v>0</v>
      </c>
      <c r="K321" t="n">
        <v>0</v>
      </c>
      <c r="L321" t="n">
        <v>0</v>
      </c>
      <c r="M321" t="n">
        <v>0</v>
      </c>
      <c r="N321" t="n">
        <v>0</v>
      </c>
      <c r="O321" t="n">
        <v>0</v>
      </c>
      <c r="P321" t="n">
        <v>0</v>
      </c>
      <c r="Q321" t="n">
        <v>0</v>
      </c>
      <c r="R321" s="2" t="inlineStr"/>
    </row>
    <row r="322" ht="15" customHeight="1">
      <c r="A322" t="inlineStr">
        <is>
          <t>A 20937-2025</t>
        </is>
      </c>
      <c r="B322" s="1" t="n">
        <v>45777.42769675926</v>
      </c>
      <c r="C322" s="1" t="n">
        <v>45878</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21457-2025</t>
        </is>
      </c>
      <c r="B323" s="1" t="n">
        <v>45782.55451388889</v>
      </c>
      <c r="C323" s="1" t="n">
        <v>45878</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63544-2023</t>
        </is>
      </c>
      <c r="B324" s="1" t="n">
        <v>45275</v>
      </c>
      <c r="C324" s="1" t="n">
        <v>45878</v>
      </c>
      <c r="D324" t="inlineStr">
        <is>
          <t>DALARNAS LÄN</t>
        </is>
      </c>
      <c r="E324" t="inlineStr">
        <is>
          <t>LEKSAND</t>
        </is>
      </c>
      <c r="G324" t="n">
        <v>0.3</v>
      </c>
      <c r="H324" t="n">
        <v>0</v>
      </c>
      <c r="I324" t="n">
        <v>0</v>
      </c>
      <c r="J324" t="n">
        <v>0</v>
      </c>
      <c r="K324" t="n">
        <v>0</v>
      </c>
      <c r="L324" t="n">
        <v>0</v>
      </c>
      <c r="M324" t="n">
        <v>0</v>
      </c>
      <c r="N324" t="n">
        <v>0</v>
      </c>
      <c r="O324" t="n">
        <v>0</v>
      </c>
      <c r="P324" t="n">
        <v>0</v>
      </c>
      <c r="Q324" t="n">
        <v>0</v>
      </c>
      <c r="R324" s="2" t="inlineStr"/>
    </row>
    <row r="325" ht="15" customHeight="1">
      <c r="A325" t="inlineStr">
        <is>
          <t>A 21230-2025</t>
        </is>
      </c>
      <c r="B325" s="1" t="n">
        <v>45779.54589120371</v>
      </c>
      <c r="C325" s="1" t="n">
        <v>45878</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21366-2025</t>
        </is>
      </c>
      <c r="B326" s="1" t="n">
        <v>45782.44667824074</v>
      </c>
      <c r="C326" s="1" t="n">
        <v>45878</v>
      </c>
      <c r="D326" t="inlineStr">
        <is>
          <t>DALARNAS LÄN</t>
        </is>
      </c>
      <c r="E326" t="inlineStr">
        <is>
          <t>LEKSAND</t>
        </is>
      </c>
      <c r="G326" t="n">
        <v>4.1</v>
      </c>
      <c r="H326" t="n">
        <v>0</v>
      </c>
      <c r="I326" t="n">
        <v>0</v>
      </c>
      <c r="J326" t="n">
        <v>0</v>
      </c>
      <c r="K326" t="n">
        <v>0</v>
      </c>
      <c r="L326" t="n">
        <v>0</v>
      </c>
      <c r="M326" t="n">
        <v>0</v>
      </c>
      <c r="N326" t="n">
        <v>0</v>
      </c>
      <c r="O326" t="n">
        <v>0</v>
      </c>
      <c r="P326" t="n">
        <v>0</v>
      </c>
      <c r="Q326" t="n">
        <v>0</v>
      </c>
      <c r="R326" s="2" t="inlineStr"/>
    </row>
    <row r="327" ht="15" customHeight="1">
      <c r="A327" t="inlineStr">
        <is>
          <t>A 21193-2025</t>
        </is>
      </c>
      <c r="B327" s="1" t="n">
        <v>45779.46675925926</v>
      </c>
      <c r="C327" s="1" t="n">
        <v>45878</v>
      </c>
      <c r="D327" t="inlineStr">
        <is>
          <t>DALARNAS LÄN</t>
        </is>
      </c>
      <c r="E327" t="inlineStr">
        <is>
          <t>LEKSAND</t>
        </is>
      </c>
      <c r="G327" t="n">
        <v>3.7</v>
      </c>
      <c r="H327" t="n">
        <v>0</v>
      </c>
      <c r="I327" t="n">
        <v>0</v>
      </c>
      <c r="J327" t="n">
        <v>0</v>
      </c>
      <c r="K327" t="n">
        <v>0</v>
      </c>
      <c r="L327" t="n">
        <v>0</v>
      </c>
      <c r="M327" t="n">
        <v>0</v>
      </c>
      <c r="N327" t="n">
        <v>0</v>
      </c>
      <c r="O327" t="n">
        <v>0</v>
      </c>
      <c r="P327" t="n">
        <v>0</v>
      </c>
      <c r="Q327" t="n">
        <v>0</v>
      </c>
      <c r="R327" s="2" t="inlineStr"/>
    </row>
    <row r="328" ht="15" customHeight="1">
      <c r="A328" t="inlineStr">
        <is>
          <t>A 13288-2023</t>
        </is>
      </c>
      <c r="B328" s="1" t="n">
        <v>45004.8160300926</v>
      </c>
      <c r="C328" s="1" t="n">
        <v>45878</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11869-2024</t>
        </is>
      </c>
      <c r="B329" s="1" t="n">
        <v>45376.45800925926</v>
      </c>
      <c r="C329" s="1" t="n">
        <v>45878</v>
      </c>
      <c r="D329" t="inlineStr">
        <is>
          <t>DALARNAS LÄN</t>
        </is>
      </c>
      <c r="E329" t="inlineStr">
        <is>
          <t>LEKSAND</t>
        </is>
      </c>
      <c r="G329" t="n">
        <v>0.5</v>
      </c>
      <c r="H329" t="n">
        <v>0</v>
      </c>
      <c r="I329" t="n">
        <v>0</v>
      </c>
      <c r="J329" t="n">
        <v>0</v>
      </c>
      <c r="K329" t="n">
        <v>0</v>
      </c>
      <c r="L329" t="n">
        <v>0</v>
      </c>
      <c r="M329" t="n">
        <v>0</v>
      </c>
      <c r="N329" t="n">
        <v>0</v>
      </c>
      <c r="O329" t="n">
        <v>0</v>
      </c>
      <c r="P329" t="n">
        <v>0</v>
      </c>
      <c r="Q329" t="n">
        <v>0</v>
      </c>
      <c r="R329" s="2" t="inlineStr"/>
    </row>
    <row r="330" ht="15" customHeight="1">
      <c r="A330" t="inlineStr">
        <is>
          <t>A 27520-2023</t>
        </is>
      </c>
      <c r="B330" s="1" t="n">
        <v>45097</v>
      </c>
      <c r="C330" s="1" t="n">
        <v>45878</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30169-2023</t>
        </is>
      </c>
      <c r="B331" s="1" t="n">
        <v>45110</v>
      </c>
      <c r="C331" s="1" t="n">
        <v>45878</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37952-2024</t>
        </is>
      </c>
      <c r="B332" s="1" t="n">
        <v>45544.5200462963</v>
      </c>
      <c r="C332" s="1" t="n">
        <v>45878</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21881-2025</t>
        </is>
      </c>
      <c r="B333" s="1" t="n">
        <v>45784</v>
      </c>
      <c r="C333" s="1" t="n">
        <v>45878</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11872-2024</t>
        </is>
      </c>
      <c r="B334" s="1" t="n">
        <v>45376.46833333333</v>
      </c>
      <c r="C334" s="1" t="n">
        <v>45878</v>
      </c>
      <c r="D334" t="inlineStr">
        <is>
          <t>DALARNAS LÄN</t>
        </is>
      </c>
      <c r="E334" t="inlineStr">
        <is>
          <t>LEKSAND</t>
        </is>
      </c>
      <c r="G334" t="n">
        <v>3.1</v>
      </c>
      <c r="H334" t="n">
        <v>0</v>
      </c>
      <c r="I334" t="n">
        <v>0</v>
      </c>
      <c r="J334" t="n">
        <v>0</v>
      </c>
      <c r="K334" t="n">
        <v>0</v>
      </c>
      <c r="L334" t="n">
        <v>0</v>
      </c>
      <c r="M334" t="n">
        <v>0</v>
      </c>
      <c r="N334" t="n">
        <v>0</v>
      </c>
      <c r="O334" t="n">
        <v>0</v>
      </c>
      <c r="P334" t="n">
        <v>0</v>
      </c>
      <c r="Q334" t="n">
        <v>0</v>
      </c>
      <c r="R334" s="2" t="inlineStr"/>
    </row>
    <row r="335" ht="15" customHeight="1">
      <c r="A335" t="inlineStr">
        <is>
          <t>A 21600-2025</t>
        </is>
      </c>
      <c r="B335" s="1" t="n">
        <v>45783.3521875</v>
      </c>
      <c r="C335" s="1" t="n">
        <v>45878</v>
      </c>
      <c r="D335" t="inlineStr">
        <is>
          <t>DALARNAS LÄN</t>
        </is>
      </c>
      <c r="E335" t="inlineStr">
        <is>
          <t>LEKSAND</t>
        </is>
      </c>
      <c r="G335" t="n">
        <v>7.7</v>
      </c>
      <c r="H335" t="n">
        <v>0</v>
      </c>
      <c r="I335" t="n">
        <v>0</v>
      </c>
      <c r="J335" t="n">
        <v>0</v>
      </c>
      <c r="K335" t="n">
        <v>0</v>
      </c>
      <c r="L335" t="n">
        <v>0</v>
      </c>
      <c r="M335" t="n">
        <v>0</v>
      </c>
      <c r="N335" t="n">
        <v>0</v>
      </c>
      <c r="O335" t="n">
        <v>0</v>
      </c>
      <c r="P335" t="n">
        <v>0</v>
      </c>
      <c r="Q335" t="n">
        <v>0</v>
      </c>
      <c r="R335" s="2" t="inlineStr"/>
    </row>
    <row r="336" ht="15" customHeight="1">
      <c r="A336" t="inlineStr">
        <is>
          <t>A 3352-2024</t>
        </is>
      </c>
      <c r="B336" s="1" t="n">
        <v>45317</v>
      </c>
      <c r="C336" s="1" t="n">
        <v>45878</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40627-2023</t>
        </is>
      </c>
      <c r="B337" s="1" t="n">
        <v>45170</v>
      </c>
      <c r="C337" s="1" t="n">
        <v>45878</v>
      </c>
      <c r="D337" t="inlineStr">
        <is>
          <t>DALARNAS LÄN</t>
        </is>
      </c>
      <c r="E337" t="inlineStr">
        <is>
          <t>LEKSAND</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21916-2025</t>
        </is>
      </c>
      <c r="B338" s="1" t="n">
        <v>45784.50115740741</v>
      </c>
      <c r="C338" s="1" t="n">
        <v>45878</v>
      </c>
      <c r="D338" t="inlineStr">
        <is>
          <t>DALARNAS LÄN</t>
        </is>
      </c>
      <c r="E338" t="inlineStr">
        <is>
          <t>LEKSAND</t>
        </is>
      </c>
      <c r="G338" t="n">
        <v>2.6</v>
      </c>
      <c r="H338" t="n">
        <v>0</v>
      </c>
      <c r="I338" t="n">
        <v>0</v>
      </c>
      <c r="J338" t="n">
        <v>0</v>
      </c>
      <c r="K338" t="n">
        <v>0</v>
      </c>
      <c r="L338" t="n">
        <v>0</v>
      </c>
      <c r="M338" t="n">
        <v>0</v>
      </c>
      <c r="N338" t="n">
        <v>0</v>
      </c>
      <c r="O338" t="n">
        <v>0</v>
      </c>
      <c r="P338" t="n">
        <v>0</v>
      </c>
      <c r="Q338" t="n">
        <v>0</v>
      </c>
      <c r="R338" s="2" t="inlineStr"/>
    </row>
    <row r="339" ht="15" customHeight="1">
      <c r="A339" t="inlineStr">
        <is>
          <t>A 14967-2023</t>
        </is>
      </c>
      <c r="B339" s="1" t="n">
        <v>45015</v>
      </c>
      <c r="C339" s="1" t="n">
        <v>45878</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31391-2024</t>
        </is>
      </c>
      <c r="B340" s="1" t="n">
        <v>45505.46616898148</v>
      </c>
      <c r="C340" s="1" t="n">
        <v>45878</v>
      </c>
      <c r="D340" t="inlineStr">
        <is>
          <t>DALARNAS LÄN</t>
        </is>
      </c>
      <c r="E340" t="inlineStr">
        <is>
          <t>LEKSAND</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45991-2020</t>
        </is>
      </c>
      <c r="B341" s="1" t="n">
        <v>44088</v>
      </c>
      <c r="C341" s="1" t="n">
        <v>45878</v>
      </c>
      <c r="D341" t="inlineStr">
        <is>
          <t>DALARNAS LÄN</t>
        </is>
      </c>
      <c r="E341" t="inlineStr">
        <is>
          <t>LEKSAND</t>
        </is>
      </c>
      <c r="G341" t="n">
        <v>9.9</v>
      </c>
      <c r="H341" t="n">
        <v>0</v>
      </c>
      <c r="I341" t="n">
        <v>0</v>
      </c>
      <c r="J341" t="n">
        <v>0</v>
      </c>
      <c r="K341" t="n">
        <v>0</v>
      </c>
      <c r="L341" t="n">
        <v>0</v>
      </c>
      <c r="M341" t="n">
        <v>0</v>
      </c>
      <c r="N341" t="n">
        <v>0</v>
      </c>
      <c r="O341" t="n">
        <v>0</v>
      </c>
      <c r="P341" t="n">
        <v>0</v>
      </c>
      <c r="Q341" t="n">
        <v>0</v>
      </c>
      <c r="R341" s="2" t="inlineStr"/>
    </row>
    <row r="342" ht="15" customHeight="1">
      <c r="A342" t="inlineStr">
        <is>
          <t>A 62307-2023</t>
        </is>
      </c>
      <c r="B342" s="1" t="n">
        <v>45266</v>
      </c>
      <c r="C342" s="1" t="n">
        <v>45878</v>
      </c>
      <c r="D342" t="inlineStr">
        <is>
          <t>DALARNAS LÄN</t>
        </is>
      </c>
      <c r="E342" t="inlineStr">
        <is>
          <t>LEKSAND</t>
        </is>
      </c>
      <c r="G342" t="n">
        <v>3.9</v>
      </c>
      <c r="H342" t="n">
        <v>0</v>
      </c>
      <c r="I342" t="n">
        <v>0</v>
      </c>
      <c r="J342" t="n">
        <v>0</v>
      </c>
      <c r="K342" t="n">
        <v>0</v>
      </c>
      <c r="L342" t="n">
        <v>0</v>
      </c>
      <c r="M342" t="n">
        <v>0</v>
      </c>
      <c r="N342" t="n">
        <v>0</v>
      </c>
      <c r="O342" t="n">
        <v>0</v>
      </c>
      <c r="P342" t="n">
        <v>0</v>
      </c>
      <c r="Q342" t="n">
        <v>0</v>
      </c>
      <c r="R342" s="2" t="inlineStr"/>
    </row>
    <row r="343" ht="15" customHeight="1">
      <c r="A343" t="inlineStr">
        <is>
          <t>A 28032-2024</t>
        </is>
      </c>
      <c r="B343" s="1" t="n">
        <v>45476.49346064815</v>
      </c>
      <c r="C343" s="1" t="n">
        <v>45878</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19550-2023</t>
        </is>
      </c>
      <c r="B344" s="1" t="n">
        <v>45049</v>
      </c>
      <c r="C344" s="1" t="n">
        <v>45878</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33593-2024</t>
        </is>
      </c>
      <c r="B345" s="1" t="n">
        <v>45520.36055555556</v>
      </c>
      <c r="C345" s="1" t="n">
        <v>45878</v>
      </c>
      <c r="D345" t="inlineStr">
        <is>
          <t>DALARNAS LÄN</t>
        </is>
      </c>
      <c r="E345" t="inlineStr">
        <is>
          <t>LEKSAND</t>
        </is>
      </c>
      <c r="G345" t="n">
        <v>0.3</v>
      </c>
      <c r="H345" t="n">
        <v>0</v>
      </c>
      <c r="I345" t="n">
        <v>0</v>
      </c>
      <c r="J345" t="n">
        <v>0</v>
      </c>
      <c r="K345" t="n">
        <v>0</v>
      </c>
      <c r="L345" t="n">
        <v>0</v>
      </c>
      <c r="M345" t="n">
        <v>0</v>
      </c>
      <c r="N345" t="n">
        <v>0</v>
      </c>
      <c r="O345" t="n">
        <v>0</v>
      </c>
      <c r="P345" t="n">
        <v>0</v>
      </c>
      <c r="Q345" t="n">
        <v>0</v>
      </c>
      <c r="R345" s="2" t="inlineStr"/>
    </row>
    <row r="346" ht="15" customHeight="1">
      <c r="A346" t="inlineStr">
        <is>
          <t>A 61554-2024</t>
        </is>
      </c>
      <c r="B346" s="1" t="n">
        <v>45646.60748842593</v>
      </c>
      <c r="C346" s="1" t="n">
        <v>45878</v>
      </c>
      <c r="D346" t="inlineStr">
        <is>
          <t>DALARNAS LÄN</t>
        </is>
      </c>
      <c r="E346" t="inlineStr">
        <is>
          <t>LEKSAND</t>
        </is>
      </c>
      <c r="G346" t="n">
        <v>2.6</v>
      </c>
      <c r="H346" t="n">
        <v>0</v>
      </c>
      <c r="I346" t="n">
        <v>0</v>
      </c>
      <c r="J346" t="n">
        <v>0</v>
      </c>
      <c r="K346" t="n">
        <v>0</v>
      </c>
      <c r="L346" t="n">
        <v>0</v>
      </c>
      <c r="M346" t="n">
        <v>0</v>
      </c>
      <c r="N346" t="n">
        <v>0</v>
      </c>
      <c r="O346" t="n">
        <v>0</v>
      </c>
      <c r="P346" t="n">
        <v>0</v>
      </c>
      <c r="Q346" t="n">
        <v>0</v>
      </c>
      <c r="R346" s="2" t="inlineStr"/>
    </row>
    <row r="347" ht="15" customHeight="1">
      <c r="A347" t="inlineStr">
        <is>
          <t>A 47203-2023</t>
        </is>
      </c>
      <c r="B347" s="1" t="n">
        <v>45202</v>
      </c>
      <c r="C347" s="1" t="n">
        <v>45878</v>
      </c>
      <c r="D347" t="inlineStr">
        <is>
          <t>DALARNAS LÄN</t>
        </is>
      </c>
      <c r="E347" t="inlineStr">
        <is>
          <t>LEKSAND</t>
        </is>
      </c>
      <c r="G347" t="n">
        <v>2.1</v>
      </c>
      <c r="H347" t="n">
        <v>0</v>
      </c>
      <c r="I347" t="n">
        <v>0</v>
      </c>
      <c r="J347" t="n">
        <v>0</v>
      </c>
      <c r="K347" t="n">
        <v>0</v>
      </c>
      <c r="L347" t="n">
        <v>0</v>
      </c>
      <c r="M347" t="n">
        <v>0</v>
      </c>
      <c r="N347" t="n">
        <v>0</v>
      </c>
      <c r="O347" t="n">
        <v>0</v>
      </c>
      <c r="P347" t="n">
        <v>0</v>
      </c>
      <c r="Q347" t="n">
        <v>0</v>
      </c>
      <c r="R347" s="2" t="inlineStr"/>
    </row>
    <row r="348" ht="15" customHeight="1">
      <c r="A348" t="inlineStr">
        <is>
          <t>A 9105-2024</t>
        </is>
      </c>
      <c r="B348" s="1" t="n">
        <v>45357</v>
      </c>
      <c r="C348" s="1" t="n">
        <v>45878</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50447-2023</t>
        </is>
      </c>
      <c r="B349" s="1" t="n">
        <v>45216.72185185185</v>
      </c>
      <c r="C349" s="1" t="n">
        <v>45878</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60945-2024</t>
        </is>
      </c>
      <c r="B350" s="1" t="n">
        <v>45645.37893518519</v>
      </c>
      <c r="C350" s="1" t="n">
        <v>45878</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45878</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28913-2024</t>
        </is>
      </c>
      <c r="B352" s="1" t="n">
        <v>45480.75318287037</v>
      </c>
      <c r="C352" s="1" t="n">
        <v>45878</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36534-2024</t>
        </is>
      </c>
      <c r="B353" s="1" t="n">
        <v>45537.45143518518</v>
      </c>
      <c r="C353" s="1" t="n">
        <v>45878</v>
      </c>
      <c r="D353" t="inlineStr">
        <is>
          <t>DALARNAS LÄN</t>
        </is>
      </c>
      <c r="E353" t="inlineStr">
        <is>
          <t>LEKSAND</t>
        </is>
      </c>
      <c r="G353" t="n">
        <v>4</v>
      </c>
      <c r="H353" t="n">
        <v>0</v>
      </c>
      <c r="I353" t="n">
        <v>0</v>
      </c>
      <c r="J353" t="n">
        <v>0</v>
      </c>
      <c r="K353" t="n">
        <v>0</v>
      </c>
      <c r="L353" t="n">
        <v>0</v>
      </c>
      <c r="M353" t="n">
        <v>0</v>
      </c>
      <c r="N353" t="n">
        <v>0</v>
      </c>
      <c r="O353" t="n">
        <v>0</v>
      </c>
      <c r="P353" t="n">
        <v>0</v>
      </c>
      <c r="Q353" t="n">
        <v>0</v>
      </c>
      <c r="R353" s="2" t="inlineStr"/>
    </row>
    <row r="354" ht="15" customHeight="1">
      <c r="A354" t="inlineStr">
        <is>
          <t>A 11004-2023</t>
        </is>
      </c>
      <c r="B354" s="1" t="n">
        <v>44986</v>
      </c>
      <c r="C354" s="1" t="n">
        <v>45878</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22361-2025</t>
        </is>
      </c>
      <c r="B355" s="1" t="n">
        <v>45786.46650462963</v>
      </c>
      <c r="C355" s="1" t="n">
        <v>45878</v>
      </c>
      <c r="D355" t="inlineStr">
        <is>
          <t>DALARNAS LÄN</t>
        </is>
      </c>
      <c r="E355" t="inlineStr">
        <is>
          <t>LEKSAND</t>
        </is>
      </c>
      <c r="G355" t="n">
        <v>3.5</v>
      </c>
      <c r="H355" t="n">
        <v>0</v>
      </c>
      <c r="I355" t="n">
        <v>0</v>
      </c>
      <c r="J355" t="n">
        <v>0</v>
      </c>
      <c r="K355" t="n">
        <v>0</v>
      </c>
      <c r="L355" t="n">
        <v>0</v>
      </c>
      <c r="M355" t="n">
        <v>0</v>
      </c>
      <c r="N355" t="n">
        <v>0</v>
      </c>
      <c r="O355" t="n">
        <v>0</v>
      </c>
      <c r="P355" t="n">
        <v>0</v>
      </c>
      <c r="Q355" t="n">
        <v>0</v>
      </c>
      <c r="R355" s="2" t="inlineStr"/>
    </row>
    <row r="356" ht="15" customHeight="1">
      <c r="A356" t="inlineStr">
        <is>
          <t>A 27244-2023</t>
        </is>
      </c>
      <c r="B356" s="1" t="n">
        <v>45096</v>
      </c>
      <c r="C356" s="1" t="n">
        <v>45878</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39921-2024</t>
        </is>
      </c>
      <c r="B357" s="1" t="n">
        <v>45553</v>
      </c>
      <c r="C357" s="1" t="n">
        <v>45878</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41015-2024</t>
        </is>
      </c>
      <c r="B358" s="1" t="n">
        <v>45559.32537037037</v>
      </c>
      <c r="C358" s="1" t="n">
        <v>45878</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6050-2023</t>
        </is>
      </c>
      <c r="B359" s="1" t="n">
        <v>44959</v>
      </c>
      <c r="C359" s="1" t="n">
        <v>45878</v>
      </c>
      <c r="D359" t="inlineStr">
        <is>
          <t>DALARNAS LÄN</t>
        </is>
      </c>
      <c r="E359" t="inlineStr">
        <is>
          <t>LEKSAND</t>
        </is>
      </c>
      <c r="G359" t="n">
        <v>6.2</v>
      </c>
      <c r="H359" t="n">
        <v>0</v>
      </c>
      <c r="I359" t="n">
        <v>0</v>
      </c>
      <c r="J359" t="n">
        <v>0</v>
      </c>
      <c r="K359" t="n">
        <v>0</v>
      </c>
      <c r="L359" t="n">
        <v>0</v>
      </c>
      <c r="M359" t="n">
        <v>0</v>
      </c>
      <c r="N359" t="n">
        <v>0</v>
      </c>
      <c r="O359" t="n">
        <v>0</v>
      </c>
      <c r="P359" t="n">
        <v>0</v>
      </c>
      <c r="Q359" t="n">
        <v>0</v>
      </c>
      <c r="R359" s="2" t="inlineStr"/>
    </row>
    <row r="360" ht="15" customHeight="1">
      <c r="A360" t="inlineStr">
        <is>
          <t>A 27791-2023</t>
        </is>
      </c>
      <c r="B360" s="1" t="n">
        <v>45098</v>
      </c>
      <c r="C360" s="1" t="n">
        <v>45878</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18107-2025</t>
        </is>
      </c>
      <c r="B361" s="1" t="n">
        <v>45761.55939814815</v>
      </c>
      <c r="C361" s="1" t="n">
        <v>45878</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14504-2025</t>
        </is>
      </c>
      <c r="B362" s="1" t="n">
        <v>45741</v>
      </c>
      <c r="C362" s="1" t="n">
        <v>45878</v>
      </c>
      <c r="D362" t="inlineStr">
        <is>
          <t>DALARNAS LÄN</t>
        </is>
      </c>
      <c r="E362" t="inlineStr">
        <is>
          <t>LEKSAND</t>
        </is>
      </c>
      <c r="G362" t="n">
        <v>1.3</v>
      </c>
      <c r="H362" t="n">
        <v>0</v>
      </c>
      <c r="I362" t="n">
        <v>0</v>
      </c>
      <c r="J362" t="n">
        <v>0</v>
      </c>
      <c r="K362" t="n">
        <v>0</v>
      </c>
      <c r="L362" t="n">
        <v>0</v>
      </c>
      <c r="M362" t="n">
        <v>0</v>
      </c>
      <c r="N362" t="n">
        <v>0</v>
      </c>
      <c r="O362" t="n">
        <v>0</v>
      </c>
      <c r="P362" t="n">
        <v>0</v>
      </c>
      <c r="Q362" t="n">
        <v>0</v>
      </c>
      <c r="R362" s="2" t="inlineStr"/>
    </row>
    <row r="363" ht="15" customHeight="1">
      <c r="A363" t="inlineStr">
        <is>
          <t>A 34244-2024</t>
        </is>
      </c>
      <c r="B363" s="1" t="n">
        <v>45524.58349537037</v>
      </c>
      <c r="C363" s="1" t="n">
        <v>45878</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40007-2024</t>
        </is>
      </c>
      <c r="B364" s="1" t="n">
        <v>45553.6516550926</v>
      </c>
      <c r="C364" s="1" t="n">
        <v>45878</v>
      </c>
      <c r="D364" t="inlineStr">
        <is>
          <t>DALARNAS LÄN</t>
        </is>
      </c>
      <c r="E364" t="inlineStr">
        <is>
          <t>LEKSAND</t>
        </is>
      </c>
      <c r="F364" t="inlineStr">
        <is>
          <t>Bergvik skog väst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2311-2021</t>
        </is>
      </c>
      <c r="B365" s="1" t="n">
        <v>44213</v>
      </c>
      <c r="C365" s="1" t="n">
        <v>45878</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32072-2024</t>
        </is>
      </c>
      <c r="B366" s="1" t="n">
        <v>45510.98405092592</v>
      </c>
      <c r="C366" s="1" t="n">
        <v>45878</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7861-2024</t>
        </is>
      </c>
      <c r="B367" s="1" t="n">
        <v>45350.30831018519</v>
      </c>
      <c r="C367" s="1" t="n">
        <v>45878</v>
      </c>
      <c r="D367" t="inlineStr">
        <is>
          <t>DALARNAS LÄN</t>
        </is>
      </c>
      <c r="E367" t="inlineStr">
        <is>
          <t>LEKSAND</t>
        </is>
      </c>
      <c r="G367" t="n">
        <v>1.8</v>
      </c>
      <c r="H367" t="n">
        <v>0</v>
      </c>
      <c r="I367" t="n">
        <v>0</v>
      </c>
      <c r="J367" t="n">
        <v>0</v>
      </c>
      <c r="K367" t="n">
        <v>0</v>
      </c>
      <c r="L367" t="n">
        <v>0</v>
      </c>
      <c r="M367" t="n">
        <v>0</v>
      </c>
      <c r="N367" t="n">
        <v>0</v>
      </c>
      <c r="O367" t="n">
        <v>0</v>
      </c>
      <c r="P367" t="n">
        <v>0</v>
      </c>
      <c r="Q367" t="n">
        <v>0</v>
      </c>
      <c r="R367" s="2" t="inlineStr"/>
    </row>
    <row r="368" ht="15" customHeight="1">
      <c r="A368" t="inlineStr">
        <is>
          <t>A 16051-2023</t>
        </is>
      </c>
      <c r="B368" s="1" t="n">
        <v>45027</v>
      </c>
      <c r="C368" s="1" t="n">
        <v>45878</v>
      </c>
      <c r="D368" t="inlineStr">
        <is>
          <t>DALARNAS LÄN</t>
        </is>
      </c>
      <c r="E368" t="inlineStr">
        <is>
          <t>LEKSAND</t>
        </is>
      </c>
      <c r="G368" t="n">
        <v>0.7</v>
      </c>
      <c r="H368" t="n">
        <v>0</v>
      </c>
      <c r="I368" t="n">
        <v>0</v>
      </c>
      <c r="J368" t="n">
        <v>0</v>
      </c>
      <c r="K368" t="n">
        <v>0</v>
      </c>
      <c r="L368" t="n">
        <v>0</v>
      </c>
      <c r="M368" t="n">
        <v>0</v>
      </c>
      <c r="N368" t="n">
        <v>0</v>
      </c>
      <c r="O368" t="n">
        <v>0</v>
      </c>
      <c r="P368" t="n">
        <v>0</v>
      </c>
      <c r="Q368" t="n">
        <v>0</v>
      </c>
      <c r="R368" s="2" t="inlineStr"/>
    </row>
    <row r="369" ht="15" customHeight="1">
      <c r="A369" t="inlineStr">
        <is>
          <t>A 56059-2024</t>
        </is>
      </c>
      <c r="B369" s="1" t="n">
        <v>45624.36729166667</v>
      </c>
      <c r="C369" s="1" t="n">
        <v>45878</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22080-2025</t>
        </is>
      </c>
      <c r="B370" s="1" t="n">
        <v>45785</v>
      </c>
      <c r="C370" s="1" t="n">
        <v>45878</v>
      </c>
      <c r="D370" t="inlineStr">
        <is>
          <t>DALARNAS LÄN</t>
        </is>
      </c>
      <c r="E370" t="inlineStr">
        <is>
          <t>LEKSAND</t>
        </is>
      </c>
      <c r="G370" t="n">
        <v>7</v>
      </c>
      <c r="H370" t="n">
        <v>0</v>
      </c>
      <c r="I370" t="n">
        <v>0</v>
      </c>
      <c r="J370" t="n">
        <v>0</v>
      </c>
      <c r="K370" t="n">
        <v>0</v>
      </c>
      <c r="L370" t="n">
        <v>0</v>
      </c>
      <c r="M370" t="n">
        <v>0</v>
      </c>
      <c r="N370" t="n">
        <v>0</v>
      </c>
      <c r="O370" t="n">
        <v>0</v>
      </c>
      <c r="P370" t="n">
        <v>0</v>
      </c>
      <c r="Q370" t="n">
        <v>0</v>
      </c>
      <c r="R370" s="2" t="inlineStr"/>
    </row>
    <row r="371" ht="15" customHeight="1">
      <c r="A371" t="inlineStr">
        <is>
          <t>A 13165-2023</t>
        </is>
      </c>
      <c r="B371" s="1" t="n">
        <v>45002.57731481481</v>
      </c>
      <c r="C371" s="1" t="n">
        <v>45878</v>
      </c>
      <c r="D371" t="inlineStr">
        <is>
          <t>DALARNAS LÄN</t>
        </is>
      </c>
      <c r="E371" t="inlineStr">
        <is>
          <t>LEKSAND</t>
        </is>
      </c>
      <c r="G371" t="n">
        <v>2.4</v>
      </c>
      <c r="H371" t="n">
        <v>0</v>
      </c>
      <c r="I371" t="n">
        <v>0</v>
      </c>
      <c r="J371" t="n">
        <v>0</v>
      </c>
      <c r="K371" t="n">
        <v>0</v>
      </c>
      <c r="L371" t="n">
        <v>0</v>
      </c>
      <c r="M371" t="n">
        <v>0</v>
      </c>
      <c r="N371" t="n">
        <v>0</v>
      </c>
      <c r="O371" t="n">
        <v>0</v>
      </c>
      <c r="P371" t="n">
        <v>0</v>
      </c>
      <c r="Q371" t="n">
        <v>0</v>
      </c>
      <c r="R371" s="2" t="inlineStr"/>
    </row>
    <row r="372" ht="15" customHeight="1">
      <c r="A372" t="inlineStr">
        <is>
          <t>A 7467-2023</t>
        </is>
      </c>
      <c r="B372" s="1" t="n">
        <v>44966</v>
      </c>
      <c r="C372" s="1" t="n">
        <v>45878</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45788-2021</t>
        </is>
      </c>
      <c r="B373" s="1" t="n">
        <v>44441</v>
      </c>
      <c r="C373" s="1" t="n">
        <v>45878</v>
      </c>
      <c r="D373" t="inlineStr">
        <is>
          <t>DALARNAS LÄN</t>
        </is>
      </c>
      <c r="E373" t="inlineStr">
        <is>
          <t>LEKSAND</t>
        </is>
      </c>
      <c r="G373" t="n">
        <v>3</v>
      </c>
      <c r="H373" t="n">
        <v>0</v>
      </c>
      <c r="I373" t="n">
        <v>0</v>
      </c>
      <c r="J373" t="n">
        <v>0</v>
      </c>
      <c r="K373" t="n">
        <v>0</v>
      </c>
      <c r="L373" t="n">
        <v>0</v>
      </c>
      <c r="M373" t="n">
        <v>0</v>
      </c>
      <c r="N373" t="n">
        <v>0</v>
      </c>
      <c r="O373" t="n">
        <v>0</v>
      </c>
      <c r="P373" t="n">
        <v>0</v>
      </c>
      <c r="Q373" t="n">
        <v>0</v>
      </c>
      <c r="R373" s="2" t="inlineStr"/>
    </row>
    <row r="374" ht="15" customHeight="1">
      <c r="A374" t="inlineStr">
        <is>
          <t>A 2579-2022</t>
        </is>
      </c>
      <c r="B374" s="1" t="n">
        <v>44580</v>
      </c>
      <c r="C374" s="1" t="n">
        <v>45878</v>
      </c>
      <c r="D374" t="inlineStr">
        <is>
          <t>DALARNAS LÄN</t>
        </is>
      </c>
      <c r="E374" t="inlineStr">
        <is>
          <t>LEKSAND</t>
        </is>
      </c>
      <c r="G374" t="n">
        <v>0.3</v>
      </c>
      <c r="H374" t="n">
        <v>0</v>
      </c>
      <c r="I374" t="n">
        <v>0</v>
      </c>
      <c r="J374" t="n">
        <v>0</v>
      </c>
      <c r="K374" t="n">
        <v>0</v>
      </c>
      <c r="L374" t="n">
        <v>0</v>
      </c>
      <c r="M374" t="n">
        <v>0</v>
      </c>
      <c r="N374" t="n">
        <v>0</v>
      </c>
      <c r="O374" t="n">
        <v>0</v>
      </c>
      <c r="P374" t="n">
        <v>0</v>
      </c>
      <c r="Q374" t="n">
        <v>0</v>
      </c>
      <c r="R374" s="2" t="inlineStr"/>
    </row>
    <row r="375" ht="15" customHeight="1">
      <c r="A375" t="inlineStr">
        <is>
          <t>A 49395-2024</t>
        </is>
      </c>
      <c r="B375" s="1" t="n">
        <v>45595</v>
      </c>
      <c r="C375" s="1" t="n">
        <v>45878</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28592-2023</t>
        </is>
      </c>
      <c r="B376" s="1" t="n">
        <v>45103</v>
      </c>
      <c r="C376" s="1" t="n">
        <v>45878</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22947-2025</t>
        </is>
      </c>
      <c r="B377" s="1" t="n">
        <v>45790.48791666667</v>
      </c>
      <c r="C377" s="1" t="n">
        <v>45878</v>
      </c>
      <c r="D377" t="inlineStr">
        <is>
          <t>DALARNAS LÄN</t>
        </is>
      </c>
      <c r="E377" t="inlineStr">
        <is>
          <t>LEKSAND</t>
        </is>
      </c>
      <c r="G377" t="n">
        <v>4.6</v>
      </c>
      <c r="H377" t="n">
        <v>0</v>
      </c>
      <c r="I377" t="n">
        <v>0</v>
      </c>
      <c r="J377" t="n">
        <v>0</v>
      </c>
      <c r="K377" t="n">
        <v>0</v>
      </c>
      <c r="L377" t="n">
        <v>0</v>
      </c>
      <c r="M377" t="n">
        <v>0</v>
      </c>
      <c r="N377" t="n">
        <v>0</v>
      </c>
      <c r="O377" t="n">
        <v>0</v>
      </c>
      <c r="P377" t="n">
        <v>0</v>
      </c>
      <c r="Q377" t="n">
        <v>0</v>
      </c>
      <c r="R377" s="2" t="inlineStr"/>
    </row>
    <row r="378" ht="15" customHeight="1">
      <c r="A378" t="inlineStr">
        <is>
          <t>A 164-2023</t>
        </is>
      </c>
      <c r="B378" s="1" t="n">
        <v>44918</v>
      </c>
      <c r="C378" s="1" t="n">
        <v>45878</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22536-2025</t>
        </is>
      </c>
      <c r="B379" s="1" t="n">
        <v>45787.33037037037</v>
      </c>
      <c r="C379" s="1" t="n">
        <v>45878</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60042-2023</t>
        </is>
      </c>
      <c r="B380" s="1" t="n">
        <v>45256</v>
      </c>
      <c r="C380" s="1" t="n">
        <v>45878</v>
      </c>
      <c r="D380" t="inlineStr">
        <is>
          <t>DALARNAS LÄN</t>
        </is>
      </c>
      <c r="E380" t="inlineStr">
        <is>
          <t>LEKSAND</t>
        </is>
      </c>
      <c r="G380" t="n">
        <v>2</v>
      </c>
      <c r="H380" t="n">
        <v>0</v>
      </c>
      <c r="I380" t="n">
        <v>0</v>
      </c>
      <c r="J380" t="n">
        <v>0</v>
      </c>
      <c r="K380" t="n">
        <v>0</v>
      </c>
      <c r="L380" t="n">
        <v>0</v>
      </c>
      <c r="M380" t="n">
        <v>0</v>
      </c>
      <c r="N380" t="n">
        <v>0</v>
      </c>
      <c r="O380" t="n">
        <v>0</v>
      </c>
      <c r="P380" t="n">
        <v>0</v>
      </c>
      <c r="Q380" t="n">
        <v>0</v>
      </c>
      <c r="R380" s="2" t="inlineStr"/>
    </row>
    <row r="381" ht="15" customHeight="1">
      <c r="A381" t="inlineStr">
        <is>
          <t>A 2630-2025</t>
        </is>
      </c>
      <c r="B381" s="1" t="n">
        <v>45675.85865740741</v>
      </c>
      <c r="C381" s="1" t="n">
        <v>45878</v>
      </c>
      <c r="D381" t="inlineStr">
        <is>
          <t>DALARNAS LÄN</t>
        </is>
      </c>
      <c r="E381" t="inlineStr">
        <is>
          <t>LEKSAND</t>
        </is>
      </c>
      <c r="G381" t="n">
        <v>1.6</v>
      </c>
      <c r="H381" t="n">
        <v>0</v>
      </c>
      <c r="I381" t="n">
        <v>0</v>
      </c>
      <c r="J381" t="n">
        <v>0</v>
      </c>
      <c r="K381" t="n">
        <v>0</v>
      </c>
      <c r="L381" t="n">
        <v>0</v>
      </c>
      <c r="M381" t="n">
        <v>0</v>
      </c>
      <c r="N381" t="n">
        <v>0</v>
      </c>
      <c r="O381" t="n">
        <v>0</v>
      </c>
      <c r="P381" t="n">
        <v>0</v>
      </c>
      <c r="Q381" t="n">
        <v>0</v>
      </c>
      <c r="R381" s="2" t="inlineStr"/>
    </row>
    <row r="382" ht="15" customHeight="1">
      <c r="A382" t="inlineStr">
        <is>
          <t>A 33317-2023</t>
        </is>
      </c>
      <c r="B382" s="1" t="n">
        <v>45127.84586805556</v>
      </c>
      <c r="C382" s="1" t="n">
        <v>45878</v>
      </c>
      <c r="D382" t="inlineStr">
        <is>
          <t>DALARNAS LÄN</t>
        </is>
      </c>
      <c r="E382" t="inlineStr">
        <is>
          <t>LEKSAND</t>
        </is>
      </c>
      <c r="G382" t="n">
        <v>2.7</v>
      </c>
      <c r="H382" t="n">
        <v>0</v>
      </c>
      <c r="I382" t="n">
        <v>0</v>
      </c>
      <c r="J382" t="n">
        <v>0</v>
      </c>
      <c r="K382" t="n">
        <v>0</v>
      </c>
      <c r="L382" t="n">
        <v>0</v>
      </c>
      <c r="M382" t="n">
        <v>0</v>
      </c>
      <c r="N382" t="n">
        <v>0</v>
      </c>
      <c r="O382" t="n">
        <v>0</v>
      </c>
      <c r="P382" t="n">
        <v>0</v>
      </c>
      <c r="Q382" t="n">
        <v>0</v>
      </c>
      <c r="R382" s="2" t="inlineStr"/>
    </row>
    <row r="383" ht="15" customHeight="1">
      <c r="A383" t="inlineStr">
        <is>
          <t>A 33318-2023</t>
        </is>
      </c>
      <c r="B383" s="1" t="n">
        <v>45127</v>
      </c>
      <c r="C383" s="1" t="n">
        <v>45878</v>
      </c>
      <c r="D383" t="inlineStr">
        <is>
          <t>DALARNAS LÄN</t>
        </is>
      </c>
      <c r="E383" t="inlineStr">
        <is>
          <t>LEKSAND</t>
        </is>
      </c>
      <c r="G383" t="n">
        <v>5.5</v>
      </c>
      <c r="H383" t="n">
        <v>0</v>
      </c>
      <c r="I383" t="n">
        <v>0</v>
      </c>
      <c r="J383" t="n">
        <v>0</v>
      </c>
      <c r="K383" t="n">
        <v>0</v>
      </c>
      <c r="L383" t="n">
        <v>0</v>
      </c>
      <c r="M383" t="n">
        <v>0</v>
      </c>
      <c r="N383" t="n">
        <v>0</v>
      </c>
      <c r="O383" t="n">
        <v>0</v>
      </c>
      <c r="P383" t="n">
        <v>0</v>
      </c>
      <c r="Q383" t="n">
        <v>0</v>
      </c>
      <c r="R383" s="2" t="inlineStr"/>
    </row>
    <row r="384" ht="15" customHeight="1">
      <c r="A384" t="inlineStr">
        <is>
          <t>A 22876-2025</t>
        </is>
      </c>
      <c r="B384" s="1" t="n">
        <v>45790.3728587963</v>
      </c>
      <c r="C384" s="1" t="n">
        <v>45878</v>
      </c>
      <c r="D384" t="inlineStr">
        <is>
          <t>DALARNAS LÄN</t>
        </is>
      </c>
      <c r="E384" t="inlineStr">
        <is>
          <t>LEKSAND</t>
        </is>
      </c>
      <c r="G384" t="n">
        <v>5.9</v>
      </c>
      <c r="H384" t="n">
        <v>0</v>
      </c>
      <c r="I384" t="n">
        <v>0</v>
      </c>
      <c r="J384" t="n">
        <v>0</v>
      </c>
      <c r="K384" t="n">
        <v>0</v>
      </c>
      <c r="L384" t="n">
        <v>0</v>
      </c>
      <c r="M384" t="n">
        <v>0</v>
      </c>
      <c r="N384" t="n">
        <v>0</v>
      </c>
      <c r="O384" t="n">
        <v>0</v>
      </c>
      <c r="P384" t="n">
        <v>0</v>
      </c>
      <c r="Q384" t="n">
        <v>0</v>
      </c>
      <c r="R384" s="2" t="inlineStr"/>
    </row>
    <row r="385" ht="15" customHeight="1">
      <c r="A385" t="inlineStr">
        <is>
          <t>A 13063-2023</t>
        </is>
      </c>
      <c r="B385" s="1" t="n">
        <v>45001</v>
      </c>
      <c r="C385" s="1" t="n">
        <v>45878</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23517-2025</t>
        </is>
      </c>
      <c r="B386" s="1" t="n">
        <v>45792</v>
      </c>
      <c r="C386" s="1" t="n">
        <v>45878</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42727-2024</t>
        </is>
      </c>
      <c r="B387" s="1" t="n">
        <v>45566</v>
      </c>
      <c r="C387" s="1" t="n">
        <v>45878</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36444-2023</t>
        </is>
      </c>
      <c r="B388" s="1" t="n">
        <v>45152.63138888889</v>
      </c>
      <c r="C388" s="1" t="n">
        <v>45878</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40407-2024</t>
        </is>
      </c>
      <c r="B389" s="1" t="n">
        <v>45555</v>
      </c>
      <c r="C389" s="1" t="n">
        <v>45878</v>
      </c>
      <c r="D389" t="inlineStr">
        <is>
          <t>DALARNAS LÄN</t>
        </is>
      </c>
      <c r="E389" t="inlineStr">
        <is>
          <t>LEKSAND</t>
        </is>
      </c>
      <c r="G389" t="n">
        <v>1.4</v>
      </c>
      <c r="H389" t="n">
        <v>0</v>
      </c>
      <c r="I389" t="n">
        <v>0</v>
      </c>
      <c r="J389" t="n">
        <v>0</v>
      </c>
      <c r="K389" t="n">
        <v>0</v>
      </c>
      <c r="L389" t="n">
        <v>0</v>
      </c>
      <c r="M389" t="n">
        <v>0</v>
      </c>
      <c r="N389" t="n">
        <v>0</v>
      </c>
      <c r="O389" t="n">
        <v>0</v>
      </c>
      <c r="P389" t="n">
        <v>0</v>
      </c>
      <c r="Q389" t="n">
        <v>0</v>
      </c>
      <c r="R389" s="2" t="inlineStr"/>
    </row>
    <row r="390" ht="15" customHeight="1">
      <c r="A390" t="inlineStr">
        <is>
          <t>A 23058-2025</t>
        </is>
      </c>
      <c r="B390" s="1" t="n">
        <v>45790.78076388889</v>
      </c>
      <c r="C390" s="1" t="n">
        <v>45878</v>
      </c>
      <c r="D390" t="inlineStr">
        <is>
          <t>DALARNAS LÄN</t>
        </is>
      </c>
      <c r="E390" t="inlineStr">
        <is>
          <t>LEKSAND</t>
        </is>
      </c>
      <c r="G390" t="n">
        <v>6.7</v>
      </c>
      <c r="H390" t="n">
        <v>0</v>
      </c>
      <c r="I390" t="n">
        <v>0</v>
      </c>
      <c r="J390" t="n">
        <v>0</v>
      </c>
      <c r="K390" t="n">
        <v>0</v>
      </c>
      <c r="L390" t="n">
        <v>0</v>
      </c>
      <c r="M390" t="n">
        <v>0</v>
      </c>
      <c r="N390" t="n">
        <v>0</v>
      </c>
      <c r="O390" t="n">
        <v>0</v>
      </c>
      <c r="P390" t="n">
        <v>0</v>
      </c>
      <c r="Q390" t="n">
        <v>0</v>
      </c>
      <c r="R390" s="2" t="inlineStr"/>
    </row>
    <row r="391" ht="15" customHeight="1">
      <c r="A391" t="inlineStr">
        <is>
          <t>A 23076-2025</t>
        </is>
      </c>
      <c r="B391" s="1" t="n">
        <v>45790.90960648148</v>
      </c>
      <c r="C391" s="1" t="n">
        <v>45878</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57468-2023</t>
        </is>
      </c>
      <c r="B392" s="1" t="n">
        <v>45246</v>
      </c>
      <c r="C392" s="1" t="n">
        <v>45878</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44822-2024</t>
        </is>
      </c>
      <c r="B393" s="1" t="n">
        <v>45574.6646412037</v>
      </c>
      <c r="C393" s="1" t="n">
        <v>45878</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49499-2024</t>
        </is>
      </c>
      <c r="B394" s="1" t="n">
        <v>45596</v>
      </c>
      <c r="C394" s="1" t="n">
        <v>45878</v>
      </c>
      <c r="D394" t="inlineStr">
        <is>
          <t>DALARNAS LÄN</t>
        </is>
      </c>
      <c r="E394" t="inlineStr">
        <is>
          <t>LEKSAND</t>
        </is>
      </c>
      <c r="G394" t="n">
        <v>1</v>
      </c>
      <c r="H394" t="n">
        <v>0</v>
      </c>
      <c r="I394" t="n">
        <v>0</v>
      </c>
      <c r="J394" t="n">
        <v>0</v>
      </c>
      <c r="K394" t="n">
        <v>0</v>
      </c>
      <c r="L394" t="n">
        <v>0</v>
      </c>
      <c r="M394" t="n">
        <v>0</v>
      </c>
      <c r="N394" t="n">
        <v>0</v>
      </c>
      <c r="O394" t="n">
        <v>0</v>
      </c>
      <c r="P394" t="n">
        <v>0</v>
      </c>
      <c r="Q394" t="n">
        <v>0</v>
      </c>
      <c r="R394" s="2" t="inlineStr"/>
    </row>
    <row r="395" ht="15" customHeight="1">
      <c r="A395" t="inlineStr">
        <is>
          <t>A 40009-2024</t>
        </is>
      </c>
      <c r="B395" s="1" t="n">
        <v>45553.65361111111</v>
      </c>
      <c r="C395" s="1" t="n">
        <v>45878</v>
      </c>
      <c r="D395" t="inlineStr">
        <is>
          <t>DALARNAS LÄN</t>
        </is>
      </c>
      <c r="E395" t="inlineStr">
        <is>
          <t>LEKSAND</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52572-2024</t>
        </is>
      </c>
      <c r="B396" s="1" t="n">
        <v>45609.66488425926</v>
      </c>
      <c r="C396" s="1" t="n">
        <v>45878</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46628-2024</t>
        </is>
      </c>
      <c r="B397" s="1" t="n">
        <v>45583.33195601852</v>
      </c>
      <c r="C397" s="1" t="n">
        <v>45878</v>
      </c>
      <c r="D397" t="inlineStr">
        <is>
          <t>DALARNAS LÄN</t>
        </is>
      </c>
      <c r="E397" t="inlineStr">
        <is>
          <t>LEKSAND</t>
        </is>
      </c>
      <c r="G397" t="n">
        <v>0.2</v>
      </c>
      <c r="H397" t="n">
        <v>0</v>
      </c>
      <c r="I397" t="n">
        <v>0</v>
      </c>
      <c r="J397" t="n">
        <v>0</v>
      </c>
      <c r="K397" t="n">
        <v>0</v>
      </c>
      <c r="L397" t="n">
        <v>0</v>
      </c>
      <c r="M397" t="n">
        <v>0</v>
      </c>
      <c r="N397" t="n">
        <v>0</v>
      </c>
      <c r="O397" t="n">
        <v>0</v>
      </c>
      <c r="P397" t="n">
        <v>0</v>
      </c>
      <c r="Q397" t="n">
        <v>0</v>
      </c>
      <c r="R397" s="2" t="inlineStr"/>
    </row>
    <row r="398" ht="15" customHeight="1">
      <c r="A398" t="inlineStr">
        <is>
          <t>A 12851-2023</t>
        </is>
      </c>
      <c r="B398" s="1" t="n">
        <v>45001.49347222222</v>
      </c>
      <c r="C398" s="1" t="n">
        <v>45878</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19295-2024</t>
        </is>
      </c>
      <c r="B399" s="1" t="n">
        <v>45428.69106481481</v>
      </c>
      <c r="C399" s="1" t="n">
        <v>45878</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19296-2024</t>
        </is>
      </c>
      <c r="B400" s="1" t="n">
        <v>45428.69438657408</v>
      </c>
      <c r="C400" s="1" t="n">
        <v>45878</v>
      </c>
      <c r="D400" t="inlineStr">
        <is>
          <t>DALARNAS LÄN</t>
        </is>
      </c>
      <c r="E400" t="inlineStr">
        <is>
          <t>LEKSAND</t>
        </is>
      </c>
      <c r="G400" t="n">
        <v>2.4</v>
      </c>
      <c r="H400" t="n">
        <v>0</v>
      </c>
      <c r="I400" t="n">
        <v>0</v>
      </c>
      <c r="J400" t="n">
        <v>0</v>
      </c>
      <c r="K400" t="n">
        <v>0</v>
      </c>
      <c r="L400" t="n">
        <v>0</v>
      </c>
      <c r="M400" t="n">
        <v>0</v>
      </c>
      <c r="N400" t="n">
        <v>0</v>
      </c>
      <c r="O400" t="n">
        <v>0</v>
      </c>
      <c r="P400" t="n">
        <v>0</v>
      </c>
      <c r="Q400" t="n">
        <v>0</v>
      </c>
      <c r="R400" s="2" t="inlineStr"/>
    </row>
    <row r="401" ht="15" customHeight="1">
      <c r="A401" t="inlineStr">
        <is>
          <t>A 9141-2023</t>
        </is>
      </c>
      <c r="B401" s="1" t="n">
        <v>44974</v>
      </c>
      <c r="C401" s="1" t="n">
        <v>45878</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23855-2025</t>
        </is>
      </c>
      <c r="B402" s="1" t="n">
        <v>45793.65900462963</v>
      </c>
      <c r="C402" s="1" t="n">
        <v>45878</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32104-2025</t>
        </is>
      </c>
      <c r="B403" s="1" t="n">
        <v>45835</v>
      </c>
      <c r="C403" s="1" t="n">
        <v>45878</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24919-2024</t>
        </is>
      </c>
      <c r="B404" s="1" t="n">
        <v>45461.60636574074</v>
      </c>
      <c r="C404" s="1" t="n">
        <v>45878</v>
      </c>
      <c r="D404" t="inlineStr">
        <is>
          <t>DALARNAS LÄN</t>
        </is>
      </c>
      <c r="E404" t="inlineStr">
        <is>
          <t>LEKSAND</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54844-2021</t>
        </is>
      </c>
      <c r="B405" s="1" t="n">
        <v>44474.30614583333</v>
      </c>
      <c r="C405" s="1" t="n">
        <v>45878</v>
      </c>
      <c r="D405" t="inlineStr">
        <is>
          <t>DALARNAS LÄN</t>
        </is>
      </c>
      <c r="E405" t="inlineStr">
        <is>
          <t>LEKSAND</t>
        </is>
      </c>
      <c r="G405" t="n">
        <v>1.9</v>
      </c>
      <c r="H405" t="n">
        <v>0</v>
      </c>
      <c r="I405" t="n">
        <v>0</v>
      </c>
      <c r="J405" t="n">
        <v>0</v>
      </c>
      <c r="K405" t="n">
        <v>0</v>
      </c>
      <c r="L405" t="n">
        <v>0</v>
      </c>
      <c r="M405" t="n">
        <v>0</v>
      </c>
      <c r="N405" t="n">
        <v>0</v>
      </c>
      <c r="O405" t="n">
        <v>0</v>
      </c>
      <c r="P405" t="n">
        <v>0</v>
      </c>
      <c r="Q405" t="n">
        <v>0</v>
      </c>
      <c r="R405" s="2" t="inlineStr"/>
    </row>
    <row r="406" ht="15" customHeight="1">
      <c r="A406" t="inlineStr">
        <is>
          <t>A 9781-2024</t>
        </is>
      </c>
      <c r="B406" s="1" t="n">
        <v>45362.66299768518</v>
      </c>
      <c r="C406" s="1" t="n">
        <v>45878</v>
      </c>
      <c r="D406" t="inlineStr">
        <is>
          <t>DALARNAS LÄN</t>
        </is>
      </c>
      <c r="E406" t="inlineStr">
        <is>
          <t>LEKSAND</t>
        </is>
      </c>
      <c r="G406" t="n">
        <v>1.1</v>
      </c>
      <c r="H406" t="n">
        <v>0</v>
      </c>
      <c r="I406" t="n">
        <v>0</v>
      </c>
      <c r="J406" t="n">
        <v>0</v>
      </c>
      <c r="K406" t="n">
        <v>0</v>
      </c>
      <c r="L406" t="n">
        <v>0</v>
      </c>
      <c r="M406" t="n">
        <v>0</v>
      </c>
      <c r="N406" t="n">
        <v>0</v>
      </c>
      <c r="O406" t="n">
        <v>0</v>
      </c>
      <c r="P406" t="n">
        <v>0</v>
      </c>
      <c r="Q406" t="n">
        <v>0</v>
      </c>
      <c r="R406" s="2" t="inlineStr"/>
    </row>
    <row r="407" ht="15" customHeight="1">
      <c r="A407" t="inlineStr">
        <is>
          <t>A 8211-2023</t>
        </is>
      </c>
      <c r="B407" s="1" t="n">
        <v>44974</v>
      </c>
      <c r="C407" s="1" t="n">
        <v>45878</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31951-2025</t>
        </is>
      </c>
      <c r="B408" s="1" t="n">
        <v>45835.33481481481</v>
      </c>
      <c r="C408" s="1" t="n">
        <v>45878</v>
      </c>
      <c r="D408" t="inlineStr">
        <is>
          <t>DALARNAS LÄN</t>
        </is>
      </c>
      <c r="E408" t="inlineStr">
        <is>
          <t>LEKSAND</t>
        </is>
      </c>
      <c r="G408" t="n">
        <v>6.6</v>
      </c>
      <c r="H408" t="n">
        <v>0</v>
      </c>
      <c r="I408" t="n">
        <v>0</v>
      </c>
      <c r="J408" t="n">
        <v>0</v>
      </c>
      <c r="K408" t="n">
        <v>0</v>
      </c>
      <c r="L408" t="n">
        <v>0</v>
      </c>
      <c r="M408" t="n">
        <v>0</v>
      </c>
      <c r="N408" t="n">
        <v>0</v>
      </c>
      <c r="O408" t="n">
        <v>0</v>
      </c>
      <c r="P408" t="n">
        <v>0</v>
      </c>
      <c r="Q408" t="n">
        <v>0</v>
      </c>
      <c r="R408" s="2" t="inlineStr"/>
    </row>
    <row r="409" ht="15" customHeight="1">
      <c r="A409" t="inlineStr">
        <is>
          <t>A 63513-2023</t>
        </is>
      </c>
      <c r="B409" s="1" t="n">
        <v>45274</v>
      </c>
      <c r="C409" s="1" t="n">
        <v>45878</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7450-2023</t>
        </is>
      </c>
      <c r="B410" s="1" t="n">
        <v>44971</v>
      </c>
      <c r="C410" s="1" t="n">
        <v>45878</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40230-2023</t>
        </is>
      </c>
      <c r="B411" s="1" t="n">
        <v>45169.46887731482</v>
      </c>
      <c r="C411" s="1" t="n">
        <v>45878</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39819-2024</t>
        </is>
      </c>
      <c r="B412" s="1" t="n">
        <v>45553.38774305556</v>
      </c>
      <c r="C412" s="1" t="n">
        <v>45878</v>
      </c>
      <c r="D412" t="inlineStr">
        <is>
          <t>DALARNAS LÄN</t>
        </is>
      </c>
      <c r="E412" t="inlineStr">
        <is>
          <t>LEKSAND</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32661-2025</t>
        </is>
      </c>
      <c r="B413" s="1" t="n">
        <v>45838.67953703704</v>
      </c>
      <c r="C413" s="1" t="n">
        <v>45878</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32301-2025</t>
        </is>
      </c>
      <c r="B414" s="1" t="n">
        <v>45835</v>
      </c>
      <c r="C414" s="1" t="n">
        <v>45878</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46665-2023</t>
        </is>
      </c>
      <c r="B415" s="1" t="n">
        <v>45198.47399305556</v>
      </c>
      <c r="C415" s="1" t="n">
        <v>45878</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52100-2024</t>
        </is>
      </c>
      <c r="B416" s="1" t="n">
        <v>45608.41634259259</v>
      </c>
      <c r="C416" s="1" t="n">
        <v>45878</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4257-2022</t>
        </is>
      </c>
      <c r="B417" s="1" t="n">
        <v>44588</v>
      </c>
      <c r="C417" s="1" t="n">
        <v>45878</v>
      </c>
      <c r="D417" t="inlineStr">
        <is>
          <t>DALARNAS LÄN</t>
        </is>
      </c>
      <c r="E417" t="inlineStr">
        <is>
          <t>LEKSAND</t>
        </is>
      </c>
      <c r="G417" t="n">
        <v>6.8</v>
      </c>
      <c r="H417" t="n">
        <v>0</v>
      </c>
      <c r="I417" t="n">
        <v>0</v>
      </c>
      <c r="J417" t="n">
        <v>0</v>
      </c>
      <c r="K417" t="n">
        <v>0</v>
      </c>
      <c r="L417" t="n">
        <v>0</v>
      </c>
      <c r="M417" t="n">
        <v>0</v>
      </c>
      <c r="N417" t="n">
        <v>0</v>
      </c>
      <c r="O417" t="n">
        <v>0</v>
      </c>
      <c r="P417" t="n">
        <v>0</v>
      </c>
      <c r="Q417" t="n">
        <v>0</v>
      </c>
      <c r="R417" s="2" t="inlineStr"/>
    </row>
    <row r="418" ht="15" customHeight="1">
      <c r="A418" t="inlineStr">
        <is>
          <t>A 31726-2024</t>
        </is>
      </c>
      <c r="B418" s="1" t="n">
        <v>45509.33908564815</v>
      </c>
      <c r="C418" s="1" t="n">
        <v>45878</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55512-2024</t>
        </is>
      </c>
      <c r="B419" s="1" t="n">
        <v>45621</v>
      </c>
      <c r="C419" s="1" t="n">
        <v>45878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14615-2024</t>
        </is>
      </c>
      <c r="B420" s="1" t="n">
        <v>45397.26047453703</v>
      </c>
      <c r="C420" s="1" t="n">
        <v>45878</v>
      </c>
      <c r="D420" t="inlineStr">
        <is>
          <t>DALARNAS LÄN</t>
        </is>
      </c>
      <c r="E420" t="inlineStr">
        <is>
          <t>LEKSAND</t>
        </is>
      </c>
      <c r="G420" t="n">
        <v>0.4</v>
      </c>
      <c r="H420" t="n">
        <v>0</v>
      </c>
      <c r="I420" t="n">
        <v>0</v>
      </c>
      <c r="J420" t="n">
        <v>0</v>
      </c>
      <c r="K420" t="n">
        <v>0</v>
      </c>
      <c r="L420" t="n">
        <v>0</v>
      </c>
      <c r="M420" t="n">
        <v>0</v>
      </c>
      <c r="N420" t="n">
        <v>0</v>
      </c>
      <c r="O420" t="n">
        <v>0</v>
      </c>
      <c r="P420" t="n">
        <v>0</v>
      </c>
      <c r="Q420" t="n">
        <v>0</v>
      </c>
      <c r="R420" s="2" t="inlineStr"/>
    </row>
    <row r="421" ht="15" customHeight="1">
      <c r="A421" t="inlineStr">
        <is>
          <t>A 25249-2024</t>
        </is>
      </c>
      <c r="B421" s="1" t="n">
        <v>45462.60643518518</v>
      </c>
      <c r="C421" s="1" t="n">
        <v>45878</v>
      </c>
      <c r="D421" t="inlineStr">
        <is>
          <t>DALARNAS LÄN</t>
        </is>
      </c>
      <c r="E421" t="inlineStr">
        <is>
          <t>LEKSAND</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23891-2025</t>
        </is>
      </c>
      <c r="B422" s="1" t="n">
        <v>45793</v>
      </c>
      <c r="C422" s="1" t="n">
        <v>45878</v>
      </c>
      <c r="D422" t="inlineStr">
        <is>
          <t>DALARNAS LÄN</t>
        </is>
      </c>
      <c r="E422" t="inlineStr">
        <is>
          <t>LEKSAND</t>
        </is>
      </c>
      <c r="F422" t="inlineStr">
        <is>
          <t>Kommuner</t>
        </is>
      </c>
      <c r="G422" t="n">
        <v>1.5</v>
      </c>
      <c r="H422" t="n">
        <v>0</v>
      </c>
      <c r="I422" t="n">
        <v>0</v>
      </c>
      <c r="J422" t="n">
        <v>0</v>
      </c>
      <c r="K422" t="n">
        <v>0</v>
      </c>
      <c r="L422" t="n">
        <v>0</v>
      </c>
      <c r="M422" t="n">
        <v>0</v>
      </c>
      <c r="N422" t="n">
        <v>0</v>
      </c>
      <c r="O422" t="n">
        <v>0</v>
      </c>
      <c r="P422" t="n">
        <v>0</v>
      </c>
      <c r="Q422" t="n">
        <v>0</v>
      </c>
      <c r="R422" s="2" t="inlineStr"/>
    </row>
    <row r="423" ht="15" customHeight="1">
      <c r="A423" t="inlineStr">
        <is>
          <t>A 52059-2024</t>
        </is>
      </c>
      <c r="B423" s="1" t="n">
        <v>45608.35609953704</v>
      </c>
      <c r="C423" s="1" t="n">
        <v>45878</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12992-2022</t>
        </is>
      </c>
      <c r="B424" s="1" t="n">
        <v>44643</v>
      </c>
      <c r="C424" s="1" t="n">
        <v>45878</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11712-2025</t>
        </is>
      </c>
      <c r="B425" s="1" t="n">
        <v>45727</v>
      </c>
      <c r="C425" s="1" t="n">
        <v>45878</v>
      </c>
      <c r="D425" t="inlineStr">
        <is>
          <t>DALARNAS LÄN</t>
        </is>
      </c>
      <c r="E425" t="inlineStr">
        <is>
          <t>LEKSAND</t>
        </is>
      </c>
      <c r="G425" t="n">
        <v>6</v>
      </c>
      <c r="H425" t="n">
        <v>0</v>
      </c>
      <c r="I425" t="n">
        <v>0</v>
      </c>
      <c r="J425" t="n">
        <v>0</v>
      </c>
      <c r="K425" t="n">
        <v>0</v>
      </c>
      <c r="L425" t="n">
        <v>0</v>
      </c>
      <c r="M425" t="n">
        <v>0</v>
      </c>
      <c r="N425" t="n">
        <v>0</v>
      </c>
      <c r="O425" t="n">
        <v>0</v>
      </c>
      <c r="P425" t="n">
        <v>0</v>
      </c>
      <c r="Q425" t="n">
        <v>0</v>
      </c>
      <c r="R425" s="2" t="inlineStr"/>
    </row>
    <row r="426" ht="15" customHeight="1">
      <c r="A426" t="inlineStr">
        <is>
          <t>A 30863-2024</t>
        </is>
      </c>
      <c r="B426" s="1" t="n">
        <v>45497.71074074074</v>
      </c>
      <c r="C426" s="1" t="n">
        <v>45878</v>
      </c>
      <c r="D426" t="inlineStr">
        <is>
          <t>DALARNAS LÄN</t>
        </is>
      </c>
      <c r="E426" t="inlineStr">
        <is>
          <t>LEKSAND</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54289-2023</t>
        </is>
      </c>
      <c r="B427" s="1" t="n">
        <v>45232.71193287037</v>
      </c>
      <c r="C427" s="1" t="n">
        <v>45878</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23852-2025</t>
        </is>
      </c>
      <c r="B428" s="1" t="n">
        <v>45793.65388888889</v>
      </c>
      <c r="C428" s="1" t="n">
        <v>45878</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24187-2025</t>
        </is>
      </c>
      <c r="B429" s="1" t="n">
        <v>45796</v>
      </c>
      <c r="C429" s="1" t="n">
        <v>45878</v>
      </c>
      <c r="D429" t="inlineStr">
        <is>
          <t>DALARNAS LÄN</t>
        </is>
      </c>
      <c r="E429" t="inlineStr">
        <is>
          <t>LEKSAND</t>
        </is>
      </c>
      <c r="G429" t="n">
        <v>2.1</v>
      </c>
      <c r="H429" t="n">
        <v>0</v>
      </c>
      <c r="I429" t="n">
        <v>0</v>
      </c>
      <c r="J429" t="n">
        <v>0</v>
      </c>
      <c r="K429" t="n">
        <v>0</v>
      </c>
      <c r="L429" t="n">
        <v>0</v>
      </c>
      <c r="M429" t="n">
        <v>0</v>
      </c>
      <c r="N429" t="n">
        <v>0</v>
      </c>
      <c r="O429" t="n">
        <v>0</v>
      </c>
      <c r="P429" t="n">
        <v>0</v>
      </c>
      <c r="Q429" t="n">
        <v>0</v>
      </c>
      <c r="R429" s="2" t="inlineStr"/>
    </row>
    <row r="430" ht="15" customHeight="1">
      <c r="A430" t="inlineStr">
        <is>
          <t>A 24188-2025</t>
        </is>
      </c>
      <c r="B430" s="1" t="n">
        <v>45796</v>
      </c>
      <c r="C430" s="1" t="n">
        <v>45878</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29157-2022</t>
        </is>
      </c>
      <c r="B431" s="1" t="n">
        <v>44750.48355324074</v>
      </c>
      <c r="C431" s="1" t="n">
        <v>45878</v>
      </c>
      <c r="D431" t="inlineStr">
        <is>
          <t>DALARNAS LÄN</t>
        </is>
      </c>
      <c r="E431" t="inlineStr">
        <is>
          <t>LEKSAND</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56211-2023</t>
        </is>
      </c>
      <c r="B432" s="1" t="n">
        <v>45240</v>
      </c>
      <c r="C432" s="1" t="n">
        <v>45878</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24003-2024</t>
        </is>
      </c>
      <c r="B433" s="1" t="n">
        <v>45456.39003472222</v>
      </c>
      <c r="C433" s="1" t="n">
        <v>45878</v>
      </c>
      <c r="D433" t="inlineStr">
        <is>
          <t>DALARNAS LÄN</t>
        </is>
      </c>
      <c r="E433" t="inlineStr">
        <is>
          <t>LEKSAND</t>
        </is>
      </c>
      <c r="F433" t="inlineStr">
        <is>
          <t>Bergvik skog väst AB</t>
        </is>
      </c>
      <c r="G433" t="n">
        <v>3.2</v>
      </c>
      <c r="H433" t="n">
        <v>0</v>
      </c>
      <c r="I433" t="n">
        <v>0</v>
      </c>
      <c r="J433" t="n">
        <v>0</v>
      </c>
      <c r="K433" t="n">
        <v>0</v>
      </c>
      <c r="L433" t="n">
        <v>0</v>
      </c>
      <c r="M433" t="n">
        <v>0</v>
      </c>
      <c r="N433" t="n">
        <v>0</v>
      </c>
      <c r="O433" t="n">
        <v>0</v>
      </c>
      <c r="P433" t="n">
        <v>0</v>
      </c>
      <c r="Q433" t="n">
        <v>0</v>
      </c>
      <c r="R433" s="2" t="inlineStr"/>
    </row>
    <row r="434" ht="15" customHeight="1">
      <c r="A434" t="inlineStr">
        <is>
          <t>A 32855-2025</t>
        </is>
      </c>
      <c r="B434" s="1" t="n">
        <v>45839.57643518518</v>
      </c>
      <c r="C434" s="1" t="n">
        <v>45878</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40642-2023</t>
        </is>
      </c>
      <c r="B435" s="1" t="n">
        <v>45169</v>
      </c>
      <c r="C435" s="1" t="n">
        <v>45878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47854-2023</t>
        </is>
      </c>
      <c r="B436" s="1" t="n">
        <v>45198</v>
      </c>
      <c r="C436" s="1" t="n">
        <v>45878</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33160-2025</t>
        </is>
      </c>
      <c r="B437" s="1" t="n">
        <v>45840</v>
      </c>
      <c r="C437" s="1" t="n">
        <v>45878</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39136-2023</t>
        </is>
      </c>
      <c r="B438" s="1" t="n">
        <v>45165</v>
      </c>
      <c r="C438" s="1" t="n">
        <v>45878</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31945-2025</t>
        </is>
      </c>
      <c r="B439" s="1" t="n">
        <v>45835</v>
      </c>
      <c r="C439" s="1" t="n">
        <v>45878</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45878</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44469-2024</t>
        </is>
      </c>
      <c r="B441" s="1" t="n">
        <v>45574</v>
      </c>
      <c r="C441" s="1" t="n">
        <v>45878</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41046-2024</t>
        </is>
      </c>
      <c r="B442" s="1" t="n">
        <v>45559.36677083333</v>
      </c>
      <c r="C442" s="1" t="n">
        <v>45878</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56016-2024</t>
        </is>
      </c>
      <c r="B443" s="1" t="n">
        <v>45623.87737268519</v>
      </c>
      <c r="C443" s="1" t="n">
        <v>45878</v>
      </c>
      <c r="D443" t="inlineStr">
        <is>
          <t>DALARNAS LÄN</t>
        </is>
      </c>
      <c r="E443" t="inlineStr">
        <is>
          <t>LEKSAND</t>
        </is>
      </c>
      <c r="G443" t="n">
        <v>6.1</v>
      </c>
      <c r="H443" t="n">
        <v>0</v>
      </c>
      <c r="I443" t="n">
        <v>0</v>
      </c>
      <c r="J443" t="n">
        <v>0</v>
      </c>
      <c r="K443" t="n">
        <v>0</v>
      </c>
      <c r="L443" t="n">
        <v>0</v>
      </c>
      <c r="M443" t="n">
        <v>0</v>
      </c>
      <c r="N443" t="n">
        <v>0</v>
      </c>
      <c r="O443" t="n">
        <v>0</v>
      </c>
      <c r="P443" t="n">
        <v>0</v>
      </c>
      <c r="Q443" t="n">
        <v>0</v>
      </c>
      <c r="R443" s="2" t="inlineStr"/>
    </row>
    <row r="444" ht="15" customHeight="1">
      <c r="A444" t="inlineStr">
        <is>
          <t>A 52293-2024</t>
        </is>
      </c>
      <c r="B444" s="1" t="n">
        <v>45608.71297453704</v>
      </c>
      <c r="C444" s="1" t="n">
        <v>45878</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46876-2023</t>
        </is>
      </c>
      <c r="B445" s="1" t="n">
        <v>45200</v>
      </c>
      <c r="C445" s="1" t="n">
        <v>45878</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24373-2025</t>
        </is>
      </c>
      <c r="B446" s="1" t="n">
        <v>45797.61113425926</v>
      </c>
      <c r="C446" s="1" t="n">
        <v>45878</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32726-2025</t>
        </is>
      </c>
      <c r="B447" s="1" t="n">
        <v>45839.3969212963</v>
      </c>
      <c r="C447" s="1" t="n">
        <v>45878</v>
      </c>
      <c r="D447" t="inlineStr">
        <is>
          <t>DALARNAS LÄN</t>
        </is>
      </c>
      <c r="E447" t="inlineStr">
        <is>
          <t>LEKSAND</t>
        </is>
      </c>
      <c r="F447" t="inlineStr">
        <is>
          <t>Bergvik skog väst AB</t>
        </is>
      </c>
      <c r="G447" t="n">
        <v>2.5</v>
      </c>
      <c r="H447" t="n">
        <v>0</v>
      </c>
      <c r="I447" t="n">
        <v>0</v>
      </c>
      <c r="J447" t="n">
        <v>0</v>
      </c>
      <c r="K447" t="n">
        <v>0</v>
      </c>
      <c r="L447" t="n">
        <v>0</v>
      </c>
      <c r="M447" t="n">
        <v>0</v>
      </c>
      <c r="N447" t="n">
        <v>0</v>
      </c>
      <c r="O447" t="n">
        <v>0</v>
      </c>
      <c r="P447" t="n">
        <v>0</v>
      </c>
      <c r="Q447" t="n">
        <v>0</v>
      </c>
      <c r="R447" s="2" t="inlineStr"/>
    </row>
    <row r="448" ht="15" customHeight="1">
      <c r="A448" t="inlineStr">
        <is>
          <t>A 9857-2025</t>
        </is>
      </c>
      <c r="B448" s="1" t="n">
        <v>45716.62609953704</v>
      </c>
      <c r="C448" s="1" t="n">
        <v>45878</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24317-2025</t>
        </is>
      </c>
      <c r="B449" s="1" t="n">
        <v>45797.53577546297</v>
      </c>
      <c r="C449" s="1" t="n">
        <v>45878</v>
      </c>
      <c r="D449" t="inlineStr">
        <is>
          <t>DALARNAS LÄN</t>
        </is>
      </c>
      <c r="E449" t="inlineStr">
        <is>
          <t>LEKSAND</t>
        </is>
      </c>
      <c r="G449" t="n">
        <v>3.4</v>
      </c>
      <c r="H449" t="n">
        <v>0</v>
      </c>
      <c r="I449" t="n">
        <v>0</v>
      </c>
      <c r="J449" t="n">
        <v>0</v>
      </c>
      <c r="K449" t="n">
        <v>0</v>
      </c>
      <c r="L449" t="n">
        <v>0</v>
      </c>
      <c r="M449" t="n">
        <v>0</v>
      </c>
      <c r="N449" t="n">
        <v>0</v>
      </c>
      <c r="O449" t="n">
        <v>0</v>
      </c>
      <c r="P449" t="n">
        <v>0</v>
      </c>
      <c r="Q449" t="n">
        <v>0</v>
      </c>
      <c r="R449" s="2" t="inlineStr"/>
    </row>
    <row r="450" ht="15" customHeight="1">
      <c r="A450" t="inlineStr">
        <is>
          <t>A 40181-2023</t>
        </is>
      </c>
      <c r="B450" s="1" t="n">
        <v>45169</v>
      </c>
      <c r="C450" s="1" t="n">
        <v>45878</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40868-2024</t>
        </is>
      </c>
      <c r="B451" s="1" t="n">
        <v>45558</v>
      </c>
      <c r="C451" s="1" t="n">
        <v>45878</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22646-2025</t>
        </is>
      </c>
      <c r="B452" s="1" t="n">
        <v>45786</v>
      </c>
      <c r="C452" s="1" t="n">
        <v>45878</v>
      </c>
      <c r="D452" t="inlineStr">
        <is>
          <t>DALARNAS LÄN</t>
        </is>
      </c>
      <c r="E452" t="inlineStr">
        <is>
          <t>LEKSAND</t>
        </is>
      </c>
      <c r="F452" t="inlineStr">
        <is>
          <t>Kommuner</t>
        </is>
      </c>
      <c r="G452" t="n">
        <v>1.6</v>
      </c>
      <c r="H452" t="n">
        <v>0</v>
      </c>
      <c r="I452" t="n">
        <v>0</v>
      </c>
      <c r="J452" t="n">
        <v>0</v>
      </c>
      <c r="K452" t="n">
        <v>0</v>
      </c>
      <c r="L452" t="n">
        <v>0</v>
      </c>
      <c r="M452" t="n">
        <v>0</v>
      </c>
      <c r="N452" t="n">
        <v>0</v>
      </c>
      <c r="O452" t="n">
        <v>0</v>
      </c>
      <c r="P452" t="n">
        <v>0</v>
      </c>
      <c r="Q452" t="n">
        <v>0</v>
      </c>
      <c r="R452" s="2" t="inlineStr"/>
    </row>
    <row r="453" ht="15" customHeight="1">
      <c r="A453" t="inlineStr">
        <is>
          <t>A 24369-2025</t>
        </is>
      </c>
      <c r="B453" s="1" t="n">
        <v>45797.60731481481</v>
      </c>
      <c r="C453" s="1" t="n">
        <v>45878</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55926-2024</t>
        </is>
      </c>
      <c r="B454" s="1" t="n">
        <v>45623.601875</v>
      </c>
      <c r="C454" s="1" t="n">
        <v>45878</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16293-2025</t>
        </is>
      </c>
      <c r="B455" s="1" t="n">
        <v>45751.33447916667</v>
      </c>
      <c r="C455" s="1" t="n">
        <v>45878</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1267-2025</t>
        </is>
      </c>
      <c r="B456" s="1" t="n">
        <v>45667</v>
      </c>
      <c r="C456" s="1" t="n">
        <v>45878</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51860-2024</t>
        </is>
      </c>
      <c r="B457" s="1" t="n">
        <v>45607.54511574074</v>
      </c>
      <c r="C457" s="1" t="n">
        <v>45878</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42230-2023</t>
        </is>
      </c>
      <c r="B458" s="1" t="n">
        <v>45180</v>
      </c>
      <c r="C458" s="1" t="n">
        <v>45878</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3183-2025</t>
        </is>
      </c>
      <c r="B459" s="1" t="n">
        <v>45679.40298611111</v>
      </c>
      <c r="C459" s="1" t="n">
        <v>45878</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12363-2023</t>
        </is>
      </c>
      <c r="B460" s="1" t="n">
        <v>44998</v>
      </c>
      <c r="C460" s="1" t="n">
        <v>45878</v>
      </c>
      <c r="D460" t="inlineStr">
        <is>
          <t>DALARNAS LÄN</t>
        </is>
      </c>
      <c r="E460" t="inlineStr">
        <is>
          <t>LEKSAND</t>
        </is>
      </c>
      <c r="G460" t="n">
        <v>10</v>
      </c>
      <c r="H460" t="n">
        <v>0</v>
      </c>
      <c r="I460" t="n">
        <v>0</v>
      </c>
      <c r="J460" t="n">
        <v>0</v>
      </c>
      <c r="K460" t="n">
        <v>0</v>
      </c>
      <c r="L460" t="n">
        <v>0</v>
      </c>
      <c r="M460" t="n">
        <v>0</v>
      </c>
      <c r="N460" t="n">
        <v>0</v>
      </c>
      <c r="O460" t="n">
        <v>0</v>
      </c>
      <c r="P460" t="n">
        <v>0</v>
      </c>
      <c r="Q460" t="n">
        <v>0</v>
      </c>
      <c r="R460" s="2" t="inlineStr"/>
    </row>
    <row r="461" ht="15" customHeight="1">
      <c r="A461" t="inlineStr">
        <is>
          <t>A 24715-2025</t>
        </is>
      </c>
      <c r="B461" s="1" t="n">
        <v>45798.97899305556</v>
      </c>
      <c r="C461" s="1" t="n">
        <v>45878</v>
      </c>
      <c r="D461" t="inlineStr">
        <is>
          <t>DALARNAS LÄN</t>
        </is>
      </c>
      <c r="E461" t="inlineStr">
        <is>
          <t>LEKSAND</t>
        </is>
      </c>
      <c r="G461" t="n">
        <v>8.4</v>
      </c>
      <c r="H461" t="n">
        <v>0</v>
      </c>
      <c r="I461" t="n">
        <v>0</v>
      </c>
      <c r="J461" t="n">
        <v>0</v>
      </c>
      <c r="K461" t="n">
        <v>0</v>
      </c>
      <c r="L461" t="n">
        <v>0</v>
      </c>
      <c r="M461" t="n">
        <v>0</v>
      </c>
      <c r="N461" t="n">
        <v>0</v>
      </c>
      <c r="O461" t="n">
        <v>0</v>
      </c>
      <c r="P461" t="n">
        <v>0</v>
      </c>
      <c r="Q461" t="n">
        <v>0</v>
      </c>
      <c r="R461" s="2" t="inlineStr"/>
    </row>
    <row r="462" ht="15" customHeight="1">
      <c r="A462" t="inlineStr">
        <is>
          <t>A 59751-2024</t>
        </is>
      </c>
      <c r="B462" s="1" t="n">
        <v>45638</v>
      </c>
      <c r="C462" s="1" t="n">
        <v>45878</v>
      </c>
      <c r="D462" t="inlineStr">
        <is>
          <t>DALARNAS LÄN</t>
        </is>
      </c>
      <c r="E462" t="inlineStr">
        <is>
          <t>LEKSAND</t>
        </is>
      </c>
      <c r="G462" t="n">
        <v>5.2</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45015.6196412037</v>
      </c>
      <c r="C463" s="1" t="n">
        <v>45878</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54917-2024</t>
        </is>
      </c>
      <c r="B464" s="1" t="n">
        <v>45618.69581018519</v>
      </c>
      <c r="C464" s="1" t="n">
        <v>45878</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19700-2025</t>
        </is>
      </c>
      <c r="B465" s="1" t="n">
        <v>45771.32445601852</v>
      </c>
      <c r="C465" s="1" t="n">
        <v>45878</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25096-2025</t>
        </is>
      </c>
      <c r="B466" s="1" t="n">
        <v>45800.33868055556</v>
      </c>
      <c r="C466" s="1" t="n">
        <v>45878</v>
      </c>
      <c r="D466" t="inlineStr">
        <is>
          <t>DALARNAS LÄN</t>
        </is>
      </c>
      <c r="E466" t="inlineStr">
        <is>
          <t>LEKSAND</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24711-2025</t>
        </is>
      </c>
      <c r="B467" s="1" t="n">
        <v>45798.87723379629</v>
      </c>
      <c r="C467" s="1" t="n">
        <v>45878</v>
      </c>
      <c r="D467" t="inlineStr">
        <is>
          <t>DALARNAS LÄN</t>
        </is>
      </c>
      <c r="E467" t="inlineStr">
        <is>
          <t>LEKSAND</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25105-2025</t>
        </is>
      </c>
      <c r="B468" s="1" t="n">
        <v>45800.34751157407</v>
      </c>
      <c r="C468" s="1" t="n">
        <v>45878</v>
      </c>
      <c r="D468" t="inlineStr">
        <is>
          <t>DALARNAS LÄN</t>
        </is>
      </c>
      <c r="E468" t="inlineStr">
        <is>
          <t>LEKSAND</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23323-2023</t>
        </is>
      </c>
      <c r="B469" s="1" t="n">
        <v>45076</v>
      </c>
      <c r="C469" s="1" t="n">
        <v>45878</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24714-2025</t>
        </is>
      </c>
      <c r="B470" s="1" t="n">
        <v>45798.96927083333</v>
      </c>
      <c r="C470" s="1" t="n">
        <v>45878</v>
      </c>
      <c r="D470" t="inlineStr">
        <is>
          <t>DALARNAS LÄN</t>
        </is>
      </c>
      <c r="E470" t="inlineStr">
        <is>
          <t>LEKSAND</t>
        </is>
      </c>
      <c r="F470" t="inlineStr">
        <is>
          <t>Bergvik skog väst AB</t>
        </is>
      </c>
      <c r="G470" t="n">
        <v>6.2</v>
      </c>
      <c r="H470" t="n">
        <v>0</v>
      </c>
      <c r="I470" t="n">
        <v>0</v>
      </c>
      <c r="J470" t="n">
        <v>0</v>
      </c>
      <c r="K470" t="n">
        <v>0</v>
      </c>
      <c r="L470" t="n">
        <v>0</v>
      </c>
      <c r="M470" t="n">
        <v>0</v>
      </c>
      <c r="N470" t="n">
        <v>0</v>
      </c>
      <c r="O470" t="n">
        <v>0</v>
      </c>
      <c r="P470" t="n">
        <v>0</v>
      </c>
      <c r="Q470" t="n">
        <v>0</v>
      </c>
      <c r="R470" s="2" t="inlineStr"/>
    </row>
    <row r="471" ht="15" customHeight="1">
      <c r="A471" t="inlineStr">
        <is>
          <t>A 10299-2024</t>
        </is>
      </c>
      <c r="B471" s="1" t="n">
        <v>45365.50425925926</v>
      </c>
      <c r="C471" s="1" t="n">
        <v>45878</v>
      </c>
      <c r="D471" t="inlineStr">
        <is>
          <t>DALARNAS LÄN</t>
        </is>
      </c>
      <c r="E471" t="inlineStr">
        <is>
          <t>LEKSAND</t>
        </is>
      </c>
      <c r="G471" t="n">
        <v>3.6</v>
      </c>
      <c r="H471" t="n">
        <v>0</v>
      </c>
      <c r="I471" t="n">
        <v>0</v>
      </c>
      <c r="J471" t="n">
        <v>0</v>
      </c>
      <c r="K471" t="n">
        <v>0</v>
      </c>
      <c r="L471" t="n">
        <v>0</v>
      </c>
      <c r="M471" t="n">
        <v>0</v>
      </c>
      <c r="N471" t="n">
        <v>0</v>
      </c>
      <c r="O471" t="n">
        <v>0</v>
      </c>
      <c r="P471" t="n">
        <v>0</v>
      </c>
      <c r="Q471" t="n">
        <v>0</v>
      </c>
      <c r="R471" s="2" t="inlineStr"/>
    </row>
    <row r="472" ht="15" customHeight="1">
      <c r="A472" t="inlineStr">
        <is>
          <t>A 55643-2024</t>
        </is>
      </c>
      <c r="B472" s="1" t="n">
        <v>45621</v>
      </c>
      <c r="C472" s="1" t="n">
        <v>45878</v>
      </c>
      <c r="D472" t="inlineStr">
        <is>
          <t>DALARNAS LÄN</t>
        </is>
      </c>
      <c r="E472" t="inlineStr">
        <is>
          <t>LEKSAND</t>
        </is>
      </c>
      <c r="G472" t="n">
        <v>1.7</v>
      </c>
      <c r="H472" t="n">
        <v>0</v>
      </c>
      <c r="I472" t="n">
        <v>0</v>
      </c>
      <c r="J472" t="n">
        <v>0</v>
      </c>
      <c r="K472" t="n">
        <v>0</v>
      </c>
      <c r="L472" t="n">
        <v>0</v>
      </c>
      <c r="M472" t="n">
        <v>0</v>
      </c>
      <c r="N472" t="n">
        <v>0</v>
      </c>
      <c r="O472" t="n">
        <v>0</v>
      </c>
      <c r="P472" t="n">
        <v>0</v>
      </c>
      <c r="Q472" t="n">
        <v>0</v>
      </c>
      <c r="R472" s="2" t="inlineStr"/>
    </row>
    <row r="473" ht="15" customHeight="1">
      <c r="A473" t="inlineStr">
        <is>
          <t>A 32274-2025</t>
        </is>
      </c>
      <c r="B473" s="1" t="n">
        <v>45835</v>
      </c>
      <c r="C473" s="1" t="n">
        <v>45878</v>
      </c>
      <c r="D473" t="inlineStr">
        <is>
          <t>DALARNAS LÄN</t>
        </is>
      </c>
      <c r="E473" t="inlineStr">
        <is>
          <t>LEKSAND</t>
        </is>
      </c>
      <c r="G473" t="n">
        <v>4.5</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45878</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31255-2023</t>
        </is>
      </c>
      <c r="B475" s="1" t="n">
        <v>45114.36729166667</v>
      </c>
      <c r="C475" s="1" t="n">
        <v>45878</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8045-2024</t>
        </is>
      </c>
      <c r="B476" s="1" t="n">
        <v>45351.31371527778</v>
      </c>
      <c r="C476" s="1" t="n">
        <v>45878</v>
      </c>
      <c r="D476" t="inlineStr">
        <is>
          <t>DALARNAS LÄN</t>
        </is>
      </c>
      <c r="E476" t="inlineStr">
        <is>
          <t>LEKSAND</t>
        </is>
      </c>
      <c r="G476" t="n">
        <v>6.7</v>
      </c>
      <c r="H476" t="n">
        <v>0</v>
      </c>
      <c r="I476" t="n">
        <v>0</v>
      </c>
      <c r="J476" t="n">
        <v>0</v>
      </c>
      <c r="K476" t="n">
        <v>0</v>
      </c>
      <c r="L476" t="n">
        <v>0</v>
      </c>
      <c r="M476" t="n">
        <v>0</v>
      </c>
      <c r="N476" t="n">
        <v>0</v>
      </c>
      <c r="O476" t="n">
        <v>0</v>
      </c>
      <c r="P476" t="n">
        <v>0</v>
      </c>
      <c r="Q476" t="n">
        <v>0</v>
      </c>
      <c r="R476" s="2" t="inlineStr"/>
    </row>
    <row r="477" ht="15" customHeight="1">
      <c r="A477" t="inlineStr">
        <is>
          <t>A 16137-2023</t>
        </is>
      </c>
      <c r="B477" s="1" t="n">
        <v>45027</v>
      </c>
      <c r="C477" s="1" t="n">
        <v>45878</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776-2021</t>
        </is>
      </c>
      <c r="B478" s="1" t="n">
        <v>44203</v>
      </c>
      <c r="C478" s="1" t="n">
        <v>45878</v>
      </c>
      <c r="D478" t="inlineStr">
        <is>
          <t>DALARNAS LÄN</t>
        </is>
      </c>
      <c r="E478" t="inlineStr">
        <is>
          <t>LEKSAND</t>
        </is>
      </c>
      <c r="G478" t="n">
        <v>21</v>
      </c>
      <c r="H478" t="n">
        <v>0</v>
      </c>
      <c r="I478" t="n">
        <v>0</v>
      </c>
      <c r="J478" t="n">
        <v>0</v>
      </c>
      <c r="K478" t="n">
        <v>0</v>
      </c>
      <c r="L478" t="n">
        <v>0</v>
      </c>
      <c r="M478" t="n">
        <v>0</v>
      </c>
      <c r="N478" t="n">
        <v>0</v>
      </c>
      <c r="O478" t="n">
        <v>0</v>
      </c>
      <c r="P478" t="n">
        <v>0</v>
      </c>
      <c r="Q478" t="n">
        <v>0</v>
      </c>
      <c r="R478" s="2" t="inlineStr"/>
    </row>
    <row r="479" ht="15" customHeight="1">
      <c r="A479" t="inlineStr">
        <is>
          <t>A 57013-2023</t>
        </is>
      </c>
      <c r="B479" s="1" t="n">
        <v>45244</v>
      </c>
      <c r="C479" s="1" t="n">
        <v>45878</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25610-2025</t>
        </is>
      </c>
      <c r="B480" s="1" t="n">
        <v>45803.56033564815</v>
      </c>
      <c r="C480" s="1" t="n">
        <v>45878</v>
      </c>
      <c r="D480" t="inlineStr">
        <is>
          <t>DALARNAS LÄN</t>
        </is>
      </c>
      <c r="E480" t="inlineStr">
        <is>
          <t>LEKSAND</t>
        </is>
      </c>
      <c r="G480" t="n">
        <v>5.2</v>
      </c>
      <c r="H480" t="n">
        <v>0</v>
      </c>
      <c r="I480" t="n">
        <v>0</v>
      </c>
      <c r="J480" t="n">
        <v>0</v>
      </c>
      <c r="K480" t="n">
        <v>0</v>
      </c>
      <c r="L480" t="n">
        <v>0</v>
      </c>
      <c r="M480" t="n">
        <v>0</v>
      </c>
      <c r="N480" t="n">
        <v>0</v>
      </c>
      <c r="O480" t="n">
        <v>0</v>
      </c>
      <c r="P480" t="n">
        <v>0</v>
      </c>
      <c r="Q480" t="n">
        <v>0</v>
      </c>
      <c r="R480" s="2" t="inlineStr"/>
    </row>
    <row r="481" ht="15" customHeight="1">
      <c r="A481" t="inlineStr">
        <is>
          <t>A 56283-2024</t>
        </is>
      </c>
      <c r="B481" s="1" t="n">
        <v>45624.67864583333</v>
      </c>
      <c r="C481" s="1" t="n">
        <v>45878</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56299-2024</t>
        </is>
      </c>
      <c r="B482" s="1" t="n">
        <v>45624.68607638889</v>
      </c>
      <c r="C482" s="1" t="n">
        <v>45878</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43077-2024</t>
        </is>
      </c>
      <c r="B483" s="1" t="n">
        <v>45567.50030092592</v>
      </c>
      <c r="C483" s="1" t="n">
        <v>45878</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37832-2023</t>
        </is>
      </c>
      <c r="B484" s="1" t="n">
        <v>45160.3479050926</v>
      </c>
      <c r="C484" s="1" t="n">
        <v>45878</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18040-2024</t>
        </is>
      </c>
      <c r="B485" s="1" t="n">
        <v>45420.36664351852</v>
      </c>
      <c r="C485" s="1" t="n">
        <v>45878</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33804-2025</t>
        </is>
      </c>
      <c r="B486" s="1" t="n">
        <v>45842</v>
      </c>
      <c r="C486" s="1" t="n">
        <v>45878</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6778-2025</t>
        </is>
      </c>
      <c r="B487" s="1" t="n">
        <v>45700.64615740741</v>
      </c>
      <c r="C487" s="1" t="n">
        <v>45878</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34537-2025</t>
        </is>
      </c>
      <c r="B488" s="1" t="n">
        <v>45847</v>
      </c>
      <c r="C488" s="1" t="n">
        <v>45878</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43419-2024</t>
        </is>
      </c>
      <c r="B489" s="1" t="n">
        <v>45568</v>
      </c>
      <c r="C489" s="1" t="n">
        <v>45878</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41896-2024</t>
        </is>
      </c>
      <c r="B490" s="1" t="n">
        <v>45561.51310185185</v>
      </c>
      <c r="C490" s="1" t="n">
        <v>45878</v>
      </c>
      <c r="D490" t="inlineStr">
        <is>
          <t>DALARNAS LÄN</t>
        </is>
      </c>
      <c r="E490" t="inlineStr">
        <is>
          <t>LEKSAND</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39595-2023</t>
        </is>
      </c>
      <c r="B491" s="1" t="n">
        <v>45167</v>
      </c>
      <c r="C491" s="1" t="n">
        <v>45878</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24005-2024</t>
        </is>
      </c>
      <c r="B492" s="1" t="n">
        <v>45456.39239583333</v>
      </c>
      <c r="C492" s="1" t="n">
        <v>45878</v>
      </c>
      <c r="D492" t="inlineStr">
        <is>
          <t>DALARNAS LÄN</t>
        </is>
      </c>
      <c r="E492" t="inlineStr">
        <is>
          <t>LEKSAND</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1984-2025</t>
        </is>
      </c>
      <c r="B493" s="1" t="n">
        <v>45670</v>
      </c>
      <c r="C493" s="1" t="n">
        <v>45878</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59199-2024</t>
        </is>
      </c>
      <c r="B494" s="1" t="n">
        <v>45637</v>
      </c>
      <c r="C494" s="1" t="n">
        <v>45878</v>
      </c>
      <c r="D494" t="inlineStr">
        <is>
          <t>DALARNAS LÄN</t>
        </is>
      </c>
      <c r="E494" t="inlineStr">
        <is>
          <t>LEKSAND</t>
        </is>
      </c>
      <c r="G494" t="n">
        <v>5.4</v>
      </c>
      <c r="H494" t="n">
        <v>0</v>
      </c>
      <c r="I494" t="n">
        <v>0</v>
      </c>
      <c r="J494" t="n">
        <v>0</v>
      </c>
      <c r="K494" t="n">
        <v>0</v>
      </c>
      <c r="L494" t="n">
        <v>0</v>
      </c>
      <c r="M494" t="n">
        <v>0</v>
      </c>
      <c r="N494" t="n">
        <v>0</v>
      </c>
      <c r="O494" t="n">
        <v>0</v>
      </c>
      <c r="P494" t="n">
        <v>0</v>
      </c>
      <c r="Q494" t="n">
        <v>0</v>
      </c>
      <c r="R494" s="2" t="inlineStr"/>
    </row>
    <row r="495" ht="15" customHeight="1">
      <c r="A495" t="inlineStr">
        <is>
          <t>A 24481-2024</t>
        </is>
      </c>
      <c r="B495" s="1" t="n">
        <v>45459.36460648148</v>
      </c>
      <c r="C495" s="1" t="n">
        <v>45878</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17606-2024</t>
        </is>
      </c>
      <c r="B496" s="1" t="n">
        <v>45415</v>
      </c>
      <c r="C496" s="1" t="n">
        <v>45878</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33310-2023</t>
        </is>
      </c>
      <c r="B497" s="1" t="n">
        <v>45127.82231481482</v>
      </c>
      <c r="C497" s="1" t="n">
        <v>45878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34033-2024</t>
        </is>
      </c>
      <c r="B498" s="1" t="n">
        <v>45523.59265046296</v>
      </c>
      <c r="C498" s="1" t="n">
        <v>45878</v>
      </c>
      <c r="D498" t="inlineStr">
        <is>
          <t>DALARNAS LÄN</t>
        </is>
      </c>
      <c r="E498" t="inlineStr">
        <is>
          <t>LEKSAND</t>
        </is>
      </c>
      <c r="G498" t="n">
        <v>2.6</v>
      </c>
      <c r="H498" t="n">
        <v>0</v>
      </c>
      <c r="I498" t="n">
        <v>0</v>
      </c>
      <c r="J498" t="n">
        <v>0</v>
      </c>
      <c r="K498" t="n">
        <v>0</v>
      </c>
      <c r="L498" t="n">
        <v>0</v>
      </c>
      <c r="M498" t="n">
        <v>0</v>
      </c>
      <c r="N498" t="n">
        <v>0</v>
      </c>
      <c r="O498" t="n">
        <v>0</v>
      </c>
      <c r="P498" t="n">
        <v>0</v>
      </c>
      <c r="Q498" t="n">
        <v>0</v>
      </c>
      <c r="R498" s="2" t="inlineStr"/>
    </row>
    <row r="499" ht="15" customHeight="1">
      <c r="A499" t="inlineStr">
        <is>
          <t>A 57899-2024</t>
        </is>
      </c>
      <c r="B499" s="1" t="n">
        <v>45630</v>
      </c>
      <c r="C499" s="1" t="n">
        <v>45878</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11110-2023</t>
        </is>
      </c>
      <c r="B500" s="1" t="n">
        <v>44992</v>
      </c>
      <c r="C500" s="1" t="n">
        <v>45878</v>
      </c>
      <c r="D500" t="inlineStr">
        <is>
          <t>DALARNAS LÄN</t>
        </is>
      </c>
      <c r="E500" t="inlineStr">
        <is>
          <t>LEKSAND</t>
        </is>
      </c>
      <c r="G500" t="n">
        <v>11.2</v>
      </c>
      <c r="H500" t="n">
        <v>0</v>
      </c>
      <c r="I500" t="n">
        <v>0</v>
      </c>
      <c r="J500" t="n">
        <v>0</v>
      </c>
      <c r="K500" t="n">
        <v>0</v>
      </c>
      <c r="L500" t="n">
        <v>0</v>
      </c>
      <c r="M500" t="n">
        <v>0</v>
      </c>
      <c r="N500" t="n">
        <v>0</v>
      </c>
      <c r="O500" t="n">
        <v>0</v>
      </c>
      <c r="P500" t="n">
        <v>0</v>
      </c>
      <c r="Q500" t="n">
        <v>0</v>
      </c>
      <c r="R500" s="2" t="inlineStr"/>
    </row>
    <row r="501" ht="15" customHeight="1">
      <c r="A501" t="inlineStr">
        <is>
          <t>A 56753-2023</t>
        </is>
      </c>
      <c r="B501" s="1" t="n">
        <v>45244.37094907407</v>
      </c>
      <c r="C501" s="1" t="n">
        <v>45878</v>
      </c>
      <c r="D501" t="inlineStr">
        <is>
          <t>DALARNAS LÄN</t>
        </is>
      </c>
      <c r="E501" t="inlineStr">
        <is>
          <t>LEKSAND</t>
        </is>
      </c>
      <c r="G501" t="n">
        <v>0.5</v>
      </c>
      <c r="H501" t="n">
        <v>0</v>
      </c>
      <c r="I501" t="n">
        <v>0</v>
      </c>
      <c r="J501" t="n">
        <v>0</v>
      </c>
      <c r="K501" t="n">
        <v>0</v>
      </c>
      <c r="L501" t="n">
        <v>0</v>
      </c>
      <c r="M501" t="n">
        <v>0</v>
      </c>
      <c r="N501" t="n">
        <v>0</v>
      </c>
      <c r="O501" t="n">
        <v>0</v>
      </c>
      <c r="P501" t="n">
        <v>0</v>
      </c>
      <c r="Q501" t="n">
        <v>0</v>
      </c>
      <c r="R501" s="2" t="inlineStr"/>
    </row>
    <row r="502" ht="15" customHeight="1">
      <c r="A502" t="inlineStr">
        <is>
          <t>A 61054-2023</t>
        </is>
      </c>
      <c r="B502" s="1" t="n">
        <v>45261</v>
      </c>
      <c r="C502" s="1" t="n">
        <v>45878</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61056-2023</t>
        </is>
      </c>
      <c r="B503" s="1" t="n">
        <v>45261</v>
      </c>
      <c r="C503" s="1" t="n">
        <v>45878</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57933-2024</t>
        </is>
      </c>
      <c r="B504" s="1" t="n">
        <v>45630</v>
      </c>
      <c r="C504" s="1" t="n">
        <v>45878</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45878</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11403-2023</t>
        </is>
      </c>
      <c r="B506" s="1" t="n">
        <v>44993</v>
      </c>
      <c r="C506" s="1" t="n">
        <v>45878</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22683-2022</t>
        </is>
      </c>
      <c r="B507" s="1" t="n">
        <v>44714</v>
      </c>
      <c r="C507" s="1" t="n">
        <v>45878</v>
      </c>
      <c r="D507" t="inlineStr">
        <is>
          <t>DALARNAS LÄN</t>
        </is>
      </c>
      <c r="E507" t="inlineStr">
        <is>
          <t>LEKSAND</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52755-2024</t>
        </is>
      </c>
      <c r="B508" s="1" t="n">
        <v>45610.50217592593</v>
      </c>
      <c r="C508" s="1" t="n">
        <v>45878</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6846-2023</t>
        </is>
      </c>
      <c r="B509" s="1" t="n">
        <v>44967.43953703704</v>
      </c>
      <c r="C509" s="1" t="n">
        <v>45878</v>
      </c>
      <c r="D509" t="inlineStr">
        <is>
          <t>DALARNAS LÄN</t>
        </is>
      </c>
      <c r="E509" t="inlineStr">
        <is>
          <t>LEKSAND</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34789-2025</t>
        </is>
      </c>
      <c r="B510" s="1" t="n">
        <v>45848</v>
      </c>
      <c r="C510" s="1" t="n">
        <v>45878</v>
      </c>
      <c r="D510" t="inlineStr">
        <is>
          <t>DALARNAS LÄN</t>
        </is>
      </c>
      <c r="E510" t="inlineStr">
        <is>
          <t>LEKSAND</t>
        </is>
      </c>
      <c r="F510" t="inlineStr">
        <is>
          <t>Bergvik skog väst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7894-2025</t>
        </is>
      </c>
      <c r="B511" s="1" t="n">
        <v>45707.30268518518</v>
      </c>
      <c r="C511" s="1" t="n">
        <v>45878</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34965-2025</t>
        </is>
      </c>
      <c r="B512" s="1" t="n">
        <v>45849</v>
      </c>
      <c r="C512" s="1" t="n">
        <v>45878</v>
      </c>
      <c r="D512" t="inlineStr">
        <is>
          <t>DALARNAS LÄN</t>
        </is>
      </c>
      <c r="E512" t="inlineStr">
        <is>
          <t>LEKSAND</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58877-2023</t>
        </is>
      </c>
      <c r="B513" s="1" t="n">
        <v>45252</v>
      </c>
      <c r="C513" s="1" t="n">
        <v>45878</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17455-2022</t>
        </is>
      </c>
      <c r="B514" s="1" t="n">
        <v>44679.3775</v>
      </c>
      <c r="C514" s="1" t="n">
        <v>45878</v>
      </c>
      <c r="D514" t="inlineStr">
        <is>
          <t>DALARNAS LÄN</t>
        </is>
      </c>
      <c r="E514" t="inlineStr">
        <is>
          <t>LEKSAND</t>
        </is>
      </c>
      <c r="F514" t="inlineStr">
        <is>
          <t>Bergvik skog väst AB</t>
        </is>
      </c>
      <c r="G514" t="n">
        <v>1.8</v>
      </c>
      <c r="H514" t="n">
        <v>0</v>
      </c>
      <c r="I514" t="n">
        <v>0</v>
      </c>
      <c r="J514" t="n">
        <v>0</v>
      </c>
      <c r="K514" t="n">
        <v>0</v>
      </c>
      <c r="L514" t="n">
        <v>0</v>
      </c>
      <c r="M514" t="n">
        <v>0</v>
      </c>
      <c r="N514" t="n">
        <v>0</v>
      </c>
      <c r="O514" t="n">
        <v>0</v>
      </c>
      <c r="P514" t="n">
        <v>0</v>
      </c>
      <c r="Q514" t="n">
        <v>0</v>
      </c>
      <c r="R514" s="2" t="inlineStr"/>
    </row>
    <row r="515" ht="15" customHeight="1">
      <c r="A515" t="inlineStr">
        <is>
          <t>A 60040-2023</t>
        </is>
      </c>
      <c r="B515" s="1" t="n">
        <v>45256</v>
      </c>
      <c r="C515" s="1" t="n">
        <v>45878</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33306-2023</t>
        </is>
      </c>
      <c r="B516" s="1" t="n">
        <v>45127</v>
      </c>
      <c r="C516" s="1" t="n">
        <v>45878</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33316-2023</t>
        </is>
      </c>
      <c r="B517" s="1" t="n">
        <v>45127</v>
      </c>
      <c r="C517" s="1" t="n">
        <v>45878</v>
      </c>
      <c r="D517" t="inlineStr">
        <is>
          <t>DALARNAS LÄN</t>
        </is>
      </c>
      <c r="E517" t="inlineStr">
        <is>
          <t>LEKSAND</t>
        </is>
      </c>
      <c r="G517" t="n">
        <v>8.9</v>
      </c>
      <c r="H517" t="n">
        <v>0</v>
      </c>
      <c r="I517" t="n">
        <v>0</v>
      </c>
      <c r="J517" t="n">
        <v>0</v>
      </c>
      <c r="K517" t="n">
        <v>0</v>
      </c>
      <c r="L517" t="n">
        <v>0</v>
      </c>
      <c r="M517" t="n">
        <v>0</v>
      </c>
      <c r="N517" t="n">
        <v>0</v>
      </c>
      <c r="O517" t="n">
        <v>0</v>
      </c>
      <c r="P517" t="n">
        <v>0</v>
      </c>
      <c r="Q517" t="n">
        <v>0</v>
      </c>
      <c r="R517" s="2" t="inlineStr"/>
    </row>
    <row r="518" ht="15" customHeight="1">
      <c r="A518" t="inlineStr">
        <is>
          <t>A 53633-2024</t>
        </is>
      </c>
      <c r="B518" s="1" t="n">
        <v>45614.83726851852</v>
      </c>
      <c r="C518" s="1" t="n">
        <v>45878</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26386-2025</t>
        </is>
      </c>
      <c r="B519" s="1" t="n">
        <v>45806</v>
      </c>
      <c r="C519" s="1" t="n">
        <v>45878</v>
      </c>
      <c r="D519" t="inlineStr">
        <is>
          <t>DALARNAS LÄN</t>
        </is>
      </c>
      <c r="E519" t="inlineStr">
        <is>
          <t>LEKSAND</t>
        </is>
      </c>
      <c r="F519" t="inlineStr">
        <is>
          <t>Bergvik skog väst AB</t>
        </is>
      </c>
      <c r="G519" t="n">
        <v>26.3</v>
      </c>
      <c r="H519" t="n">
        <v>0</v>
      </c>
      <c r="I519" t="n">
        <v>0</v>
      </c>
      <c r="J519" t="n">
        <v>0</v>
      </c>
      <c r="K519" t="n">
        <v>0</v>
      </c>
      <c r="L519" t="n">
        <v>0</v>
      </c>
      <c r="M519" t="n">
        <v>0</v>
      </c>
      <c r="N519" t="n">
        <v>0</v>
      </c>
      <c r="O519" t="n">
        <v>0</v>
      </c>
      <c r="P519" t="n">
        <v>0</v>
      </c>
      <c r="Q519" t="n">
        <v>0</v>
      </c>
      <c r="R519" s="2" t="inlineStr"/>
    </row>
    <row r="520" ht="15" customHeight="1">
      <c r="A520" t="inlineStr">
        <is>
          <t>A 25329-2022</t>
        </is>
      </c>
      <c r="B520" s="1" t="n">
        <v>44731.8799537037</v>
      </c>
      <c r="C520" s="1" t="n">
        <v>45878</v>
      </c>
      <c r="D520" t="inlineStr">
        <is>
          <t>DALARNAS LÄN</t>
        </is>
      </c>
      <c r="E520" t="inlineStr">
        <is>
          <t>LEKSAND</t>
        </is>
      </c>
      <c r="G520" t="n">
        <v>1.4</v>
      </c>
      <c r="H520" t="n">
        <v>0</v>
      </c>
      <c r="I520" t="n">
        <v>0</v>
      </c>
      <c r="J520" t="n">
        <v>0</v>
      </c>
      <c r="K520" t="n">
        <v>0</v>
      </c>
      <c r="L520" t="n">
        <v>0</v>
      </c>
      <c r="M520" t="n">
        <v>0</v>
      </c>
      <c r="N520" t="n">
        <v>0</v>
      </c>
      <c r="O520" t="n">
        <v>0</v>
      </c>
      <c r="P520" t="n">
        <v>0</v>
      </c>
      <c r="Q520" t="n">
        <v>0</v>
      </c>
      <c r="R520" s="2" t="inlineStr"/>
    </row>
    <row r="521" ht="15" customHeight="1">
      <c r="A521" t="inlineStr">
        <is>
          <t>A 6030-2025</t>
        </is>
      </c>
      <c r="B521" s="1" t="n">
        <v>45695</v>
      </c>
      <c r="C521" s="1" t="n">
        <v>45878</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47503-2024</t>
        </is>
      </c>
      <c r="B522" s="1" t="n">
        <v>45587.60262731482</v>
      </c>
      <c r="C522" s="1" t="n">
        <v>45878</v>
      </c>
      <c r="D522" t="inlineStr">
        <is>
          <t>DALARNAS LÄN</t>
        </is>
      </c>
      <c r="E522" t="inlineStr">
        <is>
          <t>LEKSAND</t>
        </is>
      </c>
      <c r="G522" t="n">
        <v>3.6</v>
      </c>
      <c r="H522" t="n">
        <v>0</v>
      </c>
      <c r="I522" t="n">
        <v>0</v>
      </c>
      <c r="J522" t="n">
        <v>0</v>
      </c>
      <c r="K522" t="n">
        <v>0</v>
      </c>
      <c r="L522" t="n">
        <v>0</v>
      </c>
      <c r="M522" t="n">
        <v>0</v>
      </c>
      <c r="N522" t="n">
        <v>0</v>
      </c>
      <c r="O522" t="n">
        <v>0</v>
      </c>
      <c r="P522" t="n">
        <v>0</v>
      </c>
      <c r="Q522" t="n">
        <v>0</v>
      </c>
      <c r="R522" s="2" t="inlineStr"/>
    </row>
    <row r="523" ht="15" customHeight="1">
      <c r="A523" t="inlineStr">
        <is>
          <t>A 26421-2025</t>
        </is>
      </c>
      <c r="B523" s="1" t="n">
        <v>45807.37355324074</v>
      </c>
      <c r="C523" s="1" t="n">
        <v>45878</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22681-2022</t>
        </is>
      </c>
      <c r="B524" s="1" t="n">
        <v>44714.50961805556</v>
      </c>
      <c r="C524" s="1" t="n">
        <v>45878</v>
      </c>
      <c r="D524" t="inlineStr">
        <is>
          <t>DALARNAS LÄN</t>
        </is>
      </c>
      <c r="E524" t="inlineStr">
        <is>
          <t>LEKSAND</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53981-2024</t>
        </is>
      </c>
      <c r="B525" s="1" t="n">
        <v>45615</v>
      </c>
      <c r="C525" s="1" t="n">
        <v>45878</v>
      </c>
      <c r="D525" t="inlineStr">
        <is>
          <t>DALARNAS LÄN</t>
        </is>
      </c>
      <c r="E525" t="inlineStr">
        <is>
          <t>LEKSAND</t>
        </is>
      </c>
      <c r="G525" t="n">
        <v>5.4</v>
      </c>
      <c r="H525" t="n">
        <v>0</v>
      </c>
      <c r="I525" t="n">
        <v>0</v>
      </c>
      <c r="J525" t="n">
        <v>0</v>
      </c>
      <c r="K525" t="n">
        <v>0</v>
      </c>
      <c r="L525" t="n">
        <v>0</v>
      </c>
      <c r="M525" t="n">
        <v>0</v>
      </c>
      <c r="N525" t="n">
        <v>0</v>
      </c>
      <c r="O525" t="n">
        <v>0</v>
      </c>
      <c r="P525" t="n">
        <v>0</v>
      </c>
      <c r="Q525" t="n">
        <v>0</v>
      </c>
      <c r="R525" s="2" t="inlineStr"/>
    </row>
    <row r="526" ht="15" customHeight="1">
      <c r="A526" t="inlineStr">
        <is>
          <t>A 17589-2025</t>
        </is>
      </c>
      <c r="B526" s="1" t="n">
        <v>45757.67844907408</v>
      </c>
      <c r="C526" s="1" t="n">
        <v>45878</v>
      </c>
      <c r="D526" t="inlineStr">
        <is>
          <t>DALARNAS LÄN</t>
        </is>
      </c>
      <c r="E526" t="inlineStr">
        <is>
          <t>LEKSAND</t>
        </is>
      </c>
      <c r="G526" t="n">
        <v>5.8</v>
      </c>
      <c r="H526" t="n">
        <v>0</v>
      </c>
      <c r="I526" t="n">
        <v>0</v>
      </c>
      <c r="J526" t="n">
        <v>0</v>
      </c>
      <c r="K526" t="n">
        <v>0</v>
      </c>
      <c r="L526" t="n">
        <v>0</v>
      </c>
      <c r="M526" t="n">
        <v>0</v>
      </c>
      <c r="N526" t="n">
        <v>0</v>
      </c>
      <c r="O526" t="n">
        <v>0</v>
      </c>
      <c r="P526" t="n">
        <v>0</v>
      </c>
      <c r="Q526" t="n">
        <v>0</v>
      </c>
      <c r="R526" s="2" t="inlineStr"/>
    </row>
    <row r="527" ht="15" customHeight="1">
      <c r="A527" t="inlineStr">
        <is>
          <t>A 30196-2023</t>
        </is>
      </c>
      <c r="B527" s="1" t="n">
        <v>45110</v>
      </c>
      <c r="C527" s="1" t="n">
        <v>45878</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26423-2025</t>
        </is>
      </c>
      <c r="B528" s="1" t="n">
        <v>45807.37829861111</v>
      </c>
      <c r="C528" s="1" t="n">
        <v>45878</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46446-2023</t>
        </is>
      </c>
      <c r="B529" s="1" t="n">
        <v>45197.59344907408</v>
      </c>
      <c r="C529" s="1" t="n">
        <v>45878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27323-2025</t>
        </is>
      </c>
      <c r="B530" s="1" t="n">
        <v>45812.60392361111</v>
      </c>
      <c r="C530" s="1" t="n">
        <v>45878</v>
      </c>
      <c r="D530" t="inlineStr">
        <is>
          <t>DALARNAS LÄN</t>
        </is>
      </c>
      <c r="E530" t="inlineStr">
        <is>
          <t>LEKSAND</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11740-2025</t>
        </is>
      </c>
      <c r="B531" s="1" t="n">
        <v>45727.62582175926</v>
      </c>
      <c r="C531" s="1" t="n">
        <v>45878</v>
      </c>
      <c r="D531" t="inlineStr">
        <is>
          <t>DALARNAS LÄN</t>
        </is>
      </c>
      <c r="E531" t="inlineStr">
        <is>
          <t>LEKSAND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32653-2025</t>
        </is>
      </c>
      <c r="B532" s="1" t="n">
        <v>45838</v>
      </c>
      <c r="C532" s="1" t="n">
        <v>45878</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32593-2025</t>
        </is>
      </c>
      <c r="B533" s="1" t="n">
        <v>45838</v>
      </c>
      <c r="C533" s="1" t="n">
        <v>45878</v>
      </c>
      <c r="D533" t="inlineStr">
        <is>
          <t>DALARNAS LÄN</t>
        </is>
      </c>
      <c r="E533" t="inlineStr">
        <is>
          <t>LEKSAND</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54682-2023</t>
        </is>
      </c>
      <c r="B534" s="1" t="n">
        <v>45235.90439814814</v>
      </c>
      <c r="C534" s="1" t="n">
        <v>45878</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35094-2025</t>
        </is>
      </c>
      <c r="B535" s="1" t="n">
        <v>45852</v>
      </c>
      <c r="C535" s="1" t="n">
        <v>45878</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27183-2025</t>
        </is>
      </c>
      <c r="B536" s="1" t="n">
        <v>45812.36097222222</v>
      </c>
      <c r="C536" s="1" t="n">
        <v>45878</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27262-2025</t>
        </is>
      </c>
      <c r="B537" s="1" t="n">
        <v>45812</v>
      </c>
      <c r="C537" s="1" t="n">
        <v>45878</v>
      </c>
      <c r="D537" t="inlineStr">
        <is>
          <t>DALARNAS LÄN</t>
        </is>
      </c>
      <c r="E537" t="inlineStr">
        <is>
          <t>LEKSAND</t>
        </is>
      </c>
      <c r="F537" t="inlineStr">
        <is>
          <t>Bergvik skog väst AB</t>
        </is>
      </c>
      <c r="G537" t="n">
        <v>7.7</v>
      </c>
      <c r="H537" t="n">
        <v>0</v>
      </c>
      <c r="I537" t="n">
        <v>0</v>
      </c>
      <c r="J537" t="n">
        <v>0</v>
      </c>
      <c r="K537" t="n">
        <v>0</v>
      </c>
      <c r="L537" t="n">
        <v>0</v>
      </c>
      <c r="M537" t="n">
        <v>0</v>
      </c>
      <c r="N537" t="n">
        <v>0</v>
      </c>
      <c r="O537" t="n">
        <v>0</v>
      </c>
      <c r="P537" t="n">
        <v>0</v>
      </c>
      <c r="Q537" t="n">
        <v>0</v>
      </c>
      <c r="R537" s="2" t="inlineStr"/>
    </row>
    <row r="538" ht="15" customHeight="1">
      <c r="A538" t="inlineStr">
        <is>
          <t>A 27329-2025</t>
        </is>
      </c>
      <c r="B538" s="1" t="n">
        <v>45812.60864583333</v>
      </c>
      <c r="C538" s="1" t="n">
        <v>45878</v>
      </c>
      <c r="D538" t="inlineStr">
        <is>
          <t>DALARNAS LÄN</t>
        </is>
      </c>
      <c r="E538" t="inlineStr">
        <is>
          <t>LEKSAND</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27332-2025</t>
        </is>
      </c>
      <c r="B539" s="1" t="n">
        <v>45812.61265046296</v>
      </c>
      <c r="C539" s="1" t="n">
        <v>45878</v>
      </c>
      <c r="D539" t="inlineStr">
        <is>
          <t>DALARNAS LÄN</t>
        </is>
      </c>
      <c r="E539" t="inlineStr">
        <is>
          <t>LEKSAND</t>
        </is>
      </c>
      <c r="F539" t="inlineStr">
        <is>
          <t>Bergvik skog väst AB</t>
        </is>
      </c>
      <c r="G539" t="n">
        <v>2.9</v>
      </c>
      <c r="H539" t="n">
        <v>0</v>
      </c>
      <c r="I539" t="n">
        <v>0</v>
      </c>
      <c r="J539" t="n">
        <v>0</v>
      </c>
      <c r="K539" t="n">
        <v>0</v>
      </c>
      <c r="L539" t="n">
        <v>0</v>
      </c>
      <c r="M539" t="n">
        <v>0</v>
      </c>
      <c r="N539" t="n">
        <v>0</v>
      </c>
      <c r="O539" t="n">
        <v>0</v>
      </c>
      <c r="P539" t="n">
        <v>0</v>
      </c>
      <c r="Q539" t="n">
        <v>0</v>
      </c>
      <c r="R539" s="2" t="inlineStr"/>
    </row>
    <row r="540" ht="15" customHeight="1">
      <c r="A540" t="inlineStr">
        <is>
          <t>A 18049-2025</t>
        </is>
      </c>
      <c r="B540" s="1" t="n">
        <v>45761.46743055555</v>
      </c>
      <c r="C540" s="1" t="n">
        <v>45878</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row>
    <row r="541" ht="15" customHeight="1">
      <c r="A541" t="inlineStr">
        <is>
          <t>A 1463-2024</t>
        </is>
      </c>
      <c r="B541" s="1" t="n">
        <v>45303</v>
      </c>
      <c r="C541" s="1" t="n">
        <v>45878</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27682-2025</t>
        </is>
      </c>
      <c r="B542" s="1" t="n">
        <v>45813.64782407408</v>
      </c>
      <c r="C542" s="1" t="n">
        <v>45878</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27705-2025</t>
        </is>
      </c>
      <c r="B543" s="1" t="n">
        <v>45813</v>
      </c>
      <c r="C543" s="1" t="n">
        <v>45878</v>
      </c>
      <c r="D543" t="inlineStr">
        <is>
          <t>DALARNAS LÄN</t>
        </is>
      </c>
      <c r="E543" t="inlineStr">
        <is>
          <t>LEKSAND</t>
        </is>
      </c>
      <c r="G543" t="n">
        <v>0.8</v>
      </c>
      <c r="H543" t="n">
        <v>0</v>
      </c>
      <c r="I543" t="n">
        <v>0</v>
      </c>
      <c r="J543" t="n">
        <v>0</v>
      </c>
      <c r="K543" t="n">
        <v>0</v>
      </c>
      <c r="L543" t="n">
        <v>0</v>
      </c>
      <c r="M543" t="n">
        <v>0</v>
      </c>
      <c r="N543" t="n">
        <v>0</v>
      </c>
      <c r="O543" t="n">
        <v>0</v>
      </c>
      <c r="P543" t="n">
        <v>0</v>
      </c>
      <c r="Q543" t="n">
        <v>0</v>
      </c>
      <c r="R543" s="2" t="inlineStr"/>
    </row>
    <row r="544" ht="15" customHeight="1">
      <c r="A544" t="inlineStr">
        <is>
          <t>A 30000-2023</t>
        </is>
      </c>
      <c r="B544" s="1" t="n">
        <v>45109.71128472222</v>
      </c>
      <c r="C544" s="1" t="n">
        <v>45878</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23509-2023</t>
        </is>
      </c>
      <c r="B545" s="1" t="n">
        <v>45076</v>
      </c>
      <c r="C545" s="1" t="n">
        <v>45878</v>
      </c>
      <c r="D545" t="inlineStr">
        <is>
          <t>DALARNAS LÄN</t>
        </is>
      </c>
      <c r="E545" t="inlineStr">
        <is>
          <t>LEKSAND</t>
        </is>
      </c>
      <c r="G545" t="n">
        <v>2.1</v>
      </c>
      <c r="H545" t="n">
        <v>0</v>
      </c>
      <c r="I545" t="n">
        <v>0</v>
      </c>
      <c r="J545" t="n">
        <v>0</v>
      </c>
      <c r="K545" t="n">
        <v>0</v>
      </c>
      <c r="L545" t="n">
        <v>0</v>
      </c>
      <c r="M545" t="n">
        <v>0</v>
      </c>
      <c r="N545" t="n">
        <v>0</v>
      </c>
      <c r="O545" t="n">
        <v>0</v>
      </c>
      <c r="P545" t="n">
        <v>0</v>
      </c>
      <c r="Q545" t="n">
        <v>0</v>
      </c>
      <c r="R545" s="2" t="inlineStr"/>
    </row>
    <row r="546" ht="15" customHeight="1">
      <c r="A546" t="inlineStr">
        <is>
          <t>A 17282-2025</t>
        </is>
      </c>
      <c r="B546" s="1" t="n">
        <v>45756.57114583333</v>
      </c>
      <c r="C546" s="1" t="n">
        <v>45878</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12923-2025</t>
        </is>
      </c>
      <c r="B547" s="1" t="n">
        <v>45734.29193287037</v>
      </c>
      <c r="C547" s="1" t="n">
        <v>45878</v>
      </c>
      <c r="D547" t="inlineStr">
        <is>
          <t>DALARNAS LÄN</t>
        </is>
      </c>
      <c r="E547" t="inlineStr">
        <is>
          <t>LEKSAND</t>
        </is>
      </c>
      <c r="G547" t="n">
        <v>7.2</v>
      </c>
      <c r="H547" t="n">
        <v>0</v>
      </c>
      <c r="I547" t="n">
        <v>0</v>
      </c>
      <c r="J547" t="n">
        <v>0</v>
      </c>
      <c r="K547" t="n">
        <v>0</v>
      </c>
      <c r="L547" t="n">
        <v>0</v>
      </c>
      <c r="M547" t="n">
        <v>0</v>
      </c>
      <c r="N547" t="n">
        <v>0</v>
      </c>
      <c r="O547" t="n">
        <v>0</v>
      </c>
      <c r="P547" t="n">
        <v>0</v>
      </c>
      <c r="Q547" t="n">
        <v>0</v>
      </c>
      <c r="R547" s="2" t="inlineStr"/>
    </row>
    <row r="548" ht="15" customHeight="1">
      <c r="A548" t="inlineStr">
        <is>
          <t>A 2820-2024</t>
        </is>
      </c>
      <c r="B548" s="1" t="n">
        <v>45314.76287037037</v>
      </c>
      <c r="C548" s="1" t="n">
        <v>45878</v>
      </c>
      <c r="D548" t="inlineStr">
        <is>
          <t>DALARNAS LÄN</t>
        </is>
      </c>
      <c r="E548" t="inlineStr">
        <is>
          <t>LEKSAND</t>
        </is>
      </c>
      <c r="G548" t="n">
        <v>1.7</v>
      </c>
      <c r="H548" t="n">
        <v>0</v>
      </c>
      <c r="I548" t="n">
        <v>0</v>
      </c>
      <c r="J548" t="n">
        <v>0</v>
      </c>
      <c r="K548" t="n">
        <v>0</v>
      </c>
      <c r="L548" t="n">
        <v>0</v>
      </c>
      <c r="M548" t="n">
        <v>0</v>
      </c>
      <c r="N548" t="n">
        <v>0</v>
      </c>
      <c r="O548" t="n">
        <v>0</v>
      </c>
      <c r="P548" t="n">
        <v>0</v>
      </c>
      <c r="Q548" t="n">
        <v>0</v>
      </c>
      <c r="R548" s="2" t="inlineStr"/>
    </row>
    <row r="549" ht="15" customHeight="1">
      <c r="A549" t="inlineStr">
        <is>
          <t>A 2822-2024</t>
        </is>
      </c>
      <c r="B549" s="1" t="n">
        <v>45314.76622685185</v>
      </c>
      <c r="C549" s="1" t="n">
        <v>45878</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51320-2023</t>
        </is>
      </c>
      <c r="B550" s="1" t="n">
        <v>45219.57456018519</v>
      </c>
      <c r="C550" s="1" t="n">
        <v>45878</v>
      </c>
      <c r="D550" t="inlineStr">
        <is>
          <t>DALARNAS LÄN</t>
        </is>
      </c>
      <c r="E550" t="inlineStr">
        <is>
          <t>LEKSAND</t>
        </is>
      </c>
      <c r="G550" t="n">
        <v>2.1</v>
      </c>
      <c r="H550" t="n">
        <v>0</v>
      </c>
      <c r="I550" t="n">
        <v>0</v>
      </c>
      <c r="J550" t="n">
        <v>0</v>
      </c>
      <c r="K550" t="n">
        <v>0</v>
      </c>
      <c r="L550" t="n">
        <v>0</v>
      </c>
      <c r="M550" t="n">
        <v>0</v>
      </c>
      <c r="N550" t="n">
        <v>0</v>
      </c>
      <c r="O550" t="n">
        <v>0</v>
      </c>
      <c r="P550" t="n">
        <v>0</v>
      </c>
      <c r="Q550" t="n">
        <v>0</v>
      </c>
      <c r="R550" s="2" t="inlineStr"/>
    </row>
    <row r="551" ht="15" customHeight="1">
      <c r="A551" t="inlineStr">
        <is>
          <t>A 27680-2025</t>
        </is>
      </c>
      <c r="B551" s="1" t="n">
        <v>45813.64618055556</v>
      </c>
      <c r="C551" s="1" t="n">
        <v>45878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12621-2025</t>
        </is>
      </c>
      <c r="B552" s="1" t="n">
        <v>45733.3575</v>
      </c>
      <c r="C552" s="1" t="n">
        <v>45878</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28483-2025</t>
        </is>
      </c>
      <c r="B553" s="1" t="n">
        <v>45818</v>
      </c>
      <c r="C553" s="1" t="n">
        <v>45878</v>
      </c>
      <c r="D553" t="inlineStr">
        <is>
          <t>DALARNAS LÄN</t>
        </is>
      </c>
      <c r="E553" t="inlineStr">
        <is>
          <t>LEKSAND</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51377-2023</t>
        </is>
      </c>
      <c r="B554" s="1" t="n">
        <v>45219</v>
      </c>
      <c r="C554" s="1" t="n">
        <v>45878</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28505-2025</t>
        </is>
      </c>
      <c r="B555" s="1" t="n">
        <v>45818</v>
      </c>
      <c r="C555" s="1" t="n">
        <v>45878</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59859-2023</t>
        </is>
      </c>
      <c r="B556" s="1" t="n">
        <v>45257</v>
      </c>
      <c r="C556" s="1" t="n">
        <v>45878</v>
      </c>
      <c r="D556" t="inlineStr">
        <is>
          <t>DALARNAS LÄN</t>
        </is>
      </c>
      <c r="E556" t="inlineStr">
        <is>
          <t>LEKSAND</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28499-2025</t>
        </is>
      </c>
      <c r="B557" s="1" t="n">
        <v>45818</v>
      </c>
      <c r="C557" s="1" t="n">
        <v>45878</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27984-2025</t>
        </is>
      </c>
      <c r="B558" s="1" t="n">
        <v>45817.57710648148</v>
      </c>
      <c r="C558" s="1" t="n">
        <v>45878</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2158-2024</t>
        </is>
      </c>
      <c r="B559" s="1" t="n">
        <v>45309</v>
      </c>
      <c r="C559" s="1" t="n">
        <v>45878</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19330-2025</t>
        </is>
      </c>
      <c r="B560" s="1" t="n">
        <v>45769</v>
      </c>
      <c r="C560" s="1" t="n">
        <v>45878</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45943-2022</t>
        </is>
      </c>
      <c r="B561" s="1" t="n">
        <v>44846.64418981481</v>
      </c>
      <c r="C561" s="1" t="n">
        <v>45878</v>
      </c>
      <c r="D561" t="inlineStr">
        <is>
          <t>DALARNAS LÄN</t>
        </is>
      </c>
      <c r="E561" t="inlineStr">
        <is>
          <t>LEKSAND</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44491-2023</t>
        </is>
      </c>
      <c r="B562" s="1" t="n">
        <v>45183</v>
      </c>
      <c r="C562" s="1" t="n">
        <v>45878</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28488-2025</t>
        </is>
      </c>
      <c r="B563" s="1" t="n">
        <v>45818</v>
      </c>
      <c r="C563" s="1" t="n">
        <v>45878</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33001-2023</t>
        </is>
      </c>
      <c r="B564" s="1" t="n">
        <v>45125</v>
      </c>
      <c r="C564" s="1" t="n">
        <v>45878</v>
      </c>
      <c r="D564" t="inlineStr">
        <is>
          <t>DALARNAS LÄN</t>
        </is>
      </c>
      <c r="E564" t="inlineStr">
        <is>
          <t>LEKSAND</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35746-2025</t>
        </is>
      </c>
      <c r="B565" s="1" t="n">
        <v>45860.55237268518</v>
      </c>
      <c r="C565" s="1" t="n">
        <v>45878</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33674-2023</t>
        </is>
      </c>
      <c r="B566" s="1" t="n">
        <v>45132</v>
      </c>
      <c r="C566" s="1" t="n">
        <v>45878</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60878-2023</t>
        </is>
      </c>
      <c r="B567" s="1" t="n">
        <v>45259</v>
      </c>
      <c r="C567" s="1" t="n">
        <v>45878</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28770-2025</t>
        </is>
      </c>
      <c r="B568" s="1" t="n">
        <v>45820</v>
      </c>
      <c r="C568" s="1" t="n">
        <v>45878</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61502-2023</t>
        </is>
      </c>
      <c r="B569" s="1" t="n">
        <v>45264</v>
      </c>
      <c r="C569" s="1" t="n">
        <v>45878</v>
      </c>
      <c r="D569" t="inlineStr">
        <is>
          <t>DALARNAS LÄN</t>
        </is>
      </c>
      <c r="E569" t="inlineStr">
        <is>
          <t>LEKSAND</t>
        </is>
      </c>
      <c r="G569" t="n">
        <v>5.2</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45878</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28458-2025</t>
        </is>
      </c>
      <c r="B571" s="1" t="n">
        <v>45819.413125</v>
      </c>
      <c r="C571" s="1" t="n">
        <v>45878</v>
      </c>
      <c r="D571" t="inlineStr">
        <is>
          <t>DALARNAS LÄN</t>
        </is>
      </c>
      <c r="E571" t="inlineStr">
        <is>
          <t>LEKSAND</t>
        </is>
      </c>
      <c r="G571" t="n">
        <v>3</v>
      </c>
      <c r="H571" t="n">
        <v>0</v>
      </c>
      <c r="I571" t="n">
        <v>0</v>
      </c>
      <c r="J571" t="n">
        <v>0</v>
      </c>
      <c r="K571" t="n">
        <v>0</v>
      </c>
      <c r="L571" t="n">
        <v>0</v>
      </c>
      <c r="M571" t="n">
        <v>0</v>
      </c>
      <c r="N571" t="n">
        <v>0</v>
      </c>
      <c r="O571" t="n">
        <v>0</v>
      </c>
      <c r="P571" t="n">
        <v>0</v>
      </c>
      <c r="Q571" t="n">
        <v>0</v>
      </c>
      <c r="R571" s="2" t="inlineStr"/>
    </row>
    <row r="572" ht="15" customHeight="1">
      <c r="A572" t="inlineStr">
        <is>
          <t>A 1719-2024</t>
        </is>
      </c>
      <c r="B572" s="1" t="n">
        <v>45307</v>
      </c>
      <c r="C572" s="1" t="n">
        <v>45878</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16135-2023</t>
        </is>
      </c>
      <c r="B573" s="1" t="n">
        <v>45027.63717592593</v>
      </c>
      <c r="C573" s="1" t="n">
        <v>45878</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30198-2024</t>
        </is>
      </c>
      <c r="B574" s="1" t="n">
        <v>45490.34765046297</v>
      </c>
      <c r="C574" s="1" t="n">
        <v>45878</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16744-2025</t>
        </is>
      </c>
      <c r="B575" s="1" t="n">
        <v>45754</v>
      </c>
      <c r="C575" s="1" t="n">
        <v>45878</v>
      </c>
      <c r="D575" t="inlineStr">
        <is>
          <t>DALARNAS LÄN</t>
        </is>
      </c>
      <c r="E575" t="inlineStr">
        <is>
          <t>LEKSAND</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10373-2023</t>
        </is>
      </c>
      <c r="B576" s="1" t="n">
        <v>44987</v>
      </c>
      <c r="C576" s="1" t="n">
        <v>45878</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29005-2025</t>
        </is>
      </c>
      <c r="B577" s="1" t="n">
        <v>45821.39326388889</v>
      </c>
      <c r="C577" s="1" t="n">
        <v>45878</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28985-2025</t>
        </is>
      </c>
      <c r="B578" s="1" t="n">
        <v>45821.36862268519</v>
      </c>
      <c r="C578" s="1" t="n">
        <v>45878</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22349-2024</t>
        </is>
      </c>
      <c r="B579" s="1" t="n">
        <v>45446</v>
      </c>
      <c r="C579" s="1" t="n">
        <v>45878</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11617-2024</t>
        </is>
      </c>
      <c r="B580" s="1" t="n">
        <v>45373.42898148148</v>
      </c>
      <c r="C580" s="1" t="n">
        <v>45878</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36021-2025</t>
        </is>
      </c>
      <c r="B581" s="1" t="n">
        <v>45863.72346064815</v>
      </c>
      <c r="C581" s="1" t="n">
        <v>45878</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25253-2024</t>
        </is>
      </c>
      <c r="B582" s="1" t="n">
        <v>45462.61121527778</v>
      </c>
      <c r="C582" s="1" t="n">
        <v>45878</v>
      </c>
      <c r="D582" t="inlineStr">
        <is>
          <t>DALARNAS LÄN</t>
        </is>
      </c>
      <c r="E582" t="inlineStr">
        <is>
          <t>LEKSAND</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35998-2025</t>
        </is>
      </c>
      <c r="B583" s="1" t="n">
        <v>45863.51550925926</v>
      </c>
      <c r="C583" s="1" t="n">
        <v>45878</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61953-2023</t>
        </is>
      </c>
      <c r="B584" s="1" t="n">
        <v>45266</v>
      </c>
      <c r="C584" s="1" t="n">
        <v>45878</v>
      </c>
      <c r="D584" t="inlineStr">
        <is>
          <t>DALARNAS LÄN</t>
        </is>
      </c>
      <c r="E584" t="inlineStr">
        <is>
          <t>LEKSAND</t>
        </is>
      </c>
      <c r="G584" t="n">
        <v>0.1</v>
      </c>
      <c r="H584" t="n">
        <v>0</v>
      </c>
      <c r="I584" t="n">
        <v>0</v>
      </c>
      <c r="J584" t="n">
        <v>0</v>
      </c>
      <c r="K584" t="n">
        <v>0</v>
      </c>
      <c r="L584" t="n">
        <v>0</v>
      </c>
      <c r="M584" t="n">
        <v>0</v>
      </c>
      <c r="N584" t="n">
        <v>0</v>
      </c>
      <c r="O584" t="n">
        <v>0</v>
      </c>
      <c r="P584" t="n">
        <v>0</v>
      </c>
      <c r="Q584" t="n">
        <v>0</v>
      </c>
      <c r="R584" s="2" t="inlineStr"/>
    </row>
    <row r="585" ht="15" customHeight="1">
      <c r="A585" t="inlineStr">
        <is>
          <t>A 58619-2022</t>
        </is>
      </c>
      <c r="B585" s="1" t="n">
        <v>44902.59579861111</v>
      </c>
      <c r="C585" s="1" t="n">
        <v>45878</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33566-2023</t>
        </is>
      </c>
      <c r="B586" s="1" t="n">
        <v>45131.64390046296</v>
      </c>
      <c r="C586" s="1" t="n">
        <v>45878</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20946-2023</t>
        </is>
      </c>
      <c r="B587" s="1" t="n">
        <v>45061</v>
      </c>
      <c r="C587" s="1" t="n">
        <v>45878</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61225-2023</t>
        </is>
      </c>
      <c r="B588" s="1" t="n">
        <v>45264</v>
      </c>
      <c r="C588" s="1" t="n">
        <v>45878</v>
      </c>
      <c r="D588" t="inlineStr">
        <is>
          <t>DALARNAS LÄN</t>
        </is>
      </c>
      <c r="E588" t="inlineStr">
        <is>
          <t>LEKSAND</t>
        </is>
      </c>
      <c r="G588" t="n">
        <v>7</v>
      </c>
      <c r="H588" t="n">
        <v>0</v>
      </c>
      <c r="I588" t="n">
        <v>0</v>
      </c>
      <c r="J588" t="n">
        <v>0</v>
      </c>
      <c r="K588" t="n">
        <v>0</v>
      </c>
      <c r="L588" t="n">
        <v>0</v>
      </c>
      <c r="M588" t="n">
        <v>0</v>
      </c>
      <c r="N588" t="n">
        <v>0</v>
      </c>
      <c r="O588" t="n">
        <v>0</v>
      </c>
      <c r="P588" t="n">
        <v>0</v>
      </c>
      <c r="Q588" t="n">
        <v>0</v>
      </c>
      <c r="R588" s="2" t="inlineStr"/>
    </row>
    <row r="589" ht="15" customHeight="1">
      <c r="A589" t="inlineStr">
        <is>
          <t>A 16592-2023</t>
        </is>
      </c>
      <c r="B589" s="1" t="n">
        <v>45030</v>
      </c>
      <c r="C589" s="1" t="n">
        <v>45878</v>
      </c>
      <c r="D589" t="inlineStr">
        <is>
          <t>DALARNAS LÄN</t>
        </is>
      </c>
      <c r="E589" t="inlineStr">
        <is>
          <t>LEKSAND</t>
        </is>
      </c>
      <c r="G589" t="n">
        <v>11.5</v>
      </c>
      <c r="H589" t="n">
        <v>0</v>
      </c>
      <c r="I589" t="n">
        <v>0</v>
      </c>
      <c r="J589" t="n">
        <v>0</v>
      </c>
      <c r="K589" t="n">
        <v>0</v>
      </c>
      <c r="L589" t="n">
        <v>0</v>
      </c>
      <c r="M589" t="n">
        <v>0</v>
      </c>
      <c r="N589" t="n">
        <v>0</v>
      </c>
      <c r="O589" t="n">
        <v>0</v>
      </c>
      <c r="P589" t="n">
        <v>0</v>
      </c>
      <c r="Q589" t="n">
        <v>0</v>
      </c>
      <c r="R589" s="2" t="inlineStr"/>
    </row>
    <row r="590" ht="15" customHeight="1">
      <c r="A590" t="inlineStr">
        <is>
          <t>A 61252-2023</t>
        </is>
      </c>
      <c r="B590" s="1" t="n">
        <v>45261</v>
      </c>
      <c r="C590" s="1" t="n">
        <v>45878</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19417-2025</t>
        </is>
      </c>
      <c r="B591" s="1" t="n">
        <v>45769.7234837963</v>
      </c>
      <c r="C591" s="1" t="n">
        <v>45878</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7395-2025</t>
        </is>
      </c>
      <c r="B592" s="1" t="n">
        <v>45705.34516203704</v>
      </c>
      <c r="C592" s="1" t="n">
        <v>45878</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14617-2024</t>
        </is>
      </c>
      <c r="B593" s="1" t="n">
        <v>45397</v>
      </c>
      <c r="C593" s="1" t="n">
        <v>45878</v>
      </c>
      <c r="D593" t="inlineStr">
        <is>
          <t>DALARNAS LÄN</t>
        </is>
      </c>
      <c r="E593" t="inlineStr">
        <is>
          <t>LEKSAND</t>
        </is>
      </c>
      <c r="G593" t="n">
        <v>0.2</v>
      </c>
      <c r="H593" t="n">
        <v>0</v>
      </c>
      <c r="I593" t="n">
        <v>0</v>
      </c>
      <c r="J593" t="n">
        <v>0</v>
      </c>
      <c r="K593" t="n">
        <v>0</v>
      </c>
      <c r="L593" t="n">
        <v>0</v>
      </c>
      <c r="M593" t="n">
        <v>0</v>
      </c>
      <c r="N593" t="n">
        <v>0</v>
      </c>
      <c r="O593" t="n">
        <v>0</v>
      </c>
      <c r="P593" t="n">
        <v>0</v>
      </c>
      <c r="Q593" t="n">
        <v>0</v>
      </c>
      <c r="R593" s="2" t="inlineStr"/>
    </row>
    <row r="594" ht="15" customHeight="1">
      <c r="A594" t="inlineStr">
        <is>
          <t>A 31971-2024</t>
        </is>
      </c>
      <c r="B594" s="1" t="n">
        <v>45510.55171296297</v>
      </c>
      <c r="C594" s="1" t="n">
        <v>45878</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46141-2022</t>
        </is>
      </c>
      <c r="B595" s="1" t="n">
        <v>44846</v>
      </c>
      <c r="C595" s="1" t="n">
        <v>45878</v>
      </c>
      <c r="D595" t="inlineStr">
        <is>
          <t>DALARNAS LÄN</t>
        </is>
      </c>
      <c r="E595" t="inlineStr">
        <is>
          <t>LEKSAND</t>
        </is>
      </c>
      <c r="G595" t="n">
        <v>2.8</v>
      </c>
      <c r="H595" t="n">
        <v>0</v>
      </c>
      <c r="I595" t="n">
        <v>0</v>
      </c>
      <c r="J595" t="n">
        <v>0</v>
      </c>
      <c r="K595" t="n">
        <v>0</v>
      </c>
      <c r="L595" t="n">
        <v>0</v>
      </c>
      <c r="M595" t="n">
        <v>0</v>
      </c>
      <c r="N595" t="n">
        <v>0</v>
      </c>
      <c r="O595" t="n">
        <v>0</v>
      </c>
      <c r="P595" t="n">
        <v>0</v>
      </c>
      <c r="Q595" t="n">
        <v>0</v>
      </c>
      <c r="R595" s="2" t="inlineStr"/>
    </row>
    <row r="596" ht="15" customHeight="1">
      <c r="A596" t="inlineStr">
        <is>
          <t>A 61546-2021</t>
        </is>
      </c>
      <c r="B596" s="1" t="n">
        <v>44501</v>
      </c>
      <c r="C596" s="1" t="n">
        <v>45878</v>
      </c>
      <c r="D596" t="inlineStr">
        <is>
          <t>DALARNAS LÄN</t>
        </is>
      </c>
      <c r="E596" t="inlineStr">
        <is>
          <t>LEKSAND</t>
        </is>
      </c>
      <c r="G596" t="n">
        <v>3</v>
      </c>
      <c r="H596" t="n">
        <v>0</v>
      </c>
      <c r="I596" t="n">
        <v>0</v>
      </c>
      <c r="J596" t="n">
        <v>0</v>
      </c>
      <c r="K596" t="n">
        <v>0</v>
      </c>
      <c r="L596" t="n">
        <v>0</v>
      </c>
      <c r="M596" t="n">
        <v>0</v>
      </c>
      <c r="N596" t="n">
        <v>0</v>
      </c>
      <c r="O596" t="n">
        <v>0</v>
      </c>
      <c r="P596" t="n">
        <v>0</v>
      </c>
      <c r="Q596" t="n">
        <v>0</v>
      </c>
      <c r="R596" s="2" t="inlineStr"/>
    </row>
    <row r="597" ht="15" customHeight="1">
      <c r="A597" t="inlineStr">
        <is>
          <t>A 36190-2025</t>
        </is>
      </c>
      <c r="B597" s="1" t="n">
        <v>45867</v>
      </c>
      <c r="C597" s="1" t="n">
        <v>45878</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29729-2025</t>
        </is>
      </c>
      <c r="B598" s="1" t="n">
        <v>45825.58077546296</v>
      </c>
      <c r="C598" s="1" t="n">
        <v>45878</v>
      </c>
      <c r="D598" t="inlineStr">
        <is>
          <t>DALARNAS LÄN</t>
        </is>
      </c>
      <c r="E598" t="inlineStr">
        <is>
          <t>LEKSAND</t>
        </is>
      </c>
      <c r="F598" t="inlineStr">
        <is>
          <t>Bergvik skog väst AB</t>
        </is>
      </c>
      <c r="G598" t="n">
        <v>4.3</v>
      </c>
      <c r="H598" t="n">
        <v>0</v>
      </c>
      <c r="I598" t="n">
        <v>0</v>
      </c>
      <c r="J598" t="n">
        <v>0</v>
      </c>
      <c r="K598" t="n">
        <v>0</v>
      </c>
      <c r="L598" t="n">
        <v>0</v>
      </c>
      <c r="M598" t="n">
        <v>0</v>
      </c>
      <c r="N598" t="n">
        <v>0</v>
      </c>
      <c r="O598" t="n">
        <v>0</v>
      </c>
      <c r="P598" t="n">
        <v>0</v>
      </c>
      <c r="Q598" t="n">
        <v>0</v>
      </c>
      <c r="R598" s="2" t="inlineStr"/>
    </row>
    <row r="599" ht="15" customHeight="1">
      <c r="A599" t="inlineStr">
        <is>
          <t>A 7653-2025</t>
        </is>
      </c>
      <c r="B599" s="1" t="n">
        <v>45705.95238425926</v>
      </c>
      <c r="C599" s="1" t="n">
        <v>45878</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29553-2025</t>
        </is>
      </c>
      <c r="B600" s="1" t="n">
        <v>45825.35315972222</v>
      </c>
      <c r="C600" s="1" t="n">
        <v>45878</v>
      </c>
      <c r="D600" t="inlineStr">
        <is>
          <t>DALARNAS LÄN</t>
        </is>
      </c>
      <c r="E600" t="inlineStr">
        <is>
          <t>LEKSAND</t>
        </is>
      </c>
      <c r="G600" t="n">
        <v>1.8</v>
      </c>
      <c r="H600" t="n">
        <v>0</v>
      </c>
      <c r="I600" t="n">
        <v>0</v>
      </c>
      <c r="J600" t="n">
        <v>0</v>
      </c>
      <c r="K600" t="n">
        <v>0</v>
      </c>
      <c r="L600" t="n">
        <v>0</v>
      </c>
      <c r="M600" t="n">
        <v>0</v>
      </c>
      <c r="N600" t="n">
        <v>0</v>
      </c>
      <c r="O600" t="n">
        <v>0</v>
      </c>
      <c r="P600" t="n">
        <v>0</v>
      </c>
      <c r="Q600" t="n">
        <v>0</v>
      </c>
      <c r="R600" s="2" t="inlineStr"/>
    </row>
    <row r="601" ht="15" customHeight="1">
      <c r="A601" t="inlineStr">
        <is>
          <t>A 41853-2023</t>
        </is>
      </c>
      <c r="B601" s="1" t="n">
        <v>45176.62483796296</v>
      </c>
      <c r="C601" s="1" t="n">
        <v>45878</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62116-2024</t>
        </is>
      </c>
      <c r="B602" s="1" t="n">
        <v>45646</v>
      </c>
      <c r="C602" s="1" t="n">
        <v>45878</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30254-2025</t>
        </is>
      </c>
      <c r="B603" s="1" t="n">
        <v>45827.42336805556</v>
      </c>
      <c r="C603" s="1" t="n">
        <v>45878</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23892-2025</t>
        </is>
      </c>
      <c r="B604" s="1" t="n">
        <v>45793</v>
      </c>
      <c r="C604" s="1" t="n">
        <v>45878</v>
      </c>
      <c r="D604" t="inlineStr">
        <is>
          <t>DALARNAS LÄN</t>
        </is>
      </c>
      <c r="E604" t="inlineStr">
        <is>
          <t>LEKSAND</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36540-2025</t>
        </is>
      </c>
      <c r="B605" s="1" t="n">
        <v>45869.63885416667</v>
      </c>
      <c r="C605" s="1" t="n">
        <v>45878</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15986-2025</t>
        </is>
      </c>
      <c r="B606" s="1" t="n">
        <v>45749.57331018519</v>
      </c>
      <c r="C606" s="1" t="n">
        <v>45878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62295-2023</t>
        </is>
      </c>
      <c r="B607" s="1" t="n">
        <v>45267</v>
      </c>
      <c r="C607" s="1" t="n">
        <v>45878</v>
      </c>
      <c r="D607" t="inlineStr">
        <is>
          <t>DALARNAS LÄN</t>
        </is>
      </c>
      <c r="E607" t="inlineStr">
        <is>
          <t>LEKSAND</t>
        </is>
      </c>
      <c r="G607" t="n">
        <v>2.5</v>
      </c>
      <c r="H607" t="n">
        <v>0</v>
      </c>
      <c r="I607" t="n">
        <v>0</v>
      </c>
      <c r="J607" t="n">
        <v>0</v>
      </c>
      <c r="K607" t="n">
        <v>0</v>
      </c>
      <c r="L607" t="n">
        <v>0</v>
      </c>
      <c r="M607" t="n">
        <v>0</v>
      </c>
      <c r="N607" t="n">
        <v>0</v>
      </c>
      <c r="O607" t="n">
        <v>0</v>
      </c>
      <c r="P607" t="n">
        <v>0</v>
      </c>
      <c r="Q607" t="n">
        <v>0</v>
      </c>
      <c r="R607" s="2" t="inlineStr"/>
    </row>
    <row r="608" ht="15" customHeight="1">
      <c r="A608" t="inlineStr">
        <is>
          <t>A 62993-2023</t>
        </is>
      </c>
      <c r="B608" s="1" t="n">
        <v>45272</v>
      </c>
      <c r="C608" s="1" t="n">
        <v>45878</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10771-2024</t>
        </is>
      </c>
      <c r="B609" s="1" t="n">
        <v>45369.57342592593</v>
      </c>
      <c r="C609" s="1" t="n">
        <v>45878</v>
      </c>
      <c r="D609" t="inlineStr">
        <is>
          <t>DALARNAS LÄN</t>
        </is>
      </c>
      <c r="E609" t="inlineStr">
        <is>
          <t>LEKSAND</t>
        </is>
      </c>
      <c r="G609" t="n">
        <v>0.4</v>
      </c>
      <c r="H609" t="n">
        <v>0</v>
      </c>
      <c r="I609" t="n">
        <v>0</v>
      </c>
      <c r="J609" t="n">
        <v>0</v>
      </c>
      <c r="K609" t="n">
        <v>0</v>
      </c>
      <c r="L609" t="n">
        <v>0</v>
      </c>
      <c r="M609" t="n">
        <v>0</v>
      </c>
      <c r="N609" t="n">
        <v>0</v>
      </c>
      <c r="O609" t="n">
        <v>0</v>
      </c>
      <c r="P609" t="n">
        <v>0</v>
      </c>
      <c r="Q609" t="n">
        <v>0</v>
      </c>
      <c r="R609" s="2" t="inlineStr"/>
    </row>
    <row r="610" ht="15" customHeight="1">
      <c r="A610" t="inlineStr">
        <is>
          <t>A 61933-2023</t>
        </is>
      </c>
      <c r="B610" s="1" t="n">
        <v>45266</v>
      </c>
      <c r="C610" s="1" t="n">
        <v>45878</v>
      </c>
      <c r="D610" t="inlineStr">
        <is>
          <t>DALARNAS LÄN</t>
        </is>
      </c>
      <c r="E610" t="inlineStr">
        <is>
          <t>LEKSAND</t>
        </is>
      </c>
      <c r="G610" t="n">
        <v>0.2</v>
      </c>
      <c r="H610" t="n">
        <v>0</v>
      </c>
      <c r="I610" t="n">
        <v>0</v>
      </c>
      <c r="J610" t="n">
        <v>0</v>
      </c>
      <c r="K610" t="n">
        <v>0</v>
      </c>
      <c r="L610" t="n">
        <v>0</v>
      </c>
      <c r="M610" t="n">
        <v>0</v>
      </c>
      <c r="N610" t="n">
        <v>0</v>
      </c>
      <c r="O610" t="n">
        <v>0</v>
      </c>
      <c r="P610" t="n">
        <v>0</v>
      </c>
      <c r="Q610" t="n">
        <v>0</v>
      </c>
      <c r="R610" s="2" t="inlineStr"/>
    </row>
    <row r="611" ht="15" customHeight="1">
      <c r="A611" t="inlineStr">
        <is>
          <t>A 33198-2022</t>
        </is>
      </c>
      <c r="B611" s="1" t="n">
        <v>44785.68597222222</v>
      </c>
      <c r="C611" s="1" t="n">
        <v>45878</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15619-2025</t>
        </is>
      </c>
      <c r="B612" s="1" t="n">
        <v>45747</v>
      </c>
      <c r="C612" s="1" t="n">
        <v>45878</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46931-2023</t>
        </is>
      </c>
      <c r="B613" s="1" t="n">
        <v>45201</v>
      </c>
      <c r="C613" s="1" t="n">
        <v>45878</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30917-2025</t>
        </is>
      </c>
      <c r="B614" s="1" t="n">
        <v>45832.37989583334</v>
      </c>
      <c r="C614" s="1" t="n">
        <v>45878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31179-2025</t>
        </is>
      </c>
      <c r="B615" s="1" t="n">
        <v>45832.67648148148</v>
      </c>
      <c r="C615" s="1" t="n">
        <v>45878</v>
      </c>
      <c r="D615" t="inlineStr">
        <is>
          <t>DALARNAS LÄN</t>
        </is>
      </c>
      <c r="E615" t="inlineStr">
        <is>
          <t>LEKSAND</t>
        </is>
      </c>
      <c r="G615" t="n">
        <v>4.7</v>
      </c>
      <c r="H615" t="n">
        <v>0</v>
      </c>
      <c r="I615" t="n">
        <v>0</v>
      </c>
      <c r="J615" t="n">
        <v>0</v>
      </c>
      <c r="K615" t="n">
        <v>0</v>
      </c>
      <c r="L615" t="n">
        <v>0</v>
      </c>
      <c r="M615" t="n">
        <v>0</v>
      </c>
      <c r="N615" t="n">
        <v>0</v>
      </c>
      <c r="O615" t="n">
        <v>0</v>
      </c>
      <c r="P615" t="n">
        <v>0</v>
      </c>
      <c r="Q615" t="n">
        <v>0</v>
      </c>
      <c r="R615" s="2" t="inlineStr"/>
    </row>
    <row r="616" ht="15" customHeight="1">
      <c r="A616" t="inlineStr">
        <is>
          <t>A 30969-2025</t>
        </is>
      </c>
      <c r="B616" s="1" t="n">
        <v>45832.45914351852</v>
      </c>
      <c r="C616" s="1" t="n">
        <v>45878</v>
      </c>
      <c r="D616" t="inlineStr">
        <is>
          <t>DALARNAS LÄN</t>
        </is>
      </c>
      <c r="E616" t="inlineStr">
        <is>
          <t>LEKSAND</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17483-2025</t>
        </is>
      </c>
      <c r="B617" s="1" t="n">
        <v>45757.49408564815</v>
      </c>
      <c r="C617" s="1" t="n">
        <v>45878</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30911-2025</t>
        </is>
      </c>
      <c r="B618" s="1" t="n">
        <v>45832.37547453704</v>
      </c>
      <c r="C618" s="1" t="n">
        <v>45878</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17759-2023</t>
        </is>
      </c>
      <c r="B619" s="1" t="n">
        <v>45037.48765046296</v>
      </c>
      <c r="C619" s="1" t="n">
        <v>45878</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43220-2024</t>
        </is>
      </c>
      <c r="B620" s="1" t="n">
        <v>45567.86112268519</v>
      </c>
      <c r="C620" s="1" t="n">
        <v>45878</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55015-2024</t>
        </is>
      </c>
      <c r="B621" s="1" t="n">
        <v>45621.35554398148</v>
      </c>
      <c r="C621" s="1" t="n">
        <v>45878</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34039-2024</t>
        </is>
      </c>
      <c r="B622" s="1" t="n">
        <v>45523.5974537037</v>
      </c>
      <c r="C622" s="1" t="n">
        <v>45878</v>
      </c>
      <c r="D622" t="inlineStr">
        <is>
          <t>DALARNAS LÄN</t>
        </is>
      </c>
      <c r="E622" t="inlineStr">
        <is>
          <t>LEKSAND</t>
        </is>
      </c>
      <c r="G622" t="n">
        <v>7.1</v>
      </c>
      <c r="H622" t="n">
        <v>0</v>
      </c>
      <c r="I622" t="n">
        <v>0</v>
      </c>
      <c r="J622" t="n">
        <v>0</v>
      </c>
      <c r="K622" t="n">
        <v>0</v>
      </c>
      <c r="L622" t="n">
        <v>0</v>
      </c>
      <c r="M622" t="n">
        <v>0</v>
      </c>
      <c r="N622" t="n">
        <v>0</v>
      </c>
      <c r="O622" t="n">
        <v>0</v>
      </c>
      <c r="P622" t="n">
        <v>0</v>
      </c>
      <c r="Q622" t="n">
        <v>0</v>
      </c>
      <c r="R622" s="2" t="inlineStr"/>
    </row>
    <row r="623" ht="15" customHeight="1">
      <c r="A623" t="inlineStr">
        <is>
          <t>A 46505-2023</t>
        </is>
      </c>
      <c r="B623" s="1" t="n">
        <v>45197</v>
      </c>
      <c r="C623" s="1" t="n">
        <v>45878</v>
      </c>
      <c r="D623" t="inlineStr">
        <is>
          <t>DALARNAS LÄN</t>
        </is>
      </c>
      <c r="E623" t="inlineStr">
        <is>
          <t>LEKSAND</t>
        </is>
      </c>
      <c r="G623" t="n">
        <v>2.3</v>
      </c>
      <c r="H623" t="n">
        <v>0</v>
      </c>
      <c r="I623" t="n">
        <v>0</v>
      </c>
      <c r="J623" t="n">
        <v>0</v>
      </c>
      <c r="K623" t="n">
        <v>0</v>
      </c>
      <c r="L623" t="n">
        <v>0</v>
      </c>
      <c r="M623" t="n">
        <v>0</v>
      </c>
      <c r="N623" t="n">
        <v>0</v>
      </c>
      <c r="O623" t="n">
        <v>0</v>
      </c>
      <c r="P623" t="n">
        <v>0</v>
      </c>
      <c r="Q623" t="n">
        <v>0</v>
      </c>
      <c r="R623" s="2" t="inlineStr"/>
    </row>
    <row r="624" ht="15" customHeight="1">
      <c r="A624" t="inlineStr">
        <is>
          <t>A 481-2024</t>
        </is>
      </c>
      <c r="B624" s="1" t="n">
        <v>45298</v>
      </c>
      <c r="C624" s="1" t="n">
        <v>45878</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30920-2025</t>
        </is>
      </c>
      <c r="B625" s="1" t="n">
        <v>45832.38484953704</v>
      </c>
      <c r="C625" s="1" t="n">
        <v>45878</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30916-2025</t>
        </is>
      </c>
      <c r="B626" s="1" t="n">
        <v>45832.37885416667</v>
      </c>
      <c r="C626" s="1" t="n">
        <v>45878</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30973-2025</t>
        </is>
      </c>
      <c r="B627" s="1" t="n">
        <v>45832.46300925926</v>
      </c>
      <c r="C627" s="1" t="n">
        <v>45878</v>
      </c>
      <c r="D627" t="inlineStr">
        <is>
          <t>DALARNAS LÄN</t>
        </is>
      </c>
      <c r="E627" t="inlineStr">
        <is>
          <t>LEKSAND</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50278-2023</t>
        </is>
      </c>
      <c r="B628" s="1" t="n">
        <v>45216.43444444444</v>
      </c>
      <c r="C628" s="1" t="n">
        <v>45878</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31189-2025</t>
        </is>
      </c>
      <c r="B629" s="1" t="n">
        <v>45832.6799537037</v>
      </c>
      <c r="C629" s="1" t="n">
        <v>45878</v>
      </c>
      <c r="D629" t="inlineStr">
        <is>
          <t>DALARNAS LÄN</t>
        </is>
      </c>
      <c r="E629" t="inlineStr">
        <is>
          <t>LEKSAND</t>
        </is>
      </c>
      <c r="G629" t="n">
        <v>5</v>
      </c>
      <c r="H629" t="n">
        <v>0</v>
      </c>
      <c r="I629" t="n">
        <v>0</v>
      </c>
      <c r="J629" t="n">
        <v>0</v>
      </c>
      <c r="K629" t="n">
        <v>0</v>
      </c>
      <c r="L629" t="n">
        <v>0</v>
      </c>
      <c r="M629" t="n">
        <v>0</v>
      </c>
      <c r="N629" t="n">
        <v>0</v>
      </c>
      <c r="O629" t="n">
        <v>0</v>
      </c>
      <c r="P629" t="n">
        <v>0</v>
      </c>
      <c r="Q629" t="n">
        <v>0</v>
      </c>
      <c r="R629" s="2" t="inlineStr"/>
    </row>
    <row r="630" ht="15" customHeight="1">
      <c r="A630" t="inlineStr">
        <is>
          <t>A 16197-2024</t>
        </is>
      </c>
      <c r="B630" s="1" t="n">
        <v>45406.70356481482</v>
      </c>
      <c r="C630" s="1" t="n">
        <v>45878</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5453-2025</t>
        </is>
      </c>
      <c r="B631" s="1" t="n">
        <v>45692.95231481481</v>
      </c>
      <c r="C631" s="1" t="n">
        <v>45878</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57925-2024</t>
        </is>
      </c>
      <c r="B632" s="1" t="n">
        <v>45630</v>
      </c>
      <c r="C632" s="1" t="n">
        <v>45878</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37044-2025</t>
        </is>
      </c>
      <c r="B633" s="1" t="n">
        <v>45875.3437037037</v>
      </c>
      <c r="C633" s="1" t="n">
        <v>45878</v>
      </c>
      <c r="D633" t="inlineStr">
        <is>
          <t>DALARNAS LÄN</t>
        </is>
      </c>
      <c r="E633" t="inlineStr">
        <is>
          <t>LEKSAND</t>
        </is>
      </c>
      <c r="G633" t="n">
        <v>5.7</v>
      </c>
      <c r="H633" t="n">
        <v>0</v>
      </c>
      <c r="I633" t="n">
        <v>0</v>
      </c>
      <c r="J633" t="n">
        <v>0</v>
      </c>
      <c r="K633" t="n">
        <v>0</v>
      </c>
      <c r="L633" t="n">
        <v>0</v>
      </c>
      <c r="M633" t="n">
        <v>0</v>
      </c>
      <c r="N633" t="n">
        <v>0</v>
      </c>
      <c r="O633" t="n">
        <v>0</v>
      </c>
      <c r="P633" t="n">
        <v>0</v>
      </c>
      <c r="Q633" t="n">
        <v>0</v>
      </c>
      <c r="R633" s="2" t="inlineStr"/>
    </row>
    <row r="634" ht="15" customHeight="1">
      <c r="A634" t="inlineStr">
        <is>
          <t>A 31619-2025</t>
        </is>
      </c>
      <c r="B634" s="1" t="n">
        <v>45833</v>
      </c>
      <c r="C634" s="1" t="n">
        <v>45878</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27445-2024</t>
        </is>
      </c>
      <c r="B635" s="1" t="n">
        <v>45474.42474537037</v>
      </c>
      <c r="C635" s="1" t="n">
        <v>45878</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27446-2024</t>
        </is>
      </c>
      <c r="B636" s="1" t="n">
        <v>45474.42671296297</v>
      </c>
      <c r="C636" s="1" t="n">
        <v>45878</v>
      </c>
      <c r="D636" t="inlineStr">
        <is>
          <t>DALARNAS LÄN</t>
        </is>
      </c>
      <c r="E636" t="inlineStr">
        <is>
          <t>LEKSAND</t>
        </is>
      </c>
      <c r="G636" t="n">
        <v>2.9</v>
      </c>
      <c r="H636" t="n">
        <v>0</v>
      </c>
      <c r="I636" t="n">
        <v>0</v>
      </c>
      <c r="J636" t="n">
        <v>0</v>
      </c>
      <c r="K636" t="n">
        <v>0</v>
      </c>
      <c r="L636" t="n">
        <v>0</v>
      </c>
      <c r="M636" t="n">
        <v>0</v>
      </c>
      <c r="N636" t="n">
        <v>0</v>
      </c>
      <c r="O636" t="n">
        <v>0</v>
      </c>
      <c r="P636" t="n">
        <v>0</v>
      </c>
      <c r="Q636" t="n">
        <v>0</v>
      </c>
      <c r="R636" s="2" t="inlineStr"/>
    </row>
    <row r="637" ht="15" customHeight="1">
      <c r="A637" t="inlineStr">
        <is>
          <t>A 18837-2023</t>
        </is>
      </c>
      <c r="B637" s="1" t="n">
        <v>45044.42940972222</v>
      </c>
      <c r="C637" s="1" t="n">
        <v>45878</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12646-2025</t>
        </is>
      </c>
      <c r="B638" s="1" t="n">
        <v>45733.39496527778</v>
      </c>
      <c r="C638" s="1" t="n">
        <v>45878</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17730-2024</t>
        </is>
      </c>
      <c r="B639" s="1" t="n">
        <v>45418</v>
      </c>
      <c r="C639" s="1" t="n">
        <v>45878</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31446-2025</t>
        </is>
      </c>
      <c r="B640" s="1" t="n">
        <v>45833</v>
      </c>
      <c r="C640" s="1" t="n">
        <v>45878</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64933-2023</t>
        </is>
      </c>
      <c r="B641" s="1" t="n">
        <v>45282</v>
      </c>
      <c r="C641" s="1" t="n">
        <v>45878</v>
      </c>
      <c r="D641" t="inlineStr">
        <is>
          <t>DALARNAS LÄN</t>
        </is>
      </c>
      <c r="E641" t="inlineStr">
        <is>
          <t>LEKSAND</t>
        </is>
      </c>
      <c r="G641" t="n">
        <v>2.3</v>
      </c>
      <c r="H641" t="n">
        <v>0</v>
      </c>
      <c r="I641" t="n">
        <v>0</v>
      </c>
      <c r="J641" t="n">
        <v>0</v>
      </c>
      <c r="K641" t="n">
        <v>0</v>
      </c>
      <c r="L641" t="n">
        <v>0</v>
      </c>
      <c r="M641" t="n">
        <v>0</v>
      </c>
      <c r="N641" t="n">
        <v>0</v>
      </c>
      <c r="O641" t="n">
        <v>0</v>
      </c>
      <c r="P641" t="n">
        <v>0</v>
      </c>
      <c r="Q641" t="n">
        <v>0</v>
      </c>
      <c r="R641" s="2" t="inlineStr"/>
    </row>
    <row r="642" ht="15" customHeight="1">
      <c r="A642" t="inlineStr">
        <is>
          <t>A 31787-2025</t>
        </is>
      </c>
      <c r="B642" s="1" t="n">
        <v>45834</v>
      </c>
      <c r="C642" s="1" t="n">
        <v>45878</v>
      </c>
      <c r="D642" t="inlineStr">
        <is>
          <t>DALARNAS LÄN</t>
        </is>
      </c>
      <c r="E642" t="inlineStr">
        <is>
          <t>LEKSAND</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31493-2025</t>
        </is>
      </c>
      <c r="B643" s="1" t="n">
        <v>45833</v>
      </c>
      <c r="C643" s="1" t="n">
        <v>45878</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39620-2024</t>
        </is>
      </c>
      <c r="B644" s="1" t="n">
        <v>45552.43163194445</v>
      </c>
      <c r="C644" s="1" t="n">
        <v>45878</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57907-2024</t>
        </is>
      </c>
      <c r="B645" s="1" t="n">
        <v>45630</v>
      </c>
      <c r="C645" s="1" t="n">
        <v>45878</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59236-2024</t>
        </is>
      </c>
      <c r="B646" s="1" t="n">
        <v>45637.58795138889</v>
      </c>
      <c r="C646" s="1" t="n">
        <v>45878</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56749-2024</t>
        </is>
      </c>
      <c r="B647" s="1" t="n">
        <v>45628.37487268518</v>
      </c>
      <c r="C647" s="1" t="n">
        <v>45878</v>
      </c>
      <c r="D647" t="inlineStr">
        <is>
          <t>DALARNAS LÄN</t>
        </is>
      </c>
      <c r="E647" t="inlineStr">
        <is>
          <t>LEKSAND</t>
        </is>
      </c>
      <c r="G647" t="n">
        <v>5</v>
      </c>
      <c r="H647" t="n">
        <v>0</v>
      </c>
      <c r="I647" t="n">
        <v>0</v>
      </c>
      <c r="J647" t="n">
        <v>0</v>
      </c>
      <c r="K647" t="n">
        <v>0</v>
      </c>
      <c r="L647" t="n">
        <v>0</v>
      </c>
      <c r="M647" t="n">
        <v>0</v>
      </c>
      <c r="N647" t="n">
        <v>0</v>
      </c>
      <c r="O647" t="n">
        <v>0</v>
      </c>
      <c r="P647" t="n">
        <v>0</v>
      </c>
      <c r="Q647" t="n">
        <v>0</v>
      </c>
      <c r="R647" s="2" t="inlineStr"/>
    </row>
    <row r="648" ht="15" customHeight="1">
      <c r="A648" t="inlineStr">
        <is>
          <t>A 34038-2024</t>
        </is>
      </c>
      <c r="B648" s="1" t="n">
        <v>45523.59578703704</v>
      </c>
      <c r="C648" s="1" t="n">
        <v>45878</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34041-2024</t>
        </is>
      </c>
      <c r="B649" s="1" t="n">
        <v>45523.59895833334</v>
      </c>
      <c r="C649" s="1" t="n">
        <v>45878</v>
      </c>
      <c r="D649" t="inlineStr">
        <is>
          <t>DALARNAS LÄN</t>
        </is>
      </c>
      <c r="E649" t="inlineStr">
        <is>
          <t>LEKSAND</t>
        </is>
      </c>
      <c r="G649" t="n">
        <v>4</v>
      </c>
      <c r="H649" t="n">
        <v>0</v>
      </c>
      <c r="I649" t="n">
        <v>0</v>
      </c>
      <c r="J649" t="n">
        <v>0</v>
      </c>
      <c r="K649" t="n">
        <v>0</v>
      </c>
      <c r="L649" t="n">
        <v>0</v>
      </c>
      <c r="M649" t="n">
        <v>0</v>
      </c>
      <c r="N649" t="n">
        <v>0</v>
      </c>
      <c r="O649" t="n">
        <v>0</v>
      </c>
      <c r="P649" t="n">
        <v>0</v>
      </c>
      <c r="Q649" t="n">
        <v>0</v>
      </c>
      <c r="R649" s="2" t="inlineStr"/>
    </row>
    <row r="650" ht="15" customHeight="1">
      <c r="A650" t="inlineStr">
        <is>
          <t>A 41093-2020</t>
        </is>
      </c>
      <c r="B650" s="1" t="n">
        <v>44071</v>
      </c>
      <c r="C650" s="1" t="n">
        <v>45878</v>
      </c>
      <c r="D650" t="inlineStr">
        <is>
          <t>DALARNAS LÄN</t>
        </is>
      </c>
      <c r="E650" t="inlineStr">
        <is>
          <t>LEKSAND</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10833-2023</t>
        </is>
      </c>
      <c r="B651" s="1" t="n">
        <v>44990</v>
      </c>
      <c r="C651" s="1" t="n">
        <v>45878</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17233-2023</t>
        </is>
      </c>
      <c r="B652" s="1" t="n">
        <v>45035</v>
      </c>
      <c r="C652" s="1" t="n">
        <v>45878</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16231-2021</t>
        </is>
      </c>
      <c r="B653" s="1" t="n">
        <v>44292</v>
      </c>
      <c r="C653" s="1" t="n">
        <v>45878</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12857-2023</t>
        </is>
      </c>
      <c r="B654" s="1" t="n">
        <v>45001.5000462963</v>
      </c>
      <c r="C654" s="1" t="n">
        <v>45878</v>
      </c>
      <c r="D654" t="inlineStr">
        <is>
          <t>DALARNAS LÄN</t>
        </is>
      </c>
      <c r="E654" t="inlineStr">
        <is>
          <t>LEKSAND</t>
        </is>
      </c>
      <c r="G654" t="n">
        <v>0.2</v>
      </c>
      <c r="H654" t="n">
        <v>0</v>
      </c>
      <c r="I654" t="n">
        <v>0</v>
      </c>
      <c r="J654" t="n">
        <v>0</v>
      </c>
      <c r="K654" t="n">
        <v>0</v>
      </c>
      <c r="L654" t="n">
        <v>0</v>
      </c>
      <c r="M654" t="n">
        <v>0</v>
      </c>
      <c r="N654" t="n">
        <v>0</v>
      </c>
      <c r="O654" t="n">
        <v>0</v>
      </c>
      <c r="P654" t="n">
        <v>0</v>
      </c>
      <c r="Q654" t="n">
        <v>0</v>
      </c>
      <c r="R654" s="2" t="inlineStr"/>
    </row>
    <row r="655" ht="15" customHeight="1">
      <c r="A655" t="inlineStr">
        <is>
          <t>A 28674-2024</t>
        </is>
      </c>
      <c r="B655" s="1" t="n">
        <v>45478.47863425926</v>
      </c>
      <c r="C655" s="1" t="n">
        <v>45878</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45878</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27317-2021</t>
        </is>
      </c>
      <c r="B657" s="1" t="n">
        <v>44351</v>
      </c>
      <c r="C657" s="1" t="n">
        <v>45878</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61055-2023</t>
        </is>
      </c>
      <c r="B658" s="1" t="n">
        <v>45261</v>
      </c>
      <c r="C658" s="1" t="n">
        <v>45878</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10743-2024</t>
        </is>
      </c>
      <c r="B659" s="1" t="n">
        <v>45369.52167824074</v>
      </c>
      <c r="C659" s="1" t="n">
        <v>45878</v>
      </c>
      <c r="D659" t="inlineStr">
        <is>
          <t>DALARNAS LÄN</t>
        </is>
      </c>
      <c r="E659" t="inlineStr">
        <is>
          <t>LEKSAND</t>
        </is>
      </c>
      <c r="G659" t="n">
        <v>2.7</v>
      </c>
      <c r="H659" t="n">
        <v>0</v>
      </c>
      <c r="I659" t="n">
        <v>0</v>
      </c>
      <c r="J659" t="n">
        <v>0</v>
      </c>
      <c r="K659" t="n">
        <v>0</v>
      </c>
      <c r="L659" t="n">
        <v>0</v>
      </c>
      <c r="M659" t="n">
        <v>0</v>
      </c>
      <c r="N659" t="n">
        <v>0</v>
      </c>
      <c r="O659" t="n">
        <v>0</v>
      </c>
      <c r="P659" t="n">
        <v>0</v>
      </c>
      <c r="Q659" t="n">
        <v>0</v>
      </c>
      <c r="R659" s="2" t="inlineStr"/>
    </row>
    <row r="660" ht="15" customHeight="1">
      <c r="A660" t="inlineStr">
        <is>
          <t>A 10367-2023</t>
        </is>
      </c>
      <c r="B660" s="1" t="n">
        <v>44987</v>
      </c>
      <c r="C660" s="1" t="n">
        <v>45878</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25251-2024</t>
        </is>
      </c>
      <c r="B661" s="1" t="n">
        <v>45462.60913194445</v>
      </c>
      <c r="C661" s="1" t="n">
        <v>45878</v>
      </c>
      <c r="D661" t="inlineStr">
        <is>
          <t>DALARNAS LÄN</t>
        </is>
      </c>
      <c r="E661" t="inlineStr">
        <is>
          <t>LEKSAND</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1946-2024</t>
        </is>
      </c>
      <c r="B662" s="1" t="n">
        <v>45308</v>
      </c>
      <c r="C662" s="1" t="n">
        <v>45878</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59763-2023</t>
        </is>
      </c>
      <c r="B663" s="1" t="n">
        <v>45257</v>
      </c>
      <c r="C663" s="1" t="n">
        <v>45878</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17533-2023</t>
        </is>
      </c>
      <c r="B664" s="1" t="n">
        <v>45036</v>
      </c>
      <c r="C664" s="1" t="n">
        <v>45878</v>
      </c>
      <c r="D664" t="inlineStr">
        <is>
          <t>DALARNAS LÄN</t>
        </is>
      </c>
      <c r="E664" t="inlineStr">
        <is>
          <t>LEKSAND</t>
        </is>
      </c>
      <c r="G664" t="n">
        <v>3</v>
      </c>
      <c r="H664" t="n">
        <v>0</v>
      </c>
      <c r="I664" t="n">
        <v>0</v>
      </c>
      <c r="J664" t="n">
        <v>0</v>
      </c>
      <c r="K664" t="n">
        <v>0</v>
      </c>
      <c r="L664" t="n">
        <v>0</v>
      </c>
      <c r="M664" t="n">
        <v>0</v>
      </c>
      <c r="N664" t="n">
        <v>0</v>
      </c>
      <c r="O664" t="n">
        <v>0</v>
      </c>
      <c r="P664" t="n">
        <v>0</v>
      </c>
      <c r="Q664" t="n">
        <v>0</v>
      </c>
      <c r="R664" s="2" t="inlineStr"/>
    </row>
    <row r="665" ht="15" customHeight="1">
      <c r="A665" t="inlineStr">
        <is>
          <t>A 49397-2024</t>
        </is>
      </c>
      <c r="B665" s="1" t="n">
        <v>45595</v>
      </c>
      <c r="C665" s="1" t="n">
        <v>45878</v>
      </c>
      <c r="D665" t="inlineStr">
        <is>
          <t>DALARNAS LÄN</t>
        </is>
      </c>
      <c r="E665" t="inlineStr">
        <is>
          <t>LEKSAND</t>
        </is>
      </c>
      <c r="G665" t="n">
        <v>4.3</v>
      </c>
      <c r="H665" t="n">
        <v>0</v>
      </c>
      <c r="I665" t="n">
        <v>0</v>
      </c>
      <c r="J665" t="n">
        <v>0</v>
      </c>
      <c r="K665" t="n">
        <v>0</v>
      </c>
      <c r="L665" t="n">
        <v>0</v>
      </c>
      <c r="M665" t="n">
        <v>0</v>
      </c>
      <c r="N665" t="n">
        <v>0</v>
      </c>
      <c r="O665" t="n">
        <v>0</v>
      </c>
      <c r="P665" t="n">
        <v>0</v>
      </c>
      <c r="Q665" t="n">
        <v>0</v>
      </c>
      <c r="R665" s="2" t="inlineStr"/>
    </row>
    <row r="666" ht="15" customHeight="1">
      <c r="A666" t="inlineStr">
        <is>
          <t>A 14661-2024</t>
        </is>
      </c>
      <c r="B666" s="1" t="n">
        <v>45397.41141203704</v>
      </c>
      <c r="C666" s="1" t="n">
        <v>45878</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6027-2025</t>
        </is>
      </c>
      <c r="B667" s="1" t="n">
        <v>45695</v>
      </c>
      <c r="C667" s="1" t="n">
        <v>45878</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53717-2023</t>
        </is>
      </c>
      <c r="B668" s="1" t="n">
        <v>45230</v>
      </c>
      <c r="C668" s="1" t="n">
        <v>45878</v>
      </c>
      <c r="D668" t="inlineStr">
        <is>
          <t>DALARNAS LÄN</t>
        </is>
      </c>
      <c r="E668" t="inlineStr">
        <is>
          <t>LEKSAND</t>
        </is>
      </c>
      <c r="G668" t="n">
        <v>2.4</v>
      </c>
      <c r="H668" t="n">
        <v>0</v>
      </c>
      <c r="I668" t="n">
        <v>0</v>
      </c>
      <c r="J668" t="n">
        <v>0</v>
      </c>
      <c r="K668" t="n">
        <v>0</v>
      </c>
      <c r="L668" t="n">
        <v>0</v>
      </c>
      <c r="M668" t="n">
        <v>0</v>
      </c>
      <c r="N668" t="n">
        <v>0</v>
      </c>
      <c r="O668" t="n">
        <v>0</v>
      </c>
      <c r="P668" t="n">
        <v>0</v>
      </c>
      <c r="Q668" t="n">
        <v>0</v>
      </c>
      <c r="R668" s="2" t="inlineStr"/>
    </row>
    <row r="669" ht="15" customHeight="1">
      <c r="A669" t="inlineStr">
        <is>
          <t>A 43470-2024</t>
        </is>
      </c>
      <c r="B669" s="1" t="n">
        <v>45568</v>
      </c>
      <c r="C669" s="1" t="n">
        <v>45878</v>
      </c>
      <c r="D669" t="inlineStr">
        <is>
          <t>DALARNAS LÄN</t>
        </is>
      </c>
      <c r="E669" t="inlineStr">
        <is>
          <t>LEKSAND</t>
        </is>
      </c>
      <c r="G669" t="n">
        <v>3.1</v>
      </c>
      <c r="H669" t="n">
        <v>0</v>
      </c>
      <c r="I669" t="n">
        <v>0</v>
      </c>
      <c r="J669" t="n">
        <v>0</v>
      </c>
      <c r="K669" t="n">
        <v>0</v>
      </c>
      <c r="L669" t="n">
        <v>0</v>
      </c>
      <c r="M669" t="n">
        <v>0</v>
      </c>
      <c r="N669" t="n">
        <v>0</v>
      </c>
      <c r="O669" t="n">
        <v>0</v>
      </c>
      <c r="P669" t="n">
        <v>0</v>
      </c>
      <c r="Q669" t="n">
        <v>0</v>
      </c>
      <c r="R669" s="2" t="inlineStr"/>
    </row>
    <row r="670" ht="15" customHeight="1">
      <c r="A670" t="inlineStr">
        <is>
          <t>A 60873-2023</t>
        </is>
      </c>
      <c r="B670" s="1" t="n">
        <v>45261.03266203704</v>
      </c>
      <c r="C670" s="1" t="n">
        <v>45878</v>
      </c>
      <c r="D670" t="inlineStr">
        <is>
          <t>DALARNAS LÄN</t>
        </is>
      </c>
      <c r="E670" t="inlineStr">
        <is>
          <t>LEKSAND</t>
        </is>
      </c>
      <c r="G670" t="n">
        <v>5.2</v>
      </c>
      <c r="H670" t="n">
        <v>0</v>
      </c>
      <c r="I670" t="n">
        <v>0</v>
      </c>
      <c r="J670" t="n">
        <v>0</v>
      </c>
      <c r="K670" t="n">
        <v>0</v>
      </c>
      <c r="L670" t="n">
        <v>0</v>
      </c>
      <c r="M670" t="n">
        <v>0</v>
      </c>
      <c r="N670" t="n">
        <v>0</v>
      </c>
      <c r="O670" t="n">
        <v>0</v>
      </c>
      <c r="P670" t="n">
        <v>0</v>
      </c>
      <c r="Q670" t="n">
        <v>0</v>
      </c>
      <c r="R670" s="2" t="inlineStr"/>
    </row>
    <row r="671" ht="15" customHeight="1">
      <c r="A671" t="inlineStr">
        <is>
          <t>A 54914-2024</t>
        </is>
      </c>
      <c r="B671" s="1" t="n">
        <v>45618.69380787037</v>
      </c>
      <c r="C671" s="1" t="n">
        <v>45878</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167-2023</t>
        </is>
      </c>
      <c r="B672" s="1" t="n">
        <v>44918</v>
      </c>
      <c r="C672" s="1" t="n">
        <v>45878</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56950-2024</t>
        </is>
      </c>
      <c r="B673" s="1" t="n">
        <v>45625</v>
      </c>
      <c r="C673" s="1" t="n">
        <v>45878</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9938-2023</t>
        </is>
      </c>
      <c r="B674" s="1" t="n">
        <v>44985</v>
      </c>
      <c r="C674" s="1" t="n">
        <v>45878</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59103-2024</t>
        </is>
      </c>
      <c r="B675" s="1" t="n">
        <v>45637.34184027778</v>
      </c>
      <c r="C675" s="1" t="n">
        <v>45878</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70099-2021</t>
        </is>
      </c>
      <c r="B676" s="1" t="n">
        <v>44533</v>
      </c>
      <c r="C676" s="1" t="n">
        <v>45878</v>
      </c>
      <c r="D676" t="inlineStr">
        <is>
          <t>DALARNAS LÄN</t>
        </is>
      </c>
      <c r="E676" t="inlineStr">
        <is>
          <t>LEKSAND</t>
        </is>
      </c>
      <c r="G676" t="n">
        <v>2.8</v>
      </c>
      <c r="H676" t="n">
        <v>0</v>
      </c>
      <c r="I676" t="n">
        <v>0</v>
      </c>
      <c r="J676" t="n">
        <v>0</v>
      </c>
      <c r="K676" t="n">
        <v>0</v>
      </c>
      <c r="L676" t="n">
        <v>0</v>
      </c>
      <c r="M676" t="n">
        <v>0</v>
      </c>
      <c r="N676" t="n">
        <v>0</v>
      </c>
      <c r="O676" t="n">
        <v>0</v>
      </c>
      <c r="P676" t="n">
        <v>0</v>
      </c>
      <c r="Q676" t="n">
        <v>0</v>
      </c>
      <c r="R676" s="2" t="inlineStr"/>
    </row>
    <row r="677" ht="15" customHeight="1">
      <c r="A677" t="inlineStr">
        <is>
          <t>A 13401-2023</t>
        </is>
      </c>
      <c r="B677" s="1" t="n">
        <v>45005</v>
      </c>
      <c r="C677" s="1" t="n">
        <v>45878</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60113-2022</t>
        </is>
      </c>
      <c r="B678" s="1" t="n">
        <v>44909</v>
      </c>
      <c r="C678" s="1" t="n">
        <v>45878</v>
      </c>
      <c r="D678" t="inlineStr">
        <is>
          <t>DALARNAS LÄN</t>
        </is>
      </c>
      <c r="E678" t="inlineStr">
        <is>
          <t>LEKSAND</t>
        </is>
      </c>
      <c r="G678" t="n">
        <v>3.7</v>
      </c>
      <c r="H678" t="n">
        <v>0</v>
      </c>
      <c r="I678" t="n">
        <v>0</v>
      </c>
      <c r="J678" t="n">
        <v>0</v>
      </c>
      <c r="K678" t="n">
        <v>0</v>
      </c>
      <c r="L678" t="n">
        <v>0</v>
      </c>
      <c r="M678" t="n">
        <v>0</v>
      </c>
      <c r="N678" t="n">
        <v>0</v>
      </c>
      <c r="O678" t="n">
        <v>0</v>
      </c>
      <c r="P678" t="n">
        <v>0</v>
      </c>
      <c r="Q678" t="n">
        <v>0</v>
      </c>
      <c r="R678" s="2" t="inlineStr"/>
    </row>
    <row r="679" ht="15" customHeight="1">
      <c r="A679" t="inlineStr">
        <is>
          <t>A 15173-2025</t>
        </is>
      </c>
      <c r="B679" s="1" t="n">
        <v>45744.50858796296</v>
      </c>
      <c r="C679" s="1" t="n">
        <v>45878</v>
      </c>
      <c r="D679" t="inlineStr">
        <is>
          <t>DALARNAS LÄN</t>
        </is>
      </c>
      <c r="E679" t="inlineStr">
        <is>
          <t>LEKSAND</t>
        </is>
      </c>
      <c r="G679" t="n">
        <v>0.3</v>
      </c>
      <c r="H679" t="n">
        <v>0</v>
      </c>
      <c r="I679" t="n">
        <v>0</v>
      </c>
      <c r="J679" t="n">
        <v>0</v>
      </c>
      <c r="K679" t="n">
        <v>0</v>
      </c>
      <c r="L679" t="n">
        <v>0</v>
      </c>
      <c r="M679" t="n">
        <v>0</v>
      </c>
      <c r="N679" t="n">
        <v>0</v>
      </c>
      <c r="O679" t="n">
        <v>0</v>
      </c>
      <c r="P679" t="n">
        <v>0</v>
      </c>
      <c r="Q679" t="n">
        <v>0</v>
      </c>
      <c r="R679" s="2" t="inlineStr"/>
    </row>
    <row r="680" ht="15" customHeight="1">
      <c r="A680" t="inlineStr">
        <is>
          <t>A 30611-2023</t>
        </is>
      </c>
      <c r="B680" s="1" t="n">
        <v>45112</v>
      </c>
      <c r="C680" s="1" t="n">
        <v>45878</v>
      </c>
      <c r="D680" t="inlineStr">
        <is>
          <t>DALARNAS LÄN</t>
        </is>
      </c>
      <c r="E680" t="inlineStr">
        <is>
          <t>LEKSAND</t>
        </is>
      </c>
      <c r="G680" t="n">
        <v>3.1</v>
      </c>
      <c r="H680" t="n">
        <v>0</v>
      </c>
      <c r="I680" t="n">
        <v>0</v>
      </c>
      <c r="J680" t="n">
        <v>0</v>
      </c>
      <c r="K680" t="n">
        <v>0</v>
      </c>
      <c r="L680" t="n">
        <v>0</v>
      </c>
      <c r="M680" t="n">
        <v>0</v>
      </c>
      <c r="N680" t="n">
        <v>0</v>
      </c>
      <c r="O680" t="n">
        <v>0</v>
      </c>
      <c r="P680" t="n">
        <v>0</v>
      </c>
      <c r="Q680" t="n">
        <v>0</v>
      </c>
      <c r="R680" s="2" t="inlineStr"/>
    </row>
    <row r="681" ht="15" customHeight="1">
      <c r="A681" t="inlineStr">
        <is>
          <t>A 31254-2023</t>
        </is>
      </c>
      <c r="B681" s="1" t="n">
        <v>45114</v>
      </c>
      <c r="C681" s="1" t="n">
        <v>45878</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62306-2023</t>
        </is>
      </c>
      <c r="B682" s="1" t="n">
        <v>45266</v>
      </c>
      <c r="C682" s="1" t="n">
        <v>45878</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30175-2023</t>
        </is>
      </c>
      <c r="B683" s="1" t="n">
        <v>45110</v>
      </c>
      <c r="C683" s="1" t="n">
        <v>45878</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28921-2023</t>
        </is>
      </c>
      <c r="B684" s="1" t="n">
        <v>45104</v>
      </c>
      <c r="C684" s="1" t="n">
        <v>45878</v>
      </c>
      <c r="D684" t="inlineStr">
        <is>
          <t>DALARNAS LÄN</t>
        </is>
      </c>
      <c r="E684" t="inlineStr">
        <is>
          <t>LEKSAND</t>
        </is>
      </c>
      <c r="G684" t="n">
        <v>4.4</v>
      </c>
      <c r="H684" t="n">
        <v>0</v>
      </c>
      <c r="I684" t="n">
        <v>0</v>
      </c>
      <c r="J684" t="n">
        <v>0</v>
      </c>
      <c r="K684" t="n">
        <v>0</v>
      </c>
      <c r="L684" t="n">
        <v>0</v>
      </c>
      <c r="M684" t="n">
        <v>0</v>
      </c>
      <c r="N684" t="n">
        <v>0</v>
      </c>
      <c r="O684" t="n">
        <v>0</v>
      </c>
      <c r="P684" t="n">
        <v>0</v>
      </c>
      <c r="Q684" t="n">
        <v>0</v>
      </c>
      <c r="R684" s="2" t="inlineStr"/>
    </row>
    <row r="685" ht="15" customHeight="1">
      <c r="A685" t="inlineStr">
        <is>
          <t>A 8940-2023</t>
        </is>
      </c>
      <c r="B685" s="1" t="n">
        <v>44974</v>
      </c>
      <c r="C685" s="1" t="n">
        <v>45878</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9459-2023</t>
        </is>
      </c>
      <c r="B686" s="1" t="n">
        <v>44977</v>
      </c>
      <c r="C686" s="1" t="n">
        <v>45878</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56941-2024</t>
        </is>
      </c>
      <c r="B687" s="1" t="n">
        <v>45625</v>
      </c>
      <c r="C687" s="1" t="n">
        <v>45878</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45878</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33463-2023</t>
        </is>
      </c>
      <c r="B689" s="1" t="n">
        <v>45131</v>
      </c>
      <c r="C689" s="1" t="n">
        <v>45878</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8755-2023</t>
        </is>
      </c>
      <c r="B690" s="1" t="n">
        <v>44978</v>
      </c>
      <c r="C690" s="1" t="n">
        <v>45878</v>
      </c>
      <c r="D690" t="inlineStr">
        <is>
          <t>DALARNAS LÄN</t>
        </is>
      </c>
      <c r="E690" t="inlineStr">
        <is>
          <t>LEKSAND</t>
        </is>
      </c>
      <c r="G690" t="n">
        <v>2.3</v>
      </c>
      <c r="H690" t="n">
        <v>0</v>
      </c>
      <c r="I690" t="n">
        <v>0</v>
      </c>
      <c r="J690" t="n">
        <v>0</v>
      </c>
      <c r="K690" t="n">
        <v>0</v>
      </c>
      <c r="L690" t="n">
        <v>0</v>
      </c>
      <c r="M690" t="n">
        <v>0</v>
      </c>
      <c r="N690" t="n">
        <v>0</v>
      </c>
      <c r="O690" t="n">
        <v>0</v>
      </c>
      <c r="P690" t="n">
        <v>0</v>
      </c>
      <c r="Q690" t="n">
        <v>0</v>
      </c>
      <c r="R690" s="2" t="inlineStr"/>
    </row>
    <row r="691" ht="15" customHeight="1">
      <c r="A691" t="inlineStr">
        <is>
          <t>A 59840-2024</t>
        </is>
      </c>
      <c r="B691" s="1" t="n">
        <v>45638</v>
      </c>
      <c r="C691" s="1" t="n">
        <v>45878</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10967-2023</t>
        </is>
      </c>
      <c r="B692" s="1" t="n">
        <v>44991.58001157407</v>
      </c>
      <c r="C692" s="1" t="n">
        <v>45878</v>
      </c>
      <c r="D692" t="inlineStr">
        <is>
          <t>DALARNAS LÄN</t>
        </is>
      </c>
      <c r="E692" t="inlineStr">
        <is>
          <t>LEKSAND</t>
        </is>
      </c>
      <c r="G692" t="n">
        <v>0.5</v>
      </c>
      <c r="H692" t="n">
        <v>0</v>
      </c>
      <c r="I692" t="n">
        <v>0</v>
      </c>
      <c r="J692" t="n">
        <v>0</v>
      </c>
      <c r="K692" t="n">
        <v>0</v>
      </c>
      <c r="L692" t="n">
        <v>0</v>
      </c>
      <c r="M692" t="n">
        <v>0</v>
      </c>
      <c r="N692" t="n">
        <v>0</v>
      </c>
      <c r="O692" t="n">
        <v>0</v>
      </c>
      <c r="P692" t="n">
        <v>0</v>
      </c>
      <c r="Q692" t="n">
        <v>0</v>
      </c>
      <c r="R692" s="2" t="inlineStr"/>
    </row>
    <row r="693" ht="15" customHeight="1">
      <c r="A693" t="inlineStr">
        <is>
          <t>A 10974-2023</t>
        </is>
      </c>
      <c r="B693" s="1" t="n">
        <v>44991.59049768518</v>
      </c>
      <c r="C693" s="1" t="n">
        <v>45878</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55516-2024</t>
        </is>
      </c>
      <c r="B694" s="1" t="n">
        <v>45621</v>
      </c>
      <c r="C694" s="1" t="n">
        <v>45878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c r="A695" t="inlineStr">
        <is>
          <t>A 30858-2024</t>
        </is>
      </c>
      <c r="B695" s="1" t="n">
        <v>45497.67601851852</v>
      </c>
      <c r="C695" s="1" t="n">
        <v>45878</v>
      </c>
      <c r="D695" t="inlineStr">
        <is>
          <t>DALARNAS LÄN</t>
        </is>
      </c>
      <c r="E695" t="inlineStr">
        <is>
          <t>LEKSAND</t>
        </is>
      </c>
      <c r="F695" t="inlineStr">
        <is>
          <t>Bergvik skog väst AB</t>
        </is>
      </c>
      <c r="G695" t="n">
        <v>1.6</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2025-08-09T18:50:15Z</dcterms:created>
  <dcterms:modified xmlns:dcterms="http://purl.org/dc/terms/" xmlns:xsi="http://www.w3.org/2001/XMLSchema-instance" xsi:type="dcterms:W3CDTF">2025-08-09T18:50:16Z</dcterms:modified>
</cp:coreProperties>
</file>