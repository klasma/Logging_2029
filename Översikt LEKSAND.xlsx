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45840</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45840</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45840</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45840</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45840</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45840</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45840</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45840</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45840</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45840</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45840</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45840</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45840</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45840</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45840</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45840</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45840</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45840</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45840</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45840</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45840</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45840</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45840</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45840</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45840</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45840</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45840</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45840</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45840</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45840</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45840</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45840</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45840</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45840</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45840</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45840</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45840</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45840</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45840</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45840</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45840</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45840</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45840</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45840</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45840</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45840</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45840</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45840</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45840</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45840</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45840</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45840</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45840</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45840</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45840</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45840</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45840</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45840</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45840</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45840</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45840</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45840</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4974-2025</t>
        </is>
      </c>
      <c r="B71" s="1" t="n">
        <v>45690</v>
      </c>
      <c r="C71" s="1" t="n">
        <v>45840</v>
      </c>
      <c r="D71" t="inlineStr">
        <is>
          <t>DALARNAS LÄN</t>
        </is>
      </c>
      <c r="E71" t="inlineStr">
        <is>
          <t>LEKSAND</t>
        </is>
      </c>
      <c r="G71" t="n">
        <v>0.9</v>
      </c>
      <c r="H71" t="n">
        <v>1</v>
      </c>
      <c r="I71" t="n">
        <v>0</v>
      </c>
      <c r="J71" t="n">
        <v>1</v>
      </c>
      <c r="K71" t="n">
        <v>0</v>
      </c>
      <c r="L71" t="n">
        <v>0</v>
      </c>
      <c r="M71" t="n">
        <v>0</v>
      </c>
      <c r="N71" t="n">
        <v>0</v>
      </c>
      <c r="O71" t="n">
        <v>1</v>
      </c>
      <c r="P71" t="n">
        <v>0</v>
      </c>
      <c r="Q71" t="n">
        <v>1</v>
      </c>
      <c r="R71" s="2" t="inlineStr">
        <is>
          <t>Spillkråka</t>
        </is>
      </c>
      <c r="S71">
        <f>HYPERLINK("https://klasma.github.io/Logging_2029/artfynd/A 4974-2025 artfynd.xlsx", "A 4974-2025")</f>
        <v/>
      </c>
      <c r="T71">
        <f>HYPERLINK("https://klasma.github.io/Logging_2029/kartor/A 4974-2025 karta.png", "A 4974-2025")</f>
        <v/>
      </c>
      <c r="V71">
        <f>HYPERLINK("https://klasma.github.io/Logging_2029/klagomål/A 4974-2025 FSC-klagomål.docx", "A 4974-2025")</f>
        <v/>
      </c>
      <c r="W71">
        <f>HYPERLINK("https://klasma.github.io/Logging_2029/klagomålsmail/A 4974-2025 FSC-klagomål mail.docx", "A 4974-2025")</f>
        <v/>
      </c>
      <c r="X71">
        <f>HYPERLINK("https://klasma.github.io/Logging_2029/tillsyn/A 4974-2025 tillsynsbegäran.docx", "A 4974-2025")</f>
        <v/>
      </c>
      <c r="Y71">
        <f>HYPERLINK("https://klasma.github.io/Logging_2029/tillsynsmail/A 4974-2025 tillsynsbegäran mail.docx", "A 4974-2025")</f>
        <v/>
      </c>
      <c r="Z71">
        <f>HYPERLINK("https://klasma.github.io/Logging_2029/fåglar/A 4974-2025 prioriterade fågelarter.docx", "A 4974-2025")</f>
        <v/>
      </c>
    </row>
    <row r="72" ht="15" customHeight="1">
      <c r="A72" t="inlineStr">
        <is>
          <t>A 6029-2025</t>
        </is>
      </c>
      <c r="B72" s="1" t="n">
        <v>45695</v>
      </c>
      <c r="C72" s="1" t="n">
        <v>45840</v>
      </c>
      <c r="D72" t="inlineStr">
        <is>
          <t>DALARNAS LÄN</t>
        </is>
      </c>
      <c r="E72" t="inlineStr">
        <is>
          <t>LEKSAND</t>
        </is>
      </c>
      <c r="G72" t="n">
        <v>3.5</v>
      </c>
      <c r="H72" t="n">
        <v>1</v>
      </c>
      <c r="I72" t="n">
        <v>0</v>
      </c>
      <c r="J72" t="n">
        <v>1</v>
      </c>
      <c r="K72" t="n">
        <v>0</v>
      </c>
      <c r="L72" t="n">
        <v>0</v>
      </c>
      <c r="M72" t="n">
        <v>0</v>
      </c>
      <c r="N72" t="n">
        <v>0</v>
      </c>
      <c r="O72" t="n">
        <v>1</v>
      </c>
      <c r="P72" t="n">
        <v>0</v>
      </c>
      <c r="Q72" t="n">
        <v>1</v>
      </c>
      <c r="R72" s="2" t="inlineStr">
        <is>
          <t>Spillkråka</t>
        </is>
      </c>
      <c r="S72">
        <f>HYPERLINK("https://klasma.github.io/Logging_2029/artfynd/A 6029-2025 artfynd.xlsx", "A 6029-2025")</f>
        <v/>
      </c>
      <c r="T72">
        <f>HYPERLINK("https://klasma.github.io/Logging_2029/kartor/A 6029-2025 karta.png", "A 6029-2025")</f>
        <v/>
      </c>
      <c r="V72">
        <f>HYPERLINK("https://klasma.github.io/Logging_2029/klagomål/A 6029-2025 FSC-klagomål.docx", "A 6029-2025")</f>
        <v/>
      </c>
      <c r="W72">
        <f>HYPERLINK("https://klasma.github.io/Logging_2029/klagomålsmail/A 6029-2025 FSC-klagomål mail.docx", "A 6029-2025")</f>
        <v/>
      </c>
      <c r="X72">
        <f>HYPERLINK("https://klasma.github.io/Logging_2029/tillsyn/A 6029-2025 tillsynsbegäran.docx", "A 6029-2025")</f>
        <v/>
      </c>
      <c r="Y72">
        <f>HYPERLINK("https://klasma.github.io/Logging_2029/tillsynsmail/A 6029-2025 tillsynsbegäran mail.docx", "A 6029-2025")</f>
        <v/>
      </c>
      <c r="Z72">
        <f>HYPERLINK("https://klasma.github.io/Logging_2029/fåglar/A 6029-2025 prioriterade fågelarter.docx", "A 6029-2025")</f>
        <v/>
      </c>
    </row>
    <row r="73" ht="15" customHeight="1">
      <c r="A73" t="inlineStr">
        <is>
          <t>A 16735-2025</t>
        </is>
      </c>
      <c r="B73" s="1" t="n">
        <v>45754</v>
      </c>
      <c r="C73" s="1" t="n">
        <v>45840</v>
      </c>
      <c r="D73" t="inlineStr">
        <is>
          <t>DALARNAS LÄN</t>
        </is>
      </c>
      <c r="E73" t="inlineStr">
        <is>
          <t>LEKSAND</t>
        </is>
      </c>
      <c r="G73" t="n">
        <v>1.8</v>
      </c>
      <c r="H73" t="n">
        <v>1</v>
      </c>
      <c r="I73" t="n">
        <v>0</v>
      </c>
      <c r="J73" t="n">
        <v>0</v>
      </c>
      <c r="K73" t="n">
        <v>0</v>
      </c>
      <c r="L73" t="n">
        <v>0</v>
      </c>
      <c r="M73" t="n">
        <v>0</v>
      </c>
      <c r="N73" t="n">
        <v>0</v>
      </c>
      <c r="O73" t="n">
        <v>0</v>
      </c>
      <c r="P73" t="n">
        <v>0</v>
      </c>
      <c r="Q73" t="n">
        <v>1</v>
      </c>
      <c r="R73" s="2" t="inlineStr">
        <is>
          <t>Gröngöling</t>
        </is>
      </c>
      <c r="S73">
        <f>HYPERLINK("https://klasma.github.io/Logging_202029/artfynd/A 16735-2025 artfynd.xlsx", "A 16735-2025")</f>
        <v/>
      </c>
      <c r="T73">
        <f>HYPERLINK("https://klasma.github.io/Logging_202029/kartor/A 16735-2025 karta.png", "A 16735-2025")</f>
        <v/>
      </c>
      <c r="V73">
        <f>HYPERLINK("https://klasma.github.io/Logging_202029/klagomål/A 16735-2025 FSC-klagomål.docx", "A 16735-2025")</f>
        <v/>
      </c>
      <c r="W73">
        <f>HYPERLINK("https://klasma.github.io/Logging_202029/klagomålsmail/A 16735-2025 FSC-klagomål mail.docx", "A 16735-2025")</f>
        <v/>
      </c>
      <c r="X73">
        <f>HYPERLINK("https://klasma.github.io/Logging_202029/tillsyn/A 16735-2025 tillsynsbegäran.docx", "A 16735-2025")</f>
        <v/>
      </c>
      <c r="Y73">
        <f>HYPERLINK("https://klasma.github.io/Logging_202029/tillsynsmail/A 16735-2025 tillsynsbegäran mail.docx", "A 16735-2025")</f>
        <v/>
      </c>
      <c r="Z73">
        <f>HYPERLINK("https://klasma.github.io/Logging_202029/fåglar/A 16735-2025 prioriterade fågelarter.docx", "A 16735-2025")</f>
        <v/>
      </c>
    </row>
    <row r="74" ht="15" customHeight="1">
      <c r="A74" t="inlineStr">
        <is>
          <t>A 17822-2019</t>
        </is>
      </c>
      <c r="B74" s="1" t="n">
        <v>43556</v>
      </c>
      <c r="C74" s="1" t="n">
        <v>45840</v>
      </c>
      <c r="D74" t="inlineStr">
        <is>
          <t>DALARNAS LÄN</t>
        </is>
      </c>
      <c r="E74" t="inlineStr">
        <is>
          <t>LEKSAND</t>
        </is>
      </c>
      <c r="G74" t="n">
        <v>0.8</v>
      </c>
      <c r="H74" t="n">
        <v>0</v>
      </c>
      <c r="I74" t="n">
        <v>0</v>
      </c>
      <c r="J74" t="n">
        <v>0</v>
      </c>
      <c r="K74" t="n">
        <v>0</v>
      </c>
      <c r="L74" t="n">
        <v>0</v>
      </c>
      <c r="M74" t="n">
        <v>0</v>
      </c>
      <c r="N74" t="n">
        <v>0</v>
      </c>
      <c r="O74" t="n">
        <v>0</v>
      </c>
      <c r="P74" t="n">
        <v>0</v>
      </c>
      <c r="Q74" t="n">
        <v>0</v>
      </c>
      <c r="R74" s="2" t="inlineStr"/>
    </row>
    <row r="75" ht="15" customHeight="1">
      <c r="A75" t="inlineStr">
        <is>
          <t>A 17967-2019</t>
        </is>
      </c>
      <c r="B75" s="1" t="n">
        <v>43557</v>
      </c>
      <c r="C75" s="1" t="n">
        <v>45840</v>
      </c>
      <c r="D75" t="inlineStr">
        <is>
          <t>DALARNAS LÄN</t>
        </is>
      </c>
      <c r="E75" t="inlineStr">
        <is>
          <t>LEKSAND</t>
        </is>
      </c>
      <c r="G75" t="n">
        <v>0.6</v>
      </c>
      <c r="H75" t="n">
        <v>0</v>
      </c>
      <c r="I75" t="n">
        <v>0</v>
      </c>
      <c r="J75" t="n">
        <v>0</v>
      </c>
      <c r="K75" t="n">
        <v>0</v>
      </c>
      <c r="L75" t="n">
        <v>0</v>
      </c>
      <c r="M75" t="n">
        <v>0</v>
      </c>
      <c r="N75" t="n">
        <v>0</v>
      </c>
      <c r="O75" t="n">
        <v>0</v>
      </c>
      <c r="P75" t="n">
        <v>0</v>
      </c>
      <c r="Q75" t="n">
        <v>0</v>
      </c>
      <c r="R75" s="2" t="inlineStr"/>
    </row>
    <row r="76" ht="15" customHeight="1">
      <c r="A76" t="inlineStr">
        <is>
          <t>A 17970-2019</t>
        </is>
      </c>
      <c r="B76" s="1" t="n">
        <v>43557</v>
      </c>
      <c r="C76" s="1" t="n">
        <v>45840</v>
      </c>
      <c r="D76" t="inlineStr">
        <is>
          <t>DALARNAS LÄN</t>
        </is>
      </c>
      <c r="E76" t="inlineStr">
        <is>
          <t>LEKSAND</t>
        </is>
      </c>
      <c r="G76" t="n">
        <v>2.5</v>
      </c>
      <c r="H76" t="n">
        <v>0</v>
      </c>
      <c r="I76" t="n">
        <v>0</v>
      </c>
      <c r="J76" t="n">
        <v>0</v>
      </c>
      <c r="K76" t="n">
        <v>0</v>
      </c>
      <c r="L76" t="n">
        <v>0</v>
      </c>
      <c r="M76" t="n">
        <v>0</v>
      </c>
      <c r="N76" t="n">
        <v>0</v>
      </c>
      <c r="O76" t="n">
        <v>0</v>
      </c>
      <c r="P76" t="n">
        <v>0</v>
      </c>
      <c r="Q76" t="n">
        <v>0</v>
      </c>
      <c r="R76" s="2" t="inlineStr"/>
    </row>
    <row r="77" ht="15" customHeight="1">
      <c r="A77" t="inlineStr">
        <is>
          <t>A 18238-2019</t>
        </is>
      </c>
      <c r="B77" s="1" t="n">
        <v>43558</v>
      </c>
      <c r="C77" s="1" t="n">
        <v>45840</v>
      </c>
      <c r="D77" t="inlineStr">
        <is>
          <t>DALARNAS LÄN</t>
        </is>
      </c>
      <c r="E77" t="inlineStr">
        <is>
          <t>LEKSAND</t>
        </is>
      </c>
      <c r="G77" t="n">
        <v>3.3</v>
      </c>
      <c r="H77" t="n">
        <v>0</v>
      </c>
      <c r="I77" t="n">
        <v>0</v>
      </c>
      <c r="J77" t="n">
        <v>0</v>
      </c>
      <c r="K77" t="n">
        <v>0</v>
      </c>
      <c r="L77" t="n">
        <v>0</v>
      </c>
      <c r="M77" t="n">
        <v>0</v>
      </c>
      <c r="N77" t="n">
        <v>0</v>
      </c>
      <c r="O77" t="n">
        <v>0</v>
      </c>
      <c r="P77" t="n">
        <v>0</v>
      </c>
      <c r="Q77" t="n">
        <v>0</v>
      </c>
      <c r="R77" s="2" t="inlineStr"/>
    </row>
    <row r="78" ht="15" customHeight="1">
      <c r="A78" t="inlineStr">
        <is>
          <t>A 19703-2019</t>
        </is>
      </c>
      <c r="B78" s="1" t="n">
        <v>43566</v>
      </c>
      <c r="C78" s="1" t="n">
        <v>45840</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19790-2019</t>
        </is>
      </c>
      <c r="B79" s="1" t="n">
        <v>43566</v>
      </c>
      <c r="C79" s="1" t="n">
        <v>45840</v>
      </c>
      <c r="D79" t="inlineStr">
        <is>
          <t>DALARNAS LÄN</t>
        </is>
      </c>
      <c r="E79" t="inlineStr">
        <is>
          <t>LEKSAND</t>
        </is>
      </c>
      <c r="G79" t="n">
        <v>11.4</v>
      </c>
      <c r="H79" t="n">
        <v>0</v>
      </c>
      <c r="I79" t="n">
        <v>0</v>
      </c>
      <c r="J79" t="n">
        <v>0</v>
      </c>
      <c r="K79" t="n">
        <v>0</v>
      </c>
      <c r="L79" t="n">
        <v>0</v>
      </c>
      <c r="M79" t="n">
        <v>0</v>
      </c>
      <c r="N79" t="n">
        <v>0</v>
      </c>
      <c r="O79" t="n">
        <v>0</v>
      </c>
      <c r="P79" t="n">
        <v>0</v>
      </c>
      <c r="Q79" t="n">
        <v>0</v>
      </c>
      <c r="R79" s="2" t="inlineStr"/>
    </row>
    <row r="80" ht="15" customHeight="1">
      <c r="A80" t="inlineStr">
        <is>
          <t>A 22975-2019</t>
        </is>
      </c>
      <c r="B80" s="1" t="n">
        <v>43591</v>
      </c>
      <c r="C80" s="1" t="n">
        <v>45840</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24300-2019</t>
        </is>
      </c>
      <c r="B81" s="1" t="n">
        <v>43598</v>
      </c>
      <c r="C81" s="1" t="n">
        <v>45840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24051-2019</t>
        </is>
      </c>
      <c r="B82" s="1" t="n">
        <v>43598</v>
      </c>
      <c r="C82" s="1" t="n">
        <v>45840</v>
      </c>
      <c r="D82" t="inlineStr">
        <is>
          <t>DALARNAS LÄN</t>
        </is>
      </c>
      <c r="E82" t="inlineStr">
        <is>
          <t>LEKSAND</t>
        </is>
      </c>
      <c r="G82" t="n">
        <v>5.4</v>
      </c>
      <c r="H82" t="n">
        <v>0</v>
      </c>
      <c r="I82" t="n">
        <v>0</v>
      </c>
      <c r="J82" t="n">
        <v>0</v>
      </c>
      <c r="K82" t="n">
        <v>0</v>
      </c>
      <c r="L82" t="n">
        <v>0</v>
      </c>
      <c r="M82" t="n">
        <v>0</v>
      </c>
      <c r="N82" t="n">
        <v>0</v>
      </c>
      <c r="O82" t="n">
        <v>0</v>
      </c>
      <c r="P82" t="n">
        <v>0</v>
      </c>
      <c r="Q82" t="n">
        <v>0</v>
      </c>
      <c r="R82" s="2" t="inlineStr"/>
    </row>
    <row r="83" ht="15" customHeight="1">
      <c r="A83" t="inlineStr">
        <is>
          <t>A 24542-2019</t>
        </is>
      </c>
      <c r="B83" s="1" t="n">
        <v>43600</v>
      </c>
      <c r="C83" s="1" t="n">
        <v>45840</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32532-2019</t>
        </is>
      </c>
      <c r="B84" s="1" t="n">
        <v>43646</v>
      </c>
      <c r="C84" s="1" t="n">
        <v>45840</v>
      </c>
      <c r="D84" t="inlineStr">
        <is>
          <t>DALARNAS LÄN</t>
        </is>
      </c>
      <c r="E84" t="inlineStr">
        <is>
          <t>LEKSAND</t>
        </is>
      </c>
      <c r="G84" t="n">
        <v>3.1</v>
      </c>
      <c r="H84" t="n">
        <v>0</v>
      </c>
      <c r="I84" t="n">
        <v>0</v>
      </c>
      <c r="J84" t="n">
        <v>0</v>
      </c>
      <c r="K84" t="n">
        <v>0</v>
      </c>
      <c r="L84" t="n">
        <v>0</v>
      </c>
      <c r="M84" t="n">
        <v>0</v>
      </c>
      <c r="N84" t="n">
        <v>0</v>
      </c>
      <c r="O84" t="n">
        <v>0</v>
      </c>
      <c r="P84" t="n">
        <v>0</v>
      </c>
      <c r="Q84" t="n">
        <v>0</v>
      </c>
      <c r="R84" s="2" t="inlineStr"/>
    </row>
    <row r="85" ht="15" customHeight="1">
      <c r="A85" t="inlineStr">
        <is>
          <t>A 33903-2019</t>
        </is>
      </c>
      <c r="B85" s="1" t="n">
        <v>43654</v>
      </c>
      <c r="C85" s="1" t="n">
        <v>45840</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36014-2019</t>
        </is>
      </c>
      <c r="B86" s="1" t="n">
        <v>43657</v>
      </c>
      <c r="C86" s="1" t="n">
        <v>45840</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36023-2019</t>
        </is>
      </c>
      <c r="B87" s="1" t="n">
        <v>43657</v>
      </c>
      <c r="C87" s="1" t="n">
        <v>45840</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36287-2019</t>
        </is>
      </c>
      <c r="B88" s="1" t="n">
        <v>43669</v>
      </c>
      <c r="C88" s="1" t="n">
        <v>45840</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37733-2019</t>
        </is>
      </c>
      <c r="B89" s="1" t="n">
        <v>43682</v>
      </c>
      <c r="C89" s="1" t="n">
        <v>45840</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37822-2019</t>
        </is>
      </c>
      <c r="B90" s="1" t="n">
        <v>43682</v>
      </c>
      <c r="C90" s="1" t="n">
        <v>45840</v>
      </c>
      <c r="D90" t="inlineStr">
        <is>
          <t>DALARNAS LÄN</t>
        </is>
      </c>
      <c r="E90" t="inlineStr">
        <is>
          <t>LEKSAND</t>
        </is>
      </c>
      <c r="G90" t="n">
        <v>8.9</v>
      </c>
      <c r="H90" t="n">
        <v>0</v>
      </c>
      <c r="I90" t="n">
        <v>0</v>
      </c>
      <c r="J90" t="n">
        <v>0</v>
      </c>
      <c r="K90" t="n">
        <v>0</v>
      </c>
      <c r="L90" t="n">
        <v>0</v>
      </c>
      <c r="M90" t="n">
        <v>0</v>
      </c>
      <c r="N90" t="n">
        <v>0</v>
      </c>
      <c r="O90" t="n">
        <v>0</v>
      </c>
      <c r="P90" t="n">
        <v>0</v>
      </c>
      <c r="Q90" t="n">
        <v>0</v>
      </c>
      <c r="R90" s="2" t="inlineStr"/>
    </row>
    <row r="91" ht="15" customHeight="1">
      <c r="A91" t="inlineStr">
        <is>
          <t>A 38350-2019</t>
        </is>
      </c>
      <c r="B91" s="1" t="n">
        <v>43685</v>
      </c>
      <c r="C91" s="1" t="n">
        <v>45840</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39025-2019</t>
        </is>
      </c>
      <c r="B92" s="1" t="n">
        <v>43689</v>
      </c>
      <c r="C92" s="1" t="n">
        <v>45840</v>
      </c>
      <c r="D92" t="inlineStr">
        <is>
          <t>DALARNAS LÄN</t>
        </is>
      </c>
      <c r="E92" t="inlineStr">
        <is>
          <t>LEKSAND</t>
        </is>
      </c>
      <c r="F92" t="inlineStr">
        <is>
          <t>Bergvik skog väst AB</t>
        </is>
      </c>
      <c r="G92" t="n">
        <v>10.1</v>
      </c>
      <c r="H92" t="n">
        <v>0</v>
      </c>
      <c r="I92" t="n">
        <v>0</v>
      </c>
      <c r="J92" t="n">
        <v>0</v>
      </c>
      <c r="K92" t="n">
        <v>0</v>
      </c>
      <c r="L92" t="n">
        <v>0</v>
      </c>
      <c r="M92" t="n">
        <v>0</v>
      </c>
      <c r="N92" t="n">
        <v>0</v>
      </c>
      <c r="O92" t="n">
        <v>0</v>
      </c>
      <c r="P92" t="n">
        <v>0</v>
      </c>
      <c r="Q92" t="n">
        <v>0</v>
      </c>
      <c r="R92" s="2" t="inlineStr"/>
    </row>
    <row r="93" ht="15" customHeight="1">
      <c r="A93" t="inlineStr">
        <is>
          <t>A 41329-2019</t>
        </is>
      </c>
      <c r="B93" s="1" t="n">
        <v>43698</v>
      </c>
      <c r="C93" s="1" t="n">
        <v>45840</v>
      </c>
      <c r="D93" t="inlineStr">
        <is>
          <t>DALARNAS LÄN</t>
        </is>
      </c>
      <c r="E93" t="inlineStr">
        <is>
          <t>LEKSAND</t>
        </is>
      </c>
      <c r="G93" t="n">
        <v>2</v>
      </c>
      <c r="H93" t="n">
        <v>0</v>
      </c>
      <c r="I93" t="n">
        <v>0</v>
      </c>
      <c r="J93" t="n">
        <v>0</v>
      </c>
      <c r="K93" t="n">
        <v>0</v>
      </c>
      <c r="L93" t="n">
        <v>0</v>
      </c>
      <c r="M93" t="n">
        <v>0</v>
      </c>
      <c r="N93" t="n">
        <v>0</v>
      </c>
      <c r="O93" t="n">
        <v>0</v>
      </c>
      <c r="P93" t="n">
        <v>0</v>
      </c>
      <c r="Q93" t="n">
        <v>0</v>
      </c>
      <c r="R93" s="2" t="inlineStr"/>
    </row>
    <row r="94" ht="15" customHeight="1">
      <c r="A94" t="inlineStr">
        <is>
          <t>A 43082-2019</t>
        </is>
      </c>
      <c r="B94" s="1" t="n">
        <v>43705</v>
      </c>
      <c r="C94" s="1" t="n">
        <v>45840</v>
      </c>
      <c r="D94" t="inlineStr">
        <is>
          <t>DALARNAS LÄN</t>
        </is>
      </c>
      <c r="E94" t="inlineStr">
        <is>
          <t>LEKSAND</t>
        </is>
      </c>
      <c r="F94" t="inlineStr">
        <is>
          <t>Bergvik skog väst AB</t>
        </is>
      </c>
      <c r="G94" t="n">
        <v>2.4</v>
      </c>
      <c r="H94" t="n">
        <v>0</v>
      </c>
      <c r="I94" t="n">
        <v>0</v>
      </c>
      <c r="J94" t="n">
        <v>0</v>
      </c>
      <c r="K94" t="n">
        <v>0</v>
      </c>
      <c r="L94" t="n">
        <v>0</v>
      </c>
      <c r="M94" t="n">
        <v>0</v>
      </c>
      <c r="N94" t="n">
        <v>0</v>
      </c>
      <c r="O94" t="n">
        <v>0</v>
      </c>
      <c r="P94" t="n">
        <v>0</v>
      </c>
      <c r="Q94" t="n">
        <v>0</v>
      </c>
      <c r="R94" s="2" t="inlineStr"/>
    </row>
    <row r="95" ht="15" customHeight="1">
      <c r="A95" t="inlineStr">
        <is>
          <t>A 43887-2019</t>
        </is>
      </c>
      <c r="B95" s="1" t="n">
        <v>43707</v>
      </c>
      <c r="C95" s="1" t="n">
        <v>45840</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43884-2019</t>
        </is>
      </c>
      <c r="B96" s="1" t="n">
        <v>43707</v>
      </c>
      <c r="C96" s="1" t="n">
        <v>45840</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44058-2019</t>
        </is>
      </c>
      <c r="B97" s="1" t="n">
        <v>43710</v>
      </c>
      <c r="C97" s="1" t="n">
        <v>45840</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45526-2019</t>
        </is>
      </c>
      <c r="B98" s="1" t="n">
        <v>43714</v>
      </c>
      <c r="C98" s="1" t="n">
        <v>45840</v>
      </c>
      <c r="D98" t="inlineStr">
        <is>
          <t>DALARNAS LÄN</t>
        </is>
      </c>
      <c r="E98" t="inlineStr">
        <is>
          <t>LEKSAND</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45572-2019</t>
        </is>
      </c>
      <c r="B99" s="1" t="n">
        <v>43716</v>
      </c>
      <c r="C99" s="1" t="n">
        <v>45840</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46739-2019</t>
        </is>
      </c>
      <c r="B100" s="1" t="n">
        <v>43719</v>
      </c>
      <c r="C100" s="1" t="n">
        <v>45840</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46740-2019</t>
        </is>
      </c>
      <c r="B101" s="1" t="n">
        <v>43719</v>
      </c>
      <c r="C101" s="1" t="n">
        <v>45840</v>
      </c>
      <c r="D101" t="inlineStr">
        <is>
          <t>DALARNAS LÄN</t>
        </is>
      </c>
      <c r="E101" t="inlineStr">
        <is>
          <t>LEKSAND</t>
        </is>
      </c>
      <c r="G101" t="n">
        <v>0.3</v>
      </c>
      <c r="H101" t="n">
        <v>0</v>
      </c>
      <c r="I101" t="n">
        <v>0</v>
      </c>
      <c r="J101" t="n">
        <v>0</v>
      </c>
      <c r="K101" t="n">
        <v>0</v>
      </c>
      <c r="L101" t="n">
        <v>0</v>
      </c>
      <c r="M101" t="n">
        <v>0</v>
      </c>
      <c r="N101" t="n">
        <v>0</v>
      </c>
      <c r="O101" t="n">
        <v>0</v>
      </c>
      <c r="P101" t="n">
        <v>0</v>
      </c>
      <c r="Q101" t="n">
        <v>0</v>
      </c>
      <c r="R101" s="2" t="inlineStr"/>
    </row>
    <row r="102" ht="15" customHeight="1">
      <c r="A102" t="inlineStr">
        <is>
          <t>A 47532-2019</t>
        </is>
      </c>
      <c r="B102" s="1" t="n">
        <v>43724</v>
      </c>
      <c r="C102" s="1" t="n">
        <v>45840</v>
      </c>
      <c r="D102" t="inlineStr">
        <is>
          <t>DALARNAS LÄN</t>
        </is>
      </c>
      <c r="E102" t="inlineStr">
        <is>
          <t>LEKSAND</t>
        </is>
      </c>
      <c r="G102" t="n">
        <v>2.3</v>
      </c>
      <c r="H102" t="n">
        <v>0</v>
      </c>
      <c r="I102" t="n">
        <v>0</v>
      </c>
      <c r="J102" t="n">
        <v>0</v>
      </c>
      <c r="K102" t="n">
        <v>0</v>
      </c>
      <c r="L102" t="n">
        <v>0</v>
      </c>
      <c r="M102" t="n">
        <v>0</v>
      </c>
      <c r="N102" t="n">
        <v>0</v>
      </c>
      <c r="O102" t="n">
        <v>0</v>
      </c>
      <c r="P102" t="n">
        <v>0</v>
      </c>
      <c r="Q102" t="n">
        <v>0</v>
      </c>
      <c r="R102" s="2" t="inlineStr"/>
    </row>
    <row r="103" ht="15" customHeight="1">
      <c r="A103" t="inlineStr">
        <is>
          <t>A 49132-2019</t>
        </is>
      </c>
      <c r="B103" s="1" t="n">
        <v>43728</v>
      </c>
      <c r="C103" s="1" t="n">
        <v>45840</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51390-2019</t>
        </is>
      </c>
      <c r="B104" s="1" t="n">
        <v>43733</v>
      </c>
      <c r="C104" s="1" t="n">
        <v>45840</v>
      </c>
      <c r="D104" t="inlineStr">
        <is>
          <t>DALARNAS LÄN</t>
        </is>
      </c>
      <c r="E104" t="inlineStr">
        <is>
          <t>LEKSAND</t>
        </is>
      </c>
      <c r="G104" t="n">
        <v>4.7</v>
      </c>
      <c r="H104" t="n">
        <v>0</v>
      </c>
      <c r="I104" t="n">
        <v>0</v>
      </c>
      <c r="J104" t="n">
        <v>0</v>
      </c>
      <c r="K104" t="n">
        <v>0</v>
      </c>
      <c r="L104" t="n">
        <v>0</v>
      </c>
      <c r="M104" t="n">
        <v>0</v>
      </c>
      <c r="N104" t="n">
        <v>0</v>
      </c>
      <c r="O104" t="n">
        <v>0</v>
      </c>
      <c r="P104" t="n">
        <v>0</v>
      </c>
      <c r="Q104" t="n">
        <v>0</v>
      </c>
      <c r="R104" s="2" t="inlineStr"/>
    </row>
    <row r="105" ht="15" customHeight="1">
      <c r="A105" t="inlineStr">
        <is>
          <t>A 50532-2019</t>
        </is>
      </c>
      <c r="B105" s="1" t="n">
        <v>43735</v>
      </c>
      <c r="C105" s="1" t="n">
        <v>45840</v>
      </c>
      <c r="D105" t="inlineStr">
        <is>
          <t>DALARNAS LÄN</t>
        </is>
      </c>
      <c r="E105" t="inlineStr">
        <is>
          <t>LEKSAND</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52130-2019</t>
        </is>
      </c>
      <c r="B106" s="1" t="n">
        <v>43735</v>
      </c>
      <c r="C106" s="1" t="n">
        <v>45840</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52827-2019</t>
        </is>
      </c>
      <c r="B107" s="1" t="n">
        <v>43746</v>
      </c>
      <c r="C107" s="1" t="n">
        <v>45840</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52957-2019</t>
        </is>
      </c>
      <c r="B108" s="1" t="n">
        <v>43747</v>
      </c>
      <c r="C108" s="1" t="n">
        <v>45840</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53553-2019</t>
        </is>
      </c>
      <c r="B109" s="1" t="n">
        <v>43749</v>
      </c>
      <c r="C109" s="1" t="n">
        <v>45840</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56844-2019</t>
        </is>
      </c>
      <c r="B110" s="1" t="n">
        <v>43765</v>
      </c>
      <c r="C110" s="1" t="n">
        <v>45840</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57221-2019</t>
        </is>
      </c>
      <c r="B111" s="1" t="n">
        <v>43767</v>
      </c>
      <c r="C111" s="1" t="n">
        <v>45840</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58237-2019</t>
        </is>
      </c>
      <c r="B112" s="1" t="n">
        <v>43770</v>
      </c>
      <c r="C112" s="1" t="n">
        <v>45840</v>
      </c>
      <c r="D112" t="inlineStr">
        <is>
          <t>DALARNAS LÄN</t>
        </is>
      </c>
      <c r="E112" t="inlineStr">
        <is>
          <t>LEKSAND</t>
        </is>
      </c>
      <c r="G112" t="n">
        <v>2.5</v>
      </c>
      <c r="H112" t="n">
        <v>0</v>
      </c>
      <c r="I112" t="n">
        <v>0</v>
      </c>
      <c r="J112" t="n">
        <v>0</v>
      </c>
      <c r="K112" t="n">
        <v>0</v>
      </c>
      <c r="L112" t="n">
        <v>0</v>
      </c>
      <c r="M112" t="n">
        <v>0</v>
      </c>
      <c r="N112" t="n">
        <v>0</v>
      </c>
      <c r="O112" t="n">
        <v>0</v>
      </c>
      <c r="P112" t="n">
        <v>0</v>
      </c>
      <c r="Q112" t="n">
        <v>0</v>
      </c>
      <c r="R112" s="2" t="inlineStr"/>
    </row>
    <row r="113" ht="15" customHeight="1">
      <c r="A113" t="inlineStr">
        <is>
          <t>A 59714-2019</t>
        </is>
      </c>
      <c r="B113" s="1" t="n">
        <v>43776</v>
      </c>
      <c r="C113" s="1" t="n">
        <v>45840</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59721-2019</t>
        </is>
      </c>
      <c r="B114" s="1" t="n">
        <v>43776</v>
      </c>
      <c r="C114" s="1" t="n">
        <v>45840</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60809-2019</t>
        </is>
      </c>
      <c r="B115" s="1" t="n">
        <v>43780</v>
      </c>
      <c r="C115" s="1" t="n">
        <v>45840</v>
      </c>
      <c r="D115" t="inlineStr">
        <is>
          <t>DALARNAS LÄN</t>
        </is>
      </c>
      <c r="E115" t="inlineStr">
        <is>
          <t>LEKSAND</t>
        </is>
      </c>
      <c r="G115" t="n">
        <v>1.9</v>
      </c>
      <c r="H115" t="n">
        <v>0</v>
      </c>
      <c r="I115" t="n">
        <v>0</v>
      </c>
      <c r="J115" t="n">
        <v>0</v>
      </c>
      <c r="K115" t="n">
        <v>0</v>
      </c>
      <c r="L115" t="n">
        <v>0</v>
      </c>
      <c r="M115" t="n">
        <v>0</v>
      </c>
      <c r="N115" t="n">
        <v>0</v>
      </c>
      <c r="O115" t="n">
        <v>0</v>
      </c>
      <c r="P115" t="n">
        <v>0</v>
      </c>
      <c r="Q115" t="n">
        <v>0</v>
      </c>
      <c r="R115" s="2" t="inlineStr"/>
    </row>
    <row r="116" ht="15" customHeight="1">
      <c r="A116" t="inlineStr">
        <is>
          <t>A 61111-2019</t>
        </is>
      </c>
      <c r="B116" s="1" t="n">
        <v>43782</v>
      </c>
      <c r="C116" s="1" t="n">
        <v>45840</v>
      </c>
      <c r="D116" t="inlineStr">
        <is>
          <t>DALARNAS LÄN</t>
        </is>
      </c>
      <c r="E116" t="inlineStr">
        <is>
          <t>LEKSAND</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61113-2019</t>
        </is>
      </c>
      <c r="B117" s="1" t="n">
        <v>43782</v>
      </c>
      <c r="C117" s="1" t="n">
        <v>45840</v>
      </c>
      <c r="D117" t="inlineStr">
        <is>
          <t>DALARNAS LÄN</t>
        </is>
      </c>
      <c r="E117" t="inlineStr">
        <is>
          <t>LEKSAND</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64635-2019</t>
        </is>
      </c>
      <c r="B118" s="1" t="n">
        <v>43794</v>
      </c>
      <c r="C118" s="1" t="n">
        <v>45840</v>
      </c>
      <c r="D118" t="inlineStr">
        <is>
          <t>DALARNAS LÄN</t>
        </is>
      </c>
      <c r="E118" t="inlineStr">
        <is>
          <t>LEKSAND</t>
        </is>
      </c>
      <c r="G118" t="n">
        <v>5.4</v>
      </c>
      <c r="H118" t="n">
        <v>0</v>
      </c>
      <c r="I118" t="n">
        <v>0</v>
      </c>
      <c r="J118" t="n">
        <v>0</v>
      </c>
      <c r="K118" t="n">
        <v>0</v>
      </c>
      <c r="L118" t="n">
        <v>0</v>
      </c>
      <c r="M118" t="n">
        <v>0</v>
      </c>
      <c r="N118" t="n">
        <v>0</v>
      </c>
      <c r="O118" t="n">
        <v>0</v>
      </c>
      <c r="P118" t="n">
        <v>0</v>
      </c>
      <c r="Q118" t="n">
        <v>0</v>
      </c>
      <c r="R118" s="2" t="inlineStr"/>
    </row>
    <row r="119" ht="15" customHeight="1">
      <c r="A119" t="inlineStr">
        <is>
          <t>A 66288-2019</t>
        </is>
      </c>
      <c r="B119" s="1" t="n">
        <v>43808</v>
      </c>
      <c r="C119" s="1" t="n">
        <v>45840</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66822-2019</t>
        </is>
      </c>
      <c r="B120" s="1" t="n">
        <v>43810</v>
      </c>
      <c r="C120" s="1" t="n">
        <v>45840</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67123-2019</t>
        </is>
      </c>
      <c r="B121" s="1" t="n">
        <v>43811</v>
      </c>
      <c r="C121" s="1" t="n">
        <v>45840</v>
      </c>
      <c r="D121" t="inlineStr">
        <is>
          <t>DALARNAS LÄN</t>
        </is>
      </c>
      <c r="E121" t="inlineStr">
        <is>
          <t>LEKSAND</t>
        </is>
      </c>
      <c r="G121" t="n">
        <v>2.1</v>
      </c>
      <c r="H121" t="n">
        <v>0</v>
      </c>
      <c r="I121" t="n">
        <v>0</v>
      </c>
      <c r="J121" t="n">
        <v>0</v>
      </c>
      <c r="K121" t="n">
        <v>0</v>
      </c>
      <c r="L121" t="n">
        <v>0</v>
      </c>
      <c r="M121" t="n">
        <v>0</v>
      </c>
      <c r="N121" t="n">
        <v>0</v>
      </c>
      <c r="O121" t="n">
        <v>0</v>
      </c>
      <c r="P121" t="n">
        <v>0</v>
      </c>
      <c r="Q121" t="n">
        <v>0</v>
      </c>
      <c r="R121" s="2" t="inlineStr"/>
    </row>
    <row r="122" ht="15" customHeight="1">
      <c r="A122" t="inlineStr">
        <is>
          <t>A 68808-2019</t>
        </is>
      </c>
      <c r="B122" s="1" t="n">
        <v>43815</v>
      </c>
      <c r="C122" s="1" t="n">
        <v>45840</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1604-2020</t>
        </is>
      </c>
      <c r="B123" s="1" t="n">
        <v>43829</v>
      </c>
      <c r="C123" s="1" t="n">
        <v>45840</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1915-2020</t>
        </is>
      </c>
      <c r="B124" s="1" t="n">
        <v>43837</v>
      </c>
      <c r="C124" s="1" t="n">
        <v>45840</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1778-2020</t>
        </is>
      </c>
      <c r="B125" s="1" t="n">
        <v>43844</v>
      </c>
      <c r="C125" s="1" t="n">
        <v>45840</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2670-2020</t>
        </is>
      </c>
      <c r="B126" s="1" t="n">
        <v>43849</v>
      </c>
      <c r="C126" s="1" t="n">
        <v>45840</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4479-2020</t>
        </is>
      </c>
      <c r="B127" s="1" t="n">
        <v>43850</v>
      </c>
      <c r="C127" s="1" t="n">
        <v>45840</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4004-2020</t>
        </is>
      </c>
      <c r="B128" s="1" t="n">
        <v>43856</v>
      </c>
      <c r="C128" s="1" t="n">
        <v>45840</v>
      </c>
      <c r="D128" t="inlineStr">
        <is>
          <t>DALARNAS LÄN</t>
        </is>
      </c>
      <c r="E128" t="inlineStr">
        <is>
          <t>LEKSAND</t>
        </is>
      </c>
      <c r="G128" t="n">
        <v>6</v>
      </c>
      <c r="H128" t="n">
        <v>0</v>
      </c>
      <c r="I128" t="n">
        <v>0</v>
      </c>
      <c r="J128" t="n">
        <v>0</v>
      </c>
      <c r="K128" t="n">
        <v>0</v>
      </c>
      <c r="L128" t="n">
        <v>0</v>
      </c>
      <c r="M128" t="n">
        <v>0</v>
      </c>
      <c r="N128" t="n">
        <v>0</v>
      </c>
      <c r="O128" t="n">
        <v>0</v>
      </c>
      <c r="P128" t="n">
        <v>0</v>
      </c>
      <c r="Q128" t="n">
        <v>0</v>
      </c>
      <c r="R128" s="2" t="inlineStr"/>
    </row>
    <row r="129" ht="15" customHeight="1">
      <c r="A129" t="inlineStr">
        <is>
          <t>A 6002-2020</t>
        </is>
      </c>
      <c r="B129" s="1" t="n">
        <v>43864</v>
      </c>
      <c r="C129" s="1" t="n">
        <v>45840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6017-2020</t>
        </is>
      </c>
      <c r="B130" s="1" t="n">
        <v>43864</v>
      </c>
      <c r="C130" s="1" t="n">
        <v>45840</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6751-2020</t>
        </is>
      </c>
      <c r="B131" s="1" t="n">
        <v>43866</v>
      </c>
      <c r="C131" s="1" t="n">
        <v>45840</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7351-2020</t>
        </is>
      </c>
      <c r="B132" s="1" t="n">
        <v>43871</v>
      </c>
      <c r="C132" s="1" t="n">
        <v>45840</v>
      </c>
      <c r="D132" t="inlineStr">
        <is>
          <t>DALARNAS LÄN</t>
        </is>
      </c>
      <c r="E132" t="inlineStr">
        <is>
          <t>LEKSAND</t>
        </is>
      </c>
      <c r="F132" t="inlineStr">
        <is>
          <t>Bergvik skog väst AB</t>
        </is>
      </c>
      <c r="G132" t="n">
        <v>5.4</v>
      </c>
      <c r="H132" t="n">
        <v>0</v>
      </c>
      <c r="I132" t="n">
        <v>0</v>
      </c>
      <c r="J132" t="n">
        <v>0</v>
      </c>
      <c r="K132" t="n">
        <v>0</v>
      </c>
      <c r="L132" t="n">
        <v>0</v>
      </c>
      <c r="M132" t="n">
        <v>0</v>
      </c>
      <c r="N132" t="n">
        <v>0</v>
      </c>
      <c r="O132" t="n">
        <v>0</v>
      </c>
      <c r="P132" t="n">
        <v>0</v>
      </c>
      <c r="Q132" t="n">
        <v>0</v>
      </c>
      <c r="R132" s="2" t="inlineStr"/>
    </row>
    <row r="133" ht="15" customHeight="1">
      <c r="A133" t="inlineStr">
        <is>
          <t>A 7868-2020</t>
        </is>
      </c>
      <c r="B133" s="1" t="n">
        <v>43873</v>
      </c>
      <c r="C133" s="1" t="n">
        <v>45840</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9710-2020</t>
        </is>
      </c>
      <c r="B134" s="1" t="n">
        <v>43881</v>
      </c>
      <c r="C134" s="1" t="n">
        <v>45840</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11372-2020</t>
        </is>
      </c>
      <c r="B135" s="1" t="n">
        <v>43892</v>
      </c>
      <c r="C135" s="1" t="n">
        <v>45840</v>
      </c>
      <c r="D135" t="inlineStr">
        <is>
          <t>DALARNAS LÄN</t>
        </is>
      </c>
      <c r="E135" t="inlineStr">
        <is>
          <t>LEKSAND</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12176-2020</t>
        </is>
      </c>
      <c r="B136" s="1" t="n">
        <v>43895</v>
      </c>
      <c r="C136" s="1" t="n">
        <v>45840</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12247-2020</t>
        </is>
      </c>
      <c r="B137" s="1" t="n">
        <v>43895</v>
      </c>
      <c r="C137" s="1" t="n">
        <v>45840</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13340-2020</t>
        </is>
      </c>
      <c r="B138" s="1" t="n">
        <v>43902</v>
      </c>
      <c r="C138" s="1" t="n">
        <v>45840</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13356-2020</t>
        </is>
      </c>
      <c r="B139" s="1" t="n">
        <v>43902</v>
      </c>
      <c r="C139" s="1" t="n">
        <v>45840</v>
      </c>
      <c r="D139" t="inlineStr">
        <is>
          <t>DALARNAS LÄN</t>
        </is>
      </c>
      <c r="E139" t="inlineStr">
        <is>
          <t>LEKSAND</t>
        </is>
      </c>
      <c r="G139" t="n">
        <v>0.4</v>
      </c>
      <c r="H139" t="n">
        <v>0</v>
      </c>
      <c r="I139" t="n">
        <v>0</v>
      </c>
      <c r="J139" t="n">
        <v>0</v>
      </c>
      <c r="K139" t="n">
        <v>0</v>
      </c>
      <c r="L139" t="n">
        <v>0</v>
      </c>
      <c r="M139" t="n">
        <v>0</v>
      </c>
      <c r="N139" t="n">
        <v>0</v>
      </c>
      <c r="O139" t="n">
        <v>0</v>
      </c>
      <c r="P139" t="n">
        <v>0</v>
      </c>
      <c r="Q139" t="n">
        <v>0</v>
      </c>
      <c r="R139" s="2" t="inlineStr"/>
    </row>
    <row r="140" ht="15" customHeight="1">
      <c r="A140" t="inlineStr">
        <is>
          <t>A 13352-2020</t>
        </is>
      </c>
      <c r="B140" s="1" t="n">
        <v>43902</v>
      </c>
      <c r="C140" s="1" t="n">
        <v>45840</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15165-2020</t>
        </is>
      </c>
      <c r="B141" s="1" t="n">
        <v>43912</v>
      </c>
      <c r="C141" s="1" t="n">
        <v>45840</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16288-2020</t>
        </is>
      </c>
      <c r="B142" s="1" t="n">
        <v>43917</v>
      </c>
      <c r="C142" s="1" t="n">
        <v>45840</v>
      </c>
      <c r="D142" t="inlineStr">
        <is>
          <t>DALARNAS LÄN</t>
        </is>
      </c>
      <c r="E142" t="inlineStr">
        <is>
          <t>LEKSAND</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18803-2020</t>
        </is>
      </c>
      <c r="B143" s="1" t="n">
        <v>43933</v>
      </c>
      <c r="C143" s="1" t="n">
        <v>45840</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19361-2020</t>
        </is>
      </c>
      <c r="B144" s="1" t="n">
        <v>43938</v>
      </c>
      <c r="C144" s="1" t="n">
        <v>45840</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21141-2020</t>
        </is>
      </c>
      <c r="B145" s="1" t="n">
        <v>43951</v>
      </c>
      <c r="C145" s="1" t="n">
        <v>45840</v>
      </c>
      <c r="D145" t="inlineStr">
        <is>
          <t>DALARNAS LÄN</t>
        </is>
      </c>
      <c r="E145" t="inlineStr">
        <is>
          <t>LEKSAND</t>
        </is>
      </c>
      <c r="F145" t="inlineStr">
        <is>
          <t>Bergvik skog väst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22718-2020</t>
        </is>
      </c>
      <c r="B146" s="1" t="n">
        <v>43964</v>
      </c>
      <c r="C146" s="1" t="n">
        <v>45840</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24207-2020</t>
        </is>
      </c>
      <c r="B147" s="1" t="n">
        <v>43973</v>
      </c>
      <c r="C147" s="1" t="n">
        <v>45840</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25156-2020</t>
        </is>
      </c>
      <c r="B148" s="1" t="n">
        <v>43978</v>
      </c>
      <c r="C148" s="1" t="n">
        <v>45840</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25720-2020</t>
        </is>
      </c>
      <c r="B149" s="1" t="n">
        <v>43984</v>
      </c>
      <c r="C149" s="1" t="n">
        <v>45840</v>
      </c>
      <c r="D149" t="inlineStr">
        <is>
          <t>DALARNAS LÄN</t>
        </is>
      </c>
      <c r="E149" t="inlineStr">
        <is>
          <t>LEKSAND</t>
        </is>
      </c>
      <c r="G149" t="n">
        <v>3.5</v>
      </c>
      <c r="H149" t="n">
        <v>0</v>
      </c>
      <c r="I149" t="n">
        <v>0</v>
      </c>
      <c r="J149" t="n">
        <v>0</v>
      </c>
      <c r="K149" t="n">
        <v>0</v>
      </c>
      <c r="L149" t="n">
        <v>0</v>
      </c>
      <c r="M149" t="n">
        <v>0</v>
      </c>
      <c r="N149" t="n">
        <v>0</v>
      </c>
      <c r="O149" t="n">
        <v>0</v>
      </c>
      <c r="P149" t="n">
        <v>0</v>
      </c>
      <c r="Q149" t="n">
        <v>0</v>
      </c>
      <c r="R149" s="2" t="inlineStr"/>
    </row>
    <row r="150" ht="15" customHeight="1">
      <c r="A150" t="inlineStr">
        <is>
          <t>A 25989-2020</t>
        </is>
      </c>
      <c r="B150" s="1" t="n">
        <v>43985</v>
      </c>
      <c r="C150" s="1" t="n">
        <v>45840</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26456-2020</t>
        </is>
      </c>
      <c r="B151" s="1" t="n">
        <v>43986</v>
      </c>
      <c r="C151" s="1" t="n">
        <v>45840</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26560-2020</t>
        </is>
      </c>
      <c r="B152" s="1" t="n">
        <v>43987</v>
      </c>
      <c r="C152" s="1" t="n">
        <v>45840</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28161-2020</t>
        </is>
      </c>
      <c r="B153" s="1" t="n">
        <v>43997</v>
      </c>
      <c r="C153" s="1" t="n">
        <v>45840</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28796-2020</t>
        </is>
      </c>
      <c r="B154" s="1" t="n">
        <v>44000</v>
      </c>
      <c r="C154" s="1" t="n">
        <v>45840</v>
      </c>
      <c r="D154" t="inlineStr">
        <is>
          <t>DALARNAS LÄN</t>
        </is>
      </c>
      <c r="E154" t="inlineStr">
        <is>
          <t>LEKSAND</t>
        </is>
      </c>
      <c r="F154" t="inlineStr">
        <is>
          <t>Bergvik skog väst AB</t>
        </is>
      </c>
      <c r="G154" t="n">
        <v>4.7</v>
      </c>
      <c r="H154" t="n">
        <v>0</v>
      </c>
      <c r="I154" t="n">
        <v>0</v>
      </c>
      <c r="J154" t="n">
        <v>0</v>
      </c>
      <c r="K154" t="n">
        <v>0</v>
      </c>
      <c r="L154" t="n">
        <v>0</v>
      </c>
      <c r="M154" t="n">
        <v>0</v>
      </c>
      <c r="N154" t="n">
        <v>0</v>
      </c>
      <c r="O154" t="n">
        <v>0</v>
      </c>
      <c r="P154" t="n">
        <v>0</v>
      </c>
      <c r="Q154" t="n">
        <v>0</v>
      </c>
      <c r="R154" s="2" t="inlineStr"/>
    </row>
    <row r="155" ht="15" customHeight="1">
      <c r="A155" t="inlineStr">
        <is>
          <t>A 29089-2020</t>
        </is>
      </c>
      <c r="B155" s="1" t="n">
        <v>44002</v>
      </c>
      <c r="C155" s="1" t="n">
        <v>45840</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29088-2020</t>
        </is>
      </c>
      <c r="B156" s="1" t="n">
        <v>44002</v>
      </c>
      <c r="C156" s="1" t="n">
        <v>45840</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29672-2020</t>
        </is>
      </c>
      <c r="B157" s="1" t="n">
        <v>44005</v>
      </c>
      <c r="C157" s="1" t="n">
        <v>45840</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31629-2020</t>
        </is>
      </c>
      <c r="B158" s="1" t="n">
        <v>44013</v>
      </c>
      <c r="C158" s="1" t="n">
        <v>45840</v>
      </c>
      <c r="D158" t="inlineStr">
        <is>
          <t>DALARNAS LÄN</t>
        </is>
      </c>
      <c r="E158" t="inlineStr">
        <is>
          <t>LEKSAND</t>
        </is>
      </c>
      <c r="G158" t="n">
        <v>5.4</v>
      </c>
      <c r="H158" t="n">
        <v>0</v>
      </c>
      <c r="I158" t="n">
        <v>0</v>
      </c>
      <c r="J158" t="n">
        <v>0</v>
      </c>
      <c r="K158" t="n">
        <v>0</v>
      </c>
      <c r="L158" t="n">
        <v>0</v>
      </c>
      <c r="M158" t="n">
        <v>0</v>
      </c>
      <c r="N158" t="n">
        <v>0</v>
      </c>
      <c r="O158" t="n">
        <v>0</v>
      </c>
      <c r="P158" t="n">
        <v>0</v>
      </c>
      <c r="Q158" t="n">
        <v>0</v>
      </c>
      <c r="R158" s="2" t="inlineStr"/>
    </row>
    <row r="159" ht="15" customHeight="1">
      <c r="A159" t="inlineStr">
        <is>
          <t>A 37568-2020</t>
        </is>
      </c>
      <c r="B159" s="1" t="n">
        <v>44056</v>
      </c>
      <c r="C159" s="1" t="n">
        <v>45840</v>
      </c>
      <c r="D159" t="inlineStr">
        <is>
          <t>DALARNAS LÄN</t>
        </is>
      </c>
      <c r="E159" t="inlineStr">
        <is>
          <t>LEKSAND</t>
        </is>
      </c>
      <c r="G159" t="n">
        <v>3.4</v>
      </c>
      <c r="H159" t="n">
        <v>0</v>
      </c>
      <c r="I159" t="n">
        <v>0</v>
      </c>
      <c r="J159" t="n">
        <v>0</v>
      </c>
      <c r="K159" t="n">
        <v>0</v>
      </c>
      <c r="L159" t="n">
        <v>0</v>
      </c>
      <c r="M159" t="n">
        <v>0</v>
      </c>
      <c r="N159" t="n">
        <v>0</v>
      </c>
      <c r="O159" t="n">
        <v>0</v>
      </c>
      <c r="P159" t="n">
        <v>0</v>
      </c>
      <c r="Q159" t="n">
        <v>0</v>
      </c>
      <c r="R159" s="2" t="inlineStr"/>
    </row>
    <row r="160" ht="15" customHeight="1">
      <c r="A160" t="inlineStr">
        <is>
          <t>A 41093-2020</t>
        </is>
      </c>
      <c r="B160" s="1" t="n">
        <v>44071</v>
      </c>
      <c r="C160" s="1" t="n">
        <v>45840</v>
      </c>
      <c r="D160" t="inlineStr">
        <is>
          <t>DALARNAS LÄN</t>
        </is>
      </c>
      <c r="E160" t="inlineStr">
        <is>
          <t>LEKSAND</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41200-2020</t>
        </is>
      </c>
      <c r="B161" s="1" t="n">
        <v>44071</v>
      </c>
      <c r="C161" s="1" t="n">
        <v>45840</v>
      </c>
      <c r="D161" t="inlineStr">
        <is>
          <t>DALARNAS LÄN</t>
        </is>
      </c>
      <c r="E161" t="inlineStr">
        <is>
          <t>LEKSAND</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41432-2020</t>
        </is>
      </c>
      <c r="B162" s="1" t="n">
        <v>44073</v>
      </c>
      <c r="C162" s="1" t="n">
        <v>45840</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42890-2020</t>
        </is>
      </c>
      <c r="B163" s="1" t="n">
        <v>44078</v>
      </c>
      <c r="C163" s="1" t="n">
        <v>45840</v>
      </c>
      <c r="D163" t="inlineStr">
        <is>
          <t>DALARNAS LÄN</t>
        </is>
      </c>
      <c r="E163" t="inlineStr">
        <is>
          <t>LEKSAND</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44665-2020</t>
        </is>
      </c>
      <c r="B164" s="1" t="n">
        <v>44085</v>
      </c>
      <c r="C164" s="1" t="n">
        <v>45840</v>
      </c>
      <c r="D164" t="inlineStr">
        <is>
          <t>DALARNAS LÄN</t>
        </is>
      </c>
      <c r="E164" t="inlineStr">
        <is>
          <t>LEKSAND</t>
        </is>
      </c>
      <c r="F164" t="inlineStr">
        <is>
          <t>Bergvik skog väst AB</t>
        </is>
      </c>
      <c r="G164" t="n">
        <v>5.1</v>
      </c>
      <c r="H164" t="n">
        <v>0</v>
      </c>
      <c r="I164" t="n">
        <v>0</v>
      </c>
      <c r="J164" t="n">
        <v>0</v>
      </c>
      <c r="K164" t="n">
        <v>0</v>
      </c>
      <c r="L164" t="n">
        <v>0</v>
      </c>
      <c r="M164" t="n">
        <v>0</v>
      </c>
      <c r="N164" t="n">
        <v>0</v>
      </c>
      <c r="O164" t="n">
        <v>0</v>
      </c>
      <c r="P164" t="n">
        <v>0</v>
      </c>
      <c r="Q164" t="n">
        <v>0</v>
      </c>
      <c r="R164" s="2" t="inlineStr"/>
    </row>
    <row r="165" ht="15" customHeight="1">
      <c r="A165" t="inlineStr">
        <is>
          <t>A 45995-2020</t>
        </is>
      </c>
      <c r="B165" s="1" t="n">
        <v>44088</v>
      </c>
      <c r="C165" s="1" t="n">
        <v>45840</v>
      </c>
      <c r="D165" t="inlineStr">
        <is>
          <t>DALARNAS LÄN</t>
        </is>
      </c>
      <c r="E165" t="inlineStr">
        <is>
          <t>LEKSAND</t>
        </is>
      </c>
      <c r="G165" t="n">
        <v>7.8</v>
      </c>
      <c r="H165" t="n">
        <v>0</v>
      </c>
      <c r="I165" t="n">
        <v>0</v>
      </c>
      <c r="J165" t="n">
        <v>0</v>
      </c>
      <c r="K165" t="n">
        <v>0</v>
      </c>
      <c r="L165" t="n">
        <v>0</v>
      </c>
      <c r="M165" t="n">
        <v>0</v>
      </c>
      <c r="N165" t="n">
        <v>0</v>
      </c>
      <c r="O165" t="n">
        <v>0</v>
      </c>
      <c r="P165" t="n">
        <v>0</v>
      </c>
      <c r="Q165" t="n">
        <v>0</v>
      </c>
      <c r="R165" s="2" t="inlineStr"/>
    </row>
    <row r="166" ht="15" customHeight="1">
      <c r="A166" t="inlineStr">
        <is>
          <t>A 45950-2020</t>
        </is>
      </c>
      <c r="B166" s="1" t="n">
        <v>44088</v>
      </c>
      <c r="C166" s="1" t="n">
        <v>45840</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45991-2020</t>
        </is>
      </c>
      <c r="B167" s="1" t="n">
        <v>44088</v>
      </c>
      <c r="C167" s="1" t="n">
        <v>45840</v>
      </c>
      <c r="D167" t="inlineStr">
        <is>
          <t>DALARNAS LÄN</t>
        </is>
      </c>
      <c r="E167" t="inlineStr">
        <is>
          <t>LEKSAND</t>
        </is>
      </c>
      <c r="G167" t="n">
        <v>9.9</v>
      </c>
      <c r="H167" t="n">
        <v>0</v>
      </c>
      <c r="I167" t="n">
        <v>0</v>
      </c>
      <c r="J167" t="n">
        <v>0</v>
      </c>
      <c r="K167" t="n">
        <v>0</v>
      </c>
      <c r="L167" t="n">
        <v>0</v>
      </c>
      <c r="M167" t="n">
        <v>0</v>
      </c>
      <c r="N167" t="n">
        <v>0</v>
      </c>
      <c r="O167" t="n">
        <v>0</v>
      </c>
      <c r="P167" t="n">
        <v>0</v>
      </c>
      <c r="Q167" t="n">
        <v>0</v>
      </c>
      <c r="R167" s="2" t="inlineStr"/>
    </row>
    <row r="168" ht="15" customHeight="1">
      <c r="A168" t="inlineStr">
        <is>
          <t>A 46854-2020</t>
        </is>
      </c>
      <c r="B168" s="1" t="n">
        <v>44090</v>
      </c>
      <c r="C168" s="1" t="n">
        <v>45840</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47004-2020</t>
        </is>
      </c>
      <c r="B169" s="1" t="n">
        <v>44091</v>
      </c>
      <c r="C169" s="1" t="n">
        <v>45840</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47069-2020</t>
        </is>
      </c>
      <c r="B170" s="1" t="n">
        <v>44096</v>
      </c>
      <c r="C170" s="1" t="n">
        <v>45840</v>
      </c>
      <c r="D170" t="inlineStr">
        <is>
          <t>DALARNAS LÄN</t>
        </is>
      </c>
      <c r="E170" t="inlineStr">
        <is>
          <t>LEKSAND</t>
        </is>
      </c>
      <c r="G170" t="n">
        <v>5.5</v>
      </c>
      <c r="H170" t="n">
        <v>0</v>
      </c>
      <c r="I170" t="n">
        <v>0</v>
      </c>
      <c r="J170" t="n">
        <v>0</v>
      </c>
      <c r="K170" t="n">
        <v>0</v>
      </c>
      <c r="L170" t="n">
        <v>0</v>
      </c>
      <c r="M170" t="n">
        <v>0</v>
      </c>
      <c r="N170" t="n">
        <v>0</v>
      </c>
      <c r="O170" t="n">
        <v>0</v>
      </c>
      <c r="P170" t="n">
        <v>0</v>
      </c>
      <c r="Q170" t="n">
        <v>0</v>
      </c>
      <c r="R170" s="2" t="inlineStr"/>
    </row>
    <row r="171" ht="15" customHeight="1">
      <c r="A171" t="inlineStr">
        <is>
          <t>A 50123-2020</t>
        </is>
      </c>
      <c r="B171" s="1" t="n">
        <v>44104</v>
      </c>
      <c r="C171" s="1" t="n">
        <v>45840</v>
      </c>
      <c r="D171" t="inlineStr">
        <is>
          <t>DALARNAS LÄN</t>
        </is>
      </c>
      <c r="E171" t="inlineStr">
        <is>
          <t>LEKSAND</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50102-2020</t>
        </is>
      </c>
      <c r="B172" s="1" t="n">
        <v>44104</v>
      </c>
      <c r="C172" s="1" t="n">
        <v>45840</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45840</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60963-2020</t>
        </is>
      </c>
      <c r="B174" s="1" t="n">
        <v>44154</v>
      </c>
      <c r="C174" s="1" t="n">
        <v>45840</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62118-2020</t>
        </is>
      </c>
      <c r="B175" s="1" t="n">
        <v>44159</v>
      </c>
      <c r="C175" s="1" t="n">
        <v>45840</v>
      </c>
      <c r="D175" t="inlineStr">
        <is>
          <t>DALARNAS LÄN</t>
        </is>
      </c>
      <c r="E175" t="inlineStr">
        <is>
          <t>LEKSAND</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63481-2020</t>
        </is>
      </c>
      <c r="B176" s="1" t="n">
        <v>44161</v>
      </c>
      <c r="C176" s="1" t="n">
        <v>45840</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64109-2020</t>
        </is>
      </c>
      <c r="B177" s="1" t="n">
        <v>44167</v>
      </c>
      <c r="C177" s="1" t="n">
        <v>45840</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64449-2020</t>
        </is>
      </c>
      <c r="B178" s="1" t="n">
        <v>44168</v>
      </c>
      <c r="C178" s="1" t="n">
        <v>45840</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64876-2020</t>
        </is>
      </c>
      <c r="B179" s="1" t="n">
        <v>44171</v>
      </c>
      <c r="C179" s="1" t="n">
        <v>45840</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65058-2020</t>
        </is>
      </c>
      <c r="B180" s="1" t="n">
        <v>44172</v>
      </c>
      <c r="C180" s="1" t="n">
        <v>45840</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66169-2020</t>
        </is>
      </c>
      <c r="B181" s="1" t="n">
        <v>44174</v>
      </c>
      <c r="C181" s="1" t="n">
        <v>45840</v>
      </c>
      <c r="D181" t="inlineStr">
        <is>
          <t>DALARNAS LÄN</t>
        </is>
      </c>
      <c r="E181" t="inlineStr">
        <is>
          <t>LEKSAND</t>
        </is>
      </c>
      <c r="G181" t="n">
        <v>5.3</v>
      </c>
      <c r="H181" t="n">
        <v>0</v>
      </c>
      <c r="I181" t="n">
        <v>0</v>
      </c>
      <c r="J181" t="n">
        <v>0</v>
      </c>
      <c r="K181" t="n">
        <v>0</v>
      </c>
      <c r="L181" t="n">
        <v>0</v>
      </c>
      <c r="M181" t="n">
        <v>0</v>
      </c>
      <c r="N181" t="n">
        <v>0</v>
      </c>
      <c r="O181" t="n">
        <v>0</v>
      </c>
      <c r="P181" t="n">
        <v>0</v>
      </c>
      <c r="Q181" t="n">
        <v>0</v>
      </c>
      <c r="R181" s="2" t="inlineStr"/>
    </row>
    <row r="182" ht="15" customHeight="1">
      <c r="A182" t="inlineStr">
        <is>
          <t>A 67100-2020</t>
        </is>
      </c>
      <c r="B182" s="1" t="n">
        <v>44179</v>
      </c>
      <c r="C182" s="1" t="n">
        <v>45840</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67307-2020</t>
        </is>
      </c>
      <c r="B183" s="1" t="n">
        <v>44181</v>
      </c>
      <c r="C183" s="1" t="n">
        <v>45840</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68058-2020</t>
        </is>
      </c>
      <c r="B184" s="1" t="n">
        <v>44183</v>
      </c>
      <c r="C184" s="1" t="n">
        <v>45840</v>
      </c>
      <c r="D184" t="inlineStr">
        <is>
          <t>DALARNAS LÄN</t>
        </is>
      </c>
      <c r="E184" t="inlineStr">
        <is>
          <t>LEKSAND</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776-2021</t>
        </is>
      </c>
      <c r="B185" s="1" t="n">
        <v>44203</v>
      </c>
      <c r="C185" s="1" t="n">
        <v>45840</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1078-2021</t>
        </is>
      </c>
      <c r="B186" s="1" t="n">
        <v>44207</v>
      </c>
      <c r="C186" s="1" t="n">
        <v>45840</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2311-2021</t>
        </is>
      </c>
      <c r="B187" s="1" t="n">
        <v>44213</v>
      </c>
      <c r="C187" s="1" t="n">
        <v>45840</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9131-2021</t>
        </is>
      </c>
      <c r="B188" s="1" t="n">
        <v>44249</v>
      </c>
      <c r="C188" s="1" t="n">
        <v>45840</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9133-2021</t>
        </is>
      </c>
      <c r="B189" s="1" t="n">
        <v>44249</v>
      </c>
      <c r="C189" s="1" t="n">
        <v>45840</v>
      </c>
      <c r="D189" t="inlineStr">
        <is>
          <t>DALARNAS LÄN</t>
        </is>
      </c>
      <c r="E189" t="inlineStr">
        <is>
          <t>LEKSAND</t>
        </is>
      </c>
      <c r="G189" t="n">
        <v>2.5</v>
      </c>
      <c r="H189" t="n">
        <v>0</v>
      </c>
      <c r="I189" t="n">
        <v>0</v>
      </c>
      <c r="J189" t="n">
        <v>0</v>
      </c>
      <c r="K189" t="n">
        <v>0</v>
      </c>
      <c r="L189" t="n">
        <v>0</v>
      </c>
      <c r="M189" t="n">
        <v>0</v>
      </c>
      <c r="N189" t="n">
        <v>0</v>
      </c>
      <c r="O189" t="n">
        <v>0</v>
      </c>
      <c r="P189" t="n">
        <v>0</v>
      </c>
      <c r="Q189" t="n">
        <v>0</v>
      </c>
      <c r="R189" s="2" t="inlineStr"/>
    </row>
    <row r="190" ht="15" customHeight="1">
      <c r="A190" t="inlineStr">
        <is>
          <t>A 13705-2021</t>
        </is>
      </c>
      <c r="B190" s="1" t="n">
        <v>44274</v>
      </c>
      <c r="C190" s="1" t="n">
        <v>45840</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45840</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17615-2021</t>
        </is>
      </c>
      <c r="B192" s="1" t="n">
        <v>44299</v>
      </c>
      <c r="C192" s="1" t="n">
        <v>45840</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18267-2021</t>
        </is>
      </c>
      <c r="B193" s="1" t="n">
        <v>44305</v>
      </c>
      <c r="C193" s="1" t="n">
        <v>45840</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18706-2021</t>
        </is>
      </c>
      <c r="B194" s="1" t="n">
        <v>44307</v>
      </c>
      <c r="C194" s="1" t="n">
        <v>45840</v>
      </c>
      <c r="D194" t="inlineStr">
        <is>
          <t>DALARNAS LÄN</t>
        </is>
      </c>
      <c r="E194" t="inlineStr">
        <is>
          <t>LEKSAND</t>
        </is>
      </c>
      <c r="G194" t="n">
        <v>3.4</v>
      </c>
      <c r="H194" t="n">
        <v>0</v>
      </c>
      <c r="I194" t="n">
        <v>0</v>
      </c>
      <c r="J194" t="n">
        <v>0</v>
      </c>
      <c r="K194" t="n">
        <v>0</v>
      </c>
      <c r="L194" t="n">
        <v>0</v>
      </c>
      <c r="M194" t="n">
        <v>0</v>
      </c>
      <c r="N194" t="n">
        <v>0</v>
      </c>
      <c r="O194" t="n">
        <v>0</v>
      </c>
      <c r="P194" t="n">
        <v>0</v>
      </c>
      <c r="Q194" t="n">
        <v>0</v>
      </c>
      <c r="R194" s="2" t="inlineStr"/>
    </row>
    <row r="195" ht="15" customHeight="1">
      <c r="A195" t="inlineStr">
        <is>
          <t>A 19677-2021</t>
        </is>
      </c>
      <c r="B195" s="1" t="n">
        <v>44312</v>
      </c>
      <c r="C195" s="1" t="n">
        <v>45840</v>
      </c>
      <c r="D195" t="inlineStr">
        <is>
          <t>DALARNAS LÄN</t>
        </is>
      </c>
      <c r="E195" t="inlineStr">
        <is>
          <t>LEKSAND</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21132-2021</t>
        </is>
      </c>
      <c r="B196" s="1" t="n">
        <v>44319</v>
      </c>
      <c r="C196" s="1" t="n">
        <v>45840</v>
      </c>
      <c r="D196" t="inlineStr">
        <is>
          <t>DALARNAS LÄN</t>
        </is>
      </c>
      <c r="E196" t="inlineStr">
        <is>
          <t>LEKSAND</t>
        </is>
      </c>
      <c r="G196" t="n">
        <v>6.8</v>
      </c>
      <c r="H196" t="n">
        <v>0</v>
      </c>
      <c r="I196" t="n">
        <v>0</v>
      </c>
      <c r="J196" t="n">
        <v>0</v>
      </c>
      <c r="K196" t="n">
        <v>0</v>
      </c>
      <c r="L196" t="n">
        <v>0</v>
      </c>
      <c r="M196" t="n">
        <v>0</v>
      </c>
      <c r="N196" t="n">
        <v>0</v>
      </c>
      <c r="O196" t="n">
        <v>0</v>
      </c>
      <c r="P196" t="n">
        <v>0</v>
      </c>
      <c r="Q196" t="n">
        <v>0</v>
      </c>
      <c r="R196" s="2" t="inlineStr"/>
    </row>
    <row r="197" ht="15" customHeight="1">
      <c r="A197" t="inlineStr">
        <is>
          <t>A 21968-2021</t>
        </is>
      </c>
      <c r="B197" s="1" t="n">
        <v>44323</v>
      </c>
      <c r="C197" s="1" t="n">
        <v>45840</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21969-2021</t>
        </is>
      </c>
      <c r="B198" s="1" t="n">
        <v>44323</v>
      </c>
      <c r="C198" s="1" t="n">
        <v>45840</v>
      </c>
      <c r="D198" t="inlineStr">
        <is>
          <t>DALARNAS LÄN</t>
        </is>
      </c>
      <c r="E198" t="inlineStr">
        <is>
          <t>LEKSAND</t>
        </is>
      </c>
      <c r="G198" t="n">
        <v>3.8</v>
      </c>
      <c r="H198" t="n">
        <v>0</v>
      </c>
      <c r="I198" t="n">
        <v>0</v>
      </c>
      <c r="J198" t="n">
        <v>0</v>
      </c>
      <c r="K198" t="n">
        <v>0</v>
      </c>
      <c r="L198" t="n">
        <v>0</v>
      </c>
      <c r="M198" t="n">
        <v>0</v>
      </c>
      <c r="N198" t="n">
        <v>0</v>
      </c>
      <c r="O198" t="n">
        <v>0</v>
      </c>
      <c r="P198" t="n">
        <v>0</v>
      </c>
      <c r="Q198" t="n">
        <v>0</v>
      </c>
      <c r="R198" s="2" t="inlineStr"/>
    </row>
    <row r="199" ht="15" customHeight="1">
      <c r="A199" t="inlineStr">
        <is>
          <t>A 21965-2021</t>
        </is>
      </c>
      <c r="B199" s="1" t="n">
        <v>44323</v>
      </c>
      <c r="C199" s="1" t="n">
        <v>45840</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22431-2021</t>
        </is>
      </c>
      <c r="B200" s="1" t="n">
        <v>44326</v>
      </c>
      <c r="C200" s="1" t="n">
        <v>45840</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22684-2021</t>
        </is>
      </c>
      <c r="B201" s="1" t="n">
        <v>44327</v>
      </c>
      <c r="C201" s="1" t="n">
        <v>45840</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22999-2021</t>
        </is>
      </c>
      <c r="B202" s="1" t="n">
        <v>44328</v>
      </c>
      <c r="C202" s="1" t="n">
        <v>45840</v>
      </c>
      <c r="D202" t="inlineStr">
        <is>
          <t>DALARNAS LÄN</t>
        </is>
      </c>
      <c r="E202" t="inlineStr">
        <is>
          <t>LEKSAND</t>
        </is>
      </c>
      <c r="F202" t="inlineStr">
        <is>
          <t>Bergvik skog väst AB</t>
        </is>
      </c>
      <c r="G202" t="n">
        <v>8.5</v>
      </c>
      <c r="H202" t="n">
        <v>0</v>
      </c>
      <c r="I202" t="n">
        <v>0</v>
      </c>
      <c r="J202" t="n">
        <v>0</v>
      </c>
      <c r="K202" t="n">
        <v>0</v>
      </c>
      <c r="L202" t="n">
        <v>0</v>
      </c>
      <c r="M202" t="n">
        <v>0</v>
      </c>
      <c r="N202" t="n">
        <v>0</v>
      </c>
      <c r="O202" t="n">
        <v>0</v>
      </c>
      <c r="P202" t="n">
        <v>0</v>
      </c>
      <c r="Q202" t="n">
        <v>0</v>
      </c>
      <c r="R202" s="2" t="inlineStr"/>
    </row>
    <row r="203" ht="15" customHeight="1">
      <c r="A203" t="inlineStr">
        <is>
          <t>A 23824-2021</t>
        </is>
      </c>
      <c r="B203" s="1" t="n">
        <v>44335</v>
      </c>
      <c r="C203" s="1" t="n">
        <v>45840</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24142-2021</t>
        </is>
      </c>
      <c r="B204" s="1" t="n">
        <v>44336</v>
      </c>
      <c r="C204" s="1" t="n">
        <v>45840</v>
      </c>
      <c r="D204" t="inlineStr">
        <is>
          <t>DALARNAS LÄN</t>
        </is>
      </c>
      <c r="E204" t="inlineStr">
        <is>
          <t>LEKSAND</t>
        </is>
      </c>
      <c r="F204" t="inlineStr">
        <is>
          <t>Bergvik skog väst AB</t>
        </is>
      </c>
      <c r="G204" t="n">
        <v>18.9</v>
      </c>
      <c r="H204" t="n">
        <v>0</v>
      </c>
      <c r="I204" t="n">
        <v>0</v>
      </c>
      <c r="J204" t="n">
        <v>0</v>
      </c>
      <c r="K204" t="n">
        <v>0</v>
      </c>
      <c r="L204" t="n">
        <v>0</v>
      </c>
      <c r="M204" t="n">
        <v>0</v>
      </c>
      <c r="N204" t="n">
        <v>0</v>
      </c>
      <c r="O204" t="n">
        <v>0</v>
      </c>
      <c r="P204" t="n">
        <v>0</v>
      </c>
      <c r="Q204" t="n">
        <v>0</v>
      </c>
      <c r="R204" s="2" t="inlineStr"/>
    </row>
    <row r="205" ht="15" customHeight="1">
      <c r="A205" t="inlineStr">
        <is>
          <t>A 24479-2021</t>
        </is>
      </c>
      <c r="B205" s="1" t="n">
        <v>44337</v>
      </c>
      <c r="C205" s="1" t="n">
        <v>45840</v>
      </c>
      <c r="D205" t="inlineStr">
        <is>
          <t>DALARNAS LÄN</t>
        </is>
      </c>
      <c r="E205" t="inlineStr">
        <is>
          <t>LEKSAND</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26738-2021</t>
        </is>
      </c>
      <c r="B206" s="1" t="n">
        <v>44349</v>
      </c>
      <c r="C206" s="1" t="n">
        <v>45840</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27154-2021</t>
        </is>
      </c>
      <c r="B207" s="1" t="n">
        <v>44350</v>
      </c>
      <c r="C207" s="1" t="n">
        <v>45840</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27317-2021</t>
        </is>
      </c>
      <c r="B208" s="1" t="n">
        <v>44351</v>
      </c>
      <c r="C208" s="1" t="n">
        <v>45840</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32152-2021</t>
        </is>
      </c>
      <c r="B209" s="1" t="n">
        <v>44371</v>
      </c>
      <c r="C209" s="1" t="n">
        <v>45840</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32635-2021</t>
        </is>
      </c>
      <c r="B210" s="1" t="n">
        <v>44374</v>
      </c>
      <c r="C210" s="1" t="n">
        <v>45840</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33072-2021</t>
        </is>
      </c>
      <c r="B211" s="1" t="n">
        <v>44375</v>
      </c>
      <c r="C211" s="1" t="n">
        <v>45840</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33170-2021</t>
        </is>
      </c>
      <c r="B212" s="1" t="n">
        <v>44376</v>
      </c>
      <c r="C212" s="1" t="n">
        <v>45840</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34869-2021</t>
        </is>
      </c>
      <c r="B213" s="1" t="n">
        <v>44383</v>
      </c>
      <c r="C213" s="1" t="n">
        <v>45840</v>
      </c>
      <c r="D213" t="inlineStr">
        <is>
          <t>DALARNAS LÄN</t>
        </is>
      </c>
      <c r="E213" t="inlineStr">
        <is>
          <t>LEKSAND</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34867-2021</t>
        </is>
      </c>
      <c r="B214" s="1" t="n">
        <v>44383</v>
      </c>
      <c r="C214" s="1" t="n">
        <v>45840</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34911-2021</t>
        </is>
      </c>
      <c r="B215" s="1" t="n">
        <v>44383</v>
      </c>
      <c r="C215" s="1" t="n">
        <v>45840</v>
      </c>
      <c r="D215" t="inlineStr">
        <is>
          <t>DALARNAS LÄN</t>
        </is>
      </c>
      <c r="E215" t="inlineStr">
        <is>
          <t>LEKSAND</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36438-2021</t>
        </is>
      </c>
      <c r="B216" s="1" t="n">
        <v>44390</v>
      </c>
      <c r="C216" s="1" t="n">
        <v>45840</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36956-2021</t>
        </is>
      </c>
      <c r="B217" s="1" t="n">
        <v>44393</v>
      </c>
      <c r="C217" s="1" t="n">
        <v>45840</v>
      </c>
      <c r="D217" t="inlineStr">
        <is>
          <t>DALARNAS LÄN</t>
        </is>
      </c>
      <c r="E217" t="inlineStr">
        <is>
          <t>LEKSAND</t>
        </is>
      </c>
      <c r="G217" t="n">
        <v>4.1</v>
      </c>
      <c r="H217" t="n">
        <v>0</v>
      </c>
      <c r="I217" t="n">
        <v>0</v>
      </c>
      <c r="J217" t="n">
        <v>0</v>
      </c>
      <c r="K217" t="n">
        <v>0</v>
      </c>
      <c r="L217" t="n">
        <v>0</v>
      </c>
      <c r="M217" t="n">
        <v>0</v>
      </c>
      <c r="N217" t="n">
        <v>0</v>
      </c>
      <c r="O217" t="n">
        <v>0</v>
      </c>
      <c r="P217" t="n">
        <v>0</v>
      </c>
      <c r="Q217" t="n">
        <v>0</v>
      </c>
      <c r="R217" s="2" t="inlineStr"/>
    </row>
    <row r="218" ht="15" customHeight="1">
      <c r="A218" t="inlineStr">
        <is>
          <t>A 37073-2021</t>
        </is>
      </c>
      <c r="B218" s="1" t="n">
        <v>44394</v>
      </c>
      <c r="C218" s="1" t="n">
        <v>45840</v>
      </c>
      <c r="D218" t="inlineStr">
        <is>
          <t>DALARNAS LÄN</t>
        </is>
      </c>
      <c r="E218" t="inlineStr">
        <is>
          <t>LEKSAND</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37283-2021</t>
        </is>
      </c>
      <c r="B219" s="1" t="n">
        <v>44397</v>
      </c>
      <c r="C219" s="1" t="n">
        <v>45840</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37531-2021</t>
        </is>
      </c>
      <c r="B220" s="1" t="n">
        <v>44399</v>
      </c>
      <c r="C220" s="1" t="n">
        <v>45840</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38192-2021</t>
        </is>
      </c>
      <c r="B221" s="1" t="n">
        <v>44405</v>
      </c>
      <c r="C221" s="1" t="n">
        <v>45840</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45840</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39203-2021</t>
        </is>
      </c>
      <c r="B223" s="1" t="n">
        <v>44413</v>
      </c>
      <c r="C223" s="1" t="n">
        <v>45840</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40584-2021</t>
        </is>
      </c>
      <c r="B224" s="1" t="n">
        <v>44420</v>
      </c>
      <c r="C224" s="1" t="n">
        <v>45840</v>
      </c>
      <c r="D224" t="inlineStr">
        <is>
          <t>DALARNAS LÄN</t>
        </is>
      </c>
      <c r="E224" t="inlineStr">
        <is>
          <t>LEKSAND</t>
        </is>
      </c>
      <c r="G224" t="n">
        <v>6</v>
      </c>
      <c r="H224" t="n">
        <v>0</v>
      </c>
      <c r="I224" t="n">
        <v>0</v>
      </c>
      <c r="J224" t="n">
        <v>0</v>
      </c>
      <c r="K224" t="n">
        <v>0</v>
      </c>
      <c r="L224" t="n">
        <v>0</v>
      </c>
      <c r="M224" t="n">
        <v>0</v>
      </c>
      <c r="N224" t="n">
        <v>0</v>
      </c>
      <c r="O224" t="n">
        <v>0</v>
      </c>
      <c r="P224" t="n">
        <v>0</v>
      </c>
      <c r="Q224" t="n">
        <v>0</v>
      </c>
      <c r="R224" s="2" t="inlineStr"/>
    </row>
    <row r="225" ht="15" customHeight="1">
      <c r="A225" t="inlineStr">
        <is>
          <t>A 42952-2021</t>
        </is>
      </c>
      <c r="B225" s="1" t="n">
        <v>44431</v>
      </c>
      <c r="C225" s="1" t="n">
        <v>45840</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43410-2021</t>
        </is>
      </c>
      <c r="B226" s="1" t="n">
        <v>44432</v>
      </c>
      <c r="C226" s="1" t="n">
        <v>45840</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44922-2021</t>
        </is>
      </c>
      <c r="B227" s="1" t="n">
        <v>44438</v>
      </c>
      <c r="C227" s="1" t="n">
        <v>45840</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45155-2021</t>
        </is>
      </c>
      <c r="B228" s="1" t="n">
        <v>44439</v>
      </c>
      <c r="C228" s="1" t="n">
        <v>45840</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45840</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47121-2021</t>
        </is>
      </c>
      <c r="B230" s="1" t="n">
        <v>44446</v>
      </c>
      <c r="C230" s="1" t="n">
        <v>45840</v>
      </c>
      <c r="D230" t="inlineStr">
        <is>
          <t>DALARNAS LÄN</t>
        </is>
      </c>
      <c r="E230" t="inlineStr">
        <is>
          <t>LEKSAND</t>
        </is>
      </c>
      <c r="G230" t="n">
        <v>3.5</v>
      </c>
      <c r="H230" t="n">
        <v>0</v>
      </c>
      <c r="I230" t="n">
        <v>0</v>
      </c>
      <c r="J230" t="n">
        <v>0</v>
      </c>
      <c r="K230" t="n">
        <v>0</v>
      </c>
      <c r="L230" t="n">
        <v>0</v>
      </c>
      <c r="M230" t="n">
        <v>0</v>
      </c>
      <c r="N230" t="n">
        <v>0</v>
      </c>
      <c r="O230" t="n">
        <v>0</v>
      </c>
      <c r="P230" t="n">
        <v>0</v>
      </c>
      <c r="Q230" t="n">
        <v>0</v>
      </c>
      <c r="R230" s="2" t="inlineStr"/>
    </row>
    <row r="231" ht="15" customHeight="1">
      <c r="A231" t="inlineStr">
        <is>
          <t>A 48949-2021</t>
        </is>
      </c>
      <c r="B231" s="1" t="n">
        <v>44453</v>
      </c>
      <c r="C231" s="1" t="n">
        <v>45840</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53625-2021</t>
        </is>
      </c>
      <c r="B232" s="1" t="n">
        <v>44469</v>
      </c>
      <c r="C232" s="1" t="n">
        <v>45840</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56153-2021</t>
        </is>
      </c>
      <c r="B233" s="1" t="n">
        <v>44477</v>
      </c>
      <c r="C233" s="1" t="n">
        <v>45840</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58569-2021</t>
        </is>
      </c>
      <c r="B234" s="1" t="n">
        <v>44488</v>
      </c>
      <c r="C234" s="1" t="n">
        <v>45840</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59422-2021</t>
        </is>
      </c>
      <c r="B235" s="1" t="n">
        <v>44491</v>
      </c>
      <c r="C235" s="1" t="n">
        <v>45840</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61546-2021</t>
        </is>
      </c>
      <c r="B236" s="1" t="n">
        <v>44501</v>
      </c>
      <c r="C236" s="1" t="n">
        <v>45840</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61669-2021</t>
        </is>
      </c>
      <c r="B237" s="1" t="n">
        <v>44501</v>
      </c>
      <c r="C237" s="1" t="n">
        <v>45840</v>
      </c>
      <c r="D237" t="inlineStr">
        <is>
          <t>DALARNAS LÄN</t>
        </is>
      </c>
      <c r="E237" t="inlineStr">
        <is>
          <t>LEKSAND</t>
        </is>
      </c>
      <c r="G237" t="n">
        <v>3.6</v>
      </c>
      <c r="H237" t="n">
        <v>0</v>
      </c>
      <c r="I237" t="n">
        <v>0</v>
      </c>
      <c r="J237" t="n">
        <v>0</v>
      </c>
      <c r="K237" t="n">
        <v>0</v>
      </c>
      <c r="L237" t="n">
        <v>0</v>
      </c>
      <c r="M237" t="n">
        <v>0</v>
      </c>
      <c r="N237" t="n">
        <v>0</v>
      </c>
      <c r="O237" t="n">
        <v>0</v>
      </c>
      <c r="P237" t="n">
        <v>0</v>
      </c>
      <c r="Q237" t="n">
        <v>0</v>
      </c>
      <c r="R237" s="2" t="inlineStr"/>
    </row>
    <row r="238" ht="15" customHeight="1">
      <c r="A238" t="inlineStr">
        <is>
          <t>A 61676-2021</t>
        </is>
      </c>
      <c r="B238" s="1" t="n">
        <v>44501</v>
      </c>
      <c r="C238" s="1" t="n">
        <v>45840</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62279-2021</t>
        </is>
      </c>
      <c r="B239" s="1" t="n">
        <v>44503</v>
      </c>
      <c r="C239" s="1" t="n">
        <v>45840</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64718-2021</t>
        </is>
      </c>
      <c r="B240" s="1" t="n">
        <v>44512</v>
      </c>
      <c r="C240" s="1" t="n">
        <v>45840</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68573-2021</t>
        </is>
      </c>
      <c r="B241" s="1" t="n">
        <v>44529</v>
      </c>
      <c r="C241" s="1" t="n">
        <v>45840</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68617-2021</t>
        </is>
      </c>
      <c r="B242" s="1" t="n">
        <v>44529</v>
      </c>
      <c r="C242" s="1" t="n">
        <v>45840</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69525-2021</t>
        </is>
      </c>
      <c r="B243" s="1" t="n">
        <v>44531</v>
      </c>
      <c r="C243" s="1" t="n">
        <v>45840</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70098-2021</t>
        </is>
      </c>
      <c r="B244" s="1" t="n">
        <v>44533</v>
      </c>
      <c r="C244" s="1" t="n">
        <v>45840</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70099-2021</t>
        </is>
      </c>
      <c r="B245" s="1" t="n">
        <v>44533</v>
      </c>
      <c r="C245" s="1" t="n">
        <v>45840</v>
      </c>
      <c r="D245" t="inlineStr">
        <is>
          <t>DALARNAS LÄN</t>
        </is>
      </c>
      <c r="E245" t="inlineStr">
        <is>
          <t>LEKSAND</t>
        </is>
      </c>
      <c r="G245" t="n">
        <v>2.8</v>
      </c>
      <c r="H245" t="n">
        <v>0</v>
      </c>
      <c r="I245" t="n">
        <v>0</v>
      </c>
      <c r="J245" t="n">
        <v>0</v>
      </c>
      <c r="K245" t="n">
        <v>0</v>
      </c>
      <c r="L245" t="n">
        <v>0</v>
      </c>
      <c r="M245" t="n">
        <v>0</v>
      </c>
      <c r="N245" t="n">
        <v>0</v>
      </c>
      <c r="O245" t="n">
        <v>0</v>
      </c>
      <c r="P245" t="n">
        <v>0</v>
      </c>
      <c r="Q245" t="n">
        <v>0</v>
      </c>
      <c r="R245" s="2" t="inlineStr"/>
    </row>
    <row r="246" ht="15" customHeight="1">
      <c r="A246" t="inlineStr">
        <is>
          <t>A 70026-2021</t>
        </is>
      </c>
      <c r="B246" s="1" t="n">
        <v>44533</v>
      </c>
      <c r="C246" s="1" t="n">
        <v>45840</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70296-2021</t>
        </is>
      </c>
      <c r="B247" s="1" t="n">
        <v>44536</v>
      </c>
      <c r="C247" s="1" t="n">
        <v>45840</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70451-2021</t>
        </is>
      </c>
      <c r="B248" s="1" t="n">
        <v>44536</v>
      </c>
      <c r="C248" s="1" t="n">
        <v>45840</v>
      </c>
      <c r="D248" t="inlineStr">
        <is>
          <t>DALARNAS LÄN</t>
        </is>
      </c>
      <c r="E248" t="inlineStr">
        <is>
          <t>LEKSAND</t>
        </is>
      </c>
      <c r="G248" t="n">
        <v>3.7</v>
      </c>
      <c r="H248" t="n">
        <v>0</v>
      </c>
      <c r="I248" t="n">
        <v>0</v>
      </c>
      <c r="J248" t="n">
        <v>0</v>
      </c>
      <c r="K248" t="n">
        <v>0</v>
      </c>
      <c r="L248" t="n">
        <v>0</v>
      </c>
      <c r="M248" t="n">
        <v>0</v>
      </c>
      <c r="N248" t="n">
        <v>0</v>
      </c>
      <c r="O248" t="n">
        <v>0</v>
      </c>
      <c r="P248" t="n">
        <v>0</v>
      </c>
      <c r="Q248" t="n">
        <v>0</v>
      </c>
      <c r="R248" s="2" t="inlineStr"/>
    </row>
    <row r="249" ht="15" customHeight="1">
      <c r="A249" t="inlineStr">
        <is>
          <t>A 71311-2021</t>
        </is>
      </c>
      <c r="B249" s="1" t="n">
        <v>44539</v>
      </c>
      <c r="C249" s="1" t="n">
        <v>45840</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71754-2021</t>
        </is>
      </c>
      <c r="B250" s="1" t="n">
        <v>44543</v>
      </c>
      <c r="C250" s="1" t="n">
        <v>45840</v>
      </c>
      <c r="D250" t="inlineStr">
        <is>
          <t>DALARNAS LÄN</t>
        </is>
      </c>
      <c r="E250" t="inlineStr">
        <is>
          <t>LEKSAND</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71817-2021</t>
        </is>
      </c>
      <c r="B251" s="1" t="n">
        <v>44543</v>
      </c>
      <c r="C251" s="1" t="n">
        <v>45840</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72155-2021</t>
        </is>
      </c>
      <c r="B252" s="1" t="n">
        <v>44543</v>
      </c>
      <c r="C252" s="1" t="n">
        <v>45840</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72000-2021</t>
        </is>
      </c>
      <c r="B253" s="1" t="n">
        <v>44544</v>
      </c>
      <c r="C253" s="1" t="n">
        <v>45840</v>
      </c>
      <c r="D253" t="inlineStr">
        <is>
          <t>DALARNAS LÄN</t>
        </is>
      </c>
      <c r="E253" t="inlineStr">
        <is>
          <t>LEKSAND</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72001-2021</t>
        </is>
      </c>
      <c r="B254" s="1" t="n">
        <v>44544</v>
      </c>
      <c r="C254" s="1" t="n">
        <v>45840</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72581-2021</t>
        </is>
      </c>
      <c r="B255" s="1" t="n">
        <v>44546</v>
      </c>
      <c r="C255" s="1" t="n">
        <v>45840</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72531-2021</t>
        </is>
      </c>
      <c r="B256" s="1" t="n">
        <v>44546</v>
      </c>
      <c r="C256" s="1" t="n">
        <v>45840</v>
      </c>
      <c r="D256" t="inlineStr">
        <is>
          <t>DALARNAS LÄN</t>
        </is>
      </c>
      <c r="E256" t="inlineStr">
        <is>
          <t>LEKSAND</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45840</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74067-2021</t>
        </is>
      </c>
      <c r="B258" s="1" t="n">
        <v>44553</v>
      </c>
      <c r="C258" s="1" t="n">
        <v>45840</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791-2022</t>
        </is>
      </c>
      <c r="B259" s="1" t="n">
        <v>44570</v>
      </c>
      <c r="C259" s="1" t="n">
        <v>45840</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45840</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2579-2022</t>
        </is>
      </c>
      <c r="B261" s="1" t="n">
        <v>44580</v>
      </c>
      <c r="C261" s="1" t="n">
        <v>45840</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4257-2022</t>
        </is>
      </c>
      <c r="B262" s="1" t="n">
        <v>44588</v>
      </c>
      <c r="C262" s="1" t="n">
        <v>45840</v>
      </c>
      <c r="D262" t="inlineStr">
        <is>
          <t>DALARNAS LÄN</t>
        </is>
      </c>
      <c r="E262" t="inlineStr">
        <is>
          <t>LEKSAND</t>
        </is>
      </c>
      <c r="G262" t="n">
        <v>6.8</v>
      </c>
      <c r="H262" t="n">
        <v>0</v>
      </c>
      <c r="I262" t="n">
        <v>0</v>
      </c>
      <c r="J262" t="n">
        <v>0</v>
      </c>
      <c r="K262" t="n">
        <v>0</v>
      </c>
      <c r="L262" t="n">
        <v>0</v>
      </c>
      <c r="M262" t="n">
        <v>0</v>
      </c>
      <c r="N262" t="n">
        <v>0</v>
      </c>
      <c r="O262" t="n">
        <v>0</v>
      </c>
      <c r="P262" t="n">
        <v>0</v>
      </c>
      <c r="Q262" t="n">
        <v>0</v>
      </c>
      <c r="R262" s="2" t="inlineStr"/>
    </row>
    <row r="263" ht="15" customHeight="1">
      <c r="A263" t="inlineStr">
        <is>
          <t>A 4609-2022</t>
        </is>
      </c>
      <c r="B263" s="1" t="n">
        <v>44592</v>
      </c>
      <c r="C263" s="1" t="n">
        <v>45840</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8501-2022</t>
        </is>
      </c>
      <c r="B264" s="1" t="n">
        <v>44613</v>
      </c>
      <c r="C264" s="1" t="n">
        <v>45840</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11015-2022</t>
        </is>
      </c>
      <c r="B265" s="1" t="n">
        <v>44628</v>
      </c>
      <c r="C265" s="1" t="n">
        <v>45840</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11412-2022</t>
        </is>
      </c>
      <c r="B266" s="1" t="n">
        <v>44630</v>
      </c>
      <c r="C266" s="1" t="n">
        <v>45840</v>
      </c>
      <c r="D266" t="inlineStr">
        <is>
          <t>DALARNAS LÄN</t>
        </is>
      </c>
      <c r="E266" t="inlineStr">
        <is>
          <t>LEKSAND</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12992-2022</t>
        </is>
      </c>
      <c r="B267" s="1" t="n">
        <v>44643</v>
      </c>
      <c r="C267" s="1" t="n">
        <v>45840</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14140-2022</t>
        </is>
      </c>
      <c r="B268" s="1" t="n">
        <v>44651</v>
      </c>
      <c r="C268" s="1" t="n">
        <v>45840</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14806-2022</t>
        </is>
      </c>
      <c r="B269" s="1" t="n">
        <v>44656</v>
      </c>
      <c r="C269" s="1" t="n">
        <v>45840</v>
      </c>
      <c r="D269" t="inlineStr">
        <is>
          <t>DALARNAS LÄN</t>
        </is>
      </c>
      <c r="E269" t="inlineStr">
        <is>
          <t>LEKSAND</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16353-2022</t>
        </is>
      </c>
      <c r="B270" s="1" t="n">
        <v>44670</v>
      </c>
      <c r="C270" s="1" t="n">
        <v>45840</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16375-2022</t>
        </is>
      </c>
      <c r="B271" s="1" t="n">
        <v>44671</v>
      </c>
      <c r="C271" s="1" t="n">
        <v>45840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16976-2022</t>
        </is>
      </c>
      <c r="B272" s="1" t="n">
        <v>44676</v>
      </c>
      <c r="C272" s="1" t="n">
        <v>45840</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17455-2022</t>
        </is>
      </c>
      <c r="B273" s="1" t="n">
        <v>44679</v>
      </c>
      <c r="C273" s="1" t="n">
        <v>45840</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18140-2022</t>
        </is>
      </c>
      <c r="B274" s="1" t="n">
        <v>44684</v>
      </c>
      <c r="C274" s="1" t="n">
        <v>45840</v>
      </c>
      <c r="D274" t="inlineStr">
        <is>
          <t>DALARNAS LÄN</t>
        </is>
      </c>
      <c r="E274" t="inlineStr">
        <is>
          <t>LEKSAND</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18866-2022</t>
        </is>
      </c>
      <c r="B275" s="1" t="n">
        <v>44690</v>
      </c>
      <c r="C275" s="1" t="n">
        <v>45840</v>
      </c>
      <c r="D275" t="inlineStr">
        <is>
          <t>DALARNAS LÄN</t>
        </is>
      </c>
      <c r="E275" t="inlineStr">
        <is>
          <t>LEKSAND</t>
        </is>
      </c>
      <c r="F275" t="inlineStr">
        <is>
          <t>Övriga Aktiebolag</t>
        </is>
      </c>
      <c r="G275" t="n">
        <v>5.1</v>
      </c>
      <c r="H275" t="n">
        <v>0</v>
      </c>
      <c r="I275" t="n">
        <v>0</v>
      </c>
      <c r="J275" t="n">
        <v>0</v>
      </c>
      <c r="K275" t="n">
        <v>0</v>
      </c>
      <c r="L275" t="n">
        <v>0</v>
      </c>
      <c r="M275" t="n">
        <v>0</v>
      </c>
      <c r="N275" t="n">
        <v>0</v>
      </c>
      <c r="O275" t="n">
        <v>0</v>
      </c>
      <c r="P275" t="n">
        <v>0</v>
      </c>
      <c r="Q275" t="n">
        <v>0</v>
      </c>
      <c r="R275" s="2" t="inlineStr"/>
    </row>
    <row r="276" ht="15" customHeight="1">
      <c r="A276" t="inlineStr">
        <is>
          <t>A 18870-2022</t>
        </is>
      </c>
      <c r="B276" s="1" t="n">
        <v>44690</v>
      </c>
      <c r="C276" s="1" t="n">
        <v>45840</v>
      </c>
      <c r="D276" t="inlineStr">
        <is>
          <t>DALARNAS LÄN</t>
        </is>
      </c>
      <c r="E276" t="inlineStr">
        <is>
          <t>LEKSAND</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19467-2022</t>
        </is>
      </c>
      <c r="B277" s="1" t="n">
        <v>44693</v>
      </c>
      <c r="C277" s="1" t="n">
        <v>45840</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19480-2022</t>
        </is>
      </c>
      <c r="B278" s="1" t="n">
        <v>44693</v>
      </c>
      <c r="C278" s="1" t="n">
        <v>45840</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19993-2022</t>
        </is>
      </c>
      <c r="B279" s="1" t="n">
        <v>44697</v>
      </c>
      <c r="C279" s="1" t="n">
        <v>45840</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20274-2022</t>
        </is>
      </c>
      <c r="B280" s="1" t="n">
        <v>44698</v>
      </c>
      <c r="C280" s="1" t="n">
        <v>45840</v>
      </c>
      <c r="D280" t="inlineStr">
        <is>
          <t>DALARNAS LÄN</t>
        </is>
      </c>
      <c r="E280" t="inlineStr">
        <is>
          <t>LEKSAND</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21565-2022</t>
        </is>
      </c>
      <c r="B281" s="1" t="n">
        <v>44704</v>
      </c>
      <c r="C281" s="1" t="n">
        <v>45840</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21841-2022</t>
        </is>
      </c>
      <c r="B282" s="1" t="n">
        <v>44711</v>
      </c>
      <c r="C282" s="1" t="n">
        <v>45840</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45840</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21840-2022</t>
        </is>
      </c>
      <c r="B284" s="1" t="n">
        <v>44711</v>
      </c>
      <c r="C284" s="1" t="n">
        <v>45840</v>
      </c>
      <c r="D284" t="inlineStr">
        <is>
          <t>DALARNAS LÄN</t>
        </is>
      </c>
      <c r="E284" t="inlineStr">
        <is>
          <t>LEKSAND</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22683-2022</t>
        </is>
      </c>
      <c r="B285" s="1" t="n">
        <v>44714</v>
      </c>
      <c r="C285" s="1" t="n">
        <v>45840</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22681-2022</t>
        </is>
      </c>
      <c r="B286" s="1" t="n">
        <v>44714</v>
      </c>
      <c r="C286" s="1" t="n">
        <v>45840</v>
      </c>
      <c r="D286" t="inlineStr">
        <is>
          <t>DALARNAS LÄN</t>
        </is>
      </c>
      <c r="E286" t="inlineStr">
        <is>
          <t>LEKSAND</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22684-2022</t>
        </is>
      </c>
      <c r="B287" s="1" t="n">
        <v>44714</v>
      </c>
      <c r="C287" s="1" t="n">
        <v>45840</v>
      </c>
      <c r="D287" t="inlineStr">
        <is>
          <t>DALARNAS LÄN</t>
        </is>
      </c>
      <c r="E287" t="inlineStr">
        <is>
          <t>LEKSAND</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25329-2022</t>
        </is>
      </c>
      <c r="B288" s="1" t="n">
        <v>44731</v>
      </c>
      <c r="C288" s="1" t="n">
        <v>45840</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26289-2022</t>
        </is>
      </c>
      <c r="B289" s="1" t="n">
        <v>44735</v>
      </c>
      <c r="C289" s="1" t="n">
        <v>45840</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26882-2022</t>
        </is>
      </c>
      <c r="B290" s="1" t="n">
        <v>44740</v>
      </c>
      <c r="C290" s="1" t="n">
        <v>45840</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28128-2022</t>
        </is>
      </c>
      <c r="B291" s="1" t="n">
        <v>44746</v>
      </c>
      <c r="C291" s="1" t="n">
        <v>45840</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28911-2022</t>
        </is>
      </c>
      <c r="B292" s="1" t="n">
        <v>44749</v>
      </c>
      <c r="C292" s="1" t="n">
        <v>45840</v>
      </c>
      <c r="D292" t="inlineStr">
        <is>
          <t>DALARNAS LÄN</t>
        </is>
      </c>
      <c r="E292" t="inlineStr">
        <is>
          <t>LEKSAND</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45840</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28912-2022</t>
        </is>
      </c>
      <c r="B294" s="1" t="n">
        <v>44749</v>
      </c>
      <c r="C294" s="1" t="n">
        <v>45840</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29205-2022</t>
        </is>
      </c>
      <c r="B295" s="1" t="n">
        <v>44750</v>
      </c>
      <c r="C295" s="1" t="n">
        <v>45840</v>
      </c>
      <c r="D295" t="inlineStr">
        <is>
          <t>DALARNAS LÄN</t>
        </is>
      </c>
      <c r="E295" t="inlineStr">
        <is>
          <t>LEKSAND</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v>
      </c>
      <c r="C296" s="1" t="n">
        <v>45840</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30449-2022</t>
        </is>
      </c>
      <c r="B297" s="1" t="n">
        <v>44761</v>
      </c>
      <c r="C297" s="1" t="n">
        <v>45840</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31746-2022</t>
        </is>
      </c>
      <c r="B298" s="1" t="n">
        <v>44776</v>
      </c>
      <c r="C298" s="1" t="n">
        <v>45840</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31871-2022</t>
        </is>
      </c>
      <c r="B299" s="1" t="n">
        <v>44777</v>
      </c>
      <c r="C299" s="1" t="n">
        <v>45840</v>
      </c>
      <c r="D299" t="inlineStr">
        <is>
          <t>DALARNAS LÄN</t>
        </is>
      </c>
      <c r="E299" t="inlineStr">
        <is>
          <t>LEKSAND</t>
        </is>
      </c>
      <c r="G299" t="n">
        <v>4.1</v>
      </c>
      <c r="H299" t="n">
        <v>0</v>
      </c>
      <c r="I299" t="n">
        <v>0</v>
      </c>
      <c r="J299" t="n">
        <v>0</v>
      </c>
      <c r="K299" t="n">
        <v>0</v>
      </c>
      <c r="L299" t="n">
        <v>0</v>
      </c>
      <c r="M299" t="n">
        <v>0</v>
      </c>
      <c r="N299" t="n">
        <v>0</v>
      </c>
      <c r="O299" t="n">
        <v>0</v>
      </c>
      <c r="P299" t="n">
        <v>0</v>
      </c>
      <c r="Q299" t="n">
        <v>0</v>
      </c>
      <c r="R299" s="2" t="inlineStr"/>
    </row>
    <row r="300" ht="15" customHeight="1">
      <c r="A300" t="inlineStr">
        <is>
          <t>A 32225-2022</t>
        </is>
      </c>
      <c r="B300" s="1" t="n">
        <v>44781</v>
      </c>
      <c r="C300" s="1" t="n">
        <v>45840</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32476-2022</t>
        </is>
      </c>
      <c r="B301" s="1" t="n">
        <v>44782</v>
      </c>
      <c r="C301" s="1" t="n">
        <v>45840</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32791-2022</t>
        </is>
      </c>
      <c r="B302" s="1" t="n">
        <v>44784</v>
      </c>
      <c r="C302" s="1" t="n">
        <v>45840</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33198-2022</t>
        </is>
      </c>
      <c r="B303" s="1" t="n">
        <v>44785</v>
      </c>
      <c r="C303" s="1" t="n">
        <v>45840</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34317-2022</t>
        </is>
      </c>
      <c r="B304" s="1" t="n">
        <v>44792</v>
      </c>
      <c r="C304" s="1" t="n">
        <v>45840</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34482-2022</t>
        </is>
      </c>
      <c r="B305" s="1" t="n">
        <v>44792</v>
      </c>
      <c r="C305" s="1" t="n">
        <v>45840</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35080-2022</t>
        </is>
      </c>
      <c r="B306" s="1" t="n">
        <v>44797</v>
      </c>
      <c r="C306" s="1" t="n">
        <v>45840</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35087-2022</t>
        </is>
      </c>
      <c r="B307" s="1" t="n">
        <v>44797</v>
      </c>
      <c r="C307" s="1" t="n">
        <v>45840</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35801-2022</t>
        </is>
      </c>
      <c r="B308" s="1" t="n">
        <v>44802</v>
      </c>
      <c r="C308" s="1" t="n">
        <v>45840</v>
      </c>
      <c r="D308" t="inlineStr">
        <is>
          <t>DALARNAS LÄN</t>
        </is>
      </c>
      <c r="E308" t="inlineStr">
        <is>
          <t>LEKSAND</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35952-2022</t>
        </is>
      </c>
      <c r="B309" s="1" t="n">
        <v>44802</v>
      </c>
      <c r="C309" s="1" t="n">
        <v>45840</v>
      </c>
      <c r="D309" t="inlineStr">
        <is>
          <t>DALARNAS LÄN</t>
        </is>
      </c>
      <c r="E309" t="inlineStr">
        <is>
          <t>LEKSAND</t>
        </is>
      </c>
      <c r="G309" t="n">
        <v>4.6</v>
      </c>
      <c r="H309" t="n">
        <v>0</v>
      </c>
      <c r="I309" t="n">
        <v>0</v>
      </c>
      <c r="J309" t="n">
        <v>0</v>
      </c>
      <c r="K309" t="n">
        <v>0</v>
      </c>
      <c r="L309" t="n">
        <v>0</v>
      </c>
      <c r="M309" t="n">
        <v>0</v>
      </c>
      <c r="N309" t="n">
        <v>0</v>
      </c>
      <c r="O309" t="n">
        <v>0</v>
      </c>
      <c r="P309" t="n">
        <v>0</v>
      </c>
      <c r="Q309" t="n">
        <v>0</v>
      </c>
      <c r="R309" s="2" t="inlineStr"/>
    </row>
    <row r="310" ht="15" customHeight="1">
      <c r="A310" t="inlineStr">
        <is>
          <t>A 37300-2022</t>
        </is>
      </c>
      <c r="B310" s="1" t="n">
        <v>44808</v>
      </c>
      <c r="C310" s="1" t="n">
        <v>45840</v>
      </c>
      <c r="D310" t="inlineStr">
        <is>
          <t>DALARNAS LÄN</t>
        </is>
      </c>
      <c r="E310" t="inlineStr">
        <is>
          <t>LEKSAND</t>
        </is>
      </c>
      <c r="G310" t="n">
        <v>6.3</v>
      </c>
      <c r="H310" t="n">
        <v>0</v>
      </c>
      <c r="I310" t="n">
        <v>0</v>
      </c>
      <c r="J310" t="n">
        <v>0</v>
      </c>
      <c r="K310" t="n">
        <v>0</v>
      </c>
      <c r="L310" t="n">
        <v>0</v>
      </c>
      <c r="M310" t="n">
        <v>0</v>
      </c>
      <c r="N310" t="n">
        <v>0</v>
      </c>
      <c r="O310" t="n">
        <v>0</v>
      </c>
      <c r="P310" t="n">
        <v>0</v>
      </c>
      <c r="Q310" t="n">
        <v>0</v>
      </c>
      <c r="R310" s="2" t="inlineStr"/>
    </row>
    <row r="311" ht="15" customHeight="1">
      <c r="A311" t="inlineStr">
        <is>
          <t>A 37928-2022</t>
        </is>
      </c>
      <c r="B311" s="1" t="n">
        <v>44811</v>
      </c>
      <c r="C311" s="1" t="n">
        <v>45840</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38236-2022</t>
        </is>
      </c>
      <c r="B312" s="1" t="n">
        <v>44812</v>
      </c>
      <c r="C312" s="1" t="n">
        <v>45840</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38258-2022</t>
        </is>
      </c>
      <c r="B313" s="1" t="n">
        <v>44812</v>
      </c>
      <c r="C313" s="1" t="n">
        <v>45840</v>
      </c>
      <c r="D313" t="inlineStr">
        <is>
          <t>DALARNAS LÄN</t>
        </is>
      </c>
      <c r="E313" t="inlineStr">
        <is>
          <t>LEKSAND</t>
        </is>
      </c>
      <c r="G313" t="n">
        <v>3.9</v>
      </c>
      <c r="H313" t="n">
        <v>0</v>
      </c>
      <c r="I313" t="n">
        <v>0</v>
      </c>
      <c r="J313" t="n">
        <v>0</v>
      </c>
      <c r="K313" t="n">
        <v>0</v>
      </c>
      <c r="L313" t="n">
        <v>0</v>
      </c>
      <c r="M313" t="n">
        <v>0</v>
      </c>
      <c r="N313" t="n">
        <v>0</v>
      </c>
      <c r="O313" t="n">
        <v>0</v>
      </c>
      <c r="P313" t="n">
        <v>0</v>
      </c>
      <c r="Q313" t="n">
        <v>0</v>
      </c>
      <c r="R313" s="2" t="inlineStr"/>
    </row>
    <row r="314" ht="15" customHeight="1">
      <c r="A314" t="inlineStr">
        <is>
          <t>A 38764-2022</t>
        </is>
      </c>
      <c r="B314" s="1" t="n">
        <v>44816</v>
      </c>
      <c r="C314" s="1" t="n">
        <v>45840</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39658-2022</t>
        </is>
      </c>
      <c r="B315" s="1" t="n">
        <v>44818</v>
      </c>
      <c r="C315" s="1" t="n">
        <v>45840</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40165-2022</t>
        </is>
      </c>
      <c r="B316" s="1" t="n">
        <v>44820</v>
      </c>
      <c r="C316" s="1" t="n">
        <v>45840</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41351-2022</t>
        </is>
      </c>
      <c r="B317" s="1" t="n">
        <v>44824</v>
      </c>
      <c r="C317" s="1" t="n">
        <v>45840</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43275-2022</t>
        </is>
      </c>
      <c r="B318" s="1" t="n">
        <v>44824</v>
      </c>
      <c r="C318" s="1" t="n">
        <v>45840</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41869-2022</t>
        </is>
      </c>
      <c r="B319" s="1" t="n">
        <v>44829</v>
      </c>
      <c r="C319" s="1" t="n">
        <v>45840</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43300-2022</t>
        </is>
      </c>
      <c r="B320" s="1" t="n">
        <v>44834</v>
      </c>
      <c r="C320" s="1" t="n">
        <v>45840</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43304-2022</t>
        </is>
      </c>
      <c r="B321" s="1" t="n">
        <v>44834</v>
      </c>
      <c r="C321" s="1" t="n">
        <v>45840</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43604-2022</t>
        </is>
      </c>
      <c r="B322" s="1" t="n">
        <v>44837</v>
      </c>
      <c r="C322" s="1" t="n">
        <v>45840</v>
      </c>
      <c r="D322" t="inlineStr">
        <is>
          <t>DALARNAS LÄN</t>
        </is>
      </c>
      <c r="E322" t="inlineStr">
        <is>
          <t>LEKSAND</t>
        </is>
      </c>
      <c r="F322" t="inlineStr">
        <is>
          <t>Bergvik skog väst AB</t>
        </is>
      </c>
      <c r="G322" t="n">
        <v>8</v>
      </c>
      <c r="H322" t="n">
        <v>0</v>
      </c>
      <c r="I322" t="n">
        <v>0</v>
      </c>
      <c r="J322" t="n">
        <v>0</v>
      </c>
      <c r="K322" t="n">
        <v>0</v>
      </c>
      <c r="L322" t="n">
        <v>0</v>
      </c>
      <c r="M322" t="n">
        <v>0</v>
      </c>
      <c r="N322" t="n">
        <v>0</v>
      </c>
      <c r="O322" t="n">
        <v>0</v>
      </c>
      <c r="P322" t="n">
        <v>0</v>
      </c>
      <c r="Q322" t="n">
        <v>0</v>
      </c>
      <c r="R322" s="2" t="inlineStr"/>
    </row>
    <row r="323" ht="15" customHeight="1">
      <c r="A323" t="inlineStr">
        <is>
          <t>A 43693-2022</t>
        </is>
      </c>
      <c r="B323" s="1" t="n">
        <v>44837</v>
      </c>
      <c r="C323" s="1" t="n">
        <v>45840</v>
      </c>
      <c r="D323" t="inlineStr">
        <is>
          <t>DALARNAS LÄN</t>
        </is>
      </c>
      <c r="E323" t="inlineStr">
        <is>
          <t>LEKSAND</t>
        </is>
      </c>
      <c r="G323" t="n">
        <v>2.7</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v>
      </c>
      <c r="C324" s="1" t="n">
        <v>45840</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44124-2022</t>
        </is>
      </c>
      <c r="B325" s="1" t="n">
        <v>44839</v>
      </c>
      <c r="C325" s="1" t="n">
        <v>45840</v>
      </c>
      <c r="D325" t="inlineStr">
        <is>
          <t>DALARNAS LÄN</t>
        </is>
      </c>
      <c r="E325" t="inlineStr">
        <is>
          <t>LEKSAND</t>
        </is>
      </c>
      <c r="G325" t="n">
        <v>8</v>
      </c>
      <c r="H325" t="n">
        <v>0</v>
      </c>
      <c r="I325" t="n">
        <v>0</v>
      </c>
      <c r="J325" t="n">
        <v>0</v>
      </c>
      <c r="K325" t="n">
        <v>0</v>
      </c>
      <c r="L325" t="n">
        <v>0</v>
      </c>
      <c r="M325" t="n">
        <v>0</v>
      </c>
      <c r="N325" t="n">
        <v>0</v>
      </c>
      <c r="O325" t="n">
        <v>0</v>
      </c>
      <c r="P325" t="n">
        <v>0</v>
      </c>
      <c r="Q325" t="n">
        <v>0</v>
      </c>
      <c r="R325" s="2" t="inlineStr"/>
    </row>
    <row r="326" ht="15" customHeight="1">
      <c r="A326" t="inlineStr">
        <is>
          <t>A 44700-2022</t>
        </is>
      </c>
      <c r="B326" s="1" t="n">
        <v>44840</v>
      </c>
      <c r="C326" s="1" t="n">
        <v>45840</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v>
      </c>
      <c r="C327" s="1" t="n">
        <v>45840</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46141-2022</t>
        </is>
      </c>
      <c r="B328" s="1" t="n">
        <v>44846</v>
      </c>
      <c r="C328" s="1" t="n">
        <v>45840</v>
      </c>
      <c r="D328" t="inlineStr">
        <is>
          <t>DALARNAS LÄN</t>
        </is>
      </c>
      <c r="E328" t="inlineStr">
        <is>
          <t>LEKSAND</t>
        </is>
      </c>
      <c r="G328" t="n">
        <v>2.8</v>
      </c>
      <c r="H328" t="n">
        <v>0</v>
      </c>
      <c r="I328" t="n">
        <v>0</v>
      </c>
      <c r="J328" t="n">
        <v>0</v>
      </c>
      <c r="K328" t="n">
        <v>0</v>
      </c>
      <c r="L328" t="n">
        <v>0</v>
      </c>
      <c r="M328" t="n">
        <v>0</v>
      </c>
      <c r="N328" t="n">
        <v>0</v>
      </c>
      <c r="O328" t="n">
        <v>0</v>
      </c>
      <c r="P328" t="n">
        <v>0</v>
      </c>
      <c r="Q328" t="n">
        <v>0</v>
      </c>
      <c r="R328" s="2" t="inlineStr"/>
    </row>
    <row r="329" ht="15" customHeight="1">
      <c r="A329" t="inlineStr">
        <is>
          <t>A 46672-2022</t>
        </is>
      </c>
      <c r="B329" s="1" t="n">
        <v>44851</v>
      </c>
      <c r="C329" s="1" t="n">
        <v>45840</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46916-2022</t>
        </is>
      </c>
      <c r="B330" s="1" t="n">
        <v>44851</v>
      </c>
      <c r="C330" s="1" t="n">
        <v>45840</v>
      </c>
      <c r="D330" t="inlineStr">
        <is>
          <t>DALARNAS LÄN</t>
        </is>
      </c>
      <c r="E330" t="inlineStr">
        <is>
          <t>LEKSAND</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47441-2022</t>
        </is>
      </c>
      <c r="B331" s="1" t="n">
        <v>44853</v>
      </c>
      <c r="C331" s="1" t="n">
        <v>45840</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49342-2022</t>
        </is>
      </c>
      <c r="B332" s="1" t="n">
        <v>44861</v>
      </c>
      <c r="C332" s="1" t="n">
        <v>45840</v>
      </c>
      <c r="D332" t="inlineStr">
        <is>
          <t>DALARNAS LÄN</t>
        </is>
      </c>
      <c r="E332" t="inlineStr">
        <is>
          <t>LEKSAND</t>
        </is>
      </c>
      <c r="F332" t="inlineStr">
        <is>
          <t>Bergvik skog väst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49345-2022</t>
        </is>
      </c>
      <c r="B333" s="1" t="n">
        <v>44861</v>
      </c>
      <c r="C333" s="1" t="n">
        <v>45840</v>
      </c>
      <c r="D333" t="inlineStr">
        <is>
          <t>DALARNAS LÄN</t>
        </is>
      </c>
      <c r="E333" t="inlineStr">
        <is>
          <t>LEKSAND</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49581-2022</t>
        </is>
      </c>
      <c r="B334" s="1" t="n">
        <v>44862</v>
      </c>
      <c r="C334" s="1" t="n">
        <v>45840</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50219-2022</t>
        </is>
      </c>
      <c r="B335" s="1" t="n">
        <v>44865</v>
      </c>
      <c r="C335" s="1" t="n">
        <v>45840</v>
      </c>
      <c r="D335" t="inlineStr">
        <is>
          <t>DALARNAS LÄN</t>
        </is>
      </c>
      <c r="E335" t="inlineStr">
        <is>
          <t>LEKSAND</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50353-2022</t>
        </is>
      </c>
      <c r="B336" s="1" t="n">
        <v>44866</v>
      </c>
      <c r="C336" s="1" t="n">
        <v>45840</v>
      </c>
      <c r="D336" t="inlineStr">
        <is>
          <t>DALARNAS LÄN</t>
        </is>
      </c>
      <c r="E336" t="inlineStr">
        <is>
          <t>LEKSAND</t>
        </is>
      </c>
      <c r="F336" t="inlineStr">
        <is>
          <t>Bergvik skog väst AB</t>
        </is>
      </c>
      <c r="G336" t="n">
        <v>2</v>
      </c>
      <c r="H336" t="n">
        <v>0</v>
      </c>
      <c r="I336" t="n">
        <v>0</v>
      </c>
      <c r="J336" t="n">
        <v>0</v>
      </c>
      <c r="K336" t="n">
        <v>0</v>
      </c>
      <c r="L336" t="n">
        <v>0</v>
      </c>
      <c r="M336" t="n">
        <v>0</v>
      </c>
      <c r="N336" t="n">
        <v>0</v>
      </c>
      <c r="O336" t="n">
        <v>0</v>
      </c>
      <c r="P336" t="n">
        <v>0</v>
      </c>
      <c r="Q336" t="n">
        <v>0</v>
      </c>
      <c r="R336" s="2" t="inlineStr"/>
    </row>
    <row r="337" ht="15" customHeight="1">
      <c r="A337" t="inlineStr">
        <is>
          <t>A 50352-2022</t>
        </is>
      </c>
      <c r="B337" s="1" t="n">
        <v>44866</v>
      </c>
      <c r="C337" s="1" t="n">
        <v>45840</v>
      </c>
      <c r="D337" t="inlineStr">
        <is>
          <t>DALARNAS LÄN</t>
        </is>
      </c>
      <c r="E337" t="inlineStr">
        <is>
          <t>LEKSAND</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50354-2022</t>
        </is>
      </c>
      <c r="B338" s="1" t="n">
        <v>44866</v>
      </c>
      <c r="C338" s="1" t="n">
        <v>45840</v>
      </c>
      <c r="D338" t="inlineStr">
        <is>
          <t>DALARNAS LÄN</t>
        </is>
      </c>
      <c r="E338" t="inlineStr">
        <is>
          <t>LEKSAND</t>
        </is>
      </c>
      <c r="F338" t="inlineStr">
        <is>
          <t>Bergvik skog väst AB</t>
        </is>
      </c>
      <c r="G338" t="n">
        <v>7.4</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45840</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51449-2022</t>
        </is>
      </c>
      <c r="B340" s="1" t="n">
        <v>44869</v>
      </c>
      <c r="C340" s="1" t="n">
        <v>45840</v>
      </c>
      <c r="D340" t="inlineStr">
        <is>
          <t>DALARNAS LÄN</t>
        </is>
      </c>
      <c r="E340" t="inlineStr">
        <is>
          <t>LEKSAND</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51480-2022</t>
        </is>
      </c>
      <c r="B341" s="1" t="n">
        <v>44869</v>
      </c>
      <c r="C341" s="1" t="n">
        <v>45840</v>
      </c>
      <c r="D341" t="inlineStr">
        <is>
          <t>DALARNAS LÄN</t>
        </is>
      </c>
      <c r="E341" t="inlineStr">
        <is>
          <t>LEKSAND</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51502-2022</t>
        </is>
      </c>
      <c r="B342" s="1" t="n">
        <v>44869</v>
      </c>
      <c r="C342" s="1" t="n">
        <v>45840</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51498-2022</t>
        </is>
      </c>
      <c r="B343" s="1" t="n">
        <v>44869</v>
      </c>
      <c r="C343" s="1" t="n">
        <v>45840</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51842-2022</t>
        </is>
      </c>
      <c r="B344" s="1" t="n">
        <v>44872</v>
      </c>
      <c r="C344" s="1" t="n">
        <v>45840</v>
      </c>
      <c r="D344" t="inlineStr">
        <is>
          <t>DALARNAS LÄN</t>
        </is>
      </c>
      <c r="E344" t="inlineStr">
        <is>
          <t>LEKSAND</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52977-2022</t>
        </is>
      </c>
      <c r="B345" s="1" t="n">
        <v>44875</v>
      </c>
      <c r="C345" s="1" t="n">
        <v>45840</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53293-2022</t>
        </is>
      </c>
      <c r="B346" s="1" t="n">
        <v>44877</v>
      </c>
      <c r="C346" s="1" t="n">
        <v>45840</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53787-2022</t>
        </is>
      </c>
      <c r="B347" s="1" t="n">
        <v>44880</v>
      </c>
      <c r="C347" s="1" t="n">
        <v>45840</v>
      </c>
      <c r="D347" t="inlineStr">
        <is>
          <t>DALARNAS LÄN</t>
        </is>
      </c>
      <c r="E347" t="inlineStr">
        <is>
          <t>LEKSAND</t>
        </is>
      </c>
      <c r="G347" t="n">
        <v>7.6</v>
      </c>
      <c r="H347" t="n">
        <v>0</v>
      </c>
      <c r="I347" t="n">
        <v>0</v>
      </c>
      <c r="J347" t="n">
        <v>0</v>
      </c>
      <c r="K347" t="n">
        <v>0</v>
      </c>
      <c r="L347" t="n">
        <v>0</v>
      </c>
      <c r="M347" t="n">
        <v>0</v>
      </c>
      <c r="N347" t="n">
        <v>0</v>
      </c>
      <c r="O347" t="n">
        <v>0</v>
      </c>
      <c r="P347" t="n">
        <v>0</v>
      </c>
      <c r="Q347" t="n">
        <v>0</v>
      </c>
      <c r="R347" s="2" t="inlineStr"/>
    </row>
    <row r="348" ht="15" customHeight="1">
      <c r="A348" t="inlineStr">
        <is>
          <t>A 54070-2022</t>
        </is>
      </c>
      <c r="B348" s="1" t="n">
        <v>44881</v>
      </c>
      <c r="C348" s="1" t="n">
        <v>45840</v>
      </c>
      <c r="D348" t="inlineStr">
        <is>
          <t>DALARNAS LÄN</t>
        </is>
      </c>
      <c r="E348" t="inlineStr">
        <is>
          <t>LEKSAND</t>
        </is>
      </c>
      <c r="G348" t="n">
        <v>4.7</v>
      </c>
      <c r="H348" t="n">
        <v>0</v>
      </c>
      <c r="I348" t="n">
        <v>0</v>
      </c>
      <c r="J348" t="n">
        <v>0</v>
      </c>
      <c r="K348" t="n">
        <v>0</v>
      </c>
      <c r="L348" t="n">
        <v>0</v>
      </c>
      <c r="M348" t="n">
        <v>0</v>
      </c>
      <c r="N348" t="n">
        <v>0</v>
      </c>
      <c r="O348" t="n">
        <v>0</v>
      </c>
      <c r="P348" t="n">
        <v>0</v>
      </c>
      <c r="Q348" t="n">
        <v>0</v>
      </c>
      <c r="R348" s="2" t="inlineStr"/>
    </row>
    <row r="349" ht="15" customHeight="1">
      <c r="A349" t="inlineStr">
        <is>
          <t>A 56330-2022</t>
        </is>
      </c>
      <c r="B349" s="1" t="n">
        <v>44890</v>
      </c>
      <c r="C349" s="1" t="n">
        <v>45840</v>
      </c>
      <c r="D349" t="inlineStr">
        <is>
          <t>DALARNAS LÄN</t>
        </is>
      </c>
      <c r="E349" t="inlineStr">
        <is>
          <t>LEKSAND</t>
        </is>
      </c>
      <c r="G349" t="n">
        <v>4.9</v>
      </c>
      <c r="H349" t="n">
        <v>0</v>
      </c>
      <c r="I349" t="n">
        <v>0</v>
      </c>
      <c r="J349" t="n">
        <v>0</v>
      </c>
      <c r="K349" t="n">
        <v>0</v>
      </c>
      <c r="L349" t="n">
        <v>0</v>
      </c>
      <c r="M349" t="n">
        <v>0</v>
      </c>
      <c r="N349" t="n">
        <v>0</v>
      </c>
      <c r="O349" t="n">
        <v>0</v>
      </c>
      <c r="P349" t="n">
        <v>0</v>
      </c>
      <c r="Q349" t="n">
        <v>0</v>
      </c>
      <c r="R349" s="2" t="inlineStr"/>
    </row>
    <row r="350" ht="15" customHeight="1">
      <c r="A350" t="inlineStr">
        <is>
          <t>A 57415-2022</t>
        </is>
      </c>
      <c r="B350" s="1" t="n">
        <v>44896</v>
      </c>
      <c r="C350" s="1" t="n">
        <v>45840</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57438-2022</t>
        </is>
      </c>
      <c r="B351" s="1" t="n">
        <v>44896</v>
      </c>
      <c r="C351" s="1" t="n">
        <v>45840</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58619-2022</t>
        </is>
      </c>
      <c r="B352" s="1" t="n">
        <v>44902</v>
      </c>
      <c r="C352" s="1" t="n">
        <v>45840</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60300-2022</t>
        </is>
      </c>
      <c r="B353" s="1" t="n">
        <v>44903</v>
      </c>
      <c r="C353" s="1" t="n">
        <v>45840</v>
      </c>
      <c r="D353" t="inlineStr">
        <is>
          <t>DALARNAS LÄN</t>
        </is>
      </c>
      <c r="E353" t="inlineStr">
        <is>
          <t>LEKSAND</t>
        </is>
      </c>
      <c r="G353" t="n">
        <v>2.7</v>
      </c>
      <c r="H353" t="n">
        <v>0</v>
      </c>
      <c r="I353" t="n">
        <v>0</v>
      </c>
      <c r="J353" t="n">
        <v>0</v>
      </c>
      <c r="K353" t="n">
        <v>0</v>
      </c>
      <c r="L353" t="n">
        <v>0</v>
      </c>
      <c r="M353" t="n">
        <v>0</v>
      </c>
      <c r="N353" t="n">
        <v>0</v>
      </c>
      <c r="O353" t="n">
        <v>0</v>
      </c>
      <c r="P353" t="n">
        <v>0</v>
      </c>
      <c r="Q353" t="n">
        <v>0</v>
      </c>
      <c r="R353" s="2" t="inlineStr"/>
    </row>
    <row r="354" ht="15" customHeight="1">
      <c r="A354" t="inlineStr">
        <is>
          <t>A 60095-2022</t>
        </is>
      </c>
      <c r="B354" s="1" t="n">
        <v>44909</v>
      </c>
      <c r="C354" s="1" t="n">
        <v>45840</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45840</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61269-2022</t>
        </is>
      </c>
      <c r="B356" s="1" t="n">
        <v>44909</v>
      </c>
      <c r="C356" s="1" t="n">
        <v>45840</v>
      </c>
      <c r="D356" t="inlineStr">
        <is>
          <t>DALARNAS LÄN</t>
        </is>
      </c>
      <c r="E356" t="inlineStr">
        <is>
          <t>LEKSAND</t>
        </is>
      </c>
      <c r="G356" t="n">
        <v>4.2</v>
      </c>
      <c r="H356" t="n">
        <v>0</v>
      </c>
      <c r="I356" t="n">
        <v>0</v>
      </c>
      <c r="J356" t="n">
        <v>0</v>
      </c>
      <c r="K356" t="n">
        <v>0</v>
      </c>
      <c r="L356" t="n">
        <v>0</v>
      </c>
      <c r="M356" t="n">
        <v>0</v>
      </c>
      <c r="N356" t="n">
        <v>0</v>
      </c>
      <c r="O356" t="n">
        <v>0</v>
      </c>
      <c r="P356" t="n">
        <v>0</v>
      </c>
      <c r="Q356" t="n">
        <v>0</v>
      </c>
      <c r="R356" s="2" t="inlineStr"/>
    </row>
    <row r="357" ht="15" customHeight="1">
      <c r="A357" t="inlineStr">
        <is>
          <t>A 60550-2022</t>
        </is>
      </c>
      <c r="B357" s="1" t="n">
        <v>44911</v>
      </c>
      <c r="C357" s="1" t="n">
        <v>45840</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60715-2022</t>
        </is>
      </c>
      <c r="B358" s="1" t="n">
        <v>44912</v>
      </c>
      <c r="C358" s="1" t="n">
        <v>45840</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60913-2022</t>
        </is>
      </c>
      <c r="B359" s="1" t="n">
        <v>44914</v>
      </c>
      <c r="C359" s="1" t="n">
        <v>45840</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61288-2022</t>
        </is>
      </c>
      <c r="B360" s="1" t="n">
        <v>44915</v>
      </c>
      <c r="C360" s="1" t="n">
        <v>45840</v>
      </c>
      <c r="D360" t="inlineStr">
        <is>
          <t>DALARNAS LÄN</t>
        </is>
      </c>
      <c r="E360" t="inlineStr">
        <is>
          <t>LEKSAND</t>
        </is>
      </c>
      <c r="G360" t="n">
        <v>1.7</v>
      </c>
      <c r="H360" t="n">
        <v>0</v>
      </c>
      <c r="I360" t="n">
        <v>0</v>
      </c>
      <c r="J360" t="n">
        <v>0</v>
      </c>
      <c r="K360" t="n">
        <v>0</v>
      </c>
      <c r="L360" t="n">
        <v>0</v>
      </c>
      <c r="M360" t="n">
        <v>0</v>
      </c>
      <c r="N360" t="n">
        <v>0</v>
      </c>
      <c r="O360" t="n">
        <v>0</v>
      </c>
      <c r="P360" t="n">
        <v>0</v>
      </c>
      <c r="Q360" t="n">
        <v>0</v>
      </c>
      <c r="R360" s="2" t="inlineStr"/>
    </row>
    <row r="361" ht="15" customHeight="1">
      <c r="A361" t="inlineStr">
        <is>
          <t>A 61786-2022</t>
        </is>
      </c>
      <c r="B361" s="1" t="n">
        <v>44917</v>
      </c>
      <c r="C361" s="1" t="n">
        <v>45840</v>
      </c>
      <c r="D361" t="inlineStr">
        <is>
          <t>DALARNAS LÄN</t>
        </is>
      </c>
      <c r="E361" t="inlineStr">
        <is>
          <t>LEKSAND</t>
        </is>
      </c>
      <c r="G361" t="n">
        <v>4.3</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45840</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45840</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151-2023</t>
        </is>
      </c>
      <c r="B364" s="1" t="n">
        <v>44918</v>
      </c>
      <c r="C364" s="1" t="n">
        <v>45840</v>
      </c>
      <c r="D364" t="inlineStr">
        <is>
          <t>DALARNAS LÄN</t>
        </is>
      </c>
      <c r="E364" t="inlineStr">
        <is>
          <t>LEKSAND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167-2023</t>
        </is>
      </c>
      <c r="B365" s="1" t="n">
        <v>44918</v>
      </c>
      <c r="C365" s="1" t="n">
        <v>45840</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325-2023</t>
        </is>
      </c>
      <c r="B366" s="1" t="n">
        <v>44929</v>
      </c>
      <c r="C366" s="1" t="n">
        <v>45840</v>
      </c>
      <c r="D366" t="inlineStr">
        <is>
          <t>DALARNAS LÄN</t>
        </is>
      </c>
      <c r="E366" t="inlineStr">
        <is>
          <t>LEKSAND</t>
        </is>
      </c>
      <c r="F366" t="inlineStr">
        <is>
          <t>Övriga Aktiebolag</t>
        </is>
      </c>
      <c r="G366" t="n">
        <v>7.1</v>
      </c>
      <c r="H366" t="n">
        <v>0</v>
      </c>
      <c r="I366" t="n">
        <v>0</v>
      </c>
      <c r="J366" t="n">
        <v>0</v>
      </c>
      <c r="K366" t="n">
        <v>0</v>
      </c>
      <c r="L366" t="n">
        <v>0</v>
      </c>
      <c r="M366" t="n">
        <v>0</v>
      </c>
      <c r="N366" t="n">
        <v>0</v>
      </c>
      <c r="O366" t="n">
        <v>0</v>
      </c>
      <c r="P366" t="n">
        <v>0</v>
      </c>
      <c r="Q366" t="n">
        <v>0</v>
      </c>
      <c r="R366" s="2" t="inlineStr"/>
    </row>
    <row r="367" ht="15" customHeight="1">
      <c r="A367" t="inlineStr">
        <is>
          <t>A 315-2023</t>
        </is>
      </c>
      <c r="B367" s="1" t="n">
        <v>44929</v>
      </c>
      <c r="C367" s="1" t="n">
        <v>45840</v>
      </c>
      <c r="D367" t="inlineStr">
        <is>
          <t>DALARNAS LÄN</t>
        </is>
      </c>
      <c r="E367" t="inlineStr">
        <is>
          <t>LEKSAND</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320-2023</t>
        </is>
      </c>
      <c r="B368" s="1" t="n">
        <v>44929</v>
      </c>
      <c r="C368" s="1" t="n">
        <v>45840</v>
      </c>
      <c r="D368" t="inlineStr">
        <is>
          <t>DALARNAS LÄN</t>
        </is>
      </c>
      <c r="E368" t="inlineStr">
        <is>
          <t>LEKSAND</t>
        </is>
      </c>
      <c r="F368" t="inlineStr">
        <is>
          <t>Övriga Aktiebolag</t>
        </is>
      </c>
      <c r="G368" t="n">
        <v>5.4</v>
      </c>
      <c r="H368" t="n">
        <v>0</v>
      </c>
      <c r="I368" t="n">
        <v>0</v>
      </c>
      <c r="J368" t="n">
        <v>0</v>
      </c>
      <c r="K368" t="n">
        <v>0</v>
      </c>
      <c r="L368" t="n">
        <v>0</v>
      </c>
      <c r="M368" t="n">
        <v>0</v>
      </c>
      <c r="N368" t="n">
        <v>0</v>
      </c>
      <c r="O368" t="n">
        <v>0</v>
      </c>
      <c r="P368" t="n">
        <v>0</v>
      </c>
      <c r="Q368" t="n">
        <v>0</v>
      </c>
      <c r="R368" s="2" t="inlineStr"/>
    </row>
    <row r="369" ht="15" customHeight="1">
      <c r="A369" t="inlineStr">
        <is>
          <t>A 391-2023</t>
        </is>
      </c>
      <c r="B369" s="1" t="n">
        <v>44929</v>
      </c>
      <c r="C369" s="1" t="n">
        <v>45840</v>
      </c>
      <c r="D369" t="inlineStr">
        <is>
          <t>DALARNAS LÄN</t>
        </is>
      </c>
      <c r="E369" t="inlineStr">
        <is>
          <t>LEKSAND</t>
        </is>
      </c>
      <c r="F369" t="inlineStr">
        <is>
          <t>Övriga Aktiebolag</t>
        </is>
      </c>
      <c r="G369" t="n">
        <v>10</v>
      </c>
      <c r="H369" t="n">
        <v>0</v>
      </c>
      <c r="I369" t="n">
        <v>0</v>
      </c>
      <c r="J369" t="n">
        <v>0</v>
      </c>
      <c r="K369" t="n">
        <v>0</v>
      </c>
      <c r="L369" t="n">
        <v>0</v>
      </c>
      <c r="M369" t="n">
        <v>0</v>
      </c>
      <c r="N369" t="n">
        <v>0</v>
      </c>
      <c r="O369" t="n">
        <v>0</v>
      </c>
      <c r="P369" t="n">
        <v>0</v>
      </c>
      <c r="Q369" t="n">
        <v>0</v>
      </c>
      <c r="R369" s="2" t="inlineStr"/>
    </row>
    <row r="370" ht="15" customHeight="1">
      <c r="A370" t="inlineStr">
        <is>
          <t>A 784-2023</t>
        </is>
      </c>
      <c r="B370" s="1" t="n">
        <v>44931</v>
      </c>
      <c r="C370" s="1" t="n">
        <v>45840</v>
      </c>
      <c r="D370" t="inlineStr">
        <is>
          <t>DALARNAS LÄN</t>
        </is>
      </c>
      <c r="E370" t="inlineStr">
        <is>
          <t>LEKSAND</t>
        </is>
      </c>
      <c r="G370" t="n">
        <v>2.3</v>
      </c>
      <c r="H370" t="n">
        <v>0</v>
      </c>
      <c r="I370" t="n">
        <v>0</v>
      </c>
      <c r="J370" t="n">
        <v>0</v>
      </c>
      <c r="K370" t="n">
        <v>0</v>
      </c>
      <c r="L370" t="n">
        <v>0</v>
      </c>
      <c r="M370" t="n">
        <v>0</v>
      </c>
      <c r="N370" t="n">
        <v>0</v>
      </c>
      <c r="O370" t="n">
        <v>0</v>
      </c>
      <c r="P370" t="n">
        <v>0</v>
      </c>
      <c r="Q370" t="n">
        <v>0</v>
      </c>
      <c r="R370" s="2" t="inlineStr"/>
    </row>
    <row r="371" ht="15" customHeight="1">
      <c r="A371" t="inlineStr">
        <is>
          <t>A 1510-2023</t>
        </is>
      </c>
      <c r="B371" s="1" t="n">
        <v>44937</v>
      </c>
      <c r="C371" s="1" t="n">
        <v>45840</v>
      </c>
      <c r="D371" t="inlineStr">
        <is>
          <t>DALARNAS LÄN</t>
        </is>
      </c>
      <c r="E371" t="inlineStr">
        <is>
          <t>LEKSAND</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3262-2023</t>
        </is>
      </c>
      <c r="B372" s="1" t="n">
        <v>44948</v>
      </c>
      <c r="C372" s="1" t="n">
        <v>45840</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3445-2023</t>
        </is>
      </c>
      <c r="B373" s="1" t="n">
        <v>44949</v>
      </c>
      <c r="C373" s="1" t="n">
        <v>45840</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3737-2023</t>
        </is>
      </c>
      <c r="B374" s="1" t="n">
        <v>44951</v>
      </c>
      <c r="C374" s="1" t="n">
        <v>45840</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4182-2023</t>
        </is>
      </c>
      <c r="B375" s="1" t="n">
        <v>44951</v>
      </c>
      <c r="C375" s="1" t="n">
        <v>45840</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4217-2023</t>
        </is>
      </c>
      <c r="B376" s="1" t="n">
        <v>44953</v>
      </c>
      <c r="C376" s="1" t="n">
        <v>45840</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6057-2023</t>
        </is>
      </c>
      <c r="B377" s="1" t="n">
        <v>44959</v>
      </c>
      <c r="C377" s="1" t="n">
        <v>45840</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6039-2023</t>
        </is>
      </c>
      <c r="B378" s="1" t="n">
        <v>44959</v>
      </c>
      <c r="C378" s="1" t="n">
        <v>45840</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6079-2023</t>
        </is>
      </c>
      <c r="B379" s="1" t="n">
        <v>44959</v>
      </c>
      <c r="C379" s="1" t="n">
        <v>45840</v>
      </c>
      <c r="D379" t="inlineStr">
        <is>
          <t>DALARNAS LÄN</t>
        </is>
      </c>
      <c r="E379" t="inlineStr">
        <is>
          <t>LEKSAND</t>
        </is>
      </c>
      <c r="G379" t="n">
        <v>4.1</v>
      </c>
      <c r="H379" t="n">
        <v>0</v>
      </c>
      <c r="I379" t="n">
        <v>0</v>
      </c>
      <c r="J379" t="n">
        <v>0</v>
      </c>
      <c r="K379" t="n">
        <v>0</v>
      </c>
      <c r="L379" t="n">
        <v>0</v>
      </c>
      <c r="M379" t="n">
        <v>0</v>
      </c>
      <c r="N379" t="n">
        <v>0</v>
      </c>
      <c r="O379" t="n">
        <v>0</v>
      </c>
      <c r="P379" t="n">
        <v>0</v>
      </c>
      <c r="Q379" t="n">
        <v>0</v>
      </c>
      <c r="R379" s="2" t="inlineStr"/>
    </row>
    <row r="380" ht="15" customHeight="1">
      <c r="A380" t="inlineStr">
        <is>
          <t>A 6050-2023</t>
        </is>
      </c>
      <c r="B380" s="1" t="n">
        <v>44959</v>
      </c>
      <c r="C380" s="1" t="n">
        <v>45840</v>
      </c>
      <c r="D380" t="inlineStr">
        <is>
          <t>DALARNAS LÄN</t>
        </is>
      </c>
      <c r="E380" t="inlineStr">
        <is>
          <t>LEKSAND</t>
        </is>
      </c>
      <c r="G380" t="n">
        <v>6.2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45840</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6074-2023</t>
        </is>
      </c>
      <c r="B382" s="1" t="n">
        <v>44964</v>
      </c>
      <c r="C382" s="1" t="n">
        <v>45840</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7441-2023</t>
        </is>
      </c>
      <c r="B383" s="1" t="n">
        <v>44966</v>
      </c>
      <c r="C383" s="1" t="n">
        <v>45840</v>
      </c>
      <c r="D383" t="inlineStr">
        <is>
          <t>DALARNAS LÄN</t>
        </is>
      </c>
      <c r="E383" t="inlineStr">
        <is>
          <t>LEKSAND</t>
        </is>
      </c>
      <c r="G383" t="n">
        <v>18</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45840</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6846-2023</t>
        </is>
      </c>
      <c r="B385" s="1" t="n">
        <v>44967</v>
      </c>
      <c r="C385" s="1" t="n">
        <v>45840</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8170-2023</t>
        </is>
      </c>
      <c r="B386" s="1" t="n">
        <v>44971</v>
      </c>
      <c r="C386" s="1" t="n">
        <v>45840</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7450-2023</t>
        </is>
      </c>
      <c r="B387" s="1" t="n">
        <v>44971</v>
      </c>
      <c r="C387" s="1" t="n">
        <v>45840</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7928-2023</t>
        </is>
      </c>
      <c r="B388" s="1" t="n">
        <v>44973</v>
      </c>
      <c r="C388" s="1" t="n">
        <v>45840</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8211-2023</t>
        </is>
      </c>
      <c r="B389" s="1" t="n">
        <v>44974</v>
      </c>
      <c r="C389" s="1" t="n">
        <v>45840</v>
      </c>
      <c r="D389" t="inlineStr">
        <is>
          <t>DALARNAS LÄN</t>
        </is>
      </c>
      <c r="E389" t="inlineStr">
        <is>
          <t>LEKSAND</t>
        </is>
      </c>
      <c r="G389" t="n">
        <v>5.2</v>
      </c>
      <c r="H389" t="n">
        <v>0</v>
      </c>
      <c r="I389" t="n">
        <v>0</v>
      </c>
      <c r="J389" t="n">
        <v>0</v>
      </c>
      <c r="K389" t="n">
        <v>0</v>
      </c>
      <c r="L389" t="n">
        <v>0</v>
      </c>
      <c r="M389" t="n">
        <v>0</v>
      </c>
      <c r="N389" t="n">
        <v>0</v>
      </c>
      <c r="O389" t="n">
        <v>0</v>
      </c>
      <c r="P389" t="n">
        <v>0</v>
      </c>
      <c r="Q389" t="n">
        <v>0</v>
      </c>
      <c r="R389" s="2" t="inlineStr"/>
    </row>
    <row r="390" ht="15" customHeight="1">
      <c r="A390" t="inlineStr">
        <is>
          <t>A 8936-2023</t>
        </is>
      </c>
      <c r="B390" s="1" t="n">
        <v>44974</v>
      </c>
      <c r="C390" s="1" t="n">
        <v>45840</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9143-2023</t>
        </is>
      </c>
      <c r="B391" s="1" t="n">
        <v>44974</v>
      </c>
      <c r="C391" s="1" t="n">
        <v>45840</v>
      </c>
      <c r="D391" t="inlineStr">
        <is>
          <t>DALARNAS LÄN</t>
        </is>
      </c>
      <c r="E391" t="inlineStr">
        <is>
          <t>LEKSAND</t>
        </is>
      </c>
      <c r="G391" t="n">
        <v>4.3</v>
      </c>
      <c r="H391" t="n">
        <v>0</v>
      </c>
      <c r="I391" t="n">
        <v>0</v>
      </c>
      <c r="J391" t="n">
        <v>0</v>
      </c>
      <c r="K391" t="n">
        <v>0</v>
      </c>
      <c r="L391" t="n">
        <v>0</v>
      </c>
      <c r="M391" t="n">
        <v>0</v>
      </c>
      <c r="N391" t="n">
        <v>0</v>
      </c>
      <c r="O391" t="n">
        <v>0</v>
      </c>
      <c r="P391" t="n">
        <v>0</v>
      </c>
      <c r="Q391" t="n">
        <v>0</v>
      </c>
      <c r="R391" s="2" t="inlineStr"/>
    </row>
    <row r="392" ht="15" customHeight="1">
      <c r="A392" t="inlineStr">
        <is>
          <t>A 8940-2023</t>
        </is>
      </c>
      <c r="B392" s="1" t="n">
        <v>44974</v>
      </c>
      <c r="C392" s="1" t="n">
        <v>45840</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45840</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45840</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9459-2023</t>
        </is>
      </c>
      <c r="B395" s="1" t="n">
        <v>44977</v>
      </c>
      <c r="C395" s="1" t="n">
        <v>45840</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8773-2023</t>
        </is>
      </c>
      <c r="B396" s="1" t="n">
        <v>44978</v>
      </c>
      <c r="C396" s="1" t="n">
        <v>45840</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8695-2023</t>
        </is>
      </c>
      <c r="B397" s="1" t="n">
        <v>44978</v>
      </c>
      <c r="C397" s="1" t="n">
        <v>45840</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8743-2023</t>
        </is>
      </c>
      <c r="B398" s="1" t="n">
        <v>44978</v>
      </c>
      <c r="C398" s="1" t="n">
        <v>45840</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8755-2023</t>
        </is>
      </c>
      <c r="B399" s="1" t="n">
        <v>44978</v>
      </c>
      <c r="C399" s="1" t="n">
        <v>45840</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9324-2023</t>
        </is>
      </c>
      <c r="B400" s="1" t="n">
        <v>44980</v>
      </c>
      <c r="C400" s="1" t="n">
        <v>45840</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9336-2023</t>
        </is>
      </c>
      <c r="B401" s="1" t="n">
        <v>44980</v>
      </c>
      <c r="C401" s="1" t="n">
        <v>45840</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45840</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9947-2023</t>
        </is>
      </c>
      <c r="B403" s="1" t="n">
        <v>44985</v>
      </c>
      <c r="C403" s="1" t="n">
        <v>45840</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11010-2023</t>
        </is>
      </c>
      <c r="B404" s="1" t="n">
        <v>44986</v>
      </c>
      <c r="C404" s="1" t="n">
        <v>45840</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11004-2023</t>
        </is>
      </c>
      <c r="B405" s="1" t="n">
        <v>44986</v>
      </c>
      <c r="C405" s="1" t="n">
        <v>45840</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45840</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45840</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10368-2023</t>
        </is>
      </c>
      <c r="B408" s="1" t="n">
        <v>44987</v>
      </c>
      <c r="C408" s="1" t="n">
        <v>45840</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11398-2023</t>
        </is>
      </c>
      <c r="B409" s="1" t="n">
        <v>44988</v>
      </c>
      <c r="C409" s="1" t="n">
        <v>45840</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11423-2023</t>
        </is>
      </c>
      <c r="B410" s="1" t="n">
        <v>44988</v>
      </c>
      <c r="C410" s="1" t="n">
        <v>45840</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11420-2023</t>
        </is>
      </c>
      <c r="B411" s="1" t="n">
        <v>44988</v>
      </c>
      <c r="C411" s="1" t="n">
        <v>45840</v>
      </c>
      <c r="D411" t="inlineStr">
        <is>
          <t>DALARNAS LÄN</t>
        </is>
      </c>
      <c r="E411" t="inlineStr">
        <is>
          <t>LEKSAND</t>
        </is>
      </c>
      <c r="G411" t="n">
        <v>6.5</v>
      </c>
      <c r="H411" t="n">
        <v>0</v>
      </c>
      <c r="I411" t="n">
        <v>0</v>
      </c>
      <c r="J411" t="n">
        <v>0</v>
      </c>
      <c r="K411" t="n">
        <v>0</v>
      </c>
      <c r="L411" t="n">
        <v>0</v>
      </c>
      <c r="M411" t="n">
        <v>0</v>
      </c>
      <c r="N411" t="n">
        <v>0</v>
      </c>
      <c r="O411" t="n">
        <v>0</v>
      </c>
      <c r="P411" t="n">
        <v>0</v>
      </c>
      <c r="Q411" t="n">
        <v>0</v>
      </c>
      <c r="R411" s="2" t="inlineStr"/>
    </row>
    <row r="412" ht="15" customHeight="1">
      <c r="A412" t="inlineStr">
        <is>
          <t>A 10828-2023</t>
        </is>
      </c>
      <c r="B412" s="1" t="n">
        <v>44990</v>
      </c>
      <c r="C412" s="1" t="n">
        <v>45840</v>
      </c>
      <c r="D412" t="inlineStr">
        <is>
          <t>DALARNAS LÄN</t>
        </is>
      </c>
      <c r="E412" t="inlineStr">
        <is>
          <t>LEKSAND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10833-2023</t>
        </is>
      </c>
      <c r="B413" s="1" t="n">
        <v>44990</v>
      </c>
      <c r="C413" s="1" t="n">
        <v>45840</v>
      </c>
      <c r="D413" t="inlineStr">
        <is>
          <t>DALARNAS LÄN</t>
        </is>
      </c>
      <c r="E413" t="inlineStr">
        <is>
          <t>LEKSAND</t>
        </is>
      </c>
      <c r="G413" t="n">
        <v>1.7</v>
      </c>
      <c r="H413" t="n">
        <v>0</v>
      </c>
      <c r="I413" t="n">
        <v>0</v>
      </c>
      <c r="J413" t="n">
        <v>0</v>
      </c>
      <c r="K413" t="n">
        <v>0</v>
      </c>
      <c r="L413" t="n">
        <v>0</v>
      </c>
      <c r="M413" t="n">
        <v>0</v>
      </c>
      <c r="N413" t="n">
        <v>0</v>
      </c>
      <c r="O413" t="n">
        <v>0</v>
      </c>
      <c r="P413" t="n">
        <v>0</v>
      </c>
      <c r="Q413" t="n">
        <v>0</v>
      </c>
      <c r="R413" s="2" t="inlineStr"/>
    </row>
    <row r="414" ht="15" customHeight="1">
      <c r="A414" t="inlineStr">
        <is>
          <t>A 10967-2023</t>
        </is>
      </c>
      <c r="B414" s="1" t="n">
        <v>44991</v>
      </c>
      <c r="C414" s="1" t="n">
        <v>45840</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10987-2023</t>
        </is>
      </c>
      <c r="B415" s="1" t="n">
        <v>44991</v>
      </c>
      <c r="C415" s="1" t="n">
        <v>45840</v>
      </c>
      <c r="D415" t="inlineStr">
        <is>
          <t>DALARNAS LÄN</t>
        </is>
      </c>
      <c r="E415" t="inlineStr">
        <is>
          <t>LEKSAND</t>
        </is>
      </c>
      <c r="G415" t="n">
        <v>2.7</v>
      </c>
      <c r="H415" t="n">
        <v>0</v>
      </c>
      <c r="I415" t="n">
        <v>0</v>
      </c>
      <c r="J415" t="n">
        <v>0</v>
      </c>
      <c r="K415" t="n">
        <v>0</v>
      </c>
      <c r="L415" t="n">
        <v>0</v>
      </c>
      <c r="M415" t="n">
        <v>0</v>
      </c>
      <c r="N415" t="n">
        <v>0</v>
      </c>
      <c r="O415" t="n">
        <v>0</v>
      </c>
      <c r="P415" t="n">
        <v>0</v>
      </c>
      <c r="Q415" t="n">
        <v>0</v>
      </c>
      <c r="R415" s="2" t="inlineStr"/>
    </row>
    <row r="416" ht="15" customHeight="1">
      <c r="A416" t="inlineStr">
        <is>
          <t>A 10869-2023</t>
        </is>
      </c>
      <c r="B416" s="1" t="n">
        <v>44991</v>
      </c>
      <c r="C416" s="1" t="n">
        <v>45840</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10974-2023</t>
        </is>
      </c>
      <c r="B417" s="1" t="n">
        <v>44991</v>
      </c>
      <c r="C417" s="1" t="n">
        <v>45840</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10896-2023</t>
        </is>
      </c>
      <c r="B418" s="1" t="n">
        <v>44991</v>
      </c>
      <c r="C418" s="1" t="n">
        <v>45840</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11233-2023</t>
        </is>
      </c>
      <c r="B419" s="1" t="n">
        <v>44992</v>
      </c>
      <c r="C419" s="1" t="n">
        <v>45840</v>
      </c>
      <c r="D419" t="inlineStr">
        <is>
          <t>DALARNAS LÄN</t>
        </is>
      </c>
      <c r="E419" t="inlineStr">
        <is>
          <t>LEKSAND</t>
        </is>
      </c>
      <c r="G419" t="n">
        <v>4.2</v>
      </c>
      <c r="H419" t="n">
        <v>0</v>
      </c>
      <c r="I419" t="n">
        <v>0</v>
      </c>
      <c r="J419" t="n">
        <v>0</v>
      </c>
      <c r="K419" t="n">
        <v>0</v>
      </c>
      <c r="L419" t="n">
        <v>0</v>
      </c>
      <c r="M419" t="n">
        <v>0</v>
      </c>
      <c r="N419" t="n">
        <v>0</v>
      </c>
      <c r="O419" t="n">
        <v>0</v>
      </c>
      <c r="P419" t="n">
        <v>0</v>
      </c>
      <c r="Q419" t="n">
        <v>0</v>
      </c>
      <c r="R419" s="2" t="inlineStr"/>
    </row>
    <row r="420" ht="15" customHeight="1">
      <c r="A420" t="inlineStr">
        <is>
          <t>A 11238-2023</t>
        </is>
      </c>
      <c r="B420" s="1" t="n">
        <v>44992</v>
      </c>
      <c r="C420" s="1" t="n">
        <v>45840</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11092-2023</t>
        </is>
      </c>
      <c r="B421" s="1" t="n">
        <v>44992</v>
      </c>
      <c r="C421" s="1" t="n">
        <v>45840</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11248-2023</t>
        </is>
      </c>
      <c r="B422" s="1" t="n">
        <v>44992</v>
      </c>
      <c r="C422" s="1" t="n">
        <v>45840</v>
      </c>
      <c r="D422" t="inlineStr">
        <is>
          <t>DALARNAS LÄN</t>
        </is>
      </c>
      <c r="E422" t="inlineStr">
        <is>
          <t>LEKSAND</t>
        </is>
      </c>
      <c r="G422" t="n">
        <v>3.5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45840</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11080-2023</t>
        </is>
      </c>
      <c r="B424" s="1" t="n">
        <v>44992</v>
      </c>
      <c r="C424" s="1" t="n">
        <v>45840</v>
      </c>
      <c r="D424" t="inlineStr">
        <is>
          <t>DALARNAS LÄN</t>
        </is>
      </c>
      <c r="E424" t="inlineStr">
        <is>
          <t>LEKSAND</t>
        </is>
      </c>
      <c r="G424" t="n">
        <v>6.9</v>
      </c>
      <c r="H424" t="n">
        <v>0</v>
      </c>
      <c r="I424" t="n">
        <v>0</v>
      </c>
      <c r="J424" t="n">
        <v>0</v>
      </c>
      <c r="K424" t="n">
        <v>0</v>
      </c>
      <c r="L424" t="n">
        <v>0</v>
      </c>
      <c r="M424" t="n">
        <v>0</v>
      </c>
      <c r="N424" t="n">
        <v>0</v>
      </c>
      <c r="O424" t="n">
        <v>0</v>
      </c>
      <c r="P424" t="n">
        <v>0</v>
      </c>
      <c r="Q424" t="n">
        <v>0</v>
      </c>
      <c r="R424" s="2" t="inlineStr"/>
    </row>
    <row r="425" ht="15" customHeight="1">
      <c r="A425" t="inlineStr">
        <is>
          <t>A 11110-2023</t>
        </is>
      </c>
      <c r="B425" s="1" t="n">
        <v>44992</v>
      </c>
      <c r="C425" s="1" t="n">
        <v>45840</v>
      </c>
      <c r="D425" t="inlineStr">
        <is>
          <t>DALARNAS LÄN</t>
        </is>
      </c>
      <c r="E425" t="inlineStr">
        <is>
          <t>LEKSAND</t>
        </is>
      </c>
      <c r="G425" t="n">
        <v>11.2</v>
      </c>
      <c r="H425" t="n">
        <v>0</v>
      </c>
      <c r="I425" t="n">
        <v>0</v>
      </c>
      <c r="J425" t="n">
        <v>0</v>
      </c>
      <c r="K425" t="n">
        <v>0</v>
      </c>
      <c r="L425" t="n">
        <v>0</v>
      </c>
      <c r="M425" t="n">
        <v>0</v>
      </c>
      <c r="N425" t="n">
        <v>0</v>
      </c>
      <c r="O425" t="n">
        <v>0</v>
      </c>
      <c r="P425" t="n">
        <v>0</v>
      </c>
      <c r="Q425" t="n">
        <v>0</v>
      </c>
      <c r="R425" s="2" t="inlineStr"/>
    </row>
    <row r="426" ht="15" customHeight="1">
      <c r="A426" t="inlineStr">
        <is>
          <t>A 11218-2023</t>
        </is>
      </c>
      <c r="B426" s="1" t="n">
        <v>44992</v>
      </c>
      <c r="C426" s="1" t="n">
        <v>45840</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11225-2023</t>
        </is>
      </c>
      <c r="B427" s="1" t="n">
        <v>44992</v>
      </c>
      <c r="C427" s="1" t="n">
        <v>45840</v>
      </c>
      <c r="D427" t="inlineStr">
        <is>
          <t>DALARNAS LÄN</t>
        </is>
      </c>
      <c r="E427" t="inlineStr">
        <is>
          <t>LEKSAND</t>
        </is>
      </c>
      <c r="G427" t="n">
        <v>6.1</v>
      </c>
      <c r="H427" t="n">
        <v>0</v>
      </c>
      <c r="I427" t="n">
        <v>0</v>
      </c>
      <c r="J427" t="n">
        <v>0</v>
      </c>
      <c r="K427" t="n">
        <v>0</v>
      </c>
      <c r="L427" t="n">
        <v>0</v>
      </c>
      <c r="M427" t="n">
        <v>0</v>
      </c>
      <c r="N427" t="n">
        <v>0</v>
      </c>
      <c r="O427" t="n">
        <v>0</v>
      </c>
      <c r="P427" t="n">
        <v>0</v>
      </c>
      <c r="Q427" t="n">
        <v>0</v>
      </c>
      <c r="R427" s="2" t="inlineStr"/>
    </row>
    <row r="428" ht="15" customHeight="1">
      <c r="A428" t="inlineStr">
        <is>
          <t>A 11347-2023</t>
        </is>
      </c>
      <c r="B428" s="1" t="n">
        <v>44993</v>
      </c>
      <c r="C428" s="1" t="n">
        <v>45840</v>
      </c>
      <c r="D428" t="inlineStr">
        <is>
          <t>DALARNAS LÄN</t>
        </is>
      </c>
      <c r="E428" t="inlineStr">
        <is>
          <t>LEKSAND</t>
        </is>
      </c>
      <c r="G428" t="n">
        <v>6.7</v>
      </c>
      <c r="H428" t="n">
        <v>0</v>
      </c>
      <c r="I428" t="n">
        <v>0</v>
      </c>
      <c r="J428" t="n">
        <v>0</v>
      </c>
      <c r="K428" t="n">
        <v>0</v>
      </c>
      <c r="L428" t="n">
        <v>0</v>
      </c>
      <c r="M428" t="n">
        <v>0</v>
      </c>
      <c r="N428" t="n">
        <v>0</v>
      </c>
      <c r="O428" t="n">
        <v>0</v>
      </c>
      <c r="P428" t="n">
        <v>0</v>
      </c>
      <c r="Q428" t="n">
        <v>0</v>
      </c>
      <c r="R428" s="2" t="inlineStr"/>
    </row>
    <row r="429" ht="15" customHeight="1">
      <c r="A429" t="inlineStr">
        <is>
          <t>A 11392-2023</t>
        </is>
      </c>
      <c r="B429" s="1" t="n">
        <v>44993</v>
      </c>
      <c r="C429" s="1" t="n">
        <v>45840</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11403-2023</t>
        </is>
      </c>
      <c r="B430" s="1" t="n">
        <v>44993</v>
      </c>
      <c r="C430" s="1" t="n">
        <v>45840</v>
      </c>
      <c r="D430" t="inlineStr">
        <is>
          <t>DALARNAS LÄN</t>
        </is>
      </c>
      <c r="E430" t="inlineStr">
        <is>
          <t>LEKSAND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11418-2023</t>
        </is>
      </c>
      <c r="B431" s="1" t="n">
        <v>44993</v>
      </c>
      <c r="C431" s="1" t="n">
        <v>45840</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11747-2023</t>
        </is>
      </c>
      <c r="B432" s="1" t="n">
        <v>44993</v>
      </c>
      <c r="C432" s="1" t="n">
        <v>45840</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11913-2023</t>
        </is>
      </c>
      <c r="B433" s="1" t="n">
        <v>44993</v>
      </c>
      <c r="C433" s="1" t="n">
        <v>45840</v>
      </c>
      <c r="D433" t="inlineStr">
        <is>
          <t>DALARNAS LÄN</t>
        </is>
      </c>
      <c r="E433" t="inlineStr">
        <is>
          <t>LEKSAND</t>
        </is>
      </c>
      <c r="G433" t="n">
        <v>7</v>
      </c>
      <c r="H433" t="n">
        <v>0</v>
      </c>
      <c r="I433" t="n">
        <v>0</v>
      </c>
      <c r="J433" t="n">
        <v>0</v>
      </c>
      <c r="K433" t="n">
        <v>0</v>
      </c>
      <c r="L433" t="n">
        <v>0</v>
      </c>
      <c r="M433" t="n">
        <v>0</v>
      </c>
      <c r="N433" t="n">
        <v>0</v>
      </c>
      <c r="O433" t="n">
        <v>0</v>
      </c>
      <c r="P433" t="n">
        <v>0</v>
      </c>
      <c r="Q433" t="n">
        <v>0</v>
      </c>
      <c r="R433" s="2" t="inlineStr"/>
    </row>
    <row r="434" ht="15" customHeight="1">
      <c r="A434" t="inlineStr">
        <is>
          <t>A 11582-2023</t>
        </is>
      </c>
      <c r="B434" s="1" t="n">
        <v>44994</v>
      </c>
      <c r="C434" s="1" t="n">
        <v>45840</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11592-2023</t>
        </is>
      </c>
      <c r="B435" s="1" t="n">
        <v>44994</v>
      </c>
      <c r="C435" s="1" t="n">
        <v>45840</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11678-2023</t>
        </is>
      </c>
      <c r="B436" s="1" t="n">
        <v>44994</v>
      </c>
      <c r="C436" s="1" t="n">
        <v>45840</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12144-2023</t>
        </is>
      </c>
      <c r="B437" s="1" t="n">
        <v>44998</v>
      </c>
      <c r="C437" s="1" t="n">
        <v>45840</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12117-2023</t>
        </is>
      </c>
      <c r="B438" s="1" t="n">
        <v>44998</v>
      </c>
      <c r="C438" s="1" t="n">
        <v>45840</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12120-2023</t>
        </is>
      </c>
      <c r="B439" s="1" t="n">
        <v>44998</v>
      </c>
      <c r="C439" s="1" t="n">
        <v>45840</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45840</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12363-2023</t>
        </is>
      </c>
      <c r="B441" s="1" t="n">
        <v>44998</v>
      </c>
      <c r="C441" s="1" t="n">
        <v>45840</v>
      </c>
      <c r="D441" t="inlineStr">
        <is>
          <t>DALARNAS LÄN</t>
        </is>
      </c>
      <c r="E441" t="inlineStr">
        <is>
          <t>LEKSAND</t>
        </is>
      </c>
      <c r="G441" t="n">
        <v>10</v>
      </c>
      <c r="H441" t="n">
        <v>0</v>
      </c>
      <c r="I441" t="n">
        <v>0</v>
      </c>
      <c r="J441" t="n">
        <v>0</v>
      </c>
      <c r="K441" t="n">
        <v>0</v>
      </c>
      <c r="L441" t="n">
        <v>0</v>
      </c>
      <c r="M441" t="n">
        <v>0</v>
      </c>
      <c r="N441" t="n">
        <v>0</v>
      </c>
      <c r="O441" t="n">
        <v>0</v>
      </c>
      <c r="P441" t="n">
        <v>0</v>
      </c>
      <c r="Q441" t="n">
        <v>0</v>
      </c>
      <c r="R441" s="2" t="inlineStr"/>
    </row>
    <row r="442" ht="15" customHeight="1">
      <c r="A442" t="inlineStr">
        <is>
          <t>A 12414-2023</t>
        </is>
      </c>
      <c r="B442" s="1" t="n">
        <v>44999</v>
      </c>
      <c r="C442" s="1" t="n">
        <v>45840</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12857-2023</t>
        </is>
      </c>
      <c r="B443" s="1" t="n">
        <v>45001</v>
      </c>
      <c r="C443" s="1" t="n">
        <v>45840</v>
      </c>
      <c r="D443" t="inlineStr">
        <is>
          <t>DALARNAS LÄN</t>
        </is>
      </c>
      <c r="E443" t="inlineStr">
        <is>
          <t>LEKSAND</t>
        </is>
      </c>
      <c r="G443" t="n">
        <v>0.2</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v>
      </c>
      <c r="C444" s="1" t="n">
        <v>45840</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13024-2023</t>
        </is>
      </c>
      <c r="B445" s="1" t="n">
        <v>45001</v>
      </c>
      <c r="C445" s="1" t="n">
        <v>45840</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13063-2023</t>
        </is>
      </c>
      <c r="B446" s="1" t="n">
        <v>45001</v>
      </c>
      <c r="C446" s="1" t="n">
        <v>45840</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13027-2023</t>
        </is>
      </c>
      <c r="B447" s="1" t="n">
        <v>45001</v>
      </c>
      <c r="C447" s="1" t="n">
        <v>45840</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13079-2023</t>
        </is>
      </c>
      <c r="B448" s="1" t="n">
        <v>45001</v>
      </c>
      <c r="C448" s="1" t="n">
        <v>45840</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13165-2023</t>
        </is>
      </c>
      <c r="B449" s="1" t="n">
        <v>45002</v>
      </c>
      <c r="C449" s="1" t="n">
        <v>45840</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13288-2023</t>
        </is>
      </c>
      <c r="B450" s="1" t="n">
        <v>45004</v>
      </c>
      <c r="C450" s="1" t="n">
        <v>45840</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13397-2023</t>
        </is>
      </c>
      <c r="B451" s="1" t="n">
        <v>45005</v>
      </c>
      <c r="C451" s="1" t="n">
        <v>45840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13401-2023</t>
        </is>
      </c>
      <c r="B452" s="1" t="n">
        <v>45005</v>
      </c>
      <c r="C452" s="1" t="n">
        <v>45840</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13376-2023</t>
        </is>
      </c>
      <c r="B453" s="1" t="n">
        <v>45005</v>
      </c>
      <c r="C453" s="1" t="n">
        <v>45840</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13760-2023</t>
        </is>
      </c>
      <c r="B454" s="1" t="n">
        <v>45007</v>
      </c>
      <c r="C454" s="1" t="n">
        <v>45840</v>
      </c>
      <c r="D454" t="inlineStr">
        <is>
          <t>DALARNAS LÄN</t>
        </is>
      </c>
      <c r="E454" t="inlineStr">
        <is>
          <t>LEKSAND</t>
        </is>
      </c>
      <c r="G454" t="n">
        <v>7.9</v>
      </c>
      <c r="H454" t="n">
        <v>0</v>
      </c>
      <c r="I454" t="n">
        <v>0</v>
      </c>
      <c r="J454" t="n">
        <v>0</v>
      </c>
      <c r="K454" t="n">
        <v>0</v>
      </c>
      <c r="L454" t="n">
        <v>0</v>
      </c>
      <c r="M454" t="n">
        <v>0</v>
      </c>
      <c r="N454" t="n">
        <v>0</v>
      </c>
      <c r="O454" t="n">
        <v>0</v>
      </c>
      <c r="P454" t="n">
        <v>0</v>
      </c>
      <c r="Q454" t="n">
        <v>0</v>
      </c>
      <c r="R454" s="2" t="inlineStr"/>
    </row>
    <row r="455" ht="15" customHeight="1">
      <c r="A455" t="inlineStr">
        <is>
          <t>A 14339-2023</t>
        </is>
      </c>
      <c r="B455" s="1" t="n">
        <v>45012</v>
      </c>
      <c r="C455" s="1" t="n">
        <v>45840</v>
      </c>
      <c r="D455" t="inlineStr">
        <is>
          <t>DALARNAS LÄN</t>
        </is>
      </c>
      <c r="E455" t="inlineStr">
        <is>
          <t>LEKSAND</t>
        </is>
      </c>
      <c r="G455" t="n">
        <v>5.3</v>
      </c>
      <c r="H455" t="n">
        <v>0</v>
      </c>
      <c r="I455" t="n">
        <v>0</v>
      </c>
      <c r="J455" t="n">
        <v>0</v>
      </c>
      <c r="K455" t="n">
        <v>0</v>
      </c>
      <c r="L455" t="n">
        <v>0</v>
      </c>
      <c r="M455" t="n">
        <v>0</v>
      </c>
      <c r="N455" t="n">
        <v>0</v>
      </c>
      <c r="O455" t="n">
        <v>0</v>
      </c>
      <c r="P455" t="n">
        <v>0</v>
      </c>
      <c r="Q455" t="n">
        <v>0</v>
      </c>
      <c r="R455" s="2" t="inlineStr"/>
    </row>
    <row r="456" ht="15" customHeight="1">
      <c r="A456" t="inlineStr">
        <is>
          <t>A 14558-2023</t>
        </is>
      </c>
      <c r="B456" s="1" t="n">
        <v>45013</v>
      </c>
      <c r="C456" s="1" t="n">
        <v>45840</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14809-2023</t>
        </is>
      </c>
      <c r="B457" s="1" t="n">
        <v>45014</v>
      </c>
      <c r="C457" s="1" t="n">
        <v>45840</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14943-2023</t>
        </is>
      </c>
      <c r="B458" s="1" t="n">
        <v>45015</v>
      </c>
      <c r="C458" s="1" t="n">
        <v>45840</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45840</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15020-2023</t>
        </is>
      </c>
      <c r="B460" s="1" t="n">
        <v>45015</v>
      </c>
      <c r="C460" s="1" t="n">
        <v>45840</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15025-2023</t>
        </is>
      </c>
      <c r="B461" s="1" t="n">
        <v>45015</v>
      </c>
      <c r="C461" s="1" t="n">
        <v>45840</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15120-2023</t>
        </is>
      </c>
      <c r="B462" s="1" t="n">
        <v>45016</v>
      </c>
      <c r="C462" s="1" t="n">
        <v>45840</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15261-2023</t>
        </is>
      </c>
      <c r="B463" s="1" t="n">
        <v>45019</v>
      </c>
      <c r="C463" s="1" t="n">
        <v>45840</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15271-2023</t>
        </is>
      </c>
      <c r="B464" s="1" t="n">
        <v>45019</v>
      </c>
      <c r="C464" s="1" t="n">
        <v>45840</v>
      </c>
      <c r="D464" t="inlineStr">
        <is>
          <t>DALARNAS LÄN</t>
        </is>
      </c>
      <c r="E464" t="inlineStr">
        <is>
          <t>LEKSAND</t>
        </is>
      </c>
      <c r="G464" t="n">
        <v>5.5</v>
      </c>
      <c r="H464" t="n">
        <v>0</v>
      </c>
      <c r="I464" t="n">
        <v>0</v>
      </c>
      <c r="J464" t="n">
        <v>0</v>
      </c>
      <c r="K464" t="n">
        <v>0</v>
      </c>
      <c r="L464" t="n">
        <v>0</v>
      </c>
      <c r="M464" t="n">
        <v>0</v>
      </c>
      <c r="N464" t="n">
        <v>0</v>
      </c>
      <c r="O464" t="n">
        <v>0</v>
      </c>
      <c r="P464" t="n">
        <v>0</v>
      </c>
      <c r="Q464" t="n">
        <v>0</v>
      </c>
      <c r="R464" s="2" t="inlineStr"/>
    </row>
    <row r="465" ht="15" customHeight="1">
      <c r="A465" t="inlineStr">
        <is>
          <t>A 15435-2023</t>
        </is>
      </c>
      <c r="B465" s="1" t="n">
        <v>45020</v>
      </c>
      <c r="C465" s="1" t="n">
        <v>45840</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15436-2023</t>
        </is>
      </c>
      <c r="B466" s="1" t="n">
        <v>45020</v>
      </c>
      <c r="C466" s="1" t="n">
        <v>45840</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15433-2023</t>
        </is>
      </c>
      <c r="B467" s="1" t="n">
        <v>45020</v>
      </c>
      <c r="C467" s="1" t="n">
        <v>45840</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15882-2023</t>
        </is>
      </c>
      <c r="B468" s="1" t="n">
        <v>45022</v>
      </c>
      <c r="C468" s="1" t="n">
        <v>45840</v>
      </c>
      <c r="D468" t="inlineStr">
        <is>
          <t>DALARNAS LÄN</t>
        </is>
      </c>
      <c r="E468" t="inlineStr">
        <is>
          <t>LEKSAND</t>
        </is>
      </c>
      <c r="G468" t="n">
        <v>0.1</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45840</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16139-2023</t>
        </is>
      </c>
      <c r="B470" s="1" t="n">
        <v>45027</v>
      </c>
      <c r="C470" s="1" t="n">
        <v>45840</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16143-2023</t>
        </is>
      </c>
      <c r="B471" s="1" t="n">
        <v>45027</v>
      </c>
      <c r="C471" s="1" t="n">
        <v>45840</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16137-2023</t>
        </is>
      </c>
      <c r="B472" s="1" t="n">
        <v>45027</v>
      </c>
      <c r="C472" s="1" t="n">
        <v>45840</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16135-2023</t>
        </is>
      </c>
      <c r="B473" s="1" t="n">
        <v>45027</v>
      </c>
      <c r="C473" s="1" t="n">
        <v>45840</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16332-2023</t>
        </is>
      </c>
      <c r="B474" s="1" t="n">
        <v>45028</v>
      </c>
      <c r="C474" s="1" t="n">
        <v>45840</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16592-2023</t>
        </is>
      </c>
      <c r="B475" s="1" t="n">
        <v>45030</v>
      </c>
      <c r="C475" s="1" t="n">
        <v>45840</v>
      </c>
      <c r="D475" t="inlineStr">
        <is>
          <t>DALARNAS LÄN</t>
        </is>
      </c>
      <c r="E475" t="inlineStr">
        <is>
          <t>LEKSAND</t>
        </is>
      </c>
      <c r="G475" t="n">
        <v>11.5</v>
      </c>
      <c r="H475" t="n">
        <v>0</v>
      </c>
      <c r="I475" t="n">
        <v>0</v>
      </c>
      <c r="J475" t="n">
        <v>0</v>
      </c>
      <c r="K475" t="n">
        <v>0</v>
      </c>
      <c r="L475" t="n">
        <v>0</v>
      </c>
      <c r="M475" t="n">
        <v>0</v>
      </c>
      <c r="N475" t="n">
        <v>0</v>
      </c>
      <c r="O475" t="n">
        <v>0</v>
      </c>
      <c r="P475" t="n">
        <v>0</v>
      </c>
      <c r="Q475" t="n">
        <v>0</v>
      </c>
      <c r="R475" s="2" t="inlineStr"/>
    </row>
    <row r="476" ht="15" customHeight="1">
      <c r="A476" t="inlineStr">
        <is>
          <t>A 16818-2023</t>
        </is>
      </c>
      <c r="B476" s="1" t="n">
        <v>45033</v>
      </c>
      <c r="C476" s="1" t="n">
        <v>45840</v>
      </c>
      <c r="D476" t="inlineStr">
        <is>
          <t>DALARNAS LÄN</t>
        </is>
      </c>
      <c r="E476" t="inlineStr">
        <is>
          <t>LEKSAND</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16882-2023</t>
        </is>
      </c>
      <c r="B477" s="1" t="n">
        <v>45033</v>
      </c>
      <c r="C477" s="1" t="n">
        <v>45840</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16926-2023</t>
        </is>
      </c>
      <c r="B478" s="1" t="n">
        <v>45033</v>
      </c>
      <c r="C478" s="1" t="n">
        <v>45840</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17078-2023</t>
        </is>
      </c>
      <c r="B479" s="1" t="n">
        <v>45034</v>
      </c>
      <c r="C479" s="1" t="n">
        <v>45840</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17070-2023</t>
        </is>
      </c>
      <c r="B480" s="1" t="n">
        <v>45034</v>
      </c>
      <c r="C480" s="1" t="n">
        <v>45840</v>
      </c>
      <c r="D480" t="inlineStr">
        <is>
          <t>DALARNAS LÄN</t>
        </is>
      </c>
      <c r="E480" t="inlineStr">
        <is>
          <t>LEKSAND</t>
        </is>
      </c>
      <c r="G480" t="n">
        <v>5.9</v>
      </c>
      <c r="H480" t="n">
        <v>0</v>
      </c>
      <c r="I480" t="n">
        <v>0</v>
      </c>
      <c r="J480" t="n">
        <v>0</v>
      </c>
      <c r="K480" t="n">
        <v>0</v>
      </c>
      <c r="L480" t="n">
        <v>0</v>
      </c>
      <c r="M480" t="n">
        <v>0</v>
      </c>
      <c r="N480" t="n">
        <v>0</v>
      </c>
      <c r="O480" t="n">
        <v>0</v>
      </c>
      <c r="P480" t="n">
        <v>0</v>
      </c>
      <c r="Q480" t="n">
        <v>0</v>
      </c>
      <c r="R480" s="2" t="inlineStr"/>
    </row>
    <row r="481" ht="15" customHeight="1">
      <c r="A481" t="inlineStr">
        <is>
          <t>A 17076-2023</t>
        </is>
      </c>
      <c r="B481" s="1" t="n">
        <v>45034</v>
      </c>
      <c r="C481" s="1" t="n">
        <v>45840</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17072-2023</t>
        </is>
      </c>
      <c r="B482" s="1" t="n">
        <v>45034</v>
      </c>
      <c r="C482" s="1" t="n">
        <v>45840</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17084-2023</t>
        </is>
      </c>
      <c r="B483" s="1" t="n">
        <v>45034</v>
      </c>
      <c r="C483" s="1" t="n">
        <v>45840</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17089-2023</t>
        </is>
      </c>
      <c r="B484" s="1" t="n">
        <v>45034</v>
      </c>
      <c r="C484" s="1" t="n">
        <v>45840</v>
      </c>
      <c r="D484" t="inlineStr">
        <is>
          <t>DALARNAS LÄN</t>
        </is>
      </c>
      <c r="E484" t="inlineStr">
        <is>
          <t>LEKSAND</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17233-2023</t>
        </is>
      </c>
      <c r="B485" s="1" t="n">
        <v>45035</v>
      </c>
      <c r="C485" s="1" t="n">
        <v>45840</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17231-2023</t>
        </is>
      </c>
      <c r="B486" s="1" t="n">
        <v>45035</v>
      </c>
      <c r="C486" s="1" t="n">
        <v>45840</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17331-2023</t>
        </is>
      </c>
      <c r="B487" s="1" t="n">
        <v>45035</v>
      </c>
      <c r="C487" s="1" t="n">
        <v>45840</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17413-2023</t>
        </is>
      </c>
      <c r="B488" s="1" t="n">
        <v>45035</v>
      </c>
      <c r="C488" s="1" t="n">
        <v>45840</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17533-2023</t>
        </is>
      </c>
      <c r="B489" s="1" t="n">
        <v>45036</v>
      </c>
      <c r="C489" s="1" t="n">
        <v>45840</v>
      </c>
      <c r="D489" t="inlineStr">
        <is>
          <t>DALARNAS LÄN</t>
        </is>
      </c>
      <c r="E489" t="inlineStr">
        <is>
          <t>LEKSAND</t>
        </is>
      </c>
      <c r="G489" t="n">
        <v>3</v>
      </c>
      <c r="H489" t="n">
        <v>0</v>
      </c>
      <c r="I489" t="n">
        <v>0</v>
      </c>
      <c r="J489" t="n">
        <v>0</v>
      </c>
      <c r="K489" t="n">
        <v>0</v>
      </c>
      <c r="L489" t="n">
        <v>0</v>
      </c>
      <c r="M489" t="n">
        <v>0</v>
      </c>
      <c r="N489" t="n">
        <v>0</v>
      </c>
      <c r="O489" t="n">
        <v>0</v>
      </c>
      <c r="P489" t="n">
        <v>0</v>
      </c>
      <c r="Q489" t="n">
        <v>0</v>
      </c>
      <c r="R489" s="2" t="inlineStr"/>
    </row>
    <row r="490" ht="15" customHeight="1">
      <c r="A490" t="inlineStr">
        <is>
          <t>A 17759-2023</t>
        </is>
      </c>
      <c r="B490" s="1" t="n">
        <v>45037</v>
      </c>
      <c r="C490" s="1" t="n">
        <v>45840</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17947-2023</t>
        </is>
      </c>
      <c r="B491" s="1" t="n">
        <v>45040</v>
      </c>
      <c r="C491" s="1" t="n">
        <v>45840</v>
      </c>
      <c r="D491" t="inlineStr">
        <is>
          <t>DALARNAS LÄN</t>
        </is>
      </c>
      <c r="E491" t="inlineStr">
        <is>
          <t>LEKSAND</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18351-2023</t>
        </is>
      </c>
      <c r="B492" s="1" t="n">
        <v>45041</v>
      </c>
      <c r="C492" s="1" t="n">
        <v>45840</v>
      </c>
      <c r="D492" t="inlineStr">
        <is>
          <t>DALARNAS LÄN</t>
        </is>
      </c>
      <c r="E492" t="inlineStr">
        <is>
          <t>LEKSAND</t>
        </is>
      </c>
      <c r="G492" t="n">
        <v>1.4</v>
      </c>
      <c r="H492" t="n">
        <v>0</v>
      </c>
      <c r="I492" t="n">
        <v>0</v>
      </c>
      <c r="J492" t="n">
        <v>0</v>
      </c>
      <c r="K492" t="n">
        <v>0</v>
      </c>
      <c r="L492" t="n">
        <v>0</v>
      </c>
      <c r="M492" t="n">
        <v>0</v>
      </c>
      <c r="N492" t="n">
        <v>0</v>
      </c>
      <c r="O492" t="n">
        <v>0</v>
      </c>
      <c r="P492" t="n">
        <v>0</v>
      </c>
      <c r="Q492" t="n">
        <v>0</v>
      </c>
      <c r="R492" s="2" t="inlineStr"/>
    </row>
    <row r="493" ht="15" customHeight="1">
      <c r="A493" t="inlineStr">
        <is>
          <t>A 18383-2023</t>
        </is>
      </c>
      <c r="B493" s="1" t="n">
        <v>45042</v>
      </c>
      <c r="C493" s="1" t="n">
        <v>45840</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18407-2023</t>
        </is>
      </c>
      <c r="B494" s="1" t="n">
        <v>45042</v>
      </c>
      <c r="C494" s="1" t="n">
        <v>45840</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18677-2023</t>
        </is>
      </c>
      <c r="B495" s="1" t="n">
        <v>45043</v>
      </c>
      <c r="C495" s="1" t="n">
        <v>45840</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18632-2023</t>
        </is>
      </c>
      <c r="B496" s="1" t="n">
        <v>45043</v>
      </c>
      <c r="C496" s="1" t="n">
        <v>45840</v>
      </c>
      <c r="D496" t="inlineStr">
        <is>
          <t>DALARNAS LÄN</t>
        </is>
      </c>
      <c r="E496" t="inlineStr">
        <is>
          <t>LEKSAND</t>
        </is>
      </c>
      <c r="G496" t="n">
        <v>6.8</v>
      </c>
      <c r="H496" t="n">
        <v>0</v>
      </c>
      <c r="I496" t="n">
        <v>0</v>
      </c>
      <c r="J496" t="n">
        <v>0</v>
      </c>
      <c r="K496" t="n">
        <v>0</v>
      </c>
      <c r="L496" t="n">
        <v>0</v>
      </c>
      <c r="M496" t="n">
        <v>0</v>
      </c>
      <c r="N496" t="n">
        <v>0</v>
      </c>
      <c r="O496" t="n">
        <v>0</v>
      </c>
      <c r="P496" t="n">
        <v>0</v>
      </c>
      <c r="Q496" t="n">
        <v>0</v>
      </c>
      <c r="R496" s="2" t="inlineStr"/>
    </row>
    <row r="497" ht="15" customHeight="1">
      <c r="A497" t="inlineStr">
        <is>
          <t>A 18666-2023</t>
        </is>
      </c>
      <c r="B497" s="1" t="n">
        <v>45043</v>
      </c>
      <c r="C497" s="1" t="n">
        <v>45840</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18909-2023</t>
        </is>
      </c>
      <c r="B498" s="1" t="n">
        <v>45044</v>
      </c>
      <c r="C498" s="1" t="n">
        <v>45840</v>
      </c>
      <c r="D498" t="inlineStr">
        <is>
          <t>DALARNAS LÄN</t>
        </is>
      </c>
      <c r="E498" t="inlineStr">
        <is>
          <t>LEKSAND</t>
        </is>
      </c>
      <c r="G498" t="n">
        <v>10.7</v>
      </c>
      <c r="H498" t="n">
        <v>0</v>
      </c>
      <c r="I498" t="n">
        <v>0</v>
      </c>
      <c r="J498" t="n">
        <v>0</v>
      </c>
      <c r="K498" t="n">
        <v>0</v>
      </c>
      <c r="L498" t="n">
        <v>0</v>
      </c>
      <c r="M498" t="n">
        <v>0</v>
      </c>
      <c r="N498" t="n">
        <v>0</v>
      </c>
      <c r="O498" t="n">
        <v>0</v>
      </c>
      <c r="P498" t="n">
        <v>0</v>
      </c>
      <c r="Q498" t="n">
        <v>0</v>
      </c>
      <c r="R498" s="2" t="inlineStr"/>
    </row>
    <row r="499" ht="15" customHeight="1">
      <c r="A499" t="inlineStr">
        <is>
          <t>A 18837-2023</t>
        </is>
      </c>
      <c r="B499" s="1" t="n">
        <v>45044</v>
      </c>
      <c r="C499" s="1" t="n">
        <v>45840</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19103-2023</t>
        </is>
      </c>
      <c r="B500" s="1" t="n">
        <v>45048</v>
      </c>
      <c r="C500" s="1" t="n">
        <v>45840</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19316-2023</t>
        </is>
      </c>
      <c r="B501" s="1" t="n">
        <v>45049</v>
      </c>
      <c r="C501" s="1" t="n">
        <v>45840</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19331-2023</t>
        </is>
      </c>
      <c r="B502" s="1" t="n">
        <v>45049</v>
      </c>
      <c r="C502" s="1" t="n">
        <v>45840</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19550-2023</t>
        </is>
      </c>
      <c r="B503" s="1" t="n">
        <v>45049</v>
      </c>
      <c r="C503" s="1" t="n">
        <v>45840</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19590-2023</t>
        </is>
      </c>
      <c r="B504" s="1" t="n">
        <v>45049</v>
      </c>
      <c r="C504" s="1" t="n">
        <v>45840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19559-2023</t>
        </is>
      </c>
      <c r="B505" s="1" t="n">
        <v>45050</v>
      </c>
      <c r="C505" s="1" t="n">
        <v>45840</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19689-2023</t>
        </is>
      </c>
      <c r="B506" s="1" t="n">
        <v>45051</v>
      </c>
      <c r="C506" s="1" t="n">
        <v>45840</v>
      </c>
      <c r="D506" t="inlineStr">
        <is>
          <t>DALARNAS LÄN</t>
        </is>
      </c>
      <c r="E506" t="inlineStr">
        <is>
          <t>LEKSAND</t>
        </is>
      </c>
      <c r="G506" t="n">
        <v>15.9</v>
      </c>
      <c r="H506" t="n">
        <v>0</v>
      </c>
      <c r="I506" t="n">
        <v>0</v>
      </c>
      <c r="J506" t="n">
        <v>0</v>
      </c>
      <c r="K506" t="n">
        <v>0</v>
      </c>
      <c r="L506" t="n">
        <v>0</v>
      </c>
      <c r="M506" t="n">
        <v>0</v>
      </c>
      <c r="N506" t="n">
        <v>0</v>
      </c>
      <c r="O506" t="n">
        <v>0</v>
      </c>
      <c r="P506" t="n">
        <v>0</v>
      </c>
      <c r="Q506" t="n">
        <v>0</v>
      </c>
      <c r="R506" s="2" t="inlineStr"/>
    </row>
    <row r="507" ht="15" customHeight="1">
      <c r="A507" t="inlineStr">
        <is>
          <t>A 20150-2023</t>
        </is>
      </c>
      <c r="B507" s="1" t="n">
        <v>45051</v>
      </c>
      <c r="C507" s="1" t="n">
        <v>45840</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20514-2023</t>
        </is>
      </c>
      <c r="B508" s="1" t="n">
        <v>45054</v>
      </c>
      <c r="C508" s="1" t="n">
        <v>45840</v>
      </c>
      <c r="D508" t="inlineStr">
        <is>
          <t>DALARNAS LÄN</t>
        </is>
      </c>
      <c r="E508" t="inlineStr">
        <is>
          <t>LEKSAND</t>
        </is>
      </c>
      <c r="G508" t="n">
        <v>3.2</v>
      </c>
      <c r="H508" t="n">
        <v>0</v>
      </c>
      <c r="I508" t="n">
        <v>0</v>
      </c>
      <c r="J508" t="n">
        <v>0</v>
      </c>
      <c r="K508" t="n">
        <v>0</v>
      </c>
      <c r="L508" t="n">
        <v>0</v>
      </c>
      <c r="M508" t="n">
        <v>0</v>
      </c>
      <c r="N508" t="n">
        <v>0</v>
      </c>
      <c r="O508" t="n">
        <v>0</v>
      </c>
      <c r="P508" t="n">
        <v>0</v>
      </c>
      <c r="Q508" t="n">
        <v>0</v>
      </c>
      <c r="R508" s="2" t="inlineStr"/>
    </row>
    <row r="509" ht="15" customHeight="1">
      <c r="A509" t="inlineStr">
        <is>
          <t>A 20222-2023</t>
        </is>
      </c>
      <c r="B509" s="1" t="n">
        <v>45055</v>
      </c>
      <c r="C509" s="1" t="n">
        <v>45840</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20114-2023</t>
        </is>
      </c>
      <c r="B510" s="1" t="n">
        <v>45055</v>
      </c>
      <c r="C510" s="1" t="n">
        <v>45840</v>
      </c>
      <c r="D510" t="inlineStr">
        <is>
          <t>DALARNAS LÄN</t>
        </is>
      </c>
      <c r="E510" t="inlineStr">
        <is>
          <t>LEKSAND</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20936-2023</t>
        </is>
      </c>
      <c r="B511" s="1" t="n">
        <v>45061</v>
      </c>
      <c r="C511" s="1" t="n">
        <v>45840</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20946-2023</t>
        </is>
      </c>
      <c r="B512" s="1" t="n">
        <v>45061</v>
      </c>
      <c r="C512" s="1" t="n">
        <v>45840</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45840</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21299-2023</t>
        </is>
      </c>
      <c r="B514" s="1" t="n">
        <v>45062</v>
      </c>
      <c r="C514" s="1" t="n">
        <v>45840</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21817-2023</t>
        </is>
      </c>
      <c r="B515" s="1" t="n">
        <v>45068</v>
      </c>
      <c r="C515" s="1" t="n">
        <v>45840</v>
      </c>
      <c r="D515" t="inlineStr">
        <is>
          <t>DALARNAS LÄN</t>
        </is>
      </c>
      <c r="E515" t="inlineStr">
        <is>
          <t>LEKSAND</t>
        </is>
      </c>
      <c r="G515" t="n">
        <v>3.5</v>
      </c>
      <c r="H515" t="n">
        <v>0</v>
      </c>
      <c r="I515" t="n">
        <v>0</v>
      </c>
      <c r="J515" t="n">
        <v>0</v>
      </c>
      <c r="K515" t="n">
        <v>0</v>
      </c>
      <c r="L515" t="n">
        <v>0</v>
      </c>
      <c r="M515" t="n">
        <v>0</v>
      </c>
      <c r="N515" t="n">
        <v>0</v>
      </c>
      <c r="O515" t="n">
        <v>0</v>
      </c>
      <c r="P515" t="n">
        <v>0</v>
      </c>
      <c r="Q515" t="n">
        <v>0</v>
      </c>
      <c r="R515" s="2" t="inlineStr"/>
    </row>
    <row r="516" ht="15" customHeight="1">
      <c r="A516" t="inlineStr">
        <is>
          <t>A 21910-2023</t>
        </is>
      </c>
      <c r="B516" s="1" t="n">
        <v>45068</v>
      </c>
      <c r="C516" s="1" t="n">
        <v>45840</v>
      </c>
      <c r="D516" t="inlineStr">
        <is>
          <t>DALARNAS LÄN</t>
        </is>
      </c>
      <c r="E516" t="inlineStr">
        <is>
          <t>LEKSAND</t>
        </is>
      </c>
      <c r="F516" t="inlineStr">
        <is>
          <t>Bergvik skog väst AB</t>
        </is>
      </c>
      <c r="G516" t="n">
        <v>9.4</v>
      </c>
      <c r="H516" t="n">
        <v>0</v>
      </c>
      <c r="I516" t="n">
        <v>0</v>
      </c>
      <c r="J516" t="n">
        <v>0</v>
      </c>
      <c r="K516" t="n">
        <v>0</v>
      </c>
      <c r="L516" t="n">
        <v>0</v>
      </c>
      <c r="M516" t="n">
        <v>0</v>
      </c>
      <c r="N516" t="n">
        <v>0</v>
      </c>
      <c r="O516" t="n">
        <v>0</v>
      </c>
      <c r="P516" t="n">
        <v>0</v>
      </c>
      <c r="Q516" t="n">
        <v>0</v>
      </c>
      <c r="R516" s="2" t="inlineStr"/>
    </row>
    <row r="517" ht="15" customHeight="1">
      <c r="A517" t="inlineStr">
        <is>
          <t>A 21849-2023</t>
        </is>
      </c>
      <c r="B517" s="1" t="n">
        <v>45068</v>
      </c>
      <c r="C517" s="1" t="n">
        <v>45840</v>
      </c>
      <c r="D517" t="inlineStr">
        <is>
          <t>DALARNAS LÄN</t>
        </is>
      </c>
      <c r="E517" t="inlineStr">
        <is>
          <t>LEKSAND</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21954-2023</t>
        </is>
      </c>
      <c r="B518" s="1" t="n">
        <v>45068</v>
      </c>
      <c r="C518" s="1" t="n">
        <v>45840</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22196-2023</t>
        </is>
      </c>
      <c r="B519" s="1" t="n">
        <v>45069</v>
      </c>
      <c r="C519" s="1" t="n">
        <v>45840</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22197-2023</t>
        </is>
      </c>
      <c r="B520" s="1" t="n">
        <v>45069</v>
      </c>
      <c r="C520" s="1" t="n">
        <v>45840</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22570-2023</t>
        </is>
      </c>
      <c r="B521" s="1" t="n">
        <v>45071</v>
      </c>
      <c r="C521" s="1" t="n">
        <v>45840</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22684-2023</t>
        </is>
      </c>
      <c r="B522" s="1" t="n">
        <v>45071</v>
      </c>
      <c r="C522" s="1" t="n">
        <v>45840</v>
      </c>
      <c r="D522" t="inlineStr">
        <is>
          <t>DALARNAS LÄN</t>
        </is>
      </c>
      <c r="E522" t="inlineStr">
        <is>
          <t>LEKSAND</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23226-2023</t>
        </is>
      </c>
      <c r="B523" s="1" t="n">
        <v>45075</v>
      </c>
      <c r="C523" s="1" t="n">
        <v>45840</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23323-2023</t>
        </is>
      </c>
      <c r="B524" s="1" t="n">
        <v>45076</v>
      </c>
      <c r="C524" s="1" t="n">
        <v>45840</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23348-2023</t>
        </is>
      </c>
      <c r="B525" s="1" t="n">
        <v>45076</v>
      </c>
      <c r="C525" s="1" t="n">
        <v>45840</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23509-2023</t>
        </is>
      </c>
      <c r="B526" s="1" t="n">
        <v>45076</v>
      </c>
      <c r="C526" s="1" t="n">
        <v>45840</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23882-2023</t>
        </is>
      </c>
      <c r="B527" s="1" t="n">
        <v>45078</v>
      </c>
      <c r="C527" s="1" t="n">
        <v>45840</v>
      </c>
      <c r="D527" t="inlineStr">
        <is>
          <t>DALARNAS LÄN</t>
        </is>
      </c>
      <c r="E527" t="inlineStr">
        <is>
          <t>LEKSAND</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23910-2023</t>
        </is>
      </c>
      <c r="B528" s="1" t="n">
        <v>45078</v>
      </c>
      <c r="C528" s="1" t="n">
        <v>45840</v>
      </c>
      <c r="D528" t="inlineStr">
        <is>
          <t>DALARNAS LÄN</t>
        </is>
      </c>
      <c r="E528" t="inlineStr">
        <is>
          <t>LEKSAND</t>
        </is>
      </c>
      <c r="G528" t="n">
        <v>3.8</v>
      </c>
      <c r="H528" t="n">
        <v>0</v>
      </c>
      <c r="I528" t="n">
        <v>0</v>
      </c>
      <c r="J528" t="n">
        <v>0</v>
      </c>
      <c r="K528" t="n">
        <v>0</v>
      </c>
      <c r="L528" t="n">
        <v>0</v>
      </c>
      <c r="M528" t="n">
        <v>0</v>
      </c>
      <c r="N528" t="n">
        <v>0</v>
      </c>
      <c r="O528" t="n">
        <v>0</v>
      </c>
      <c r="P528" t="n">
        <v>0</v>
      </c>
      <c r="Q528" t="n">
        <v>0</v>
      </c>
      <c r="R528" s="2" t="inlineStr"/>
    </row>
    <row r="529" ht="15" customHeight="1">
      <c r="A529" t="inlineStr">
        <is>
          <t>A 24728-2023</t>
        </is>
      </c>
      <c r="B529" s="1" t="n">
        <v>45084</v>
      </c>
      <c r="C529" s="1" t="n">
        <v>45840</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24823-2023</t>
        </is>
      </c>
      <c r="B530" s="1" t="n">
        <v>45084</v>
      </c>
      <c r="C530" s="1" t="n">
        <v>45840</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24814-2023</t>
        </is>
      </c>
      <c r="B531" s="1" t="n">
        <v>45084</v>
      </c>
      <c r="C531" s="1" t="n">
        <v>45840</v>
      </c>
      <c r="D531" t="inlineStr">
        <is>
          <t>DALARNAS LÄN</t>
        </is>
      </c>
      <c r="E531" t="inlineStr">
        <is>
          <t>LEKSAND</t>
        </is>
      </c>
      <c r="G531" t="n">
        <v>5.6</v>
      </c>
      <c r="H531" t="n">
        <v>0</v>
      </c>
      <c r="I531" t="n">
        <v>0</v>
      </c>
      <c r="J531" t="n">
        <v>0</v>
      </c>
      <c r="K531" t="n">
        <v>0</v>
      </c>
      <c r="L531" t="n">
        <v>0</v>
      </c>
      <c r="M531" t="n">
        <v>0</v>
      </c>
      <c r="N531" t="n">
        <v>0</v>
      </c>
      <c r="O531" t="n">
        <v>0</v>
      </c>
      <c r="P531" t="n">
        <v>0</v>
      </c>
      <c r="Q531" t="n">
        <v>0</v>
      </c>
      <c r="R531" s="2" t="inlineStr"/>
    </row>
    <row r="532" ht="15" customHeight="1">
      <c r="A532" t="inlineStr">
        <is>
          <t>A 25025-2023</t>
        </is>
      </c>
      <c r="B532" s="1" t="n">
        <v>45086</v>
      </c>
      <c r="C532" s="1" t="n">
        <v>45840</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25067-2023</t>
        </is>
      </c>
      <c r="B533" s="1" t="n">
        <v>45086</v>
      </c>
      <c r="C533" s="1" t="n">
        <v>45840</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25038-2023</t>
        </is>
      </c>
      <c r="B534" s="1" t="n">
        <v>45085</v>
      </c>
      <c r="C534" s="1" t="n">
        <v>45840</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25627-2023</t>
        </is>
      </c>
      <c r="B535" s="1" t="n">
        <v>45089</v>
      </c>
      <c r="C535" s="1" t="n">
        <v>45840</v>
      </c>
      <c r="D535" t="inlineStr">
        <is>
          <t>DALARNAS LÄN</t>
        </is>
      </c>
      <c r="E535" t="inlineStr">
        <is>
          <t>LEKSAND</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25637-2023</t>
        </is>
      </c>
      <c r="B536" s="1" t="n">
        <v>45089</v>
      </c>
      <c r="C536" s="1" t="n">
        <v>45840</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25652-2023</t>
        </is>
      </c>
      <c r="B537" s="1" t="n">
        <v>45089</v>
      </c>
      <c r="C537" s="1" t="n">
        <v>45840</v>
      </c>
      <c r="D537" t="inlineStr">
        <is>
          <t>DALARNAS LÄN</t>
        </is>
      </c>
      <c r="E537" t="inlineStr">
        <is>
          <t>LEKSAND</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25715-2023</t>
        </is>
      </c>
      <c r="B538" s="1" t="n">
        <v>45090</v>
      </c>
      <c r="C538" s="1" t="n">
        <v>45840</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25907-2023</t>
        </is>
      </c>
      <c r="B539" s="1" t="n">
        <v>45090</v>
      </c>
      <c r="C539" s="1" t="n">
        <v>45840</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26742-2023</t>
        </is>
      </c>
      <c r="B540" s="1" t="n">
        <v>45090</v>
      </c>
      <c r="C540" s="1" t="n">
        <v>45840</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26038-2023</t>
        </is>
      </c>
      <c r="B541" s="1" t="n">
        <v>45091</v>
      </c>
      <c r="C541" s="1" t="n">
        <v>45840</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26044-2023</t>
        </is>
      </c>
      <c r="B542" s="1" t="n">
        <v>45091</v>
      </c>
      <c r="C542" s="1" t="n">
        <v>45840</v>
      </c>
      <c r="D542" t="inlineStr">
        <is>
          <t>DALARNAS LÄN</t>
        </is>
      </c>
      <c r="E542" t="inlineStr">
        <is>
          <t>LEKSAND</t>
        </is>
      </c>
      <c r="G542" t="n">
        <v>5.3</v>
      </c>
      <c r="H542" t="n">
        <v>0</v>
      </c>
      <c r="I542" t="n">
        <v>0</v>
      </c>
      <c r="J542" t="n">
        <v>0</v>
      </c>
      <c r="K542" t="n">
        <v>0</v>
      </c>
      <c r="L542" t="n">
        <v>0</v>
      </c>
      <c r="M542" t="n">
        <v>0</v>
      </c>
      <c r="N542" t="n">
        <v>0</v>
      </c>
      <c r="O542" t="n">
        <v>0</v>
      </c>
      <c r="P542" t="n">
        <v>0</v>
      </c>
      <c r="Q542" t="n">
        <v>0</v>
      </c>
      <c r="R542" s="2" t="inlineStr"/>
    </row>
    <row r="543" ht="15" customHeight="1">
      <c r="A543" t="inlineStr">
        <is>
          <t>A 26107-2023</t>
        </is>
      </c>
      <c r="B543" s="1" t="n">
        <v>45091</v>
      </c>
      <c r="C543" s="1" t="n">
        <v>45840</v>
      </c>
      <c r="D543" t="inlineStr">
        <is>
          <t>DALARNAS LÄN</t>
        </is>
      </c>
      <c r="E543" t="inlineStr">
        <is>
          <t>LEKSAND</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26847-2023</t>
        </is>
      </c>
      <c r="B544" s="1" t="n">
        <v>45093</v>
      </c>
      <c r="C544" s="1" t="n">
        <v>45840</v>
      </c>
      <c r="D544" t="inlineStr">
        <is>
          <t>DALARNAS LÄN</t>
        </is>
      </c>
      <c r="E544" t="inlineStr">
        <is>
          <t>LEKSAND</t>
        </is>
      </c>
      <c r="G544" t="n">
        <v>3.9</v>
      </c>
      <c r="H544" t="n">
        <v>0</v>
      </c>
      <c r="I544" t="n">
        <v>0</v>
      </c>
      <c r="J544" t="n">
        <v>0</v>
      </c>
      <c r="K544" t="n">
        <v>0</v>
      </c>
      <c r="L544" t="n">
        <v>0</v>
      </c>
      <c r="M544" t="n">
        <v>0</v>
      </c>
      <c r="N544" t="n">
        <v>0</v>
      </c>
      <c r="O544" t="n">
        <v>0</v>
      </c>
      <c r="P544" t="n">
        <v>0</v>
      </c>
      <c r="Q544" t="n">
        <v>0</v>
      </c>
      <c r="R544" s="2" t="inlineStr"/>
    </row>
    <row r="545" ht="15" customHeight="1">
      <c r="A545" t="inlineStr">
        <is>
          <t>A 26957-2023</t>
        </is>
      </c>
      <c r="B545" s="1" t="n">
        <v>45093</v>
      </c>
      <c r="C545" s="1" t="n">
        <v>45840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26924-2023</t>
        </is>
      </c>
      <c r="B546" s="1" t="n">
        <v>45093</v>
      </c>
      <c r="C546" s="1" t="n">
        <v>45840</v>
      </c>
      <c r="D546" t="inlineStr">
        <is>
          <t>DALARNAS LÄN</t>
        </is>
      </c>
      <c r="E546" t="inlineStr">
        <is>
          <t>LEKSAND</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26959-2023</t>
        </is>
      </c>
      <c r="B547" s="1" t="n">
        <v>45093</v>
      </c>
      <c r="C547" s="1" t="n">
        <v>45840</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26931-2023</t>
        </is>
      </c>
      <c r="B548" s="1" t="n">
        <v>45093</v>
      </c>
      <c r="C548" s="1" t="n">
        <v>45840</v>
      </c>
      <c r="D548" t="inlineStr">
        <is>
          <t>DALARNAS LÄN</t>
        </is>
      </c>
      <c r="E548" t="inlineStr">
        <is>
          <t>LEKSAND</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26946-2023</t>
        </is>
      </c>
      <c r="B549" s="1" t="n">
        <v>45093</v>
      </c>
      <c r="C549" s="1" t="n">
        <v>45840</v>
      </c>
      <c r="D549" t="inlineStr">
        <is>
          <t>DALARNAS LÄN</t>
        </is>
      </c>
      <c r="E549" t="inlineStr">
        <is>
          <t>LEKSAND</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27047-2023</t>
        </is>
      </c>
      <c r="B550" s="1" t="n">
        <v>45095</v>
      </c>
      <c r="C550" s="1" t="n">
        <v>45840</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27055-2023</t>
        </is>
      </c>
      <c r="B551" s="1" t="n">
        <v>45095</v>
      </c>
      <c r="C551" s="1" t="n">
        <v>45840</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c r="U551">
        <f>HYPERLINK("https://klasma.github.io/Logging_2029/knärot/A 27055-2023 karta knärot.png", "A 27055-2023")</f>
        <v/>
      </c>
      <c r="V551">
        <f>HYPERLINK("https://klasma.github.io/Logging_2029/klagomål/A 27055-2023 FSC-klagomål.docx", "A 27055-2023")</f>
        <v/>
      </c>
      <c r="W551">
        <f>HYPERLINK("https://klasma.github.io/Logging_2029/klagomålsmail/A 27055-2023 FSC-klagomål mail.docx", "A 27055-2023")</f>
        <v/>
      </c>
      <c r="X551">
        <f>HYPERLINK("https://klasma.github.io/Logging_2029/tillsyn/A 27055-2023 tillsynsbegäran.docx", "A 27055-2023")</f>
        <v/>
      </c>
      <c r="Y551">
        <f>HYPERLINK("https://klasma.github.io/Logging_2029/tillsynsmail/A 27055-2023 tillsynsbegäran mail.docx", "A 27055-2023")</f>
        <v/>
      </c>
    </row>
    <row r="552" ht="15" customHeight="1">
      <c r="A552" t="inlineStr">
        <is>
          <t>A 27048-2023</t>
        </is>
      </c>
      <c r="B552" s="1" t="n">
        <v>45095</v>
      </c>
      <c r="C552" s="1" t="n">
        <v>45840</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27046-2023</t>
        </is>
      </c>
      <c r="B553" s="1" t="n">
        <v>45095</v>
      </c>
      <c r="C553" s="1" t="n">
        <v>45840</v>
      </c>
      <c r="D553" t="inlineStr">
        <is>
          <t>DALARNAS LÄN</t>
        </is>
      </c>
      <c r="E553" t="inlineStr">
        <is>
          <t>LEKSAND</t>
        </is>
      </c>
      <c r="G553" t="n">
        <v>4</v>
      </c>
      <c r="H553" t="n">
        <v>0</v>
      </c>
      <c r="I553" t="n">
        <v>0</v>
      </c>
      <c r="J553" t="n">
        <v>0</v>
      </c>
      <c r="K553" t="n">
        <v>0</v>
      </c>
      <c r="L553" t="n">
        <v>0</v>
      </c>
      <c r="M553" t="n">
        <v>0</v>
      </c>
      <c r="N553" t="n">
        <v>0</v>
      </c>
      <c r="O553" t="n">
        <v>0</v>
      </c>
      <c r="P553" t="n">
        <v>0</v>
      </c>
      <c r="Q553" t="n">
        <v>0</v>
      </c>
      <c r="R553" s="2" t="inlineStr"/>
    </row>
    <row r="554" ht="15" customHeight="1">
      <c r="A554" t="inlineStr">
        <is>
          <t>A 27054-2023</t>
        </is>
      </c>
      <c r="B554" s="1" t="n">
        <v>45095</v>
      </c>
      <c r="C554" s="1" t="n">
        <v>45840</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45840</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27348-2023</t>
        </is>
      </c>
      <c r="B556" s="1" t="n">
        <v>45096</v>
      </c>
      <c r="C556" s="1" t="n">
        <v>45840</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27511-2023</t>
        </is>
      </c>
      <c r="B557" s="1" t="n">
        <v>45097</v>
      </c>
      <c r="C557" s="1" t="n">
        <v>45840</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45840</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27543-2023</t>
        </is>
      </c>
      <c r="B559" s="1" t="n">
        <v>45097</v>
      </c>
      <c r="C559" s="1" t="n">
        <v>45840</v>
      </c>
      <c r="D559" t="inlineStr">
        <is>
          <t>DALARNAS LÄN</t>
        </is>
      </c>
      <c r="E559" t="inlineStr">
        <is>
          <t>LEKSAND</t>
        </is>
      </c>
      <c r="G559" t="n">
        <v>3.4</v>
      </c>
      <c r="H559" t="n">
        <v>0</v>
      </c>
      <c r="I559" t="n">
        <v>0</v>
      </c>
      <c r="J559" t="n">
        <v>0</v>
      </c>
      <c r="K559" t="n">
        <v>0</v>
      </c>
      <c r="L559" t="n">
        <v>0</v>
      </c>
      <c r="M559" t="n">
        <v>0</v>
      </c>
      <c r="N559" t="n">
        <v>0</v>
      </c>
      <c r="O559" t="n">
        <v>0</v>
      </c>
      <c r="P559" t="n">
        <v>0</v>
      </c>
      <c r="Q559" t="n">
        <v>0</v>
      </c>
      <c r="R559" s="2" t="inlineStr"/>
    </row>
    <row r="560" ht="15" customHeight="1">
      <c r="A560" t="inlineStr">
        <is>
          <t>A 27791-2023</t>
        </is>
      </c>
      <c r="B560" s="1" t="n">
        <v>45098</v>
      </c>
      <c r="C560" s="1" t="n">
        <v>45840</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28103-2023</t>
        </is>
      </c>
      <c r="B561" s="1" t="n">
        <v>45099</v>
      </c>
      <c r="C561" s="1" t="n">
        <v>45840</v>
      </c>
      <c r="D561" t="inlineStr">
        <is>
          <t>DALARNAS LÄN</t>
        </is>
      </c>
      <c r="E561" t="inlineStr">
        <is>
          <t>LEKSAND</t>
        </is>
      </c>
      <c r="F561" t="inlineStr">
        <is>
          <t>Bergvik skog väst AB</t>
        </is>
      </c>
      <c r="G561" t="n">
        <v>15.3</v>
      </c>
      <c r="H561" t="n">
        <v>0</v>
      </c>
      <c r="I561" t="n">
        <v>0</v>
      </c>
      <c r="J561" t="n">
        <v>0</v>
      </c>
      <c r="K561" t="n">
        <v>0</v>
      </c>
      <c r="L561" t="n">
        <v>0</v>
      </c>
      <c r="M561" t="n">
        <v>0</v>
      </c>
      <c r="N561" t="n">
        <v>0</v>
      </c>
      <c r="O561" t="n">
        <v>0</v>
      </c>
      <c r="P561" t="n">
        <v>0</v>
      </c>
      <c r="Q561" t="n">
        <v>0</v>
      </c>
      <c r="R561" s="2" t="inlineStr"/>
    </row>
    <row r="562" ht="15" customHeight="1">
      <c r="A562" t="inlineStr">
        <is>
          <t>A 28108-2023</t>
        </is>
      </c>
      <c r="B562" s="1" t="n">
        <v>45099</v>
      </c>
      <c r="C562" s="1" t="n">
        <v>45840</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45840</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28592-2023</t>
        </is>
      </c>
      <c r="B564" s="1" t="n">
        <v>45103</v>
      </c>
      <c r="C564" s="1" t="n">
        <v>45840</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28633-2023</t>
        </is>
      </c>
      <c r="B565" s="1" t="n">
        <v>45103</v>
      </c>
      <c r="C565" s="1" t="n">
        <v>45840</v>
      </c>
      <c r="D565" t="inlineStr">
        <is>
          <t>DALARNAS LÄN</t>
        </is>
      </c>
      <c r="E565" t="inlineStr">
        <is>
          <t>LEKSAND</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28630-2023</t>
        </is>
      </c>
      <c r="B566" s="1" t="n">
        <v>45103</v>
      </c>
      <c r="C566" s="1" t="n">
        <v>45840</v>
      </c>
      <c r="D566" t="inlineStr">
        <is>
          <t>DALARNAS LÄN</t>
        </is>
      </c>
      <c r="E566" t="inlineStr">
        <is>
          <t>LEKSAND</t>
        </is>
      </c>
      <c r="F566" t="inlineStr">
        <is>
          <t>Bergvik skog väst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28946-2023</t>
        </is>
      </c>
      <c r="B567" s="1" t="n">
        <v>45104</v>
      </c>
      <c r="C567" s="1" t="n">
        <v>45840</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28935-2023</t>
        </is>
      </c>
      <c r="B568" s="1" t="n">
        <v>45104</v>
      </c>
      <c r="C568" s="1" t="n">
        <v>45840</v>
      </c>
      <c r="D568" t="inlineStr">
        <is>
          <t>DALARNAS LÄN</t>
        </is>
      </c>
      <c r="E568" t="inlineStr">
        <is>
          <t>LEKSAND</t>
        </is>
      </c>
      <c r="G568" t="n">
        <v>2.6</v>
      </c>
      <c r="H568" t="n">
        <v>0</v>
      </c>
      <c r="I568" t="n">
        <v>0</v>
      </c>
      <c r="J568" t="n">
        <v>0</v>
      </c>
      <c r="K568" t="n">
        <v>0</v>
      </c>
      <c r="L568" t="n">
        <v>0</v>
      </c>
      <c r="M568" t="n">
        <v>0</v>
      </c>
      <c r="N568" t="n">
        <v>0</v>
      </c>
      <c r="O568" t="n">
        <v>0</v>
      </c>
      <c r="P568" t="n">
        <v>0</v>
      </c>
      <c r="Q568" t="n">
        <v>0</v>
      </c>
      <c r="R568" s="2" t="inlineStr"/>
    </row>
    <row r="569" ht="15" customHeight="1">
      <c r="A569" t="inlineStr">
        <is>
          <t>A 28965-2023</t>
        </is>
      </c>
      <c r="B569" s="1" t="n">
        <v>45104</v>
      </c>
      <c r="C569" s="1" t="n">
        <v>45840</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31401-2023</t>
        </is>
      </c>
      <c r="B570" s="1" t="n">
        <v>45104</v>
      </c>
      <c r="C570" s="1" t="n">
        <v>45840</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28921-2023</t>
        </is>
      </c>
      <c r="B571" s="1" t="n">
        <v>45104</v>
      </c>
      <c r="C571" s="1" t="n">
        <v>45840</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31422-2023</t>
        </is>
      </c>
      <c r="B572" s="1" t="n">
        <v>45104</v>
      </c>
      <c r="C572" s="1" t="n">
        <v>45840</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29122-2023</t>
        </is>
      </c>
      <c r="B573" s="1" t="n">
        <v>45105</v>
      </c>
      <c r="C573" s="1" t="n">
        <v>45840</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29139-2023</t>
        </is>
      </c>
      <c r="B574" s="1" t="n">
        <v>45105</v>
      </c>
      <c r="C574" s="1" t="n">
        <v>45840</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29222-2023</t>
        </is>
      </c>
      <c r="B575" s="1" t="n">
        <v>45105</v>
      </c>
      <c r="C575" s="1" t="n">
        <v>45840</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29916-2023</t>
        </is>
      </c>
      <c r="B576" s="1" t="n">
        <v>45107</v>
      </c>
      <c r="C576" s="1" t="n">
        <v>45840</v>
      </c>
      <c r="D576" t="inlineStr">
        <is>
          <t>DALARNAS LÄN</t>
        </is>
      </c>
      <c r="E576" t="inlineStr">
        <is>
          <t>LEKSAND</t>
        </is>
      </c>
      <c r="F576" t="inlineStr">
        <is>
          <t>Bergvik skog väst AB</t>
        </is>
      </c>
      <c r="G576" t="n">
        <v>9.4</v>
      </c>
      <c r="H576" t="n">
        <v>0</v>
      </c>
      <c r="I576" t="n">
        <v>0</v>
      </c>
      <c r="J576" t="n">
        <v>0</v>
      </c>
      <c r="K576" t="n">
        <v>0</v>
      </c>
      <c r="L576" t="n">
        <v>0</v>
      </c>
      <c r="M576" t="n">
        <v>0</v>
      </c>
      <c r="N576" t="n">
        <v>0</v>
      </c>
      <c r="O576" t="n">
        <v>0</v>
      </c>
      <c r="P576" t="n">
        <v>0</v>
      </c>
      <c r="Q576" t="n">
        <v>0</v>
      </c>
      <c r="R576" s="2" t="inlineStr"/>
    </row>
    <row r="577" ht="15" customHeight="1">
      <c r="A577" t="inlineStr">
        <is>
          <t>A 29881-2023</t>
        </is>
      </c>
      <c r="B577" s="1" t="n">
        <v>45107</v>
      </c>
      <c r="C577" s="1" t="n">
        <v>45840</v>
      </c>
      <c r="D577" t="inlineStr">
        <is>
          <t>DALARNAS LÄN</t>
        </is>
      </c>
      <c r="E577" t="inlineStr">
        <is>
          <t>LEKSAND</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29694-2023</t>
        </is>
      </c>
      <c r="B578" s="1" t="n">
        <v>45107</v>
      </c>
      <c r="C578" s="1" t="n">
        <v>45840</v>
      </c>
      <c r="D578" t="inlineStr">
        <is>
          <t>DALARNAS LÄN</t>
        </is>
      </c>
      <c r="E578" t="inlineStr">
        <is>
          <t>LEKSAND</t>
        </is>
      </c>
      <c r="G578" t="n">
        <v>4.8</v>
      </c>
      <c r="H578" t="n">
        <v>0</v>
      </c>
      <c r="I578" t="n">
        <v>0</v>
      </c>
      <c r="J578" t="n">
        <v>0</v>
      </c>
      <c r="K578" t="n">
        <v>0</v>
      </c>
      <c r="L578" t="n">
        <v>0</v>
      </c>
      <c r="M578" t="n">
        <v>0</v>
      </c>
      <c r="N578" t="n">
        <v>0</v>
      </c>
      <c r="O578" t="n">
        <v>0</v>
      </c>
      <c r="P578" t="n">
        <v>0</v>
      </c>
      <c r="Q578" t="n">
        <v>0</v>
      </c>
      <c r="R578" s="2" t="inlineStr"/>
    </row>
    <row r="579" ht="15" customHeight="1">
      <c r="A579" t="inlineStr">
        <is>
          <t>A 32261-2023</t>
        </is>
      </c>
      <c r="B579" s="1" t="n">
        <v>45108</v>
      </c>
      <c r="C579" s="1" t="n">
        <v>45840</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30000-2023</t>
        </is>
      </c>
      <c r="B580" s="1" t="n">
        <v>45109</v>
      </c>
      <c r="C580" s="1" t="n">
        <v>45840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30082-2023</t>
        </is>
      </c>
      <c r="B581" s="1" t="n">
        <v>45110</v>
      </c>
      <c r="C581" s="1" t="n">
        <v>45840</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45840</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30135-2023</t>
        </is>
      </c>
      <c r="B583" s="1" t="n">
        <v>45110</v>
      </c>
      <c r="C583" s="1" t="n">
        <v>45840</v>
      </c>
      <c r="D583" t="inlineStr">
        <is>
          <t>DALARNAS LÄN</t>
        </is>
      </c>
      <c r="E583" t="inlineStr">
        <is>
          <t>LEKSAND</t>
        </is>
      </c>
      <c r="F583" t="inlineStr">
        <is>
          <t>Bergvik skog väst AB</t>
        </is>
      </c>
      <c r="G583" t="n">
        <v>8.4</v>
      </c>
      <c r="H583" t="n">
        <v>0</v>
      </c>
      <c r="I583" t="n">
        <v>0</v>
      </c>
      <c r="J583" t="n">
        <v>0</v>
      </c>
      <c r="K583" t="n">
        <v>0</v>
      </c>
      <c r="L583" t="n">
        <v>0</v>
      </c>
      <c r="M583" t="n">
        <v>0</v>
      </c>
      <c r="N583" t="n">
        <v>0</v>
      </c>
      <c r="O583" t="n">
        <v>0</v>
      </c>
      <c r="P583" t="n">
        <v>0</v>
      </c>
      <c r="Q583" t="n">
        <v>0</v>
      </c>
      <c r="R583" s="2" t="inlineStr"/>
    </row>
    <row r="584" ht="15" customHeight="1">
      <c r="A584" t="inlineStr">
        <is>
          <t>A 30195-2023</t>
        </is>
      </c>
      <c r="B584" s="1" t="n">
        <v>45110</v>
      </c>
      <c r="C584" s="1" t="n">
        <v>45840</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30196-2023</t>
        </is>
      </c>
      <c r="B585" s="1" t="n">
        <v>45110</v>
      </c>
      <c r="C585" s="1" t="n">
        <v>45840</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45840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30523-2023</t>
        </is>
      </c>
      <c r="B587" s="1" t="n">
        <v>45111</v>
      </c>
      <c r="C587" s="1" t="n">
        <v>45840</v>
      </c>
      <c r="D587" t="inlineStr">
        <is>
          <t>DALARNAS LÄN</t>
        </is>
      </c>
      <c r="E587" t="inlineStr">
        <is>
          <t>LEKSAND</t>
        </is>
      </c>
      <c r="G587" t="n">
        <v>5.6</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45840</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30611-2023</t>
        </is>
      </c>
      <c r="B589" s="1" t="n">
        <v>45112</v>
      </c>
      <c r="C589" s="1" t="n">
        <v>45840</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30700-2023</t>
        </is>
      </c>
      <c r="B590" s="1" t="n">
        <v>45112</v>
      </c>
      <c r="C590" s="1" t="n">
        <v>45840</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30654-2023</t>
        </is>
      </c>
      <c r="B591" s="1" t="n">
        <v>45112</v>
      </c>
      <c r="C591" s="1" t="n">
        <v>45840</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30880-2023</t>
        </is>
      </c>
      <c r="B592" s="1" t="n">
        <v>45113</v>
      </c>
      <c r="C592" s="1" t="n">
        <v>45840</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30992-2023</t>
        </is>
      </c>
      <c r="B593" s="1" t="n">
        <v>45113</v>
      </c>
      <c r="C593" s="1" t="n">
        <v>45840</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30994-2023</t>
        </is>
      </c>
      <c r="B594" s="1" t="n">
        <v>45113</v>
      </c>
      <c r="C594" s="1" t="n">
        <v>45840</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30998-2023</t>
        </is>
      </c>
      <c r="B595" s="1" t="n">
        <v>45113</v>
      </c>
      <c r="C595" s="1" t="n">
        <v>45840</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32989-2023</t>
        </is>
      </c>
      <c r="B596" s="1" t="n">
        <v>45113</v>
      </c>
      <c r="C596" s="1" t="n">
        <v>45840</v>
      </c>
      <c r="D596" t="inlineStr">
        <is>
          <t>DALARNAS LÄN</t>
        </is>
      </c>
      <c r="E596" t="inlineStr">
        <is>
          <t>LEKSAND</t>
        </is>
      </c>
      <c r="G596" t="n">
        <v>4.4</v>
      </c>
      <c r="H596" t="n">
        <v>0</v>
      </c>
      <c r="I596" t="n">
        <v>0</v>
      </c>
      <c r="J596" t="n">
        <v>0</v>
      </c>
      <c r="K596" t="n">
        <v>0</v>
      </c>
      <c r="L596" t="n">
        <v>0</v>
      </c>
      <c r="M596" t="n">
        <v>0</v>
      </c>
      <c r="N596" t="n">
        <v>0</v>
      </c>
      <c r="O596" t="n">
        <v>0</v>
      </c>
      <c r="P596" t="n">
        <v>0</v>
      </c>
      <c r="Q596" t="n">
        <v>0</v>
      </c>
      <c r="R596" s="2" t="inlineStr"/>
    </row>
    <row r="597" ht="15" customHeight="1">
      <c r="A597" t="inlineStr">
        <is>
          <t>A 31255-2023</t>
        </is>
      </c>
      <c r="B597" s="1" t="n">
        <v>45114</v>
      </c>
      <c r="C597" s="1" t="n">
        <v>45840</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31250-2023</t>
        </is>
      </c>
      <c r="B598" s="1" t="n">
        <v>45114</v>
      </c>
      <c r="C598" s="1" t="n">
        <v>45840</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45840</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31761-2023</t>
        </is>
      </c>
      <c r="B600" s="1" t="n">
        <v>45118</v>
      </c>
      <c r="C600" s="1" t="n">
        <v>45840</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32307-2023</t>
        </is>
      </c>
      <c r="B601" s="1" t="n">
        <v>45120</v>
      </c>
      <c r="C601" s="1" t="n">
        <v>45840</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32311-2023</t>
        </is>
      </c>
      <c r="B602" s="1" t="n">
        <v>45120</v>
      </c>
      <c r="C602" s="1" t="n">
        <v>45840</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32544-2023</t>
        </is>
      </c>
      <c r="B603" s="1" t="n">
        <v>45121</v>
      </c>
      <c r="C603" s="1" t="n">
        <v>45840</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32666-2023</t>
        </is>
      </c>
      <c r="B604" s="1" t="n">
        <v>45121</v>
      </c>
      <c r="C604" s="1" t="n">
        <v>45840</v>
      </c>
      <c r="D604" t="inlineStr">
        <is>
          <t>DALARNAS LÄN</t>
        </is>
      </c>
      <c r="E604" t="inlineStr">
        <is>
          <t>LEKSAND</t>
        </is>
      </c>
      <c r="G604" t="n">
        <v>9.9</v>
      </c>
      <c r="H604" t="n">
        <v>0</v>
      </c>
      <c r="I604" t="n">
        <v>0</v>
      </c>
      <c r="J604" t="n">
        <v>0</v>
      </c>
      <c r="K604" t="n">
        <v>0</v>
      </c>
      <c r="L604" t="n">
        <v>0</v>
      </c>
      <c r="M604" t="n">
        <v>0</v>
      </c>
      <c r="N604" t="n">
        <v>0</v>
      </c>
      <c r="O604" t="n">
        <v>0</v>
      </c>
      <c r="P604" t="n">
        <v>0</v>
      </c>
      <c r="Q604" t="n">
        <v>0</v>
      </c>
      <c r="R604" s="2" t="inlineStr"/>
    </row>
    <row r="605" ht="15" customHeight="1">
      <c r="A605" t="inlineStr">
        <is>
          <t>A 33788-2023</t>
        </is>
      </c>
      <c r="B605" s="1" t="n">
        <v>45121</v>
      </c>
      <c r="C605" s="1" t="n">
        <v>45840</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33001-2023</t>
        </is>
      </c>
      <c r="B606" s="1" t="n">
        <v>45125</v>
      </c>
      <c r="C606" s="1" t="n">
        <v>45840</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33308-2023</t>
        </is>
      </c>
      <c r="B607" s="1" t="n">
        <v>45127</v>
      </c>
      <c r="C607" s="1" t="n">
        <v>45840</v>
      </c>
      <c r="D607" t="inlineStr">
        <is>
          <t>DALARNAS LÄN</t>
        </is>
      </c>
      <c r="E607" t="inlineStr">
        <is>
          <t>LEKSAND</t>
        </is>
      </c>
      <c r="G607" t="n">
        <v>3.2</v>
      </c>
      <c r="H607" t="n">
        <v>0</v>
      </c>
      <c r="I607" t="n">
        <v>0</v>
      </c>
      <c r="J607" t="n">
        <v>0</v>
      </c>
      <c r="K607" t="n">
        <v>0</v>
      </c>
      <c r="L607" t="n">
        <v>0</v>
      </c>
      <c r="M607" t="n">
        <v>0</v>
      </c>
      <c r="N607" t="n">
        <v>0</v>
      </c>
      <c r="O607" t="n">
        <v>0</v>
      </c>
      <c r="P607" t="n">
        <v>0</v>
      </c>
      <c r="Q607" t="n">
        <v>0</v>
      </c>
      <c r="R607" s="2" t="inlineStr"/>
    </row>
    <row r="608" ht="15" customHeight="1">
      <c r="A608" t="inlineStr">
        <is>
          <t>A 33318-2023</t>
        </is>
      </c>
      <c r="B608" s="1" t="n">
        <v>45127</v>
      </c>
      <c r="C608" s="1" t="n">
        <v>45840</v>
      </c>
      <c r="D608" t="inlineStr">
        <is>
          <t>DALARNAS LÄN</t>
        </is>
      </c>
      <c r="E608" t="inlineStr">
        <is>
          <t>LEKSAND</t>
        </is>
      </c>
      <c r="G608" t="n">
        <v>5.5</v>
      </c>
      <c r="H608" t="n">
        <v>0</v>
      </c>
      <c r="I608" t="n">
        <v>0</v>
      </c>
      <c r="J608" t="n">
        <v>0</v>
      </c>
      <c r="K608" t="n">
        <v>0</v>
      </c>
      <c r="L608" t="n">
        <v>0</v>
      </c>
      <c r="M608" t="n">
        <v>0</v>
      </c>
      <c r="N608" t="n">
        <v>0</v>
      </c>
      <c r="O608" t="n">
        <v>0</v>
      </c>
      <c r="P608" t="n">
        <v>0</v>
      </c>
      <c r="Q608" t="n">
        <v>0</v>
      </c>
      <c r="R608" s="2" t="inlineStr"/>
    </row>
    <row r="609" ht="15" customHeight="1">
      <c r="A609" t="inlineStr">
        <is>
          <t>A 33306-2023</t>
        </is>
      </c>
      <c r="B609" s="1" t="n">
        <v>45127</v>
      </c>
      <c r="C609" s="1" t="n">
        <v>45840</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33312-2023</t>
        </is>
      </c>
      <c r="B610" s="1" t="n">
        <v>45127</v>
      </c>
      <c r="C610" s="1" t="n">
        <v>45840</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33316-2023</t>
        </is>
      </c>
      <c r="B611" s="1" t="n">
        <v>45127</v>
      </c>
      <c r="C611" s="1" t="n">
        <v>45840</v>
      </c>
      <c r="D611" t="inlineStr">
        <is>
          <t>DALARNAS LÄN</t>
        </is>
      </c>
      <c r="E611" t="inlineStr">
        <is>
          <t>LEKSAND</t>
        </is>
      </c>
      <c r="G611" t="n">
        <v>8.9</v>
      </c>
      <c r="H611" t="n">
        <v>0</v>
      </c>
      <c r="I611" t="n">
        <v>0</v>
      </c>
      <c r="J611" t="n">
        <v>0</v>
      </c>
      <c r="K611" t="n">
        <v>0</v>
      </c>
      <c r="L611" t="n">
        <v>0</v>
      </c>
      <c r="M611" t="n">
        <v>0</v>
      </c>
      <c r="N611" t="n">
        <v>0</v>
      </c>
      <c r="O611" t="n">
        <v>0</v>
      </c>
      <c r="P611" t="n">
        <v>0</v>
      </c>
      <c r="Q611" t="n">
        <v>0</v>
      </c>
      <c r="R611" s="2" t="inlineStr"/>
    </row>
    <row r="612" ht="15" customHeight="1">
      <c r="A612" t="inlineStr">
        <is>
          <t>A 33310-2023</t>
        </is>
      </c>
      <c r="B612" s="1" t="n">
        <v>45127</v>
      </c>
      <c r="C612" s="1" t="n">
        <v>45840</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v>
      </c>
      <c r="C613" s="1" t="n">
        <v>45840</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33480-2023</t>
        </is>
      </c>
      <c r="B614" s="1" t="n">
        <v>45131</v>
      </c>
      <c r="C614" s="1" t="n">
        <v>45840</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33462-2023</t>
        </is>
      </c>
      <c r="B615" s="1" t="n">
        <v>45131</v>
      </c>
      <c r="C615" s="1" t="n">
        <v>45840</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33463-2023</t>
        </is>
      </c>
      <c r="B616" s="1" t="n">
        <v>45131</v>
      </c>
      <c r="C616" s="1" t="n">
        <v>45840</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33566-2023</t>
        </is>
      </c>
      <c r="B617" s="1" t="n">
        <v>45131</v>
      </c>
      <c r="C617" s="1" t="n">
        <v>45840</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33674-2023</t>
        </is>
      </c>
      <c r="B618" s="1" t="n">
        <v>45132</v>
      </c>
      <c r="C618" s="1" t="n">
        <v>45840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34294-2023</t>
        </is>
      </c>
      <c r="B619" s="1" t="n">
        <v>45138</v>
      </c>
      <c r="C619" s="1" t="n">
        <v>45840</v>
      </c>
      <c r="D619" t="inlineStr">
        <is>
          <t>DALARNAS LÄN</t>
        </is>
      </c>
      <c r="E619" t="inlineStr">
        <is>
          <t>LEKSAND</t>
        </is>
      </c>
      <c r="G619" t="n">
        <v>6.1</v>
      </c>
      <c r="H619" t="n">
        <v>0</v>
      </c>
      <c r="I619" t="n">
        <v>0</v>
      </c>
      <c r="J619" t="n">
        <v>0</v>
      </c>
      <c r="K619" t="n">
        <v>0</v>
      </c>
      <c r="L619" t="n">
        <v>0</v>
      </c>
      <c r="M619" t="n">
        <v>0</v>
      </c>
      <c r="N619" t="n">
        <v>0</v>
      </c>
      <c r="O619" t="n">
        <v>0</v>
      </c>
      <c r="P619" t="n">
        <v>0</v>
      </c>
      <c r="Q619" t="n">
        <v>0</v>
      </c>
      <c r="R619" s="2" t="inlineStr"/>
    </row>
    <row r="620" ht="15" customHeight="1">
      <c r="A620" t="inlineStr">
        <is>
          <t>A 35228-2023</t>
        </is>
      </c>
      <c r="B620" s="1" t="n">
        <v>45145</v>
      </c>
      <c r="C620" s="1" t="n">
        <v>45840</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35173-2023</t>
        </is>
      </c>
      <c r="B621" s="1" t="n">
        <v>45145</v>
      </c>
      <c r="C621" s="1" t="n">
        <v>45840</v>
      </c>
      <c r="D621" t="inlineStr">
        <is>
          <t>DALARNAS LÄN</t>
        </is>
      </c>
      <c r="E621" t="inlineStr">
        <is>
          <t>LEKSAND</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35189-2023</t>
        </is>
      </c>
      <c r="B622" s="1" t="n">
        <v>45145</v>
      </c>
      <c r="C622" s="1" t="n">
        <v>45840</v>
      </c>
      <c r="D622" t="inlineStr">
        <is>
          <t>DALARNAS LÄN</t>
        </is>
      </c>
      <c r="E622" t="inlineStr">
        <is>
          <t>LEKSAND</t>
        </is>
      </c>
      <c r="G622" t="n">
        <v>3.7</v>
      </c>
      <c r="H622" t="n">
        <v>0</v>
      </c>
      <c r="I622" t="n">
        <v>0</v>
      </c>
      <c r="J622" t="n">
        <v>0</v>
      </c>
      <c r="K622" t="n">
        <v>0</v>
      </c>
      <c r="L622" t="n">
        <v>0</v>
      </c>
      <c r="M622" t="n">
        <v>0</v>
      </c>
      <c r="N622" t="n">
        <v>0</v>
      </c>
      <c r="O622" t="n">
        <v>0</v>
      </c>
      <c r="P622" t="n">
        <v>0</v>
      </c>
      <c r="Q622" t="n">
        <v>0</v>
      </c>
      <c r="R622" s="2" t="inlineStr"/>
    </row>
    <row r="623" ht="15" customHeight="1">
      <c r="A623" t="inlineStr">
        <is>
          <t>A 36261-2023</t>
        </is>
      </c>
      <c r="B623" s="1" t="n">
        <v>45151</v>
      </c>
      <c r="C623" s="1" t="n">
        <v>45840</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36262-2023</t>
        </is>
      </c>
      <c r="B624" s="1" t="n">
        <v>45151</v>
      </c>
      <c r="C624" s="1" t="n">
        <v>45840</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36444-2023</t>
        </is>
      </c>
      <c r="B625" s="1" t="n">
        <v>45152</v>
      </c>
      <c r="C625" s="1" t="n">
        <v>45840</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36450-2023</t>
        </is>
      </c>
      <c r="B626" s="1" t="n">
        <v>45152</v>
      </c>
      <c r="C626" s="1" t="n">
        <v>45840</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36515-2023</t>
        </is>
      </c>
      <c r="B627" s="1" t="n">
        <v>45153</v>
      </c>
      <c r="C627" s="1" t="n">
        <v>45840</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36932-2023</t>
        </is>
      </c>
      <c r="B628" s="1" t="n">
        <v>45154</v>
      </c>
      <c r="C628" s="1" t="n">
        <v>45840</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37397-2023</t>
        </is>
      </c>
      <c r="B629" s="1" t="n">
        <v>45156</v>
      </c>
      <c r="C629" s="1" t="n">
        <v>45840</v>
      </c>
      <c r="D629" t="inlineStr">
        <is>
          <t>DALARNAS LÄN</t>
        </is>
      </c>
      <c r="E629" t="inlineStr">
        <is>
          <t>LEKSAND</t>
        </is>
      </c>
      <c r="F629" t="inlineStr">
        <is>
          <t>Kommuner</t>
        </is>
      </c>
      <c r="G629" t="n">
        <v>2.9</v>
      </c>
      <c r="H629" t="n">
        <v>0</v>
      </c>
      <c r="I629" t="n">
        <v>0</v>
      </c>
      <c r="J629" t="n">
        <v>0</v>
      </c>
      <c r="K629" t="n">
        <v>0</v>
      </c>
      <c r="L629" t="n">
        <v>0</v>
      </c>
      <c r="M629" t="n">
        <v>0</v>
      </c>
      <c r="N629" t="n">
        <v>0</v>
      </c>
      <c r="O629" t="n">
        <v>0</v>
      </c>
      <c r="P629" t="n">
        <v>0</v>
      </c>
      <c r="Q629" t="n">
        <v>0</v>
      </c>
      <c r="R629" s="2" t="inlineStr"/>
    </row>
    <row r="630" ht="15" customHeight="1">
      <c r="A630" t="inlineStr">
        <is>
          <t>A 37516-2023</t>
        </is>
      </c>
      <c r="B630" s="1" t="n">
        <v>45158</v>
      </c>
      <c r="C630" s="1" t="n">
        <v>45840</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45840</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37919-2023</t>
        </is>
      </c>
      <c r="B632" s="1" t="n">
        <v>45160</v>
      </c>
      <c r="C632" s="1" t="n">
        <v>45840</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38058-2023</t>
        </is>
      </c>
      <c r="B633" s="1" t="n">
        <v>45160</v>
      </c>
      <c r="C633" s="1" t="n">
        <v>45840</v>
      </c>
      <c r="D633" t="inlineStr">
        <is>
          <t>DALARNAS LÄN</t>
        </is>
      </c>
      <c r="E633" t="inlineStr">
        <is>
          <t>LEKSAND</t>
        </is>
      </c>
      <c r="G633" t="n">
        <v>4.2</v>
      </c>
      <c r="H633" t="n">
        <v>0</v>
      </c>
      <c r="I633" t="n">
        <v>0</v>
      </c>
      <c r="J633" t="n">
        <v>0</v>
      </c>
      <c r="K633" t="n">
        <v>0</v>
      </c>
      <c r="L633" t="n">
        <v>0</v>
      </c>
      <c r="M633" t="n">
        <v>0</v>
      </c>
      <c r="N633" t="n">
        <v>0</v>
      </c>
      <c r="O633" t="n">
        <v>0</v>
      </c>
      <c r="P633" t="n">
        <v>0</v>
      </c>
      <c r="Q633" t="n">
        <v>0</v>
      </c>
      <c r="R633" s="2" t="inlineStr"/>
    </row>
    <row r="634" ht="15" customHeight="1">
      <c r="A634" t="inlineStr">
        <is>
          <t>A 38001-2023</t>
        </is>
      </c>
      <c r="B634" s="1" t="n">
        <v>45160</v>
      </c>
      <c r="C634" s="1" t="n">
        <v>45840</v>
      </c>
      <c r="D634" t="inlineStr">
        <is>
          <t>DALARNAS LÄN</t>
        </is>
      </c>
      <c r="E634" t="inlineStr">
        <is>
          <t>LEKSAND</t>
        </is>
      </c>
      <c r="G634" t="n">
        <v>3.6</v>
      </c>
      <c r="H634" t="n">
        <v>0</v>
      </c>
      <c r="I634" t="n">
        <v>0</v>
      </c>
      <c r="J634" t="n">
        <v>0</v>
      </c>
      <c r="K634" t="n">
        <v>0</v>
      </c>
      <c r="L634" t="n">
        <v>0</v>
      </c>
      <c r="M634" t="n">
        <v>0</v>
      </c>
      <c r="N634" t="n">
        <v>0</v>
      </c>
      <c r="O634" t="n">
        <v>0</v>
      </c>
      <c r="P634" t="n">
        <v>0</v>
      </c>
      <c r="Q634" t="n">
        <v>0</v>
      </c>
      <c r="R634" s="2" t="inlineStr"/>
    </row>
    <row r="635" ht="15" customHeight="1">
      <c r="A635" t="inlineStr">
        <is>
          <t>A 38145-2023</t>
        </is>
      </c>
      <c r="B635" s="1" t="n">
        <v>45160</v>
      </c>
      <c r="C635" s="1" t="n">
        <v>45840</v>
      </c>
      <c r="D635" t="inlineStr">
        <is>
          <t>DALARNAS LÄN</t>
        </is>
      </c>
      <c r="E635" t="inlineStr">
        <is>
          <t>LEKSAND</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38273-2023</t>
        </is>
      </c>
      <c r="B636" s="1" t="n">
        <v>45161</v>
      </c>
      <c r="C636" s="1" t="n">
        <v>45840</v>
      </c>
      <c r="D636" t="inlineStr">
        <is>
          <t>DALARNAS LÄN</t>
        </is>
      </c>
      <c r="E636" t="inlineStr">
        <is>
          <t>LEKSAND</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38277-2023</t>
        </is>
      </c>
      <c r="B637" s="1" t="n">
        <v>45161</v>
      </c>
      <c r="C637" s="1" t="n">
        <v>45840</v>
      </c>
      <c r="D637" t="inlineStr">
        <is>
          <t>DALARNAS LÄN</t>
        </is>
      </c>
      <c r="E637" t="inlineStr">
        <is>
          <t>LEKSAND</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38117-2023</t>
        </is>
      </c>
      <c r="B638" s="1" t="n">
        <v>45161</v>
      </c>
      <c r="C638" s="1" t="n">
        <v>45840</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39136-2023</t>
        </is>
      </c>
      <c r="B639" s="1" t="n">
        <v>45165</v>
      </c>
      <c r="C639" s="1" t="n">
        <v>45840</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39387-2023</t>
        </is>
      </c>
      <c r="B640" s="1" t="n">
        <v>45166</v>
      </c>
      <c r="C640" s="1" t="n">
        <v>45840</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39332-2023</t>
        </is>
      </c>
      <c r="B641" s="1" t="n">
        <v>45166</v>
      </c>
      <c r="C641" s="1" t="n">
        <v>45840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39354-2023</t>
        </is>
      </c>
      <c r="B642" s="1" t="n">
        <v>45166</v>
      </c>
      <c r="C642" s="1" t="n">
        <v>45840</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39595-2023</t>
        </is>
      </c>
      <c r="B643" s="1" t="n">
        <v>45167</v>
      </c>
      <c r="C643" s="1" t="n">
        <v>45840</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39558-2023</t>
        </is>
      </c>
      <c r="B644" s="1" t="n">
        <v>45167</v>
      </c>
      <c r="C644" s="1" t="n">
        <v>45840</v>
      </c>
      <c r="D644" t="inlineStr">
        <is>
          <t>DALARNAS LÄN</t>
        </is>
      </c>
      <c r="E644" t="inlineStr">
        <is>
          <t>LEKSAND</t>
        </is>
      </c>
      <c r="G644" t="n">
        <v>39.9</v>
      </c>
      <c r="H644" t="n">
        <v>0</v>
      </c>
      <c r="I644" t="n">
        <v>0</v>
      </c>
      <c r="J644" t="n">
        <v>0</v>
      </c>
      <c r="K644" t="n">
        <v>0</v>
      </c>
      <c r="L644" t="n">
        <v>0</v>
      </c>
      <c r="M644" t="n">
        <v>0</v>
      </c>
      <c r="N644" t="n">
        <v>0</v>
      </c>
      <c r="O644" t="n">
        <v>0</v>
      </c>
      <c r="P644" t="n">
        <v>0</v>
      </c>
      <c r="Q644" t="n">
        <v>0</v>
      </c>
      <c r="R644" s="2" t="inlineStr"/>
    </row>
    <row r="645" ht="15" customHeight="1">
      <c r="A645" t="inlineStr">
        <is>
          <t>A 39577-2023</t>
        </is>
      </c>
      <c r="B645" s="1" t="n">
        <v>45167</v>
      </c>
      <c r="C645" s="1" t="n">
        <v>45840</v>
      </c>
      <c r="D645" t="inlineStr">
        <is>
          <t>DALARNAS LÄN</t>
        </is>
      </c>
      <c r="E645" t="inlineStr">
        <is>
          <t>LEKSAND</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39665-2023</t>
        </is>
      </c>
      <c r="B646" s="1" t="n">
        <v>45167</v>
      </c>
      <c r="C646" s="1" t="n">
        <v>45840</v>
      </c>
      <c r="D646" t="inlineStr">
        <is>
          <t>DALARNAS LÄN</t>
        </is>
      </c>
      <c r="E646" t="inlineStr">
        <is>
          <t>LEKSAND</t>
        </is>
      </c>
      <c r="F646" t="inlineStr">
        <is>
          <t>Bergvik skog väst AB</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40201-2023</t>
        </is>
      </c>
      <c r="B647" s="1" t="n">
        <v>45169</v>
      </c>
      <c r="C647" s="1" t="n">
        <v>45840</v>
      </c>
      <c r="D647" t="inlineStr">
        <is>
          <t>DALARNAS LÄN</t>
        </is>
      </c>
      <c r="E647" t="inlineStr">
        <is>
          <t>LEKSAND</t>
        </is>
      </c>
      <c r="G647" t="n">
        <v>3.2</v>
      </c>
      <c r="H647" t="n">
        <v>0</v>
      </c>
      <c r="I647" t="n">
        <v>0</v>
      </c>
      <c r="J647" t="n">
        <v>0</v>
      </c>
      <c r="K647" t="n">
        <v>0</v>
      </c>
      <c r="L647" t="n">
        <v>0</v>
      </c>
      <c r="M647" t="n">
        <v>0</v>
      </c>
      <c r="N647" t="n">
        <v>0</v>
      </c>
      <c r="O647" t="n">
        <v>0</v>
      </c>
      <c r="P647" t="n">
        <v>0</v>
      </c>
      <c r="Q647" t="n">
        <v>0</v>
      </c>
      <c r="R647" s="2" t="inlineStr"/>
    </row>
    <row r="648" ht="15" customHeight="1">
      <c r="A648" t="inlineStr">
        <is>
          <t>A 40181-2023</t>
        </is>
      </c>
      <c r="B648" s="1" t="n">
        <v>45169</v>
      </c>
      <c r="C648" s="1" t="n">
        <v>45840</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40230-2023</t>
        </is>
      </c>
      <c r="B649" s="1" t="n">
        <v>45169</v>
      </c>
      <c r="C649" s="1" t="n">
        <v>45840</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40642-2023</t>
        </is>
      </c>
      <c r="B650" s="1" t="n">
        <v>45169</v>
      </c>
      <c r="C650" s="1" t="n">
        <v>45840</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40183-2023</t>
        </is>
      </c>
      <c r="B651" s="1" t="n">
        <v>45169</v>
      </c>
      <c r="C651" s="1" t="n">
        <v>45840</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40580-2023</t>
        </is>
      </c>
      <c r="B652" s="1" t="n">
        <v>45170</v>
      </c>
      <c r="C652" s="1" t="n">
        <v>45840</v>
      </c>
      <c r="D652" t="inlineStr">
        <is>
          <t>DALARNAS LÄN</t>
        </is>
      </c>
      <c r="E652" t="inlineStr">
        <is>
          <t>LEKSAND</t>
        </is>
      </c>
      <c r="F652" t="inlineStr">
        <is>
          <t>Bergvik skog väst AB</t>
        </is>
      </c>
      <c r="G652" t="n">
        <v>5.8</v>
      </c>
      <c r="H652" t="n">
        <v>0</v>
      </c>
      <c r="I652" t="n">
        <v>0</v>
      </c>
      <c r="J652" t="n">
        <v>0</v>
      </c>
      <c r="K652" t="n">
        <v>0</v>
      </c>
      <c r="L652" t="n">
        <v>0</v>
      </c>
      <c r="M652" t="n">
        <v>0</v>
      </c>
      <c r="N652" t="n">
        <v>0</v>
      </c>
      <c r="O652" t="n">
        <v>0</v>
      </c>
      <c r="P652" t="n">
        <v>0</v>
      </c>
      <c r="Q652" t="n">
        <v>0</v>
      </c>
      <c r="R652" s="2" t="inlineStr"/>
    </row>
    <row r="653" ht="15" customHeight="1">
      <c r="A653" t="inlineStr">
        <is>
          <t>A 40634-2023</t>
        </is>
      </c>
      <c r="B653" s="1" t="n">
        <v>45170</v>
      </c>
      <c r="C653" s="1" t="n">
        <v>45840</v>
      </c>
      <c r="D653" t="inlineStr">
        <is>
          <t>DALARNAS LÄN</t>
        </is>
      </c>
      <c r="E653" t="inlineStr">
        <is>
          <t>LEKSAND</t>
        </is>
      </c>
      <c r="F653" t="inlineStr">
        <is>
          <t>Bergvik skog väst AB</t>
        </is>
      </c>
      <c r="G653" t="n">
        <v>4.9</v>
      </c>
      <c r="H653" t="n">
        <v>0</v>
      </c>
      <c r="I653" t="n">
        <v>0</v>
      </c>
      <c r="J653" t="n">
        <v>0</v>
      </c>
      <c r="K653" t="n">
        <v>0</v>
      </c>
      <c r="L653" t="n">
        <v>0</v>
      </c>
      <c r="M653" t="n">
        <v>0</v>
      </c>
      <c r="N653" t="n">
        <v>0</v>
      </c>
      <c r="O653" t="n">
        <v>0</v>
      </c>
      <c r="P653" t="n">
        <v>0</v>
      </c>
      <c r="Q653" t="n">
        <v>0</v>
      </c>
      <c r="R653" s="2" t="inlineStr"/>
    </row>
    <row r="654" ht="15" customHeight="1">
      <c r="A654" t="inlineStr">
        <is>
          <t>A 40640-2023</t>
        </is>
      </c>
      <c r="B654" s="1" t="n">
        <v>45170</v>
      </c>
      <c r="C654" s="1" t="n">
        <v>45840</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40577-2023</t>
        </is>
      </c>
      <c r="B655" s="1" t="n">
        <v>45170</v>
      </c>
      <c r="C655" s="1" t="n">
        <v>45840</v>
      </c>
      <c r="D655" t="inlineStr">
        <is>
          <t>DALARNAS LÄN</t>
        </is>
      </c>
      <c r="E655" t="inlineStr">
        <is>
          <t>LEKSAND</t>
        </is>
      </c>
      <c r="F655" t="inlineStr">
        <is>
          <t>Bergvik skog väst AB</t>
        </is>
      </c>
      <c r="G655" t="n">
        <v>20.6</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45840</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41853-2023</t>
        </is>
      </c>
      <c r="B657" s="1" t="n">
        <v>45176</v>
      </c>
      <c r="C657" s="1" t="n">
        <v>45840</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42230-2023</t>
        </is>
      </c>
      <c r="B658" s="1" t="n">
        <v>45180</v>
      </c>
      <c r="C658" s="1" t="n">
        <v>45840</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42305-2023</t>
        </is>
      </c>
      <c r="B659" s="1" t="n">
        <v>45180</v>
      </c>
      <c r="C659" s="1" t="n">
        <v>45840</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42290-2023</t>
        </is>
      </c>
      <c r="B660" s="1" t="n">
        <v>45180</v>
      </c>
      <c r="C660" s="1" t="n">
        <v>45840</v>
      </c>
      <c r="D660" t="inlineStr">
        <is>
          <t>DALARNAS LÄN</t>
        </is>
      </c>
      <c r="E660" t="inlineStr">
        <is>
          <t>LEKSAND</t>
        </is>
      </c>
      <c r="G660" t="n">
        <v>6.8</v>
      </c>
      <c r="H660" t="n">
        <v>0</v>
      </c>
      <c r="I660" t="n">
        <v>0</v>
      </c>
      <c r="J660" t="n">
        <v>0</v>
      </c>
      <c r="K660" t="n">
        <v>0</v>
      </c>
      <c r="L660" t="n">
        <v>0</v>
      </c>
      <c r="M660" t="n">
        <v>0</v>
      </c>
      <c r="N660" t="n">
        <v>0</v>
      </c>
      <c r="O660" t="n">
        <v>0</v>
      </c>
      <c r="P660" t="n">
        <v>0</v>
      </c>
      <c r="Q660" t="n">
        <v>0</v>
      </c>
      <c r="R660" s="2" t="inlineStr"/>
    </row>
    <row r="661" ht="15" customHeight="1">
      <c r="A661" t="inlineStr">
        <is>
          <t>A 42739-2023</t>
        </is>
      </c>
      <c r="B661" s="1" t="n">
        <v>45181</v>
      </c>
      <c r="C661" s="1" t="n">
        <v>45840</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42774-2023</t>
        </is>
      </c>
      <c r="B662" s="1" t="n">
        <v>45181</v>
      </c>
      <c r="C662" s="1" t="n">
        <v>45840</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42771-2023</t>
        </is>
      </c>
      <c r="B663" s="1" t="n">
        <v>45181</v>
      </c>
      <c r="C663" s="1" t="n">
        <v>45840</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44491-2023</t>
        </is>
      </c>
      <c r="B664" s="1" t="n">
        <v>45183</v>
      </c>
      <c r="C664" s="1" t="n">
        <v>45840</v>
      </c>
      <c r="D664" t="inlineStr">
        <is>
          <t>DALARNAS LÄN</t>
        </is>
      </c>
      <c r="E664" t="inlineStr">
        <is>
          <t>LEKSAND</t>
        </is>
      </c>
      <c r="G664" t="n">
        <v>2.6</v>
      </c>
      <c r="H664" t="n">
        <v>0</v>
      </c>
      <c r="I664" t="n">
        <v>0</v>
      </c>
      <c r="J664" t="n">
        <v>0</v>
      </c>
      <c r="K664" t="n">
        <v>0</v>
      </c>
      <c r="L664" t="n">
        <v>0</v>
      </c>
      <c r="M664" t="n">
        <v>0</v>
      </c>
      <c r="N664" t="n">
        <v>0</v>
      </c>
      <c r="O664" t="n">
        <v>0</v>
      </c>
      <c r="P664" t="n">
        <v>0</v>
      </c>
      <c r="Q664" t="n">
        <v>0</v>
      </c>
      <c r="R664" s="2" t="inlineStr"/>
    </row>
    <row r="665" ht="15" customHeight="1">
      <c r="A665" t="inlineStr">
        <is>
          <t>A 43436-2023</t>
        </is>
      </c>
      <c r="B665" s="1" t="n">
        <v>45184</v>
      </c>
      <c r="C665" s="1" t="n">
        <v>45840</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43440-2023</t>
        </is>
      </c>
      <c r="B666" s="1" t="n">
        <v>45184</v>
      </c>
      <c r="C666" s="1" t="n">
        <v>45840</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43508-2023</t>
        </is>
      </c>
      <c r="B667" s="1" t="n">
        <v>45184</v>
      </c>
      <c r="C667" s="1" t="n">
        <v>45840</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43642-2023</t>
        </is>
      </c>
      <c r="B668" s="1" t="n">
        <v>45186</v>
      </c>
      <c r="C668" s="1" t="n">
        <v>45840</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43650-2023</t>
        </is>
      </c>
      <c r="B669" s="1" t="n">
        <v>45187</v>
      </c>
      <c r="C669" s="1" t="n">
        <v>45840</v>
      </c>
      <c r="D669" t="inlineStr">
        <is>
          <t>DALARNAS LÄN</t>
        </is>
      </c>
      <c r="E669" t="inlineStr">
        <is>
          <t>LEKSAND</t>
        </is>
      </c>
      <c r="G669" t="n">
        <v>4.5</v>
      </c>
      <c r="H669" t="n">
        <v>0</v>
      </c>
      <c r="I669" t="n">
        <v>0</v>
      </c>
      <c r="J669" t="n">
        <v>0</v>
      </c>
      <c r="K669" t="n">
        <v>0</v>
      </c>
      <c r="L669" t="n">
        <v>0</v>
      </c>
      <c r="M669" t="n">
        <v>0</v>
      </c>
      <c r="N669" t="n">
        <v>0</v>
      </c>
      <c r="O669" t="n">
        <v>0</v>
      </c>
      <c r="P669" t="n">
        <v>0</v>
      </c>
      <c r="Q669" t="n">
        <v>0</v>
      </c>
      <c r="R669" s="2" t="inlineStr"/>
    </row>
    <row r="670" ht="15" customHeight="1">
      <c r="A670" t="inlineStr">
        <is>
          <t>A 44712-2023</t>
        </is>
      </c>
      <c r="B670" s="1" t="n">
        <v>45190</v>
      </c>
      <c r="C670" s="1" t="n">
        <v>45840</v>
      </c>
      <c r="D670" t="inlineStr">
        <is>
          <t>DALARNAS LÄN</t>
        </is>
      </c>
      <c r="E670" t="inlineStr">
        <is>
          <t>LEKSAND</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45254-2023</t>
        </is>
      </c>
      <c r="B671" s="1" t="n">
        <v>45191</v>
      </c>
      <c r="C671" s="1" t="n">
        <v>45840</v>
      </c>
      <c r="D671" t="inlineStr">
        <is>
          <t>DALARNAS LÄN</t>
        </is>
      </c>
      <c r="E671" t="inlineStr">
        <is>
          <t>LEKSAND</t>
        </is>
      </c>
      <c r="G671" t="n">
        <v>16.9</v>
      </c>
      <c r="H671" t="n">
        <v>0</v>
      </c>
      <c r="I671" t="n">
        <v>0</v>
      </c>
      <c r="J671" t="n">
        <v>0</v>
      </c>
      <c r="K671" t="n">
        <v>0</v>
      </c>
      <c r="L671" t="n">
        <v>0</v>
      </c>
      <c r="M671" t="n">
        <v>0</v>
      </c>
      <c r="N671" t="n">
        <v>0</v>
      </c>
      <c r="O671" t="n">
        <v>0</v>
      </c>
      <c r="P671" t="n">
        <v>0</v>
      </c>
      <c r="Q671" t="n">
        <v>0</v>
      </c>
      <c r="R671" s="2" t="inlineStr"/>
    </row>
    <row r="672" ht="15" customHeight="1">
      <c r="A672" t="inlineStr">
        <is>
          <t>A 45633-2023</t>
        </is>
      </c>
      <c r="B672" s="1" t="n">
        <v>45194</v>
      </c>
      <c r="C672" s="1" t="n">
        <v>45840</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45512-2023</t>
        </is>
      </c>
      <c r="B673" s="1" t="n">
        <v>45194</v>
      </c>
      <c r="C673" s="1" t="n">
        <v>45840</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45768-2023</t>
        </is>
      </c>
      <c r="B674" s="1" t="n">
        <v>45195</v>
      </c>
      <c r="C674" s="1" t="n">
        <v>45840</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45679-2023</t>
        </is>
      </c>
      <c r="B675" s="1" t="n">
        <v>45195</v>
      </c>
      <c r="C675" s="1" t="n">
        <v>45840</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45813-2023</t>
        </is>
      </c>
      <c r="B676" s="1" t="n">
        <v>45195</v>
      </c>
      <c r="C676" s="1" t="n">
        <v>45840</v>
      </c>
      <c r="D676" t="inlineStr">
        <is>
          <t>DALARNAS LÄN</t>
        </is>
      </c>
      <c r="E676" t="inlineStr">
        <is>
          <t>LEKSAND</t>
        </is>
      </c>
      <c r="G676" t="n">
        <v>3</v>
      </c>
      <c r="H676" t="n">
        <v>0</v>
      </c>
      <c r="I676" t="n">
        <v>0</v>
      </c>
      <c r="J676" t="n">
        <v>0</v>
      </c>
      <c r="K676" t="n">
        <v>0</v>
      </c>
      <c r="L676" t="n">
        <v>0</v>
      </c>
      <c r="M676" t="n">
        <v>0</v>
      </c>
      <c r="N676" t="n">
        <v>0</v>
      </c>
      <c r="O676" t="n">
        <v>0</v>
      </c>
      <c r="P676" t="n">
        <v>0</v>
      </c>
      <c r="Q676" t="n">
        <v>0</v>
      </c>
      <c r="R676" s="2" t="inlineStr"/>
    </row>
    <row r="677" ht="15" customHeight="1">
      <c r="A677" t="inlineStr">
        <is>
          <t>A 46163-2023</t>
        </is>
      </c>
      <c r="B677" s="1" t="n">
        <v>45196</v>
      </c>
      <c r="C677" s="1" t="n">
        <v>45840</v>
      </c>
      <c r="D677" t="inlineStr">
        <is>
          <t>DALARNAS LÄN</t>
        </is>
      </c>
      <c r="E677" t="inlineStr">
        <is>
          <t>LEKSAND</t>
        </is>
      </c>
      <c r="G677" t="n">
        <v>7.3</v>
      </c>
      <c r="H677" t="n">
        <v>0</v>
      </c>
      <c r="I677" t="n">
        <v>0</v>
      </c>
      <c r="J677" t="n">
        <v>0</v>
      </c>
      <c r="K677" t="n">
        <v>0</v>
      </c>
      <c r="L677" t="n">
        <v>0</v>
      </c>
      <c r="M677" t="n">
        <v>0</v>
      </c>
      <c r="N677" t="n">
        <v>0</v>
      </c>
      <c r="O677" t="n">
        <v>0</v>
      </c>
      <c r="P677" t="n">
        <v>0</v>
      </c>
      <c r="Q677" t="n">
        <v>0</v>
      </c>
      <c r="R677" s="2" t="inlineStr"/>
    </row>
    <row r="678" ht="15" customHeight="1">
      <c r="A678" t="inlineStr">
        <is>
          <t>A 46446-2023</t>
        </is>
      </c>
      <c r="B678" s="1" t="n">
        <v>45197</v>
      </c>
      <c r="C678" s="1" t="n">
        <v>45840</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45840</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46593-2023</t>
        </is>
      </c>
      <c r="B680" s="1" t="n">
        <v>45198</v>
      </c>
      <c r="C680" s="1" t="n">
        <v>45840</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46669-2023</t>
        </is>
      </c>
      <c r="B681" s="1" t="n">
        <v>45198</v>
      </c>
      <c r="C681" s="1" t="n">
        <v>45840</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46594-2023</t>
        </is>
      </c>
      <c r="B682" s="1" t="n">
        <v>45198</v>
      </c>
      <c r="C682" s="1" t="n">
        <v>45840</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46600-2023</t>
        </is>
      </c>
      <c r="B683" s="1" t="n">
        <v>45198</v>
      </c>
      <c r="C683" s="1" t="n">
        <v>45840</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46665-2023</t>
        </is>
      </c>
      <c r="B684" s="1" t="n">
        <v>45198</v>
      </c>
      <c r="C684" s="1" t="n">
        <v>45840</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46635-2023</t>
        </is>
      </c>
      <c r="B685" s="1" t="n">
        <v>45198</v>
      </c>
      <c r="C685" s="1" t="n">
        <v>45840</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46834-2023</t>
        </is>
      </c>
      <c r="B686" s="1" t="n">
        <v>45199</v>
      </c>
      <c r="C686" s="1" t="n">
        <v>45840</v>
      </c>
      <c r="D686" t="inlineStr">
        <is>
          <t>DALARNAS LÄN</t>
        </is>
      </c>
      <c r="E686" t="inlineStr">
        <is>
          <t>LEKSAND</t>
        </is>
      </c>
      <c r="G686" t="n">
        <v>16.3</v>
      </c>
      <c r="H686" t="n">
        <v>0</v>
      </c>
      <c r="I686" t="n">
        <v>0</v>
      </c>
      <c r="J686" t="n">
        <v>0</v>
      </c>
      <c r="K686" t="n">
        <v>0</v>
      </c>
      <c r="L686" t="n">
        <v>0</v>
      </c>
      <c r="M686" t="n">
        <v>0</v>
      </c>
      <c r="N686" t="n">
        <v>0</v>
      </c>
      <c r="O686" t="n">
        <v>0</v>
      </c>
      <c r="P686" t="n">
        <v>0</v>
      </c>
      <c r="Q686" t="n">
        <v>0</v>
      </c>
      <c r="R686" s="2" t="inlineStr"/>
    </row>
    <row r="687" ht="15" customHeight="1">
      <c r="A687" t="inlineStr">
        <is>
          <t>A 46876-2023</t>
        </is>
      </c>
      <c r="B687" s="1" t="n">
        <v>45200</v>
      </c>
      <c r="C687" s="1" t="n">
        <v>45840</v>
      </c>
      <c r="D687" t="inlineStr">
        <is>
          <t>DALARNAS LÄN</t>
        </is>
      </c>
      <c r="E687" t="inlineStr">
        <is>
          <t>LEKSAND</t>
        </is>
      </c>
      <c r="G687" t="n">
        <v>2.4</v>
      </c>
      <c r="H687" t="n">
        <v>0</v>
      </c>
      <c r="I687" t="n">
        <v>0</v>
      </c>
      <c r="J687" t="n">
        <v>0</v>
      </c>
      <c r="K687" t="n">
        <v>0</v>
      </c>
      <c r="L687" t="n">
        <v>0</v>
      </c>
      <c r="M687" t="n">
        <v>0</v>
      </c>
      <c r="N687" t="n">
        <v>0</v>
      </c>
      <c r="O687" t="n">
        <v>0</v>
      </c>
      <c r="P687" t="n">
        <v>0</v>
      </c>
      <c r="Q687" t="n">
        <v>0</v>
      </c>
      <c r="R687" s="2" t="inlineStr"/>
    </row>
    <row r="688" ht="15" customHeight="1">
      <c r="A688" t="inlineStr">
        <is>
          <t>A 47039-2023</t>
        </is>
      </c>
      <c r="B688" s="1" t="n">
        <v>45201</v>
      </c>
      <c r="C688" s="1" t="n">
        <v>45840</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46931-2023</t>
        </is>
      </c>
      <c r="B689" s="1" t="n">
        <v>45201</v>
      </c>
      <c r="C689" s="1" t="n">
        <v>45840</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47011-2023</t>
        </is>
      </c>
      <c r="B690" s="1" t="n">
        <v>45201</v>
      </c>
      <c r="C690" s="1" t="n">
        <v>45840</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45840</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47673-2023</t>
        </is>
      </c>
      <c r="B692" s="1" t="n">
        <v>45203</v>
      </c>
      <c r="C692" s="1" t="n">
        <v>45840</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47655-2023</t>
        </is>
      </c>
      <c r="B693" s="1" t="n">
        <v>45203</v>
      </c>
      <c r="C693" s="1" t="n">
        <v>45840</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48714-2023</t>
        </is>
      </c>
      <c r="B694" s="1" t="n">
        <v>45203</v>
      </c>
      <c r="C694" s="1" t="n">
        <v>45840</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48721-2023</t>
        </is>
      </c>
      <c r="B695" s="1" t="n">
        <v>45203</v>
      </c>
      <c r="C695" s="1" t="n">
        <v>45840</v>
      </c>
      <c r="D695" t="inlineStr">
        <is>
          <t>DALARNAS LÄN</t>
        </is>
      </c>
      <c r="E695" t="inlineStr">
        <is>
          <t>LEKSAND</t>
        </is>
      </c>
      <c r="G695" t="n">
        <v>2.9</v>
      </c>
      <c r="H695" t="n">
        <v>0</v>
      </c>
      <c r="I695" t="n">
        <v>0</v>
      </c>
      <c r="J695" t="n">
        <v>0</v>
      </c>
      <c r="K695" t="n">
        <v>0</v>
      </c>
      <c r="L695" t="n">
        <v>0</v>
      </c>
      <c r="M695" t="n">
        <v>0</v>
      </c>
      <c r="N695" t="n">
        <v>0</v>
      </c>
      <c r="O695" t="n">
        <v>0</v>
      </c>
      <c r="P695" t="n">
        <v>0</v>
      </c>
      <c r="Q695" t="n">
        <v>0</v>
      </c>
      <c r="R695" s="2" t="inlineStr"/>
    </row>
    <row r="696" ht="15" customHeight="1">
      <c r="A696" t="inlineStr">
        <is>
          <t>A 48029-2023</t>
        </is>
      </c>
      <c r="B696" s="1" t="n">
        <v>45204</v>
      </c>
      <c r="C696" s="1" t="n">
        <v>45840</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48644-2023</t>
        </is>
      </c>
      <c r="B697" s="1" t="n">
        <v>45208</v>
      </c>
      <c r="C697" s="1" t="n">
        <v>45840</v>
      </c>
      <c r="D697" t="inlineStr">
        <is>
          <t>DALARNAS LÄN</t>
        </is>
      </c>
      <c r="E697" t="inlineStr">
        <is>
          <t>LEKSAND</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50374-2023</t>
        </is>
      </c>
      <c r="B698" s="1" t="n">
        <v>45209</v>
      </c>
      <c r="C698" s="1" t="n">
        <v>45840</v>
      </c>
      <c r="D698" t="inlineStr">
        <is>
          <t>DALARNAS LÄN</t>
        </is>
      </c>
      <c r="E698" t="inlineStr">
        <is>
          <t>LEKSAND</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50082-2023</t>
        </is>
      </c>
      <c r="B699" s="1" t="n">
        <v>45215</v>
      </c>
      <c r="C699" s="1" t="n">
        <v>45840</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45840</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v>
      </c>
      <c r="C701" s="1" t="n">
        <v>45840</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50553-2023</t>
        </is>
      </c>
      <c r="B702" s="1" t="n">
        <v>45217</v>
      </c>
      <c r="C702" s="1" t="n">
        <v>45840</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51090-2023</t>
        </is>
      </c>
      <c r="B703" s="1" t="n">
        <v>45218</v>
      </c>
      <c r="C703" s="1" t="n">
        <v>45840</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51377-2023</t>
        </is>
      </c>
      <c r="B704" s="1" t="n">
        <v>45219</v>
      </c>
      <c r="C704" s="1" t="n">
        <v>45840</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52801-2023</t>
        </is>
      </c>
      <c r="B705" s="1" t="n">
        <v>45219</v>
      </c>
      <c r="C705" s="1" t="n">
        <v>45840</v>
      </c>
      <c r="D705" t="inlineStr">
        <is>
          <t>DALARNAS LÄN</t>
        </is>
      </c>
      <c r="E705" t="inlineStr">
        <is>
          <t>LEKSAND</t>
        </is>
      </c>
      <c r="G705" t="n">
        <v>4.9</v>
      </c>
      <c r="H705" t="n">
        <v>0</v>
      </c>
      <c r="I705" t="n">
        <v>0</v>
      </c>
      <c r="J705" t="n">
        <v>0</v>
      </c>
      <c r="K705" t="n">
        <v>0</v>
      </c>
      <c r="L705" t="n">
        <v>0</v>
      </c>
      <c r="M705" t="n">
        <v>0</v>
      </c>
      <c r="N705" t="n">
        <v>0</v>
      </c>
      <c r="O705" t="n">
        <v>0</v>
      </c>
      <c r="P705" t="n">
        <v>0</v>
      </c>
      <c r="Q705" t="n">
        <v>0</v>
      </c>
      <c r="R705" s="2" t="inlineStr"/>
    </row>
    <row r="706" ht="15" customHeight="1">
      <c r="A706" t="inlineStr">
        <is>
          <t>A 52216-2023</t>
        </is>
      </c>
      <c r="B706" s="1" t="n">
        <v>45219</v>
      </c>
      <c r="C706" s="1" t="n">
        <v>45840</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51320-2023</t>
        </is>
      </c>
      <c r="B707" s="1" t="n">
        <v>45219</v>
      </c>
      <c r="C707" s="1" t="n">
        <v>45840</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51736-2023</t>
        </is>
      </c>
      <c r="B708" s="1" t="n">
        <v>45222</v>
      </c>
      <c r="C708" s="1" t="n">
        <v>45840</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52959-2023</t>
        </is>
      </c>
      <c r="B709" s="1" t="n">
        <v>45222</v>
      </c>
      <c r="C709" s="1" t="n">
        <v>45840</v>
      </c>
      <c r="D709" t="inlineStr">
        <is>
          <t>DALARNAS LÄN</t>
        </is>
      </c>
      <c r="E709" t="inlineStr">
        <is>
          <t>LEKSAND</t>
        </is>
      </c>
      <c r="G709" t="n">
        <v>6.5</v>
      </c>
      <c r="H709" t="n">
        <v>0</v>
      </c>
      <c r="I709" t="n">
        <v>0</v>
      </c>
      <c r="J709" t="n">
        <v>0</v>
      </c>
      <c r="K709" t="n">
        <v>0</v>
      </c>
      <c r="L709" t="n">
        <v>0</v>
      </c>
      <c r="M709" t="n">
        <v>0</v>
      </c>
      <c r="N709" t="n">
        <v>0</v>
      </c>
      <c r="O709" t="n">
        <v>0</v>
      </c>
      <c r="P709" t="n">
        <v>0</v>
      </c>
      <c r="Q709" t="n">
        <v>0</v>
      </c>
      <c r="R709" s="2" t="inlineStr"/>
    </row>
    <row r="710" ht="15" customHeight="1">
      <c r="A710" t="inlineStr">
        <is>
          <t>A 52016-2023</t>
        </is>
      </c>
      <c r="B710" s="1" t="n">
        <v>45223</v>
      </c>
      <c r="C710" s="1" t="n">
        <v>45840</v>
      </c>
      <c r="D710" t="inlineStr">
        <is>
          <t>DALARNAS LÄN</t>
        </is>
      </c>
      <c r="E710" t="inlineStr">
        <is>
          <t>LEKSAND</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52732-2023</t>
        </is>
      </c>
      <c r="B711" s="1" t="n">
        <v>45226</v>
      </c>
      <c r="C711" s="1" t="n">
        <v>45840</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53120-2023</t>
        </is>
      </c>
      <c r="B712" s="1" t="n">
        <v>45228</v>
      </c>
      <c r="C712" s="1" t="n">
        <v>45840</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53122-2023</t>
        </is>
      </c>
      <c r="B713" s="1" t="n">
        <v>45228</v>
      </c>
      <c r="C713" s="1" t="n">
        <v>45840</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53248-2023</t>
        </is>
      </c>
      <c r="B714" s="1" t="n">
        <v>45229</v>
      </c>
      <c r="C714" s="1" t="n">
        <v>45840</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53128-2023</t>
        </is>
      </c>
      <c r="B715" s="1" t="n">
        <v>45229</v>
      </c>
      <c r="C715" s="1" t="n">
        <v>45840</v>
      </c>
      <c r="D715" t="inlineStr">
        <is>
          <t>DALARNAS LÄN</t>
        </is>
      </c>
      <c r="E715" t="inlineStr">
        <is>
          <t>LEKSAND</t>
        </is>
      </c>
      <c r="G715" t="n">
        <v>3.6</v>
      </c>
      <c r="H715" t="n">
        <v>0</v>
      </c>
      <c r="I715" t="n">
        <v>0</v>
      </c>
      <c r="J715" t="n">
        <v>0</v>
      </c>
      <c r="K715" t="n">
        <v>0</v>
      </c>
      <c r="L715" t="n">
        <v>0</v>
      </c>
      <c r="M715" t="n">
        <v>0</v>
      </c>
      <c r="N715" t="n">
        <v>0</v>
      </c>
      <c r="O715" t="n">
        <v>0</v>
      </c>
      <c r="P715" t="n">
        <v>0</v>
      </c>
      <c r="Q715" t="n">
        <v>0</v>
      </c>
      <c r="R715" s="2" t="inlineStr"/>
    </row>
    <row r="716" ht="15" customHeight="1">
      <c r="A716" t="inlineStr">
        <is>
          <t>A 53291-2023</t>
        </is>
      </c>
      <c r="B716" s="1" t="n">
        <v>45229</v>
      </c>
      <c r="C716" s="1" t="n">
        <v>45840</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53621-2023</t>
        </is>
      </c>
      <c r="B717" s="1" t="n">
        <v>45230</v>
      </c>
      <c r="C717" s="1" t="n">
        <v>45840</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53636-2023</t>
        </is>
      </c>
      <c r="B718" s="1" t="n">
        <v>45230</v>
      </c>
      <c r="C718" s="1" t="n">
        <v>45840</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53717-2023</t>
        </is>
      </c>
      <c r="B719" s="1" t="n">
        <v>45230</v>
      </c>
      <c r="C719" s="1" t="n">
        <v>45840</v>
      </c>
      <c r="D719" t="inlineStr">
        <is>
          <t>DALARNAS LÄN</t>
        </is>
      </c>
      <c r="E719" t="inlineStr">
        <is>
          <t>LEKSAND</t>
        </is>
      </c>
      <c r="G719" t="n">
        <v>2.4</v>
      </c>
      <c r="H719" t="n">
        <v>0</v>
      </c>
      <c r="I719" t="n">
        <v>0</v>
      </c>
      <c r="J719" t="n">
        <v>0</v>
      </c>
      <c r="K719" t="n">
        <v>0</v>
      </c>
      <c r="L719" t="n">
        <v>0</v>
      </c>
      <c r="M719" t="n">
        <v>0</v>
      </c>
      <c r="N719" t="n">
        <v>0</v>
      </c>
      <c r="O719" t="n">
        <v>0</v>
      </c>
      <c r="P719" t="n">
        <v>0</v>
      </c>
      <c r="Q719" t="n">
        <v>0</v>
      </c>
      <c r="R719" s="2" t="inlineStr"/>
    </row>
    <row r="720" ht="15" customHeight="1">
      <c r="A720" t="inlineStr">
        <is>
          <t>A 55196-2023</t>
        </is>
      </c>
      <c r="B720" s="1" t="n">
        <v>45230</v>
      </c>
      <c r="C720" s="1" t="n">
        <v>45840</v>
      </c>
      <c r="D720" t="inlineStr">
        <is>
          <t>DALARNAS LÄN</t>
        </is>
      </c>
      <c r="E720" t="inlineStr">
        <is>
          <t>LEKSAND</t>
        </is>
      </c>
      <c r="G720" t="n">
        <v>5.7</v>
      </c>
      <c r="H720" t="n">
        <v>0</v>
      </c>
      <c r="I720" t="n">
        <v>0</v>
      </c>
      <c r="J720" t="n">
        <v>0</v>
      </c>
      <c r="K720" t="n">
        <v>0</v>
      </c>
      <c r="L720" t="n">
        <v>0</v>
      </c>
      <c r="M720" t="n">
        <v>0</v>
      </c>
      <c r="N720" t="n">
        <v>0</v>
      </c>
      <c r="O720" t="n">
        <v>0</v>
      </c>
      <c r="P720" t="n">
        <v>0</v>
      </c>
      <c r="Q720" t="n">
        <v>0</v>
      </c>
      <c r="R720" s="2" t="inlineStr"/>
    </row>
    <row r="721" ht="15" customHeight="1">
      <c r="A721" t="inlineStr">
        <is>
          <t>A 53799-2023</t>
        </is>
      </c>
      <c r="B721" s="1" t="n">
        <v>45231</v>
      </c>
      <c r="C721" s="1" t="n">
        <v>45840</v>
      </c>
      <c r="D721" t="inlineStr">
        <is>
          <t>DALARNAS LÄN</t>
        </is>
      </c>
      <c r="E721" t="inlineStr">
        <is>
          <t>LEKSAND</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53823-2023</t>
        </is>
      </c>
      <c r="B722" s="1" t="n">
        <v>45231</v>
      </c>
      <c r="C722" s="1" t="n">
        <v>45840</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53817-2023</t>
        </is>
      </c>
      <c r="B723" s="1" t="n">
        <v>45231</v>
      </c>
      <c r="C723" s="1" t="n">
        <v>45840</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54251-2023</t>
        </is>
      </c>
      <c r="B724" s="1" t="n">
        <v>45232</v>
      </c>
      <c r="C724" s="1" t="n">
        <v>45840</v>
      </c>
      <c r="D724" t="inlineStr">
        <is>
          <t>DALARNAS LÄN</t>
        </is>
      </c>
      <c r="E724" t="inlineStr">
        <is>
          <t>LEKSAND</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54289-2023</t>
        </is>
      </c>
      <c r="B725" s="1" t="n">
        <v>45232</v>
      </c>
      <c r="C725" s="1" t="n">
        <v>45840</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v>
      </c>
      <c r="C726" s="1" t="n">
        <v>45840</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54690-2023</t>
        </is>
      </c>
      <c r="B727" s="1" t="n">
        <v>45236</v>
      </c>
      <c r="C727" s="1" t="n">
        <v>45840</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55418-2023</t>
        </is>
      </c>
      <c r="B728" s="1" t="n">
        <v>45238</v>
      </c>
      <c r="C728" s="1" t="n">
        <v>45840</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55438-2023</t>
        </is>
      </c>
      <c r="B729" s="1" t="n">
        <v>45238</v>
      </c>
      <c r="C729" s="1" t="n">
        <v>45840</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55464-2023</t>
        </is>
      </c>
      <c r="B730" s="1" t="n">
        <v>45238</v>
      </c>
      <c r="C730" s="1" t="n">
        <v>45840</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55430-2023</t>
        </is>
      </c>
      <c r="B731" s="1" t="n">
        <v>45238</v>
      </c>
      <c r="C731" s="1" t="n">
        <v>45840</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56221-2023</t>
        </is>
      </c>
      <c r="B732" s="1" t="n">
        <v>45240</v>
      </c>
      <c r="C732" s="1" t="n">
        <v>45840</v>
      </c>
      <c r="D732" t="inlineStr">
        <is>
          <t>DALARNAS LÄN</t>
        </is>
      </c>
      <c r="E732" t="inlineStr">
        <is>
          <t>LEKSAND</t>
        </is>
      </c>
      <c r="G732" t="n">
        <v>1.8</v>
      </c>
      <c r="H732" t="n">
        <v>0</v>
      </c>
      <c r="I732" t="n">
        <v>0</v>
      </c>
      <c r="J732" t="n">
        <v>0</v>
      </c>
      <c r="K732" t="n">
        <v>0</v>
      </c>
      <c r="L732" t="n">
        <v>0</v>
      </c>
      <c r="M732" t="n">
        <v>0</v>
      </c>
      <c r="N732" t="n">
        <v>0</v>
      </c>
      <c r="O732" t="n">
        <v>0</v>
      </c>
      <c r="P732" t="n">
        <v>0</v>
      </c>
      <c r="Q732" t="n">
        <v>0</v>
      </c>
      <c r="R732" s="2" t="inlineStr"/>
    </row>
    <row r="733" ht="15" customHeight="1">
      <c r="A733" t="inlineStr">
        <is>
          <t>A 56211-2023</t>
        </is>
      </c>
      <c r="B733" s="1" t="n">
        <v>45240</v>
      </c>
      <c r="C733" s="1" t="n">
        <v>45840</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56099-2023</t>
        </is>
      </c>
      <c r="B734" s="1" t="n">
        <v>45240</v>
      </c>
      <c r="C734" s="1" t="n">
        <v>45840</v>
      </c>
      <c r="D734" t="inlineStr">
        <is>
          <t>DALARNAS LÄN</t>
        </is>
      </c>
      <c r="E734" t="inlineStr">
        <is>
          <t>LEKSAND</t>
        </is>
      </c>
      <c r="G734" t="n">
        <v>0.8</v>
      </c>
      <c r="H734" t="n">
        <v>0</v>
      </c>
      <c r="I734" t="n">
        <v>0</v>
      </c>
      <c r="J734" t="n">
        <v>0</v>
      </c>
      <c r="K734" t="n">
        <v>0</v>
      </c>
      <c r="L734" t="n">
        <v>0</v>
      </c>
      <c r="M734" t="n">
        <v>0</v>
      </c>
      <c r="N734" t="n">
        <v>0</v>
      </c>
      <c r="O734" t="n">
        <v>0</v>
      </c>
      <c r="P734" t="n">
        <v>0</v>
      </c>
      <c r="Q734" t="n">
        <v>0</v>
      </c>
      <c r="R734" s="2" t="inlineStr"/>
    </row>
    <row r="735" ht="15" customHeight="1">
      <c r="A735" t="inlineStr">
        <is>
          <t>A 56067-2023</t>
        </is>
      </c>
      <c r="B735" s="1" t="n">
        <v>45240</v>
      </c>
      <c r="C735" s="1" t="n">
        <v>45840</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56065-2023</t>
        </is>
      </c>
      <c r="B736" s="1" t="n">
        <v>45240</v>
      </c>
      <c r="C736" s="1" t="n">
        <v>45840</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56350-2023</t>
        </is>
      </c>
      <c r="B737" s="1" t="n">
        <v>45243</v>
      </c>
      <c r="C737" s="1" t="n">
        <v>45840</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56632-2023</t>
        </is>
      </c>
      <c r="B738" s="1" t="n">
        <v>45243</v>
      </c>
      <c r="C738" s="1" t="n">
        <v>45840</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56753-2023</t>
        </is>
      </c>
      <c r="B739" s="1" t="n">
        <v>45244</v>
      </c>
      <c r="C739" s="1" t="n">
        <v>45840</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56810-2023</t>
        </is>
      </c>
      <c r="B740" s="1" t="n">
        <v>45244</v>
      </c>
      <c r="C740" s="1" t="n">
        <v>45840</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56812-2023</t>
        </is>
      </c>
      <c r="B741" s="1" t="n">
        <v>45244</v>
      </c>
      <c r="C741" s="1" t="n">
        <v>45840</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57013-2023</t>
        </is>
      </c>
      <c r="B742" s="1" t="n">
        <v>45244</v>
      </c>
      <c r="C742" s="1" t="n">
        <v>45840</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57323-2023</t>
        </is>
      </c>
      <c r="B743" s="1" t="n">
        <v>45245</v>
      </c>
      <c r="C743" s="1" t="n">
        <v>45840</v>
      </c>
      <c r="D743" t="inlineStr">
        <is>
          <t>DALARNAS LÄN</t>
        </is>
      </c>
      <c r="E743" t="inlineStr">
        <is>
          <t>LEKSAND</t>
        </is>
      </c>
      <c r="G743" t="n">
        <v>4.9</v>
      </c>
      <c r="H743" t="n">
        <v>0</v>
      </c>
      <c r="I743" t="n">
        <v>0</v>
      </c>
      <c r="J743" t="n">
        <v>0</v>
      </c>
      <c r="K743" t="n">
        <v>0</v>
      </c>
      <c r="L743" t="n">
        <v>0</v>
      </c>
      <c r="M743" t="n">
        <v>0</v>
      </c>
      <c r="N743" t="n">
        <v>0</v>
      </c>
      <c r="O743" t="n">
        <v>0</v>
      </c>
      <c r="P743" t="n">
        <v>0</v>
      </c>
      <c r="Q743" t="n">
        <v>0</v>
      </c>
      <c r="R743" s="2" t="inlineStr"/>
    </row>
    <row r="744" ht="15" customHeight="1">
      <c r="A744" t="inlineStr">
        <is>
          <t>A 57106-2023</t>
        </is>
      </c>
      <c r="B744" s="1" t="n">
        <v>45245</v>
      </c>
      <c r="C744" s="1" t="n">
        <v>45840</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57093-2023</t>
        </is>
      </c>
      <c r="B745" s="1" t="n">
        <v>45245</v>
      </c>
      <c r="C745" s="1" t="n">
        <v>45840</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57468-2023</t>
        </is>
      </c>
      <c r="B746" s="1" t="n">
        <v>45246</v>
      </c>
      <c r="C746" s="1" t="n">
        <v>45840</v>
      </c>
      <c r="D746" t="inlineStr">
        <is>
          <t>DALARNAS LÄN</t>
        </is>
      </c>
      <c r="E746" t="inlineStr">
        <is>
          <t>LEKSAND</t>
        </is>
      </c>
      <c r="G746" t="n">
        <v>4.6</v>
      </c>
      <c r="H746" t="n">
        <v>0</v>
      </c>
      <c r="I746" t="n">
        <v>0</v>
      </c>
      <c r="J746" t="n">
        <v>0</v>
      </c>
      <c r="K746" t="n">
        <v>0</v>
      </c>
      <c r="L746" t="n">
        <v>0</v>
      </c>
      <c r="M746" t="n">
        <v>0</v>
      </c>
      <c r="N746" t="n">
        <v>0</v>
      </c>
      <c r="O746" t="n">
        <v>0</v>
      </c>
      <c r="P746" t="n">
        <v>0</v>
      </c>
      <c r="Q746" t="n">
        <v>0</v>
      </c>
      <c r="R746" s="2" t="inlineStr"/>
    </row>
    <row r="747" ht="15" customHeight="1">
      <c r="A747" t="inlineStr">
        <is>
          <t>A 57635-2023</t>
        </is>
      </c>
      <c r="B747" s="1" t="n">
        <v>45246</v>
      </c>
      <c r="C747" s="1" t="n">
        <v>45840</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57681-2023</t>
        </is>
      </c>
      <c r="B748" s="1" t="n">
        <v>45246</v>
      </c>
      <c r="C748" s="1" t="n">
        <v>45840</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57665-2023</t>
        </is>
      </c>
      <c r="B749" s="1" t="n">
        <v>45246</v>
      </c>
      <c r="C749" s="1" t="n">
        <v>45840</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57852-2023</t>
        </is>
      </c>
      <c r="B750" s="1" t="n">
        <v>45247</v>
      </c>
      <c r="C750" s="1" t="n">
        <v>45840</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58405-2023</t>
        </is>
      </c>
      <c r="B751" s="1" t="n">
        <v>45250</v>
      </c>
      <c r="C751" s="1" t="n">
        <v>45840</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58402-2023</t>
        </is>
      </c>
      <c r="B752" s="1" t="n">
        <v>45250</v>
      </c>
      <c r="C752" s="1" t="n">
        <v>45840</v>
      </c>
      <c r="D752" t="inlineStr">
        <is>
          <t>DALARNAS LÄN</t>
        </is>
      </c>
      <c r="E752" t="inlineStr">
        <is>
          <t>LEKSAND</t>
        </is>
      </c>
      <c r="G752" t="n">
        <v>4.5</v>
      </c>
      <c r="H752" t="n">
        <v>0</v>
      </c>
      <c r="I752" t="n">
        <v>0</v>
      </c>
      <c r="J752" t="n">
        <v>0</v>
      </c>
      <c r="K752" t="n">
        <v>0</v>
      </c>
      <c r="L752" t="n">
        <v>0</v>
      </c>
      <c r="M752" t="n">
        <v>0</v>
      </c>
      <c r="N752" t="n">
        <v>0</v>
      </c>
      <c r="O752" t="n">
        <v>0</v>
      </c>
      <c r="P752" t="n">
        <v>0</v>
      </c>
      <c r="Q752" t="n">
        <v>0</v>
      </c>
      <c r="R752" s="2" t="inlineStr"/>
    </row>
    <row r="753" ht="15" customHeight="1">
      <c r="A753" t="inlineStr">
        <is>
          <t>A 58495-2023</t>
        </is>
      </c>
      <c r="B753" s="1" t="n">
        <v>45251</v>
      </c>
      <c r="C753" s="1" t="n">
        <v>45840</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58730-2023</t>
        </is>
      </c>
      <c r="B754" s="1" t="n">
        <v>45251</v>
      </c>
      <c r="C754" s="1" t="n">
        <v>45840</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58877-2023</t>
        </is>
      </c>
      <c r="B755" s="1" t="n">
        <v>45252</v>
      </c>
      <c r="C755" s="1" t="n">
        <v>45840</v>
      </c>
      <c r="D755" t="inlineStr">
        <is>
          <t>DALARNAS LÄN</t>
        </is>
      </c>
      <c r="E755" t="inlineStr">
        <is>
          <t>LEKSAND</t>
        </is>
      </c>
      <c r="G755" t="n">
        <v>1.9</v>
      </c>
      <c r="H755" t="n">
        <v>0</v>
      </c>
      <c r="I755" t="n">
        <v>0</v>
      </c>
      <c r="J755" t="n">
        <v>0</v>
      </c>
      <c r="K755" t="n">
        <v>0</v>
      </c>
      <c r="L755" t="n">
        <v>0</v>
      </c>
      <c r="M755" t="n">
        <v>0</v>
      </c>
      <c r="N755" t="n">
        <v>0</v>
      </c>
      <c r="O755" t="n">
        <v>0</v>
      </c>
      <c r="P755" t="n">
        <v>0</v>
      </c>
      <c r="Q755" t="n">
        <v>0</v>
      </c>
      <c r="R755" s="2" t="inlineStr"/>
    </row>
    <row r="756" ht="15" customHeight="1">
      <c r="A756" t="inlineStr">
        <is>
          <t>A 58950-2023</t>
        </is>
      </c>
      <c r="B756" s="1" t="n">
        <v>45252</v>
      </c>
      <c r="C756" s="1" t="n">
        <v>45840</v>
      </c>
      <c r="D756" t="inlineStr">
        <is>
          <t>DALARNAS LÄN</t>
        </is>
      </c>
      <c r="E756" t="inlineStr">
        <is>
          <t>LEKSAND</t>
        </is>
      </c>
      <c r="G756" t="n">
        <v>1.8</v>
      </c>
      <c r="H756" t="n">
        <v>0</v>
      </c>
      <c r="I756" t="n">
        <v>0</v>
      </c>
      <c r="J756" t="n">
        <v>0</v>
      </c>
      <c r="K756" t="n">
        <v>0</v>
      </c>
      <c r="L756" t="n">
        <v>0</v>
      </c>
      <c r="M756" t="n">
        <v>0</v>
      </c>
      <c r="N756" t="n">
        <v>0</v>
      </c>
      <c r="O756" t="n">
        <v>0</v>
      </c>
      <c r="P756" t="n">
        <v>0</v>
      </c>
      <c r="Q756" t="n">
        <v>0</v>
      </c>
      <c r="R756" s="2" t="inlineStr"/>
    </row>
    <row r="757" ht="15" customHeight="1">
      <c r="A757" t="inlineStr">
        <is>
          <t>A 58949-2023</t>
        </is>
      </c>
      <c r="B757" s="1" t="n">
        <v>45252</v>
      </c>
      <c r="C757" s="1" t="n">
        <v>45840</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59011-2023</t>
        </is>
      </c>
      <c r="B758" s="1" t="n">
        <v>45252</v>
      </c>
      <c r="C758" s="1" t="n">
        <v>45840</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58853-2023</t>
        </is>
      </c>
      <c r="B759" s="1" t="n">
        <v>45252</v>
      </c>
      <c r="C759" s="1" t="n">
        <v>45840</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58880-2023</t>
        </is>
      </c>
      <c r="B760" s="1" t="n">
        <v>45252</v>
      </c>
      <c r="C760" s="1" t="n">
        <v>45840</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59222-2023</t>
        </is>
      </c>
      <c r="B761" s="1" t="n">
        <v>45252</v>
      </c>
      <c r="C761" s="1" t="n">
        <v>45840</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59392-2023</t>
        </is>
      </c>
      <c r="B762" s="1" t="n">
        <v>45253</v>
      </c>
      <c r="C762" s="1" t="n">
        <v>45840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59562-2023</t>
        </is>
      </c>
      <c r="B763" s="1" t="n">
        <v>45253</v>
      </c>
      <c r="C763" s="1" t="n">
        <v>45840</v>
      </c>
      <c r="D763" t="inlineStr">
        <is>
          <t>DALARNAS LÄN</t>
        </is>
      </c>
      <c r="E763" t="inlineStr">
        <is>
          <t>LEKSAND</t>
        </is>
      </c>
      <c r="G763" t="n">
        <v>2.1</v>
      </c>
      <c r="H763" t="n">
        <v>0</v>
      </c>
      <c r="I763" t="n">
        <v>0</v>
      </c>
      <c r="J763" t="n">
        <v>0</v>
      </c>
      <c r="K763" t="n">
        <v>0</v>
      </c>
      <c r="L763" t="n">
        <v>0</v>
      </c>
      <c r="M763" t="n">
        <v>0</v>
      </c>
      <c r="N763" t="n">
        <v>0</v>
      </c>
      <c r="O763" t="n">
        <v>0</v>
      </c>
      <c r="P763" t="n">
        <v>0</v>
      </c>
      <c r="Q763" t="n">
        <v>0</v>
      </c>
      <c r="R763" s="2" t="inlineStr"/>
    </row>
    <row r="764" ht="15" customHeight="1">
      <c r="A764" t="inlineStr">
        <is>
          <t>A 59809-2023</t>
        </is>
      </c>
      <c r="B764" s="1" t="n">
        <v>45254</v>
      </c>
      <c r="C764" s="1" t="n">
        <v>45840</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59803-2023</t>
        </is>
      </c>
      <c r="B765" s="1" t="n">
        <v>45254</v>
      </c>
      <c r="C765" s="1" t="n">
        <v>45840</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59826-2023</t>
        </is>
      </c>
      <c r="B766" s="1" t="n">
        <v>45254</v>
      </c>
      <c r="C766" s="1" t="n">
        <v>45840</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59673-2023</t>
        </is>
      </c>
      <c r="B767" s="1" t="n">
        <v>45255</v>
      </c>
      <c r="C767" s="1" t="n">
        <v>45840</v>
      </c>
      <c r="D767" t="inlineStr">
        <is>
          <t>DALARNAS LÄN</t>
        </is>
      </c>
      <c r="E767" t="inlineStr">
        <is>
          <t>LEKSAND</t>
        </is>
      </c>
      <c r="G767" t="n">
        <v>12.2</v>
      </c>
      <c r="H767" t="n">
        <v>0</v>
      </c>
      <c r="I767" t="n">
        <v>0</v>
      </c>
      <c r="J767" t="n">
        <v>0</v>
      </c>
      <c r="K767" t="n">
        <v>0</v>
      </c>
      <c r="L767" t="n">
        <v>0</v>
      </c>
      <c r="M767" t="n">
        <v>0</v>
      </c>
      <c r="N767" t="n">
        <v>0</v>
      </c>
      <c r="O767" t="n">
        <v>0</v>
      </c>
      <c r="P767" t="n">
        <v>0</v>
      </c>
      <c r="Q767" t="n">
        <v>0</v>
      </c>
      <c r="R767" s="2" t="inlineStr"/>
    </row>
    <row r="768" ht="15" customHeight="1">
      <c r="A768" t="inlineStr">
        <is>
          <t>A 60042-2023</t>
        </is>
      </c>
      <c r="B768" s="1" t="n">
        <v>45256</v>
      </c>
      <c r="C768" s="1" t="n">
        <v>45840</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60040-2023</t>
        </is>
      </c>
      <c r="B769" s="1" t="n">
        <v>45256</v>
      </c>
      <c r="C769" s="1" t="n">
        <v>45840</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59718-2023</t>
        </is>
      </c>
      <c r="B770" s="1" t="n">
        <v>45257</v>
      </c>
      <c r="C770" s="1" t="n">
        <v>45840</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59763-2023</t>
        </is>
      </c>
      <c r="B771" s="1" t="n">
        <v>45257</v>
      </c>
      <c r="C771" s="1" t="n">
        <v>45840</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59859-2023</t>
        </is>
      </c>
      <c r="B772" s="1" t="n">
        <v>45257</v>
      </c>
      <c r="C772" s="1" t="n">
        <v>45840</v>
      </c>
      <c r="D772" t="inlineStr">
        <is>
          <t>DALARNAS LÄN</t>
        </is>
      </c>
      <c r="E772" t="inlineStr">
        <is>
          <t>LEKSAND</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60024-2023</t>
        </is>
      </c>
      <c r="B773" s="1" t="n">
        <v>45258</v>
      </c>
      <c r="C773" s="1" t="n">
        <v>45840</v>
      </c>
      <c r="D773" t="inlineStr">
        <is>
          <t>DALARNAS LÄN</t>
        </is>
      </c>
      <c r="E773" t="inlineStr">
        <is>
          <t>LEKSAND</t>
        </is>
      </c>
      <c r="G773" t="n">
        <v>4.2</v>
      </c>
      <c r="H773" t="n">
        <v>0</v>
      </c>
      <c r="I773" t="n">
        <v>0</v>
      </c>
      <c r="J773" t="n">
        <v>0</v>
      </c>
      <c r="K773" t="n">
        <v>0</v>
      </c>
      <c r="L773" t="n">
        <v>0</v>
      </c>
      <c r="M773" t="n">
        <v>0</v>
      </c>
      <c r="N773" t="n">
        <v>0</v>
      </c>
      <c r="O773" t="n">
        <v>0</v>
      </c>
      <c r="P773" t="n">
        <v>0</v>
      </c>
      <c r="Q773" t="n">
        <v>0</v>
      </c>
      <c r="R773" s="2" t="inlineStr"/>
    </row>
    <row r="774" ht="15" customHeight="1">
      <c r="A774" t="inlineStr">
        <is>
          <t>A 60028-2023</t>
        </is>
      </c>
      <c r="B774" s="1" t="n">
        <v>45258</v>
      </c>
      <c r="C774" s="1" t="n">
        <v>45840</v>
      </c>
      <c r="D774" t="inlineStr">
        <is>
          <t>DALARNAS LÄN</t>
        </is>
      </c>
      <c r="E774" t="inlineStr">
        <is>
          <t>LEKSAND</t>
        </is>
      </c>
      <c r="G774" t="n">
        <v>1.1</v>
      </c>
      <c r="H774" t="n">
        <v>0</v>
      </c>
      <c r="I774" t="n">
        <v>0</v>
      </c>
      <c r="J774" t="n">
        <v>0</v>
      </c>
      <c r="K774" t="n">
        <v>0</v>
      </c>
      <c r="L774" t="n">
        <v>0</v>
      </c>
      <c r="M774" t="n">
        <v>0</v>
      </c>
      <c r="N774" t="n">
        <v>0</v>
      </c>
      <c r="O774" t="n">
        <v>0</v>
      </c>
      <c r="P774" t="n">
        <v>0</v>
      </c>
      <c r="Q774" t="n">
        <v>0</v>
      </c>
      <c r="R774" s="2" t="inlineStr"/>
    </row>
    <row r="775" ht="15" customHeight="1">
      <c r="A775" t="inlineStr">
        <is>
          <t>A 60044-2023</t>
        </is>
      </c>
      <c r="B775" s="1" t="n">
        <v>45258</v>
      </c>
      <c r="C775" s="1" t="n">
        <v>45840</v>
      </c>
      <c r="D775" t="inlineStr">
        <is>
          <t>DALARNAS LÄN</t>
        </is>
      </c>
      <c r="E775" t="inlineStr">
        <is>
          <t>LEKSAND</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60080-2023</t>
        </is>
      </c>
      <c r="B776" s="1" t="n">
        <v>45258</v>
      </c>
      <c r="C776" s="1" t="n">
        <v>45840</v>
      </c>
      <c r="D776" t="inlineStr">
        <is>
          <t>DALARNAS LÄN</t>
        </is>
      </c>
      <c r="E776" t="inlineStr">
        <is>
          <t>LEKSAND</t>
        </is>
      </c>
      <c r="G776" t="n">
        <v>2.7</v>
      </c>
      <c r="H776" t="n">
        <v>0</v>
      </c>
      <c r="I776" t="n">
        <v>0</v>
      </c>
      <c r="J776" t="n">
        <v>0</v>
      </c>
      <c r="K776" t="n">
        <v>0</v>
      </c>
      <c r="L776" t="n">
        <v>0</v>
      </c>
      <c r="M776" t="n">
        <v>0</v>
      </c>
      <c r="N776" t="n">
        <v>0</v>
      </c>
      <c r="O776" t="n">
        <v>0</v>
      </c>
      <c r="P776" t="n">
        <v>0</v>
      </c>
      <c r="Q776" t="n">
        <v>0</v>
      </c>
      <c r="R776" s="2" t="inlineStr"/>
    </row>
    <row r="777" ht="15" customHeight="1">
      <c r="A777" t="inlineStr">
        <is>
          <t>A 60045-2023</t>
        </is>
      </c>
      <c r="B777" s="1" t="n">
        <v>45258</v>
      </c>
      <c r="C777" s="1" t="n">
        <v>45840</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60120-2023</t>
        </is>
      </c>
      <c r="B778" s="1" t="n">
        <v>45258</v>
      </c>
      <c r="C778" s="1" t="n">
        <v>45840</v>
      </c>
      <c r="D778" t="inlineStr">
        <is>
          <t>DALARNAS LÄN</t>
        </is>
      </c>
      <c r="E778" t="inlineStr">
        <is>
          <t>LEKSAND</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60129-2023</t>
        </is>
      </c>
      <c r="B779" s="1" t="n">
        <v>45258</v>
      </c>
      <c r="C779" s="1" t="n">
        <v>45840</v>
      </c>
      <c r="D779" t="inlineStr">
        <is>
          <t>DALARNAS LÄN</t>
        </is>
      </c>
      <c r="E779" t="inlineStr">
        <is>
          <t>LEKSAND</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60189-2023</t>
        </is>
      </c>
      <c r="B780" s="1" t="n">
        <v>45258</v>
      </c>
      <c r="C780" s="1" t="n">
        <v>45840</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60310-2023</t>
        </is>
      </c>
      <c r="B781" s="1" t="n">
        <v>45258</v>
      </c>
      <c r="C781" s="1" t="n">
        <v>45840</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60309-2023</t>
        </is>
      </c>
      <c r="B782" s="1" t="n">
        <v>45258</v>
      </c>
      <c r="C782" s="1" t="n">
        <v>45840</v>
      </c>
      <c r="D782" t="inlineStr">
        <is>
          <t>DALARNAS LÄN</t>
        </is>
      </c>
      <c r="E782" t="inlineStr">
        <is>
          <t>LEKSAND</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60315-2023</t>
        </is>
      </c>
      <c r="B783" s="1" t="n">
        <v>45258</v>
      </c>
      <c r="C783" s="1" t="n">
        <v>45840</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60546-2023</t>
        </is>
      </c>
      <c r="B784" s="1" t="n">
        <v>45259</v>
      </c>
      <c r="C784" s="1" t="n">
        <v>45840</v>
      </c>
      <c r="D784" t="inlineStr">
        <is>
          <t>DALARNAS LÄN</t>
        </is>
      </c>
      <c r="E784" t="inlineStr">
        <is>
          <t>LEKSAND</t>
        </is>
      </c>
      <c r="G784" t="n">
        <v>6.6</v>
      </c>
      <c r="H784" t="n">
        <v>0</v>
      </c>
      <c r="I784" t="n">
        <v>0</v>
      </c>
      <c r="J784" t="n">
        <v>0</v>
      </c>
      <c r="K784" t="n">
        <v>0</v>
      </c>
      <c r="L784" t="n">
        <v>0</v>
      </c>
      <c r="M784" t="n">
        <v>0</v>
      </c>
      <c r="N784" t="n">
        <v>0</v>
      </c>
      <c r="O784" t="n">
        <v>0</v>
      </c>
      <c r="P784" t="n">
        <v>0</v>
      </c>
      <c r="Q784" t="n">
        <v>0</v>
      </c>
      <c r="R784" s="2" t="inlineStr"/>
    </row>
    <row r="785" ht="15" customHeight="1">
      <c r="A785" t="inlineStr">
        <is>
          <t>A 60878-2023</t>
        </is>
      </c>
      <c r="B785" s="1" t="n">
        <v>45259</v>
      </c>
      <c r="C785" s="1" t="n">
        <v>45840</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60692-2023</t>
        </is>
      </c>
      <c r="B786" s="1" t="n">
        <v>45260</v>
      </c>
      <c r="C786" s="1" t="n">
        <v>45840</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60755-2023</t>
        </is>
      </c>
      <c r="B787" s="1" t="n">
        <v>45260</v>
      </c>
      <c r="C787" s="1" t="n">
        <v>45840</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61208-2023</t>
        </is>
      </c>
      <c r="B788" s="1" t="n">
        <v>45260</v>
      </c>
      <c r="C788" s="1" t="n">
        <v>45840</v>
      </c>
      <c r="D788" t="inlineStr">
        <is>
          <t>DALARNAS LÄN</t>
        </is>
      </c>
      <c r="E788" t="inlineStr">
        <is>
          <t>LEKSAND</t>
        </is>
      </c>
      <c r="G788" t="n">
        <v>1.7</v>
      </c>
      <c r="H788" t="n">
        <v>0</v>
      </c>
      <c r="I788" t="n">
        <v>0</v>
      </c>
      <c r="J788" t="n">
        <v>0</v>
      </c>
      <c r="K788" t="n">
        <v>0</v>
      </c>
      <c r="L788" t="n">
        <v>0</v>
      </c>
      <c r="M788" t="n">
        <v>0</v>
      </c>
      <c r="N788" t="n">
        <v>0</v>
      </c>
      <c r="O788" t="n">
        <v>0</v>
      </c>
      <c r="P788" t="n">
        <v>0</v>
      </c>
      <c r="Q788" t="n">
        <v>0</v>
      </c>
      <c r="R788" s="2" t="inlineStr"/>
    </row>
    <row r="789" ht="15" customHeight="1">
      <c r="A789" t="inlineStr">
        <is>
          <t>A 61244-2023</t>
        </is>
      </c>
      <c r="B789" s="1" t="n">
        <v>45260</v>
      </c>
      <c r="C789" s="1" t="n">
        <v>45840</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60873-2023</t>
        </is>
      </c>
      <c r="B790" s="1" t="n">
        <v>45261</v>
      </c>
      <c r="C790" s="1" t="n">
        <v>45840</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61052-2023</t>
        </is>
      </c>
      <c r="B791" s="1" t="n">
        <v>45261</v>
      </c>
      <c r="C791" s="1" t="n">
        <v>45840</v>
      </c>
      <c r="D791" t="inlineStr">
        <is>
          <t>DALARNAS LÄN</t>
        </is>
      </c>
      <c r="E791" t="inlineStr">
        <is>
          <t>LEKSAND</t>
        </is>
      </c>
      <c r="G791" t="n">
        <v>8.6</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45840</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61054-2023</t>
        </is>
      </c>
      <c r="B793" s="1" t="n">
        <v>45261</v>
      </c>
      <c r="C793" s="1" t="n">
        <v>45840</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61055-2023</t>
        </is>
      </c>
      <c r="B794" s="1" t="n">
        <v>45261</v>
      </c>
      <c r="C794" s="1" t="n">
        <v>45840</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61252-2023</t>
        </is>
      </c>
      <c r="B795" s="1" t="n">
        <v>45261</v>
      </c>
      <c r="C795" s="1" t="n">
        <v>45840</v>
      </c>
      <c r="D795" t="inlineStr">
        <is>
          <t>DALARNAS LÄN</t>
        </is>
      </c>
      <c r="E795" t="inlineStr">
        <is>
          <t>LEKSAND</t>
        </is>
      </c>
      <c r="G795" t="n">
        <v>1.9</v>
      </c>
      <c r="H795" t="n">
        <v>0</v>
      </c>
      <c r="I795" t="n">
        <v>0</v>
      </c>
      <c r="J795" t="n">
        <v>0</v>
      </c>
      <c r="K795" t="n">
        <v>0</v>
      </c>
      <c r="L795" t="n">
        <v>0</v>
      </c>
      <c r="M795" t="n">
        <v>0</v>
      </c>
      <c r="N795" t="n">
        <v>0</v>
      </c>
      <c r="O795" t="n">
        <v>0</v>
      </c>
      <c r="P795" t="n">
        <v>0</v>
      </c>
      <c r="Q795" t="n">
        <v>0</v>
      </c>
      <c r="R795" s="2" t="inlineStr"/>
    </row>
    <row r="796" ht="15" customHeight="1">
      <c r="A796" t="inlineStr">
        <is>
          <t>A 61617-2023</t>
        </is>
      </c>
      <c r="B796" s="1" t="n">
        <v>45261</v>
      </c>
      <c r="C796" s="1" t="n">
        <v>45840</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61637-2023</t>
        </is>
      </c>
      <c r="B797" s="1" t="n">
        <v>45261</v>
      </c>
      <c r="C797" s="1" t="n">
        <v>45840</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61614-2023</t>
        </is>
      </c>
      <c r="B798" s="1" t="n">
        <v>45261</v>
      </c>
      <c r="C798" s="1" t="n">
        <v>45840</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61627-2023</t>
        </is>
      </c>
      <c r="B799" s="1" t="n">
        <v>45261</v>
      </c>
      <c r="C799" s="1" t="n">
        <v>45840</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61225-2023</t>
        </is>
      </c>
      <c r="B800" s="1" t="n">
        <v>45264</v>
      </c>
      <c r="C800" s="1" t="n">
        <v>45840</v>
      </c>
      <c r="D800" t="inlineStr">
        <is>
          <t>DALARNAS LÄN</t>
        </is>
      </c>
      <c r="E800" t="inlineStr">
        <is>
          <t>LEKSAND</t>
        </is>
      </c>
      <c r="G800" t="n">
        <v>7</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45840</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61652-2023</t>
        </is>
      </c>
      <c r="B802" s="1" t="n">
        <v>45265</v>
      </c>
      <c r="C802" s="1" t="n">
        <v>45840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61598-2023</t>
        </is>
      </c>
      <c r="B803" s="1" t="n">
        <v>45265</v>
      </c>
      <c r="C803" s="1" t="n">
        <v>45840</v>
      </c>
      <c r="D803" t="inlineStr">
        <is>
          <t>DALARNAS LÄN</t>
        </is>
      </c>
      <c r="E803" t="inlineStr">
        <is>
          <t>LEKSAND</t>
        </is>
      </c>
      <c r="F803" t="inlineStr">
        <is>
          <t>Bergvik skog väst AB</t>
        </is>
      </c>
      <c r="G803" t="n">
        <v>5.8</v>
      </c>
      <c r="H803" t="n">
        <v>0</v>
      </c>
      <c r="I803" t="n">
        <v>0</v>
      </c>
      <c r="J803" t="n">
        <v>0</v>
      </c>
      <c r="K803" t="n">
        <v>0</v>
      </c>
      <c r="L803" t="n">
        <v>0</v>
      </c>
      <c r="M803" t="n">
        <v>0</v>
      </c>
      <c r="N803" t="n">
        <v>0</v>
      </c>
      <c r="O803" t="n">
        <v>0</v>
      </c>
      <c r="P803" t="n">
        <v>0</v>
      </c>
      <c r="Q803" t="n">
        <v>0</v>
      </c>
      <c r="R803" s="2" t="inlineStr"/>
    </row>
    <row r="804" ht="15" customHeight="1">
      <c r="A804" t="inlineStr">
        <is>
          <t>A 61633-2023</t>
        </is>
      </c>
      <c r="B804" s="1" t="n">
        <v>45265</v>
      </c>
      <c r="C804" s="1" t="n">
        <v>45840</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61910-2023</t>
        </is>
      </c>
      <c r="B805" s="1" t="n">
        <v>45266</v>
      </c>
      <c r="C805" s="1" t="n">
        <v>45840</v>
      </c>
      <c r="D805" t="inlineStr">
        <is>
          <t>DALARNAS LÄN</t>
        </is>
      </c>
      <c r="E805" t="inlineStr">
        <is>
          <t>LEKSAND</t>
        </is>
      </c>
      <c r="G805" t="n">
        <v>7.3</v>
      </c>
      <c r="H805" t="n">
        <v>0</v>
      </c>
      <c r="I805" t="n">
        <v>0</v>
      </c>
      <c r="J805" t="n">
        <v>0</v>
      </c>
      <c r="K805" t="n">
        <v>0</v>
      </c>
      <c r="L805" t="n">
        <v>0</v>
      </c>
      <c r="M805" t="n">
        <v>0</v>
      </c>
      <c r="N805" t="n">
        <v>0</v>
      </c>
      <c r="O805" t="n">
        <v>0</v>
      </c>
      <c r="P805" t="n">
        <v>0</v>
      </c>
      <c r="Q805" t="n">
        <v>0</v>
      </c>
      <c r="R805" s="2" t="inlineStr"/>
    </row>
    <row r="806" ht="15" customHeight="1">
      <c r="A806" t="inlineStr">
        <is>
          <t>A 61933-2023</t>
        </is>
      </c>
      <c r="B806" s="1" t="n">
        <v>45266</v>
      </c>
      <c r="C806" s="1" t="n">
        <v>45840</v>
      </c>
      <c r="D806" t="inlineStr">
        <is>
          <t>DALARNAS LÄN</t>
        </is>
      </c>
      <c r="E806" t="inlineStr">
        <is>
          <t>LEKSAND</t>
        </is>
      </c>
      <c r="G806" t="n">
        <v>0.2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45840</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61957-2023</t>
        </is>
      </c>
      <c r="B808" s="1" t="n">
        <v>45266</v>
      </c>
      <c r="C808" s="1" t="n">
        <v>45840</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61938-2023</t>
        </is>
      </c>
      <c r="B809" s="1" t="n">
        <v>45266</v>
      </c>
      <c r="C809" s="1" t="n">
        <v>45840</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61950-2023</t>
        </is>
      </c>
      <c r="B810" s="1" t="n">
        <v>45266</v>
      </c>
      <c r="C810" s="1" t="n">
        <v>45840</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62306-2023</t>
        </is>
      </c>
      <c r="B811" s="1" t="n">
        <v>45266</v>
      </c>
      <c r="C811" s="1" t="n">
        <v>45840</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62307-2023</t>
        </is>
      </c>
      <c r="B812" s="1" t="n">
        <v>45266</v>
      </c>
      <c r="C812" s="1" t="n">
        <v>45840</v>
      </c>
      <c r="D812" t="inlineStr">
        <is>
          <t>DALARNAS LÄN</t>
        </is>
      </c>
      <c r="E812" t="inlineStr">
        <is>
          <t>LEKSAND</t>
        </is>
      </c>
      <c r="G812" t="n">
        <v>3.9</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v>
      </c>
      <c r="C813" s="1" t="n">
        <v>45840</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62295-2023</t>
        </is>
      </c>
      <c r="B814" s="1" t="n">
        <v>45267</v>
      </c>
      <c r="C814" s="1" t="n">
        <v>45840</v>
      </c>
      <c r="D814" t="inlineStr">
        <is>
          <t>DALARNAS LÄN</t>
        </is>
      </c>
      <c r="E814" t="inlineStr">
        <is>
          <t>LEKSAND</t>
        </is>
      </c>
      <c r="G814" t="n">
        <v>2.5</v>
      </c>
      <c r="H814" t="n">
        <v>0</v>
      </c>
      <c r="I814" t="n">
        <v>0</v>
      </c>
      <c r="J814" t="n">
        <v>0</v>
      </c>
      <c r="K814" t="n">
        <v>0</v>
      </c>
      <c r="L814" t="n">
        <v>0</v>
      </c>
      <c r="M814" t="n">
        <v>0</v>
      </c>
      <c r="N814" t="n">
        <v>0</v>
      </c>
      <c r="O814" t="n">
        <v>0</v>
      </c>
      <c r="P814" t="n">
        <v>0</v>
      </c>
      <c r="Q814" t="n">
        <v>0</v>
      </c>
      <c r="R814" s="2" t="inlineStr"/>
    </row>
    <row r="815" ht="15" customHeight="1">
      <c r="A815" t="inlineStr">
        <is>
          <t>A 62305-2023</t>
        </is>
      </c>
      <c r="B815" s="1" t="n">
        <v>45267</v>
      </c>
      <c r="C815" s="1" t="n">
        <v>45840</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62587-2023</t>
        </is>
      </c>
      <c r="B816" s="1" t="n">
        <v>45270</v>
      </c>
      <c r="C816" s="1" t="n">
        <v>45840</v>
      </c>
      <c r="D816" t="inlineStr">
        <is>
          <t>DALARNAS LÄN</t>
        </is>
      </c>
      <c r="E816" t="inlineStr">
        <is>
          <t>LEKSAND</t>
        </is>
      </c>
      <c r="G816" t="n">
        <v>4.8</v>
      </c>
      <c r="H816" t="n">
        <v>0</v>
      </c>
      <c r="I816" t="n">
        <v>0</v>
      </c>
      <c r="J816" t="n">
        <v>0</v>
      </c>
      <c r="K816" t="n">
        <v>0</v>
      </c>
      <c r="L816" t="n">
        <v>0</v>
      </c>
      <c r="M816" t="n">
        <v>0</v>
      </c>
      <c r="N816" t="n">
        <v>0</v>
      </c>
      <c r="O816" t="n">
        <v>0</v>
      </c>
      <c r="P816" t="n">
        <v>0</v>
      </c>
      <c r="Q816" t="n">
        <v>0</v>
      </c>
      <c r="R816" s="2" t="inlineStr"/>
    </row>
    <row r="817" ht="15" customHeight="1">
      <c r="A817" t="inlineStr">
        <is>
          <t>A 62863-2023</t>
        </is>
      </c>
      <c r="B817" s="1" t="n">
        <v>45272</v>
      </c>
      <c r="C817" s="1" t="n">
        <v>45840</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62993-2023</t>
        </is>
      </c>
      <c r="B818" s="1" t="n">
        <v>45272</v>
      </c>
      <c r="C818" s="1" t="n">
        <v>45840</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63105-2023</t>
        </is>
      </c>
      <c r="B819" s="1" t="n">
        <v>45273</v>
      </c>
      <c r="C819" s="1" t="n">
        <v>45840</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63107-2023</t>
        </is>
      </c>
      <c r="B820" s="1" t="n">
        <v>45273</v>
      </c>
      <c r="C820" s="1" t="n">
        <v>45840</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63514-2023</t>
        </is>
      </c>
      <c r="B821" s="1" t="n">
        <v>45274</v>
      </c>
      <c r="C821" s="1" t="n">
        <v>45840</v>
      </c>
      <c r="D821" t="inlineStr">
        <is>
          <t>DALARNAS LÄN</t>
        </is>
      </c>
      <c r="E821" t="inlineStr">
        <is>
          <t>LEKSAND</t>
        </is>
      </c>
      <c r="G821" t="n">
        <v>1</v>
      </c>
      <c r="H821" t="n">
        <v>0</v>
      </c>
      <c r="I821" t="n">
        <v>0</v>
      </c>
      <c r="J821" t="n">
        <v>0</v>
      </c>
      <c r="K821" t="n">
        <v>0</v>
      </c>
      <c r="L821" t="n">
        <v>0</v>
      </c>
      <c r="M821" t="n">
        <v>0</v>
      </c>
      <c r="N821" t="n">
        <v>0</v>
      </c>
      <c r="O821" t="n">
        <v>0</v>
      </c>
      <c r="P821" t="n">
        <v>0</v>
      </c>
      <c r="Q821" t="n">
        <v>0</v>
      </c>
      <c r="R821" s="2" t="inlineStr"/>
    </row>
    <row r="822" ht="15" customHeight="1">
      <c r="A822" t="inlineStr">
        <is>
          <t>A 63513-2023</t>
        </is>
      </c>
      <c r="B822" s="1" t="n">
        <v>45274</v>
      </c>
      <c r="C822" s="1" t="n">
        <v>45840</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63544-2023</t>
        </is>
      </c>
      <c r="B823" s="1" t="n">
        <v>45275</v>
      </c>
      <c r="C823" s="1" t="n">
        <v>45840</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63548-2023</t>
        </is>
      </c>
      <c r="B824" s="1" t="n">
        <v>45275</v>
      </c>
      <c r="C824" s="1" t="n">
        <v>45840</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64146-2023</t>
        </is>
      </c>
      <c r="B825" s="1" t="n">
        <v>45279</v>
      </c>
      <c r="C825" s="1" t="n">
        <v>45840</v>
      </c>
      <c r="D825" t="inlineStr">
        <is>
          <t>DALARNAS LÄN</t>
        </is>
      </c>
      <c r="E825" t="inlineStr">
        <is>
          <t>LEKSAND</t>
        </is>
      </c>
      <c r="G825" t="n">
        <v>4.3</v>
      </c>
      <c r="H825" t="n">
        <v>0</v>
      </c>
      <c r="I825" t="n">
        <v>0</v>
      </c>
      <c r="J825" t="n">
        <v>0</v>
      </c>
      <c r="K825" t="n">
        <v>0</v>
      </c>
      <c r="L825" t="n">
        <v>0</v>
      </c>
      <c r="M825" t="n">
        <v>0</v>
      </c>
      <c r="N825" t="n">
        <v>0</v>
      </c>
      <c r="O825" t="n">
        <v>0</v>
      </c>
      <c r="P825" t="n">
        <v>0</v>
      </c>
      <c r="Q825" t="n">
        <v>0</v>
      </c>
      <c r="R825" s="2" t="inlineStr"/>
    </row>
    <row r="826" ht="15" customHeight="1">
      <c r="A826" t="inlineStr">
        <is>
          <t>A 64418-2023</t>
        </is>
      </c>
      <c r="B826" s="1" t="n">
        <v>45280</v>
      </c>
      <c r="C826" s="1" t="n">
        <v>45840</v>
      </c>
      <c r="D826" t="inlineStr">
        <is>
          <t>DALARNAS LÄN</t>
        </is>
      </c>
      <c r="E826" t="inlineStr">
        <is>
          <t>LEKSAND</t>
        </is>
      </c>
      <c r="G826" t="n">
        <v>3.4</v>
      </c>
      <c r="H826" t="n">
        <v>0</v>
      </c>
      <c r="I826" t="n">
        <v>0</v>
      </c>
      <c r="J826" t="n">
        <v>0</v>
      </c>
      <c r="K826" t="n">
        <v>0</v>
      </c>
      <c r="L826" t="n">
        <v>0</v>
      </c>
      <c r="M826" t="n">
        <v>0</v>
      </c>
      <c r="N826" t="n">
        <v>0</v>
      </c>
      <c r="O826" t="n">
        <v>0</v>
      </c>
      <c r="P826" t="n">
        <v>0</v>
      </c>
      <c r="Q826" t="n">
        <v>0</v>
      </c>
      <c r="R826" s="2" t="inlineStr"/>
    </row>
    <row r="827" ht="15" customHeight="1">
      <c r="A827" t="inlineStr">
        <is>
          <t>A 64516-2023</t>
        </is>
      </c>
      <c r="B827" s="1" t="n">
        <v>45280</v>
      </c>
      <c r="C827" s="1" t="n">
        <v>45840</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64515-2023</t>
        </is>
      </c>
      <c r="B828" s="1" t="n">
        <v>45280</v>
      </c>
      <c r="C828" s="1" t="n">
        <v>45840</v>
      </c>
      <c r="D828" t="inlineStr">
        <is>
          <t>DALARNAS LÄN</t>
        </is>
      </c>
      <c r="E828" t="inlineStr">
        <is>
          <t>LEKSAND</t>
        </is>
      </c>
      <c r="G828" t="n">
        <v>9.1</v>
      </c>
      <c r="H828" t="n">
        <v>0</v>
      </c>
      <c r="I828" t="n">
        <v>0</v>
      </c>
      <c r="J828" t="n">
        <v>0</v>
      </c>
      <c r="K828" t="n">
        <v>0</v>
      </c>
      <c r="L828" t="n">
        <v>0</v>
      </c>
      <c r="M828" t="n">
        <v>0</v>
      </c>
      <c r="N828" t="n">
        <v>0</v>
      </c>
      <c r="O828" t="n">
        <v>0</v>
      </c>
      <c r="P828" t="n">
        <v>0</v>
      </c>
      <c r="Q828" t="n">
        <v>0</v>
      </c>
      <c r="R828" s="2" t="inlineStr"/>
    </row>
    <row r="829" ht="15" customHeight="1">
      <c r="A829" t="inlineStr">
        <is>
          <t>A 64677-2023</t>
        </is>
      </c>
      <c r="B829" s="1" t="n">
        <v>45281</v>
      </c>
      <c r="C829" s="1" t="n">
        <v>45840</v>
      </c>
      <c r="D829" t="inlineStr">
        <is>
          <t>DALARNAS LÄN</t>
        </is>
      </c>
      <c r="E829" t="inlineStr">
        <is>
          <t>LEKSAND</t>
        </is>
      </c>
      <c r="G829" t="n">
        <v>2.7</v>
      </c>
      <c r="H829" t="n">
        <v>0</v>
      </c>
      <c r="I829" t="n">
        <v>0</v>
      </c>
      <c r="J829" t="n">
        <v>0</v>
      </c>
      <c r="K829" t="n">
        <v>0</v>
      </c>
      <c r="L829" t="n">
        <v>0</v>
      </c>
      <c r="M829" t="n">
        <v>0</v>
      </c>
      <c r="N829" t="n">
        <v>0</v>
      </c>
      <c r="O829" t="n">
        <v>0</v>
      </c>
      <c r="P829" t="n">
        <v>0</v>
      </c>
      <c r="Q829" t="n">
        <v>0</v>
      </c>
      <c r="R829" s="2" t="inlineStr"/>
    </row>
    <row r="830" ht="15" customHeight="1">
      <c r="A830" t="inlineStr">
        <is>
          <t>A 64612-2023</t>
        </is>
      </c>
      <c r="B830" s="1" t="n">
        <v>45281</v>
      </c>
      <c r="C830" s="1" t="n">
        <v>45840</v>
      </c>
      <c r="D830" t="inlineStr">
        <is>
          <t>DALARNAS LÄN</t>
        </is>
      </c>
      <c r="E830" t="inlineStr">
        <is>
          <t>LEKSAND</t>
        </is>
      </c>
      <c r="G830" t="n">
        <v>3.6</v>
      </c>
      <c r="H830" t="n">
        <v>0</v>
      </c>
      <c r="I830" t="n">
        <v>0</v>
      </c>
      <c r="J830" t="n">
        <v>0</v>
      </c>
      <c r="K830" t="n">
        <v>0</v>
      </c>
      <c r="L830" t="n">
        <v>0</v>
      </c>
      <c r="M830" t="n">
        <v>0</v>
      </c>
      <c r="N830" t="n">
        <v>0</v>
      </c>
      <c r="O830" t="n">
        <v>0</v>
      </c>
      <c r="P830" t="n">
        <v>0</v>
      </c>
      <c r="Q830" t="n">
        <v>0</v>
      </c>
      <c r="R830" s="2" t="inlineStr"/>
    </row>
    <row r="831" ht="15" customHeight="1">
      <c r="A831" t="inlineStr">
        <is>
          <t>A 64867-2023</t>
        </is>
      </c>
      <c r="B831" s="1" t="n">
        <v>45282</v>
      </c>
      <c r="C831" s="1" t="n">
        <v>45840</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64931-2023</t>
        </is>
      </c>
      <c r="B832" s="1" t="n">
        <v>45282</v>
      </c>
      <c r="C832" s="1" t="n">
        <v>45840</v>
      </c>
      <c r="D832" t="inlineStr">
        <is>
          <t>DALARNAS LÄN</t>
        </is>
      </c>
      <c r="E832" t="inlineStr">
        <is>
          <t>LEKSAND</t>
        </is>
      </c>
      <c r="G832" t="n">
        <v>6.3</v>
      </c>
      <c r="H832" t="n">
        <v>0</v>
      </c>
      <c r="I832" t="n">
        <v>0</v>
      </c>
      <c r="J832" t="n">
        <v>0</v>
      </c>
      <c r="K832" t="n">
        <v>0</v>
      </c>
      <c r="L832" t="n">
        <v>0</v>
      </c>
      <c r="M832" t="n">
        <v>0</v>
      </c>
      <c r="N832" t="n">
        <v>0</v>
      </c>
      <c r="O832" t="n">
        <v>0</v>
      </c>
      <c r="P832" t="n">
        <v>0</v>
      </c>
      <c r="Q832" t="n">
        <v>0</v>
      </c>
      <c r="R832" s="2" t="inlineStr"/>
    </row>
    <row r="833" ht="15" customHeight="1">
      <c r="A833" t="inlineStr">
        <is>
          <t>A 64933-2023</t>
        </is>
      </c>
      <c r="B833" s="1" t="n">
        <v>45282</v>
      </c>
      <c r="C833" s="1" t="n">
        <v>45840</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65047-2023</t>
        </is>
      </c>
      <c r="B834" s="1" t="n">
        <v>45283</v>
      </c>
      <c r="C834" s="1" t="n">
        <v>45840</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23-2024</t>
        </is>
      </c>
      <c r="B835" s="1" t="n">
        <v>45293</v>
      </c>
      <c r="C835" s="1" t="n">
        <v>45840</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32-2024</t>
        </is>
      </c>
      <c r="B836" s="1" t="n">
        <v>45293</v>
      </c>
      <c r="C836" s="1" t="n">
        <v>45840</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121-2024</t>
        </is>
      </c>
      <c r="B837" s="1" t="n">
        <v>45294</v>
      </c>
      <c r="C837" s="1" t="n">
        <v>45840</v>
      </c>
      <c r="D837" t="inlineStr">
        <is>
          <t>DALARNAS LÄN</t>
        </is>
      </c>
      <c r="E837" t="inlineStr">
        <is>
          <t>LEKSAND</t>
        </is>
      </c>
      <c r="G837" t="n">
        <v>8.6</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v>
      </c>
      <c r="C838" s="1" t="n">
        <v>45840</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412-2024</t>
        </is>
      </c>
      <c r="B839" s="1" t="n">
        <v>45296</v>
      </c>
      <c r="C839" s="1" t="n">
        <v>45840</v>
      </c>
      <c r="D839" t="inlineStr">
        <is>
          <t>DALARNAS LÄN</t>
        </is>
      </c>
      <c r="E839" t="inlineStr">
        <is>
          <t>LEKSAND</t>
        </is>
      </c>
      <c r="G839" t="n">
        <v>1.9</v>
      </c>
      <c r="H839" t="n">
        <v>0</v>
      </c>
      <c r="I839" t="n">
        <v>0</v>
      </c>
      <c r="J839" t="n">
        <v>0</v>
      </c>
      <c r="K839" t="n">
        <v>0</v>
      </c>
      <c r="L839" t="n">
        <v>0</v>
      </c>
      <c r="M839" t="n">
        <v>0</v>
      </c>
      <c r="N839" t="n">
        <v>0</v>
      </c>
      <c r="O839" t="n">
        <v>0</v>
      </c>
      <c r="P839" t="n">
        <v>0</v>
      </c>
      <c r="Q839" t="n">
        <v>0</v>
      </c>
      <c r="R839" s="2" t="inlineStr"/>
    </row>
    <row r="840" ht="15" customHeight="1">
      <c r="A840" t="inlineStr">
        <is>
          <t>A 481-2024</t>
        </is>
      </c>
      <c r="B840" s="1" t="n">
        <v>45298</v>
      </c>
      <c r="C840" s="1" t="n">
        <v>45840</v>
      </c>
      <c r="D840" t="inlineStr">
        <is>
          <t>DALARNAS LÄN</t>
        </is>
      </c>
      <c r="E840" t="inlineStr">
        <is>
          <t>LEKSAND</t>
        </is>
      </c>
      <c r="G840" t="n">
        <v>7</v>
      </c>
      <c r="H840" t="n">
        <v>0</v>
      </c>
      <c r="I840" t="n">
        <v>0</v>
      </c>
      <c r="J840" t="n">
        <v>0</v>
      </c>
      <c r="K840" t="n">
        <v>0</v>
      </c>
      <c r="L840" t="n">
        <v>0</v>
      </c>
      <c r="M840" t="n">
        <v>0</v>
      </c>
      <c r="N840" t="n">
        <v>0</v>
      </c>
      <c r="O840" t="n">
        <v>0</v>
      </c>
      <c r="P840" t="n">
        <v>0</v>
      </c>
      <c r="Q840" t="n">
        <v>0</v>
      </c>
      <c r="R840" s="2" t="inlineStr"/>
    </row>
    <row r="841" ht="15" customHeight="1">
      <c r="A841" t="inlineStr">
        <is>
          <t>A 511-2024</t>
        </is>
      </c>
      <c r="B841" s="1" t="n">
        <v>45299</v>
      </c>
      <c r="C841" s="1" t="n">
        <v>45840</v>
      </c>
      <c r="D841" t="inlineStr">
        <is>
          <t>DALARNAS LÄN</t>
        </is>
      </c>
      <c r="E841" t="inlineStr">
        <is>
          <t>LEKSAND</t>
        </is>
      </c>
      <c r="G841" t="n">
        <v>1.1</v>
      </c>
      <c r="H841" t="n">
        <v>0</v>
      </c>
      <c r="I841" t="n">
        <v>0</v>
      </c>
      <c r="J841" t="n">
        <v>0</v>
      </c>
      <c r="K841" t="n">
        <v>0</v>
      </c>
      <c r="L841" t="n">
        <v>0</v>
      </c>
      <c r="M841" t="n">
        <v>0</v>
      </c>
      <c r="N841" t="n">
        <v>0</v>
      </c>
      <c r="O841" t="n">
        <v>0</v>
      </c>
      <c r="P841" t="n">
        <v>0</v>
      </c>
      <c r="Q841" t="n">
        <v>0</v>
      </c>
      <c r="R841" s="2" t="inlineStr"/>
    </row>
    <row r="842" ht="15" customHeight="1">
      <c r="A842" t="inlineStr">
        <is>
          <t>A 613-2024</t>
        </is>
      </c>
      <c r="B842" s="1" t="n">
        <v>45299</v>
      </c>
      <c r="C842" s="1" t="n">
        <v>45840</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962-2024</t>
        </is>
      </c>
      <c r="B843" s="1" t="n">
        <v>45301</v>
      </c>
      <c r="C843" s="1" t="n">
        <v>45840</v>
      </c>
      <c r="D843" t="inlineStr">
        <is>
          <t>DALARNAS LÄN</t>
        </is>
      </c>
      <c r="E843" t="inlineStr">
        <is>
          <t>LEKSAND</t>
        </is>
      </c>
      <c r="G843" t="n">
        <v>3.8</v>
      </c>
      <c r="H843" t="n">
        <v>0</v>
      </c>
      <c r="I843" t="n">
        <v>0</v>
      </c>
      <c r="J843" t="n">
        <v>0</v>
      </c>
      <c r="K843" t="n">
        <v>0</v>
      </c>
      <c r="L843" t="n">
        <v>0</v>
      </c>
      <c r="M843" t="n">
        <v>0</v>
      </c>
      <c r="N843" t="n">
        <v>0</v>
      </c>
      <c r="O843" t="n">
        <v>0</v>
      </c>
      <c r="P843" t="n">
        <v>0</v>
      </c>
      <c r="Q843" t="n">
        <v>0</v>
      </c>
      <c r="R843" s="2" t="inlineStr"/>
    </row>
    <row r="844" ht="15" customHeight="1">
      <c r="A844" t="inlineStr">
        <is>
          <t>A 1179-2024</t>
        </is>
      </c>
      <c r="B844" s="1" t="n">
        <v>45302</v>
      </c>
      <c r="C844" s="1" t="n">
        <v>45840</v>
      </c>
      <c r="D844" t="inlineStr">
        <is>
          <t>DALARNAS LÄN</t>
        </is>
      </c>
      <c r="E844" t="inlineStr">
        <is>
          <t>LEKSAND</t>
        </is>
      </c>
      <c r="G844" t="n">
        <v>2.8</v>
      </c>
      <c r="H844" t="n">
        <v>0</v>
      </c>
      <c r="I844" t="n">
        <v>0</v>
      </c>
      <c r="J844" t="n">
        <v>0</v>
      </c>
      <c r="K844" t="n">
        <v>0</v>
      </c>
      <c r="L844" t="n">
        <v>0</v>
      </c>
      <c r="M844" t="n">
        <v>0</v>
      </c>
      <c r="N844" t="n">
        <v>0</v>
      </c>
      <c r="O844" t="n">
        <v>0</v>
      </c>
      <c r="P844" t="n">
        <v>0</v>
      </c>
      <c r="Q844" t="n">
        <v>0</v>
      </c>
      <c r="R844" s="2" t="inlineStr"/>
    </row>
    <row r="845" ht="15" customHeight="1">
      <c r="A845" t="inlineStr">
        <is>
          <t>A 1215-2024</t>
        </is>
      </c>
      <c r="B845" s="1" t="n">
        <v>45302</v>
      </c>
      <c r="C845" s="1" t="n">
        <v>45840</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1458-2024</t>
        </is>
      </c>
      <c r="B846" s="1" t="n">
        <v>45303</v>
      </c>
      <c r="C846" s="1" t="n">
        <v>45840</v>
      </c>
      <c r="D846" t="inlineStr">
        <is>
          <t>DALARNAS LÄN</t>
        </is>
      </c>
      <c r="E846" t="inlineStr">
        <is>
          <t>LEKSAND</t>
        </is>
      </c>
      <c r="G846" t="n">
        <v>2</v>
      </c>
      <c r="H846" t="n">
        <v>0</v>
      </c>
      <c r="I846" t="n">
        <v>0</v>
      </c>
      <c r="J846" t="n">
        <v>0</v>
      </c>
      <c r="K846" t="n">
        <v>0</v>
      </c>
      <c r="L846" t="n">
        <v>0</v>
      </c>
      <c r="M846" t="n">
        <v>0</v>
      </c>
      <c r="N846" t="n">
        <v>0</v>
      </c>
      <c r="O846" t="n">
        <v>0</v>
      </c>
      <c r="P846" t="n">
        <v>0</v>
      </c>
      <c r="Q846" t="n">
        <v>0</v>
      </c>
      <c r="R846" s="2" t="inlineStr"/>
    </row>
    <row r="847" ht="15" customHeight="1">
      <c r="A847" t="inlineStr">
        <is>
          <t>A 1443-2024</t>
        </is>
      </c>
      <c r="B847" s="1" t="n">
        <v>45303</v>
      </c>
      <c r="C847" s="1" t="n">
        <v>45840</v>
      </c>
      <c r="D847" t="inlineStr">
        <is>
          <t>DALARNAS LÄN</t>
        </is>
      </c>
      <c r="E847" t="inlineStr">
        <is>
          <t>LEKSAND</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1457-2024</t>
        </is>
      </c>
      <c r="B848" s="1" t="n">
        <v>45303</v>
      </c>
      <c r="C848" s="1" t="n">
        <v>45840</v>
      </c>
      <c r="D848" t="inlineStr">
        <is>
          <t>DALARNAS LÄN</t>
        </is>
      </c>
      <c r="E848" t="inlineStr">
        <is>
          <t>LEKSAND</t>
        </is>
      </c>
      <c r="G848" t="n">
        <v>4.4</v>
      </c>
      <c r="H848" t="n">
        <v>0</v>
      </c>
      <c r="I848" t="n">
        <v>0</v>
      </c>
      <c r="J848" t="n">
        <v>0</v>
      </c>
      <c r="K848" t="n">
        <v>0</v>
      </c>
      <c r="L848" t="n">
        <v>0</v>
      </c>
      <c r="M848" t="n">
        <v>0</v>
      </c>
      <c r="N848" t="n">
        <v>0</v>
      </c>
      <c r="O848" t="n">
        <v>0</v>
      </c>
      <c r="P848" t="n">
        <v>0</v>
      </c>
      <c r="Q848" t="n">
        <v>0</v>
      </c>
      <c r="R848" s="2" t="inlineStr"/>
    </row>
    <row r="849" ht="15" customHeight="1">
      <c r="A849" t="inlineStr">
        <is>
          <t>A 1461-2024</t>
        </is>
      </c>
      <c r="B849" s="1" t="n">
        <v>45303</v>
      </c>
      <c r="C849" s="1" t="n">
        <v>45840</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1463-2024</t>
        </is>
      </c>
      <c r="B850" s="1" t="n">
        <v>45303</v>
      </c>
      <c r="C850" s="1" t="n">
        <v>45840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1476-2024</t>
        </is>
      </c>
      <c r="B851" s="1" t="n">
        <v>45304</v>
      </c>
      <c r="C851" s="1" t="n">
        <v>45840</v>
      </c>
      <c r="D851" t="inlineStr">
        <is>
          <t>DALARNAS LÄN</t>
        </is>
      </c>
      <c r="E851" t="inlineStr">
        <is>
          <t>LEKSAND</t>
        </is>
      </c>
      <c r="G851" t="n">
        <v>4.3</v>
      </c>
      <c r="H851" t="n">
        <v>0</v>
      </c>
      <c r="I851" t="n">
        <v>0</v>
      </c>
      <c r="J851" t="n">
        <v>0</v>
      </c>
      <c r="K851" t="n">
        <v>0</v>
      </c>
      <c r="L851" t="n">
        <v>0</v>
      </c>
      <c r="M851" t="n">
        <v>0</v>
      </c>
      <c r="N851" t="n">
        <v>0</v>
      </c>
      <c r="O851" t="n">
        <v>0</v>
      </c>
      <c r="P851" t="n">
        <v>0</v>
      </c>
      <c r="Q851" t="n">
        <v>0</v>
      </c>
      <c r="R851" s="2" t="inlineStr"/>
    </row>
    <row r="852" ht="15" customHeight="1">
      <c r="A852" t="inlineStr">
        <is>
          <t>A 1519-2024</t>
        </is>
      </c>
      <c r="B852" s="1" t="n">
        <v>45306</v>
      </c>
      <c r="C852" s="1" t="n">
        <v>45840</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1616-2024</t>
        </is>
      </c>
      <c r="B853" s="1" t="n">
        <v>45306</v>
      </c>
      <c r="C853" s="1" t="n">
        <v>45840</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1849-2024</t>
        </is>
      </c>
      <c r="B854" s="1" t="n">
        <v>45307</v>
      </c>
      <c r="C854" s="1" t="n">
        <v>45840</v>
      </c>
      <c r="D854" t="inlineStr">
        <is>
          <t>DALARNAS LÄN</t>
        </is>
      </c>
      <c r="E854" t="inlineStr">
        <is>
          <t>LEKSAND</t>
        </is>
      </c>
      <c r="F854" t="inlineStr">
        <is>
          <t>Kommuner</t>
        </is>
      </c>
      <c r="G854" t="n">
        <v>5</v>
      </c>
      <c r="H854" t="n">
        <v>0</v>
      </c>
      <c r="I854" t="n">
        <v>0</v>
      </c>
      <c r="J854" t="n">
        <v>0</v>
      </c>
      <c r="K854" t="n">
        <v>0</v>
      </c>
      <c r="L854" t="n">
        <v>0</v>
      </c>
      <c r="M854" t="n">
        <v>0</v>
      </c>
      <c r="N854" t="n">
        <v>0</v>
      </c>
      <c r="O854" t="n">
        <v>0</v>
      </c>
      <c r="P854" t="n">
        <v>0</v>
      </c>
      <c r="Q854" t="n">
        <v>0</v>
      </c>
      <c r="R854" s="2" t="inlineStr"/>
    </row>
    <row r="855" ht="15" customHeight="1">
      <c r="A855" t="inlineStr">
        <is>
          <t>A 1706-2024</t>
        </is>
      </c>
      <c r="B855" s="1" t="n">
        <v>45307</v>
      </c>
      <c r="C855" s="1" t="n">
        <v>45840</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45840</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1946-2024</t>
        </is>
      </c>
      <c r="B857" s="1" t="n">
        <v>45308</v>
      </c>
      <c r="C857" s="1" t="n">
        <v>45840</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2158-2024</t>
        </is>
      </c>
      <c r="B858" s="1" t="n">
        <v>45309</v>
      </c>
      <c r="C858" s="1" t="n">
        <v>45840</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2140-2024</t>
        </is>
      </c>
      <c r="B859" s="1" t="n">
        <v>45309</v>
      </c>
      <c r="C859" s="1" t="n">
        <v>45840</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2517-2024</t>
        </is>
      </c>
      <c r="B860" s="1" t="n">
        <v>45313</v>
      </c>
      <c r="C860" s="1" t="n">
        <v>45840</v>
      </c>
      <c r="D860" t="inlineStr">
        <is>
          <t>DALARNAS LÄN</t>
        </is>
      </c>
      <c r="E860" t="inlineStr">
        <is>
          <t>LEKSAND</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2536-2024</t>
        </is>
      </c>
      <c r="B861" s="1" t="n">
        <v>45313</v>
      </c>
      <c r="C861" s="1" t="n">
        <v>45840</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2820-2024</t>
        </is>
      </c>
      <c r="B862" s="1" t="n">
        <v>45314</v>
      </c>
      <c r="C862" s="1" t="n">
        <v>45840</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2822-2024</t>
        </is>
      </c>
      <c r="B863" s="1" t="n">
        <v>45314</v>
      </c>
      <c r="C863" s="1" t="n">
        <v>45840</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3138-2024</t>
        </is>
      </c>
      <c r="B864" s="1" t="n">
        <v>45316</v>
      </c>
      <c r="C864" s="1" t="n">
        <v>45840</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3048-2024</t>
        </is>
      </c>
      <c r="B865" s="1" t="n">
        <v>45316</v>
      </c>
      <c r="C865" s="1" t="n">
        <v>45840</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3205-2024</t>
        </is>
      </c>
      <c r="B866" s="1" t="n">
        <v>45316</v>
      </c>
      <c r="C866" s="1" t="n">
        <v>45840</v>
      </c>
      <c r="D866" t="inlineStr">
        <is>
          <t>DALARNAS LÄN</t>
        </is>
      </c>
      <c r="E866" t="inlineStr">
        <is>
          <t>LEKSAND</t>
        </is>
      </c>
      <c r="G866" t="n">
        <v>0.8</v>
      </c>
      <c r="H866" t="n">
        <v>0</v>
      </c>
      <c r="I866" t="n">
        <v>0</v>
      </c>
      <c r="J866" t="n">
        <v>0</v>
      </c>
      <c r="K866" t="n">
        <v>0</v>
      </c>
      <c r="L866" t="n">
        <v>0</v>
      </c>
      <c r="M866" t="n">
        <v>0</v>
      </c>
      <c r="N866" t="n">
        <v>0</v>
      </c>
      <c r="O866" t="n">
        <v>0</v>
      </c>
      <c r="P866" t="n">
        <v>0</v>
      </c>
      <c r="Q866" t="n">
        <v>0</v>
      </c>
      <c r="R866" s="2" t="inlineStr"/>
    </row>
    <row r="867" ht="15" customHeight="1">
      <c r="A867" t="inlineStr">
        <is>
          <t>A 3202-2024</t>
        </is>
      </c>
      <c r="B867" s="1" t="n">
        <v>45316</v>
      </c>
      <c r="C867" s="1" t="n">
        <v>45840</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3352-2024</t>
        </is>
      </c>
      <c r="B868" s="1" t="n">
        <v>45317</v>
      </c>
      <c r="C868" s="1" t="n">
        <v>45840</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3970-2024</t>
        </is>
      </c>
      <c r="B869" s="1" t="n">
        <v>45322</v>
      </c>
      <c r="C869" s="1" t="n">
        <v>45840</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3974-2024</t>
        </is>
      </c>
      <c r="B870" s="1" t="n">
        <v>45322</v>
      </c>
      <c r="C870" s="1" t="n">
        <v>45840</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3901-2024</t>
        </is>
      </c>
      <c r="B871" s="1" t="n">
        <v>45322</v>
      </c>
      <c r="C871" s="1" t="n">
        <v>45840</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4121-2024</t>
        </is>
      </c>
      <c r="B872" s="1" t="n">
        <v>45323</v>
      </c>
      <c r="C872" s="1" t="n">
        <v>45840</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4248-2024</t>
        </is>
      </c>
      <c r="B873" s="1" t="n">
        <v>45324</v>
      </c>
      <c r="C873" s="1" t="n">
        <v>45840</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4938-2024</t>
        </is>
      </c>
      <c r="B874" s="1" t="n">
        <v>45329</v>
      </c>
      <c r="C874" s="1" t="n">
        <v>45840</v>
      </c>
      <c r="D874" t="inlineStr">
        <is>
          <t>DALARNAS LÄN</t>
        </is>
      </c>
      <c r="E874" t="inlineStr">
        <is>
          <t>LEKSAND</t>
        </is>
      </c>
      <c r="G874" t="n">
        <v>7.7</v>
      </c>
      <c r="H874" t="n">
        <v>0</v>
      </c>
      <c r="I874" t="n">
        <v>0</v>
      </c>
      <c r="J874" t="n">
        <v>0</v>
      </c>
      <c r="K874" t="n">
        <v>0</v>
      </c>
      <c r="L874" t="n">
        <v>0</v>
      </c>
      <c r="M874" t="n">
        <v>0</v>
      </c>
      <c r="N874" t="n">
        <v>0</v>
      </c>
      <c r="O874" t="n">
        <v>0</v>
      </c>
      <c r="P874" t="n">
        <v>0</v>
      </c>
      <c r="Q874" t="n">
        <v>0</v>
      </c>
      <c r="R874" s="2" t="inlineStr"/>
    </row>
    <row r="875" ht="15" customHeight="1">
      <c r="A875" t="inlineStr">
        <is>
          <t>A 4956-2024</t>
        </is>
      </c>
      <c r="B875" s="1" t="n">
        <v>45329</v>
      </c>
      <c r="C875" s="1" t="n">
        <v>45840</v>
      </c>
      <c r="D875" t="inlineStr">
        <is>
          <t>DALARNAS LÄN</t>
        </is>
      </c>
      <c r="E875" t="inlineStr">
        <is>
          <t>LEKSAND</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5231-2024</t>
        </is>
      </c>
      <c r="B876" s="1" t="n">
        <v>45330</v>
      </c>
      <c r="C876" s="1" t="n">
        <v>45840</v>
      </c>
      <c r="D876" t="inlineStr">
        <is>
          <t>DALARNAS LÄN</t>
        </is>
      </c>
      <c r="E876" t="inlineStr">
        <is>
          <t>LEKSAND</t>
        </is>
      </c>
      <c r="F876" t="inlineStr">
        <is>
          <t>Bergvik skog väst AB</t>
        </is>
      </c>
      <c r="G876" t="n">
        <v>11.2</v>
      </c>
      <c r="H876" t="n">
        <v>0</v>
      </c>
      <c r="I876" t="n">
        <v>0</v>
      </c>
      <c r="J876" t="n">
        <v>0</v>
      </c>
      <c r="K876" t="n">
        <v>0</v>
      </c>
      <c r="L876" t="n">
        <v>0</v>
      </c>
      <c r="M876" t="n">
        <v>0</v>
      </c>
      <c r="N876" t="n">
        <v>0</v>
      </c>
      <c r="O876" t="n">
        <v>0</v>
      </c>
      <c r="P876" t="n">
        <v>0</v>
      </c>
      <c r="Q876" t="n">
        <v>0</v>
      </c>
      <c r="R876" s="2" t="inlineStr"/>
    </row>
    <row r="877" ht="15" customHeight="1">
      <c r="A877" t="inlineStr">
        <is>
          <t>A 5369-2024</t>
        </is>
      </c>
      <c r="B877" s="1" t="n">
        <v>45331</v>
      </c>
      <c r="C877" s="1" t="n">
        <v>45840</v>
      </c>
      <c r="D877" t="inlineStr">
        <is>
          <t>DALARNAS LÄN</t>
        </is>
      </c>
      <c r="E877" t="inlineStr">
        <is>
          <t>LEKSAND</t>
        </is>
      </c>
      <c r="F877" t="inlineStr">
        <is>
          <t>Kommuner</t>
        </is>
      </c>
      <c r="G877" t="n">
        <v>2.9</v>
      </c>
      <c r="H877" t="n">
        <v>0</v>
      </c>
      <c r="I877" t="n">
        <v>0</v>
      </c>
      <c r="J877" t="n">
        <v>0</v>
      </c>
      <c r="K877" t="n">
        <v>0</v>
      </c>
      <c r="L877" t="n">
        <v>0</v>
      </c>
      <c r="M877" t="n">
        <v>0</v>
      </c>
      <c r="N877" t="n">
        <v>0</v>
      </c>
      <c r="O877" t="n">
        <v>0</v>
      </c>
      <c r="P877" t="n">
        <v>0</v>
      </c>
      <c r="Q877" t="n">
        <v>0</v>
      </c>
      <c r="R877" s="2" t="inlineStr"/>
    </row>
    <row r="878" ht="15" customHeight="1">
      <c r="A878" t="inlineStr">
        <is>
          <t>A 5514-2024</t>
        </is>
      </c>
      <c r="B878" s="1" t="n">
        <v>45334</v>
      </c>
      <c r="C878" s="1" t="n">
        <v>45840</v>
      </c>
      <c r="D878" t="inlineStr">
        <is>
          <t>DALARNAS LÄN</t>
        </is>
      </c>
      <c r="E878" t="inlineStr">
        <is>
          <t>LEKSAND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5570-2024</t>
        </is>
      </c>
      <c r="B879" s="1" t="n">
        <v>45334</v>
      </c>
      <c r="C879" s="1" t="n">
        <v>45840</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5574-2024</t>
        </is>
      </c>
      <c r="B880" s="1" t="n">
        <v>45334</v>
      </c>
      <c r="C880" s="1" t="n">
        <v>45840</v>
      </c>
      <c r="D880" t="inlineStr">
        <is>
          <t>DALARNAS LÄN</t>
        </is>
      </c>
      <c r="E880" t="inlineStr">
        <is>
          <t>LEKSAND</t>
        </is>
      </c>
      <c r="G880" t="n">
        <v>0.4</v>
      </c>
      <c r="H880" t="n">
        <v>0</v>
      </c>
      <c r="I880" t="n">
        <v>0</v>
      </c>
      <c r="J880" t="n">
        <v>0</v>
      </c>
      <c r="K880" t="n">
        <v>0</v>
      </c>
      <c r="L880" t="n">
        <v>0</v>
      </c>
      <c r="M880" t="n">
        <v>0</v>
      </c>
      <c r="N880" t="n">
        <v>0</v>
      </c>
      <c r="O880" t="n">
        <v>0</v>
      </c>
      <c r="P880" t="n">
        <v>0</v>
      </c>
      <c r="Q880" t="n">
        <v>0</v>
      </c>
      <c r="R880" s="2" t="inlineStr"/>
    </row>
    <row r="881" ht="15" customHeight="1">
      <c r="A881" t="inlineStr">
        <is>
          <t>A 5583-2024</t>
        </is>
      </c>
      <c r="B881" s="1" t="n">
        <v>45334</v>
      </c>
      <c r="C881" s="1" t="n">
        <v>45840</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5584-2024</t>
        </is>
      </c>
      <c r="B882" s="1" t="n">
        <v>45334</v>
      </c>
      <c r="C882" s="1" t="n">
        <v>45840</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5582-2024</t>
        </is>
      </c>
      <c r="B883" s="1" t="n">
        <v>45334</v>
      </c>
      <c r="C883" s="1" t="n">
        <v>45840</v>
      </c>
      <c r="D883" t="inlineStr">
        <is>
          <t>DALARNAS LÄN</t>
        </is>
      </c>
      <c r="E883" t="inlineStr">
        <is>
          <t>LEKSAND</t>
        </is>
      </c>
      <c r="G883" t="n">
        <v>0.5</v>
      </c>
      <c r="H883" t="n">
        <v>0</v>
      </c>
      <c r="I883" t="n">
        <v>0</v>
      </c>
      <c r="J883" t="n">
        <v>0</v>
      </c>
      <c r="K883" t="n">
        <v>0</v>
      </c>
      <c r="L883" t="n">
        <v>0</v>
      </c>
      <c r="M883" t="n">
        <v>0</v>
      </c>
      <c r="N883" t="n">
        <v>0</v>
      </c>
      <c r="O883" t="n">
        <v>0</v>
      </c>
      <c r="P883" t="n">
        <v>0</v>
      </c>
      <c r="Q883" t="n">
        <v>0</v>
      </c>
      <c r="R883" s="2" t="inlineStr"/>
    </row>
    <row r="884" ht="15" customHeight="1">
      <c r="A884" t="inlineStr">
        <is>
          <t>A 5900-2024</t>
        </is>
      </c>
      <c r="B884" s="1" t="n">
        <v>45335</v>
      </c>
      <c r="C884" s="1" t="n">
        <v>45840</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6758-2024</t>
        </is>
      </c>
      <c r="B885" s="1" t="n">
        <v>45342</v>
      </c>
      <c r="C885" s="1" t="n">
        <v>45840</v>
      </c>
      <c r="D885" t="inlineStr">
        <is>
          <t>DALARNAS LÄN</t>
        </is>
      </c>
      <c r="E885" t="inlineStr">
        <is>
          <t>LEKSAND</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7417-2024</t>
        </is>
      </c>
      <c r="B886" s="1" t="n">
        <v>45345</v>
      </c>
      <c r="C886" s="1" t="n">
        <v>45840</v>
      </c>
      <c r="D886" t="inlineStr">
        <is>
          <t>DALARNAS LÄN</t>
        </is>
      </c>
      <c r="E886" t="inlineStr">
        <is>
          <t>LEKSAND</t>
        </is>
      </c>
      <c r="G886" t="n">
        <v>2.8</v>
      </c>
      <c r="H886" t="n">
        <v>0</v>
      </c>
      <c r="I886" t="n">
        <v>0</v>
      </c>
      <c r="J886" t="n">
        <v>0</v>
      </c>
      <c r="K886" t="n">
        <v>0</v>
      </c>
      <c r="L886" t="n">
        <v>0</v>
      </c>
      <c r="M886" t="n">
        <v>0</v>
      </c>
      <c r="N886" t="n">
        <v>0</v>
      </c>
      <c r="O886" t="n">
        <v>0</v>
      </c>
      <c r="P886" t="n">
        <v>0</v>
      </c>
      <c r="Q886" t="n">
        <v>0</v>
      </c>
      <c r="R886" s="2" t="inlineStr"/>
    </row>
    <row r="887" ht="15" customHeight="1">
      <c r="A887" t="inlineStr">
        <is>
          <t>A 7775-2024</t>
        </is>
      </c>
      <c r="B887" s="1" t="n">
        <v>45349</v>
      </c>
      <c r="C887" s="1" t="n">
        <v>45840</v>
      </c>
      <c r="D887" t="inlineStr">
        <is>
          <t>DALARNAS LÄN</t>
        </is>
      </c>
      <c r="E887" t="inlineStr">
        <is>
          <t>LEKSAND</t>
        </is>
      </c>
      <c r="G887" t="n">
        <v>1.9</v>
      </c>
      <c r="H887" t="n">
        <v>0</v>
      </c>
      <c r="I887" t="n">
        <v>0</v>
      </c>
      <c r="J887" t="n">
        <v>0</v>
      </c>
      <c r="K887" t="n">
        <v>0</v>
      </c>
      <c r="L887" t="n">
        <v>0</v>
      </c>
      <c r="M887" t="n">
        <v>0</v>
      </c>
      <c r="N887" t="n">
        <v>0</v>
      </c>
      <c r="O887" t="n">
        <v>0</v>
      </c>
      <c r="P887" t="n">
        <v>0</v>
      </c>
      <c r="Q887" t="n">
        <v>0</v>
      </c>
      <c r="R887" s="2" t="inlineStr"/>
    </row>
    <row r="888" ht="15" customHeight="1">
      <c r="A888" t="inlineStr">
        <is>
          <t>A 7768-2024</t>
        </is>
      </c>
      <c r="B888" s="1" t="n">
        <v>45349</v>
      </c>
      <c r="C888" s="1" t="n">
        <v>45840</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7773-2024</t>
        </is>
      </c>
      <c r="B889" s="1" t="n">
        <v>45349</v>
      </c>
      <c r="C889" s="1" t="n">
        <v>45840</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7827-2024</t>
        </is>
      </c>
      <c r="B890" s="1" t="n">
        <v>45349</v>
      </c>
      <c r="C890" s="1" t="n">
        <v>45840</v>
      </c>
      <c r="D890" t="inlineStr">
        <is>
          <t>DALARNAS LÄN</t>
        </is>
      </c>
      <c r="E890" t="inlineStr">
        <is>
          <t>LEKSAND</t>
        </is>
      </c>
      <c r="G890" t="n">
        <v>2.2</v>
      </c>
      <c r="H890" t="n">
        <v>0</v>
      </c>
      <c r="I890" t="n">
        <v>0</v>
      </c>
      <c r="J890" t="n">
        <v>0</v>
      </c>
      <c r="K890" t="n">
        <v>0</v>
      </c>
      <c r="L890" t="n">
        <v>0</v>
      </c>
      <c r="M890" t="n">
        <v>0</v>
      </c>
      <c r="N890" t="n">
        <v>0</v>
      </c>
      <c r="O890" t="n">
        <v>0</v>
      </c>
      <c r="P890" t="n">
        <v>0</v>
      </c>
      <c r="Q890" t="n">
        <v>0</v>
      </c>
      <c r="R890" s="2" t="inlineStr"/>
    </row>
    <row r="891" ht="15" customHeight="1">
      <c r="A891" t="inlineStr">
        <is>
          <t>A 7861-2024</t>
        </is>
      </c>
      <c r="B891" s="1" t="n">
        <v>45350</v>
      </c>
      <c r="C891" s="1" t="n">
        <v>45840</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8046-2024</t>
        </is>
      </c>
      <c r="B892" s="1" t="n">
        <v>45351</v>
      </c>
      <c r="C892" s="1" t="n">
        <v>45840</v>
      </c>
      <c r="D892" t="inlineStr">
        <is>
          <t>DALARNAS LÄN</t>
        </is>
      </c>
      <c r="E892" t="inlineStr">
        <is>
          <t>LEKSAND</t>
        </is>
      </c>
      <c r="G892" t="n">
        <v>2.9</v>
      </c>
      <c r="H892" t="n">
        <v>0</v>
      </c>
      <c r="I892" t="n">
        <v>0</v>
      </c>
      <c r="J892" t="n">
        <v>0</v>
      </c>
      <c r="K892" t="n">
        <v>0</v>
      </c>
      <c r="L892" t="n">
        <v>0</v>
      </c>
      <c r="M892" t="n">
        <v>0</v>
      </c>
      <c r="N892" t="n">
        <v>0</v>
      </c>
      <c r="O892" t="n">
        <v>0</v>
      </c>
      <c r="P892" t="n">
        <v>0</v>
      </c>
      <c r="Q892" t="n">
        <v>0</v>
      </c>
      <c r="R892" s="2" t="inlineStr"/>
    </row>
    <row r="893" ht="15" customHeight="1">
      <c r="A893" t="inlineStr">
        <is>
          <t>A 8045-2024</t>
        </is>
      </c>
      <c r="B893" s="1" t="n">
        <v>45351</v>
      </c>
      <c r="C893" s="1" t="n">
        <v>45840</v>
      </c>
      <c r="D893" t="inlineStr">
        <is>
          <t>DALARNAS LÄN</t>
        </is>
      </c>
      <c r="E893" t="inlineStr">
        <is>
          <t>LEKSAND</t>
        </is>
      </c>
      <c r="G893" t="n">
        <v>6.7</v>
      </c>
      <c r="H893" t="n">
        <v>0</v>
      </c>
      <c r="I893" t="n">
        <v>0</v>
      </c>
      <c r="J893" t="n">
        <v>0</v>
      </c>
      <c r="K893" t="n">
        <v>0</v>
      </c>
      <c r="L893" t="n">
        <v>0</v>
      </c>
      <c r="M893" t="n">
        <v>0</v>
      </c>
      <c r="N893" t="n">
        <v>0</v>
      </c>
      <c r="O893" t="n">
        <v>0</v>
      </c>
      <c r="P893" t="n">
        <v>0</v>
      </c>
      <c r="Q893" t="n">
        <v>0</v>
      </c>
      <c r="R893" s="2" t="inlineStr"/>
    </row>
    <row r="894" ht="15" customHeight="1">
      <c r="A894" t="inlineStr">
        <is>
          <t>A 9781-2024</t>
        </is>
      </c>
      <c r="B894" s="1" t="n">
        <v>45362</v>
      </c>
      <c r="C894" s="1" t="n">
        <v>45840</v>
      </c>
      <c r="D894" t="inlineStr">
        <is>
          <t>DALARNAS LÄN</t>
        </is>
      </c>
      <c r="E894" t="inlineStr">
        <is>
          <t>LEKSAND</t>
        </is>
      </c>
      <c r="G894" t="n">
        <v>1.1</v>
      </c>
      <c r="H894" t="n">
        <v>0</v>
      </c>
      <c r="I894" t="n">
        <v>0</v>
      </c>
      <c r="J894" t="n">
        <v>0</v>
      </c>
      <c r="K894" t="n">
        <v>0</v>
      </c>
      <c r="L894" t="n">
        <v>0</v>
      </c>
      <c r="M894" t="n">
        <v>0</v>
      </c>
      <c r="N894" t="n">
        <v>0</v>
      </c>
      <c r="O894" t="n">
        <v>0</v>
      </c>
      <c r="P894" t="n">
        <v>0</v>
      </c>
      <c r="Q894" t="n">
        <v>0</v>
      </c>
      <c r="R894" s="2" t="inlineStr"/>
    </row>
    <row r="895" ht="15" customHeight="1">
      <c r="A895" t="inlineStr">
        <is>
          <t>A 10299-2024</t>
        </is>
      </c>
      <c r="B895" s="1" t="n">
        <v>45365</v>
      </c>
      <c r="C895" s="1" t="n">
        <v>45840</v>
      </c>
      <c r="D895" t="inlineStr">
        <is>
          <t>DALARNAS LÄN</t>
        </is>
      </c>
      <c r="E895" t="inlineStr">
        <is>
          <t>LEKSAND</t>
        </is>
      </c>
      <c r="G895" t="n">
        <v>3.6</v>
      </c>
      <c r="H895" t="n">
        <v>0</v>
      </c>
      <c r="I895" t="n">
        <v>0</v>
      </c>
      <c r="J895" t="n">
        <v>0</v>
      </c>
      <c r="K895" t="n">
        <v>0</v>
      </c>
      <c r="L895" t="n">
        <v>0</v>
      </c>
      <c r="M895" t="n">
        <v>0</v>
      </c>
      <c r="N895" t="n">
        <v>0</v>
      </c>
      <c r="O895" t="n">
        <v>0</v>
      </c>
      <c r="P895" t="n">
        <v>0</v>
      </c>
      <c r="Q895" t="n">
        <v>0</v>
      </c>
      <c r="R895" s="2" t="inlineStr"/>
    </row>
    <row r="896" ht="15" customHeight="1">
      <c r="A896" t="inlineStr">
        <is>
          <t>A 10462-2024</t>
        </is>
      </c>
      <c r="B896" s="1" t="n">
        <v>45366</v>
      </c>
      <c r="C896" s="1" t="n">
        <v>45840</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10743-2024</t>
        </is>
      </c>
      <c r="B897" s="1" t="n">
        <v>45369</v>
      </c>
      <c r="C897" s="1" t="n">
        <v>45840</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10771-2024</t>
        </is>
      </c>
      <c r="B898" s="1" t="n">
        <v>45369</v>
      </c>
      <c r="C898" s="1" t="n">
        <v>45840</v>
      </c>
      <c r="D898" t="inlineStr">
        <is>
          <t>DALARNAS LÄN</t>
        </is>
      </c>
      <c r="E898" t="inlineStr">
        <is>
          <t>LEKSAND</t>
        </is>
      </c>
      <c r="G898" t="n">
        <v>0.4</v>
      </c>
      <c r="H898" t="n">
        <v>0</v>
      </c>
      <c r="I898" t="n">
        <v>0</v>
      </c>
      <c r="J898" t="n">
        <v>0</v>
      </c>
      <c r="K898" t="n">
        <v>0</v>
      </c>
      <c r="L898" t="n">
        <v>0</v>
      </c>
      <c r="M898" t="n">
        <v>0</v>
      </c>
      <c r="N898" t="n">
        <v>0</v>
      </c>
      <c r="O898" t="n">
        <v>0</v>
      </c>
      <c r="P898" t="n">
        <v>0</v>
      </c>
      <c r="Q898" t="n">
        <v>0</v>
      </c>
      <c r="R898" s="2" t="inlineStr"/>
    </row>
    <row r="899" ht="15" customHeight="1">
      <c r="A899" t="inlineStr">
        <is>
          <t>A 11617-2024</t>
        </is>
      </c>
      <c r="B899" s="1" t="n">
        <v>45373</v>
      </c>
      <c r="C899" s="1" t="n">
        <v>45840</v>
      </c>
      <c r="D899" t="inlineStr">
        <is>
          <t>DALARNAS LÄN</t>
        </is>
      </c>
      <c r="E899" t="inlineStr">
        <is>
          <t>LEKSAND</t>
        </is>
      </c>
      <c r="G899" t="n">
        <v>1.9</v>
      </c>
      <c r="H899" t="n">
        <v>0</v>
      </c>
      <c r="I899" t="n">
        <v>0</v>
      </c>
      <c r="J899" t="n">
        <v>0</v>
      </c>
      <c r="K899" t="n">
        <v>0</v>
      </c>
      <c r="L899" t="n">
        <v>0</v>
      </c>
      <c r="M899" t="n">
        <v>0</v>
      </c>
      <c r="N899" t="n">
        <v>0</v>
      </c>
      <c r="O899" t="n">
        <v>0</v>
      </c>
      <c r="P899" t="n">
        <v>0</v>
      </c>
      <c r="Q899" t="n">
        <v>0</v>
      </c>
      <c r="R899" s="2" t="inlineStr"/>
    </row>
    <row r="900" ht="15" customHeight="1">
      <c r="A900" t="inlineStr">
        <is>
          <t>A 11869-2024</t>
        </is>
      </c>
      <c r="B900" s="1" t="n">
        <v>45376</v>
      </c>
      <c r="C900" s="1" t="n">
        <v>45840</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11855-2024</t>
        </is>
      </c>
      <c r="B901" s="1" t="n">
        <v>45376</v>
      </c>
      <c r="C901" s="1" t="n">
        <v>45840</v>
      </c>
      <c r="D901" t="inlineStr">
        <is>
          <t>DALARNAS LÄN</t>
        </is>
      </c>
      <c r="E901" t="inlineStr">
        <is>
          <t>LEKSAND</t>
        </is>
      </c>
      <c r="G901" t="n">
        <v>4</v>
      </c>
      <c r="H901" t="n">
        <v>0</v>
      </c>
      <c r="I901" t="n">
        <v>0</v>
      </c>
      <c r="J901" t="n">
        <v>0</v>
      </c>
      <c r="K901" t="n">
        <v>0</v>
      </c>
      <c r="L901" t="n">
        <v>0</v>
      </c>
      <c r="M901" t="n">
        <v>0</v>
      </c>
      <c r="N901" t="n">
        <v>0</v>
      </c>
      <c r="O901" t="n">
        <v>0</v>
      </c>
      <c r="P901" t="n">
        <v>0</v>
      </c>
      <c r="Q901" t="n">
        <v>0</v>
      </c>
      <c r="R901" s="2" t="inlineStr"/>
      <c r="U901">
        <f>HYPERLINK("https://klasma.github.io/Logging_2029/knärot/A 11855-2024 karta knärot.png", "A 11855-2024")</f>
        <v/>
      </c>
      <c r="V901">
        <f>HYPERLINK("https://klasma.github.io/Logging_2029/klagomål/A 11855-2024 FSC-klagomål.docx", "A 11855-2024")</f>
        <v/>
      </c>
      <c r="W901">
        <f>HYPERLINK("https://klasma.github.io/Logging_2029/klagomålsmail/A 11855-2024 FSC-klagomål mail.docx", "A 11855-2024")</f>
        <v/>
      </c>
      <c r="X901">
        <f>HYPERLINK("https://klasma.github.io/Logging_2029/tillsyn/A 11855-2024 tillsynsbegäran.docx", "A 11855-2024")</f>
        <v/>
      </c>
      <c r="Y901">
        <f>HYPERLINK("https://klasma.github.io/Logging_2029/tillsynsmail/A 11855-2024 tillsynsbegäran mail.docx", "A 11855-2024")</f>
        <v/>
      </c>
    </row>
    <row r="902" ht="15" customHeight="1">
      <c r="A902" t="inlineStr">
        <is>
          <t>A 11859-2024</t>
        </is>
      </c>
      <c r="B902" s="1" t="n">
        <v>45376</v>
      </c>
      <c r="C902" s="1" t="n">
        <v>45840</v>
      </c>
      <c r="D902" t="inlineStr">
        <is>
          <t>DALARNAS LÄN</t>
        </is>
      </c>
      <c r="E902" t="inlineStr">
        <is>
          <t>LEKSAND</t>
        </is>
      </c>
      <c r="G902" t="n">
        <v>2.1</v>
      </c>
      <c r="H902" t="n">
        <v>0</v>
      </c>
      <c r="I902" t="n">
        <v>0</v>
      </c>
      <c r="J902" t="n">
        <v>0</v>
      </c>
      <c r="K902" t="n">
        <v>0</v>
      </c>
      <c r="L902" t="n">
        <v>0</v>
      </c>
      <c r="M902" t="n">
        <v>0</v>
      </c>
      <c r="N902" t="n">
        <v>0</v>
      </c>
      <c r="O902" t="n">
        <v>0</v>
      </c>
      <c r="P902" t="n">
        <v>0</v>
      </c>
      <c r="Q902" t="n">
        <v>0</v>
      </c>
      <c r="R902" s="2" t="inlineStr"/>
    </row>
    <row r="903" ht="15" customHeight="1">
      <c r="A903" t="inlineStr">
        <is>
          <t>A 11872-2024</t>
        </is>
      </c>
      <c r="B903" s="1" t="n">
        <v>45376</v>
      </c>
      <c r="C903" s="1" t="n">
        <v>45840</v>
      </c>
      <c r="D903" t="inlineStr">
        <is>
          <t>DALARNAS LÄN</t>
        </is>
      </c>
      <c r="E903" t="inlineStr">
        <is>
          <t>LEKSAND</t>
        </is>
      </c>
      <c r="G903" t="n">
        <v>3.1</v>
      </c>
      <c r="H903" t="n">
        <v>0</v>
      </c>
      <c r="I903" t="n">
        <v>0</v>
      </c>
      <c r="J903" t="n">
        <v>0</v>
      </c>
      <c r="K903" t="n">
        <v>0</v>
      </c>
      <c r="L903" t="n">
        <v>0</v>
      </c>
      <c r="M903" t="n">
        <v>0</v>
      </c>
      <c r="N903" t="n">
        <v>0</v>
      </c>
      <c r="O903" t="n">
        <v>0</v>
      </c>
      <c r="P903" t="n">
        <v>0</v>
      </c>
      <c r="Q903" t="n">
        <v>0</v>
      </c>
      <c r="R903" s="2" t="inlineStr"/>
    </row>
    <row r="904" ht="15" customHeight="1">
      <c r="A904" t="inlineStr">
        <is>
          <t>A 11870-2024</t>
        </is>
      </c>
      <c r="B904" s="1" t="n">
        <v>45376</v>
      </c>
      <c r="C904" s="1" t="n">
        <v>45840</v>
      </c>
      <c r="D904" t="inlineStr">
        <is>
          <t>DALARNAS LÄN</t>
        </is>
      </c>
      <c r="E904" t="inlineStr">
        <is>
          <t>LEKSAND</t>
        </is>
      </c>
      <c r="G904" t="n">
        <v>1.5</v>
      </c>
      <c r="H904" t="n">
        <v>0</v>
      </c>
      <c r="I904" t="n">
        <v>0</v>
      </c>
      <c r="J904" t="n">
        <v>0</v>
      </c>
      <c r="K904" t="n">
        <v>0</v>
      </c>
      <c r="L904" t="n">
        <v>0</v>
      </c>
      <c r="M904" t="n">
        <v>0</v>
      </c>
      <c r="N904" t="n">
        <v>0</v>
      </c>
      <c r="O904" t="n">
        <v>0</v>
      </c>
      <c r="P904" t="n">
        <v>0</v>
      </c>
      <c r="Q904" t="n">
        <v>0</v>
      </c>
      <c r="R904" s="2" t="inlineStr"/>
    </row>
    <row r="905" ht="15" customHeight="1">
      <c r="A905" t="inlineStr">
        <is>
          <t>A 12290-2024</t>
        </is>
      </c>
      <c r="B905" s="1" t="n">
        <v>45378</v>
      </c>
      <c r="C905" s="1" t="n">
        <v>45840</v>
      </c>
      <c r="D905" t="inlineStr">
        <is>
          <t>DALARNAS LÄN</t>
        </is>
      </c>
      <c r="E905" t="inlineStr">
        <is>
          <t>LEKSAND</t>
        </is>
      </c>
      <c r="G905" t="n">
        <v>2.5</v>
      </c>
      <c r="H905" t="n">
        <v>0</v>
      </c>
      <c r="I905" t="n">
        <v>0</v>
      </c>
      <c r="J905" t="n">
        <v>0</v>
      </c>
      <c r="K905" t="n">
        <v>0</v>
      </c>
      <c r="L905" t="n">
        <v>0</v>
      </c>
      <c r="M905" t="n">
        <v>0</v>
      </c>
      <c r="N905" t="n">
        <v>0</v>
      </c>
      <c r="O905" t="n">
        <v>0</v>
      </c>
      <c r="P905" t="n">
        <v>0</v>
      </c>
      <c r="Q905" t="n">
        <v>0</v>
      </c>
      <c r="R905" s="2" t="inlineStr"/>
    </row>
    <row r="906" ht="15" customHeight="1">
      <c r="A906" t="inlineStr">
        <is>
          <t>A 12481-2024</t>
        </is>
      </c>
      <c r="B906" s="1" t="n">
        <v>45379</v>
      </c>
      <c r="C906" s="1" t="n">
        <v>45840</v>
      </c>
      <c r="D906" t="inlineStr">
        <is>
          <t>DALARNAS LÄN</t>
        </is>
      </c>
      <c r="E906" t="inlineStr">
        <is>
          <t>LEKSAND</t>
        </is>
      </c>
      <c r="G906" t="n">
        <v>4.6</v>
      </c>
      <c r="H906" t="n">
        <v>0</v>
      </c>
      <c r="I906" t="n">
        <v>0</v>
      </c>
      <c r="J906" t="n">
        <v>0</v>
      </c>
      <c r="K906" t="n">
        <v>0</v>
      </c>
      <c r="L906" t="n">
        <v>0</v>
      </c>
      <c r="M906" t="n">
        <v>0</v>
      </c>
      <c r="N906" t="n">
        <v>0</v>
      </c>
      <c r="O906" t="n">
        <v>0</v>
      </c>
      <c r="P906" t="n">
        <v>0</v>
      </c>
      <c r="Q906" t="n">
        <v>0</v>
      </c>
      <c r="R906" s="2" t="inlineStr"/>
    </row>
    <row r="907" ht="15" customHeight="1">
      <c r="A907" t="inlineStr">
        <is>
          <t>A 13161-2024</t>
        </is>
      </c>
      <c r="B907" s="1" t="n">
        <v>45386</v>
      </c>
      <c r="C907" s="1" t="n">
        <v>45840</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13165-2024</t>
        </is>
      </c>
      <c r="B908" s="1" t="n">
        <v>45386</v>
      </c>
      <c r="C908" s="1" t="n">
        <v>45840</v>
      </c>
      <c r="D908" t="inlineStr">
        <is>
          <t>DALARNAS LÄN</t>
        </is>
      </c>
      <c r="E908" t="inlineStr">
        <is>
          <t>LEKSAND</t>
        </is>
      </c>
      <c r="G908" t="n">
        <v>3.4</v>
      </c>
      <c r="H908" t="n">
        <v>0</v>
      </c>
      <c r="I908" t="n">
        <v>0</v>
      </c>
      <c r="J908" t="n">
        <v>0</v>
      </c>
      <c r="K908" t="n">
        <v>0</v>
      </c>
      <c r="L908" t="n">
        <v>0</v>
      </c>
      <c r="M908" t="n">
        <v>0</v>
      </c>
      <c r="N908" t="n">
        <v>0</v>
      </c>
      <c r="O908" t="n">
        <v>0</v>
      </c>
      <c r="P908" t="n">
        <v>0</v>
      </c>
      <c r="Q908" t="n">
        <v>0</v>
      </c>
      <c r="R908" s="2" t="inlineStr"/>
    </row>
    <row r="909" ht="15" customHeight="1">
      <c r="A909" t="inlineStr">
        <is>
          <t>A 13741-2024</t>
        </is>
      </c>
      <c r="B909" s="1" t="n">
        <v>45390</v>
      </c>
      <c r="C909" s="1" t="n">
        <v>45840</v>
      </c>
      <c r="D909" t="inlineStr">
        <is>
          <t>DALARNAS LÄN</t>
        </is>
      </c>
      <c r="E909" t="inlineStr">
        <is>
          <t>LEKSAND</t>
        </is>
      </c>
      <c r="G909" t="n">
        <v>5.9</v>
      </c>
      <c r="H909" t="n">
        <v>0</v>
      </c>
      <c r="I909" t="n">
        <v>0</v>
      </c>
      <c r="J909" t="n">
        <v>0</v>
      </c>
      <c r="K909" t="n">
        <v>0</v>
      </c>
      <c r="L909" t="n">
        <v>0</v>
      </c>
      <c r="M909" t="n">
        <v>0</v>
      </c>
      <c r="N909" t="n">
        <v>0</v>
      </c>
      <c r="O909" t="n">
        <v>0</v>
      </c>
      <c r="P909" t="n">
        <v>0</v>
      </c>
      <c r="Q909" t="n">
        <v>0</v>
      </c>
      <c r="R909" s="2" t="inlineStr"/>
    </row>
    <row r="910" ht="15" customHeight="1">
      <c r="A910" t="inlineStr">
        <is>
          <t>A 13783-2024</t>
        </is>
      </c>
      <c r="B910" s="1" t="n">
        <v>45391</v>
      </c>
      <c r="C910" s="1" t="n">
        <v>45840</v>
      </c>
      <c r="D910" t="inlineStr">
        <is>
          <t>DALARNAS LÄN</t>
        </is>
      </c>
      <c r="E910" t="inlineStr">
        <is>
          <t>LEKSAND</t>
        </is>
      </c>
      <c r="G910" t="n">
        <v>1.3</v>
      </c>
      <c r="H910" t="n">
        <v>0</v>
      </c>
      <c r="I910" t="n">
        <v>0</v>
      </c>
      <c r="J910" t="n">
        <v>0</v>
      </c>
      <c r="K910" t="n">
        <v>0</v>
      </c>
      <c r="L910" t="n">
        <v>0</v>
      </c>
      <c r="M910" t="n">
        <v>0</v>
      </c>
      <c r="N910" t="n">
        <v>0</v>
      </c>
      <c r="O910" t="n">
        <v>0</v>
      </c>
      <c r="P910" t="n">
        <v>0</v>
      </c>
      <c r="Q910" t="n">
        <v>0</v>
      </c>
      <c r="R910" s="2" t="inlineStr"/>
    </row>
    <row r="911" ht="15" customHeight="1">
      <c r="A911" t="inlineStr">
        <is>
          <t>A 13811-2024</t>
        </is>
      </c>
      <c r="B911" s="1" t="n">
        <v>45391</v>
      </c>
      <c r="C911" s="1" t="n">
        <v>45840</v>
      </c>
      <c r="D911" t="inlineStr">
        <is>
          <t>DALARNAS LÄN</t>
        </is>
      </c>
      <c r="E911" t="inlineStr">
        <is>
          <t>LEKSAND</t>
        </is>
      </c>
      <c r="G911" t="n">
        <v>0.8</v>
      </c>
      <c r="H911" t="n">
        <v>0</v>
      </c>
      <c r="I911" t="n">
        <v>0</v>
      </c>
      <c r="J911" t="n">
        <v>0</v>
      </c>
      <c r="K911" t="n">
        <v>0</v>
      </c>
      <c r="L911" t="n">
        <v>0</v>
      </c>
      <c r="M911" t="n">
        <v>0</v>
      </c>
      <c r="N911" t="n">
        <v>0</v>
      </c>
      <c r="O911" t="n">
        <v>0</v>
      </c>
      <c r="P911" t="n">
        <v>0</v>
      </c>
      <c r="Q911" t="n">
        <v>0</v>
      </c>
      <c r="R911" s="2" t="inlineStr"/>
    </row>
    <row r="912" ht="15" customHeight="1">
      <c r="A912" t="inlineStr">
        <is>
          <t>A 13990-2024</t>
        </is>
      </c>
      <c r="B912" s="1" t="n">
        <v>45392</v>
      </c>
      <c r="C912" s="1" t="n">
        <v>45840</v>
      </c>
      <c r="D912" t="inlineStr">
        <is>
          <t>DALARNAS LÄN</t>
        </is>
      </c>
      <c r="E912" t="inlineStr">
        <is>
          <t>LEKSAND</t>
        </is>
      </c>
      <c r="G912" t="n">
        <v>1.1</v>
      </c>
      <c r="H912" t="n">
        <v>0</v>
      </c>
      <c r="I912" t="n">
        <v>0</v>
      </c>
      <c r="J912" t="n">
        <v>0</v>
      </c>
      <c r="K912" t="n">
        <v>0</v>
      </c>
      <c r="L912" t="n">
        <v>0</v>
      </c>
      <c r="M912" t="n">
        <v>0</v>
      </c>
      <c r="N912" t="n">
        <v>0</v>
      </c>
      <c r="O912" t="n">
        <v>0</v>
      </c>
      <c r="P912" t="n">
        <v>0</v>
      </c>
      <c r="Q912" t="n">
        <v>0</v>
      </c>
      <c r="R912" s="2" t="inlineStr"/>
    </row>
    <row r="913" ht="15" customHeight="1">
      <c r="A913" t="inlineStr">
        <is>
          <t>A 14276-2024</t>
        </is>
      </c>
      <c r="B913" s="1" t="n">
        <v>45393</v>
      </c>
      <c r="C913" s="1" t="n">
        <v>45840</v>
      </c>
      <c r="D913" t="inlineStr">
        <is>
          <t>DALARNAS LÄN</t>
        </is>
      </c>
      <c r="E913" t="inlineStr">
        <is>
          <t>LEKSAND</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14616-2024</t>
        </is>
      </c>
      <c r="B914" s="1" t="n">
        <v>45397</v>
      </c>
      <c r="C914" s="1" t="n">
        <v>45840</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14615-2024</t>
        </is>
      </c>
      <c r="B915" s="1" t="n">
        <v>45397</v>
      </c>
      <c r="C915" s="1" t="n">
        <v>45840</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14614-2024</t>
        </is>
      </c>
      <c r="B916" s="1" t="n">
        <v>45397</v>
      </c>
      <c r="C916" s="1" t="n">
        <v>45840</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14661-2024</t>
        </is>
      </c>
      <c r="B917" s="1" t="n">
        <v>45397</v>
      </c>
      <c r="C917" s="1" t="n">
        <v>45840</v>
      </c>
      <c r="D917" t="inlineStr">
        <is>
          <t>DALARNAS LÄN</t>
        </is>
      </c>
      <c r="E917" t="inlineStr">
        <is>
          <t>LEKSAND</t>
        </is>
      </c>
      <c r="G917" t="n">
        <v>1</v>
      </c>
      <c r="H917" t="n">
        <v>0</v>
      </c>
      <c r="I917" t="n">
        <v>0</v>
      </c>
      <c r="J917" t="n">
        <v>0</v>
      </c>
      <c r="K917" t="n">
        <v>0</v>
      </c>
      <c r="L917" t="n">
        <v>0</v>
      </c>
      <c r="M917" t="n">
        <v>0</v>
      </c>
      <c r="N917" t="n">
        <v>0</v>
      </c>
      <c r="O917" t="n">
        <v>0</v>
      </c>
      <c r="P917" t="n">
        <v>0</v>
      </c>
      <c r="Q917" t="n">
        <v>0</v>
      </c>
      <c r="R917" s="2" t="inlineStr"/>
    </row>
    <row r="918" ht="15" customHeight="1">
      <c r="A918" t="inlineStr">
        <is>
          <t>A 14688-2024</t>
        </is>
      </c>
      <c r="B918" s="1" t="n">
        <v>45397</v>
      </c>
      <c r="C918" s="1" t="n">
        <v>45840</v>
      </c>
      <c r="D918" t="inlineStr">
        <is>
          <t>DALARNAS LÄN</t>
        </is>
      </c>
      <c r="E918" t="inlineStr">
        <is>
          <t>LEKSAND</t>
        </is>
      </c>
      <c r="G918" t="n">
        <v>3.2</v>
      </c>
      <c r="H918" t="n">
        <v>0</v>
      </c>
      <c r="I918" t="n">
        <v>0</v>
      </c>
      <c r="J918" t="n">
        <v>0</v>
      </c>
      <c r="K918" t="n">
        <v>0</v>
      </c>
      <c r="L918" t="n">
        <v>0</v>
      </c>
      <c r="M918" t="n">
        <v>0</v>
      </c>
      <c r="N918" t="n">
        <v>0</v>
      </c>
      <c r="O918" t="n">
        <v>0</v>
      </c>
      <c r="P918" t="n">
        <v>0</v>
      </c>
      <c r="Q918" t="n">
        <v>0</v>
      </c>
      <c r="R918" s="2" t="inlineStr"/>
    </row>
    <row r="919" ht="15" customHeight="1">
      <c r="A919" t="inlineStr">
        <is>
          <t>A 14792-2024</t>
        </is>
      </c>
      <c r="B919" s="1" t="n">
        <v>45397</v>
      </c>
      <c r="C919" s="1" t="n">
        <v>45840</v>
      </c>
      <c r="D919" t="inlineStr">
        <is>
          <t>DALARNAS LÄN</t>
        </is>
      </c>
      <c r="E919" t="inlineStr">
        <is>
          <t>LEKSAND</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14617-2024</t>
        </is>
      </c>
      <c r="B920" s="1" t="n">
        <v>45397</v>
      </c>
      <c r="C920" s="1" t="n">
        <v>45840</v>
      </c>
      <c r="D920" t="inlineStr">
        <is>
          <t>DALARNAS LÄN</t>
        </is>
      </c>
      <c r="E920" t="inlineStr">
        <is>
          <t>LEKSAND</t>
        </is>
      </c>
      <c r="G920" t="n">
        <v>0.2</v>
      </c>
      <c r="H920" t="n">
        <v>0</v>
      </c>
      <c r="I920" t="n">
        <v>0</v>
      </c>
      <c r="J920" t="n">
        <v>0</v>
      </c>
      <c r="K920" t="n">
        <v>0</v>
      </c>
      <c r="L920" t="n">
        <v>0</v>
      </c>
      <c r="M920" t="n">
        <v>0</v>
      </c>
      <c r="N920" t="n">
        <v>0</v>
      </c>
      <c r="O920" t="n">
        <v>0</v>
      </c>
      <c r="P920" t="n">
        <v>0</v>
      </c>
      <c r="Q920" t="n">
        <v>0</v>
      </c>
      <c r="R920" s="2" t="inlineStr"/>
    </row>
    <row r="921" ht="15" customHeight="1">
      <c r="A921" t="inlineStr">
        <is>
          <t>A 14659-2024</t>
        </is>
      </c>
      <c r="B921" s="1" t="n">
        <v>45397</v>
      </c>
      <c r="C921" s="1" t="n">
        <v>45840</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14908-2024</t>
        </is>
      </c>
      <c r="B922" s="1" t="n">
        <v>45398</v>
      </c>
      <c r="C922" s="1" t="n">
        <v>45840</v>
      </c>
      <c r="D922" t="inlineStr">
        <is>
          <t>DALARNAS LÄN</t>
        </is>
      </c>
      <c r="E922" t="inlineStr">
        <is>
          <t>LEKSAND</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14957-2024</t>
        </is>
      </c>
      <c r="B923" s="1" t="n">
        <v>45398</v>
      </c>
      <c r="C923" s="1" t="n">
        <v>45840</v>
      </c>
      <c r="D923" t="inlineStr">
        <is>
          <t>DALARNAS LÄN</t>
        </is>
      </c>
      <c r="E923" t="inlineStr">
        <is>
          <t>LEKSAND</t>
        </is>
      </c>
      <c r="G923" t="n">
        <v>11.5</v>
      </c>
      <c r="H923" t="n">
        <v>0</v>
      </c>
      <c r="I923" t="n">
        <v>0</v>
      </c>
      <c r="J923" t="n">
        <v>0</v>
      </c>
      <c r="K923" t="n">
        <v>0</v>
      </c>
      <c r="L923" t="n">
        <v>0</v>
      </c>
      <c r="M923" t="n">
        <v>0</v>
      </c>
      <c r="N923" t="n">
        <v>0</v>
      </c>
      <c r="O923" t="n">
        <v>0</v>
      </c>
      <c r="P923" t="n">
        <v>0</v>
      </c>
      <c r="Q923" t="n">
        <v>0</v>
      </c>
      <c r="R923" s="2" t="inlineStr"/>
    </row>
    <row r="924" ht="15" customHeight="1">
      <c r="A924" t="inlineStr">
        <is>
          <t>A 14903-2024</t>
        </is>
      </c>
      <c r="B924" s="1" t="n">
        <v>45398</v>
      </c>
      <c r="C924" s="1" t="n">
        <v>45840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15621-2024</t>
        </is>
      </c>
      <c r="B925" s="1" t="n">
        <v>45402</v>
      </c>
      <c r="C925" s="1" t="n">
        <v>45840</v>
      </c>
      <c r="D925" t="inlineStr">
        <is>
          <t>DALARNAS LÄN</t>
        </is>
      </c>
      <c r="E925" t="inlineStr">
        <is>
          <t>LEKSAND</t>
        </is>
      </c>
      <c r="G925" t="n">
        <v>1.6</v>
      </c>
      <c r="H925" t="n">
        <v>0</v>
      </c>
      <c r="I925" t="n">
        <v>0</v>
      </c>
      <c r="J925" t="n">
        <v>0</v>
      </c>
      <c r="K925" t="n">
        <v>0</v>
      </c>
      <c r="L925" t="n">
        <v>0</v>
      </c>
      <c r="M925" t="n">
        <v>0</v>
      </c>
      <c r="N925" t="n">
        <v>0</v>
      </c>
      <c r="O925" t="n">
        <v>0</v>
      </c>
      <c r="P925" t="n">
        <v>0</v>
      </c>
      <c r="Q925" t="n">
        <v>0</v>
      </c>
      <c r="R925" s="2" t="inlineStr"/>
    </row>
    <row r="926" ht="15" customHeight="1">
      <c r="A926" t="inlineStr">
        <is>
          <t>A 15680-2024</t>
        </is>
      </c>
      <c r="B926" s="1" t="n">
        <v>45404</v>
      </c>
      <c r="C926" s="1" t="n">
        <v>45840</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15681-2024</t>
        </is>
      </c>
      <c r="B927" s="1" t="n">
        <v>45404</v>
      </c>
      <c r="C927" s="1" t="n">
        <v>45840</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15808-2024</t>
        </is>
      </c>
      <c r="B928" s="1" t="n">
        <v>45404</v>
      </c>
      <c r="C928" s="1" t="n">
        <v>45840</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16197-2024</t>
        </is>
      </c>
      <c r="B929" s="1" t="n">
        <v>45406</v>
      </c>
      <c r="C929" s="1" t="n">
        <v>45840</v>
      </c>
      <c r="D929" t="inlineStr">
        <is>
          <t>DALARNAS LÄN</t>
        </is>
      </c>
      <c r="E929" t="inlineStr">
        <is>
          <t>LEKSAND</t>
        </is>
      </c>
      <c r="G929" t="n">
        <v>2.4</v>
      </c>
      <c r="H929" t="n">
        <v>0</v>
      </c>
      <c r="I929" t="n">
        <v>0</v>
      </c>
      <c r="J929" t="n">
        <v>0</v>
      </c>
      <c r="K929" t="n">
        <v>0</v>
      </c>
      <c r="L929" t="n">
        <v>0</v>
      </c>
      <c r="M929" t="n">
        <v>0</v>
      </c>
      <c r="N929" t="n">
        <v>0</v>
      </c>
      <c r="O929" t="n">
        <v>0</v>
      </c>
      <c r="P929" t="n">
        <v>0</v>
      </c>
      <c r="Q929" t="n">
        <v>0</v>
      </c>
      <c r="R929" s="2" t="inlineStr"/>
    </row>
    <row r="930" ht="15" customHeight="1">
      <c r="A930" t="inlineStr">
        <is>
          <t>A 16265-2024</t>
        </is>
      </c>
      <c r="B930" s="1" t="n">
        <v>45407</v>
      </c>
      <c r="C930" s="1" t="n">
        <v>45840</v>
      </c>
      <c r="D930" t="inlineStr">
        <is>
          <t>DALARNAS LÄN</t>
        </is>
      </c>
      <c r="E930" t="inlineStr">
        <is>
          <t>LEKSAND</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16417-2024</t>
        </is>
      </c>
      <c r="B931" s="1" t="n">
        <v>45407</v>
      </c>
      <c r="C931" s="1" t="n">
        <v>45840</v>
      </c>
      <c r="D931" t="inlineStr">
        <is>
          <t>DALARNAS LÄN</t>
        </is>
      </c>
      <c r="E931" t="inlineStr">
        <is>
          <t>LEKSAND</t>
        </is>
      </c>
      <c r="F931" t="inlineStr">
        <is>
          <t>Bergvik skog väst AB</t>
        </is>
      </c>
      <c r="G931" t="n">
        <v>17.4</v>
      </c>
      <c r="H931" t="n">
        <v>0</v>
      </c>
      <c r="I931" t="n">
        <v>0</v>
      </c>
      <c r="J931" t="n">
        <v>0</v>
      </c>
      <c r="K931" t="n">
        <v>0</v>
      </c>
      <c r="L931" t="n">
        <v>0</v>
      </c>
      <c r="M931" t="n">
        <v>0</v>
      </c>
      <c r="N931" t="n">
        <v>0</v>
      </c>
      <c r="O931" t="n">
        <v>0</v>
      </c>
      <c r="P931" t="n">
        <v>0</v>
      </c>
      <c r="Q931" t="n">
        <v>0</v>
      </c>
      <c r="R931" s="2" t="inlineStr"/>
    </row>
    <row r="932" ht="15" customHeight="1">
      <c r="A932" t="inlineStr">
        <is>
          <t>A 16264-2024</t>
        </is>
      </c>
      <c r="B932" s="1" t="n">
        <v>45407</v>
      </c>
      <c r="C932" s="1" t="n">
        <v>45840</v>
      </c>
      <c r="D932" t="inlineStr">
        <is>
          <t>DALARNAS LÄN</t>
        </is>
      </c>
      <c r="E932" t="inlineStr">
        <is>
          <t>LEKSAND</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16420-2024</t>
        </is>
      </c>
      <c r="B933" s="1" t="n">
        <v>45407</v>
      </c>
      <c r="C933" s="1" t="n">
        <v>45840</v>
      </c>
      <c r="D933" t="inlineStr">
        <is>
          <t>DALARNAS LÄN</t>
        </is>
      </c>
      <c r="E933" t="inlineStr">
        <is>
          <t>LEKSAND</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16581-2024</t>
        </is>
      </c>
      <c r="B934" s="1" t="n">
        <v>45408</v>
      </c>
      <c r="C934" s="1" t="n">
        <v>45840</v>
      </c>
      <c r="D934" t="inlineStr">
        <is>
          <t>DALARNAS LÄN</t>
        </is>
      </c>
      <c r="E934" t="inlineStr">
        <is>
          <t>LEKSAND</t>
        </is>
      </c>
      <c r="G934" t="n">
        <v>2.6</v>
      </c>
      <c r="H934" t="n">
        <v>0</v>
      </c>
      <c r="I934" t="n">
        <v>0</v>
      </c>
      <c r="J934" t="n">
        <v>0</v>
      </c>
      <c r="K934" t="n">
        <v>0</v>
      </c>
      <c r="L934" t="n">
        <v>0</v>
      </c>
      <c r="M934" t="n">
        <v>0</v>
      </c>
      <c r="N934" t="n">
        <v>0</v>
      </c>
      <c r="O934" t="n">
        <v>0</v>
      </c>
      <c r="P934" t="n">
        <v>0</v>
      </c>
      <c r="Q934" t="n">
        <v>0</v>
      </c>
      <c r="R934" s="2" t="inlineStr"/>
    </row>
    <row r="935" ht="15" customHeight="1">
      <c r="A935" t="inlineStr">
        <is>
          <t>A 16611-2024</t>
        </is>
      </c>
      <c r="B935" s="1" t="n">
        <v>45408</v>
      </c>
      <c r="C935" s="1" t="n">
        <v>45840</v>
      </c>
      <c r="D935" t="inlineStr">
        <is>
          <t>DALARNAS LÄN</t>
        </is>
      </c>
      <c r="E935" t="inlineStr">
        <is>
          <t>LEKSAND</t>
        </is>
      </c>
      <c r="G935" t="n">
        <v>5.9</v>
      </c>
      <c r="H935" t="n">
        <v>0</v>
      </c>
      <c r="I935" t="n">
        <v>0</v>
      </c>
      <c r="J935" t="n">
        <v>0</v>
      </c>
      <c r="K935" t="n">
        <v>0</v>
      </c>
      <c r="L935" t="n">
        <v>0</v>
      </c>
      <c r="M935" t="n">
        <v>0</v>
      </c>
      <c r="N935" t="n">
        <v>0</v>
      </c>
      <c r="O935" t="n">
        <v>0</v>
      </c>
      <c r="P935" t="n">
        <v>0</v>
      </c>
      <c r="Q935" t="n">
        <v>0</v>
      </c>
      <c r="R935" s="2" t="inlineStr"/>
    </row>
    <row r="936" ht="15" customHeight="1">
      <c r="A936" t="inlineStr">
        <is>
          <t>A 16894-2024</t>
        </is>
      </c>
      <c r="B936" s="1" t="n">
        <v>45411</v>
      </c>
      <c r="C936" s="1" t="n">
        <v>45840</v>
      </c>
      <c r="D936" t="inlineStr">
        <is>
          <t>DALARNAS LÄN</t>
        </is>
      </c>
      <c r="E936" t="inlineStr">
        <is>
          <t>LEKSAND</t>
        </is>
      </c>
      <c r="F936" t="inlineStr">
        <is>
          <t>Bergvik skog väst AB</t>
        </is>
      </c>
      <c r="G936" t="n">
        <v>3.7</v>
      </c>
      <c r="H936" t="n">
        <v>0</v>
      </c>
      <c r="I936" t="n">
        <v>0</v>
      </c>
      <c r="J936" t="n">
        <v>0</v>
      </c>
      <c r="K936" t="n">
        <v>0</v>
      </c>
      <c r="L936" t="n">
        <v>0</v>
      </c>
      <c r="M936" t="n">
        <v>0</v>
      </c>
      <c r="N936" t="n">
        <v>0</v>
      </c>
      <c r="O936" t="n">
        <v>0</v>
      </c>
      <c r="P936" t="n">
        <v>0</v>
      </c>
      <c r="Q936" t="n">
        <v>0</v>
      </c>
      <c r="R936" s="2" t="inlineStr"/>
    </row>
    <row r="937" ht="15" customHeight="1">
      <c r="A937" t="inlineStr">
        <is>
          <t>A 17198-2024</t>
        </is>
      </c>
      <c r="B937" s="1" t="n">
        <v>45413</v>
      </c>
      <c r="C937" s="1" t="n">
        <v>45840</v>
      </c>
      <c r="D937" t="inlineStr">
        <is>
          <t>DALARNAS LÄN</t>
        </is>
      </c>
      <c r="E937" t="inlineStr">
        <is>
          <t>LEKSAND</t>
        </is>
      </c>
      <c r="G937" t="n">
        <v>4.8</v>
      </c>
      <c r="H937" t="n">
        <v>0</v>
      </c>
      <c r="I937" t="n">
        <v>0</v>
      </c>
      <c r="J937" t="n">
        <v>0</v>
      </c>
      <c r="K937" t="n">
        <v>0</v>
      </c>
      <c r="L937" t="n">
        <v>0</v>
      </c>
      <c r="M937" t="n">
        <v>0</v>
      </c>
      <c r="N937" t="n">
        <v>0</v>
      </c>
      <c r="O937" t="n">
        <v>0</v>
      </c>
      <c r="P937" t="n">
        <v>0</v>
      </c>
      <c r="Q937" t="n">
        <v>0</v>
      </c>
      <c r="R937" s="2" t="inlineStr"/>
    </row>
    <row r="938" ht="15" customHeight="1">
      <c r="A938" t="inlineStr">
        <is>
          <t>A 17353-2024</t>
        </is>
      </c>
      <c r="B938" s="1" t="n">
        <v>45414</v>
      </c>
      <c r="C938" s="1" t="n">
        <v>45840</v>
      </c>
      <c r="D938" t="inlineStr">
        <is>
          <t>DALARNAS LÄN</t>
        </is>
      </c>
      <c r="E938" t="inlineStr">
        <is>
          <t>LEKSAND</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17606-2024</t>
        </is>
      </c>
      <c r="B939" s="1" t="n">
        <v>45415</v>
      </c>
      <c r="C939" s="1" t="n">
        <v>45840</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17796-2024</t>
        </is>
      </c>
      <c r="B940" s="1" t="n">
        <v>45418</v>
      </c>
      <c r="C940" s="1" t="n">
        <v>45840</v>
      </c>
      <c r="D940" t="inlineStr">
        <is>
          <t>DALARNAS LÄN</t>
        </is>
      </c>
      <c r="E940" t="inlineStr">
        <is>
          <t>LEKSAND</t>
        </is>
      </c>
      <c r="G940" t="n">
        <v>3.4</v>
      </c>
      <c r="H940" t="n">
        <v>0</v>
      </c>
      <c r="I940" t="n">
        <v>0</v>
      </c>
      <c r="J940" t="n">
        <v>0</v>
      </c>
      <c r="K940" t="n">
        <v>0</v>
      </c>
      <c r="L940" t="n">
        <v>0</v>
      </c>
      <c r="M940" t="n">
        <v>0</v>
      </c>
      <c r="N940" t="n">
        <v>0</v>
      </c>
      <c r="O940" t="n">
        <v>0</v>
      </c>
      <c r="P940" t="n">
        <v>0</v>
      </c>
      <c r="Q940" t="n">
        <v>0</v>
      </c>
      <c r="R940" s="2" t="inlineStr"/>
    </row>
    <row r="941" ht="15" customHeight="1">
      <c r="A941" t="inlineStr">
        <is>
          <t>A 17726-2024</t>
        </is>
      </c>
      <c r="B941" s="1" t="n">
        <v>45418</v>
      </c>
      <c r="C941" s="1" t="n">
        <v>45840</v>
      </c>
      <c r="D941" t="inlineStr">
        <is>
          <t>DALARNAS LÄN</t>
        </is>
      </c>
      <c r="E941" t="inlineStr">
        <is>
          <t>LEKSAND</t>
        </is>
      </c>
      <c r="G941" t="n">
        <v>5.2</v>
      </c>
      <c r="H941" t="n">
        <v>0</v>
      </c>
      <c r="I941" t="n">
        <v>0</v>
      </c>
      <c r="J941" t="n">
        <v>0</v>
      </c>
      <c r="K941" t="n">
        <v>0</v>
      </c>
      <c r="L941" t="n">
        <v>0</v>
      </c>
      <c r="M941" t="n">
        <v>0</v>
      </c>
      <c r="N941" t="n">
        <v>0</v>
      </c>
      <c r="O941" t="n">
        <v>0</v>
      </c>
      <c r="P941" t="n">
        <v>0</v>
      </c>
      <c r="Q941" t="n">
        <v>0</v>
      </c>
      <c r="R941" s="2" t="inlineStr"/>
    </row>
    <row r="942" ht="15" customHeight="1">
      <c r="A942" t="inlineStr">
        <is>
          <t>A 17730-2024</t>
        </is>
      </c>
      <c r="B942" s="1" t="n">
        <v>45418</v>
      </c>
      <c r="C942" s="1" t="n">
        <v>45840</v>
      </c>
      <c r="D942" t="inlineStr">
        <is>
          <t>DALARNAS LÄN</t>
        </is>
      </c>
      <c r="E942" t="inlineStr">
        <is>
          <t>LEKSAND</t>
        </is>
      </c>
      <c r="G942" t="n">
        <v>2.4</v>
      </c>
      <c r="H942" t="n">
        <v>0</v>
      </c>
      <c r="I942" t="n">
        <v>0</v>
      </c>
      <c r="J942" t="n">
        <v>0</v>
      </c>
      <c r="K942" t="n">
        <v>0</v>
      </c>
      <c r="L942" t="n">
        <v>0</v>
      </c>
      <c r="M942" t="n">
        <v>0</v>
      </c>
      <c r="N942" t="n">
        <v>0</v>
      </c>
      <c r="O942" t="n">
        <v>0</v>
      </c>
      <c r="P942" t="n">
        <v>0</v>
      </c>
      <c r="Q942" t="n">
        <v>0</v>
      </c>
      <c r="R942" s="2" t="inlineStr"/>
    </row>
    <row r="943" ht="15" customHeight="1">
      <c r="A943" t="inlineStr">
        <is>
          <t>A 17938-2024</t>
        </is>
      </c>
      <c r="B943" s="1" t="n">
        <v>45419</v>
      </c>
      <c r="C943" s="1" t="n">
        <v>45840</v>
      </c>
      <c r="D943" t="inlineStr">
        <is>
          <t>DALARNAS LÄN</t>
        </is>
      </c>
      <c r="E943" t="inlineStr">
        <is>
          <t>LEKSAND</t>
        </is>
      </c>
      <c r="G943" t="n">
        <v>3.8</v>
      </c>
      <c r="H943" t="n">
        <v>0</v>
      </c>
      <c r="I943" t="n">
        <v>0</v>
      </c>
      <c r="J943" t="n">
        <v>0</v>
      </c>
      <c r="K943" t="n">
        <v>0</v>
      </c>
      <c r="L943" t="n">
        <v>0</v>
      </c>
      <c r="M943" t="n">
        <v>0</v>
      </c>
      <c r="N943" t="n">
        <v>0</v>
      </c>
      <c r="O943" t="n">
        <v>0</v>
      </c>
      <c r="P943" t="n">
        <v>0</v>
      </c>
      <c r="Q943" t="n">
        <v>0</v>
      </c>
      <c r="R943" s="2" t="inlineStr"/>
    </row>
    <row r="944" ht="15" customHeight="1">
      <c r="A944" t="inlineStr">
        <is>
          <t>A 17944-2024</t>
        </is>
      </c>
      <c r="B944" s="1" t="n">
        <v>45419</v>
      </c>
      <c r="C944" s="1" t="n">
        <v>45840</v>
      </c>
      <c r="D944" t="inlineStr">
        <is>
          <t>DALARNAS LÄN</t>
        </is>
      </c>
      <c r="E944" t="inlineStr">
        <is>
          <t>LEKSAND</t>
        </is>
      </c>
      <c r="G944" t="n">
        <v>2.9</v>
      </c>
      <c r="H944" t="n">
        <v>0</v>
      </c>
      <c r="I944" t="n">
        <v>0</v>
      </c>
      <c r="J944" t="n">
        <v>0</v>
      </c>
      <c r="K944" t="n">
        <v>0</v>
      </c>
      <c r="L944" t="n">
        <v>0</v>
      </c>
      <c r="M944" t="n">
        <v>0</v>
      </c>
      <c r="N944" t="n">
        <v>0</v>
      </c>
      <c r="O944" t="n">
        <v>0</v>
      </c>
      <c r="P944" t="n">
        <v>0</v>
      </c>
      <c r="Q944" t="n">
        <v>0</v>
      </c>
      <c r="R944" s="2" t="inlineStr"/>
    </row>
    <row r="945" ht="15" customHeight="1">
      <c r="A945" t="inlineStr">
        <is>
          <t>A 18040-2024</t>
        </is>
      </c>
      <c r="B945" s="1" t="n">
        <v>45420</v>
      </c>
      <c r="C945" s="1" t="n">
        <v>45840</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18176-2024</t>
        </is>
      </c>
      <c r="B946" s="1" t="n">
        <v>45420</v>
      </c>
      <c r="C946" s="1" t="n">
        <v>45840</v>
      </c>
      <c r="D946" t="inlineStr">
        <is>
          <t>DALARNAS LÄN</t>
        </is>
      </c>
      <c r="E946" t="inlineStr">
        <is>
          <t>LEKSAND</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18484-2024</t>
        </is>
      </c>
      <c r="B947" s="1" t="n">
        <v>45425</v>
      </c>
      <c r="C947" s="1" t="n">
        <v>45840</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18481-2024</t>
        </is>
      </c>
      <c r="B948" s="1" t="n">
        <v>45425</v>
      </c>
      <c r="C948" s="1" t="n">
        <v>45840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18483-2024</t>
        </is>
      </c>
      <c r="B949" s="1" t="n">
        <v>45425</v>
      </c>
      <c r="C949" s="1" t="n">
        <v>45840</v>
      </c>
      <c r="D949" t="inlineStr">
        <is>
          <t>DALARNAS LÄN</t>
        </is>
      </c>
      <c r="E949" t="inlineStr">
        <is>
          <t>LEKSAND</t>
        </is>
      </c>
      <c r="G949" t="n">
        <v>2</v>
      </c>
      <c r="H949" t="n">
        <v>0</v>
      </c>
      <c r="I949" t="n">
        <v>0</v>
      </c>
      <c r="J949" t="n">
        <v>0</v>
      </c>
      <c r="K949" t="n">
        <v>0</v>
      </c>
      <c r="L949" t="n">
        <v>0</v>
      </c>
      <c r="M949" t="n">
        <v>0</v>
      </c>
      <c r="N949" t="n">
        <v>0</v>
      </c>
      <c r="O949" t="n">
        <v>0</v>
      </c>
      <c r="P949" t="n">
        <v>0</v>
      </c>
      <c r="Q949" t="n">
        <v>0</v>
      </c>
      <c r="R949" s="2" t="inlineStr"/>
    </row>
    <row r="950" ht="15" customHeight="1">
      <c r="A950" t="inlineStr">
        <is>
          <t>A 18791-2024</t>
        </is>
      </c>
      <c r="B950" s="1" t="n">
        <v>45426</v>
      </c>
      <c r="C950" s="1" t="n">
        <v>45840</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19075-2024</t>
        </is>
      </c>
      <c r="B951" s="1" t="n">
        <v>45428</v>
      </c>
      <c r="C951" s="1" t="n">
        <v>45840</v>
      </c>
      <c r="D951" t="inlineStr">
        <is>
          <t>DALARNAS LÄN</t>
        </is>
      </c>
      <c r="E951" t="inlineStr">
        <is>
          <t>LEKSAND</t>
        </is>
      </c>
      <c r="G951" t="n">
        <v>4.9</v>
      </c>
      <c r="H951" t="n">
        <v>0</v>
      </c>
      <c r="I951" t="n">
        <v>0</v>
      </c>
      <c r="J951" t="n">
        <v>0</v>
      </c>
      <c r="K951" t="n">
        <v>0</v>
      </c>
      <c r="L951" t="n">
        <v>0</v>
      </c>
      <c r="M951" t="n">
        <v>0</v>
      </c>
      <c r="N951" t="n">
        <v>0</v>
      </c>
      <c r="O951" t="n">
        <v>0</v>
      </c>
      <c r="P951" t="n">
        <v>0</v>
      </c>
      <c r="Q951" t="n">
        <v>0</v>
      </c>
      <c r="R951" s="2" t="inlineStr"/>
    </row>
    <row r="952" ht="15" customHeight="1">
      <c r="A952" t="inlineStr">
        <is>
          <t>A 18991-2024</t>
        </is>
      </c>
      <c r="B952" s="1" t="n">
        <v>45427</v>
      </c>
      <c r="C952" s="1" t="n">
        <v>45840</v>
      </c>
      <c r="D952" t="inlineStr">
        <is>
          <t>DALARNAS LÄN</t>
        </is>
      </c>
      <c r="E952" t="inlineStr">
        <is>
          <t>LEKSAND</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19295-2024</t>
        </is>
      </c>
      <c r="B953" s="1" t="n">
        <v>45428</v>
      </c>
      <c r="C953" s="1" t="n">
        <v>45840</v>
      </c>
      <c r="D953" t="inlineStr">
        <is>
          <t>DALARNAS LÄN</t>
        </is>
      </c>
      <c r="E953" t="inlineStr">
        <is>
          <t>LEKSAND</t>
        </is>
      </c>
      <c r="G953" t="n">
        <v>1.6</v>
      </c>
      <c r="H953" t="n">
        <v>0</v>
      </c>
      <c r="I953" t="n">
        <v>0</v>
      </c>
      <c r="J953" t="n">
        <v>0</v>
      </c>
      <c r="K953" t="n">
        <v>0</v>
      </c>
      <c r="L953" t="n">
        <v>0</v>
      </c>
      <c r="M953" t="n">
        <v>0</v>
      </c>
      <c r="N953" t="n">
        <v>0</v>
      </c>
      <c r="O953" t="n">
        <v>0</v>
      </c>
      <c r="P953" t="n">
        <v>0</v>
      </c>
      <c r="Q953" t="n">
        <v>0</v>
      </c>
      <c r="R953" s="2" t="inlineStr"/>
    </row>
    <row r="954" ht="15" customHeight="1">
      <c r="A954" t="inlineStr">
        <is>
          <t>A 19296-2024</t>
        </is>
      </c>
      <c r="B954" s="1" t="n">
        <v>45428</v>
      </c>
      <c r="C954" s="1" t="n">
        <v>45840</v>
      </c>
      <c r="D954" t="inlineStr">
        <is>
          <t>DALARNAS LÄN</t>
        </is>
      </c>
      <c r="E954" t="inlineStr">
        <is>
          <t>LEKSAND</t>
        </is>
      </c>
      <c r="G954" t="n">
        <v>2.4</v>
      </c>
      <c r="H954" t="n">
        <v>0</v>
      </c>
      <c r="I954" t="n">
        <v>0</v>
      </c>
      <c r="J954" t="n">
        <v>0</v>
      </c>
      <c r="K954" t="n">
        <v>0</v>
      </c>
      <c r="L954" t="n">
        <v>0</v>
      </c>
      <c r="M954" t="n">
        <v>0</v>
      </c>
      <c r="N954" t="n">
        <v>0</v>
      </c>
      <c r="O954" t="n">
        <v>0</v>
      </c>
      <c r="P954" t="n">
        <v>0</v>
      </c>
      <c r="Q954" t="n">
        <v>0</v>
      </c>
      <c r="R954" s="2" t="inlineStr"/>
    </row>
    <row r="955" ht="15" customHeight="1">
      <c r="A955" t="inlineStr">
        <is>
          <t>A 19371-2024</t>
        </is>
      </c>
      <c r="B955" s="1" t="n">
        <v>45429</v>
      </c>
      <c r="C955" s="1" t="n">
        <v>45840</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19670-2024</t>
        </is>
      </c>
      <c r="B956" s="1" t="n">
        <v>45432</v>
      </c>
      <c r="C956" s="1" t="n">
        <v>45840</v>
      </c>
      <c r="D956" t="inlineStr">
        <is>
          <t>DALARNAS LÄN</t>
        </is>
      </c>
      <c r="E956" t="inlineStr">
        <is>
          <t>LEKSAND</t>
        </is>
      </c>
      <c r="G956" t="n">
        <v>2.2</v>
      </c>
      <c r="H956" t="n">
        <v>0</v>
      </c>
      <c r="I956" t="n">
        <v>0</v>
      </c>
      <c r="J956" t="n">
        <v>0</v>
      </c>
      <c r="K956" t="n">
        <v>0</v>
      </c>
      <c r="L956" t="n">
        <v>0</v>
      </c>
      <c r="M956" t="n">
        <v>0</v>
      </c>
      <c r="N956" t="n">
        <v>0</v>
      </c>
      <c r="O956" t="n">
        <v>0</v>
      </c>
      <c r="P956" t="n">
        <v>0</v>
      </c>
      <c r="Q956" t="n">
        <v>0</v>
      </c>
      <c r="R956" s="2" t="inlineStr"/>
    </row>
    <row r="957" ht="15" customHeight="1">
      <c r="A957" t="inlineStr">
        <is>
          <t>A 19738-2024</t>
        </is>
      </c>
      <c r="B957" s="1" t="n">
        <v>45432</v>
      </c>
      <c r="C957" s="1" t="n">
        <v>45840</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19741-2024</t>
        </is>
      </c>
      <c r="B958" s="1" t="n">
        <v>45432</v>
      </c>
      <c r="C958" s="1" t="n">
        <v>45840</v>
      </c>
      <c r="D958" t="inlineStr">
        <is>
          <t>DALARNAS LÄN</t>
        </is>
      </c>
      <c r="E958" t="inlineStr">
        <is>
          <t>LEKSAND</t>
        </is>
      </c>
      <c r="G958" t="n">
        <v>1.1</v>
      </c>
      <c r="H958" t="n">
        <v>0</v>
      </c>
      <c r="I958" t="n">
        <v>0</v>
      </c>
      <c r="J958" t="n">
        <v>0</v>
      </c>
      <c r="K958" t="n">
        <v>0</v>
      </c>
      <c r="L958" t="n">
        <v>0</v>
      </c>
      <c r="M958" t="n">
        <v>0</v>
      </c>
      <c r="N958" t="n">
        <v>0</v>
      </c>
      <c r="O958" t="n">
        <v>0</v>
      </c>
      <c r="P958" t="n">
        <v>0</v>
      </c>
      <c r="Q958" t="n">
        <v>0</v>
      </c>
      <c r="R958" s="2" t="inlineStr"/>
    </row>
    <row r="959" ht="15" customHeight="1">
      <c r="A959" t="inlineStr">
        <is>
          <t>A 19618-2024</t>
        </is>
      </c>
      <c r="B959" s="1" t="n">
        <v>45432</v>
      </c>
      <c r="C959" s="1" t="n">
        <v>45840</v>
      </c>
      <c r="D959" t="inlineStr">
        <is>
          <t>DALARNAS LÄN</t>
        </is>
      </c>
      <c r="E959" t="inlineStr">
        <is>
          <t>LEKSAND</t>
        </is>
      </c>
      <c r="G959" t="n">
        <v>1.5</v>
      </c>
      <c r="H959" t="n">
        <v>0</v>
      </c>
      <c r="I959" t="n">
        <v>0</v>
      </c>
      <c r="J959" t="n">
        <v>0</v>
      </c>
      <c r="K959" t="n">
        <v>0</v>
      </c>
      <c r="L959" t="n">
        <v>0</v>
      </c>
      <c r="M959" t="n">
        <v>0</v>
      </c>
      <c r="N959" t="n">
        <v>0</v>
      </c>
      <c r="O959" t="n">
        <v>0</v>
      </c>
      <c r="P959" t="n">
        <v>0</v>
      </c>
      <c r="Q959" t="n">
        <v>0</v>
      </c>
      <c r="R959" s="2" t="inlineStr"/>
    </row>
    <row r="960" ht="15" customHeight="1">
      <c r="A960" t="inlineStr">
        <is>
          <t>A 19622-2024</t>
        </is>
      </c>
      <c r="B960" s="1" t="n">
        <v>45432</v>
      </c>
      <c r="C960" s="1" t="n">
        <v>45840</v>
      </c>
      <c r="D960" t="inlineStr">
        <is>
          <t>DALARNAS LÄN</t>
        </is>
      </c>
      <c r="E960" t="inlineStr">
        <is>
          <t>LEKSAND</t>
        </is>
      </c>
      <c r="G960" t="n">
        <v>1.3</v>
      </c>
      <c r="H960" t="n">
        <v>0</v>
      </c>
      <c r="I960" t="n">
        <v>0</v>
      </c>
      <c r="J960" t="n">
        <v>0</v>
      </c>
      <c r="K960" t="n">
        <v>0</v>
      </c>
      <c r="L960" t="n">
        <v>0</v>
      </c>
      <c r="M960" t="n">
        <v>0</v>
      </c>
      <c r="N960" t="n">
        <v>0</v>
      </c>
      <c r="O960" t="n">
        <v>0</v>
      </c>
      <c r="P960" t="n">
        <v>0</v>
      </c>
      <c r="Q960" t="n">
        <v>0</v>
      </c>
      <c r="R960" s="2" t="inlineStr"/>
    </row>
    <row r="961" ht="15" customHeight="1">
      <c r="A961" t="inlineStr">
        <is>
          <t>A 19820-2024</t>
        </is>
      </c>
      <c r="B961" s="1" t="n">
        <v>45433</v>
      </c>
      <c r="C961" s="1" t="n">
        <v>45840</v>
      </c>
      <c r="D961" t="inlineStr">
        <is>
          <t>DALARNAS LÄN</t>
        </is>
      </c>
      <c r="E961" t="inlineStr">
        <is>
          <t>LEKSAND</t>
        </is>
      </c>
      <c r="G961" t="n">
        <v>0.7</v>
      </c>
      <c r="H961" t="n">
        <v>0</v>
      </c>
      <c r="I961" t="n">
        <v>0</v>
      </c>
      <c r="J961" t="n">
        <v>0</v>
      </c>
      <c r="K961" t="n">
        <v>0</v>
      </c>
      <c r="L961" t="n">
        <v>0</v>
      </c>
      <c r="M961" t="n">
        <v>0</v>
      </c>
      <c r="N961" t="n">
        <v>0</v>
      </c>
      <c r="O961" t="n">
        <v>0</v>
      </c>
      <c r="P961" t="n">
        <v>0</v>
      </c>
      <c r="Q961" t="n">
        <v>0</v>
      </c>
      <c r="R961" s="2" t="inlineStr"/>
    </row>
    <row r="962" ht="15" customHeight="1">
      <c r="A962" t="inlineStr">
        <is>
          <t>A 19823-2024</t>
        </is>
      </c>
      <c r="B962" s="1" t="n">
        <v>45433</v>
      </c>
      <c r="C962" s="1" t="n">
        <v>45840</v>
      </c>
      <c r="D962" t="inlineStr">
        <is>
          <t>DALARNAS LÄN</t>
        </is>
      </c>
      <c r="E962" t="inlineStr">
        <is>
          <t>LEKSAND</t>
        </is>
      </c>
      <c r="G962" t="n">
        <v>0.3</v>
      </c>
      <c r="H962" t="n">
        <v>0</v>
      </c>
      <c r="I962" t="n">
        <v>0</v>
      </c>
      <c r="J962" t="n">
        <v>0</v>
      </c>
      <c r="K962" t="n">
        <v>0</v>
      </c>
      <c r="L962" t="n">
        <v>0</v>
      </c>
      <c r="M962" t="n">
        <v>0</v>
      </c>
      <c r="N962" t="n">
        <v>0</v>
      </c>
      <c r="O962" t="n">
        <v>0</v>
      </c>
      <c r="P962" t="n">
        <v>0</v>
      </c>
      <c r="Q962" t="n">
        <v>0</v>
      </c>
      <c r="R962" s="2" t="inlineStr"/>
    </row>
    <row r="963" ht="15" customHeight="1">
      <c r="A963" t="inlineStr">
        <is>
          <t>A 20110-2024</t>
        </is>
      </c>
      <c r="B963" s="1" t="n">
        <v>45434</v>
      </c>
      <c r="C963" s="1" t="n">
        <v>45840</v>
      </c>
      <c r="D963" t="inlineStr">
        <is>
          <t>DALARNAS LÄN</t>
        </is>
      </c>
      <c r="E963" t="inlineStr">
        <is>
          <t>LEKSAND</t>
        </is>
      </c>
      <c r="G963" t="n">
        <v>1.8</v>
      </c>
      <c r="H963" t="n">
        <v>0</v>
      </c>
      <c r="I963" t="n">
        <v>0</v>
      </c>
      <c r="J963" t="n">
        <v>0</v>
      </c>
      <c r="K963" t="n">
        <v>0</v>
      </c>
      <c r="L963" t="n">
        <v>0</v>
      </c>
      <c r="M963" t="n">
        <v>0</v>
      </c>
      <c r="N963" t="n">
        <v>0</v>
      </c>
      <c r="O963" t="n">
        <v>0</v>
      </c>
      <c r="P963" t="n">
        <v>0</v>
      </c>
      <c r="Q963" t="n">
        <v>0</v>
      </c>
      <c r="R963" s="2" t="inlineStr"/>
    </row>
    <row r="964" ht="15" customHeight="1">
      <c r="A964" t="inlineStr">
        <is>
          <t>A 20590-2024</t>
        </is>
      </c>
      <c r="B964" s="1" t="n">
        <v>45436</v>
      </c>
      <c r="C964" s="1" t="n">
        <v>45840</v>
      </c>
      <c r="D964" t="inlineStr">
        <is>
          <t>DALARNAS LÄN</t>
        </is>
      </c>
      <c r="E964" t="inlineStr">
        <is>
          <t>LEKSAND</t>
        </is>
      </c>
      <c r="G964" t="n">
        <v>0.9</v>
      </c>
      <c r="H964" t="n">
        <v>0</v>
      </c>
      <c r="I964" t="n">
        <v>0</v>
      </c>
      <c r="J964" t="n">
        <v>0</v>
      </c>
      <c r="K964" t="n">
        <v>0</v>
      </c>
      <c r="L964" t="n">
        <v>0</v>
      </c>
      <c r="M964" t="n">
        <v>0</v>
      </c>
      <c r="N964" t="n">
        <v>0</v>
      </c>
      <c r="O964" t="n">
        <v>0</v>
      </c>
      <c r="P964" t="n">
        <v>0</v>
      </c>
      <c r="Q964" t="n">
        <v>0</v>
      </c>
      <c r="R964" s="2" t="inlineStr"/>
    </row>
    <row r="965" ht="15" customHeight="1">
      <c r="A965" t="inlineStr">
        <is>
          <t>A 20588-2024</t>
        </is>
      </c>
      <c r="B965" s="1" t="n">
        <v>45436</v>
      </c>
      <c r="C965" s="1" t="n">
        <v>45840</v>
      </c>
      <c r="D965" t="inlineStr">
        <is>
          <t>DALARNAS LÄN</t>
        </is>
      </c>
      <c r="E965" t="inlineStr">
        <is>
          <t>LEKSAND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20718-2024</t>
        </is>
      </c>
      <c r="B966" s="1" t="n">
        <v>45436</v>
      </c>
      <c r="C966" s="1" t="n">
        <v>45840</v>
      </c>
      <c r="D966" t="inlineStr">
        <is>
          <t>DALARNAS LÄN</t>
        </is>
      </c>
      <c r="E966" t="inlineStr">
        <is>
          <t>LEKSAND</t>
        </is>
      </c>
      <c r="F966" t="inlineStr">
        <is>
          <t>Bergvik skog väst AB</t>
        </is>
      </c>
      <c r="G966" t="n">
        <v>4.7</v>
      </c>
      <c r="H966" t="n">
        <v>0</v>
      </c>
      <c r="I966" t="n">
        <v>0</v>
      </c>
      <c r="J966" t="n">
        <v>0</v>
      </c>
      <c r="K966" t="n">
        <v>0</v>
      </c>
      <c r="L966" t="n">
        <v>0</v>
      </c>
      <c r="M966" t="n">
        <v>0</v>
      </c>
      <c r="N966" t="n">
        <v>0</v>
      </c>
      <c r="O966" t="n">
        <v>0</v>
      </c>
      <c r="P966" t="n">
        <v>0</v>
      </c>
      <c r="Q966" t="n">
        <v>0</v>
      </c>
      <c r="R966" s="2" t="inlineStr"/>
    </row>
    <row r="967" ht="15" customHeight="1">
      <c r="A967" t="inlineStr">
        <is>
          <t>A 21017-2024</t>
        </is>
      </c>
      <c r="B967" s="1" t="n">
        <v>45439</v>
      </c>
      <c r="C967" s="1" t="n">
        <v>45840</v>
      </c>
      <c r="D967" t="inlineStr">
        <is>
          <t>DALARNAS LÄN</t>
        </is>
      </c>
      <c r="E967" t="inlineStr">
        <is>
          <t>LEKSAND</t>
        </is>
      </c>
      <c r="G967" t="n">
        <v>2.8</v>
      </c>
      <c r="H967" t="n">
        <v>0</v>
      </c>
      <c r="I967" t="n">
        <v>0</v>
      </c>
      <c r="J967" t="n">
        <v>0</v>
      </c>
      <c r="K967" t="n">
        <v>0</v>
      </c>
      <c r="L967" t="n">
        <v>0</v>
      </c>
      <c r="M967" t="n">
        <v>0</v>
      </c>
      <c r="N967" t="n">
        <v>0</v>
      </c>
      <c r="O967" t="n">
        <v>0</v>
      </c>
      <c r="P967" t="n">
        <v>0</v>
      </c>
      <c r="Q967" t="n">
        <v>0</v>
      </c>
      <c r="R967" s="2" t="inlineStr"/>
    </row>
    <row r="968" ht="15" customHeight="1">
      <c r="A968" t="inlineStr">
        <is>
          <t>A 21035-2024</t>
        </is>
      </c>
      <c r="B968" s="1" t="n">
        <v>45439</v>
      </c>
      <c r="C968" s="1" t="n">
        <v>45840</v>
      </c>
      <c r="D968" t="inlineStr">
        <is>
          <t>DALARNAS LÄN</t>
        </is>
      </c>
      <c r="E968" t="inlineStr">
        <is>
          <t>LEKSAND</t>
        </is>
      </c>
      <c r="G968" t="n">
        <v>11.6</v>
      </c>
      <c r="H968" t="n">
        <v>0</v>
      </c>
      <c r="I968" t="n">
        <v>0</v>
      </c>
      <c r="J968" t="n">
        <v>0</v>
      </c>
      <c r="K968" t="n">
        <v>0</v>
      </c>
      <c r="L968" t="n">
        <v>0</v>
      </c>
      <c r="M968" t="n">
        <v>0</v>
      </c>
      <c r="N968" t="n">
        <v>0</v>
      </c>
      <c r="O968" t="n">
        <v>0</v>
      </c>
      <c r="P968" t="n">
        <v>0</v>
      </c>
      <c r="Q968" t="n">
        <v>0</v>
      </c>
      <c r="R968" s="2" t="inlineStr"/>
    </row>
    <row r="969" ht="15" customHeight="1">
      <c r="A969" t="inlineStr">
        <is>
          <t>A 21556-2024</t>
        </is>
      </c>
      <c r="B969" s="1" t="n">
        <v>45441</v>
      </c>
      <c r="C969" s="1" t="n">
        <v>45840</v>
      </c>
      <c r="D969" t="inlineStr">
        <is>
          <t>DALARNAS LÄN</t>
        </is>
      </c>
      <c r="E969" t="inlineStr">
        <is>
          <t>LEKSAND</t>
        </is>
      </c>
      <c r="G969" t="n">
        <v>2.9</v>
      </c>
      <c r="H969" t="n">
        <v>0</v>
      </c>
      <c r="I969" t="n">
        <v>0</v>
      </c>
      <c r="J969" t="n">
        <v>0</v>
      </c>
      <c r="K969" t="n">
        <v>0</v>
      </c>
      <c r="L969" t="n">
        <v>0</v>
      </c>
      <c r="M969" t="n">
        <v>0</v>
      </c>
      <c r="N969" t="n">
        <v>0</v>
      </c>
      <c r="O969" t="n">
        <v>0</v>
      </c>
      <c r="P969" t="n">
        <v>0</v>
      </c>
      <c r="Q969" t="n">
        <v>0</v>
      </c>
      <c r="R969" s="2" t="inlineStr"/>
    </row>
    <row r="970" ht="15" customHeight="1">
      <c r="A970" t="inlineStr">
        <is>
          <t>A 21676-2024</t>
        </is>
      </c>
      <c r="B970" s="1" t="n">
        <v>45442</v>
      </c>
      <c r="C970" s="1" t="n">
        <v>45840</v>
      </c>
      <c r="D970" t="inlineStr">
        <is>
          <t>DALARNAS LÄN</t>
        </is>
      </c>
      <c r="E970" t="inlineStr">
        <is>
          <t>LEKSAND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22059-2024</t>
        </is>
      </c>
      <c r="B971" s="1" t="n">
        <v>45443</v>
      </c>
      <c r="C971" s="1" t="n">
        <v>45840</v>
      </c>
      <c r="D971" t="inlineStr">
        <is>
          <t>DALARNAS LÄN</t>
        </is>
      </c>
      <c r="E971" t="inlineStr">
        <is>
          <t>LEKSAND</t>
        </is>
      </c>
      <c r="G971" t="n">
        <v>13.4</v>
      </c>
      <c r="H971" t="n">
        <v>0</v>
      </c>
      <c r="I971" t="n">
        <v>0</v>
      </c>
      <c r="J971" t="n">
        <v>0</v>
      </c>
      <c r="K971" t="n">
        <v>0</v>
      </c>
      <c r="L971" t="n">
        <v>0</v>
      </c>
      <c r="M971" t="n">
        <v>0</v>
      </c>
      <c r="N971" t="n">
        <v>0</v>
      </c>
      <c r="O971" t="n">
        <v>0</v>
      </c>
      <c r="P971" t="n">
        <v>0</v>
      </c>
      <c r="Q971" t="n">
        <v>0</v>
      </c>
      <c r="R971" s="2" t="inlineStr"/>
    </row>
    <row r="972" ht="15" customHeight="1">
      <c r="A972" t="inlineStr">
        <is>
          <t>A 22354-2024</t>
        </is>
      </c>
      <c r="B972" s="1" t="n">
        <v>45446</v>
      </c>
      <c r="C972" s="1" t="n">
        <v>45840</v>
      </c>
      <c r="D972" t="inlineStr">
        <is>
          <t>DALARNAS LÄN</t>
        </is>
      </c>
      <c r="E972" t="inlineStr">
        <is>
          <t>LEKSAND</t>
        </is>
      </c>
      <c r="G972" t="n">
        <v>1</v>
      </c>
      <c r="H972" t="n">
        <v>0</v>
      </c>
      <c r="I972" t="n">
        <v>0</v>
      </c>
      <c r="J972" t="n">
        <v>0</v>
      </c>
      <c r="K972" t="n">
        <v>0</v>
      </c>
      <c r="L972" t="n">
        <v>0</v>
      </c>
      <c r="M972" t="n">
        <v>0</v>
      </c>
      <c r="N972" t="n">
        <v>0</v>
      </c>
      <c r="O972" t="n">
        <v>0</v>
      </c>
      <c r="P972" t="n">
        <v>0</v>
      </c>
      <c r="Q972" t="n">
        <v>0</v>
      </c>
      <c r="R972" s="2" t="inlineStr"/>
    </row>
    <row r="973" ht="15" customHeight="1">
      <c r="A973" t="inlineStr">
        <is>
          <t>A 22388-2024</t>
        </is>
      </c>
      <c r="B973" s="1" t="n">
        <v>45446</v>
      </c>
      <c r="C973" s="1" t="n">
        <v>45840</v>
      </c>
      <c r="D973" t="inlineStr">
        <is>
          <t>DALARNAS LÄN</t>
        </is>
      </c>
      <c r="E973" t="inlineStr">
        <is>
          <t>LEKSAND</t>
        </is>
      </c>
      <c r="F973" t="inlineStr">
        <is>
          <t>Bergvik skog väst AB</t>
        </is>
      </c>
      <c r="G973" t="n">
        <v>5.3</v>
      </c>
      <c r="H973" t="n">
        <v>0</v>
      </c>
      <c r="I973" t="n">
        <v>0</v>
      </c>
      <c r="J973" t="n">
        <v>0</v>
      </c>
      <c r="K973" t="n">
        <v>0</v>
      </c>
      <c r="L973" t="n">
        <v>0</v>
      </c>
      <c r="M973" t="n">
        <v>0</v>
      </c>
      <c r="N973" t="n">
        <v>0</v>
      </c>
      <c r="O973" t="n">
        <v>0</v>
      </c>
      <c r="P973" t="n">
        <v>0</v>
      </c>
      <c r="Q973" t="n">
        <v>0</v>
      </c>
      <c r="R973" s="2" t="inlineStr"/>
    </row>
    <row r="974" ht="15" customHeight="1">
      <c r="A974" t="inlineStr">
        <is>
          <t>A 22349-2024</t>
        </is>
      </c>
      <c r="B974" s="1" t="n">
        <v>45446</v>
      </c>
      <c r="C974" s="1" t="n">
        <v>45840</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22281-2024</t>
        </is>
      </c>
      <c r="B975" s="1" t="n">
        <v>45446</v>
      </c>
      <c r="C975" s="1" t="n">
        <v>45840</v>
      </c>
      <c r="D975" t="inlineStr">
        <is>
          <t>DALARNAS LÄN</t>
        </is>
      </c>
      <c r="E975" t="inlineStr">
        <is>
          <t>LEKSAND</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22612-2024</t>
        </is>
      </c>
      <c r="B976" s="1" t="n">
        <v>45447</v>
      </c>
      <c r="C976" s="1" t="n">
        <v>45840</v>
      </c>
      <c r="D976" t="inlineStr">
        <is>
          <t>DALARNAS LÄN</t>
        </is>
      </c>
      <c r="E976" t="inlineStr">
        <is>
          <t>LEKSAND</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22517-2024</t>
        </is>
      </c>
      <c r="B977" s="1" t="n">
        <v>45447</v>
      </c>
      <c r="C977" s="1" t="n">
        <v>45840</v>
      </c>
      <c r="D977" t="inlineStr">
        <is>
          <t>DALARNAS LÄN</t>
        </is>
      </c>
      <c r="E977" t="inlineStr">
        <is>
          <t>LEKSAND</t>
        </is>
      </c>
      <c r="G977" t="n">
        <v>0.4</v>
      </c>
      <c r="H977" t="n">
        <v>0</v>
      </c>
      <c r="I977" t="n">
        <v>0</v>
      </c>
      <c r="J977" t="n">
        <v>0</v>
      </c>
      <c r="K977" t="n">
        <v>0</v>
      </c>
      <c r="L977" t="n">
        <v>0</v>
      </c>
      <c r="M977" t="n">
        <v>0</v>
      </c>
      <c r="N977" t="n">
        <v>0</v>
      </c>
      <c r="O977" t="n">
        <v>0</v>
      </c>
      <c r="P977" t="n">
        <v>0</v>
      </c>
      <c r="Q977" t="n">
        <v>0</v>
      </c>
      <c r="R977" s="2" t="inlineStr"/>
    </row>
    <row r="978" ht="15" customHeight="1">
      <c r="A978" t="inlineStr">
        <is>
          <t>A 22686-2024</t>
        </is>
      </c>
      <c r="B978" s="1" t="n">
        <v>45448</v>
      </c>
      <c r="C978" s="1" t="n">
        <v>45840</v>
      </c>
      <c r="D978" t="inlineStr">
        <is>
          <t>DALARNAS LÄN</t>
        </is>
      </c>
      <c r="E978" t="inlineStr">
        <is>
          <t>LEKSAND</t>
        </is>
      </c>
      <c r="G978" t="n">
        <v>2.3</v>
      </c>
      <c r="H978" t="n">
        <v>0</v>
      </c>
      <c r="I978" t="n">
        <v>0</v>
      </c>
      <c r="J978" t="n">
        <v>0</v>
      </c>
      <c r="K978" t="n">
        <v>0</v>
      </c>
      <c r="L978" t="n">
        <v>0</v>
      </c>
      <c r="M978" t="n">
        <v>0</v>
      </c>
      <c r="N978" t="n">
        <v>0</v>
      </c>
      <c r="O978" t="n">
        <v>0</v>
      </c>
      <c r="P978" t="n">
        <v>0</v>
      </c>
      <c r="Q978" t="n">
        <v>0</v>
      </c>
      <c r="R978" s="2" t="inlineStr"/>
    </row>
    <row r="979" ht="15" customHeight="1">
      <c r="A979" t="inlineStr">
        <is>
          <t>A 22708-2024</t>
        </is>
      </c>
      <c r="B979" s="1" t="n">
        <v>45448</v>
      </c>
      <c r="C979" s="1" t="n">
        <v>45840</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23068-2024</t>
        </is>
      </c>
      <c r="B980" s="1" t="n">
        <v>45450</v>
      </c>
      <c r="C980" s="1" t="n">
        <v>45840</v>
      </c>
      <c r="D980" t="inlineStr">
        <is>
          <t>DALARNAS LÄN</t>
        </is>
      </c>
      <c r="E980" t="inlineStr">
        <is>
          <t>LEKSAND</t>
        </is>
      </c>
      <c r="G980" t="n">
        <v>2.4</v>
      </c>
      <c r="H980" t="n">
        <v>0</v>
      </c>
      <c r="I980" t="n">
        <v>0</v>
      </c>
      <c r="J980" t="n">
        <v>0</v>
      </c>
      <c r="K980" t="n">
        <v>0</v>
      </c>
      <c r="L980" t="n">
        <v>0</v>
      </c>
      <c r="M980" t="n">
        <v>0</v>
      </c>
      <c r="N980" t="n">
        <v>0</v>
      </c>
      <c r="O980" t="n">
        <v>0</v>
      </c>
      <c r="P980" t="n">
        <v>0</v>
      </c>
      <c r="Q980" t="n">
        <v>0</v>
      </c>
      <c r="R980" s="2" t="inlineStr"/>
    </row>
    <row r="981" ht="15" customHeight="1">
      <c r="A981" t="inlineStr">
        <is>
          <t>A 23283-2024</t>
        </is>
      </c>
      <c r="B981" s="1" t="n">
        <v>45453</v>
      </c>
      <c r="C981" s="1" t="n">
        <v>45840</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23320-2024</t>
        </is>
      </c>
      <c r="B982" s="1" t="n">
        <v>45453</v>
      </c>
      <c r="C982" s="1" t="n">
        <v>45840</v>
      </c>
      <c r="D982" t="inlineStr">
        <is>
          <t>DALARNAS LÄN</t>
        </is>
      </c>
      <c r="E982" t="inlineStr">
        <is>
          <t>LEKSAND</t>
        </is>
      </c>
      <c r="G982" t="n">
        <v>4.6</v>
      </c>
      <c r="H982" t="n">
        <v>0</v>
      </c>
      <c r="I982" t="n">
        <v>0</v>
      </c>
      <c r="J982" t="n">
        <v>0</v>
      </c>
      <c r="K982" t="n">
        <v>0</v>
      </c>
      <c r="L982" t="n">
        <v>0</v>
      </c>
      <c r="M982" t="n">
        <v>0</v>
      </c>
      <c r="N982" t="n">
        <v>0</v>
      </c>
      <c r="O982" t="n">
        <v>0</v>
      </c>
      <c r="P982" t="n">
        <v>0</v>
      </c>
      <c r="Q982" t="n">
        <v>0</v>
      </c>
      <c r="R982" s="2" t="inlineStr"/>
    </row>
    <row r="983" ht="15" customHeight="1">
      <c r="A983" t="inlineStr">
        <is>
          <t>A 23391-2024</t>
        </is>
      </c>
      <c r="B983" s="1" t="n">
        <v>45453</v>
      </c>
      <c r="C983" s="1" t="n">
        <v>45840</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23395-2024</t>
        </is>
      </c>
      <c r="B984" s="1" t="n">
        <v>45453</v>
      </c>
      <c r="C984" s="1" t="n">
        <v>45840</v>
      </c>
      <c r="D984" t="inlineStr">
        <is>
          <t>DALARNAS LÄN</t>
        </is>
      </c>
      <c r="E984" t="inlineStr">
        <is>
          <t>LEKSAND</t>
        </is>
      </c>
      <c r="G984" t="n">
        <v>1.2</v>
      </c>
      <c r="H984" t="n">
        <v>0</v>
      </c>
      <c r="I984" t="n">
        <v>0</v>
      </c>
      <c r="J984" t="n">
        <v>0</v>
      </c>
      <c r="K984" t="n">
        <v>0</v>
      </c>
      <c r="L984" t="n">
        <v>0</v>
      </c>
      <c r="M984" t="n">
        <v>0</v>
      </c>
      <c r="N984" t="n">
        <v>0</v>
      </c>
      <c r="O984" t="n">
        <v>0</v>
      </c>
      <c r="P984" t="n">
        <v>0</v>
      </c>
      <c r="Q984" t="n">
        <v>0</v>
      </c>
      <c r="R984" s="2" t="inlineStr"/>
    </row>
    <row r="985" ht="15" customHeight="1">
      <c r="A985" t="inlineStr">
        <is>
          <t>A 23615-2024</t>
        </is>
      </c>
      <c r="B985" s="1" t="n">
        <v>45454</v>
      </c>
      <c r="C985" s="1" t="n">
        <v>45840</v>
      </c>
      <c r="D985" t="inlineStr">
        <is>
          <t>DALARNAS LÄN</t>
        </is>
      </c>
      <c r="E985" t="inlineStr">
        <is>
          <t>LEKSAND</t>
        </is>
      </c>
      <c r="G985" t="n">
        <v>1.7</v>
      </c>
      <c r="H985" t="n">
        <v>0</v>
      </c>
      <c r="I985" t="n">
        <v>0</v>
      </c>
      <c r="J985" t="n">
        <v>0</v>
      </c>
      <c r="K985" t="n">
        <v>0</v>
      </c>
      <c r="L985" t="n">
        <v>0</v>
      </c>
      <c r="M985" t="n">
        <v>0</v>
      </c>
      <c r="N985" t="n">
        <v>0</v>
      </c>
      <c r="O985" t="n">
        <v>0</v>
      </c>
      <c r="P985" t="n">
        <v>0</v>
      </c>
      <c r="Q985" t="n">
        <v>0</v>
      </c>
      <c r="R985" s="2" t="inlineStr"/>
    </row>
    <row r="986" ht="15" customHeight="1">
      <c r="A986" t="inlineStr">
        <is>
          <t>A 23663-2024</t>
        </is>
      </c>
      <c r="B986" s="1" t="n">
        <v>45454</v>
      </c>
      <c r="C986" s="1" t="n">
        <v>45840</v>
      </c>
      <c r="D986" t="inlineStr">
        <is>
          <t>DALARNAS LÄN</t>
        </is>
      </c>
      <c r="E986" t="inlineStr">
        <is>
          <t>LEKSAND</t>
        </is>
      </c>
      <c r="G986" t="n">
        <v>2.5</v>
      </c>
      <c r="H986" t="n">
        <v>0</v>
      </c>
      <c r="I986" t="n">
        <v>0</v>
      </c>
      <c r="J986" t="n">
        <v>0</v>
      </c>
      <c r="K986" t="n">
        <v>0</v>
      </c>
      <c r="L986" t="n">
        <v>0</v>
      </c>
      <c r="M986" t="n">
        <v>0</v>
      </c>
      <c r="N986" t="n">
        <v>0</v>
      </c>
      <c r="O986" t="n">
        <v>0</v>
      </c>
      <c r="P986" t="n">
        <v>0</v>
      </c>
      <c r="Q986" t="n">
        <v>0</v>
      </c>
      <c r="R986" s="2" t="inlineStr"/>
    </row>
    <row r="987" ht="15" customHeight="1">
      <c r="A987" t="inlineStr">
        <is>
          <t>A 23896-2024</t>
        </is>
      </c>
      <c r="B987" s="1" t="n">
        <v>45455</v>
      </c>
      <c r="C987" s="1" t="n">
        <v>45840</v>
      </c>
      <c r="D987" t="inlineStr">
        <is>
          <t>DALARNAS LÄN</t>
        </is>
      </c>
      <c r="E987" t="inlineStr">
        <is>
          <t>LEKSAND</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23743-2024</t>
        </is>
      </c>
      <c r="B988" s="1" t="n">
        <v>45455</v>
      </c>
      <c r="C988" s="1" t="n">
        <v>45840</v>
      </c>
      <c r="D988" t="inlineStr">
        <is>
          <t>DALARNAS LÄN</t>
        </is>
      </c>
      <c r="E988" t="inlineStr">
        <is>
          <t>LEKSAND</t>
        </is>
      </c>
      <c r="G988" t="n">
        <v>4.5</v>
      </c>
      <c r="H988" t="n">
        <v>0</v>
      </c>
      <c r="I988" t="n">
        <v>0</v>
      </c>
      <c r="J988" t="n">
        <v>0</v>
      </c>
      <c r="K988" t="n">
        <v>0</v>
      </c>
      <c r="L988" t="n">
        <v>0</v>
      </c>
      <c r="M988" t="n">
        <v>0</v>
      </c>
      <c r="N988" t="n">
        <v>0</v>
      </c>
      <c r="O988" t="n">
        <v>0</v>
      </c>
      <c r="P988" t="n">
        <v>0</v>
      </c>
      <c r="Q988" t="n">
        <v>0</v>
      </c>
      <c r="R988" s="2" t="inlineStr"/>
    </row>
    <row r="989" ht="15" customHeight="1">
      <c r="A989" t="inlineStr">
        <is>
          <t>A 23739-2024</t>
        </is>
      </c>
      <c r="B989" s="1" t="n">
        <v>45455</v>
      </c>
      <c r="C989" s="1" t="n">
        <v>45840</v>
      </c>
      <c r="D989" t="inlineStr">
        <is>
          <t>DALARNAS LÄN</t>
        </is>
      </c>
      <c r="E989" t="inlineStr">
        <is>
          <t>LEKSAND</t>
        </is>
      </c>
      <c r="G989" t="n">
        <v>0.6</v>
      </c>
      <c r="H989" t="n">
        <v>0</v>
      </c>
      <c r="I989" t="n">
        <v>0</v>
      </c>
      <c r="J989" t="n">
        <v>0</v>
      </c>
      <c r="K989" t="n">
        <v>0</v>
      </c>
      <c r="L989" t="n">
        <v>0</v>
      </c>
      <c r="M989" t="n">
        <v>0</v>
      </c>
      <c r="N989" t="n">
        <v>0</v>
      </c>
      <c r="O989" t="n">
        <v>0</v>
      </c>
      <c r="P989" t="n">
        <v>0</v>
      </c>
      <c r="Q989" t="n">
        <v>0</v>
      </c>
      <c r="R989" s="2" t="inlineStr"/>
    </row>
    <row r="990" ht="15" customHeight="1">
      <c r="A990" t="inlineStr">
        <is>
          <t>A 24003-2024</t>
        </is>
      </c>
      <c r="B990" s="1" t="n">
        <v>45456</v>
      </c>
      <c r="C990" s="1" t="n">
        <v>45840</v>
      </c>
      <c r="D990" t="inlineStr">
        <is>
          <t>DALARNAS LÄN</t>
        </is>
      </c>
      <c r="E990" t="inlineStr">
        <is>
          <t>LEKSAND</t>
        </is>
      </c>
      <c r="F990" t="inlineStr">
        <is>
          <t>Bergvik skog väst AB</t>
        </is>
      </c>
      <c r="G990" t="n">
        <v>3.2</v>
      </c>
      <c r="H990" t="n">
        <v>0</v>
      </c>
      <c r="I990" t="n">
        <v>0</v>
      </c>
      <c r="J990" t="n">
        <v>0</v>
      </c>
      <c r="K990" t="n">
        <v>0</v>
      </c>
      <c r="L990" t="n">
        <v>0</v>
      </c>
      <c r="M990" t="n">
        <v>0</v>
      </c>
      <c r="N990" t="n">
        <v>0</v>
      </c>
      <c r="O990" t="n">
        <v>0</v>
      </c>
      <c r="P990" t="n">
        <v>0</v>
      </c>
      <c r="Q990" t="n">
        <v>0</v>
      </c>
      <c r="R990" s="2" t="inlineStr"/>
    </row>
    <row r="991" ht="15" customHeight="1">
      <c r="A991" t="inlineStr">
        <is>
          <t>A 24005-2024</t>
        </is>
      </c>
      <c r="B991" s="1" t="n">
        <v>45456</v>
      </c>
      <c r="C991" s="1" t="n">
        <v>45840</v>
      </c>
      <c r="D991" t="inlineStr">
        <is>
          <t>DALARNAS LÄN</t>
        </is>
      </c>
      <c r="E991" t="inlineStr">
        <is>
          <t>LEKSAND</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24063-2024</t>
        </is>
      </c>
      <c r="B992" s="1" t="n">
        <v>45456</v>
      </c>
      <c r="C992" s="1" t="n">
        <v>45840</v>
      </c>
      <c r="D992" t="inlineStr">
        <is>
          <t>DALARNAS LÄN</t>
        </is>
      </c>
      <c r="E992" t="inlineStr">
        <is>
          <t>LEKSAND</t>
        </is>
      </c>
      <c r="F992" t="inlineStr">
        <is>
          <t>Bergvik skog väst AB</t>
        </is>
      </c>
      <c r="G992" t="n">
        <v>8.9</v>
      </c>
      <c r="H992" t="n">
        <v>0</v>
      </c>
      <c r="I992" t="n">
        <v>0</v>
      </c>
      <c r="J992" t="n">
        <v>0</v>
      </c>
      <c r="K992" t="n">
        <v>0</v>
      </c>
      <c r="L992" t="n">
        <v>0</v>
      </c>
      <c r="M992" t="n">
        <v>0</v>
      </c>
      <c r="N992" t="n">
        <v>0</v>
      </c>
      <c r="O992" t="n">
        <v>0</v>
      </c>
      <c r="P992" t="n">
        <v>0</v>
      </c>
      <c r="Q992" t="n">
        <v>0</v>
      </c>
      <c r="R992" s="2" t="inlineStr"/>
    </row>
    <row r="993" ht="15" customHeight="1">
      <c r="A993" t="inlineStr">
        <is>
          <t>A 24135-2024</t>
        </is>
      </c>
      <c r="B993" s="1" t="n">
        <v>45456</v>
      </c>
      <c r="C993" s="1" t="n">
        <v>45840</v>
      </c>
      <c r="D993" t="inlineStr">
        <is>
          <t>DALARNAS LÄN</t>
        </is>
      </c>
      <c r="E993" t="inlineStr">
        <is>
          <t>LEKSAND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24481-2024</t>
        </is>
      </c>
      <c r="B994" s="1" t="n">
        <v>45459</v>
      </c>
      <c r="C994" s="1" t="n">
        <v>45840</v>
      </c>
      <c r="D994" t="inlineStr">
        <is>
          <t>DALARNAS LÄN</t>
        </is>
      </c>
      <c r="E994" t="inlineStr">
        <is>
          <t>LEKSAND</t>
        </is>
      </c>
      <c r="G994" t="n">
        <v>1</v>
      </c>
      <c r="H994" t="n">
        <v>0</v>
      </c>
      <c r="I994" t="n">
        <v>0</v>
      </c>
      <c r="J994" t="n">
        <v>0</v>
      </c>
      <c r="K994" t="n">
        <v>0</v>
      </c>
      <c r="L994" t="n">
        <v>0</v>
      </c>
      <c r="M994" t="n">
        <v>0</v>
      </c>
      <c r="N994" t="n">
        <v>0</v>
      </c>
      <c r="O994" t="n">
        <v>0</v>
      </c>
      <c r="P994" t="n">
        <v>0</v>
      </c>
      <c r="Q994" t="n">
        <v>0</v>
      </c>
      <c r="R994" s="2" t="inlineStr"/>
    </row>
    <row r="995" ht="15" customHeight="1">
      <c r="A995" t="inlineStr">
        <is>
          <t>A 24830-2024</t>
        </is>
      </c>
      <c r="B995" s="1" t="n">
        <v>45461</v>
      </c>
      <c r="C995" s="1" t="n">
        <v>45840</v>
      </c>
      <c r="D995" t="inlineStr">
        <is>
          <t>DALARNAS LÄN</t>
        </is>
      </c>
      <c r="E995" t="inlineStr">
        <is>
          <t>LEKSAND</t>
        </is>
      </c>
      <c r="G995" t="n">
        <v>2.2</v>
      </c>
      <c r="H995" t="n">
        <v>0</v>
      </c>
      <c r="I995" t="n">
        <v>0</v>
      </c>
      <c r="J995" t="n">
        <v>0</v>
      </c>
      <c r="K995" t="n">
        <v>0</v>
      </c>
      <c r="L995" t="n">
        <v>0</v>
      </c>
      <c r="M995" t="n">
        <v>0</v>
      </c>
      <c r="N995" t="n">
        <v>0</v>
      </c>
      <c r="O995" t="n">
        <v>0</v>
      </c>
      <c r="P995" t="n">
        <v>0</v>
      </c>
      <c r="Q995" t="n">
        <v>0</v>
      </c>
      <c r="R995" s="2" t="inlineStr"/>
    </row>
    <row r="996" ht="15" customHeight="1">
      <c r="A996" t="inlineStr">
        <is>
          <t>A 24837-2024</t>
        </is>
      </c>
      <c r="B996" s="1" t="n">
        <v>45461</v>
      </c>
      <c r="C996" s="1" t="n">
        <v>45840</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24917-2024</t>
        </is>
      </c>
      <c r="B997" s="1" t="n">
        <v>45461</v>
      </c>
      <c r="C997" s="1" t="n">
        <v>45840</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24919-2024</t>
        </is>
      </c>
      <c r="B998" s="1" t="n">
        <v>45461</v>
      </c>
      <c r="C998" s="1" t="n">
        <v>45840</v>
      </c>
      <c r="D998" t="inlineStr">
        <is>
          <t>DALARNAS LÄN</t>
        </is>
      </c>
      <c r="E998" t="inlineStr">
        <is>
          <t>LEKSAND</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25253-2024</t>
        </is>
      </c>
      <c r="B999" s="1" t="n">
        <v>45462</v>
      </c>
      <c r="C999" s="1" t="n">
        <v>45840</v>
      </c>
      <c r="D999" t="inlineStr">
        <is>
          <t>DALARNAS LÄN</t>
        </is>
      </c>
      <c r="E999" t="inlineStr">
        <is>
          <t>LEKSAND</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25249-2024</t>
        </is>
      </c>
      <c r="B1000" s="1" t="n">
        <v>45462</v>
      </c>
      <c r="C1000" s="1" t="n">
        <v>45840</v>
      </c>
      <c r="D1000" t="inlineStr">
        <is>
          <t>DALARNAS LÄN</t>
        </is>
      </c>
      <c r="E1000" t="inlineStr">
        <is>
          <t>LEKSAND</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25105-2024</t>
        </is>
      </c>
      <c r="B1001" s="1" t="n">
        <v>45462</v>
      </c>
      <c r="C1001" s="1" t="n">
        <v>45840</v>
      </c>
      <c r="D1001" t="inlineStr">
        <is>
          <t>DALARNAS LÄN</t>
        </is>
      </c>
      <c r="E1001" t="inlineStr">
        <is>
          <t>LEKSAND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25047-2024</t>
        </is>
      </c>
      <c r="B1002" s="1" t="n">
        <v>45462</v>
      </c>
      <c r="C1002" s="1" t="n">
        <v>45840</v>
      </c>
      <c r="D1002" t="inlineStr">
        <is>
          <t>DALARNAS LÄN</t>
        </is>
      </c>
      <c r="E1002" t="inlineStr">
        <is>
          <t>LEKSAND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25048-2024</t>
        </is>
      </c>
      <c r="B1003" s="1" t="n">
        <v>45462</v>
      </c>
      <c r="C1003" s="1" t="n">
        <v>45840</v>
      </c>
      <c r="D1003" t="inlineStr">
        <is>
          <t>DALARNAS LÄN</t>
        </is>
      </c>
      <c r="E1003" t="inlineStr">
        <is>
          <t>LEKSAND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25251-2024</t>
        </is>
      </c>
      <c r="B1004" s="1" t="n">
        <v>45462</v>
      </c>
      <c r="C1004" s="1" t="n">
        <v>45840</v>
      </c>
      <c r="D1004" t="inlineStr">
        <is>
          <t>DALARNAS LÄN</t>
        </is>
      </c>
      <c r="E1004" t="inlineStr">
        <is>
          <t>LEKSAND</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25109-2024</t>
        </is>
      </c>
      <c r="B1005" s="1" t="n">
        <v>45462</v>
      </c>
      <c r="C1005" s="1" t="n">
        <v>45840</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25042-2024</t>
        </is>
      </c>
      <c r="B1006" s="1" t="n">
        <v>45462</v>
      </c>
      <c r="C1006" s="1" t="n">
        <v>45840</v>
      </c>
      <c r="D1006" t="inlineStr">
        <is>
          <t>DALARNAS LÄN</t>
        </is>
      </c>
      <c r="E1006" t="inlineStr">
        <is>
          <t>LEKSAND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25921-2024</t>
        </is>
      </c>
      <c r="B1007" s="1" t="n">
        <v>45467</v>
      </c>
      <c r="C1007" s="1" t="n">
        <v>45840</v>
      </c>
      <c r="D1007" t="inlineStr">
        <is>
          <t>DALARNAS LÄN</t>
        </is>
      </c>
      <c r="E1007" t="inlineStr">
        <is>
          <t>LEKSAND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26062-2024</t>
        </is>
      </c>
      <c r="B1008" s="1" t="n">
        <v>45468</v>
      </c>
      <c r="C1008" s="1" t="n">
        <v>45840</v>
      </c>
      <c r="D1008" t="inlineStr">
        <is>
          <t>DALARNAS LÄN</t>
        </is>
      </c>
      <c r="E1008" t="inlineStr">
        <is>
          <t>LEKSAND</t>
        </is>
      </c>
      <c r="F1008" t="inlineStr">
        <is>
          <t>Övriga statliga verk och myndigheter</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26680-2024</t>
        </is>
      </c>
      <c r="B1009" s="1" t="n">
        <v>45470</v>
      </c>
      <c r="C1009" s="1" t="n">
        <v>45840</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27446-2024</t>
        </is>
      </c>
      <c r="B1010" s="1" t="n">
        <v>45474</v>
      </c>
      <c r="C1010" s="1" t="n">
        <v>45840</v>
      </c>
      <c r="D1010" t="inlineStr">
        <is>
          <t>DALARNAS LÄN</t>
        </is>
      </c>
      <c r="E1010" t="inlineStr">
        <is>
          <t>LEKSAND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27445-2024</t>
        </is>
      </c>
      <c r="B1011" s="1" t="n">
        <v>45474</v>
      </c>
      <c r="C1011" s="1" t="n">
        <v>45840</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28032-2024</t>
        </is>
      </c>
      <c r="B1012" s="1" t="n">
        <v>45476</v>
      </c>
      <c r="C1012" s="1" t="n">
        <v>45840</v>
      </c>
      <c r="D1012" t="inlineStr">
        <is>
          <t>DALARNAS LÄN</t>
        </is>
      </c>
      <c r="E1012" t="inlineStr">
        <is>
          <t>LEKSAND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28366-2024</t>
        </is>
      </c>
      <c r="B1013" s="1" t="n">
        <v>45477</v>
      </c>
      <c r="C1013" s="1" t="n">
        <v>45840</v>
      </c>
      <c r="D1013" t="inlineStr">
        <is>
          <t>DALARNAS LÄN</t>
        </is>
      </c>
      <c r="E1013" t="inlineStr">
        <is>
          <t>LEKSAND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28674-2024</t>
        </is>
      </c>
      <c r="B1014" s="1" t="n">
        <v>45478</v>
      </c>
      <c r="C1014" s="1" t="n">
        <v>45840</v>
      </c>
      <c r="D1014" t="inlineStr">
        <is>
          <t>DALARNAS LÄN</t>
        </is>
      </c>
      <c r="E1014" t="inlineStr">
        <is>
          <t>LEKSAND</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28920-2024</t>
        </is>
      </c>
      <c r="B1015" s="1" t="n">
        <v>45480</v>
      </c>
      <c r="C1015" s="1" t="n">
        <v>45840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28913-2024</t>
        </is>
      </c>
      <c r="B1016" s="1" t="n">
        <v>45480</v>
      </c>
      <c r="C1016" s="1" t="n">
        <v>45840</v>
      </c>
      <c r="D1016" t="inlineStr">
        <is>
          <t>DALARNAS LÄN</t>
        </is>
      </c>
      <c r="E1016" t="inlineStr">
        <is>
          <t>LEKSAND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28985-2024</t>
        </is>
      </c>
      <c r="B1017" s="1" t="n">
        <v>45481</v>
      </c>
      <c r="C1017" s="1" t="n">
        <v>45840</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29149-2024</t>
        </is>
      </c>
      <c r="B1018" s="1" t="n">
        <v>45482</v>
      </c>
      <c r="C1018" s="1" t="n">
        <v>45840</v>
      </c>
      <c r="D1018" t="inlineStr">
        <is>
          <t>DALARNAS LÄN</t>
        </is>
      </c>
      <c r="E1018" t="inlineStr">
        <is>
          <t>LEKSAND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29512-2024</t>
        </is>
      </c>
      <c r="B1019" s="1" t="n">
        <v>45484</v>
      </c>
      <c r="C1019" s="1" t="n">
        <v>45840</v>
      </c>
      <c r="D1019" t="inlineStr">
        <is>
          <t>DALARNAS LÄN</t>
        </is>
      </c>
      <c r="E1019" t="inlineStr">
        <is>
          <t>LEKSAND</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29518-2024</t>
        </is>
      </c>
      <c r="B1020" s="1" t="n">
        <v>45484</v>
      </c>
      <c r="C1020" s="1" t="n">
        <v>45840</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30204-2024</t>
        </is>
      </c>
      <c r="B1021" s="1" t="n">
        <v>45490</v>
      </c>
      <c r="C1021" s="1" t="n">
        <v>45840</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30201-2024</t>
        </is>
      </c>
      <c r="B1022" s="1" t="n">
        <v>45490</v>
      </c>
      <c r="C1022" s="1" t="n">
        <v>45840</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30198-2024</t>
        </is>
      </c>
      <c r="B1023" s="1" t="n">
        <v>45490</v>
      </c>
      <c r="C1023" s="1" t="n">
        <v>45840</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30670-2024</t>
        </is>
      </c>
      <c r="B1024" s="1" t="n">
        <v>45495</v>
      </c>
      <c r="C1024" s="1" t="n">
        <v>45840</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30864-2024</t>
        </is>
      </c>
      <c r="B1025" s="1" t="n">
        <v>45497</v>
      </c>
      <c r="C1025" s="1" t="n">
        <v>45840</v>
      </c>
      <c r="D1025" t="inlineStr">
        <is>
          <t>DALARNAS LÄN</t>
        </is>
      </c>
      <c r="E1025" t="inlineStr">
        <is>
          <t>LEKSAND</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30860-2024</t>
        </is>
      </c>
      <c r="B1026" s="1" t="n">
        <v>45497</v>
      </c>
      <c r="C1026" s="1" t="n">
        <v>45840</v>
      </c>
      <c r="D1026" t="inlineStr">
        <is>
          <t>DALARNAS LÄN</t>
        </is>
      </c>
      <c r="E1026" t="inlineStr">
        <is>
          <t>LEKSAND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30858-2024</t>
        </is>
      </c>
      <c r="B1027" s="1" t="n">
        <v>45497</v>
      </c>
      <c r="C1027" s="1" t="n">
        <v>45840</v>
      </c>
      <c r="D1027" t="inlineStr">
        <is>
          <t>DALARNAS LÄN</t>
        </is>
      </c>
      <c r="E1027" t="inlineStr">
        <is>
          <t>LEKSAND</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30863-2024</t>
        </is>
      </c>
      <c r="B1028" s="1" t="n">
        <v>45497</v>
      </c>
      <c r="C1028" s="1" t="n">
        <v>45840</v>
      </c>
      <c r="D1028" t="inlineStr">
        <is>
          <t>DALARNAS LÄN</t>
        </is>
      </c>
      <c r="E1028" t="inlineStr">
        <is>
          <t>LEKSAND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31019-2024</t>
        </is>
      </c>
      <c r="B1029" s="1" t="n">
        <v>45499</v>
      </c>
      <c r="C1029" s="1" t="n">
        <v>45840</v>
      </c>
      <c r="D1029" t="inlineStr">
        <is>
          <t>DALARNAS LÄN</t>
        </is>
      </c>
      <c r="E1029" t="inlineStr">
        <is>
          <t>LEKSAND</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31123-2024</t>
        </is>
      </c>
      <c r="B1030" s="1" t="n">
        <v>45502</v>
      </c>
      <c r="C1030" s="1" t="n">
        <v>45840</v>
      </c>
      <c r="D1030" t="inlineStr">
        <is>
          <t>DALARNAS LÄN</t>
        </is>
      </c>
      <c r="E1030" t="inlineStr">
        <is>
          <t>LEKSAND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31292-2024</t>
        </is>
      </c>
      <c r="B1031" s="1" t="n">
        <v>45504</v>
      </c>
      <c r="C1031" s="1" t="n">
        <v>45840</v>
      </c>
      <c r="D1031" t="inlineStr">
        <is>
          <t>DALARNAS LÄN</t>
        </is>
      </c>
      <c r="E1031" t="inlineStr">
        <is>
          <t>LEKSAND</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31391-2024</t>
        </is>
      </c>
      <c r="B1032" s="1" t="n">
        <v>45505</v>
      </c>
      <c r="C1032" s="1" t="n">
        <v>45840</v>
      </c>
      <c r="D1032" t="inlineStr">
        <is>
          <t>DALARNAS LÄN</t>
        </is>
      </c>
      <c r="E1032" t="inlineStr">
        <is>
          <t>LEKSAND</t>
        </is>
      </c>
      <c r="F1032" t="inlineStr">
        <is>
          <t>Bergvik skog väst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31726-2024</t>
        </is>
      </c>
      <c r="B1033" s="1" t="n">
        <v>45509</v>
      </c>
      <c r="C1033" s="1" t="n">
        <v>45840</v>
      </c>
      <c r="D1033" t="inlineStr">
        <is>
          <t>DALARNAS LÄN</t>
        </is>
      </c>
      <c r="E1033" t="inlineStr">
        <is>
          <t>LEKSAND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31789-2024</t>
        </is>
      </c>
      <c r="B1034" s="1" t="n">
        <v>45509</v>
      </c>
      <c r="C1034" s="1" t="n">
        <v>45840</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31728-2024</t>
        </is>
      </c>
      <c r="B1035" s="1" t="n">
        <v>45509</v>
      </c>
      <c r="C1035" s="1" t="n">
        <v>45840</v>
      </c>
      <c r="D1035" t="inlineStr">
        <is>
          <t>DALARNAS LÄN</t>
        </is>
      </c>
      <c r="E1035" t="inlineStr">
        <is>
          <t>LEKSAND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31720-2024</t>
        </is>
      </c>
      <c r="B1036" s="1" t="n">
        <v>45509</v>
      </c>
      <c r="C1036" s="1" t="n">
        <v>45840</v>
      </c>
      <c r="D1036" t="inlineStr">
        <is>
          <t>DALARNAS LÄN</t>
        </is>
      </c>
      <c r="E1036" t="inlineStr">
        <is>
          <t>LEKSAND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31850-2024</t>
        </is>
      </c>
      <c r="B1037" s="1" t="n">
        <v>45509</v>
      </c>
      <c r="C1037" s="1" t="n">
        <v>45840</v>
      </c>
      <c r="D1037" t="inlineStr">
        <is>
          <t>DALARNAS LÄN</t>
        </is>
      </c>
      <c r="E1037" t="inlineStr">
        <is>
          <t>LEKSAND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32072-2024</t>
        </is>
      </c>
      <c r="B1038" s="1" t="n">
        <v>45511</v>
      </c>
      <c r="C1038" s="1" t="n">
        <v>45840</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31918-2024</t>
        </is>
      </c>
      <c r="B1039" s="1" t="n">
        <v>45510</v>
      </c>
      <c r="C1039" s="1" t="n">
        <v>45840</v>
      </c>
      <c r="D1039" t="inlineStr">
        <is>
          <t>DALARNAS LÄN</t>
        </is>
      </c>
      <c r="E1039" t="inlineStr">
        <is>
          <t>LEKSAND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32073-2024</t>
        </is>
      </c>
      <c r="B1040" s="1" t="n">
        <v>45511</v>
      </c>
      <c r="C1040" s="1" t="n">
        <v>45840</v>
      </c>
      <c r="D1040" t="inlineStr">
        <is>
          <t>DALARNAS LÄN</t>
        </is>
      </c>
      <c r="E1040" t="inlineStr">
        <is>
          <t>LEKSAND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32074-2024</t>
        </is>
      </c>
      <c r="B1041" s="1" t="n">
        <v>45511</v>
      </c>
      <c r="C1041" s="1" t="n">
        <v>45840</v>
      </c>
      <c r="D1041" t="inlineStr">
        <is>
          <t>DALARNAS LÄN</t>
        </is>
      </c>
      <c r="E1041" t="inlineStr">
        <is>
          <t>LEKSAND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31915-2024</t>
        </is>
      </c>
      <c r="B1042" s="1" t="n">
        <v>45510</v>
      </c>
      <c r="C1042" s="1" t="n">
        <v>45840</v>
      </c>
      <c r="D1042" t="inlineStr">
        <is>
          <t>DALARNAS LÄN</t>
        </is>
      </c>
      <c r="E1042" t="inlineStr">
        <is>
          <t>LEKSAND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31971-2024</t>
        </is>
      </c>
      <c r="B1043" s="1" t="n">
        <v>45510</v>
      </c>
      <c r="C1043" s="1" t="n">
        <v>45840</v>
      </c>
      <c r="D1043" t="inlineStr">
        <is>
          <t>DALARNAS LÄN</t>
        </is>
      </c>
      <c r="E1043" t="inlineStr">
        <is>
          <t>LEKSAND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32394-2024</t>
        </is>
      </c>
      <c r="B1044" s="1" t="n">
        <v>45512</v>
      </c>
      <c r="C1044" s="1" t="n">
        <v>45840</v>
      </c>
      <c r="D1044" t="inlineStr">
        <is>
          <t>DALARNAS LÄN</t>
        </is>
      </c>
      <c r="E1044" t="inlineStr">
        <is>
          <t>LEKSAND</t>
        </is>
      </c>
      <c r="F1044" t="inlineStr">
        <is>
          <t>Bergvik skog väst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32494-2024</t>
        </is>
      </c>
      <c r="B1045" s="1" t="n">
        <v>45513</v>
      </c>
      <c r="C1045" s="1" t="n">
        <v>45840</v>
      </c>
      <c r="D1045" t="inlineStr">
        <is>
          <t>DALARNAS LÄN</t>
        </is>
      </c>
      <c r="E1045" t="inlineStr">
        <is>
          <t>LEKSAND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32689-2024</t>
        </is>
      </c>
      <c r="B1046" s="1" t="n">
        <v>45515</v>
      </c>
      <c r="C1046" s="1" t="n">
        <v>45840</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32688-2024</t>
        </is>
      </c>
      <c r="B1047" s="1" t="n">
        <v>45515</v>
      </c>
      <c r="C1047" s="1" t="n">
        <v>45840</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33182-2024</t>
        </is>
      </c>
      <c r="B1048" s="1" t="n">
        <v>45518</v>
      </c>
      <c r="C1048" s="1" t="n">
        <v>45840</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33138-2024</t>
        </is>
      </c>
      <c r="B1049" s="1" t="n">
        <v>45518</v>
      </c>
      <c r="C1049" s="1" t="n">
        <v>45840</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33180-2024</t>
        </is>
      </c>
      <c r="B1050" s="1" t="n">
        <v>45518</v>
      </c>
      <c r="C1050" s="1" t="n">
        <v>45840</v>
      </c>
      <c r="D1050" t="inlineStr">
        <is>
          <t>DALARNAS LÄN</t>
        </is>
      </c>
      <c r="E1050" t="inlineStr">
        <is>
          <t>LEKSAND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33147-2024</t>
        </is>
      </c>
      <c r="B1051" s="1" t="n">
        <v>45518</v>
      </c>
      <c r="C1051" s="1" t="n">
        <v>45840</v>
      </c>
      <c r="D1051" t="inlineStr">
        <is>
          <t>DALARNAS LÄN</t>
        </is>
      </c>
      <c r="E1051" t="inlineStr">
        <is>
          <t>LEKSAND</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33143-2024</t>
        </is>
      </c>
      <c r="B1052" s="1" t="n">
        <v>45518</v>
      </c>
      <c r="C1052" s="1" t="n">
        <v>45840</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33357-2024</t>
        </is>
      </c>
      <c r="B1053" s="1" t="n">
        <v>45519</v>
      </c>
      <c r="C1053" s="1" t="n">
        <v>45840</v>
      </c>
      <c r="D1053" t="inlineStr">
        <is>
          <t>DALARNAS LÄN</t>
        </is>
      </c>
      <c r="E1053" t="inlineStr">
        <is>
          <t>LEKSAND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33594-2024</t>
        </is>
      </c>
      <c r="B1054" s="1" t="n">
        <v>45520</v>
      </c>
      <c r="C1054" s="1" t="n">
        <v>45840</v>
      </c>
      <c r="D1054" t="inlineStr">
        <is>
          <t>DALARNAS LÄN</t>
        </is>
      </c>
      <c r="E1054" t="inlineStr">
        <is>
          <t>LEKSAND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33624-2024</t>
        </is>
      </c>
      <c r="B1055" s="1" t="n">
        <v>45520</v>
      </c>
      <c r="C1055" s="1" t="n">
        <v>45840</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33593-2024</t>
        </is>
      </c>
      <c r="B1056" s="1" t="n">
        <v>45520</v>
      </c>
      <c r="C1056" s="1" t="n">
        <v>45840</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33695-2024</t>
        </is>
      </c>
      <c r="B1057" s="1" t="n">
        <v>45520</v>
      </c>
      <c r="C1057" s="1" t="n">
        <v>45840</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33709-2024</t>
        </is>
      </c>
      <c r="B1058" s="1" t="n">
        <v>45520</v>
      </c>
      <c r="C1058" s="1" t="n">
        <v>45840</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33712-2024</t>
        </is>
      </c>
      <c r="B1059" s="1" t="n">
        <v>45520</v>
      </c>
      <c r="C1059" s="1" t="n">
        <v>45840</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33702-2024</t>
        </is>
      </c>
      <c r="B1060" s="1" t="n">
        <v>45520</v>
      </c>
      <c r="C1060" s="1" t="n">
        <v>45840</v>
      </c>
      <c r="D1060" t="inlineStr">
        <is>
          <t>DALARNAS LÄN</t>
        </is>
      </c>
      <c r="E1060" t="inlineStr">
        <is>
          <t>LEKSAND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33884-2024</t>
        </is>
      </c>
      <c r="B1061" s="1" t="n">
        <v>45522</v>
      </c>
      <c r="C1061" s="1" t="n">
        <v>45840</v>
      </c>
      <c r="D1061" t="inlineStr">
        <is>
          <t>DALARNAS LÄN</t>
        </is>
      </c>
      <c r="E1061" t="inlineStr">
        <is>
          <t>LEKSAND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33900-2024</t>
        </is>
      </c>
      <c r="B1062" s="1" t="n">
        <v>45523</v>
      </c>
      <c r="C1062" s="1" t="n">
        <v>45840</v>
      </c>
      <c r="D1062" t="inlineStr">
        <is>
          <t>DALARNAS LÄN</t>
        </is>
      </c>
      <c r="E1062" t="inlineStr">
        <is>
          <t>LEKSAND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33957-2024</t>
        </is>
      </c>
      <c r="B1063" s="1" t="n">
        <v>45523</v>
      </c>
      <c r="C1063" s="1" t="n">
        <v>45840</v>
      </c>
      <c r="D1063" t="inlineStr">
        <is>
          <t>DALARNAS LÄN</t>
        </is>
      </c>
      <c r="E1063" t="inlineStr">
        <is>
          <t>LEKSAND</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34038-2024</t>
        </is>
      </c>
      <c r="B1064" s="1" t="n">
        <v>45523</v>
      </c>
      <c r="C1064" s="1" t="n">
        <v>45840</v>
      </c>
      <c r="D1064" t="inlineStr">
        <is>
          <t>DALARNAS LÄN</t>
        </is>
      </c>
      <c r="E1064" t="inlineStr">
        <is>
          <t>LEKSAND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34039-2024</t>
        </is>
      </c>
      <c r="B1065" s="1" t="n">
        <v>45523</v>
      </c>
      <c r="C1065" s="1" t="n">
        <v>45840</v>
      </c>
      <c r="D1065" t="inlineStr">
        <is>
          <t>DALARNAS LÄN</t>
        </is>
      </c>
      <c r="E1065" t="inlineStr">
        <is>
          <t>LEKSAND</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34033-2024</t>
        </is>
      </c>
      <c r="B1066" s="1" t="n">
        <v>45523</v>
      </c>
      <c r="C1066" s="1" t="n">
        <v>45840</v>
      </c>
      <c r="D1066" t="inlineStr">
        <is>
          <t>DALARNAS LÄN</t>
        </is>
      </c>
      <c r="E1066" t="inlineStr">
        <is>
          <t>LEKSAND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34041-2024</t>
        </is>
      </c>
      <c r="B1067" s="1" t="n">
        <v>45523</v>
      </c>
      <c r="C1067" s="1" t="n">
        <v>45840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33977-2024</t>
        </is>
      </c>
      <c r="B1068" s="1" t="n">
        <v>45523</v>
      </c>
      <c r="C1068" s="1" t="n">
        <v>45840</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34109-2024</t>
        </is>
      </c>
      <c r="B1069" s="1" t="n">
        <v>45524</v>
      </c>
      <c r="C1069" s="1" t="n">
        <v>45840</v>
      </c>
      <c r="D1069" t="inlineStr">
        <is>
          <t>DALARNAS LÄN</t>
        </is>
      </c>
      <c r="E1069" t="inlineStr">
        <is>
          <t>LEKSAND</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34244-2024</t>
        </is>
      </c>
      <c r="B1070" s="1" t="n">
        <v>45524</v>
      </c>
      <c r="C1070" s="1" t="n">
        <v>45840</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34347-2024</t>
        </is>
      </c>
      <c r="B1071" s="1" t="n">
        <v>45525</v>
      </c>
      <c r="C1071" s="1" t="n">
        <v>45840</v>
      </c>
      <c r="D1071" t="inlineStr">
        <is>
          <t>DALARNAS LÄN</t>
        </is>
      </c>
      <c r="E1071" t="inlineStr">
        <is>
          <t>LEKSAND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34585-2024</t>
        </is>
      </c>
      <c r="B1072" s="1" t="n">
        <v>45526</v>
      </c>
      <c r="C1072" s="1" t="n">
        <v>45840</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34778-2024</t>
        </is>
      </c>
      <c r="B1073" s="1" t="n">
        <v>45526</v>
      </c>
      <c r="C1073" s="1" t="n">
        <v>45840</v>
      </c>
      <c r="D1073" t="inlineStr">
        <is>
          <t>DALARNAS LÄN</t>
        </is>
      </c>
      <c r="E1073" t="inlineStr">
        <is>
          <t>LEKSAND</t>
        </is>
      </c>
      <c r="F1073" t="inlineStr">
        <is>
          <t>Bergvik skog väst AB</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34954-2024</t>
        </is>
      </c>
      <c r="B1074" s="1" t="n">
        <v>45527</v>
      </c>
      <c r="C1074" s="1" t="n">
        <v>45840</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35262-2024</t>
        </is>
      </c>
      <c r="B1075" s="1" t="n">
        <v>45530</v>
      </c>
      <c r="C1075" s="1" t="n">
        <v>45840</v>
      </c>
      <c r="D1075" t="inlineStr">
        <is>
          <t>DALARNAS LÄN</t>
        </is>
      </c>
      <c r="E1075" t="inlineStr">
        <is>
          <t>LEKSAND</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36534-2024</t>
        </is>
      </c>
      <c r="B1076" s="1" t="n">
        <v>45537</v>
      </c>
      <c r="C1076" s="1" t="n">
        <v>45840</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37952-2024</t>
        </is>
      </c>
      <c r="B1077" s="1" t="n">
        <v>45544</v>
      </c>
      <c r="C1077" s="1" t="n">
        <v>45840</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37850-2024</t>
        </is>
      </c>
      <c r="B1078" s="1" t="n">
        <v>45544</v>
      </c>
      <c r="C1078" s="1" t="n">
        <v>45840</v>
      </c>
      <c r="D1078" t="inlineStr">
        <is>
          <t>DALARNAS LÄN</t>
        </is>
      </c>
      <c r="E1078" t="inlineStr">
        <is>
          <t>LEKSAND</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38330-2024</t>
        </is>
      </c>
      <c r="B1079" s="1" t="n">
        <v>45545</v>
      </c>
      <c r="C1079" s="1" t="n">
        <v>45840</v>
      </c>
      <c r="D1079" t="inlineStr">
        <is>
          <t>DALARNAS LÄN</t>
        </is>
      </c>
      <c r="E1079" t="inlineStr">
        <is>
          <t>LEKSAND</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38617-2024</t>
        </is>
      </c>
      <c r="B1080" s="1" t="n">
        <v>45546</v>
      </c>
      <c r="C1080" s="1" t="n">
        <v>45840</v>
      </c>
      <c r="D1080" t="inlineStr">
        <is>
          <t>DALARNAS LÄN</t>
        </is>
      </c>
      <c r="E1080" t="inlineStr">
        <is>
          <t>LEKSAND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39416-2024</t>
        </is>
      </c>
      <c r="B1081" s="1" t="n">
        <v>45551</v>
      </c>
      <c r="C1081" s="1" t="n">
        <v>45840</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39518-2024</t>
        </is>
      </c>
      <c r="B1082" s="1" t="n">
        <v>45551</v>
      </c>
      <c r="C1082" s="1" t="n">
        <v>45840</v>
      </c>
      <c r="D1082" t="inlineStr">
        <is>
          <t>DALARNAS LÄN</t>
        </is>
      </c>
      <c r="E1082" t="inlineStr">
        <is>
          <t>LEKSAND</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39620-2024</t>
        </is>
      </c>
      <c r="B1083" s="1" t="n">
        <v>45552</v>
      </c>
      <c r="C1083" s="1" t="n">
        <v>45840</v>
      </c>
      <c r="D1083" t="inlineStr">
        <is>
          <t>DALARNAS LÄN</t>
        </is>
      </c>
      <c r="E1083" t="inlineStr">
        <is>
          <t>LEKSAND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39819-2024</t>
        </is>
      </c>
      <c r="B1084" s="1" t="n">
        <v>45553</v>
      </c>
      <c r="C1084" s="1" t="n">
        <v>45840</v>
      </c>
      <c r="D1084" t="inlineStr">
        <is>
          <t>DALARNAS LÄN</t>
        </is>
      </c>
      <c r="E1084" t="inlineStr">
        <is>
          <t>LEKSAND</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39807-2024</t>
        </is>
      </c>
      <c r="B1085" s="1" t="n">
        <v>45553</v>
      </c>
      <c r="C1085" s="1" t="n">
        <v>45840</v>
      </c>
      <c r="D1085" t="inlineStr">
        <is>
          <t>DALARNAS LÄN</t>
        </is>
      </c>
      <c r="E1085" t="inlineStr">
        <is>
          <t>LEKSAND</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40007-2024</t>
        </is>
      </c>
      <c r="B1086" s="1" t="n">
        <v>45553</v>
      </c>
      <c r="C1086" s="1" t="n">
        <v>45840</v>
      </c>
      <c r="D1086" t="inlineStr">
        <is>
          <t>DALARNAS LÄN</t>
        </is>
      </c>
      <c r="E1086" t="inlineStr">
        <is>
          <t>LEKSAND</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40009-2024</t>
        </is>
      </c>
      <c r="B1087" s="1" t="n">
        <v>45553</v>
      </c>
      <c r="C1087" s="1" t="n">
        <v>45840</v>
      </c>
      <c r="D1087" t="inlineStr">
        <is>
          <t>DALARNAS LÄN</t>
        </is>
      </c>
      <c r="E1087" t="inlineStr">
        <is>
          <t>LEKSAND</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40193-2024</t>
        </is>
      </c>
      <c r="B1088" s="1" t="n">
        <v>45554</v>
      </c>
      <c r="C1088" s="1" t="n">
        <v>45840</v>
      </c>
      <c r="D1088" t="inlineStr">
        <is>
          <t>DALARNAS LÄN</t>
        </is>
      </c>
      <c r="E1088" t="inlineStr">
        <is>
          <t>LEKSAND</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40523-2024</t>
        </is>
      </c>
      <c r="B1089" s="1" t="n">
        <v>45555</v>
      </c>
      <c r="C1089" s="1" t="n">
        <v>45840</v>
      </c>
      <c r="D1089" t="inlineStr">
        <is>
          <t>DALARNAS LÄN</t>
        </is>
      </c>
      <c r="E1089" t="inlineStr">
        <is>
          <t>LEKSAND</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40755-2024</t>
        </is>
      </c>
      <c r="B1090" s="1" t="n">
        <v>45558</v>
      </c>
      <c r="C1090" s="1" t="n">
        <v>45840</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40746-2024</t>
        </is>
      </c>
      <c r="B1091" s="1" t="n">
        <v>45558</v>
      </c>
      <c r="C1091" s="1" t="n">
        <v>45840</v>
      </c>
      <c r="D1091" t="inlineStr">
        <is>
          <t>DALARNAS LÄN</t>
        </is>
      </c>
      <c r="E1091" t="inlineStr">
        <is>
          <t>LEKSAND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40864-2024</t>
        </is>
      </c>
      <c r="B1092" s="1" t="n">
        <v>45558</v>
      </c>
      <c r="C1092" s="1" t="n">
        <v>45840</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40868-2024</t>
        </is>
      </c>
      <c r="B1093" s="1" t="n">
        <v>45558</v>
      </c>
      <c r="C1093" s="1" t="n">
        <v>45840</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40752-2024</t>
        </is>
      </c>
      <c r="B1094" s="1" t="n">
        <v>45558</v>
      </c>
      <c r="C1094" s="1" t="n">
        <v>45840</v>
      </c>
      <c r="D1094" t="inlineStr">
        <is>
          <t>DALARNAS LÄN</t>
        </is>
      </c>
      <c r="E1094" t="inlineStr">
        <is>
          <t>LEKSAND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41015-2024</t>
        </is>
      </c>
      <c r="B1095" s="1" t="n">
        <v>45559</v>
      </c>
      <c r="C1095" s="1" t="n">
        <v>45840</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41169-2024</t>
        </is>
      </c>
      <c r="B1096" s="1" t="n">
        <v>45559</v>
      </c>
      <c r="C1096" s="1" t="n">
        <v>45840</v>
      </c>
      <c r="D1096" t="inlineStr">
        <is>
          <t>DALARNAS LÄN</t>
        </is>
      </c>
      <c r="E1096" t="inlineStr">
        <is>
          <t>LEKSAND</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41046-2024</t>
        </is>
      </c>
      <c r="B1097" s="1" t="n">
        <v>45559</v>
      </c>
      <c r="C1097" s="1" t="n">
        <v>45840</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41306-2024</t>
        </is>
      </c>
      <c r="B1098" s="1" t="n">
        <v>45559</v>
      </c>
      <c r="C1098" s="1" t="n">
        <v>45840</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41840-2024</t>
        </is>
      </c>
      <c r="B1099" s="1" t="n">
        <v>45561</v>
      </c>
      <c r="C1099" s="1" t="n">
        <v>45840</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41896-2024</t>
        </is>
      </c>
      <c r="B1100" s="1" t="n">
        <v>45561</v>
      </c>
      <c r="C1100" s="1" t="n">
        <v>45840</v>
      </c>
      <c r="D1100" t="inlineStr">
        <is>
          <t>DALARNAS LÄN</t>
        </is>
      </c>
      <c r="E1100" t="inlineStr">
        <is>
          <t>LEKSAND</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41997-2024</t>
        </is>
      </c>
      <c r="B1101" s="1" t="n">
        <v>45561</v>
      </c>
      <c r="C1101" s="1" t="n">
        <v>45840</v>
      </c>
      <c r="D1101" t="inlineStr">
        <is>
          <t>DALARNAS LÄN</t>
        </is>
      </c>
      <c r="E1101" t="inlineStr">
        <is>
          <t>LEKSAND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42029-2024</t>
        </is>
      </c>
      <c r="B1102" s="1" t="n">
        <v>45561</v>
      </c>
      <c r="C1102" s="1" t="n">
        <v>45840</v>
      </c>
      <c r="D1102" t="inlineStr">
        <is>
          <t>DALARNAS LÄN</t>
        </is>
      </c>
      <c r="E1102" t="inlineStr">
        <is>
          <t>LEKSAND</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42125-2024</t>
        </is>
      </c>
      <c r="B1103" s="1" t="n">
        <v>45562</v>
      </c>
      <c r="C1103" s="1" t="n">
        <v>45840</v>
      </c>
      <c r="D1103" t="inlineStr">
        <is>
          <t>DALARNAS LÄN</t>
        </is>
      </c>
      <c r="E1103" t="inlineStr">
        <is>
          <t>LEKSAND</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42808-2024</t>
        </is>
      </c>
      <c r="B1104" s="1" t="n">
        <v>45566</v>
      </c>
      <c r="C1104" s="1" t="n">
        <v>45840</v>
      </c>
      <c r="D1104" t="inlineStr">
        <is>
          <t>DALARNAS LÄN</t>
        </is>
      </c>
      <c r="E1104" t="inlineStr">
        <is>
          <t>LEKSAND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42727-2024</t>
        </is>
      </c>
      <c r="B1105" s="1" t="n">
        <v>45566</v>
      </c>
      <c r="C1105" s="1" t="n">
        <v>45840</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43142-2024</t>
        </is>
      </c>
      <c r="B1106" s="1" t="n">
        <v>45567</v>
      </c>
      <c r="C1106" s="1" t="n">
        <v>45840</v>
      </c>
      <c r="D1106" t="inlineStr">
        <is>
          <t>DALARNAS LÄN</t>
        </is>
      </c>
      <c r="E1106" t="inlineStr">
        <is>
          <t>LEKSAND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43232-2024</t>
        </is>
      </c>
      <c r="B1107" s="1" t="n">
        <v>45567</v>
      </c>
      <c r="C1107" s="1" t="n">
        <v>45840</v>
      </c>
      <c r="D1107" t="inlineStr">
        <is>
          <t>DALARNAS LÄN</t>
        </is>
      </c>
      <c r="E1107" t="inlineStr">
        <is>
          <t>LEKSAND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43220-2024</t>
        </is>
      </c>
      <c r="B1108" s="1" t="n">
        <v>45567</v>
      </c>
      <c r="C1108" s="1" t="n">
        <v>45840</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43222-2024</t>
        </is>
      </c>
      <c r="B1109" s="1" t="n">
        <v>45567</v>
      </c>
      <c r="C1109" s="1" t="n">
        <v>45840</v>
      </c>
      <c r="D1109" t="inlineStr">
        <is>
          <t>DALARNAS LÄN</t>
        </is>
      </c>
      <c r="E1109" t="inlineStr">
        <is>
          <t>LEKSAND</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43233-2024</t>
        </is>
      </c>
      <c r="B1110" s="1" t="n">
        <v>45567</v>
      </c>
      <c r="C1110" s="1" t="n">
        <v>45840</v>
      </c>
      <c r="D1110" t="inlineStr">
        <is>
          <t>DALARNAS LÄN</t>
        </is>
      </c>
      <c r="E1110" t="inlineStr">
        <is>
          <t>LEKSAND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43237-2024</t>
        </is>
      </c>
      <c r="B1111" s="1" t="n">
        <v>45568</v>
      </c>
      <c r="C1111" s="1" t="n">
        <v>45840</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43221-2024</t>
        </is>
      </c>
      <c r="B1112" s="1" t="n">
        <v>45567</v>
      </c>
      <c r="C1112" s="1" t="n">
        <v>45840</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43231-2024</t>
        </is>
      </c>
      <c r="B1113" s="1" t="n">
        <v>45567</v>
      </c>
      <c r="C1113" s="1" t="n">
        <v>45840</v>
      </c>
      <c r="D1113" t="inlineStr">
        <is>
          <t>DALARNAS LÄN</t>
        </is>
      </c>
      <c r="E1113" t="inlineStr">
        <is>
          <t>LEKSAND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43234-2024</t>
        </is>
      </c>
      <c r="B1114" s="1" t="n">
        <v>45568</v>
      </c>
      <c r="C1114" s="1" t="n">
        <v>45840</v>
      </c>
      <c r="D1114" t="inlineStr">
        <is>
          <t>DALARNAS LÄN</t>
        </is>
      </c>
      <c r="E1114" t="inlineStr">
        <is>
          <t>LEKSAND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43077-2024</t>
        </is>
      </c>
      <c r="B1115" s="1" t="n">
        <v>45567</v>
      </c>
      <c r="C1115" s="1" t="n">
        <v>45840</v>
      </c>
      <c r="D1115" t="inlineStr">
        <is>
          <t>DALARNAS LÄN</t>
        </is>
      </c>
      <c r="E1115" t="inlineStr">
        <is>
          <t>LEKSAND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43419-2024</t>
        </is>
      </c>
      <c r="B1116" s="1" t="n">
        <v>45568</v>
      </c>
      <c r="C1116" s="1" t="n">
        <v>45840</v>
      </c>
      <c r="D1116" t="inlineStr">
        <is>
          <t>DALARNAS LÄN</t>
        </is>
      </c>
      <c r="E1116" t="inlineStr">
        <is>
          <t>LEKSAND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43412-2024</t>
        </is>
      </c>
      <c r="B1117" s="1" t="n">
        <v>45568</v>
      </c>
      <c r="C1117" s="1" t="n">
        <v>45840</v>
      </c>
      <c r="D1117" t="inlineStr">
        <is>
          <t>DALARNAS LÄN</t>
        </is>
      </c>
      <c r="E1117" t="inlineStr">
        <is>
          <t>LEKSAND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43470-2024</t>
        </is>
      </c>
      <c r="B1118" s="1" t="n">
        <v>45568</v>
      </c>
      <c r="C1118" s="1" t="n">
        <v>45840</v>
      </c>
      <c r="D1118" t="inlineStr">
        <is>
          <t>DALARNAS LÄN</t>
        </is>
      </c>
      <c r="E1118" t="inlineStr">
        <is>
          <t>LEKSAND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43331-2024</t>
        </is>
      </c>
      <c r="B1119" s="1" t="n">
        <v>45568</v>
      </c>
      <c r="C1119" s="1" t="n">
        <v>45840</v>
      </c>
      <c r="D1119" t="inlineStr">
        <is>
          <t>DALARNAS LÄN</t>
        </is>
      </c>
      <c r="E1119" t="inlineStr">
        <is>
          <t>LEKSAND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43832-2024</t>
        </is>
      </c>
      <c r="B1120" s="1" t="n">
        <v>45569</v>
      </c>
      <c r="C1120" s="1" t="n">
        <v>45840</v>
      </c>
      <c r="D1120" t="inlineStr">
        <is>
          <t>DALARNAS LÄN</t>
        </is>
      </c>
      <c r="E1120" t="inlineStr">
        <is>
          <t>LEKSAND</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44469-2024</t>
        </is>
      </c>
      <c r="B1121" s="1" t="n">
        <v>45574</v>
      </c>
      <c r="C1121" s="1" t="n">
        <v>45840</v>
      </c>
      <c r="D1121" t="inlineStr">
        <is>
          <t>DALARNAS LÄN</t>
        </is>
      </c>
      <c r="E1121" t="inlineStr">
        <is>
          <t>LEKSAND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44822-2024</t>
        </is>
      </c>
      <c r="B1122" s="1" t="n">
        <v>45574</v>
      </c>
      <c r="C1122" s="1" t="n">
        <v>45840</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45455-2024</t>
        </is>
      </c>
      <c r="B1123" s="1" t="n">
        <v>45576</v>
      </c>
      <c r="C1123" s="1" t="n">
        <v>45840</v>
      </c>
      <c r="D1123" t="inlineStr">
        <is>
          <t>DALARNAS LÄN</t>
        </is>
      </c>
      <c r="E1123" t="inlineStr">
        <is>
          <t>LEKSAND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45760-2024</t>
        </is>
      </c>
      <c r="B1124" s="1" t="n">
        <v>45579</v>
      </c>
      <c r="C1124" s="1" t="n">
        <v>45840</v>
      </c>
      <c r="D1124" t="inlineStr">
        <is>
          <t>DALARNAS LÄN</t>
        </is>
      </c>
      <c r="E1124" t="inlineStr">
        <is>
          <t>LEKSAND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46076-2024</t>
        </is>
      </c>
      <c r="B1125" s="1" t="n">
        <v>45581</v>
      </c>
      <c r="C1125" s="1" t="n">
        <v>45840</v>
      </c>
      <c r="D1125" t="inlineStr">
        <is>
          <t>DALARNAS LÄN</t>
        </is>
      </c>
      <c r="E1125" t="inlineStr">
        <is>
          <t>LEKSAND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46359-2024</t>
        </is>
      </c>
      <c r="B1126" s="1" t="n">
        <v>45582</v>
      </c>
      <c r="C1126" s="1" t="n">
        <v>45840</v>
      </c>
      <c r="D1126" t="inlineStr">
        <is>
          <t>DALARNAS LÄN</t>
        </is>
      </c>
      <c r="E1126" t="inlineStr">
        <is>
          <t>LEKSAND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46628-2024</t>
        </is>
      </c>
      <c r="B1127" s="1" t="n">
        <v>45583</v>
      </c>
      <c r="C1127" s="1" t="n">
        <v>45840</v>
      </c>
      <c r="D1127" t="inlineStr">
        <is>
          <t>DALARNAS LÄN</t>
        </is>
      </c>
      <c r="E1127" t="inlineStr">
        <is>
          <t>LEKSAND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46653-2024</t>
        </is>
      </c>
      <c r="B1128" s="1" t="n">
        <v>45583</v>
      </c>
      <c r="C1128" s="1" t="n">
        <v>45840</v>
      </c>
      <c r="D1128" t="inlineStr">
        <is>
          <t>DALARNAS LÄN</t>
        </is>
      </c>
      <c r="E1128" t="inlineStr">
        <is>
          <t>LEKSAND</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47272-2024</t>
        </is>
      </c>
      <c r="B1129" s="1" t="n">
        <v>45586</v>
      </c>
      <c r="C1129" s="1" t="n">
        <v>45840</v>
      </c>
      <c r="D1129" t="inlineStr">
        <is>
          <t>DALARNAS LÄN</t>
        </is>
      </c>
      <c r="E1129" t="inlineStr">
        <is>
          <t>LEKSAND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47503-2024</t>
        </is>
      </c>
      <c r="B1130" s="1" t="n">
        <v>45587</v>
      </c>
      <c r="C1130" s="1" t="n">
        <v>45840</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47640-2024</t>
        </is>
      </c>
      <c r="B1131" s="1" t="n">
        <v>45588</v>
      </c>
      <c r="C1131" s="1" t="n">
        <v>45840</v>
      </c>
      <c r="D1131" t="inlineStr">
        <is>
          <t>DALARNAS LÄN</t>
        </is>
      </c>
      <c r="E1131" t="inlineStr">
        <is>
          <t>LEKSAND</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47913-2024</t>
        </is>
      </c>
      <c r="B1132" s="1" t="n">
        <v>45589</v>
      </c>
      <c r="C1132" s="1" t="n">
        <v>45840</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48501-2024</t>
        </is>
      </c>
      <c r="B1133" s="1" t="n">
        <v>45592</v>
      </c>
      <c r="C1133" s="1" t="n">
        <v>45840</v>
      </c>
      <c r="D1133" t="inlineStr">
        <is>
          <t>DALARNAS LÄN</t>
        </is>
      </c>
      <c r="E1133" t="inlineStr">
        <is>
          <t>LEKSAND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48677-2024</t>
        </is>
      </c>
      <c r="B1134" s="1" t="n">
        <v>45593</v>
      </c>
      <c r="C1134" s="1" t="n">
        <v>45840</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48857-2024</t>
        </is>
      </c>
      <c r="B1135" s="1" t="n">
        <v>45593</v>
      </c>
      <c r="C1135" s="1" t="n">
        <v>45840</v>
      </c>
      <c r="D1135" t="inlineStr">
        <is>
          <t>DALARNAS LÄN</t>
        </is>
      </c>
      <c r="E1135" t="inlineStr">
        <is>
          <t>LEKSAND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49068-2024</t>
        </is>
      </c>
      <c r="B1136" s="1" t="n">
        <v>45594</v>
      </c>
      <c r="C1136" s="1" t="n">
        <v>45840</v>
      </c>
      <c r="D1136" t="inlineStr">
        <is>
          <t>DALARNAS LÄN</t>
        </is>
      </c>
      <c r="E1136" t="inlineStr">
        <is>
          <t>LEKSAND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48902-2024</t>
        </is>
      </c>
      <c r="B1137" s="1" t="n">
        <v>45594</v>
      </c>
      <c r="C1137" s="1" t="n">
        <v>45840</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49397-2024</t>
        </is>
      </c>
      <c r="B1138" s="1" t="n">
        <v>45595</v>
      </c>
      <c r="C1138" s="1" t="n">
        <v>45840</v>
      </c>
      <c r="D1138" t="inlineStr">
        <is>
          <t>DALARNAS LÄN</t>
        </is>
      </c>
      <c r="E1138" t="inlineStr">
        <is>
          <t>LEKSAND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49405-2024</t>
        </is>
      </c>
      <c r="B1139" s="1" t="n">
        <v>45595</v>
      </c>
      <c r="C1139" s="1" t="n">
        <v>45840</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49395-2024</t>
        </is>
      </c>
      <c r="B1140" s="1" t="n">
        <v>45595</v>
      </c>
      <c r="C1140" s="1" t="n">
        <v>45840</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49553-2024</t>
        </is>
      </c>
      <c r="B1141" s="1" t="n">
        <v>45596</v>
      </c>
      <c r="C1141" s="1" t="n">
        <v>45840</v>
      </c>
      <c r="D1141" t="inlineStr">
        <is>
          <t>DALARNAS LÄN</t>
        </is>
      </c>
      <c r="E1141" t="inlineStr">
        <is>
          <t>LEKSAND</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49499-2024</t>
        </is>
      </c>
      <c r="B1142" s="1" t="n">
        <v>45596</v>
      </c>
      <c r="C1142" s="1" t="n">
        <v>45840</v>
      </c>
      <c r="D1142" t="inlineStr">
        <is>
          <t>DALARNAS LÄN</t>
        </is>
      </c>
      <c r="E1142" t="inlineStr">
        <is>
          <t>LEKSAND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49850-2024</t>
        </is>
      </c>
      <c r="B1143" s="1" t="n">
        <v>45596</v>
      </c>
      <c r="C1143" s="1" t="n">
        <v>45840</v>
      </c>
      <c r="D1143" t="inlineStr">
        <is>
          <t>DALARNAS LÄN</t>
        </is>
      </c>
      <c r="E1143" t="inlineStr">
        <is>
          <t>LEKSAND</t>
        </is>
      </c>
      <c r="F1143" t="inlineStr">
        <is>
          <t>Övriga statliga verk och myndigheter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49506-2024</t>
        </is>
      </c>
      <c r="B1144" s="1" t="n">
        <v>45596</v>
      </c>
      <c r="C1144" s="1" t="n">
        <v>45840</v>
      </c>
      <c r="D1144" t="inlineStr">
        <is>
          <t>DALARNAS LÄN</t>
        </is>
      </c>
      <c r="E1144" t="inlineStr">
        <is>
          <t>LEKSAND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50307-2024</t>
        </is>
      </c>
      <c r="B1145" s="1" t="n">
        <v>45600</v>
      </c>
      <c r="C1145" s="1" t="n">
        <v>45840</v>
      </c>
      <c r="D1145" t="inlineStr">
        <is>
          <t>DALARNAS LÄN</t>
        </is>
      </c>
      <c r="E1145" t="inlineStr">
        <is>
          <t>LEKSAND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50486-2024</t>
        </is>
      </c>
      <c r="B1146" s="1" t="n">
        <v>45601</v>
      </c>
      <c r="C1146" s="1" t="n">
        <v>45840</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51517-2024</t>
        </is>
      </c>
      <c r="B1147" s="1" t="n">
        <v>45603</v>
      </c>
      <c r="C1147" s="1" t="n">
        <v>45840</v>
      </c>
      <c r="D1147" t="inlineStr">
        <is>
          <t>DALARNAS LÄN</t>
        </is>
      </c>
      <c r="E1147" t="inlineStr">
        <is>
          <t>LEKSAND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51408-2024</t>
        </is>
      </c>
      <c r="B1148" s="1" t="n">
        <v>45604</v>
      </c>
      <c r="C1148" s="1" t="n">
        <v>45840</v>
      </c>
      <c r="D1148" t="inlineStr">
        <is>
          <t>DALARNAS LÄN</t>
        </is>
      </c>
      <c r="E1148" t="inlineStr">
        <is>
          <t>LEKSAND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51677-2024</t>
        </is>
      </c>
      <c r="B1149" s="1" t="n">
        <v>45607</v>
      </c>
      <c r="C1149" s="1" t="n">
        <v>45840</v>
      </c>
      <c r="D1149" t="inlineStr">
        <is>
          <t>DALARNAS LÄN</t>
        </is>
      </c>
      <c r="E1149" t="inlineStr">
        <is>
          <t>LEKSAND</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51860-2024</t>
        </is>
      </c>
      <c r="B1150" s="1" t="n">
        <v>45607</v>
      </c>
      <c r="C1150" s="1" t="n">
        <v>45840</v>
      </c>
      <c r="D1150" t="inlineStr">
        <is>
          <t>DALARNAS LÄN</t>
        </is>
      </c>
      <c r="E1150" t="inlineStr">
        <is>
          <t>LEKSAND</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51907-2024</t>
        </is>
      </c>
      <c r="B1151" s="1" t="n">
        <v>45607</v>
      </c>
      <c r="C1151" s="1" t="n">
        <v>45840</v>
      </c>
      <c r="D1151" t="inlineStr">
        <is>
          <t>DALARNAS LÄN</t>
        </is>
      </c>
      <c r="E1151" t="inlineStr">
        <is>
          <t>LEKSAND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52277-2024</t>
        </is>
      </c>
      <c r="B1152" s="1" t="n">
        <v>45608</v>
      </c>
      <c r="C1152" s="1" t="n">
        <v>45840</v>
      </c>
      <c r="D1152" t="inlineStr">
        <is>
          <t>DALARNAS LÄN</t>
        </is>
      </c>
      <c r="E1152" t="inlineStr">
        <is>
          <t>LEKSAND</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52293-2024</t>
        </is>
      </c>
      <c r="B1153" s="1" t="n">
        <v>45608</v>
      </c>
      <c r="C1153" s="1" t="n">
        <v>45840</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52059-2024</t>
        </is>
      </c>
      <c r="B1154" s="1" t="n">
        <v>45608</v>
      </c>
      <c r="C1154" s="1" t="n">
        <v>45840</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52100-2024</t>
        </is>
      </c>
      <c r="B1155" s="1" t="n">
        <v>45608</v>
      </c>
      <c r="C1155" s="1" t="n">
        <v>45840</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52572-2024</t>
        </is>
      </c>
      <c r="B1156" s="1" t="n">
        <v>45609</v>
      </c>
      <c r="C1156" s="1" t="n">
        <v>45840</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52755-2024</t>
        </is>
      </c>
      <c r="B1157" s="1" t="n">
        <v>45610</v>
      </c>
      <c r="C1157" s="1" t="n">
        <v>45840</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53193-2024</t>
        </is>
      </c>
      <c r="B1158" s="1" t="n">
        <v>45610</v>
      </c>
      <c r="C1158" s="1" t="n">
        <v>45840</v>
      </c>
      <c r="D1158" t="inlineStr">
        <is>
          <t>DALARNAS LÄN</t>
        </is>
      </c>
      <c r="E1158" t="inlineStr">
        <is>
          <t>LEKSAND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53464-2024</t>
        </is>
      </c>
      <c r="B1159" s="1" t="n">
        <v>45611</v>
      </c>
      <c r="C1159" s="1" t="n">
        <v>45840</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53662-2024</t>
        </is>
      </c>
      <c r="B1160" s="1" t="n">
        <v>45612</v>
      </c>
      <c r="C1160" s="1" t="n">
        <v>45840</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53319-2024</t>
        </is>
      </c>
      <c r="B1161" s="1" t="n">
        <v>45614</v>
      </c>
      <c r="C1161" s="1" t="n">
        <v>45840</v>
      </c>
      <c r="D1161" t="inlineStr">
        <is>
          <t>DALARNAS LÄN</t>
        </is>
      </c>
      <c r="E1161" t="inlineStr">
        <is>
          <t>LEKSAND</t>
        </is>
      </c>
      <c r="G1161" t="n">
        <v>3.1</v>
      </c>
      <c r="H1161" t="n">
        <v>0</v>
      </c>
      <c r="I1161" t="n">
        <v>0</v>
      </c>
      <c r="J1161" t="n">
        <v>0</v>
      </c>
      <c r="K1161" t="n">
        <v>0</v>
      </c>
      <c r="L1161" t="n">
        <v>0</v>
      </c>
      <c r="M1161" t="n">
        <v>0</v>
      </c>
      <c r="N1161" t="n">
        <v>0</v>
      </c>
      <c r="O1161" t="n">
        <v>0</v>
      </c>
      <c r="P1161" t="n">
        <v>0</v>
      </c>
      <c r="Q1161" t="n">
        <v>0</v>
      </c>
      <c r="R1161" s="2" t="inlineStr"/>
      <c r="U1161">
        <f>HYPERLINK("https://klasma.github.io/Logging_2029/knärot/A 53319-2024 karta knärot.png", "A 53319-2024")</f>
        <v/>
      </c>
      <c r="V1161">
        <f>HYPERLINK("https://klasma.github.io/Logging_2029/klagomål/A 53319-2024 FSC-klagomål.docx", "A 53319-2024")</f>
        <v/>
      </c>
      <c r="W1161">
        <f>HYPERLINK("https://klasma.github.io/Logging_2029/klagomålsmail/A 53319-2024 FSC-klagomål mail.docx", "A 53319-2024")</f>
        <v/>
      </c>
      <c r="X1161">
        <f>HYPERLINK("https://klasma.github.io/Logging_2029/tillsyn/A 53319-2024 tillsynsbegäran.docx", "A 53319-2024")</f>
        <v/>
      </c>
      <c r="Y1161">
        <f>HYPERLINK("https://klasma.github.io/Logging_2029/tillsynsmail/A 53319-2024 tillsynsbegäran mail.docx", "A 53319-2024")</f>
        <v/>
      </c>
    </row>
    <row r="1162" ht="15" customHeight="1">
      <c r="A1162" t="inlineStr">
        <is>
          <t>A 53625-2024</t>
        </is>
      </c>
      <c r="B1162" s="1" t="n">
        <v>45614</v>
      </c>
      <c r="C1162" s="1" t="n">
        <v>45840</v>
      </c>
      <c r="D1162" t="inlineStr">
        <is>
          <t>DALARNAS LÄN</t>
        </is>
      </c>
      <c r="E1162" t="inlineStr">
        <is>
          <t>LEKSAND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53634-2024</t>
        </is>
      </c>
      <c r="B1163" s="1" t="n">
        <v>45614</v>
      </c>
      <c r="C1163" s="1" t="n">
        <v>45840</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53633-2024</t>
        </is>
      </c>
      <c r="B1164" s="1" t="n">
        <v>45614</v>
      </c>
      <c r="C1164" s="1" t="n">
        <v>45840</v>
      </c>
      <c r="D1164" t="inlineStr">
        <is>
          <t>DALARNAS LÄN</t>
        </is>
      </c>
      <c r="E1164" t="inlineStr">
        <is>
          <t>LEKSAND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53313-2024</t>
        </is>
      </c>
      <c r="B1165" s="1" t="n">
        <v>45614</v>
      </c>
      <c r="C1165" s="1" t="n">
        <v>45840</v>
      </c>
      <c r="D1165" t="inlineStr">
        <is>
          <t>DALARNAS LÄN</t>
        </is>
      </c>
      <c r="E1165" t="inlineStr">
        <is>
          <t>LEKSAND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53981-2024</t>
        </is>
      </c>
      <c r="B1166" s="1" t="n">
        <v>45615</v>
      </c>
      <c r="C1166" s="1" t="n">
        <v>45840</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53992-2024</t>
        </is>
      </c>
      <c r="B1167" s="1" t="n">
        <v>45616</v>
      </c>
      <c r="C1167" s="1" t="n">
        <v>45840</v>
      </c>
      <c r="D1167" t="inlineStr">
        <is>
          <t>DALARNAS LÄN</t>
        </is>
      </c>
      <c r="E1167" t="inlineStr">
        <is>
          <t>LEKSAND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54917-2024</t>
        </is>
      </c>
      <c r="B1168" s="1" t="n">
        <v>45618</v>
      </c>
      <c r="C1168" s="1" t="n">
        <v>45840</v>
      </c>
      <c r="D1168" t="inlineStr">
        <is>
          <t>DALARNAS LÄN</t>
        </is>
      </c>
      <c r="E1168" t="inlineStr">
        <is>
          <t>LEKSAND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54911-2024</t>
        </is>
      </c>
      <c r="B1169" s="1" t="n">
        <v>45618</v>
      </c>
      <c r="C1169" s="1" t="n">
        <v>45840</v>
      </c>
      <c r="D1169" t="inlineStr">
        <is>
          <t>DALARNAS LÄN</t>
        </is>
      </c>
      <c r="E1169" t="inlineStr">
        <is>
          <t>LEKSAND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54910-2024</t>
        </is>
      </c>
      <c r="B1170" s="1" t="n">
        <v>45618</v>
      </c>
      <c r="C1170" s="1" t="n">
        <v>45840</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54914-2024</t>
        </is>
      </c>
      <c r="B1171" s="1" t="n">
        <v>45618</v>
      </c>
      <c r="C1171" s="1" t="n">
        <v>45840</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55015-2024</t>
        </is>
      </c>
      <c r="B1172" s="1" t="n">
        <v>45621</v>
      </c>
      <c r="C1172" s="1" t="n">
        <v>45840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55512-2024</t>
        </is>
      </c>
      <c r="B1173" s="1" t="n">
        <v>45621</v>
      </c>
      <c r="C1173" s="1" t="n">
        <v>45840</v>
      </c>
      <c r="D1173" t="inlineStr">
        <is>
          <t>DALARNAS LÄN</t>
        </is>
      </c>
      <c r="E1173" t="inlineStr">
        <is>
          <t>LEKSAND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55029-2024</t>
        </is>
      </c>
      <c r="B1174" s="1" t="n">
        <v>45621</v>
      </c>
      <c r="C1174" s="1" t="n">
        <v>45840</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55268-2024</t>
        </is>
      </c>
      <c r="B1175" s="1" t="n">
        <v>45621</v>
      </c>
      <c r="C1175" s="1" t="n">
        <v>45840</v>
      </c>
      <c r="D1175" t="inlineStr">
        <is>
          <t>DALARNAS LÄN</t>
        </is>
      </c>
      <c r="E1175" t="inlineStr">
        <is>
          <t>LEKSAND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55516-2024</t>
        </is>
      </c>
      <c r="B1176" s="1" t="n">
        <v>45621</v>
      </c>
      <c r="C1176" s="1" t="n">
        <v>45840</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55643-2024</t>
        </is>
      </c>
      <c r="B1177" s="1" t="n">
        <v>45621</v>
      </c>
      <c r="C1177" s="1" t="n">
        <v>45840</v>
      </c>
      <c r="D1177" t="inlineStr">
        <is>
          <t>DALARNAS LÄN</t>
        </is>
      </c>
      <c r="E1177" t="inlineStr">
        <is>
          <t>LEKSAND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55520-2024</t>
        </is>
      </c>
      <c r="B1178" s="1" t="n">
        <v>45621</v>
      </c>
      <c r="C1178" s="1" t="n">
        <v>45840</v>
      </c>
      <c r="D1178" t="inlineStr">
        <is>
          <t>DALARNAS LÄN</t>
        </is>
      </c>
      <c r="E1178" t="inlineStr">
        <is>
          <t>LEKSAND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55706-2024</t>
        </is>
      </c>
      <c r="B1179" s="1" t="n">
        <v>45622</v>
      </c>
      <c r="C1179" s="1" t="n">
        <v>45840</v>
      </c>
      <c r="D1179" t="inlineStr">
        <is>
          <t>DALARNAS LÄN</t>
        </is>
      </c>
      <c r="E1179" t="inlineStr">
        <is>
          <t>LEKSAND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55689-2024</t>
        </is>
      </c>
      <c r="B1180" s="1" t="n">
        <v>45622</v>
      </c>
      <c r="C1180" s="1" t="n">
        <v>45840</v>
      </c>
      <c r="D1180" t="inlineStr">
        <is>
          <t>DALARNAS LÄN</t>
        </is>
      </c>
      <c r="E1180" t="inlineStr">
        <is>
          <t>LEKSAND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55926-2024</t>
        </is>
      </c>
      <c r="B1181" s="1" t="n">
        <v>45623</v>
      </c>
      <c r="C1181" s="1" t="n">
        <v>45840</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56016-2024</t>
        </is>
      </c>
      <c r="B1182" s="1" t="n">
        <v>45623</v>
      </c>
      <c r="C1182" s="1" t="n">
        <v>45840</v>
      </c>
      <c r="D1182" t="inlineStr">
        <is>
          <t>DALARNAS LÄN</t>
        </is>
      </c>
      <c r="E1182" t="inlineStr">
        <is>
          <t>LEKSAND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56059-2024</t>
        </is>
      </c>
      <c r="B1183" s="1" t="n">
        <v>45624</v>
      </c>
      <c r="C1183" s="1" t="n">
        <v>45840</v>
      </c>
      <c r="D1183" t="inlineStr">
        <is>
          <t>DALARNAS LÄN</t>
        </is>
      </c>
      <c r="E1183" t="inlineStr">
        <is>
          <t>LEKSAND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56283-2024</t>
        </is>
      </c>
      <c r="B1184" s="1" t="n">
        <v>45624</v>
      </c>
      <c r="C1184" s="1" t="n">
        <v>45840</v>
      </c>
      <c r="D1184" t="inlineStr">
        <is>
          <t>DALARNAS LÄN</t>
        </is>
      </c>
      <c r="E1184" t="inlineStr">
        <is>
          <t>LEKSAND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56299-2024</t>
        </is>
      </c>
      <c r="B1185" s="1" t="n">
        <v>45624</v>
      </c>
      <c r="C1185" s="1" t="n">
        <v>45840</v>
      </c>
      <c r="D1185" t="inlineStr">
        <is>
          <t>DALARNAS LÄN</t>
        </is>
      </c>
      <c r="E1185" t="inlineStr">
        <is>
          <t>LEKSAND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56610-2024</t>
        </is>
      </c>
      <c r="B1186" s="1" t="n">
        <v>45625</v>
      </c>
      <c r="C1186" s="1" t="n">
        <v>45840</v>
      </c>
      <c r="D1186" t="inlineStr">
        <is>
          <t>DALARNAS LÄN</t>
        </is>
      </c>
      <c r="E1186" t="inlineStr">
        <is>
          <t>LEKSAND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56941-2024</t>
        </is>
      </c>
      <c r="B1187" s="1" t="n">
        <v>45625</v>
      </c>
      <c r="C1187" s="1" t="n">
        <v>45840</v>
      </c>
      <c r="D1187" t="inlineStr">
        <is>
          <t>DALARNAS LÄN</t>
        </is>
      </c>
      <c r="E1187" t="inlineStr">
        <is>
          <t>LEKSAND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56608-2024</t>
        </is>
      </c>
      <c r="B1188" s="1" t="n">
        <v>45625</v>
      </c>
      <c r="C1188" s="1" t="n">
        <v>45840</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56591-2024</t>
        </is>
      </c>
      <c r="B1189" s="1" t="n">
        <v>45625</v>
      </c>
      <c r="C1189" s="1" t="n">
        <v>45840</v>
      </c>
      <c r="D1189" t="inlineStr">
        <is>
          <t>DALARNAS LÄN</t>
        </is>
      </c>
      <c r="E1189" t="inlineStr">
        <is>
          <t>LEKSAND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56641-2024</t>
        </is>
      </c>
      <c r="B1190" s="1" t="n">
        <v>45625</v>
      </c>
      <c r="C1190" s="1" t="n">
        <v>45840</v>
      </c>
      <c r="D1190" t="inlineStr">
        <is>
          <t>DALARNAS LÄN</t>
        </is>
      </c>
      <c r="E1190" t="inlineStr">
        <is>
          <t>LEKSAND</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56943-2024</t>
        </is>
      </c>
      <c r="B1191" s="1" t="n">
        <v>45625</v>
      </c>
      <c r="C1191" s="1" t="n">
        <v>45840</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56950-2024</t>
        </is>
      </c>
      <c r="B1192" s="1" t="n">
        <v>45625</v>
      </c>
      <c r="C1192" s="1" t="n">
        <v>45840</v>
      </c>
      <c r="D1192" t="inlineStr">
        <is>
          <t>DALARNAS LÄN</t>
        </is>
      </c>
      <c r="E1192" t="inlineStr">
        <is>
          <t>LEKSAND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56777-2024</t>
        </is>
      </c>
      <c r="B1193" s="1" t="n">
        <v>45628</v>
      </c>
      <c r="C1193" s="1" t="n">
        <v>45840</v>
      </c>
      <c r="D1193" t="inlineStr">
        <is>
          <t>DALARNAS LÄN</t>
        </is>
      </c>
      <c r="E1193" t="inlineStr">
        <is>
          <t>LEKSAND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56749-2024</t>
        </is>
      </c>
      <c r="B1194" s="1" t="n">
        <v>45628</v>
      </c>
      <c r="C1194" s="1" t="n">
        <v>45840</v>
      </c>
      <c r="D1194" t="inlineStr">
        <is>
          <t>DALARNAS LÄN</t>
        </is>
      </c>
      <c r="E1194" t="inlineStr">
        <is>
          <t>LEKSAND</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57599-2024</t>
        </is>
      </c>
      <c r="B1195" s="1" t="n">
        <v>45630</v>
      </c>
      <c r="C1195" s="1" t="n">
        <v>45840</v>
      </c>
      <c r="D1195" t="inlineStr">
        <is>
          <t>DALARNAS LÄN</t>
        </is>
      </c>
      <c r="E1195" t="inlineStr">
        <is>
          <t>LEKSAND</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57925-2024</t>
        </is>
      </c>
      <c r="B1196" s="1" t="n">
        <v>45630</v>
      </c>
      <c r="C1196" s="1" t="n">
        <v>45840</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57907-2024</t>
        </is>
      </c>
      <c r="B1197" s="1" t="n">
        <v>45630</v>
      </c>
      <c r="C1197" s="1" t="n">
        <v>45840</v>
      </c>
      <c r="D1197" t="inlineStr">
        <is>
          <t>DALARNAS LÄN</t>
        </is>
      </c>
      <c r="E1197" t="inlineStr">
        <is>
          <t>LEKSAND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57899-2024</t>
        </is>
      </c>
      <c r="B1198" s="1" t="n">
        <v>45630</v>
      </c>
      <c r="C1198" s="1" t="n">
        <v>45840</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57933-2024</t>
        </is>
      </c>
      <c r="B1199" s="1" t="n">
        <v>45630</v>
      </c>
      <c r="C1199" s="1" t="n">
        <v>45840</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58555-2024</t>
        </is>
      </c>
      <c r="B1200" s="1" t="n">
        <v>45635</v>
      </c>
      <c r="C1200" s="1" t="n">
        <v>45840</v>
      </c>
      <c r="D1200" t="inlineStr">
        <is>
          <t>DALARNAS LÄN</t>
        </is>
      </c>
      <c r="E1200" t="inlineStr">
        <is>
          <t>LEKSAND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59103-2024</t>
        </is>
      </c>
      <c r="B1201" s="1" t="n">
        <v>45637</v>
      </c>
      <c r="C1201" s="1" t="n">
        <v>45840</v>
      </c>
      <c r="D1201" t="inlineStr">
        <is>
          <t>DALARNAS LÄN</t>
        </is>
      </c>
      <c r="E1201" t="inlineStr">
        <is>
          <t>LEKSAND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59192-2024</t>
        </is>
      </c>
      <c r="B1202" s="1" t="n">
        <v>45637</v>
      </c>
      <c r="C1202" s="1" t="n">
        <v>45840</v>
      </c>
      <c r="D1202" t="inlineStr">
        <is>
          <t>DALARNAS LÄN</t>
        </is>
      </c>
      <c r="E1202" t="inlineStr">
        <is>
          <t>LEKSAND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59260-2024</t>
        </is>
      </c>
      <c r="B1203" s="1" t="n">
        <v>45637</v>
      </c>
      <c r="C1203" s="1" t="n">
        <v>45840</v>
      </c>
      <c r="D1203" t="inlineStr">
        <is>
          <t>DALARNAS LÄN</t>
        </is>
      </c>
      <c r="E1203" t="inlineStr">
        <is>
          <t>LEKSAND</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59199-2024</t>
        </is>
      </c>
      <c r="B1204" s="1" t="n">
        <v>45637</v>
      </c>
      <c r="C1204" s="1" t="n">
        <v>45840</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59236-2024</t>
        </is>
      </c>
      <c r="B1205" s="1" t="n">
        <v>45637</v>
      </c>
      <c r="C1205" s="1" t="n">
        <v>45840</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59266-2024</t>
        </is>
      </c>
      <c r="B1206" s="1" t="n">
        <v>45637</v>
      </c>
      <c r="C1206" s="1" t="n">
        <v>45840</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59840-2024</t>
        </is>
      </c>
      <c r="B1207" s="1" t="n">
        <v>45638</v>
      </c>
      <c r="C1207" s="1" t="n">
        <v>45840</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59751-2024</t>
        </is>
      </c>
      <c r="B1208" s="1" t="n">
        <v>45638</v>
      </c>
      <c r="C1208" s="1" t="n">
        <v>45840</v>
      </c>
      <c r="D1208" t="inlineStr">
        <is>
          <t>DALARNAS LÄN</t>
        </is>
      </c>
      <c r="E1208" t="inlineStr">
        <is>
          <t>LEKSAND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60544-2024</t>
        </is>
      </c>
      <c r="B1209" s="1" t="n">
        <v>45643</v>
      </c>
      <c r="C1209" s="1" t="n">
        <v>45840</v>
      </c>
      <c r="D1209" t="inlineStr">
        <is>
          <t>DALARNAS LÄN</t>
        </is>
      </c>
      <c r="E1209" t="inlineStr">
        <is>
          <t>LEKSAND</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60552-2024</t>
        </is>
      </c>
      <c r="B1210" s="1" t="n">
        <v>45643</v>
      </c>
      <c r="C1210" s="1" t="n">
        <v>45840</v>
      </c>
      <c r="D1210" t="inlineStr">
        <is>
          <t>DALARNAS LÄN</t>
        </is>
      </c>
      <c r="E1210" t="inlineStr">
        <is>
          <t>LEKSAND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60489-2024</t>
        </is>
      </c>
      <c r="B1211" s="1" t="n">
        <v>45643</v>
      </c>
      <c r="C1211" s="1" t="n">
        <v>45840</v>
      </c>
      <c r="D1211" t="inlineStr">
        <is>
          <t>DALARNAS LÄN</t>
        </is>
      </c>
      <c r="E1211" t="inlineStr">
        <is>
          <t>LEKSAND</t>
        </is>
      </c>
      <c r="F1211" t="inlineStr">
        <is>
          <t>Övriga Aktiebolag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60906-2024</t>
        </is>
      </c>
      <c r="B1212" s="1" t="n">
        <v>45645</v>
      </c>
      <c r="C1212" s="1" t="n">
        <v>45840</v>
      </c>
      <c r="D1212" t="inlineStr">
        <is>
          <t>DALARNAS LÄN</t>
        </is>
      </c>
      <c r="E1212" t="inlineStr">
        <is>
          <t>LEKSAND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60945-2024</t>
        </is>
      </c>
      <c r="B1213" s="1" t="n">
        <v>45645</v>
      </c>
      <c r="C1213" s="1" t="n">
        <v>45840</v>
      </c>
      <c r="D1213" t="inlineStr">
        <is>
          <t>DALARNAS LÄN</t>
        </is>
      </c>
      <c r="E1213" t="inlineStr">
        <is>
          <t>LEKSAND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60993-2024</t>
        </is>
      </c>
      <c r="B1214" s="1" t="n">
        <v>45645</v>
      </c>
      <c r="C1214" s="1" t="n">
        <v>45840</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60986-2024</t>
        </is>
      </c>
      <c r="B1215" s="1" t="n">
        <v>45645</v>
      </c>
      <c r="C1215" s="1" t="n">
        <v>45840</v>
      </c>
      <c r="D1215" t="inlineStr">
        <is>
          <t>DALARNAS LÄN</t>
        </is>
      </c>
      <c r="E1215" t="inlineStr">
        <is>
          <t>LEKSAND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61554-2024</t>
        </is>
      </c>
      <c r="B1216" s="1" t="n">
        <v>45646</v>
      </c>
      <c r="C1216" s="1" t="n">
        <v>45840</v>
      </c>
      <c r="D1216" t="inlineStr">
        <is>
          <t>DALARNAS LÄN</t>
        </is>
      </c>
      <c r="E1216" t="inlineStr">
        <is>
          <t>LEKSAND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61573-2024</t>
        </is>
      </c>
      <c r="B1217" s="1" t="n">
        <v>45646</v>
      </c>
      <c r="C1217" s="1" t="n">
        <v>45840</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62116-2024</t>
        </is>
      </c>
      <c r="B1218" s="1" t="n">
        <v>45646</v>
      </c>
      <c r="C1218" s="1" t="n">
        <v>45840</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61680-2024</t>
        </is>
      </c>
      <c r="B1219" s="1" t="n">
        <v>45647</v>
      </c>
      <c r="C1219" s="1" t="n">
        <v>45840</v>
      </c>
      <c r="D1219" t="inlineStr">
        <is>
          <t>DALARNAS LÄN</t>
        </is>
      </c>
      <c r="E1219" t="inlineStr">
        <is>
          <t>LEKSAND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61714-2024</t>
        </is>
      </c>
      <c r="B1220" s="1" t="n">
        <v>45648</v>
      </c>
      <c r="C1220" s="1" t="n">
        <v>45840</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62130-2024</t>
        </is>
      </c>
      <c r="B1221" s="1" t="n">
        <v>45656</v>
      </c>
      <c r="C1221" s="1" t="n">
        <v>45840</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62161-2024</t>
        </is>
      </c>
      <c r="B1222" s="1" t="n">
        <v>45656</v>
      </c>
      <c r="C1222" s="1" t="n">
        <v>45840</v>
      </c>
      <c r="D1222" t="inlineStr">
        <is>
          <t>DALARNAS LÄN</t>
        </is>
      </c>
      <c r="E1222" t="inlineStr">
        <is>
          <t>LEKSAND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377-2025</t>
        </is>
      </c>
      <c r="B1223" s="1" t="n">
        <v>45662</v>
      </c>
      <c r="C1223" s="1" t="n">
        <v>45840</v>
      </c>
      <c r="D1223" t="inlineStr">
        <is>
          <t>DALARNAS LÄN</t>
        </is>
      </c>
      <c r="E1223" t="inlineStr">
        <is>
          <t>LEKSAND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471-2025</t>
        </is>
      </c>
      <c r="B1224" s="1" t="n">
        <v>45664</v>
      </c>
      <c r="C1224" s="1" t="n">
        <v>45840</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1182-2025</t>
        </is>
      </c>
      <c r="B1225" s="1" t="n">
        <v>45667</v>
      </c>
      <c r="C1225" s="1" t="n">
        <v>45840</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1267-2025</t>
        </is>
      </c>
      <c r="B1226" s="1" t="n">
        <v>45667</v>
      </c>
      <c r="C1226" s="1" t="n">
        <v>45840</v>
      </c>
      <c r="D1226" t="inlineStr">
        <is>
          <t>DALARNAS LÄN</t>
        </is>
      </c>
      <c r="E1226" t="inlineStr">
        <is>
          <t>LEKSAND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1984-2025</t>
        </is>
      </c>
      <c r="B1227" s="1" t="n">
        <v>45670</v>
      </c>
      <c r="C1227" s="1" t="n">
        <v>45840</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1983-2025</t>
        </is>
      </c>
      <c r="B1228" s="1" t="n">
        <v>45670</v>
      </c>
      <c r="C1228" s="1" t="n">
        <v>45840</v>
      </c>
      <c r="D1228" t="inlineStr">
        <is>
          <t>DALARNAS LÄN</t>
        </is>
      </c>
      <c r="E1228" t="inlineStr">
        <is>
          <t>LEKSAND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2447-2025</t>
        </is>
      </c>
      <c r="B1229" s="1" t="n">
        <v>45674</v>
      </c>
      <c r="C1229" s="1" t="n">
        <v>45840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2401-2025</t>
        </is>
      </c>
      <c r="B1230" s="1" t="n">
        <v>45674</v>
      </c>
      <c r="C1230" s="1" t="n">
        <v>45840</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2630-2025</t>
        </is>
      </c>
      <c r="B1231" s="1" t="n">
        <v>45675</v>
      </c>
      <c r="C1231" s="1" t="n">
        <v>45840</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2694-2025</t>
        </is>
      </c>
      <c r="B1232" s="1" t="n">
        <v>45677</v>
      </c>
      <c r="C1232" s="1" t="n">
        <v>45840</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3309-2025</t>
        </is>
      </c>
      <c r="B1233" s="1" t="n">
        <v>45679</v>
      </c>
      <c r="C1233" s="1" t="n">
        <v>45840</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3183-2025</t>
        </is>
      </c>
      <c r="B1234" s="1" t="n">
        <v>45679</v>
      </c>
      <c r="C1234" s="1" t="n">
        <v>45840</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3198-2025</t>
        </is>
      </c>
      <c r="B1235" s="1" t="n">
        <v>45679</v>
      </c>
      <c r="C1235" s="1" t="n">
        <v>45840</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3201-2025</t>
        </is>
      </c>
      <c r="B1236" s="1" t="n">
        <v>45679</v>
      </c>
      <c r="C1236" s="1" t="n">
        <v>45840</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3500-2025</t>
        </is>
      </c>
      <c r="B1237" s="1" t="n">
        <v>45680</v>
      </c>
      <c r="C1237" s="1" t="n">
        <v>45840</v>
      </c>
      <c r="D1237" t="inlineStr">
        <is>
          <t>DALARNAS LÄN</t>
        </is>
      </c>
      <c r="E1237" t="inlineStr">
        <is>
          <t>LEKSAND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4794-2025</t>
        </is>
      </c>
      <c r="B1238" s="1" t="n">
        <v>45688</v>
      </c>
      <c r="C1238" s="1" t="n">
        <v>45840</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45840</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45840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45840</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45840</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45840</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45840</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45840</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45840</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45840</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45840</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45840</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45840</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45840</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45840</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45840</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45840</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45840</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45840</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45840</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45840</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45840</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45840</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45840</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45840</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45840</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45840</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45840</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45840</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45840</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45840</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45840</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45840</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45840</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45840</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45840</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45840</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45840</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45840</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45840</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45840</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45840</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45840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45840</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45840</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45840</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45840</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45840</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45840</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45840</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45840</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45840</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45840</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45840</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45840</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45840</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45840</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45840</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45840</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45840</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45840</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45840</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45840</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45840</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45840</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45840</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45840</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45840</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45840</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45840</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45840</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45840</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45840</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45840</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45840</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45840</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45840</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45840</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45840</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45840</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45840</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45840</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45840</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45840</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45840</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45840</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45840</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45840</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45840</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45840</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45840</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45840</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45840</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45840</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45840</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45840</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45840</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45840</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45840</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45840</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45840</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45840</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45840</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45840</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45840</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45840</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45840</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45840</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45840</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45840</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45840</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45840</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45840</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45840</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30973-2025</t>
        </is>
      </c>
      <c r="B1352" s="1" t="n">
        <v>45832</v>
      </c>
      <c r="C1352" s="1" t="n">
        <v>45840</v>
      </c>
      <c r="D1352" t="inlineStr">
        <is>
          <t>DALARNAS LÄN</t>
        </is>
      </c>
      <c r="E1352" t="inlineStr">
        <is>
          <t>LEKSAND</t>
        </is>
      </c>
      <c r="F1352" t="inlineStr">
        <is>
          <t>Bergvik skog väst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45840</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30916-2025</t>
        </is>
      </c>
      <c r="B1354" s="1" t="n">
        <v>45832</v>
      </c>
      <c r="C1354" s="1" t="n">
        <v>45840</v>
      </c>
      <c r="D1354" t="inlineStr">
        <is>
          <t>DALARNAS LÄN</t>
        </is>
      </c>
      <c r="E1354" t="inlineStr">
        <is>
          <t>LEKSAND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45840</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45840</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31446-2025</t>
        </is>
      </c>
      <c r="B1357" s="1" t="n">
        <v>45833</v>
      </c>
      <c r="C1357" s="1" t="n">
        <v>45840</v>
      </c>
      <c r="D1357" t="inlineStr">
        <is>
          <t>DALARNAS LÄN</t>
        </is>
      </c>
      <c r="E1357" t="inlineStr">
        <is>
          <t>LEKSAND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45840</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31619-2025</t>
        </is>
      </c>
      <c r="B1359" s="1" t="n">
        <v>45833</v>
      </c>
      <c r="C1359" s="1" t="n">
        <v>45840</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45840</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32301-2025</t>
        </is>
      </c>
      <c r="B1361" s="1" t="n">
        <v>45835</v>
      </c>
      <c r="C1361" s="1" t="n">
        <v>45840</v>
      </c>
      <c r="D1361" t="inlineStr">
        <is>
          <t>DALARNAS LÄN</t>
        </is>
      </c>
      <c r="E1361" t="inlineStr">
        <is>
          <t>LEKSAND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31957-2025</t>
        </is>
      </c>
      <c r="B1362" s="1" t="n">
        <v>45835</v>
      </c>
      <c r="C1362" s="1" t="n">
        <v>45840</v>
      </c>
      <c r="D1362" t="inlineStr">
        <is>
          <t>DALARNAS LÄN</t>
        </is>
      </c>
      <c r="E1362" t="inlineStr">
        <is>
          <t>LEKSAND</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31945-2025</t>
        </is>
      </c>
      <c r="B1363" s="1" t="n">
        <v>45835</v>
      </c>
      <c r="C1363" s="1" t="n">
        <v>45840</v>
      </c>
      <c r="D1363" t="inlineStr">
        <is>
          <t>DALARNAS LÄN</t>
        </is>
      </c>
      <c r="E1363" t="inlineStr">
        <is>
          <t>LEKSAND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31967-2025</t>
        </is>
      </c>
      <c r="B1364" s="1" t="n">
        <v>45835</v>
      </c>
      <c r="C1364" s="1" t="n">
        <v>45840</v>
      </c>
      <c r="D1364" t="inlineStr">
        <is>
          <t>DALARNAS LÄN</t>
        </is>
      </c>
      <c r="E1364" t="inlineStr">
        <is>
          <t>LEKSAND</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32104-2025</t>
        </is>
      </c>
      <c r="B1365" s="1" t="n">
        <v>45835</v>
      </c>
      <c r="C1365" s="1" t="n">
        <v>45840</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32274-2025</t>
        </is>
      </c>
      <c r="B1366" s="1" t="n">
        <v>45835</v>
      </c>
      <c r="C1366" s="1" t="n">
        <v>45840</v>
      </c>
      <c r="D1366" t="inlineStr">
        <is>
          <t>DALARNAS LÄN</t>
        </is>
      </c>
      <c r="E1366" t="inlineStr">
        <is>
          <t>LEKSAND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31951-2025</t>
        </is>
      </c>
      <c r="B1367" s="1" t="n">
        <v>45835</v>
      </c>
      <c r="C1367" s="1" t="n">
        <v>45840</v>
      </c>
      <c r="D1367" t="inlineStr">
        <is>
          <t>DALARNAS LÄN</t>
        </is>
      </c>
      <c r="E1367" t="inlineStr">
        <is>
          <t>LEKSAND</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32661-2025</t>
        </is>
      </c>
      <c r="B1368" s="1" t="n">
        <v>45838</v>
      </c>
      <c r="C1368" s="1" t="n">
        <v>45840</v>
      </c>
      <c r="D1368" t="inlineStr">
        <is>
          <t>DALARNAS LÄN</t>
        </is>
      </c>
      <c r="E1368" t="inlineStr">
        <is>
          <t>LEKSAND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45840</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45840</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32726-2025</t>
        </is>
      </c>
      <c r="B1371" s="1" t="n">
        <v>45839</v>
      </c>
      <c r="C1371" s="1" t="n">
        <v>45840</v>
      </c>
      <c r="D1371" t="inlineStr">
        <is>
          <t>DALARNAS LÄN</t>
        </is>
      </c>
      <c r="E1371" t="inlineStr">
        <is>
          <t>LEKSAND</t>
        </is>
      </c>
      <c r="F1371" t="inlineStr">
        <is>
          <t>Bergvik skog väst AB</t>
        </is>
      </c>
      <c r="G1371" t="n">
        <v>2.5</v>
      </c>
      <c r="H1371" t="n">
        <v>0</v>
      </c>
      <c r="I1371" t="n">
        <v>0</v>
      </c>
      <c r="J1371" t="n">
        <v>0</v>
      </c>
      <c r="K1371" t="n">
        <v>0</v>
      </c>
      <c r="L1371" t="n">
        <v>0</v>
      </c>
      <c r="M1371" t="n">
        <v>0</v>
      </c>
      <c r="N1371" t="n">
        <v>0</v>
      </c>
      <c r="O1371" t="n">
        <v>0</v>
      </c>
      <c r="P1371" t="n">
        <v>0</v>
      </c>
      <c r="Q1371" t="n">
        <v>0</v>
      </c>
      <c r="R1371" s="2" t="inlineStr"/>
    </row>
    <row r="1372">
      <c r="A1372" t="inlineStr">
        <is>
          <t>A 32855-2025</t>
        </is>
      </c>
      <c r="B1372" s="1" t="n">
        <v>45839</v>
      </c>
      <c r="C1372" s="1" t="n">
        <v>45840</v>
      </c>
      <c r="D1372" t="inlineStr">
        <is>
          <t>DALARNAS LÄN</t>
        </is>
      </c>
      <c r="E1372" t="inlineStr">
        <is>
          <t>LEKSAND</t>
        </is>
      </c>
      <c r="G1372" t="n">
        <v>0.7</v>
      </c>
      <c r="H1372" t="n">
        <v>0</v>
      </c>
      <c r="I1372" t="n">
        <v>0</v>
      </c>
      <c r="J1372" t="n">
        <v>0</v>
      </c>
      <c r="K1372" t="n">
        <v>0</v>
      </c>
      <c r="L1372" t="n">
        <v>0</v>
      </c>
      <c r="M1372" t="n">
        <v>0</v>
      </c>
      <c r="N1372" t="n">
        <v>0</v>
      </c>
      <c r="O1372" t="n">
        <v>0</v>
      </c>
      <c r="P1372" t="n">
        <v>0</v>
      </c>
      <c r="Q1372" t="n">
        <v>0</v>
      </c>
      <c r="R1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2025-07-02T19:52:44Z</dcterms:created>
  <dcterms:modified xmlns:dcterms="http://purl.org/dc/terms/" xmlns:xsi="http://www.w3.org/2001/XMLSchema-instance" xsi:type="dcterms:W3CDTF">2025-07-02T19:52:45Z</dcterms:modified>
</cp:coreProperties>
</file>