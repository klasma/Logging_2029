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45973</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45973</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45973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45973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48616-2025</t>
        </is>
      </c>
      <c r="B15" s="1" t="n">
        <v>45936.48783564815</v>
      </c>
      <c r="C15" s="1" t="n">
        <v>45973</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45973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45973</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45973</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45973</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45973</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45973</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45973</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45973</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9408-2024</t>
        </is>
      </c>
      <c r="B24" s="1" t="n">
        <v>45358</v>
      </c>
      <c r="C24" s="1" t="n">
        <v>45973</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45973</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45973</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18860-2025</t>
        </is>
      </c>
      <c r="B27" s="1" t="n">
        <v>45764.42738425926</v>
      </c>
      <c r="C27" s="1" t="n">
        <v>45973</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55519-2021</t>
        </is>
      </c>
      <c r="B28" s="1" t="n">
        <v>44475</v>
      </c>
      <c r="C28" s="1" t="n">
        <v>45973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35865-2025</t>
        </is>
      </c>
      <c r="B29" s="1" t="n">
        <v>45861.7066087963</v>
      </c>
      <c r="C29" s="1" t="n">
        <v>45973</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45973</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55633-2024</t>
        </is>
      </c>
      <c r="B32" s="1" t="n">
        <v>45621</v>
      </c>
      <c r="C32" s="1" t="n">
        <v>45973</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52600-2024</t>
        </is>
      </c>
      <c r="B33" s="1" t="n">
        <v>45609</v>
      </c>
      <c r="C33" s="1" t="n">
        <v>45973</v>
      </c>
      <c r="D33" t="inlineStr">
        <is>
          <t>DALARNAS LÄN</t>
        </is>
      </c>
      <c r="E33" t="inlineStr">
        <is>
          <t>LEKSAND</t>
        </is>
      </c>
      <c r="G33" t="n">
        <v>3.4</v>
      </c>
      <c r="H33" t="n">
        <v>1</v>
      </c>
      <c r="I33" t="n">
        <v>0</v>
      </c>
      <c r="J33" t="n">
        <v>0</v>
      </c>
      <c r="K33" t="n">
        <v>0</v>
      </c>
      <c r="L33" t="n">
        <v>0</v>
      </c>
      <c r="M33" t="n">
        <v>0</v>
      </c>
      <c r="N33" t="n">
        <v>0</v>
      </c>
      <c r="O33" t="n">
        <v>0</v>
      </c>
      <c r="P33" t="n">
        <v>0</v>
      </c>
      <c r="Q33" t="n">
        <v>1</v>
      </c>
      <c r="R33" s="2" t="inlineStr">
        <is>
          <t>Fläcknycklar</t>
        </is>
      </c>
      <c r="S33">
        <f>HYPERLINK("https://klasma.github.io/Logging_2029/artfynd/A 52600-2024 artfynd.xlsx", "A 52600-2024")</f>
        <v/>
      </c>
      <c r="T33">
        <f>HYPERLINK("https://klasma.github.io/Logging_2029/kartor/A 52600-2024 karta.png", "A 52600-2024")</f>
        <v/>
      </c>
      <c r="V33">
        <f>HYPERLINK("https://klasma.github.io/Logging_2029/klagomål/A 52600-2024 FSC-klagomål.docx", "A 52600-2024")</f>
        <v/>
      </c>
      <c r="W33">
        <f>HYPERLINK("https://klasma.github.io/Logging_2029/klagomålsmail/A 52600-2024 FSC-klagomål mail.docx", "A 52600-2024")</f>
        <v/>
      </c>
      <c r="X33">
        <f>HYPERLINK("https://klasma.github.io/Logging_2029/tillsyn/A 52600-2024 tillsynsbegäran.docx", "A 52600-2024")</f>
        <v/>
      </c>
      <c r="Y33">
        <f>HYPERLINK("https://klasma.github.io/Logging_2029/tillsynsmail/A 52600-2024 tillsynsbegäran mail.docx", "A 52600-2024")</f>
        <v/>
      </c>
    </row>
    <row r="34" ht="15" customHeight="1">
      <c r="A34" t="inlineStr">
        <is>
          <t>A 31124-2024</t>
        </is>
      </c>
      <c r="B34" s="1" t="n">
        <v>45502.62886574074</v>
      </c>
      <c r="C34" s="1" t="n">
        <v>45973</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41873-2022</t>
        </is>
      </c>
      <c r="B35" s="1" t="n">
        <v>44829</v>
      </c>
      <c r="C35" s="1" t="n">
        <v>45973</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59205-2023</t>
        </is>
      </c>
      <c r="B36" s="1" t="n">
        <v>45251</v>
      </c>
      <c r="C36" s="1" t="n">
        <v>45973</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47601-2025</t>
        </is>
      </c>
      <c r="B37" s="1" t="n">
        <v>45931.46008101852</v>
      </c>
      <c r="C37" s="1" t="n">
        <v>45973</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45973</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4974-2025</t>
        </is>
      </c>
      <c r="B39" s="1" t="n">
        <v>45690.8478587963</v>
      </c>
      <c r="C39" s="1" t="n">
        <v>45973</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45973</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45973</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45973</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36778-2025</t>
        </is>
      </c>
      <c r="B43" s="1" t="n">
        <v>45873</v>
      </c>
      <c r="C43" s="1" t="n">
        <v>45973</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45375-2025</t>
        </is>
      </c>
      <c r="B44" s="1" t="n">
        <v>45922.39347222223</v>
      </c>
      <c r="C44" s="1" t="n">
        <v>45973</v>
      </c>
      <c r="D44" t="inlineStr">
        <is>
          <t>DALARNAS LÄN</t>
        </is>
      </c>
      <c r="E44" t="inlineStr">
        <is>
          <t>LEKSAND</t>
        </is>
      </c>
      <c r="G44" t="n">
        <v>4.3</v>
      </c>
      <c r="H44" t="n">
        <v>1</v>
      </c>
      <c r="I44" t="n">
        <v>0</v>
      </c>
      <c r="J44" t="n">
        <v>0</v>
      </c>
      <c r="K44" t="n">
        <v>0</v>
      </c>
      <c r="L44" t="n">
        <v>1</v>
      </c>
      <c r="M44" t="n">
        <v>0</v>
      </c>
      <c r="N44" t="n">
        <v>0</v>
      </c>
      <c r="O44" t="n">
        <v>1</v>
      </c>
      <c r="P44" t="n">
        <v>1</v>
      </c>
      <c r="Q44" t="n">
        <v>1</v>
      </c>
      <c r="R44" s="2" t="inlineStr">
        <is>
          <t>Mosippa</t>
        </is>
      </c>
      <c r="S44">
        <f>HYPERLINK("https://klasma.github.io/Logging_2029/artfynd/A 45375-2025 artfynd.xlsx", "A 45375-2025")</f>
        <v/>
      </c>
      <c r="T44">
        <f>HYPERLINK("https://klasma.github.io/Logging_2029/kartor/A 45375-2025 karta.png", "A 45375-2025")</f>
        <v/>
      </c>
      <c r="V44">
        <f>HYPERLINK("https://klasma.github.io/Logging_2029/klagomål/A 45375-2025 FSC-klagomål.docx", "A 45375-2025")</f>
        <v/>
      </c>
      <c r="W44">
        <f>HYPERLINK("https://klasma.github.io/Logging_2029/klagomålsmail/A 45375-2025 FSC-klagomål mail.docx", "A 45375-2025")</f>
        <v/>
      </c>
      <c r="X44">
        <f>HYPERLINK("https://klasma.github.io/Logging_2029/tillsyn/A 45375-2025 tillsynsbegäran.docx", "A 45375-2025")</f>
        <v/>
      </c>
      <c r="Y44">
        <f>HYPERLINK("https://klasma.github.io/Logging_2029/tillsynsmail/A 45375-2025 tillsynsbegäran mail.docx", "A 45375-2025")</f>
        <v/>
      </c>
    </row>
    <row r="45" ht="15" customHeight="1">
      <c r="A45" t="inlineStr">
        <is>
          <t>A 11218-2023</t>
        </is>
      </c>
      <c r="B45" s="1" t="n">
        <v>44992.62401620371</v>
      </c>
      <c r="C45" s="1" t="n">
        <v>45973</v>
      </c>
      <c r="D45" t="inlineStr">
        <is>
          <t>DALARNAS LÄN</t>
        </is>
      </c>
      <c r="E45" t="inlineStr">
        <is>
          <t>LEKSAND</t>
        </is>
      </c>
      <c r="G45" t="n">
        <v>2.6</v>
      </c>
      <c r="H45" t="n">
        <v>1</v>
      </c>
      <c r="I45" t="n">
        <v>0</v>
      </c>
      <c r="J45" t="n">
        <v>0</v>
      </c>
      <c r="K45" t="n">
        <v>1</v>
      </c>
      <c r="L45" t="n">
        <v>0</v>
      </c>
      <c r="M45" t="n">
        <v>0</v>
      </c>
      <c r="N45" t="n">
        <v>0</v>
      </c>
      <c r="O45" t="n">
        <v>1</v>
      </c>
      <c r="P45" t="n">
        <v>1</v>
      </c>
      <c r="Q45" t="n">
        <v>1</v>
      </c>
      <c r="R45" s="2" t="inlineStr">
        <is>
          <t>Knärot</t>
        </is>
      </c>
      <c r="S45">
        <f>HYPERLINK("https://klasma.github.io/Logging_2029/artfynd/A 11218-2023 artfynd.xlsx", "A 11218-2023")</f>
        <v/>
      </c>
      <c r="T45">
        <f>HYPERLINK("https://klasma.github.io/Logging_2029/kartor/A 11218-2023 karta.png", "A 11218-2023")</f>
        <v/>
      </c>
      <c r="U45">
        <f>HYPERLINK("https://klasma.github.io/Logging_2029/knärot/A 11218-2023 karta knärot.png", "A 11218-2023")</f>
        <v/>
      </c>
      <c r="V45">
        <f>HYPERLINK("https://klasma.github.io/Logging_2029/klagomål/A 11218-2023 FSC-klagomål.docx", "A 11218-2023")</f>
        <v/>
      </c>
      <c r="W45">
        <f>HYPERLINK("https://klasma.github.io/Logging_2029/klagomålsmail/A 11218-2023 FSC-klagomål mail.docx", "A 11218-2023")</f>
        <v/>
      </c>
      <c r="X45">
        <f>HYPERLINK("https://klasma.github.io/Logging_2029/tillsyn/A 11218-2023 tillsynsbegäran.docx", "A 11218-2023")</f>
        <v/>
      </c>
      <c r="Y45">
        <f>HYPERLINK("https://klasma.github.io/Logging_2029/tillsynsmail/A 11218-2023 tillsynsbegäran mail.docx", "A 11218-2023")</f>
        <v/>
      </c>
    </row>
    <row r="46" ht="15" customHeight="1">
      <c r="A46" t="inlineStr">
        <is>
          <t>A 16735-2025</t>
        </is>
      </c>
      <c r="B46" s="1" t="n">
        <v>45754.54314814815</v>
      </c>
      <c r="C46" s="1" t="n">
        <v>45973</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23137-2022</t>
        </is>
      </c>
      <c r="B47" s="1" t="n">
        <v>44719</v>
      </c>
      <c r="C47" s="1" t="n">
        <v>45973</v>
      </c>
      <c r="D47" t="inlineStr">
        <is>
          <t>DALARNAS LÄN</t>
        </is>
      </c>
      <c r="E47" t="inlineStr">
        <is>
          <t>LEKSAND</t>
        </is>
      </c>
      <c r="G47" t="n">
        <v>3</v>
      </c>
      <c r="H47" t="n">
        <v>0</v>
      </c>
      <c r="I47" t="n">
        <v>0</v>
      </c>
      <c r="J47" t="n">
        <v>0</v>
      </c>
      <c r="K47" t="n">
        <v>1</v>
      </c>
      <c r="L47" t="n">
        <v>0</v>
      </c>
      <c r="M47" t="n">
        <v>0</v>
      </c>
      <c r="N47" t="n">
        <v>0</v>
      </c>
      <c r="O47" t="n">
        <v>1</v>
      </c>
      <c r="P47" t="n">
        <v>1</v>
      </c>
      <c r="Q47" t="n">
        <v>1</v>
      </c>
      <c r="R47" s="2" t="inlineStr">
        <is>
          <t>Koppartaggsvamp</t>
        </is>
      </c>
      <c r="S47">
        <f>HYPERLINK("https://klasma.github.io/Logging_2029/artfynd/A 23137-2022 artfynd.xlsx", "A 23137-2022")</f>
        <v/>
      </c>
      <c r="T47">
        <f>HYPERLINK("https://klasma.github.io/Logging_2029/kartor/A 23137-2022 karta.png", "A 23137-2022")</f>
        <v/>
      </c>
      <c r="V47">
        <f>HYPERLINK("https://klasma.github.io/Logging_2029/klagomål/A 23137-2022 FSC-klagomål.docx", "A 23137-2022")</f>
        <v/>
      </c>
      <c r="W47">
        <f>HYPERLINK("https://klasma.github.io/Logging_2029/klagomålsmail/A 23137-2022 FSC-klagomål mail.docx", "A 23137-2022")</f>
        <v/>
      </c>
      <c r="X47">
        <f>HYPERLINK("https://klasma.github.io/Logging_2029/tillsyn/A 23137-2022 tillsynsbegäran.docx", "A 23137-2022")</f>
        <v/>
      </c>
      <c r="Y47">
        <f>HYPERLINK("https://klasma.github.io/Logging_2029/tillsynsmail/A 23137-2022 tillsynsbegäran mail.docx", "A 23137-2022")</f>
        <v/>
      </c>
    </row>
    <row r="48" ht="15" customHeight="1">
      <c r="A48" t="inlineStr">
        <is>
          <t>A 31951-2025</t>
        </is>
      </c>
      <c r="B48" s="1" t="n">
        <v>45835.33481481481</v>
      </c>
      <c r="C48" s="1" t="n">
        <v>45973</v>
      </c>
      <c r="D48" t="inlineStr">
        <is>
          <t>DALARNAS LÄN</t>
        </is>
      </c>
      <c r="E48" t="inlineStr">
        <is>
          <t>LEKSAND</t>
        </is>
      </c>
      <c r="G48" t="n">
        <v>6.6</v>
      </c>
      <c r="H48" t="n">
        <v>1</v>
      </c>
      <c r="I48" t="n">
        <v>0</v>
      </c>
      <c r="J48" t="n">
        <v>0</v>
      </c>
      <c r="K48" t="n">
        <v>0</v>
      </c>
      <c r="L48" t="n">
        <v>0</v>
      </c>
      <c r="M48" t="n">
        <v>0</v>
      </c>
      <c r="N48" t="n">
        <v>0</v>
      </c>
      <c r="O48" t="n">
        <v>0</v>
      </c>
      <c r="P48" t="n">
        <v>0</v>
      </c>
      <c r="Q48" t="n">
        <v>1</v>
      </c>
      <c r="R48" s="2" t="inlineStr">
        <is>
          <t>Tjäder</t>
        </is>
      </c>
      <c r="S48">
        <f>HYPERLINK("https://klasma.github.io/Logging_2029/artfynd/A 31951-2025 artfynd.xlsx", "A 31951-2025")</f>
        <v/>
      </c>
      <c r="T48">
        <f>HYPERLINK("https://klasma.github.io/Logging_2029/kartor/A 31951-2025 karta.png", "A 31951-2025")</f>
        <v/>
      </c>
      <c r="V48">
        <f>HYPERLINK("https://klasma.github.io/Logging_2029/klagomål/A 31951-2025 FSC-klagomål.docx", "A 31951-2025")</f>
        <v/>
      </c>
      <c r="W48">
        <f>HYPERLINK("https://klasma.github.io/Logging_2029/klagomålsmail/A 31951-2025 FSC-klagomål mail.docx", "A 31951-2025")</f>
        <v/>
      </c>
      <c r="X48">
        <f>HYPERLINK("https://klasma.github.io/Logging_2029/tillsyn/A 31951-2025 tillsynsbegäran.docx", "A 31951-2025")</f>
        <v/>
      </c>
      <c r="Y48">
        <f>HYPERLINK("https://klasma.github.io/Logging_2029/tillsynsmail/A 31951-2025 tillsynsbegäran mail.docx", "A 31951-2025")</f>
        <v/>
      </c>
      <c r="Z48">
        <f>HYPERLINK("https://klasma.github.io/Logging_2029/fåglar/A 31951-2025 prioriterade fågelarter.docx", "A 31951-2025")</f>
        <v/>
      </c>
    </row>
    <row r="49" ht="15" customHeight="1">
      <c r="A49" t="inlineStr">
        <is>
          <t>A 34993-2025</t>
        </is>
      </c>
      <c r="B49" s="1" t="n">
        <v>45849.82383101852</v>
      </c>
      <c r="C49" s="1" t="n">
        <v>45973</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45973</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45973</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45973</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45973</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45973</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45973</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45973</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45973</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45973</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45973</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45973</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45973</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45973</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45973</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45973</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45973</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45973</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45973</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45973</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45973</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45973</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45973</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45973</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45973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45973</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45973</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45973</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45973</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45973</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45973</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45973</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45973</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19677-2021</t>
        </is>
      </c>
      <c r="B84" s="1" t="n">
        <v>44312</v>
      </c>
      <c r="C84" s="1" t="n">
        <v>45973</v>
      </c>
      <c r="D84" t="inlineStr">
        <is>
          <t>DALARNAS LÄN</t>
        </is>
      </c>
      <c r="E84" t="inlineStr">
        <is>
          <t>LEKSAND</t>
        </is>
      </c>
      <c r="F84" t="inlineStr">
        <is>
          <t>Bergvik skog väst AB</t>
        </is>
      </c>
      <c r="G84" t="n">
        <v>3.1</v>
      </c>
      <c r="H84" t="n">
        <v>0</v>
      </c>
      <c r="I84" t="n">
        <v>0</v>
      </c>
      <c r="J84" t="n">
        <v>0</v>
      </c>
      <c r="K84" t="n">
        <v>0</v>
      </c>
      <c r="L84" t="n">
        <v>0</v>
      </c>
      <c r="M84" t="n">
        <v>0</v>
      </c>
      <c r="N84" t="n">
        <v>0</v>
      </c>
      <c r="O84" t="n">
        <v>0</v>
      </c>
      <c r="P84" t="n">
        <v>0</v>
      </c>
      <c r="Q84" t="n">
        <v>0</v>
      </c>
      <c r="R84" s="2" t="inlineStr"/>
    </row>
    <row r="85" ht="15" customHeight="1">
      <c r="A85" t="inlineStr">
        <is>
          <t>A 26289-2022</t>
        </is>
      </c>
      <c r="B85" s="1" t="n">
        <v>44735</v>
      </c>
      <c r="C85" s="1" t="n">
        <v>45973</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36956-2021</t>
        </is>
      </c>
      <c r="B86" s="1" t="n">
        <v>44393.55643518519</v>
      </c>
      <c r="C86" s="1" t="n">
        <v>45973</v>
      </c>
      <c r="D86" t="inlineStr">
        <is>
          <t>DALARNAS LÄN</t>
        </is>
      </c>
      <c r="E86" t="inlineStr">
        <is>
          <t>LEKSAND</t>
        </is>
      </c>
      <c r="G86" t="n">
        <v>4.1</v>
      </c>
      <c r="H86" t="n">
        <v>0</v>
      </c>
      <c r="I86" t="n">
        <v>0</v>
      </c>
      <c r="J86" t="n">
        <v>0</v>
      </c>
      <c r="K86" t="n">
        <v>0</v>
      </c>
      <c r="L86" t="n">
        <v>0</v>
      </c>
      <c r="M86" t="n">
        <v>0</v>
      </c>
      <c r="N86" t="n">
        <v>0</v>
      </c>
      <c r="O86" t="n">
        <v>0</v>
      </c>
      <c r="P86" t="n">
        <v>0</v>
      </c>
      <c r="Q86" t="n">
        <v>0</v>
      </c>
      <c r="R86" s="2" t="inlineStr"/>
    </row>
    <row r="87" ht="15" customHeight="1">
      <c r="A87" t="inlineStr">
        <is>
          <t>A 38619-2021</t>
        </is>
      </c>
      <c r="B87" s="1" t="n">
        <v>44409</v>
      </c>
      <c r="C87" s="1" t="n">
        <v>45973</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8501-2022</t>
        </is>
      </c>
      <c r="B88" s="1" t="n">
        <v>44613.40672453704</v>
      </c>
      <c r="C88" s="1" t="n">
        <v>45973</v>
      </c>
      <c r="D88" t="inlineStr">
        <is>
          <t>DALARNAS LÄN</t>
        </is>
      </c>
      <c r="E88" t="inlineStr">
        <is>
          <t>LEKSAND</t>
        </is>
      </c>
      <c r="G88" t="n">
        <v>3</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45973</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46672-2022</t>
        </is>
      </c>
      <c r="B90" s="1" t="n">
        <v>44851</v>
      </c>
      <c r="C90" s="1" t="n">
        <v>45973</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21968-2021</t>
        </is>
      </c>
      <c r="B91" s="1" t="n">
        <v>44323</v>
      </c>
      <c r="C91" s="1" t="n">
        <v>45973</v>
      </c>
      <c r="D91" t="inlineStr">
        <is>
          <t>DALARNAS LÄN</t>
        </is>
      </c>
      <c r="E91" t="inlineStr">
        <is>
          <t>LEKSAND</t>
        </is>
      </c>
      <c r="G91" t="n">
        <v>1.4</v>
      </c>
      <c r="H91" t="n">
        <v>0</v>
      </c>
      <c r="I91" t="n">
        <v>0</v>
      </c>
      <c r="J91" t="n">
        <v>0</v>
      </c>
      <c r="K91" t="n">
        <v>0</v>
      </c>
      <c r="L91" t="n">
        <v>0</v>
      </c>
      <c r="M91" t="n">
        <v>0</v>
      </c>
      <c r="N91" t="n">
        <v>0</v>
      </c>
      <c r="O91" t="n">
        <v>0</v>
      </c>
      <c r="P91" t="n">
        <v>0</v>
      </c>
      <c r="Q91" t="n">
        <v>0</v>
      </c>
      <c r="R91" s="2" t="inlineStr"/>
    </row>
    <row r="92" ht="15" customHeight="1">
      <c r="A92" t="inlineStr">
        <is>
          <t>A 31871-2022</t>
        </is>
      </c>
      <c r="B92" s="1" t="n">
        <v>44777.37854166667</v>
      </c>
      <c r="C92" s="1" t="n">
        <v>45973</v>
      </c>
      <c r="D92" t="inlineStr">
        <is>
          <t>DALARNAS LÄN</t>
        </is>
      </c>
      <c r="E92" t="inlineStr">
        <is>
          <t>LEKSAND</t>
        </is>
      </c>
      <c r="G92" t="n">
        <v>4.1</v>
      </c>
      <c r="H92" t="n">
        <v>0</v>
      </c>
      <c r="I92" t="n">
        <v>0</v>
      </c>
      <c r="J92" t="n">
        <v>0</v>
      </c>
      <c r="K92" t="n">
        <v>0</v>
      </c>
      <c r="L92" t="n">
        <v>0</v>
      </c>
      <c r="M92" t="n">
        <v>0</v>
      </c>
      <c r="N92" t="n">
        <v>0</v>
      </c>
      <c r="O92" t="n">
        <v>0</v>
      </c>
      <c r="P92" t="n">
        <v>0</v>
      </c>
      <c r="Q92" t="n">
        <v>0</v>
      </c>
      <c r="R92" s="2" t="inlineStr"/>
    </row>
    <row r="93" ht="15" customHeight="1">
      <c r="A93" t="inlineStr">
        <is>
          <t>A 14140-2022</t>
        </is>
      </c>
      <c r="B93" s="1" t="n">
        <v>44651</v>
      </c>
      <c r="C93" s="1" t="n">
        <v>45973</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68573-2021</t>
        </is>
      </c>
      <c r="B94" s="1" t="n">
        <v>44529</v>
      </c>
      <c r="C94" s="1" t="n">
        <v>45973</v>
      </c>
      <c r="D94" t="inlineStr">
        <is>
          <t>DALARNAS LÄN</t>
        </is>
      </c>
      <c r="E94" t="inlineStr">
        <is>
          <t>LEKSAND</t>
        </is>
      </c>
      <c r="G94" t="n">
        <v>1.6</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45973</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45973</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45155-2021</t>
        </is>
      </c>
      <c r="B97" s="1" t="n">
        <v>44439</v>
      </c>
      <c r="C97" s="1" t="n">
        <v>45973</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40584-2021</t>
        </is>
      </c>
      <c r="B98" s="1" t="n">
        <v>44420</v>
      </c>
      <c r="C98" s="1" t="n">
        <v>45973</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21965-2021</t>
        </is>
      </c>
      <c r="B99" s="1" t="n">
        <v>44323</v>
      </c>
      <c r="C99" s="1" t="n">
        <v>45973</v>
      </c>
      <c r="D99" t="inlineStr">
        <is>
          <t>DALARNAS LÄN</t>
        </is>
      </c>
      <c r="E99" t="inlineStr">
        <is>
          <t>LEKSAND</t>
        </is>
      </c>
      <c r="G99" t="n">
        <v>0.5</v>
      </c>
      <c r="H99" t="n">
        <v>0</v>
      </c>
      <c r="I99" t="n">
        <v>0</v>
      </c>
      <c r="J99" t="n">
        <v>0</v>
      </c>
      <c r="K99" t="n">
        <v>0</v>
      </c>
      <c r="L99" t="n">
        <v>0</v>
      </c>
      <c r="M99" t="n">
        <v>0</v>
      </c>
      <c r="N99" t="n">
        <v>0</v>
      </c>
      <c r="O99" t="n">
        <v>0</v>
      </c>
      <c r="P99" t="n">
        <v>0</v>
      </c>
      <c r="Q99" t="n">
        <v>0</v>
      </c>
      <c r="R99" s="2" t="inlineStr"/>
    </row>
    <row r="100" ht="15" customHeight="1">
      <c r="A100" t="inlineStr">
        <is>
          <t>A 21969-2021</t>
        </is>
      </c>
      <c r="B100" s="1" t="n">
        <v>44323</v>
      </c>
      <c r="C100" s="1" t="n">
        <v>45973</v>
      </c>
      <c r="D100" t="inlineStr">
        <is>
          <t>DALARNAS LÄN</t>
        </is>
      </c>
      <c r="E100" t="inlineStr">
        <is>
          <t>LEKSAND</t>
        </is>
      </c>
      <c r="G100" t="n">
        <v>3.8</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45973</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49581-2022</t>
        </is>
      </c>
      <c r="B102" s="1" t="n">
        <v>44862.36287037037</v>
      </c>
      <c r="C102" s="1" t="n">
        <v>45973</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56153-2021</t>
        </is>
      </c>
      <c r="B103" s="1" t="n">
        <v>44477</v>
      </c>
      <c r="C103" s="1" t="n">
        <v>45973</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70296-2021</t>
        </is>
      </c>
      <c r="B104" s="1" t="n">
        <v>44536.40434027778</v>
      </c>
      <c r="C104" s="1" t="n">
        <v>45973</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35080-2022</t>
        </is>
      </c>
      <c r="B105" s="1" t="n">
        <v>44797</v>
      </c>
      <c r="C105" s="1" t="n">
        <v>45973</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70098-2021</t>
        </is>
      </c>
      <c r="B106" s="1" t="n">
        <v>44533</v>
      </c>
      <c r="C106" s="1" t="n">
        <v>45973</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50219-2022</t>
        </is>
      </c>
      <c r="B107" s="1" t="n">
        <v>44865.64244212963</v>
      </c>
      <c r="C107" s="1" t="n">
        <v>45973</v>
      </c>
      <c r="D107" t="inlineStr">
        <is>
          <t>DALARNAS LÄN</t>
        </is>
      </c>
      <c r="E107" t="inlineStr">
        <is>
          <t>LEKSAND</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23283-2024</t>
        </is>
      </c>
      <c r="B108" s="1" t="n">
        <v>45453</v>
      </c>
      <c r="C108" s="1" t="n">
        <v>45973</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43410-2021</t>
        </is>
      </c>
      <c r="B109" s="1" t="n">
        <v>44432.60814814815</v>
      </c>
      <c r="C109" s="1" t="n">
        <v>45973</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40165-2022</t>
        </is>
      </c>
      <c r="B110" s="1" t="n">
        <v>44820.56857638889</v>
      </c>
      <c r="C110" s="1" t="n">
        <v>45973</v>
      </c>
      <c r="D110" t="inlineStr">
        <is>
          <t>DALARNAS LÄN</t>
        </is>
      </c>
      <c r="E110" t="inlineStr">
        <is>
          <t>LEKSAND</t>
        </is>
      </c>
      <c r="G110" t="n">
        <v>1.9</v>
      </c>
      <c r="H110" t="n">
        <v>0</v>
      </c>
      <c r="I110" t="n">
        <v>0</v>
      </c>
      <c r="J110" t="n">
        <v>0</v>
      </c>
      <c r="K110" t="n">
        <v>0</v>
      </c>
      <c r="L110" t="n">
        <v>0</v>
      </c>
      <c r="M110" t="n">
        <v>0</v>
      </c>
      <c r="N110" t="n">
        <v>0</v>
      </c>
      <c r="O110" t="n">
        <v>0</v>
      </c>
      <c r="P110" t="n">
        <v>0</v>
      </c>
      <c r="Q110" t="n">
        <v>0</v>
      </c>
      <c r="R110" s="2" t="inlineStr"/>
    </row>
    <row r="111" ht="15" customHeight="1">
      <c r="A111" t="inlineStr">
        <is>
          <t>A 47121-2021</t>
        </is>
      </c>
      <c r="B111" s="1" t="n">
        <v>44446</v>
      </c>
      <c r="C111" s="1" t="n">
        <v>45973</v>
      </c>
      <c r="D111" t="inlineStr">
        <is>
          <t>DALARNAS LÄN</t>
        </is>
      </c>
      <c r="E111" t="inlineStr">
        <is>
          <t>LEKSAND</t>
        </is>
      </c>
      <c r="G111" t="n">
        <v>3.5</v>
      </c>
      <c r="H111" t="n">
        <v>0</v>
      </c>
      <c r="I111" t="n">
        <v>0</v>
      </c>
      <c r="J111" t="n">
        <v>0</v>
      </c>
      <c r="K111" t="n">
        <v>0</v>
      </c>
      <c r="L111" t="n">
        <v>0</v>
      </c>
      <c r="M111" t="n">
        <v>0</v>
      </c>
      <c r="N111" t="n">
        <v>0</v>
      </c>
      <c r="O111" t="n">
        <v>0</v>
      </c>
      <c r="P111" t="n">
        <v>0</v>
      </c>
      <c r="Q111" t="n">
        <v>0</v>
      </c>
      <c r="R111" s="2" t="inlineStr"/>
    </row>
    <row r="112" ht="15" customHeight="1">
      <c r="A112" t="inlineStr">
        <is>
          <t>A 32688-2024</t>
        </is>
      </c>
      <c r="B112" s="1" t="n">
        <v>45515.83091435185</v>
      </c>
      <c r="C112" s="1" t="n">
        <v>45973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72155-2021</t>
        </is>
      </c>
      <c r="B113" s="1" t="n">
        <v>44543</v>
      </c>
      <c r="C113" s="1" t="n">
        <v>45973</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4121-2024</t>
        </is>
      </c>
      <c r="B114" s="1" t="n">
        <v>45323</v>
      </c>
      <c r="C114" s="1" t="n">
        <v>45973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43275-2022</t>
        </is>
      </c>
      <c r="B115" s="1" t="n">
        <v>44824</v>
      </c>
      <c r="C115" s="1" t="n">
        <v>45973</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43304-2022</t>
        </is>
      </c>
      <c r="B116" s="1" t="n">
        <v>44834</v>
      </c>
      <c r="C116" s="1" t="n">
        <v>45973</v>
      </c>
      <c r="D116" t="inlineStr">
        <is>
          <t>DALARNAS LÄN</t>
        </is>
      </c>
      <c r="E116" t="inlineStr">
        <is>
          <t>LEKSAND</t>
        </is>
      </c>
      <c r="G116" t="n">
        <v>0.9</v>
      </c>
      <c r="H116" t="n">
        <v>0</v>
      </c>
      <c r="I116" t="n">
        <v>0</v>
      </c>
      <c r="J116" t="n">
        <v>0</v>
      </c>
      <c r="K116" t="n">
        <v>0</v>
      </c>
      <c r="L116" t="n">
        <v>0</v>
      </c>
      <c r="M116" t="n">
        <v>0</v>
      </c>
      <c r="N116" t="n">
        <v>0</v>
      </c>
      <c r="O116" t="n">
        <v>0</v>
      </c>
      <c r="P116" t="n">
        <v>0</v>
      </c>
      <c r="Q116" t="n">
        <v>0</v>
      </c>
      <c r="R116" s="2" t="inlineStr"/>
    </row>
    <row r="117" ht="15" customHeight="1">
      <c r="A117" t="inlineStr">
        <is>
          <t>A 72575-2021</t>
        </is>
      </c>
      <c r="B117" s="1" t="n">
        <v>44546</v>
      </c>
      <c r="C117" s="1" t="n">
        <v>45973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72581-2021</t>
        </is>
      </c>
      <c r="B118" s="1" t="n">
        <v>44546.46354166666</v>
      </c>
      <c r="C118" s="1" t="n">
        <v>45973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19480-2022</t>
        </is>
      </c>
      <c r="B119" s="1" t="n">
        <v>44693</v>
      </c>
      <c r="C119" s="1" t="n">
        <v>45973</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45973</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67307-2020</t>
        </is>
      </c>
      <c r="B121" s="1" t="n">
        <v>44181</v>
      </c>
      <c r="C121" s="1" t="n">
        <v>45973</v>
      </c>
      <c r="D121" t="inlineStr">
        <is>
          <t>DALARNAS LÄN</t>
        </is>
      </c>
      <c r="E121" t="inlineStr">
        <is>
          <t>LEKSAND</t>
        </is>
      </c>
      <c r="G121" t="n">
        <v>5.9</v>
      </c>
      <c r="H121" t="n">
        <v>0</v>
      </c>
      <c r="I121" t="n">
        <v>0</v>
      </c>
      <c r="J121" t="n">
        <v>0</v>
      </c>
      <c r="K121" t="n">
        <v>0</v>
      </c>
      <c r="L121" t="n">
        <v>0</v>
      </c>
      <c r="M121" t="n">
        <v>0</v>
      </c>
      <c r="N121" t="n">
        <v>0</v>
      </c>
      <c r="O121" t="n">
        <v>0</v>
      </c>
      <c r="P121" t="n">
        <v>0</v>
      </c>
      <c r="Q121" t="n">
        <v>0</v>
      </c>
      <c r="R121" s="2" t="inlineStr"/>
    </row>
    <row r="122" ht="15" customHeight="1">
      <c r="A122" t="inlineStr">
        <is>
          <t>A 61614-2023</t>
        </is>
      </c>
      <c r="B122" s="1" t="n">
        <v>45261</v>
      </c>
      <c r="C122" s="1" t="n">
        <v>45973</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26062-2024</t>
        </is>
      </c>
      <c r="B123" s="1" t="n">
        <v>45468.3509375</v>
      </c>
      <c r="C123" s="1" t="n">
        <v>45973</v>
      </c>
      <c r="D123" t="inlineStr">
        <is>
          <t>DALARNAS LÄN</t>
        </is>
      </c>
      <c r="E123" t="inlineStr">
        <is>
          <t>LEKSAND</t>
        </is>
      </c>
      <c r="F123" t="inlineStr">
        <is>
          <t>Övriga statliga verk och myndigheter</t>
        </is>
      </c>
      <c r="G123" t="n">
        <v>6.4</v>
      </c>
      <c r="H123" t="n">
        <v>0</v>
      </c>
      <c r="I123" t="n">
        <v>0</v>
      </c>
      <c r="J123" t="n">
        <v>0</v>
      </c>
      <c r="K123" t="n">
        <v>0</v>
      </c>
      <c r="L123" t="n">
        <v>0</v>
      </c>
      <c r="M123" t="n">
        <v>0</v>
      </c>
      <c r="N123" t="n">
        <v>0</v>
      </c>
      <c r="O123" t="n">
        <v>0</v>
      </c>
      <c r="P123" t="n">
        <v>0</v>
      </c>
      <c r="Q123" t="n">
        <v>0</v>
      </c>
      <c r="R123" s="2" t="inlineStr"/>
    </row>
    <row r="124" ht="15" customHeight="1">
      <c r="A124" t="inlineStr">
        <is>
          <t>A 3352-2024</t>
        </is>
      </c>
      <c r="B124" s="1" t="n">
        <v>45317</v>
      </c>
      <c r="C124" s="1" t="n">
        <v>45973</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45040-2021</t>
        </is>
      </c>
      <c r="B125" s="1" t="n">
        <v>44438</v>
      </c>
      <c r="C125" s="1" t="n">
        <v>45973</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34585-2024</t>
        </is>
      </c>
      <c r="B126" s="1" t="n">
        <v>45526.37697916666</v>
      </c>
      <c r="C126" s="1" t="n">
        <v>45973</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31391-2024</t>
        </is>
      </c>
      <c r="B127" s="1" t="n">
        <v>45505.46616898148</v>
      </c>
      <c r="C127" s="1" t="n">
        <v>45973</v>
      </c>
      <c r="D127" t="inlineStr">
        <is>
          <t>DALARNAS LÄN</t>
        </is>
      </c>
      <c r="E127" t="inlineStr">
        <is>
          <t>LEKSAND</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63514-2023</t>
        </is>
      </c>
      <c r="B128" s="1" t="n">
        <v>45274</v>
      </c>
      <c r="C128" s="1" t="n">
        <v>45973</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30449-2022</t>
        </is>
      </c>
      <c r="B129" s="1" t="n">
        <v>44761.59276620371</v>
      </c>
      <c r="C129" s="1" t="n">
        <v>45973</v>
      </c>
      <c r="D129" t="inlineStr">
        <is>
          <t>DALARNAS LÄN</t>
        </is>
      </c>
      <c r="E129" t="inlineStr">
        <is>
          <t>LEKSAND</t>
        </is>
      </c>
      <c r="G129" t="n">
        <v>5.7</v>
      </c>
      <c r="H129" t="n">
        <v>0</v>
      </c>
      <c r="I129" t="n">
        <v>0</v>
      </c>
      <c r="J129" t="n">
        <v>0</v>
      </c>
      <c r="K129" t="n">
        <v>0</v>
      </c>
      <c r="L129" t="n">
        <v>0</v>
      </c>
      <c r="M129" t="n">
        <v>0</v>
      </c>
      <c r="N129" t="n">
        <v>0</v>
      </c>
      <c r="O129" t="n">
        <v>0</v>
      </c>
      <c r="P129" t="n">
        <v>0</v>
      </c>
      <c r="Q129" t="n">
        <v>0</v>
      </c>
      <c r="R129" s="2" t="inlineStr"/>
    </row>
    <row r="130" ht="15" customHeight="1">
      <c r="A130" t="inlineStr">
        <is>
          <t>A 11004-2023</t>
        </is>
      </c>
      <c r="B130" s="1" t="n">
        <v>44986</v>
      </c>
      <c r="C130" s="1" t="n">
        <v>45973</v>
      </c>
      <c r="D130" t="inlineStr">
        <is>
          <t>DALARNAS LÄN</t>
        </is>
      </c>
      <c r="E130" t="inlineStr">
        <is>
          <t>LEKSAND</t>
        </is>
      </c>
      <c r="G130" t="n">
        <v>1.3</v>
      </c>
      <c r="H130" t="n">
        <v>0</v>
      </c>
      <c r="I130" t="n">
        <v>0</v>
      </c>
      <c r="J130" t="n">
        <v>0</v>
      </c>
      <c r="K130" t="n">
        <v>0</v>
      </c>
      <c r="L130" t="n">
        <v>0</v>
      </c>
      <c r="M130" t="n">
        <v>0</v>
      </c>
      <c r="N130" t="n">
        <v>0</v>
      </c>
      <c r="O130" t="n">
        <v>0</v>
      </c>
      <c r="P130" t="n">
        <v>0</v>
      </c>
      <c r="Q130" t="n">
        <v>0</v>
      </c>
      <c r="R130" s="2" t="inlineStr"/>
    </row>
    <row r="131" ht="15" customHeight="1">
      <c r="A131" t="inlineStr">
        <is>
          <t>A 19559-2023</t>
        </is>
      </c>
      <c r="B131" s="1" t="n">
        <v>45050</v>
      </c>
      <c r="C131" s="1" t="n">
        <v>45973</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8046-2024</t>
        </is>
      </c>
      <c r="B132" s="1" t="n">
        <v>45351.31555555556</v>
      </c>
      <c r="C132" s="1" t="n">
        <v>45973</v>
      </c>
      <c r="D132" t="inlineStr">
        <is>
          <t>DALARNAS LÄN</t>
        </is>
      </c>
      <c r="E132" t="inlineStr">
        <is>
          <t>LEKSAND</t>
        </is>
      </c>
      <c r="G132" t="n">
        <v>2.9</v>
      </c>
      <c r="H132" t="n">
        <v>0</v>
      </c>
      <c r="I132" t="n">
        <v>0</v>
      </c>
      <c r="J132" t="n">
        <v>0</v>
      </c>
      <c r="K132" t="n">
        <v>0</v>
      </c>
      <c r="L132" t="n">
        <v>0</v>
      </c>
      <c r="M132" t="n">
        <v>0</v>
      </c>
      <c r="N132" t="n">
        <v>0</v>
      </c>
      <c r="O132" t="n">
        <v>0</v>
      </c>
      <c r="P132" t="n">
        <v>0</v>
      </c>
      <c r="Q132" t="n">
        <v>0</v>
      </c>
      <c r="R132" s="2" t="inlineStr"/>
    </row>
    <row r="133" ht="15" customHeight="1">
      <c r="A133" t="inlineStr">
        <is>
          <t>A 27244-2023</t>
        </is>
      </c>
      <c r="B133" s="1" t="n">
        <v>45096</v>
      </c>
      <c r="C133" s="1" t="n">
        <v>45973</v>
      </c>
      <c r="D133" t="inlineStr">
        <is>
          <t>DALARNAS LÄN</t>
        </is>
      </c>
      <c r="E133" t="inlineStr">
        <is>
          <t>LEKSAND</t>
        </is>
      </c>
      <c r="G133" t="n">
        <v>5</v>
      </c>
      <c r="H133" t="n">
        <v>0</v>
      </c>
      <c r="I133" t="n">
        <v>0</v>
      </c>
      <c r="J133" t="n">
        <v>0</v>
      </c>
      <c r="K133" t="n">
        <v>0</v>
      </c>
      <c r="L133" t="n">
        <v>0</v>
      </c>
      <c r="M133" t="n">
        <v>0</v>
      </c>
      <c r="N133" t="n">
        <v>0</v>
      </c>
      <c r="O133" t="n">
        <v>0</v>
      </c>
      <c r="P133" t="n">
        <v>0</v>
      </c>
      <c r="Q133" t="n">
        <v>0</v>
      </c>
      <c r="R133" s="2" t="inlineStr"/>
    </row>
    <row r="134" ht="15" customHeight="1">
      <c r="A134" t="inlineStr">
        <is>
          <t>A 17078-2023</t>
        </is>
      </c>
      <c r="B134" s="1" t="n">
        <v>45034</v>
      </c>
      <c r="C134" s="1" t="n">
        <v>45973</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7928-2023</t>
        </is>
      </c>
      <c r="B135" s="1" t="n">
        <v>44973</v>
      </c>
      <c r="C135" s="1" t="n">
        <v>45973</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14797-2025</t>
        </is>
      </c>
      <c r="B136" s="1" t="n">
        <v>45742.90363425926</v>
      </c>
      <c r="C136" s="1" t="n">
        <v>45973</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30860-2024</t>
        </is>
      </c>
      <c r="B137" s="1" t="n">
        <v>45497.69108796296</v>
      </c>
      <c r="C137" s="1" t="n">
        <v>45973</v>
      </c>
      <c r="D137" t="inlineStr">
        <is>
          <t>DALARNAS LÄN</t>
        </is>
      </c>
      <c r="E137" t="inlineStr">
        <is>
          <t>LEKSAND</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30864-2024</t>
        </is>
      </c>
      <c r="B138" s="1" t="n">
        <v>45497.71550925926</v>
      </c>
      <c r="C138" s="1" t="n">
        <v>45973</v>
      </c>
      <c r="D138" t="inlineStr">
        <is>
          <t>DALARNAS LÄN</t>
        </is>
      </c>
      <c r="E138" t="inlineStr">
        <is>
          <t>LEKSAND</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18107-2025</t>
        </is>
      </c>
      <c r="B139" s="1" t="n">
        <v>45761.55939814815</v>
      </c>
      <c r="C139" s="1" t="n">
        <v>45973</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28128-2022</t>
        </is>
      </c>
      <c r="B140" s="1" t="n">
        <v>44746.50628472222</v>
      </c>
      <c r="C140" s="1" t="n">
        <v>45973</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38001-2023</t>
        </is>
      </c>
      <c r="B141" s="1" t="n">
        <v>45160</v>
      </c>
      <c r="C141" s="1" t="n">
        <v>45973</v>
      </c>
      <c r="D141" t="inlineStr">
        <is>
          <t>DALARNAS LÄN</t>
        </is>
      </c>
      <c r="E141" t="inlineStr">
        <is>
          <t>LEKSAND</t>
        </is>
      </c>
      <c r="G141" t="n">
        <v>3.6</v>
      </c>
      <c r="H141" t="n">
        <v>0</v>
      </c>
      <c r="I141" t="n">
        <v>0</v>
      </c>
      <c r="J141" t="n">
        <v>0</v>
      </c>
      <c r="K141" t="n">
        <v>0</v>
      </c>
      <c r="L141" t="n">
        <v>0</v>
      </c>
      <c r="M141" t="n">
        <v>0</v>
      </c>
      <c r="N141" t="n">
        <v>0</v>
      </c>
      <c r="O141" t="n">
        <v>0</v>
      </c>
      <c r="P141" t="n">
        <v>0</v>
      </c>
      <c r="Q141" t="n">
        <v>0</v>
      </c>
      <c r="R141" s="2" t="inlineStr"/>
    </row>
    <row r="142" ht="15" customHeight="1">
      <c r="A142" t="inlineStr">
        <is>
          <t>A 5582-2024</t>
        </is>
      </c>
      <c r="B142" s="1" t="n">
        <v>45334</v>
      </c>
      <c r="C142" s="1" t="n">
        <v>45973</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5584-2024</t>
        </is>
      </c>
      <c r="B143" s="1" t="n">
        <v>45334</v>
      </c>
      <c r="C143" s="1" t="n">
        <v>45973</v>
      </c>
      <c r="D143" t="inlineStr">
        <is>
          <t>DALARNAS LÄN</t>
        </is>
      </c>
      <c r="E143" t="inlineStr">
        <is>
          <t>LEKSAND</t>
        </is>
      </c>
      <c r="F143" t="inlineStr">
        <is>
          <t>Kyrkan</t>
        </is>
      </c>
      <c r="G143" t="n">
        <v>0.4</v>
      </c>
      <c r="H143" t="n">
        <v>0</v>
      </c>
      <c r="I143" t="n">
        <v>0</v>
      </c>
      <c r="J143" t="n">
        <v>0</v>
      </c>
      <c r="K143" t="n">
        <v>0</v>
      </c>
      <c r="L143" t="n">
        <v>0</v>
      </c>
      <c r="M143" t="n">
        <v>0</v>
      </c>
      <c r="N143" t="n">
        <v>0</v>
      </c>
      <c r="O143" t="n">
        <v>0</v>
      </c>
      <c r="P143" t="n">
        <v>0</v>
      </c>
      <c r="Q143" t="n">
        <v>0</v>
      </c>
      <c r="R143" s="2" t="inlineStr"/>
    </row>
    <row r="144" ht="15" customHeight="1">
      <c r="A144" t="inlineStr">
        <is>
          <t>A 14865-2025</t>
        </is>
      </c>
      <c r="B144" s="1" t="n">
        <v>45743.43929398148</v>
      </c>
      <c r="C144" s="1" t="n">
        <v>45973</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16051-2023</t>
        </is>
      </c>
      <c r="B145" s="1" t="n">
        <v>45027</v>
      </c>
      <c r="C145" s="1" t="n">
        <v>45973</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16854-2025</t>
        </is>
      </c>
      <c r="B146" s="1" t="n">
        <v>45754.72883101852</v>
      </c>
      <c r="C146" s="1" t="n">
        <v>45973</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56059-2024</t>
        </is>
      </c>
      <c r="B147" s="1" t="n">
        <v>45624.36729166667</v>
      </c>
      <c r="C147" s="1" t="n">
        <v>45973</v>
      </c>
      <c r="D147" t="inlineStr">
        <is>
          <t>DALARNAS LÄN</t>
        </is>
      </c>
      <c r="E147" t="inlineStr">
        <is>
          <t>LEKSAND</t>
        </is>
      </c>
      <c r="G147" t="n">
        <v>3.1</v>
      </c>
      <c r="H147" t="n">
        <v>0</v>
      </c>
      <c r="I147" t="n">
        <v>0</v>
      </c>
      <c r="J147" t="n">
        <v>0</v>
      </c>
      <c r="K147" t="n">
        <v>0</v>
      </c>
      <c r="L147" t="n">
        <v>0</v>
      </c>
      <c r="M147" t="n">
        <v>0</v>
      </c>
      <c r="N147" t="n">
        <v>0</v>
      </c>
      <c r="O147" t="n">
        <v>0</v>
      </c>
      <c r="P147" t="n">
        <v>0</v>
      </c>
      <c r="Q147" t="n">
        <v>0</v>
      </c>
      <c r="R147" s="2" t="inlineStr"/>
    </row>
    <row r="148" ht="15" customHeight="1">
      <c r="A148" t="inlineStr">
        <is>
          <t>A 5583-2024</t>
        </is>
      </c>
      <c r="B148" s="1" t="n">
        <v>45334</v>
      </c>
      <c r="C148" s="1" t="n">
        <v>45973</v>
      </c>
      <c r="D148" t="inlineStr">
        <is>
          <t>DALARNAS LÄN</t>
        </is>
      </c>
      <c r="E148" t="inlineStr">
        <is>
          <t>LEKSAND</t>
        </is>
      </c>
      <c r="F148" t="inlineStr">
        <is>
          <t>Kyrkan</t>
        </is>
      </c>
      <c r="G148" t="n">
        <v>0.4</v>
      </c>
      <c r="H148" t="n">
        <v>0</v>
      </c>
      <c r="I148" t="n">
        <v>0</v>
      </c>
      <c r="J148" t="n">
        <v>0</v>
      </c>
      <c r="K148" t="n">
        <v>0</v>
      </c>
      <c r="L148" t="n">
        <v>0</v>
      </c>
      <c r="M148" t="n">
        <v>0</v>
      </c>
      <c r="N148" t="n">
        <v>0</v>
      </c>
      <c r="O148" t="n">
        <v>0</v>
      </c>
      <c r="P148" t="n">
        <v>0</v>
      </c>
      <c r="Q148" t="n">
        <v>0</v>
      </c>
      <c r="R148" s="2" t="inlineStr"/>
    </row>
    <row r="149" ht="15" customHeight="1">
      <c r="A149" t="inlineStr">
        <is>
          <t>A 40752-2024</t>
        </is>
      </c>
      <c r="B149" s="1" t="n">
        <v>45558.45638888889</v>
      </c>
      <c r="C149" s="1" t="n">
        <v>45973</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2579-2022</t>
        </is>
      </c>
      <c r="B150" s="1" t="n">
        <v>44580</v>
      </c>
      <c r="C150" s="1" t="n">
        <v>45973</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31915-2024</t>
        </is>
      </c>
      <c r="B151" s="1" t="n">
        <v>45510.38956018518</v>
      </c>
      <c r="C151" s="1" t="n">
        <v>45973</v>
      </c>
      <c r="D151" t="inlineStr">
        <is>
          <t>DALARNAS LÄN</t>
        </is>
      </c>
      <c r="E151" t="inlineStr">
        <is>
          <t>LEKSAND</t>
        </is>
      </c>
      <c r="G151" t="n">
        <v>1.9</v>
      </c>
      <c r="H151" t="n">
        <v>0</v>
      </c>
      <c r="I151" t="n">
        <v>0</v>
      </c>
      <c r="J151" t="n">
        <v>0</v>
      </c>
      <c r="K151" t="n">
        <v>0</v>
      </c>
      <c r="L151" t="n">
        <v>0</v>
      </c>
      <c r="M151" t="n">
        <v>0</v>
      </c>
      <c r="N151" t="n">
        <v>0</v>
      </c>
      <c r="O151" t="n">
        <v>0</v>
      </c>
      <c r="P151" t="n">
        <v>0</v>
      </c>
      <c r="Q151" t="n">
        <v>0</v>
      </c>
      <c r="R151" s="2" t="inlineStr"/>
    </row>
    <row r="152" ht="15" customHeight="1">
      <c r="A152" t="inlineStr">
        <is>
          <t>A 49395-2024</t>
        </is>
      </c>
      <c r="B152" s="1" t="n">
        <v>45595</v>
      </c>
      <c r="C152" s="1" t="n">
        <v>45973</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59826-2023</t>
        </is>
      </c>
      <c r="B153" s="1" t="n">
        <v>45254</v>
      </c>
      <c r="C153" s="1" t="n">
        <v>45973</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7417-2024</t>
        </is>
      </c>
      <c r="B154" s="1" t="n">
        <v>45345.62378472222</v>
      </c>
      <c r="C154" s="1" t="n">
        <v>45973</v>
      </c>
      <c r="D154" t="inlineStr">
        <is>
          <t>DALARNAS LÄN</t>
        </is>
      </c>
      <c r="E154" t="inlineStr">
        <is>
          <t>LEKSAND</t>
        </is>
      </c>
      <c r="G154" t="n">
        <v>2.8</v>
      </c>
      <c r="H154" t="n">
        <v>0</v>
      </c>
      <c r="I154" t="n">
        <v>0</v>
      </c>
      <c r="J154" t="n">
        <v>0</v>
      </c>
      <c r="K154" t="n">
        <v>0</v>
      </c>
      <c r="L154" t="n">
        <v>0</v>
      </c>
      <c r="M154" t="n">
        <v>0</v>
      </c>
      <c r="N154" t="n">
        <v>0</v>
      </c>
      <c r="O154" t="n">
        <v>0</v>
      </c>
      <c r="P154" t="n">
        <v>0</v>
      </c>
      <c r="Q154" t="n">
        <v>0</v>
      </c>
      <c r="R154" s="2" t="inlineStr"/>
    </row>
    <row r="155" ht="15" customHeight="1">
      <c r="A155" t="inlineStr">
        <is>
          <t>A 13161-2024</t>
        </is>
      </c>
      <c r="B155" s="1" t="n">
        <v>45386.38972222222</v>
      </c>
      <c r="C155" s="1" t="n">
        <v>45973</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58244-2024</t>
        </is>
      </c>
      <c r="B156" s="1" t="n">
        <v>45631</v>
      </c>
      <c r="C156" s="1" t="n">
        <v>45973</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62161-2024</t>
        </is>
      </c>
      <c r="B157" s="1" t="n">
        <v>45656.86009259259</v>
      </c>
      <c r="C157" s="1" t="n">
        <v>45973</v>
      </c>
      <c r="D157" t="inlineStr">
        <is>
          <t>DALARNAS LÄN</t>
        </is>
      </c>
      <c r="E157" t="inlineStr">
        <is>
          <t>LEKSAND</t>
        </is>
      </c>
      <c r="G157" t="n">
        <v>2</v>
      </c>
      <c r="H157" t="n">
        <v>0</v>
      </c>
      <c r="I157" t="n">
        <v>0</v>
      </c>
      <c r="J157" t="n">
        <v>0</v>
      </c>
      <c r="K157" t="n">
        <v>0</v>
      </c>
      <c r="L157" t="n">
        <v>0</v>
      </c>
      <c r="M157" t="n">
        <v>0</v>
      </c>
      <c r="N157" t="n">
        <v>0</v>
      </c>
      <c r="O157" t="n">
        <v>0</v>
      </c>
      <c r="P157" t="n">
        <v>0</v>
      </c>
      <c r="Q157" t="n">
        <v>0</v>
      </c>
      <c r="R157" s="2" t="inlineStr"/>
    </row>
    <row r="158" ht="15" customHeight="1">
      <c r="A158" t="inlineStr">
        <is>
          <t>A 12290-2024</t>
        </is>
      </c>
      <c r="B158" s="1" t="n">
        <v>45378.57877314815</v>
      </c>
      <c r="C158" s="1" t="n">
        <v>45973</v>
      </c>
      <c r="D158" t="inlineStr">
        <is>
          <t>DALARNAS LÄN</t>
        </is>
      </c>
      <c r="E158" t="inlineStr">
        <is>
          <t>LEKSAND</t>
        </is>
      </c>
      <c r="G158" t="n">
        <v>2.5</v>
      </c>
      <c r="H158" t="n">
        <v>0</v>
      </c>
      <c r="I158" t="n">
        <v>0</v>
      </c>
      <c r="J158" t="n">
        <v>0</v>
      </c>
      <c r="K158" t="n">
        <v>0</v>
      </c>
      <c r="L158" t="n">
        <v>0</v>
      </c>
      <c r="M158" t="n">
        <v>0</v>
      </c>
      <c r="N158" t="n">
        <v>0</v>
      </c>
      <c r="O158" t="n">
        <v>0</v>
      </c>
      <c r="P158" t="n">
        <v>0</v>
      </c>
      <c r="Q158" t="n">
        <v>0</v>
      </c>
      <c r="R158" s="2" t="inlineStr"/>
    </row>
    <row r="159" ht="15" customHeight="1">
      <c r="A159" t="inlineStr">
        <is>
          <t>A 11606-2025</t>
        </is>
      </c>
      <c r="B159" s="1" t="n">
        <v>45727</v>
      </c>
      <c r="C159" s="1" t="n">
        <v>45973</v>
      </c>
      <c r="D159" t="inlineStr">
        <is>
          <t>DALARNAS LÄN</t>
        </is>
      </c>
      <c r="E159" t="inlineStr">
        <is>
          <t>LEKSAND</t>
        </is>
      </c>
      <c r="G159" t="n">
        <v>2.3</v>
      </c>
      <c r="H159" t="n">
        <v>0</v>
      </c>
      <c r="I159" t="n">
        <v>0</v>
      </c>
      <c r="J159" t="n">
        <v>0</v>
      </c>
      <c r="K159" t="n">
        <v>0</v>
      </c>
      <c r="L159" t="n">
        <v>0</v>
      </c>
      <c r="M159" t="n">
        <v>0</v>
      </c>
      <c r="N159" t="n">
        <v>0</v>
      </c>
      <c r="O159" t="n">
        <v>0</v>
      </c>
      <c r="P159" t="n">
        <v>0</v>
      </c>
      <c r="Q159" t="n">
        <v>0</v>
      </c>
      <c r="R159" s="2" t="inlineStr"/>
    </row>
    <row r="160" ht="15" customHeight="1">
      <c r="A160" t="inlineStr">
        <is>
          <t>A 21954-2023</t>
        </is>
      </c>
      <c r="B160" s="1" t="n">
        <v>45068</v>
      </c>
      <c r="C160" s="1" t="n">
        <v>45973</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45973</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6758-2024</t>
        </is>
      </c>
      <c r="B162" s="1" t="n">
        <v>45342.46857638889</v>
      </c>
      <c r="C162" s="1" t="n">
        <v>45973</v>
      </c>
      <c r="D162" t="inlineStr">
        <is>
          <t>DALARNAS LÄN</t>
        </is>
      </c>
      <c r="E162" t="inlineStr">
        <is>
          <t>LEKSAND</t>
        </is>
      </c>
      <c r="F162" t="inlineStr">
        <is>
          <t>Bergvik skog väst AB</t>
        </is>
      </c>
      <c r="G162" t="n">
        <v>6.2</v>
      </c>
      <c r="H162" t="n">
        <v>0</v>
      </c>
      <c r="I162" t="n">
        <v>0</v>
      </c>
      <c r="J162" t="n">
        <v>0</v>
      </c>
      <c r="K162" t="n">
        <v>0</v>
      </c>
      <c r="L162" t="n">
        <v>0</v>
      </c>
      <c r="M162" t="n">
        <v>0</v>
      </c>
      <c r="N162" t="n">
        <v>0</v>
      </c>
      <c r="O162" t="n">
        <v>0</v>
      </c>
      <c r="P162" t="n">
        <v>0</v>
      </c>
      <c r="Q162" t="n">
        <v>0</v>
      </c>
      <c r="R162" s="2" t="inlineStr"/>
    </row>
    <row r="163" ht="15" customHeight="1">
      <c r="A163" t="inlineStr">
        <is>
          <t>A 63544-2023</t>
        </is>
      </c>
      <c r="B163" s="1" t="n">
        <v>45275</v>
      </c>
      <c r="C163" s="1" t="n">
        <v>45973</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14616-2024</t>
        </is>
      </c>
      <c r="B164" s="1" t="n">
        <v>45397.2624537037</v>
      </c>
      <c r="C164" s="1" t="n">
        <v>45973</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33317-2023</t>
        </is>
      </c>
      <c r="B165" s="1" t="n">
        <v>45127.84586805556</v>
      </c>
      <c r="C165" s="1" t="n">
        <v>45973</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33318-2023</t>
        </is>
      </c>
      <c r="B166" s="1" t="n">
        <v>45127</v>
      </c>
      <c r="C166" s="1" t="n">
        <v>45973</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5847-2025</t>
        </is>
      </c>
      <c r="B167" s="1" t="n">
        <v>45695.30824074074</v>
      </c>
      <c r="C167" s="1" t="n">
        <v>45973</v>
      </c>
      <c r="D167" t="inlineStr">
        <is>
          <t>DALARNAS LÄN</t>
        </is>
      </c>
      <c r="E167" t="inlineStr">
        <is>
          <t>LEKSAND</t>
        </is>
      </c>
      <c r="G167" t="n">
        <v>2.6</v>
      </c>
      <c r="H167" t="n">
        <v>0</v>
      </c>
      <c r="I167" t="n">
        <v>0</v>
      </c>
      <c r="J167" t="n">
        <v>0</v>
      </c>
      <c r="K167" t="n">
        <v>0</v>
      </c>
      <c r="L167" t="n">
        <v>0</v>
      </c>
      <c r="M167" t="n">
        <v>0</v>
      </c>
      <c r="N167" t="n">
        <v>0</v>
      </c>
      <c r="O167" t="n">
        <v>0</v>
      </c>
      <c r="P167" t="n">
        <v>0</v>
      </c>
      <c r="Q167" t="n">
        <v>0</v>
      </c>
      <c r="R167" s="2" t="inlineStr"/>
    </row>
    <row r="168" ht="15" customHeight="1">
      <c r="A168" t="inlineStr">
        <is>
          <t>A 48644-2023</t>
        </is>
      </c>
      <c r="B168" s="1" t="n">
        <v>45208.58997685185</v>
      </c>
      <c r="C168" s="1" t="n">
        <v>45973</v>
      </c>
      <c r="D168" t="inlineStr">
        <is>
          <t>DALARNAS LÄN</t>
        </is>
      </c>
      <c r="E168" t="inlineStr">
        <is>
          <t>LEKSAND</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25025-2023</t>
        </is>
      </c>
      <c r="B169" s="1" t="n">
        <v>45085.92146990741</v>
      </c>
      <c r="C169" s="1" t="n">
        <v>45973</v>
      </c>
      <c r="D169" t="inlineStr">
        <is>
          <t>DALARNAS LÄN</t>
        </is>
      </c>
      <c r="E169" t="inlineStr">
        <is>
          <t>LEKSAND</t>
        </is>
      </c>
      <c r="G169" t="n">
        <v>3</v>
      </c>
      <c r="H169" t="n">
        <v>0</v>
      </c>
      <c r="I169" t="n">
        <v>0</v>
      </c>
      <c r="J169" t="n">
        <v>0</v>
      </c>
      <c r="K169" t="n">
        <v>0</v>
      </c>
      <c r="L169" t="n">
        <v>0</v>
      </c>
      <c r="M169" t="n">
        <v>0</v>
      </c>
      <c r="N169" t="n">
        <v>0</v>
      </c>
      <c r="O169" t="n">
        <v>0</v>
      </c>
      <c r="P169" t="n">
        <v>0</v>
      </c>
      <c r="Q169" t="n">
        <v>0</v>
      </c>
      <c r="R169" s="2" t="inlineStr"/>
    </row>
    <row r="170" ht="15" customHeight="1">
      <c r="A170" t="inlineStr">
        <is>
          <t>A 25038-2023</t>
        </is>
      </c>
      <c r="B170" s="1" t="n">
        <v>45085</v>
      </c>
      <c r="C170" s="1" t="n">
        <v>45973</v>
      </c>
      <c r="D170" t="inlineStr">
        <is>
          <t>DALARNAS LÄN</t>
        </is>
      </c>
      <c r="E170" t="inlineStr">
        <is>
          <t>LEKSAND</t>
        </is>
      </c>
      <c r="G170" t="n">
        <v>0.7</v>
      </c>
      <c r="H170" t="n">
        <v>0</v>
      </c>
      <c r="I170" t="n">
        <v>0</v>
      </c>
      <c r="J170" t="n">
        <v>0</v>
      </c>
      <c r="K170" t="n">
        <v>0</v>
      </c>
      <c r="L170" t="n">
        <v>0</v>
      </c>
      <c r="M170" t="n">
        <v>0</v>
      </c>
      <c r="N170" t="n">
        <v>0</v>
      </c>
      <c r="O170" t="n">
        <v>0</v>
      </c>
      <c r="P170" t="n">
        <v>0</v>
      </c>
      <c r="Q170" t="n">
        <v>0</v>
      </c>
      <c r="R170" s="2" t="inlineStr"/>
    </row>
    <row r="171" ht="15" customHeight="1">
      <c r="A171" t="inlineStr">
        <is>
          <t>A 5873-2025</t>
        </is>
      </c>
      <c r="B171" s="1" t="n">
        <v>45695.36715277778</v>
      </c>
      <c r="C171" s="1" t="n">
        <v>45973</v>
      </c>
      <c r="D171" t="inlineStr">
        <is>
          <t>DALARNAS LÄN</t>
        </is>
      </c>
      <c r="E171" t="inlineStr">
        <is>
          <t>LEKSAND</t>
        </is>
      </c>
      <c r="G171" t="n">
        <v>1.4</v>
      </c>
      <c r="H171" t="n">
        <v>0</v>
      </c>
      <c r="I171" t="n">
        <v>0</v>
      </c>
      <c r="J171" t="n">
        <v>0</v>
      </c>
      <c r="K171" t="n">
        <v>0</v>
      </c>
      <c r="L171" t="n">
        <v>0</v>
      </c>
      <c r="M171" t="n">
        <v>0</v>
      </c>
      <c r="N171" t="n">
        <v>0</v>
      </c>
      <c r="O171" t="n">
        <v>0</v>
      </c>
      <c r="P171" t="n">
        <v>0</v>
      </c>
      <c r="Q171" t="n">
        <v>0</v>
      </c>
      <c r="R171" s="2" t="inlineStr"/>
    </row>
    <row r="172" ht="15" customHeight="1">
      <c r="A172" t="inlineStr">
        <is>
          <t>A 18481-2024</t>
        </is>
      </c>
      <c r="B172" s="1" t="n">
        <v>45425.52193287037</v>
      </c>
      <c r="C172" s="1" t="n">
        <v>45973</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18484-2024</t>
        </is>
      </c>
      <c r="B173" s="1" t="n">
        <v>45425.52559027778</v>
      </c>
      <c r="C173" s="1" t="n">
        <v>45973</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53193-2024</t>
        </is>
      </c>
      <c r="B174" s="1" t="n">
        <v>45610</v>
      </c>
      <c r="C174" s="1" t="n">
        <v>45973</v>
      </c>
      <c r="D174" t="inlineStr">
        <is>
          <t>DALARNAS LÄN</t>
        </is>
      </c>
      <c r="E174" t="inlineStr">
        <is>
          <t>LEKSAND</t>
        </is>
      </c>
      <c r="G174" t="n">
        <v>1.4</v>
      </c>
      <c r="H174" t="n">
        <v>0</v>
      </c>
      <c r="I174" t="n">
        <v>0</v>
      </c>
      <c r="J174" t="n">
        <v>0</v>
      </c>
      <c r="K174" t="n">
        <v>0</v>
      </c>
      <c r="L174" t="n">
        <v>0</v>
      </c>
      <c r="M174" t="n">
        <v>0</v>
      </c>
      <c r="N174" t="n">
        <v>0</v>
      </c>
      <c r="O174" t="n">
        <v>0</v>
      </c>
      <c r="P174" t="n">
        <v>0</v>
      </c>
      <c r="Q174" t="n">
        <v>0</v>
      </c>
      <c r="R174" s="2" t="inlineStr"/>
    </row>
    <row r="175" ht="15" customHeight="1">
      <c r="A175" t="inlineStr">
        <is>
          <t>A 11080-2023</t>
        </is>
      </c>
      <c r="B175" s="1" t="n">
        <v>44992</v>
      </c>
      <c r="C175" s="1" t="n">
        <v>45973</v>
      </c>
      <c r="D175" t="inlineStr">
        <is>
          <t>DALARNAS LÄN</t>
        </is>
      </c>
      <c r="E175" t="inlineStr">
        <is>
          <t>LEKSAND</t>
        </is>
      </c>
      <c r="G175" t="n">
        <v>6.9</v>
      </c>
      <c r="H175" t="n">
        <v>0</v>
      </c>
      <c r="I175" t="n">
        <v>0</v>
      </c>
      <c r="J175" t="n">
        <v>0</v>
      </c>
      <c r="K175" t="n">
        <v>0</v>
      </c>
      <c r="L175" t="n">
        <v>0</v>
      </c>
      <c r="M175" t="n">
        <v>0</v>
      </c>
      <c r="N175" t="n">
        <v>0</v>
      </c>
      <c r="O175" t="n">
        <v>0</v>
      </c>
      <c r="P175" t="n">
        <v>0</v>
      </c>
      <c r="Q175" t="n">
        <v>0</v>
      </c>
      <c r="R175" s="2" t="inlineStr"/>
    </row>
    <row r="176" ht="15" customHeight="1">
      <c r="A176" t="inlineStr">
        <is>
          <t>A 26957-2023</t>
        </is>
      </c>
      <c r="B176" s="1" t="n">
        <v>45093</v>
      </c>
      <c r="C176" s="1" t="n">
        <v>45973</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28032-2024</t>
        </is>
      </c>
      <c r="B177" s="1" t="n">
        <v>45476.49346064815</v>
      </c>
      <c r="C177" s="1" t="n">
        <v>45973</v>
      </c>
      <c r="D177" t="inlineStr">
        <is>
          <t>DALARNAS LÄN</t>
        </is>
      </c>
      <c r="E177" t="inlineStr">
        <is>
          <t>LEKSAND</t>
        </is>
      </c>
      <c r="G177" t="n">
        <v>2</v>
      </c>
      <c r="H177" t="n">
        <v>0</v>
      </c>
      <c r="I177" t="n">
        <v>0</v>
      </c>
      <c r="J177" t="n">
        <v>0</v>
      </c>
      <c r="K177" t="n">
        <v>0</v>
      </c>
      <c r="L177" t="n">
        <v>0</v>
      </c>
      <c r="M177" t="n">
        <v>0</v>
      </c>
      <c r="N177" t="n">
        <v>0</v>
      </c>
      <c r="O177" t="n">
        <v>0</v>
      </c>
      <c r="P177" t="n">
        <v>0</v>
      </c>
      <c r="Q177" t="n">
        <v>0</v>
      </c>
      <c r="R177" s="2" t="inlineStr"/>
    </row>
    <row r="178" ht="15" customHeight="1">
      <c r="A178" t="inlineStr">
        <is>
          <t>A 19550-2023</t>
        </is>
      </c>
      <c r="B178" s="1" t="n">
        <v>45049</v>
      </c>
      <c r="C178" s="1" t="n">
        <v>45973</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33593-2024</t>
        </is>
      </c>
      <c r="B179" s="1" t="n">
        <v>45520.36055555556</v>
      </c>
      <c r="C179" s="1" t="n">
        <v>45973</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19371-2024</t>
        </is>
      </c>
      <c r="B180" s="1" t="n">
        <v>45429.34969907408</v>
      </c>
      <c r="C180" s="1" t="n">
        <v>45973</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7827-2024</t>
        </is>
      </c>
      <c r="B181" s="1" t="n">
        <v>45349.7467824074</v>
      </c>
      <c r="C181" s="1" t="n">
        <v>45973</v>
      </c>
      <c r="D181" t="inlineStr">
        <is>
          <t>DALARNAS LÄN</t>
        </is>
      </c>
      <c r="E181" t="inlineStr">
        <is>
          <t>LEKSAND</t>
        </is>
      </c>
      <c r="G181" t="n">
        <v>2.2</v>
      </c>
      <c r="H181" t="n">
        <v>0</v>
      </c>
      <c r="I181" t="n">
        <v>0</v>
      </c>
      <c r="J181" t="n">
        <v>0</v>
      </c>
      <c r="K181" t="n">
        <v>0</v>
      </c>
      <c r="L181" t="n">
        <v>0</v>
      </c>
      <c r="M181" t="n">
        <v>0</v>
      </c>
      <c r="N181" t="n">
        <v>0</v>
      </c>
      <c r="O181" t="n">
        <v>0</v>
      </c>
      <c r="P181" t="n">
        <v>0</v>
      </c>
      <c r="Q181" t="n">
        <v>0</v>
      </c>
      <c r="R181" s="2" t="inlineStr"/>
    </row>
    <row r="182" ht="15" customHeight="1">
      <c r="A182" t="inlineStr">
        <is>
          <t>A 40009-2024</t>
        </is>
      </c>
      <c r="B182" s="1" t="n">
        <v>45553.65361111111</v>
      </c>
      <c r="C182" s="1" t="n">
        <v>45973</v>
      </c>
      <c r="D182" t="inlineStr">
        <is>
          <t>DALARNAS LÄN</t>
        </is>
      </c>
      <c r="E182" t="inlineStr">
        <is>
          <t>LEKSAND</t>
        </is>
      </c>
      <c r="F182" t="inlineStr">
        <is>
          <t>Bergvik skog väst AB</t>
        </is>
      </c>
      <c r="G182" t="n">
        <v>3</v>
      </c>
      <c r="H182" t="n">
        <v>0</v>
      </c>
      <c r="I182" t="n">
        <v>0</v>
      </c>
      <c r="J182" t="n">
        <v>0</v>
      </c>
      <c r="K182" t="n">
        <v>0</v>
      </c>
      <c r="L182" t="n">
        <v>0</v>
      </c>
      <c r="M182" t="n">
        <v>0</v>
      </c>
      <c r="N182" t="n">
        <v>0</v>
      </c>
      <c r="O182" t="n">
        <v>0</v>
      </c>
      <c r="P182" t="n">
        <v>0</v>
      </c>
      <c r="Q182" t="n">
        <v>0</v>
      </c>
      <c r="R182" s="2" t="inlineStr"/>
    </row>
    <row r="183" ht="15" customHeight="1">
      <c r="A183" t="inlineStr">
        <is>
          <t>A 49405-2024</t>
        </is>
      </c>
      <c r="B183" s="1" t="n">
        <v>45595</v>
      </c>
      <c r="C183" s="1" t="n">
        <v>45973</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52572-2024</t>
        </is>
      </c>
      <c r="B184" s="1" t="n">
        <v>45609.66488425926</v>
      </c>
      <c r="C184" s="1" t="n">
        <v>45973</v>
      </c>
      <c r="D184" t="inlineStr">
        <is>
          <t>DALARNAS LÄN</t>
        </is>
      </c>
      <c r="E184" t="inlineStr">
        <is>
          <t>LEKSAND</t>
        </is>
      </c>
      <c r="G184" t="n">
        <v>0.7</v>
      </c>
      <c r="H184" t="n">
        <v>0</v>
      </c>
      <c r="I184" t="n">
        <v>0</v>
      </c>
      <c r="J184" t="n">
        <v>0</v>
      </c>
      <c r="K184" t="n">
        <v>0</v>
      </c>
      <c r="L184" t="n">
        <v>0</v>
      </c>
      <c r="M184" t="n">
        <v>0</v>
      </c>
      <c r="N184" t="n">
        <v>0</v>
      </c>
      <c r="O184" t="n">
        <v>0</v>
      </c>
      <c r="P184" t="n">
        <v>0</v>
      </c>
      <c r="Q184" t="n">
        <v>0</v>
      </c>
      <c r="R184" s="2" t="inlineStr"/>
    </row>
    <row r="185" ht="15" customHeight="1">
      <c r="A185" t="inlineStr">
        <is>
          <t>A 20683-2025</t>
        </is>
      </c>
      <c r="B185" s="1" t="n">
        <v>45776</v>
      </c>
      <c r="C185" s="1" t="n">
        <v>45973</v>
      </c>
      <c r="D185" t="inlineStr">
        <is>
          <t>DALARNAS LÄN</t>
        </is>
      </c>
      <c r="E185" t="inlineStr">
        <is>
          <t>LEKSAND</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51857-2022</t>
        </is>
      </c>
      <c r="B186" s="1" t="n">
        <v>44867</v>
      </c>
      <c r="C186" s="1" t="n">
        <v>45973</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12851-2023</t>
        </is>
      </c>
      <c r="B187" s="1" t="n">
        <v>45001.49347222222</v>
      </c>
      <c r="C187" s="1" t="n">
        <v>45973</v>
      </c>
      <c r="D187" t="inlineStr">
        <is>
          <t>DALARNAS LÄN</t>
        </is>
      </c>
      <c r="E187" t="inlineStr">
        <is>
          <t>LEKSAND</t>
        </is>
      </c>
      <c r="G187" t="n">
        <v>1.9</v>
      </c>
      <c r="H187" t="n">
        <v>0</v>
      </c>
      <c r="I187" t="n">
        <v>0</v>
      </c>
      <c r="J187" t="n">
        <v>0</v>
      </c>
      <c r="K187" t="n">
        <v>0</v>
      </c>
      <c r="L187" t="n">
        <v>0</v>
      </c>
      <c r="M187" t="n">
        <v>0</v>
      </c>
      <c r="N187" t="n">
        <v>0</v>
      </c>
      <c r="O187" t="n">
        <v>0</v>
      </c>
      <c r="P187" t="n">
        <v>0</v>
      </c>
      <c r="Q187" t="n">
        <v>0</v>
      </c>
      <c r="R187" s="2" t="inlineStr"/>
    </row>
    <row r="188" ht="15" customHeight="1">
      <c r="A188" t="inlineStr">
        <is>
          <t>A 19295-2024</t>
        </is>
      </c>
      <c r="B188" s="1" t="n">
        <v>45428.69106481481</v>
      </c>
      <c r="C188" s="1" t="n">
        <v>45973</v>
      </c>
      <c r="D188" t="inlineStr">
        <is>
          <t>DALARNAS LÄN</t>
        </is>
      </c>
      <c r="E188" t="inlineStr">
        <is>
          <t>LEKSAND</t>
        </is>
      </c>
      <c r="G188" t="n">
        <v>1.6</v>
      </c>
      <c r="H188" t="n">
        <v>0</v>
      </c>
      <c r="I188" t="n">
        <v>0</v>
      </c>
      <c r="J188" t="n">
        <v>0</v>
      </c>
      <c r="K188" t="n">
        <v>0</v>
      </c>
      <c r="L188" t="n">
        <v>0</v>
      </c>
      <c r="M188" t="n">
        <v>0</v>
      </c>
      <c r="N188" t="n">
        <v>0</v>
      </c>
      <c r="O188" t="n">
        <v>0</v>
      </c>
      <c r="P188" t="n">
        <v>0</v>
      </c>
      <c r="Q188" t="n">
        <v>0</v>
      </c>
      <c r="R188" s="2" t="inlineStr"/>
    </row>
    <row r="189" ht="15" customHeight="1">
      <c r="A189" t="inlineStr">
        <is>
          <t>A 47203-2023</t>
        </is>
      </c>
      <c r="B189" s="1" t="n">
        <v>45202</v>
      </c>
      <c r="C189" s="1" t="n">
        <v>45973</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15968-2025</t>
        </is>
      </c>
      <c r="B190" s="1" t="n">
        <v>45749.54818287037</v>
      </c>
      <c r="C190" s="1" t="n">
        <v>45973</v>
      </c>
      <c r="D190" t="inlineStr">
        <is>
          <t>DALARNAS LÄN</t>
        </is>
      </c>
      <c r="E190" t="inlineStr">
        <is>
          <t>LEKSAND</t>
        </is>
      </c>
      <c r="G190" t="n">
        <v>3.2</v>
      </c>
      <c r="H190" t="n">
        <v>0</v>
      </c>
      <c r="I190" t="n">
        <v>0</v>
      </c>
      <c r="J190" t="n">
        <v>0</v>
      </c>
      <c r="K190" t="n">
        <v>0</v>
      </c>
      <c r="L190" t="n">
        <v>0</v>
      </c>
      <c r="M190" t="n">
        <v>0</v>
      </c>
      <c r="N190" t="n">
        <v>0</v>
      </c>
      <c r="O190" t="n">
        <v>0</v>
      </c>
      <c r="P190" t="n">
        <v>0</v>
      </c>
      <c r="Q190" t="n">
        <v>0</v>
      </c>
      <c r="R190" s="2" t="inlineStr"/>
    </row>
    <row r="191" ht="15" customHeight="1">
      <c r="A191" t="inlineStr">
        <is>
          <t>A 16005-2025</t>
        </is>
      </c>
      <c r="B191" s="1" t="n">
        <v>45749.59765046297</v>
      </c>
      <c r="C191" s="1" t="n">
        <v>45973</v>
      </c>
      <c r="D191" t="inlineStr">
        <is>
          <t>DALARNAS LÄN</t>
        </is>
      </c>
      <c r="E191" t="inlineStr">
        <is>
          <t>LEKSAND</t>
        </is>
      </c>
      <c r="G191" t="n">
        <v>2.1</v>
      </c>
      <c r="H191" t="n">
        <v>0</v>
      </c>
      <c r="I191" t="n">
        <v>0</v>
      </c>
      <c r="J191" t="n">
        <v>0</v>
      </c>
      <c r="K191" t="n">
        <v>0</v>
      </c>
      <c r="L191" t="n">
        <v>0</v>
      </c>
      <c r="M191" t="n">
        <v>0</v>
      </c>
      <c r="N191" t="n">
        <v>0</v>
      </c>
      <c r="O191" t="n">
        <v>0</v>
      </c>
      <c r="P191" t="n">
        <v>0</v>
      </c>
      <c r="Q191" t="n">
        <v>0</v>
      </c>
      <c r="R191" s="2" t="inlineStr"/>
    </row>
    <row r="192" ht="15" customHeight="1">
      <c r="A192" t="inlineStr">
        <is>
          <t>A 9781-2024</t>
        </is>
      </c>
      <c r="B192" s="1" t="n">
        <v>45362.66299768518</v>
      </c>
      <c r="C192" s="1" t="n">
        <v>45973</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20937-2025</t>
        </is>
      </c>
      <c r="B193" s="1" t="n">
        <v>45777.42769675926</v>
      </c>
      <c r="C193" s="1" t="n">
        <v>45973</v>
      </c>
      <c r="D193" t="inlineStr">
        <is>
          <t>DALARNAS LÄN</t>
        </is>
      </c>
      <c r="E193" t="inlineStr">
        <is>
          <t>LEKSAND</t>
        </is>
      </c>
      <c r="G193" t="n">
        <v>2.2</v>
      </c>
      <c r="H193" t="n">
        <v>0</v>
      </c>
      <c r="I193" t="n">
        <v>0</v>
      </c>
      <c r="J193" t="n">
        <v>0</v>
      </c>
      <c r="K193" t="n">
        <v>0</v>
      </c>
      <c r="L193" t="n">
        <v>0</v>
      </c>
      <c r="M193" t="n">
        <v>0</v>
      </c>
      <c r="N193" t="n">
        <v>0</v>
      </c>
      <c r="O193" t="n">
        <v>0</v>
      </c>
      <c r="P193" t="n">
        <v>0</v>
      </c>
      <c r="Q193" t="n">
        <v>0</v>
      </c>
      <c r="R193" s="2" t="inlineStr"/>
    </row>
    <row r="194" ht="15" customHeight="1">
      <c r="A194" t="inlineStr">
        <is>
          <t>A 21457-2025</t>
        </is>
      </c>
      <c r="B194" s="1" t="n">
        <v>45782.55451388889</v>
      </c>
      <c r="C194" s="1" t="n">
        <v>45973</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9105-2024</t>
        </is>
      </c>
      <c r="B195" s="1" t="n">
        <v>45357</v>
      </c>
      <c r="C195" s="1" t="n">
        <v>45973</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50447-2023</t>
        </is>
      </c>
      <c r="B196" s="1" t="n">
        <v>45216.72185185185</v>
      </c>
      <c r="C196" s="1" t="n">
        <v>45973</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60945-2024</t>
        </is>
      </c>
      <c r="B197" s="1" t="n">
        <v>45645.37893518519</v>
      </c>
      <c r="C197" s="1" t="n">
        <v>45973</v>
      </c>
      <c r="D197" t="inlineStr">
        <is>
          <t>DALARNAS LÄN</t>
        </is>
      </c>
      <c r="E197" t="inlineStr">
        <is>
          <t>LEKSAND</t>
        </is>
      </c>
      <c r="G197" t="n">
        <v>2.2</v>
      </c>
      <c r="H197" t="n">
        <v>0</v>
      </c>
      <c r="I197" t="n">
        <v>0</v>
      </c>
      <c r="J197" t="n">
        <v>0</v>
      </c>
      <c r="K197" t="n">
        <v>0</v>
      </c>
      <c r="L197" t="n">
        <v>0</v>
      </c>
      <c r="M197" t="n">
        <v>0</v>
      </c>
      <c r="N197" t="n">
        <v>0</v>
      </c>
      <c r="O197" t="n">
        <v>0</v>
      </c>
      <c r="P197" t="n">
        <v>0</v>
      </c>
      <c r="Q197" t="n">
        <v>0</v>
      </c>
      <c r="R197" s="2" t="inlineStr"/>
    </row>
    <row r="198" ht="15" customHeight="1">
      <c r="A198" t="inlineStr">
        <is>
          <t>A 21230-2025</t>
        </is>
      </c>
      <c r="B198" s="1" t="n">
        <v>45779.54589120371</v>
      </c>
      <c r="C198" s="1" t="n">
        <v>45973</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21193-2025</t>
        </is>
      </c>
      <c r="B199" s="1" t="n">
        <v>45779.46675925926</v>
      </c>
      <c r="C199" s="1" t="n">
        <v>45973</v>
      </c>
      <c r="D199" t="inlineStr">
        <is>
          <t>DALARNAS LÄN</t>
        </is>
      </c>
      <c r="E199" t="inlineStr">
        <is>
          <t>LEKSAND</t>
        </is>
      </c>
      <c r="G199" t="n">
        <v>3.7</v>
      </c>
      <c r="H199" t="n">
        <v>0</v>
      </c>
      <c r="I199" t="n">
        <v>0</v>
      </c>
      <c r="J199" t="n">
        <v>0</v>
      </c>
      <c r="K199" t="n">
        <v>0</v>
      </c>
      <c r="L199" t="n">
        <v>0</v>
      </c>
      <c r="M199" t="n">
        <v>0</v>
      </c>
      <c r="N199" t="n">
        <v>0</v>
      </c>
      <c r="O199" t="n">
        <v>0</v>
      </c>
      <c r="P199" t="n">
        <v>0</v>
      </c>
      <c r="Q199" t="n">
        <v>0</v>
      </c>
      <c r="R199" s="2" t="inlineStr"/>
    </row>
    <row r="200" ht="15" customHeight="1">
      <c r="A200" t="inlineStr">
        <is>
          <t>A 19820-2024</t>
        </is>
      </c>
      <c r="B200" s="1" t="n">
        <v>45433.33907407407</v>
      </c>
      <c r="C200" s="1" t="n">
        <v>45973</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19823-2024</t>
        </is>
      </c>
      <c r="B201" s="1" t="n">
        <v>45433.34469907408</v>
      </c>
      <c r="C201" s="1" t="n">
        <v>45973</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63513-2023</t>
        </is>
      </c>
      <c r="B202" s="1" t="n">
        <v>45274</v>
      </c>
      <c r="C202" s="1" t="n">
        <v>45973</v>
      </c>
      <c r="D202" t="inlineStr">
        <is>
          <t>DALARNAS LÄN</t>
        </is>
      </c>
      <c r="E202" t="inlineStr">
        <is>
          <t>LEKSAND</t>
        </is>
      </c>
      <c r="G202" t="n">
        <v>2.3</v>
      </c>
      <c r="H202" t="n">
        <v>0</v>
      </c>
      <c r="I202" t="n">
        <v>0</v>
      </c>
      <c r="J202" t="n">
        <v>0</v>
      </c>
      <c r="K202" t="n">
        <v>0</v>
      </c>
      <c r="L202" t="n">
        <v>0</v>
      </c>
      <c r="M202" t="n">
        <v>0</v>
      </c>
      <c r="N202" t="n">
        <v>0</v>
      </c>
      <c r="O202" t="n">
        <v>0</v>
      </c>
      <c r="P202" t="n">
        <v>0</v>
      </c>
      <c r="Q202" t="n">
        <v>0</v>
      </c>
      <c r="R202" s="2" t="inlineStr"/>
    </row>
    <row r="203" ht="15" customHeight="1">
      <c r="A203" t="inlineStr">
        <is>
          <t>A 11872-2024</t>
        </is>
      </c>
      <c r="B203" s="1" t="n">
        <v>45376.46833333333</v>
      </c>
      <c r="C203" s="1" t="n">
        <v>45973</v>
      </c>
      <c r="D203" t="inlineStr">
        <is>
          <t>DALARNAS LÄN</t>
        </is>
      </c>
      <c r="E203" t="inlineStr">
        <is>
          <t>LEKSAND</t>
        </is>
      </c>
      <c r="G203" t="n">
        <v>3.1</v>
      </c>
      <c r="H203" t="n">
        <v>0</v>
      </c>
      <c r="I203" t="n">
        <v>0</v>
      </c>
      <c r="J203" t="n">
        <v>0</v>
      </c>
      <c r="K203" t="n">
        <v>0</v>
      </c>
      <c r="L203" t="n">
        <v>0</v>
      </c>
      <c r="M203" t="n">
        <v>0</v>
      </c>
      <c r="N203" t="n">
        <v>0</v>
      </c>
      <c r="O203" t="n">
        <v>0</v>
      </c>
      <c r="P203" t="n">
        <v>0</v>
      </c>
      <c r="Q203" t="n">
        <v>0</v>
      </c>
      <c r="R203" s="2" t="inlineStr"/>
    </row>
    <row r="204" ht="15" customHeight="1">
      <c r="A204" t="inlineStr">
        <is>
          <t>A 40230-2023</t>
        </is>
      </c>
      <c r="B204" s="1" t="n">
        <v>45169.46887731482</v>
      </c>
      <c r="C204" s="1" t="n">
        <v>45973</v>
      </c>
      <c r="D204" t="inlineStr">
        <is>
          <t>DALARNAS LÄN</t>
        </is>
      </c>
      <c r="E204" t="inlineStr">
        <is>
          <t>LEKSAND</t>
        </is>
      </c>
      <c r="G204" t="n">
        <v>0.5</v>
      </c>
      <c r="H204" t="n">
        <v>0</v>
      </c>
      <c r="I204" t="n">
        <v>0</v>
      </c>
      <c r="J204" t="n">
        <v>0</v>
      </c>
      <c r="K204" t="n">
        <v>0</v>
      </c>
      <c r="L204" t="n">
        <v>0</v>
      </c>
      <c r="M204" t="n">
        <v>0</v>
      </c>
      <c r="N204" t="n">
        <v>0</v>
      </c>
      <c r="O204" t="n">
        <v>0</v>
      </c>
      <c r="P204" t="n">
        <v>0</v>
      </c>
      <c r="Q204" t="n">
        <v>0</v>
      </c>
      <c r="R204" s="2" t="inlineStr"/>
    </row>
    <row r="205" ht="15" customHeight="1">
      <c r="A205" t="inlineStr">
        <is>
          <t>A 21600-2025</t>
        </is>
      </c>
      <c r="B205" s="1" t="n">
        <v>45783.3521875</v>
      </c>
      <c r="C205" s="1" t="n">
        <v>45973</v>
      </c>
      <c r="D205" t="inlineStr">
        <is>
          <t>DALARNAS LÄN</t>
        </is>
      </c>
      <c r="E205" t="inlineStr">
        <is>
          <t>LEKSAND</t>
        </is>
      </c>
      <c r="G205" t="n">
        <v>7.7</v>
      </c>
      <c r="H205" t="n">
        <v>0</v>
      </c>
      <c r="I205" t="n">
        <v>0</v>
      </c>
      <c r="J205" t="n">
        <v>0</v>
      </c>
      <c r="K205" t="n">
        <v>0</v>
      </c>
      <c r="L205" t="n">
        <v>0</v>
      </c>
      <c r="M205" t="n">
        <v>0</v>
      </c>
      <c r="N205" t="n">
        <v>0</v>
      </c>
      <c r="O205" t="n">
        <v>0</v>
      </c>
      <c r="P205" t="n">
        <v>0</v>
      </c>
      <c r="Q205" t="n">
        <v>0</v>
      </c>
      <c r="R205" s="2" t="inlineStr"/>
    </row>
    <row r="206" ht="15" customHeight="1">
      <c r="A206" t="inlineStr">
        <is>
          <t>A 40627-2023</t>
        </is>
      </c>
      <c r="B206" s="1" t="n">
        <v>45170</v>
      </c>
      <c r="C206" s="1" t="n">
        <v>45973</v>
      </c>
      <c r="D206" t="inlineStr">
        <is>
          <t>DALARNAS LÄN</t>
        </is>
      </c>
      <c r="E206" t="inlineStr">
        <is>
          <t>LEKSAND</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33072-2021</t>
        </is>
      </c>
      <c r="B207" s="1" t="n">
        <v>44375</v>
      </c>
      <c r="C207" s="1" t="n">
        <v>45973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61787-2022</t>
        </is>
      </c>
      <c r="B208" s="1" t="n">
        <v>44917</v>
      </c>
      <c r="C208" s="1" t="n">
        <v>45973</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21916-2025</t>
        </is>
      </c>
      <c r="B209" s="1" t="n">
        <v>45784.50115740741</v>
      </c>
      <c r="C209" s="1" t="n">
        <v>45973</v>
      </c>
      <c r="D209" t="inlineStr">
        <is>
          <t>DALARNAS LÄN</t>
        </is>
      </c>
      <c r="E209" t="inlineStr">
        <is>
          <t>LEKSAND</t>
        </is>
      </c>
      <c r="G209" t="n">
        <v>2.6</v>
      </c>
      <c r="H209" t="n">
        <v>0</v>
      </c>
      <c r="I209" t="n">
        <v>0</v>
      </c>
      <c r="J209" t="n">
        <v>0</v>
      </c>
      <c r="K209" t="n">
        <v>0</v>
      </c>
      <c r="L209" t="n">
        <v>0</v>
      </c>
      <c r="M209" t="n">
        <v>0</v>
      </c>
      <c r="N209" t="n">
        <v>0</v>
      </c>
      <c r="O209" t="n">
        <v>0</v>
      </c>
      <c r="P209" t="n">
        <v>0</v>
      </c>
      <c r="Q209" t="n">
        <v>0</v>
      </c>
      <c r="R209" s="2" t="inlineStr"/>
    </row>
    <row r="210" ht="15" customHeight="1">
      <c r="A210" t="inlineStr">
        <is>
          <t>A 14967-2023</t>
        </is>
      </c>
      <c r="B210" s="1" t="n">
        <v>45015</v>
      </c>
      <c r="C210" s="1" t="n">
        <v>45973</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39819-2024</t>
        </is>
      </c>
      <c r="B211" s="1" t="n">
        <v>45553.38774305556</v>
      </c>
      <c r="C211" s="1" t="n">
        <v>45973</v>
      </c>
      <c r="D211" t="inlineStr">
        <is>
          <t>DALARNAS LÄN</t>
        </is>
      </c>
      <c r="E211" t="inlineStr">
        <is>
          <t>LEKSAND</t>
        </is>
      </c>
      <c r="F211" t="inlineStr">
        <is>
          <t>Bergvik skog väst AB</t>
        </is>
      </c>
      <c r="G211" t="n">
        <v>3.7</v>
      </c>
      <c r="H211" t="n">
        <v>0</v>
      </c>
      <c r="I211" t="n">
        <v>0</v>
      </c>
      <c r="J211" t="n">
        <v>0</v>
      </c>
      <c r="K211" t="n">
        <v>0</v>
      </c>
      <c r="L211" t="n">
        <v>0</v>
      </c>
      <c r="M211" t="n">
        <v>0</v>
      </c>
      <c r="N211" t="n">
        <v>0</v>
      </c>
      <c r="O211" t="n">
        <v>0</v>
      </c>
      <c r="P211" t="n">
        <v>0</v>
      </c>
      <c r="Q211" t="n">
        <v>0</v>
      </c>
      <c r="R211" s="2" t="inlineStr"/>
    </row>
    <row r="212" ht="15" customHeight="1">
      <c r="A212" t="inlineStr">
        <is>
          <t>A 28913-2024</t>
        </is>
      </c>
      <c r="B212" s="1" t="n">
        <v>45480.75318287037</v>
      </c>
      <c r="C212" s="1" t="n">
        <v>45973</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62307-2023</t>
        </is>
      </c>
      <c r="B213" s="1" t="n">
        <v>45266</v>
      </c>
      <c r="C213" s="1" t="n">
        <v>45973</v>
      </c>
      <c r="D213" t="inlineStr">
        <is>
          <t>DALARNAS LÄN</t>
        </is>
      </c>
      <c r="E213" t="inlineStr">
        <is>
          <t>LEKSAND</t>
        </is>
      </c>
      <c r="G213" t="n">
        <v>3.9</v>
      </c>
      <c r="H213" t="n">
        <v>0</v>
      </c>
      <c r="I213" t="n">
        <v>0</v>
      </c>
      <c r="J213" t="n">
        <v>0</v>
      </c>
      <c r="K213" t="n">
        <v>0</v>
      </c>
      <c r="L213" t="n">
        <v>0</v>
      </c>
      <c r="M213" t="n">
        <v>0</v>
      </c>
      <c r="N213" t="n">
        <v>0</v>
      </c>
      <c r="O213" t="n">
        <v>0</v>
      </c>
      <c r="P213" t="n">
        <v>0</v>
      </c>
      <c r="Q213" t="n">
        <v>0</v>
      </c>
      <c r="R213" s="2" t="inlineStr"/>
    </row>
    <row r="214" ht="15" customHeight="1">
      <c r="A214" t="inlineStr">
        <is>
          <t>A 412-2024</t>
        </is>
      </c>
      <c r="B214" s="1" t="n">
        <v>45296</v>
      </c>
      <c r="C214" s="1" t="n">
        <v>45973</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59673-2023</t>
        </is>
      </c>
      <c r="B215" s="1" t="n">
        <v>45255.44603009259</v>
      </c>
      <c r="C215" s="1" t="n">
        <v>45973</v>
      </c>
      <c r="D215" t="inlineStr">
        <is>
          <t>DALARNAS LÄN</t>
        </is>
      </c>
      <c r="E215" t="inlineStr">
        <is>
          <t>LEKSAND</t>
        </is>
      </c>
      <c r="G215" t="n">
        <v>12.2</v>
      </c>
      <c r="H215" t="n">
        <v>0</v>
      </c>
      <c r="I215" t="n">
        <v>0</v>
      </c>
      <c r="J215" t="n">
        <v>0</v>
      </c>
      <c r="K215" t="n">
        <v>0</v>
      </c>
      <c r="L215" t="n">
        <v>0</v>
      </c>
      <c r="M215" t="n">
        <v>0</v>
      </c>
      <c r="N215" t="n">
        <v>0</v>
      </c>
      <c r="O215" t="n">
        <v>0</v>
      </c>
      <c r="P215" t="n">
        <v>0</v>
      </c>
      <c r="Q215" t="n">
        <v>0</v>
      </c>
      <c r="R215" s="2" t="inlineStr"/>
    </row>
    <row r="216" ht="15" customHeight="1">
      <c r="A216" t="inlineStr">
        <is>
          <t>A 39921-2024</t>
        </is>
      </c>
      <c r="B216" s="1" t="n">
        <v>45553</v>
      </c>
      <c r="C216" s="1" t="n">
        <v>45973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41015-2024</t>
        </is>
      </c>
      <c r="B217" s="1" t="n">
        <v>45559.32537037037</v>
      </c>
      <c r="C217" s="1" t="n">
        <v>45973</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61554-2024</t>
        </is>
      </c>
      <c r="B218" s="1" t="n">
        <v>45646.60748842593</v>
      </c>
      <c r="C218" s="1" t="n">
        <v>45973</v>
      </c>
      <c r="D218" t="inlineStr">
        <is>
          <t>DALARNAS LÄN</t>
        </is>
      </c>
      <c r="E218" t="inlineStr">
        <is>
          <t>LEKSAND</t>
        </is>
      </c>
      <c r="G218" t="n">
        <v>2.6</v>
      </c>
      <c r="H218" t="n">
        <v>0</v>
      </c>
      <c r="I218" t="n">
        <v>0</v>
      </c>
      <c r="J218" t="n">
        <v>0</v>
      </c>
      <c r="K218" t="n">
        <v>0</v>
      </c>
      <c r="L218" t="n">
        <v>0</v>
      </c>
      <c r="M218" t="n">
        <v>0</v>
      </c>
      <c r="N218" t="n">
        <v>0</v>
      </c>
      <c r="O218" t="n">
        <v>0</v>
      </c>
      <c r="P218" t="n">
        <v>0</v>
      </c>
      <c r="Q218" t="n">
        <v>0</v>
      </c>
      <c r="R218" s="2" t="inlineStr"/>
    </row>
    <row r="219" ht="15" customHeight="1">
      <c r="A219" t="inlineStr">
        <is>
          <t>A 23068-2024</t>
        </is>
      </c>
      <c r="B219" s="1" t="n">
        <v>45450.45521990741</v>
      </c>
      <c r="C219" s="1" t="n">
        <v>45973</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52100-2024</t>
        </is>
      </c>
      <c r="B220" s="1" t="n">
        <v>45608.41634259259</v>
      </c>
      <c r="C220" s="1" t="n">
        <v>45973</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4257-2022</t>
        </is>
      </c>
      <c r="B221" s="1" t="n">
        <v>44588</v>
      </c>
      <c r="C221" s="1" t="n">
        <v>45973</v>
      </c>
      <c r="D221" t="inlineStr">
        <is>
          <t>DALARNAS LÄN</t>
        </is>
      </c>
      <c r="E221" t="inlineStr">
        <is>
          <t>LEKSAND</t>
        </is>
      </c>
      <c r="G221" t="n">
        <v>6.8</v>
      </c>
      <c r="H221" t="n">
        <v>0</v>
      </c>
      <c r="I221" t="n">
        <v>0</v>
      </c>
      <c r="J221" t="n">
        <v>0</v>
      </c>
      <c r="K221" t="n">
        <v>0</v>
      </c>
      <c r="L221" t="n">
        <v>0</v>
      </c>
      <c r="M221" t="n">
        <v>0</v>
      </c>
      <c r="N221" t="n">
        <v>0</v>
      </c>
      <c r="O221" t="n">
        <v>0</v>
      </c>
      <c r="P221" t="n">
        <v>0</v>
      </c>
      <c r="Q221" t="n">
        <v>0</v>
      </c>
      <c r="R221" s="2" t="inlineStr"/>
    </row>
    <row r="222" ht="15" customHeight="1">
      <c r="A222" t="inlineStr">
        <is>
          <t>A 31726-2024</t>
        </is>
      </c>
      <c r="B222" s="1" t="n">
        <v>45509.33908564815</v>
      </c>
      <c r="C222" s="1" t="n">
        <v>45973</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6050-2023</t>
        </is>
      </c>
      <c r="B223" s="1" t="n">
        <v>44959</v>
      </c>
      <c r="C223" s="1" t="n">
        <v>45973</v>
      </c>
      <c r="D223" t="inlineStr">
        <is>
          <t>DALARNAS LÄN</t>
        </is>
      </c>
      <c r="E223" t="inlineStr">
        <is>
          <t>LEKSAND</t>
        </is>
      </c>
      <c r="G223" t="n">
        <v>6.2</v>
      </c>
      <c r="H223" t="n">
        <v>0</v>
      </c>
      <c r="I223" t="n">
        <v>0</v>
      </c>
      <c r="J223" t="n">
        <v>0</v>
      </c>
      <c r="K223" t="n">
        <v>0</v>
      </c>
      <c r="L223" t="n">
        <v>0</v>
      </c>
      <c r="M223" t="n">
        <v>0</v>
      </c>
      <c r="N223" t="n">
        <v>0</v>
      </c>
      <c r="O223" t="n">
        <v>0</v>
      </c>
      <c r="P223" t="n">
        <v>0</v>
      </c>
      <c r="Q223" t="n">
        <v>0</v>
      </c>
      <c r="R223" s="2" t="inlineStr"/>
    </row>
    <row r="224" ht="15" customHeight="1">
      <c r="A224" t="inlineStr">
        <is>
          <t>A 22281-2024</t>
        </is>
      </c>
      <c r="B224" s="1" t="n">
        <v>45446.54756944445</v>
      </c>
      <c r="C224" s="1" t="n">
        <v>45973</v>
      </c>
      <c r="D224" t="inlineStr">
        <is>
          <t>DALARNAS LÄN</t>
        </is>
      </c>
      <c r="E224" t="inlineStr">
        <is>
          <t>LEKSAND</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27791-2023</t>
        </is>
      </c>
      <c r="B225" s="1" t="n">
        <v>45098</v>
      </c>
      <c r="C225" s="1" t="n">
        <v>45973</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55512-2024</t>
        </is>
      </c>
      <c r="B226" s="1" t="n">
        <v>45621</v>
      </c>
      <c r="C226" s="1" t="n">
        <v>45973</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52059-2024</t>
        </is>
      </c>
      <c r="B227" s="1" t="n">
        <v>45608.35609953704</v>
      </c>
      <c r="C227" s="1" t="n">
        <v>45973</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12992-2022</t>
        </is>
      </c>
      <c r="B228" s="1" t="n">
        <v>44643</v>
      </c>
      <c r="C228" s="1" t="n">
        <v>45973</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60920-2020</t>
        </is>
      </c>
      <c r="B229" s="1" t="n">
        <v>44153</v>
      </c>
      <c r="C229" s="1" t="n">
        <v>45973</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40755-2024</t>
        </is>
      </c>
      <c r="B230" s="1" t="n">
        <v>45558.45815972222</v>
      </c>
      <c r="C230" s="1" t="n">
        <v>45973</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14504-2025</t>
        </is>
      </c>
      <c r="B231" s="1" t="n">
        <v>45741</v>
      </c>
      <c r="C231" s="1" t="n">
        <v>45973</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23615-2024</t>
        </is>
      </c>
      <c r="B232" s="1" t="n">
        <v>45454.43050925926</v>
      </c>
      <c r="C232" s="1" t="n">
        <v>45973</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11712-2025</t>
        </is>
      </c>
      <c r="B233" s="1" t="n">
        <v>45727</v>
      </c>
      <c r="C233" s="1" t="n">
        <v>45973</v>
      </c>
      <c r="D233" t="inlineStr">
        <is>
          <t>DALARNAS LÄN</t>
        </is>
      </c>
      <c r="E233" t="inlineStr">
        <is>
          <t>LEKSAND</t>
        </is>
      </c>
      <c r="G233" t="n">
        <v>6</v>
      </c>
      <c r="H233" t="n">
        <v>0</v>
      </c>
      <c r="I233" t="n">
        <v>0</v>
      </c>
      <c r="J233" t="n">
        <v>0</v>
      </c>
      <c r="K233" t="n">
        <v>0</v>
      </c>
      <c r="L233" t="n">
        <v>0</v>
      </c>
      <c r="M233" t="n">
        <v>0</v>
      </c>
      <c r="N233" t="n">
        <v>0</v>
      </c>
      <c r="O233" t="n">
        <v>0</v>
      </c>
      <c r="P233" t="n">
        <v>0</v>
      </c>
      <c r="Q233" t="n">
        <v>0</v>
      </c>
      <c r="R233" s="2" t="inlineStr"/>
    </row>
    <row r="234" ht="15" customHeight="1">
      <c r="A234" t="inlineStr">
        <is>
          <t>A 40007-2024</t>
        </is>
      </c>
      <c r="B234" s="1" t="n">
        <v>45553.6516550926</v>
      </c>
      <c r="C234" s="1" t="n">
        <v>45973</v>
      </c>
      <c r="D234" t="inlineStr">
        <is>
          <t>DALARNAS LÄN</t>
        </is>
      </c>
      <c r="E234" t="inlineStr">
        <is>
          <t>LEKSAND</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2311-2021</t>
        </is>
      </c>
      <c r="B235" s="1" t="n">
        <v>44213</v>
      </c>
      <c r="C235" s="1" t="n">
        <v>45973</v>
      </c>
      <c r="D235" t="inlineStr">
        <is>
          <t>DALARNAS LÄN</t>
        </is>
      </c>
      <c r="E235" t="inlineStr">
        <is>
          <t>LEKSAND</t>
        </is>
      </c>
      <c r="G235" t="n">
        <v>1.5</v>
      </c>
      <c r="H235" t="n">
        <v>0</v>
      </c>
      <c r="I235" t="n">
        <v>0</v>
      </c>
      <c r="J235" t="n">
        <v>0</v>
      </c>
      <c r="K235" t="n">
        <v>0</v>
      </c>
      <c r="L235" t="n">
        <v>0</v>
      </c>
      <c r="M235" t="n">
        <v>0</v>
      </c>
      <c r="N235" t="n">
        <v>0</v>
      </c>
      <c r="O235" t="n">
        <v>0</v>
      </c>
      <c r="P235" t="n">
        <v>0</v>
      </c>
      <c r="Q235" t="n">
        <v>0</v>
      </c>
      <c r="R235" s="2" t="inlineStr"/>
    </row>
    <row r="236" ht="15" customHeight="1">
      <c r="A236" t="inlineStr">
        <is>
          <t>A 32072-2024</t>
        </is>
      </c>
      <c r="B236" s="1" t="n">
        <v>45510.98405092592</v>
      </c>
      <c r="C236" s="1" t="n">
        <v>45973</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13165-2023</t>
        </is>
      </c>
      <c r="B237" s="1" t="n">
        <v>45002.57731481481</v>
      </c>
      <c r="C237" s="1" t="n">
        <v>45973</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24003-2024</t>
        </is>
      </c>
      <c r="B238" s="1" t="n">
        <v>45456.39003472222</v>
      </c>
      <c r="C238" s="1" t="n">
        <v>45973</v>
      </c>
      <c r="D238" t="inlineStr">
        <is>
          <t>DALARNAS LÄN</t>
        </is>
      </c>
      <c r="E238" t="inlineStr">
        <is>
          <t>LEKSAND</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40642-2023</t>
        </is>
      </c>
      <c r="B239" s="1" t="n">
        <v>45169</v>
      </c>
      <c r="C239" s="1" t="n">
        <v>45973</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36534-2024</t>
        </is>
      </c>
      <c r="B240" s="1" t="n">
        <v>45537.45143518518</v>
      </c>
      <c r="C240" s="1" t="n">
        <v>45973</v>
      </c>
      <c r="D240" t="inlineStr">
        <is>
          <t>DALARNAS LÄN</t>
        </is>
      </c>
      <c r="E240" t="inlineStr">
        <is>
          <t>LEKSAND</t>
        </is>
      </c>
      <c r="G240" t="n">
        <v>4</v>
      </c>
      <c r="H240" t="n">
        <v>0</v>
      </c>
      <c r="I240" t="n">
        <v>0</v>
      </c>
      <c r="J240" t="n">
        <v>0</v>
      </c>
      <c r="K240" t="n">
        <v>0</v>
      </c>
      <c r="L240" t="n">
        <v>0</v>
      </c>
      <c r="M240" t="n">
        <v>0</v>
      </c>
      <c r="N240" t="n">
        <v>0</v>
      </c>
      <c r="O240" t="n">
        <v>0</v>
      </c>
      <c r="P240" t="n">
        <v>0</v>
      </c>
      <c r="Q240" t="n">
        <v>0</v>
      </c>
      <c r="R240" s="2" t="inlineStr"/>
    </row>
    <row r="241" ht="15" customHeight="1">
      <c r="A241" t="inlineStr">
        <is>
          <t>A 7467-2023</t>
        </is>
      </c>
      <c r="B241" s="1" t="n">
        <v>44966</v>
      </c>
      <c r="C241" s="1" t="n">
        <v>45973</v>
      </c>
      <c r="D241" t="inlineStr">
        <is>
          <t>DALARNAS LÄN</t>
        </is>
      </c>
      <c r="E241" t="inlineStr">
        <is>
          <t>LEKSAND</t>
        </is>
      </c>
      <c r="G241" t="n">
        <v>2.4</v>
      </c>
      <c r="H241" t="n">
        <v>0</v>
      </c>
      <c r="I241" t="n">
        <v>0</v>
      </c>
      <c r="J241" t="n">
        <v>0</v>
      </c>
      <c r="K241" t="n">
        <v>0</v>
      </c>
      <c r="L241" t="n">
        <v>0</v>
      </c>
      <c r="M241" t="n">
        <v>0</v>
      </c>
      <c r="N241" t="n">
        <v>0</v>
      </c>
      <c r="O241" t="n">
        <v>0</v>
      </c>
      <c r="P241" t="n">
        <v>0</v>
      </c>
      <c r="Q241" t="n">
        <v>0</v>
      </c>
      <c r="R241" s="2" t="inlineStr"/>
    </row>
    <row r="242" ht="15" customHeight="1">
      <c r="A242" t="inlineStr">
        <is>
          <t>A 45788-2021</t>
        </is>
      </c>
      <c r="B242" s="1" t="n">
        <v>44441</v>
      </c>
      <c r="C242" s="1" t="n">
        <v>45973</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47854-2023</t>
        </is>
      </c>
      <c r="B243" s="1" t="n">
        <v>45198</v>
      </c>
      <c r="C243" s="1" t="n">
        <v>45973</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5738-2023</t>
        </is>
      </c>
      <c r="B244" s="1" t="n">
        <v>44962</v>
      </c>
      <c r="C244" s="1" t="n">
        <v>45973</v>
      </c>
      <c r="D244" t="inlineStr">
        <is>
          <t>DALARNAS LÄN</t>
        </is>
      </c>
      <c r="E244" t="inlineStr">
        <is>
          <t>LEKSAND</t>
        </is>
      </c>
      <c r="G244" t="n">
        <v>0.2</v>
      </c>
      <c r="H244" t="n">
        <v>0</v>
      </c>
      <c r="I244" t="n">
        <v>0</v>
      </c>
      <c r="J244" t="n">
        <v>0</v>
      </c>
      <c r="K244" t="n">
        <v>0</v>
      </c>
      <c r="L244" t="n">
        <v>0</v>
      </c>
      <c r="M244" t="n">
        <v>0</v>
      </c>
      <c r="N244" t="n">
        <v>0</v>
      </c>
      <c r="O244" t="n">
        <v>0</v>
      </c>
      <c r="P244" t="n">
        <v>0</v>
      </c>
      <c r="Q244" t="n">
        <v>0</v>
      </c>
      <c r="R244" s="2" t="inlineStr"/>
    </row>
    <row r="245" ht="15" customHeight="1">
      <c r="A245" t="inlineStr">
        <is>
          <t>A 5570-2024</t>
        </is>
      </c>
      <c r="B245" s="1" t="n">
        <v>45334</v>
      </c>
      <c r="C245" s="1" t="n">
        <v>45973</v>
      </c>
      <c r="D245" t="inlineStr">
        <is>
          <t>DALARNAS LÄN</t>
        </is>
      </c>
      <c r="E245" t="inlineStr">
        <is>
          <t>LEKSAND</t>
        </is>
      </c>
      <c r="G245" t="n">
        <v>0.3</v>
      </c>
      <c r="H245" t="n">
        <v>0</v>
      </c>
      <c r="I245" t="n">
        <v>0</v>
      </c>
      <c r="J245" t="n">
        <v>0</v>
      </c>
      <c r="K245" t="n">
        <v>0</v>
      </c>
      <c r="L245" t="n">
        <v>0</v>
      </c>
      <c r="M245" t="n">
        <v>0</v>
      </c>
      <c r="N245" t="n">
        <v>0</v>
      </c>
      <c r="O245" t="n">
        <v>0</v>
      </c>
      <c r="P245" t="n">
        <v>0</v>
      </c>
      <c r="Q245" t="n">
        <v>0</v>
      </c>
      <c r="R245" s="2" t="inlineStr"/>
    </row>
    <row r="246" ht="15" customHeight="1">
      <c r="A246" t="inlineStr">
        <is>
          <t>A 39136-2023</t>
        </is>
      </c>
      <c r="B246" s="1" t="n">
        <v>45165</v>
      </c>
      <c r="C246" s="1" t="n">
        <v>45973</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43693-2022</t>
        </is>
      </c>
      <c r="B247" s="1" t="n">
        <v>44837.6369212963</v>
      </c>
      <c r="C247" s="1" t="n">
        <v>45973</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43735-2022</t>
        </is>
      </c>
      <c r="B248" s="1" t="n">
        <v>44837.70210648148</v>
      </c>
      <c r="C248" s="1" t="n">
        <v>45973</v>
      </c>
      <c r="D248" t="inlineStr">
        <is>
          <t>DALARNAS LÄN</t>
        </is>
      </c>
      <c r="E248" t="inlineStr">
        <is>
          <t>LEKSAND</t>
        </is>
      </c>
      <c r="G248" t="n">
        <v>2.9</v>
      </c>
      <c r="H248" t="n">
        <v>0</v>
      </c>
      <c r="I248" t="n">
        <v>0</v>
      </c>
      <c r="J248" t="n">
        <v>0</v>
      </c>
      <c r="K248" t="n">
        <v>0</v>
      </c>
      <c r="L248" t="n">
        <v>0</v>
      </c>
      <c r="M248" t="n">
        <v>0</v>
      </c>
      <c r="N248" t="n">
        <v>0</v>
      </c>
      <c r="O248" t="n">
        <v>0</v>
      </c>
      <c r="P248" t="n">
        <v>0</v>
      </c>
      <c r="Q248" t="n">
        <v>0</v>
      </c>
      <c r="R248" s="2" t="inlineStr"/>
    </row>
    <row r="249" ht="15" customHeight="1">
      <c r="A249" t="inlineStr">
        <is>
          <t>A 17726-2024</t>
        </is>
      </c>
      <c r="B249" s="1" t="n">
        <v>45418.55609953704</v>
      </c>
      <c r="C249" s="1" t="n">
        <v>45973</v>
      </c>
      <c r="D249" t="inlineStr">
        <is>
          <t>DALARNAS LÄN</t>
        </is>
      </c>
      <c r="E249" t="inlineStr">
        <is>
          <t>LEKSAND</t>
        </is>
      </c>
      <c r="G249" t="n">
        <v>5.2</v>
      </c>
      <c r="H249" t="n">
        <v>0</v>
      </c>
      <c r="I249" t="n">
        <v>0</v>
      </c>
      <c r="J249" t="n">
        <v>0</v>
      </c>
      <c r="K249" t="n">
        <v>0</v>
      </c>
      <c r="L249" t="n">
        <v>0</v>
      </c>
      <c r="M249" t="n">
        <v>0</v>
      </c>
      <c r="N249" t="n">
        <v>0</v>
      </c>
      <c r="O249" t="n">
        <v>0</v>
      </c>
      <c r="P249" t="n">
        <v>0</v>
      </c>
      <c r="Q249" t="n">
        <v>0</v>
      </c>
      <c r="R249" s="2" t="inlineStr"/>
    </row>
    <row r="250" ht="15" customHeight="1">
      <c r="A250" t="inlineStr">
        <is>
          <t>A 28592-2023</t>
        </is>
      </c>
      <c r="B250" s="1" t="n">
        <v>45103</v>
      </c>
      <c r="C250" s="1" t="n">
        <v>45973</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2517-2024</t>
        </is>
      </c>
      <c r="B251" s="1" t="n">
        <v>45313</v>
      </c>
      <c r="C251" s="1" t="n">
        <v>45973</v>
      </c>
      <c r="D251" t="inlineStr">
        <is>
          <t>DALARNAS LÄN</t>
        </is>
      </c>
      <c r="E251" t="inlineStr">
        <is>
          <t>LEKSAND</t>
        </is>
      </c>
      <c r="F251" t="inlineStr">
        <is>
          <t>Bergvik skog väst AB</t>
        </is>
      </c>
      <c r="G251" t="n">
        <v>4</v>
      </c>
      <c r="H251" t="n">
        <v>0</v>
      </c>
      <c r="I251" t="n">
        <v>0</v>
      </c>
      <c r="J251" t="n">
        <v>0</v>
      </c>
      <c r="K251" t="n">
        <v>0</v>
      </c>
      <c r="L251" t="n">
        <v>0</v>
      </c>
      <c r="M251" t="n">
        <v>0</v>
      </c>
      <c r="N251" t="n">
        <v>0</v>
      </c>
      <c r="O251" t="n">
        <v>0</v>
      </c>
      <c r="P251" t="n">
        <v>0</v>
      </c>
      <c r="Q251" t="n">
        <v>0</v>
      </c>
      <c r="R251" s="2" t="inlineStr"/>
    </row>
    <row r="252" ht="15" customHeight="1">
      <c r="A252" t="inlineStr">
        <is>
          <t>A 44469-2024</t>
        </is>
      </c>
      <c r="B252" s="1" t="n">
        <v>45574</v>
      </c>
      <c r="C252" s="1" t="n">
        <v>45973</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60692-2023</t>
        </is>
      </c>
      <c r="B253" s="1" t="n">
        <v>45260.50008101852</v>
      </c>
      <c r="C253" s="1" t="n">
        <v>45973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52293-2024</t>
        </is>
      </c>
      <c r="B254" s="1" t="n">
        <v>45608.71297453704</v>
      </c>
      <c r="C254" s="1" t="n">
        <v>45973</v>
      </c>
      <c r="D254" t="inlineStr">
        <is>
          <t>DALARNAS LÄN</t>
        </is>
      </c>
      <c r="E254" t="inlineStr">
        <is>
          <t>LEKSAND</t>
        </is>
      </c>
      <c r="G254" t="n">
        <v>1.6</v>
      </c>
      <c r="H254" t="n">
        <v>0</v>
      </c>
      <c r="I254" t="n">
        <v>0</v>
      </c>
      <c r="J254" t="n">
        <v>0</v>
      </c>
      <c r="K254" t="n">
        <v>0</v>
      </c>
      <c r="L254" t="n">
        <v>0</v>
      </c>
      <c r="M254" t="n">
        <v>0</v>
      </c>
      <c r="N254" t="n">
        <v>0</v>
      </c>
      <c r="O254" t="n">
        <v>0</v>
      </c>
      <c r="P254" t="n">
        <v>0</v>
      </c>
      <c r="Q254" t="n">
        <v>0</v>
      </c>
      <c r="R254" s="2" t="inlineStr"/>
    </row>
    <row r="255" ht="15" customHeight="1">
      <c r="A255" t="inlineStr">
        <is>
          <t>A 46876-2023</t>
        </is>
      </c>
      <c r="B255" s="1" t="n">
        <v>45200</v>
      </c>
      <c r="C255" s="1" t="n">
        <v>45973</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2630-2025</t>
        </is>
      </c>
      <c r="B256" s="1" t="n">
        <v>45675.85865740741</v>
      </c>
      <c r="C256" s="1" t="n">
        <v>45973</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30204-2024</t>
        </is>
      </c>
      <c r="B257" s="1" t="n">
        <v>45490.35402777778</v>
      </c>
      <c r="C257" s="1" t="n">
        <v>45973</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9857-2025</t>
        </is>
      </c>
      <c r="B258" s="1" t="n">
        <v>45716.62609953704</v>
      </c>
      <c r="C258" s="1" t="n">
        <v>45973</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19618-2024</t>
        </is>
      </c>
      <c r="B259" s="1" t="n">
        <v>45432.32896990741</v>
      </c>
      <c r="C259" s="1" t="n">
        <v>45973</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40181-2023</t>
        </is>
      </c>
      <c r="B260" s="1" t="n">
        <v>45169</v>
      </c>
      <c r="C260" s="1" t="n">
        <v>45973</v>
      </c>
      <c r="D260" t="inlineStr">
        <is>
          <t>DALARNAS LÄN</t>
        </is>
      </c>
      <c r="E260" t="inlineStr">
        <is>
          <t>LEKSAND</t>
        </is>
      </c>
      <c r="G260" t="n">
        <v>2.8</v>
      </c>
      <c r="H260" t="n">
        <v>0</v>
      </c>
      <c r="I260" t="n">
        <v>0</v>
      </c>
      <c r="J260" t="n">
        <v>0</v>
      </c>
      <c r="K260" t="n">
        <v>0</v>
      </c>
      <c r="L260" t="n">
        <v>0</v>
      </c>
      <c r="M260" t="n">
        <v>0</v>
      </c>
      <c r="N260" t="n">
        <v>0</v>
      </c>
      <c r="O260" t="n">
        <v>0</v>
      </c>
      <c r="P260" t="n">
        <v>0</v>
      </c>
      <c r="Q260" t="n">
        <v>0</v>
      </c>
      <c r="R260" s="2" t="inlineStr"/>
    </row>
    <row r="261" ht="15" customHeight="1">
      <c r="A261" t="inlineStr">
        <is>
          <t>A 13063-2023</t>
        </is>
      </c>
      <c r="B261" s="1" t="n">
        <v>45001</v>
      </c>
      <c r="C261" s="1" t="n">
        <v>45973</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1267-2025</t>
        </is>
      </c>
      <c r="B262" s="1" t="n">
        <v>45667</v>
      </c>
      <c r="C262" s="1" t="n">
        <v>45973</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42727-2024</t>
        </is>
      </c>
      <c r="B263" s="1" t="n">
        <v>45566</v>
      </c>
      <c r="C263" s="1" t="n">
        <v>45973</v>
      </c>
      <c r="D263" t="inlineStr">
        <is>
          <t>DALARNAS LÄN</t>
        </is>
      </c>
      <c r="E263" t="inlineStr">
        <is>
          <t>LEKSAND</t>
        </is>
      </c>
      <c r="G263" t="n">
        <v>0.8</v>
      </c>
      <c r="H263" t="n">
        <v>0</v>
      </c>
      <c r="I263" t="n">
        <v>0</v>
      </c>
      <c r="J263" t="n">
        <v>0</v>
      </c>
      <c r="K263" t="n">
        <v>0</v>
      </c>
      <c r="L263" t="n">
        <v>0</v>
      </c>
      <c r="M263" t="n">
        <v>0</v>
      </c>
      <c r="N263" t="n">
        <v>0</v>
      </c>
      <c r="O263" t="n">
        <v>0</v>
      </c>
      <c r="P263" t="n">
        <v>0</v>
      </c>
      <c r="Q263" t="n">
        <v>0</v>
      </c>
      <c r="R263" s="2" t="inlineStr"/>
    </row>
    <row r="264" ht="15" customHeight="1">
      <c r="A264" t="inlineStr">
        <is>
          <t>A 42230-2023</t>
        </is>
      </c>
      <c r="B264" s="1" t="n">
        <v>45180</v>
      </c>
      <c r="C264" s="1" t="n">
        <v>45973</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36444-2023</t>
        </is>
      </c>
      <c r="B265" s="1" t="n">
        <v>45152.63138888889</v>
      </c>
      <c r="C265" s="1" t="n">
        <v>45973</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3183-2025</t>
        </is>
      </c>
      <c r="B266" s="1" t="n">
        <v>45679.40298611111</v>
      </c>
      <c r="C266" s="1" t="n">
        <v>45973</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40407-2024</t>
        </is>
      </c>
      <c r="B267" s="1" t="n">
        <v>45555</v>
      </c>
      <c r="C267" s="1" t="n">
        <v>45973</v>
      </c>
      <c r="D267" t="inlineStr">
        <is>
          <t>DALARNAS LÄN</t>
        </is>
      </c>
      <c r="E267" t="inlineStr">
        <is>
          <t>LEKSAND</t>
        </is>
      </c>
      <c r="G267" t="n">
        <v>1.4</v>
      </c>
      <c r="H267" t="n">
        <v>0</v>
      </c>
      <c r="I267" t="n">
        <v>0</v>
      </c>
      <c r="J267" t="n">
        <v>0</v>
      </c>
      <c r="K267" t="n">
        <v>0</v>
      </c>
      <c r="L267" t="n">
        <v>0</v>
      </c>
      <c r="M267" t="n">
        <v>0</v>
      </c>
      <c r="N267" t="n">
        <v>0</v>
      </c>
      <c r="O267" t="n">
        <v>0</v>
      </c>
      <c r="P267" t="n">
        <v>0</v>
      </c>
      <c r="Q267" t="n">
        <v>0</v>
      </c>
      <c r="R267" s="2" t="inlineStr"/>
    </row>
    <row r="268" ht="15" customHeight="1">
      <c r="A268" t="inlineStr">
        <is>
          <t>A 59751-2024</t>
        </is>
      </c>
      <c r="B268" s="1" t="n">
        <v>45638</v>
      </c>
      <c r="C268" s="1" t="n">
        <v>45973</v>
      </c>
      <c r="D268" t="inlineStr">
        <is>
          <t>DALARNAS LÄN</t>
        </is>
      </c>
      <c r="E268" t="inlineStr">
        <is>
          <t>LEKSAND</t>
        </is>
      </c>
      <c r="G268" t="n">
        <v>5.2</v>
      </c>
      <c r="H268" t="n">
        <v>0</v>
      </c>
      <c r="I268" t="n">
        <v>0</v>
      </c>
      <c r="J268" t="n">
        <v>0</v>
      </c>
      <c r="K268" t="n">
        <v>0</v>
      </c>
      <c r="L268" t="n">
        <v>0</v>
      </c>
      <c r="M268" t="n">
        <v>0</v>
      </c>
      <c r="N268" t="n">
        <v>0</v>
      </c>
      <c r="O268" t="n">
        <v>0</v>
      </c>
      <c r="P268" t="n">
        <v>0</v>
      </c>
      <c r="Q268" t="n">
        <v>0</v>
      </c>
      <c r="R268" s="2" t="inlineStr"/>
    </row>
    <row r="269" ht="15" customHeight="1">
      <c r="A269" t="inlineStr">
        <is>
          <t>A 54917-2024</t>
        </is>
      </c>
      <c r="B269" s="1" t="n">
        <v>45618.69581018519</v>
      </c>
      <c r="C269" s="1" t="n">
        <v>45973</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19700-2025</t>
        </is>
      </c>
      <c r="B270" s="1" t="n">
        <v>45771.32445601852</v>
      </c>
      <c r="C270" s="1" t="n">
        <v>45973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46628-2024</t>
        </is>
      </c>
      <c r="B271" s="1" t="n">
        <v>45583.33195601852</v>
      </c>
      <c r="C271" s="1" t="n">
        <v>45973</v>
      </c>
      <c r="D271" t="inlineStr">
        <is>
          <t>DALARNAS LÄN</t>
        </is>
      </c>
      <c r="E271" t="inlineStr">
        <is>
          <t>LEKSAND</t>
        </is>
      </c>
      <c r="G271" t="n">
        <v>0.2</v>
      </c>
      <c r="H271" t="n">
        <v>0</v>
      </c>
      <c r="I271" t="n">
        <v>0</v>
      </c>
      <c r="J271" t="n">
        <v>0</v>
      </c>
      <c r="K271" t="n">
        <v>0</v>
      </c>
      <c r="L271" t="n">
        <v>0</v>
      </c>
      <c r="M271" t="n">
        <v>0</v>
      </c>
      <c r="N271" t="n">
        <v>0</v>
      </c>
      <c r="O271" t="n">
        <v>0</v>
      </c>
      <c r="P271" t="n">
        <v>0</v>
      </c>
      <c r="Q271" t="n">
        <v>0</v>
      </c>
      <c r="R271" s="2" t="inlineStr"/>
    </row>
    <row r="272" ht="15" customHeight="1">
      <c r="A272" t="inlineStr">
        <is>
          <t>A 19296-2024</t>
        </is>
      </c>
      <c r="B272" s="1" t="n">
        <v>45428.69438657408</v>
      </c>
      <c r="C272" s="1" t="n">
        <v>45973</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9141-2023</t>
        </is>
      </c>
      <c r="B273" s="1" t="n">
        <v>44974</v>
      </c>
      <c r="C273" s="1" t="n">
        <v>45973</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34244-2024</t>
        </is>
      </c>
      <c r="B274" s="1" t="n">
        <v>45524.58349537037</v>
      </c>
      <c r="C274" s="1" t="n">
        <v>45973</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54844-2021</t>
        </is>
      </c>
      <c r="B275" s="1" t="n">
        <v>44474.30614583333</v>
      </c>
      <c r="C275" s="1" t="n">
        <v>45973</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8045-2024</t>
        </is>
      </c>
      <c r="B276" s="1" t="n">
        <v>45351.31371527778</v>
      </c>
      <c r="C276" s="1" t="n">
        <v>45973</v>
      </c>
      <c r="D276" t="inlineStr">
        <is>
          <t>DALARNAS LÄN</t>
        </is>
      </c>
      <c r="E276" t="inlineStr">
        <is>
          <t>LEKSAND</t>
        </is>
      </c>
      <c r="G276" t="n">
        <v>6.7</v>
      </c>
      <c r="H276" t="n">
        <v>0</v>
      </c>
      <c r="I276" t="n">
        <v>0</v>
      </c>
      <c r="J276" t="n">
        <v>0</v>
      </c>
      <c r="K276" t="n">
        <v>0</v>
      </c>
      <c r="L276" t="n">
        <v>0</v>
      </c>
      <c r="M276" t="n">
        <v>0</v>
      </c>
      <c r="N276" t="n">
        <v>0</v>
      </c>
      <c r="O276" t="n">
        <v>0</v>
      </c>
      <c r="P276" t="n">
        <v>0</v>
      </c>
      <c r="Q276" t="n">
        <v>0</v>
      </c>
      <c r="R276" s="2" t="inlineStr"/>
    </row>
    <row r="277" ht="15" customHeight="1">
      <c r="A277" t="inlineStr">
        <is>
          <t>A 8211-2023</t>
        </is>
      </c>
      <c r="B277" s="1" t="n">
        <v>44974</v>
      </c>
      <c r="C277" s="1" t="n">
        <v>45973</v>
      </c>
      <c r="D277" t="inlineStr">
        <is>
          <t>DALARNAS LÄN</t>
        </is>
      </c>
      <c r="E277" t="inlineStr">
        <is>
          <t>LEKSAND</t>
        </is>
      </c>
      <c r="G277" t="n">
        <v>5.2</v>
      </c>
      <c r="H277" t="n">
        <v>0</v>
      </c>
      <c r="I277" t="n">
        <v>0</v>
      </c>
      <c r="J277" t="n">
        <v>0</v>
      </c>
      <c r="K277" t="n">
        <v>0</v>
      </c>
      <c r="L277" t="n">
        <v>0</v>
      </c>
      <c r="M277" t="n">
        <v>0</v>
      </c>
      <c r="N277" t="n">
        <v>0</v>
      </c>
      <c r="O277" t="n">
        <v>0</v>
      </c>
      <c r="P277" t="n">
        <v>0</v>
      </c>
      <c r="Q277" t="n">
        <v>0</v>
      </c>
      <c r="R277" s="2" t="inlineStr"/>
    </row>
    <row r="278" ht="15" customHeight="1">
      <c r="A278" t="inlineStr">
        <is>
          <t>A 776-2021</t>
        </is>
      </c>
      <c r="B278" s="1" t="n">
        <v>44203</v>
      </c>
      <c r="C278" s="1" t="n">
        <v>45973</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57013-2023</t>
        </is>
      </c>
      <c r="B279" s="1" t="n">
        <v>45244</v>
      </c>
      <c r="C279" s="1" t="n">
        <v>45973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37832-2023</t>
        </is>
      </c>
      <c r="B280" s="1" t="n">
        <v>45160.3479050926</v>
      </c>
      <c r="C280" s="1" t="n">
        <v>45973</v>
      </c>
      <c r="D280" t="inlineStr">
        <is>
          <t>DALARNAS LÄN</t>
        </is>
      </c>
      <c r="E280" t="inlineStr">
        <is>
          <t>LEKSAND</t>
        </is>
      </c>
      <c r="G280" t="n">
        <v>2</v>
      </c>
      <c r="H280" t="n">
        <v>0</v>
      </c>
      <c r="I280" t="n">
        <v>0</v>
      </c>
      <c r="J280" t="n">
        <v>0</v>
      </c>
      <c r="K280" t="n">
        <v>0</v>
      </c>
      <c r="L280" t="n">
        <v>0</v>
      </c>
      <c r="M280" t="n">
        <v>0</v>
      </c>
      <c r="N280" t="n">
        <v>0</v>
      </c>
      <c r="O280" t="n">
        <v>0</v>
      </c>
      <c r="P280" t="n">
        <v>0</v>
      </c>
      <c r="Q280" t="n">
        <v>0</v>
      </c>
      <c r="R280" s="2" t="inlineStr"/>
    </row>
    <row r="281" ht="15" customHeight="1">
      <c r="A281" t="inlineStr">
        <is>
          <t>A 46665-2023</t>
        </is>
      </c>
      <c r="B281" s="1" t="n">
        <v>45198.47399305556</v>
      </c>
      <c r="C281" s="1" t="n">
        <v>45973</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7861-2024</t>
        </is>
      </c>
      <c r="B282" s="1" t="n">
        <v>45350.30831018519</v>
      </c>
      <c r="C282" s="1" t="n">
        <v>45973</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18040-2024</t>
        </is>
      </c>
      <c r="B283" s="1" t="n">
        <v>45420.36664351852</v>
      </c>
      <c r="C283" s="1" t="n">
        <v>45973</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14615-2024</t>
        </is>
      </c>
      <c r="B284" s="1" t="n">
        <v>45397.26047453703</v>
      </c>
      <c r="C284" s="1" t="n">
        <v>45973</v>
      </c>
      <c r="D284" t="inlineStr">
        <is>
          <t>DALARNAS LÄN</t>
        </is>
      </c>
      <c r="E284" t="inlineStr">
        <is>
          <t>LEKSAND</t>
        </is>
      </c>
      <c r="G284" t="n">
        <v>0.4</v>
      </c>
      <c r="H284" t="n">
        <v>0</v>
      </c>
      <c r="I284" t="n">
        <v>0</v>
      </c>
      <c r="J284" t="n">
        <v>0</v>
      </c>
      <c r="K284" t="n">
        <v>0</v>
      </c>
      <c r="L284" t="n">
        <v>0</v>
      </c>
      <c r="M284" t="n">
        <v>0</v>
      </c>
      <c r="N284" t="n">
        <v>0</v>
      </c>
      <c r="O284" t="n">
        <v>0</v>
      </c>
      <c r="P284" t="n">
        <v>0</v>
      </c>
      <c r="Q284" t="n">
        <v>0</v>
      </c>
      <c r="R284" s="2" t="inlineStr"/>
    </row>
    <row r="285" ht="15" customHeight="1">
      <c r="A285" t="inlineStr">
        <is>
          <t>A 6778-2025</t>
        </is>
      </c>
      <c r="B285" s="1" t="n">
        <v>45700.64615740741</v>
      </c>
      <c r="C285" s="1" t="n">
        <v>45973</v>
      </c>
      <c r="D285" t="inlineStr">
        <is>
          <t>DALARNAS LÄN</t>
        </is>
      </c>
      <c r="E285" t="inlineStr">
        <is>
          <t>LEKSAND</t>
        </is>
      </c>
      <c r="G285" t="n">
        <v>2.4</v>
      </c>
      <c r="H285" t="n">
        <v>0</v>
      </c>
      <c r="I285" t="n">
        <v>0</v>
      </c>
      <c r="J285" t="n">
        <v>0</v>
      </c>
      <c r="K285" t="n">
        <v>0</v>
      </c>
      <c r="L285" t="n">
        <v>0</v>
      </c>
      <c r="M285" t="n">
        <v>0</v>
      </c>
      <c r="N285" t="n">
        <v>0</v>
      </c>
      <c r="O285" t="n">
        <v>0</v>
      </c>
      <c r="P285" t="n">
        <v>0</v>
      </c>
      <c r="Q285" t="n">
        <v>0</v>
      </c>
      <c r="R285" s="2" t="inlineStr"/>
    </row>
    <row r="286" ht="15" customHeight="1">
      <c r="A286" t="inlineStr">
        <is>
          <t>A 22080-2025</t>
        </is>
      </c>
      <c r="B286" s="1" t="n">
        <v>45785</v>
      </c>
      <c r="C286" s="1" t="n">
        <v>45973</v>
      </c>
      <c r="D286" t="inlineStr">
        <is>
          <t>DALARNAS LÄN</t>
        </is>
      </c>
      <c r="E286" t="inlineStr">
        <is>
          <t>LEKSAND</t>
        </is>
      </c>
      <c r="G286" t="n">
        <v>7</v>
      </c>
      <c r="H286" t="n">
        <v>0</v>
      </c>
      <c r="I286" t="n">
        <v>0</v>
      </c>
      <c r="J286" t="n">
        <v>0</v>
      </c>
      <c r="K286" t="n">
        <v>0</v>
      </c>
      <c r="L286" t="n">
        <v>0</v>
      </c>
      <c r="M286" t="n">
        <v>0</v>
      </c>
      <c r="N286" t="n">
        <v>0</v>
      </c>
      <c r="O286" t="n">
        <v>0</v>
      </c>
      <c r="P286" t="n">
        <v>0</v>
      </c>
      <c r="Q286" t="n">
        <v>0</v>
      </c>
      <c r="R286" s="2" t="inlineStr"/>
    </row>
    <row r="287" ht="15" customHeight="1">
      <c r="A287" t="inlineStr">
        <is>
          <t>A 30863-2024</t>
        </is>
      </c>
      <c r="B287" s="1" t="n">
        <v>45497.71074074074</v>
      </c>
      <c r="C287" s="1" t="n">
        <v>45973</v>
      </c>
      <c r="D287" t="inlineStr">
        <is>
          <t>DALARNAS LÄN</t>
        </is>
      </c>
      <c r="E287" t="inlineStr">
        <is>
          <t>LEKSAND</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54289-2023</t>
        </is>
      </c>
      <c r="B288" s="1" t="n">
        <v>45232.71193287037</v>
      </c>
      <c r="C288" s="1" t="n">
        <v>45973</v>
      </c>
      <c r="D288" t="inlineStr">
        <is>
          <t>DALARNAS LÄN</t>
        </is>
      </c>
      <c r="E288" t="inlineStr">
        <is>
          <t>LEKSAND</t>
        </is>
      </c>
      <c r="G288" t="n">
        <v>2</v>
      </c>
      <c r="H288" t="n">
        <v>0</v>
      </c>
      <c r="I288" t="n">
        <v>0</v>
      </c>
      <c r="J288" t="n">
        <v>0</v>
      </c>
      <c r="K288" t="n">
        <v>0</v>
      </c>
      <c r="L288" t="n">
        <v>0</v>
      </c>
      <c r="M288" t="n">
        <v>0</v>
      </c>
      <c r="N288" t="n">
        <v>0</v>
      </c>
      <c r="O288" t="n">
        <v>0</v>
      </c>
      <c r="P288" t="n">
        <v>0</v>
      </c>
      <c r="Q288" t="n">
        <v>0</v>
      </c>
      <c r="R288" s="2" t="inlineStr"/>
    </row>
    <row r="289" ht="15" customHeight="1">
      <c r="A289" t="inlineStr">
        <is>
          <t>A 43419-2024</t>
        </is>
      </c>
      <c r="B289" s="1" t="n">
        <v>45568</v>
      </c>
      <c r="C289" s="1" t="n">
        <v>45973</v>
      </c>
      <c r="D289" t="inlineStr">
        <is>
          <t>DALARNAS LÄN</t>
        </is>
      </c>
      <c r="E289" t="inlineStr">
        <is>
          <t>LEKSAND</t>
        </is>
      </c>
      <c r="G289" t="n">
        <v>0.4</v>
      </c>
      <c r="H289" t="n">
        <v>0</v>
      </c>
      <c r="I289" t="n">
        <v>0</v>
      </c>
      <c r="J289" t="n">
        <v>0</v>
      </c>
      <c r="K289" t="n">
        <v>0</v>
      </c>
      <c r="L289" t="n">
        <v>0</v>
      </c>
      <c r="M289" t="n">
        <v>0</v>
      </c>
      <c r="N289" t="n">
        <v>0</v>
      </c>
      <c r="O289" t="n">
        <v>0</v>
      </c>
      <c r="P289" t="n">
        <v>0</v>
      </c>
      <c r="Q289" t="n">
        <v>0</v>
      </c>
      <c r="R289" s="2" t="inlineStr"/>
    </row>
    <row r="290" ht="15" customHeight="1">
      <c r="A290" t="inlineStr">
        <is>
          <t>A 38498-2025</t>
        </is>
      </c>
      <c r="B290" s="1" t="n">
        <v>45884.3706712963</v>
      </c>
      <c r="C290" s="1" t="n">
        <v>45973</v>
      </c>
      <c r="D290" t="inlineStr">
        <is>
          <t>DALARNAS LÄN</t>
        </is>
      </c>
      <c r="E290" t="inlineStr">
        <is>
          <t>LEKSAND</t>
        </is>
      </c>
      <c r="G290" t="n">
        <v>2.1</v>
      </c>
      <c r="H290" t="n">
        <v>0</v>
      </c>
      <c r="I290" t="n">
        <v>0</v>
      </c>
      <c r="J290" t="n">
        <v>0</v>
      </c>
      <c r="K290" t="n">
        <v>0</v>
      </c>
      <c r="L290" t="n">
        <v>0</v>
      </c>
      <c r="M290" t="n">
        <v>0</v>
      </c>
      <c r="N290" t="n">
        <v>0</v>
      </c>
      <c r="O290" t="n">
        <v>0</v>
      </c>
      <c r="P290" t="n">
        <v>0</v>
      </c>
      <c r="Q290" t="n">
        <v>0</v>
      </c>
      <c r="R290" s="2" t="inlineStr"/>
    </row>
    <row r="291" ht="15" customHeight="1">
      <c r="A291" t="inlineStr">
        <is>
          <t>A 39595-2023</t>
        </is>
      </c>
      <c r="B291" s="1" t="n">
        <v>45167</v>
      </c>
      <c r="C291" s="1" t="n">
        <v>45973</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29157-2022</t>
        </is>
      </c>
      <c r="B292" s="1" t="n">
        <v>44750.48355324074</v>
      </c>
      <c r="C292" s="1" t="n">
        <v>45973</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22536-2025</t>
        </is>
      </c>
      <c r="B293" s="1" t="n">
        <v>45787.33037037037</v>
      </c>
      <c r="C293" s="1" t="n">
        <v>45973</v>
      </c>
      <c r="D293" t="inlineStr">
        <is>
          <t>DALARNAS LÄN</t>
        </is>
      </c>
      <c r="E293" t="inlineStr">
        <is>
          <t>LEKSAND</t>
        </is>
      </c>
      <c r="G293" t="n">
        <v>1.8</v>
      </c>
      <c r="H293" t="n">
        <v>0</v>
      </c>
      <c r="I293" t="n">
        <v>0</v>
      </c>
      <c r="J293" t="n">
        <v>0</v>
      </c>
      <c r="K293" t="n">
        <v>0</v>
      </c>
      <c r="L293" t="n">
        <v>0</v>
      </c>
      <c r="M293" t="n">
        <v>0</v>
      </c>
      <c r="N293" t="n">
        <v>0</v>
      </c>
      <c r="O293" t="n">
        <v>0</v>
      </c>
      <c r="P293" t="n">
        <v>0</v>
      </c>
      <c r="Q293" t="n">
        <v>0</v>
      </c>
      <c r="R293" s="2" t="inlineStr"/>
    </row>
    <row r="294" ht="15" customHeight="1">
      <c r="A294" t="inlineStr">
        <is>
          <t>A 60042-2023</t>
        </is>
      </c>
      <c r="B294" s="1" t="n">
        <v>45256</v>
      </c>
      <c r="C294" s="1" t="n">
        <v>45973</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24481-2024</t>
        </is>
      </c>
      <c r="B295" s="1" t="n">
        <v>45459.36460648148</v>
      </c>
      <c r="C295" s="1" t="n">
        <v>45973</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17606-2024</t>
        </is>
      </c>
      <c r="B296" s="1" t="n">
        <v>45415</v>
      </c>
      <c r="C296" s="1" t="n">
        <v>45973</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34033-2024</t>
        </is>
      </c>
      <c r="B297" s="1" t="n">
        <v>45523.59265046296</v>
      </c>
      <c r="C297" s="1" t="n">
        <v>45973</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22876-2025</t>
        </is>
      </c>
      <c r="B298" s="1" t="n">
        <v>45790.3728587963</v>
      </c>
      <c r="C298" s="1" t="n">
        <v>45973</v>
      </c>
      <c r="D298" t="inlineStr">
        <is>
          <t>DALARNAS LÄN</t>
        </is>
      </c>
      <c r="E298" t="inlineStr">
        <is>
          <t>LEKSAND</t>
        </is>
      </c>
      <c r="G298" t="n">
        <v>5.9</v>
      </c>
      <c r="H298" t="n">
        <v>0</v>
      </c>
      <c r="I298" t="n">
        <v>0</v>
      </c>
      <c r="J298" t="n">
        <v>0</v>
      </c>
      <c r="K298" t="n">
        <v>0</v>
      </c>
      <c r="L298" t="n">
        <v>0</v>
      </c>
      <c r="M298" t="n">
        <v>0</v>
      </c>
      <c r="N298" t="n">
        <v>0</v>
      </c>
      <c r="O298" t="n">
        <v>0</v>
      </c>
      <c r="P298" t="n">
        <v>0</v>
      </c>
      <c r="Q298" t="n">
        <v>0</v>
      </c>
      <c r="R298" s="2" t="inlineStr"/>
    </row>
    <row r="299" ht="15" customHeight="1">
      <c r="A299" t="inlineStr">
        <is>
          <t>A 23517-2025</t>
        </is>
      </c>
      <c r="B299" s="1" t="n">
        <v>45792</v>
      </c>
      <c r="C299" s="1" t="n">
        <v>45973</v>
      </c>
      <c r="D299" t="inlineStr">
        <is>
          <t>DALARNAS LÄN</t>
        </is>
      </c>
      <c r="E299" t="inlineStr">
        <is>
          <t>LEKSAND</t>
        </is>
      </c>
      <c r="G299" t="n">
        <v>2.2</v>
      </c>
      <c r="H299" t="n">
        <v>0</v>
      </c>
      <c r="I299" t="n">
        <v>0</v>
      </c>
      <c r="J299" t="n">
        <v>0</v>
      </c>
      <c r="K299" t="n">
        <v>0</v>
      </c>
      <c r="L299" t="n">
        <v>0</v>
      </c>
      <c r="M299" t="n">
        <v>0</v>
      </c>
      <c r="N299" t="n">
        <v>0</v>
      </c>
      <c r="O299" t="n">
        <v>0</v>
      </c>
      <c r="P299" t="n">
        <v>0</v>
      </c>
      <c r="Q299" t="n">
        <v>0</v>
      </c>
      <c r="R299" s="2" t="inlineStr"/>
    </row>
    <row r="300" ht="15" customHeight="1">
      <c r="A300" t="inlineStr">
        <is>
          <t>A 61054-2023</t>
        </is>
      </c>
      <c r="B300" s="1" t="n">
        <v>45261</v>
      </c>
      <c r="C300" s="1" t="n">
        <v>45973</v>
      </c>
      <c r="D300" t="inlineStr">
        <is>
          <t>DALARNAS LÄN</t>
        </is>
      </c>
      <c r="E300" t="inlineStr">
        <is>
          <t>LEKSAND</t>
        </is>
      </c>
      <c r="G300" t="n">
        <v>0.4</v>
      </c>
      <c r="H300" t="n">
        <v>0</v>
      </c>
      <c r="I300" t="n">
        <v>0</v>
      </c>
      <c r="J300" t="n">
        <v>0</v>
      </c>
      <c r="K300" t="n">
        <v>0</v>
      </c>
      <c r="L300" t="n">
        <v>0</v>
      </c>
      <c r="M300" t="n">
        <v>0</v>
      </c>
      <c r="N300" t="n">
        <v>0</v>
      </c>
      <c r="O300" t="n">
        <v>0</v>
      </c>
      <c r="P300" t="n">
        <v>0</v>
      </c>
      <c r="Q300" t="n">
        <v>0</v>
      </c>
      <c r="R300" s="2" t="inlineStr"/>
    </row>
    <row r="301" ht="15" customHeight="1">
      <c r="A301" t="inlineStr">
        <is>
          <t>A 61056-2023</t>
        </is>
      </c>
      <c r="B301" s="1" t="n">
        <v>45261</v>
      </c>
      <c r="C301" s="1" t="n">
        <v>45973</v>
      </c>
      <c r="D301" t="inlineStr">
        <is>
          <t>DALARNAS LÄN</t>
        </is>
      </c>
      <c r="E301" t="inlineStr">
        <is>
          <t>LEKSAND</t>
        </is>
      </c>
      <c r="G301" t="n">
        <v>0.3</v>
      </c>
      <c r="H301" t="n">
        <v>0</v>
      </c>
      <c r="I301" t="n">
        <v>0</v>
      </c>
      <c r="J301" t="n">
        <v>0</v>
      </c>
      <c r="K301" t="n">
        <v>0</v>
      </c>
      <c r="L301" t="n">
        <v>0</v>
      </c>
      <c r="M301" t="n">
        <v>0</v>
      </c>
      <c r="N301" t="n">
        <v>0</v>
      </c>
      <c r="O301" t="n">
        <v>0</v>
      </c>
      <c r="P301" t="n">
        <v>0</v>
      </c>
      <c r="Q301" t="n">
        <v>0</v>
      </c>
      <c r="R301" s="2" t="inlineStr"/>
    </row>
    <row r="302" ht="15" customHeight="1">
      <c r="A302" t="inlineStr">
        <is>
          <t>A 23058-2025</t>
        </is>
      </c>
      <c r="B302" s="1" t="n">
        <v>45790.78076388889</v>
      </c>
      <c r="C302" s="1" t="n">
        <v>45973</v>
      </c>
      <c r="D302" t="inlineStr">
        <is>
          <t>DALARNAS LÄN</t>
        </is>
      </c>
      <c r="E302" t="inlineStr">
        <is>
          <t>LEKSAND</t>
        </is>
      </c>
      <c r="G302" t="n">
        <v>6.7</v>
      </c>
      <c r="H302" t="n">
        <v>0</v>
      </c>
      <c r="I302" t="n">
        <v>0</v>
      </c>
      <c r="J302" t="n">
        <v>0</v>
      </c>
      <c r="K302" t="n">
        <v>0</v>
      </c>
      <c r="L302" t="n">
        <v>0</v>
      </c>
      <c r="M302" t="n">
        <v>0</v>
      </c>
      <c r="N302" t="n">
        <v>0</v>
      </c>
      <c r="O302" t="n">
        <v>0</v>
      </c>
      <c r="P302" t="n">
        <v>0</v>
      </c>
      <c r="Q302" t="n">
        <v>0</v>
      </c>
      <c r="R302" s="2" t="inlineStr"/>
    </row>
    <row r="303" ht="15" customHeight="1">
      <c r="A303" t="inlineStr">
        <is>
          <t>A 23076-2025</t>
        </is>
      </c>
      <c r="B303" s="1" t="n">
        <v>45790.90960648148</v>
      </c>
      <c r="C303" s="1" t="n">
        <v>45973</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57468-2023</t>
        </is>
      </c>
      <c r="B304" s="1" t="n">
        <v>45246</v>
      </c>
      <c r="C304" s="1" t="n">
        <v>45973</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44822-2024</t>
        </is>
      </c>
      <c r="B305" s="1" t="n">
        <v>45574.6646412037</v>
      </c>
      <c r="C305" s="1" t="n">
        <v>45973</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49499-2024</t>
        </is>
      </c>
      <c r="B306" s="1" t="n">
        <v>45596</v>
      </c>
      <c r="C306" s="1" t="n">
        <v>45973</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12356-2023</t>
        </is>
      </c>
      <c r="B307" s="1" t="n">
        <v>44998</v>
      </c>
      <c r="C307" s="1" t="n">
        <v>45973</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41046-2024</t>
        </is>
      </c>
      <c r="B308" s="1" t="n">
        <v>45559.36677083333</v>
      </c>
      <c r="C308" s="1" t="n">
        <v>45973</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23855-2025</t>
        </is>
      </c>
      <c r="B309" s="1" t="n">
        <v>45793.65900462963</v>
      </c>
      <c r="C309" s="1" t="n">
        <v>45973</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47640-2024</t>
        </is>
      </c>
      <c r="B310" s="1" t="n">
        <v>45588.36508101852</v>
      </c>
      <c r="C310" s="1" t="n">
        <v>45973</v>
      </c>
      <c r="D310" t="inlineStr">
        <is>
          <t>DALARNAS LÄN</t>
        </is>
      </c>
      <c r="E310" t="inlineStr">
        <is>
          <t>LEKSAND</t>
        </is>
      </c>
      <c r="G310" t="n">
        <v>9.1</v>
      </c>
      <c r="H310" t="n">
        <v>0</v>
      </c>
      <c r="I310" t="n">
        <v>0</v>
      </c>
      <c r="J310" t="n">
        <v>0</v>
      </c>
      <c r="K310" t="n">
        <v>0</v>
      </c>
      <c r="L310" t="n">
        <v>0</v>
      </c>
      <c r="M310" t="n">
        <v>0</v>
      </c>
      <c r="N310" t="n">
        <v>0</v>
      </c>
      <c r="O310" t="n">
        <v>0</v>
      </c>
      <c r="P310" t="n">
        <v>0</v>
      </c>
      <c r="Q310" t="n">
        <v>0</v>
      </c>
      <c r="R310" s="2" t="inlineStr"/>
    </row>
    <row r="311" ht="15" customHeight="1">
      <c r="A311" t="inlineStr">
        <is>
          <t>A 7894-2025</t>
        </is>
      </c>
      <c r="B311" s="1" t="n">
        <v>45707.30268518518</v>
      </c>
      <c r="C311" s="1" t="n">
        <v>45973</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56016-2024</t>
        </is>
      </c>
      <c r="B312" s="1" t="n">
        <v>45623.87737268519</v>
      </c>
      <c r="C312" s="1" t="n">
        <v>45973</v>
      </c>
      <c r="D312" t="inlineStr">
        <is>
          <t>DALARNAS LÄN</t>
        </is>
      </c>
      <c r="E312" t="inlineStr">
        <is>
          <t>LEKSAND</t>
        </is>
      </c>
      <c r="G312" t="n">
        <v>6.1</v>
      </c>
      <c r="H312" t="n">
        <v>0</v>
      </c>
      <c r="I312" t="n">
        <v>0</v>
      </c>
      <c r="J312" t="n">
        <v>0</v>
      </c>
      <c r="K312" t="n">
        <v>0</v>
      </c>
      <c r="L312" t="n">
        <v>0</v>
      </c>
      <c r="M312" t="n">
        <v>0</v>
      </c>
      <c r="N312" t="n">
        <v>0</v>
      </c>
      <c r="O312" t="n">
        <v>0</v>
      </c>
      <c r="P312" t="n">
        <v>0</v>
      </c>
      <c r="Q312" t="n">
        <v>0</v>
      </c>
      <c r="R312" s="2" t="inlineStr"/>
    </row>
    <row r="313" ht="15" customHeight="1">
      <c r="A313" t="inlineStr">
        <is>
          <t>A 58877-2023</t>
        </is>
      </c>
      <c r="B313" s="1" t="n">
        <v>45252</v>
      </c>
      <c r="C313" s="1" t="n">
        <v>45973</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17455-2022</t>
        </is>
      </c>
      <c r="B314" s="1" t="n">
        <v>44679.3775</v>
      </c>
      <c r="C314" s="1" t="n">
        <v>45973</v>
      </c>
      <c r="D314" t="inlineStr">
        <is>
          <t>DALARNAS LÄN</t>
        </is>
      </c>
      <c r="E314" t="inlineStr">
        <is>
          <t>LEKSAND</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60040-2023</t>
        </is>
      </c>
      <c r="B315" s="1" t="n">
        <v>45256</v>
      </c>
      <c r="C315" s="1" t="n">
        <v>45973</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24919-2024</t>
        </is>
      </c>
      <c r="B316" s="1" t="n">
        <v>45461.60636574074</v>
      </c>
      <c r="C316" s="1" t="n">
        <v>45973</v>
      </c>
      <c r="D316" t="inlineStr">
        <is>
          <t>DALARNAS LÄN</t>
        </is>
      </c>
      <c r="E316" t="inlineStr">
        <is>
          <t>LEKSAND</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33306-2023</t>
        </is>
      </c>
      <c r="B317" s="1" t="n">
        <v>45127</v>
      </c>
      <c r="C317" s="1" t="n">
        <v>45973</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33316-2023</t>
        </is>
      </c>
      <c r="B318" s="1" t="n">
        <v>45127</v>
      </c>
      <c r="C318" s="1" t="n">
        <v>45973</v>
      </c>
      <c r="D318" t="inlineStr">
        <is>
          <t>DALARNAS LÄN</t>
        </is>
      </c>
      <c r="E318" t="inlineStr">
        <is>
          <t>LEKSAND</t>
        </is>
      </c>
      <c r="G318" t="n">
        <v>8.9</v>
      </c>
      <c r="H318" t="n">
        <v>0</v>
      </c>
      <c r="I318" t="n">
        <v>0</v>
      </c>
      <c r="J318" t="n">
        <v>0</v>
      </c>
      <c r="K318" t="n">
        <v>0</v>
      </c>
      <c r="L318" t="n">
        <v>0</v>
      </c>
      <c r="M318" t="n">
        <v>0</v>
      </c>
      <c r="N318" t="n">
        <v>0</v>
      </c>
      <c r="O318" t="n">
        <v>0</v>
      </c>
      <c r="P318" t="n">
        <v>0</v>
      </c>
      <c r="Q318" t="n">
        <v>0</v>
      </c>
      <c r="R318" s="2" t="inlineStr"/>
    </row>
    <row r="319" ht="15" customHeight="1">
      <c r="A319" t="inlineStr">
        <is>
          <t>A 7897-2025</t>
        </is>
      </c>
      <c r="B319" s="1" t="n">
        <v>45707.30969907407</v>
      </c>
      <c r="C319" s="1" t="n">
        <v>45973</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38721-2025</t>
        </is>
      </c>
      <c r="B320" s="1" t="n">
        <v>45886.83605324074</v>
      </c>
      <c r="C320" s="1" t="n">
        <v>45973</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7450-2023</t>
        </is>
      </c>
      <c r="B321" s="1" t="n">
        <v>44971</v>
      </c>
      <c r="C321" s="1" t="n">
        <v>45973</v>
      </c>
      <c r="D321" t="inlineStr">
        <is>
          <t>DALARNAS LÄN</t>
        </is>
      </c>
      <c r="E321" t="inlineStr">
        <is>
          <t>LEKSAND</t>
        </is>
      </c>
      <c r="G321" t="n">
        <v>3</v>
      </c>
      <c r="H321" t="n">
        <v>0</v>
      </c>
      <c r="I321" t="n">
        <v>0</v>
      </c>
      <c r="J321" t="n">
        <v>0</v>
      </c>
      <c r="K321" t="n">
        <v>0</v>
      </c>
      <c r="L321" t="n">
        <v>0</v>
      </c>
      <c r="M321" t="n">
        <v>0</v>
      </c>
      <c r="N321" t="n">
        <v>0</v>
      </c>
      <c r="O321" t="n">
        <v>0</v>
      </c>
      <c r="P321" t="n">
        <v>0</v>
      </c>
      <c r="Q321" t="n">
        <v>0</v>
      </c>
      <c r="R321" s="2" t="inlineStr"/>
    </row>
    <row r="322" ht="15" customHeight="1">
      <c r="A322" t="inlineStr">
        <is>
          <t>A 39546-2025</t>
        </is>
      </c>
      <c r="B322" s="1" t="n">
        <v>45890.45706018519</v>
      </c>
      <c r="C322" s="1" t="n">
        <v>45973</v>
      </c>
      <c r="D322" t="inlineStr">
        <is>
          <t>DALARNAS LÄN</t>
        </is>
      </c>
      <c r="E322" t="inlineStr">
        <is>
          <t>LEKSAND</t>
        </is>
      </c>
      <c r="G322" t="n">
        <v>4.6</v>
      </c>
      <c r="H322" t="n">
        <v>0</v>
      </c>
      <c r="I322" t="n">
        <v>0</v>
      </c>
      <c r="J322" t="n">
        <v>0</v>
      </c>
      <c r="K322" t="n">
        <v>0</v>
      </c>
      <c r="L322" t="n">
        <v>0</v>
      </c>
      <c r="M322" t="n">
        <v>0</v>
      </c>
      <c r="N322" t="n">
        <v>0</v>
      </c>
      <c r="O322" t="n">
        <v>0</v>
      </c>
      <c r="P322" t="n">
        <v>0</v>
      </c>
      <c r="Q322" t="n">
        <v>0</v>
      </c>
      <c r="R322" s="2" t="inlineStr"/>
    </row>
    <row r="323" ht="15" customHeight="1">
      <c r="A323" t="inlineStr">
        <is>
          <t>A 39572-2025</t>
        </is>
      </c>
      <c r="B323" s="1" t="n">
        <v>45890</v>
      </c>
      <c r="C323" s="1" t="n">
        <v>45973</v>
      </c>
      <c r="D323" t="inlineStr">
        <is>
          <t>DALARNAS LÄN</t>
        </is>
      </c>
      <c r="E323" t="inlineStr">
        <is>
          <t>LEKSAND</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55926-2024</t>
        </is>
      </c>
      <c r="B324" s="1" t="n">
        <v>45623.601875</v>
      </c>
      <c r="C324" s="1" t="n">
        <v>45973</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47976-2025</t>
        </is>
      </c>
      <c r="B325" s="1" t="n">
        <v>45932.60846064815</v>
      </c>
      <c r="C325" s="1" t="n">
        <v>45973</v>
      </c>
      <c r="D325" t="inlineStr">
        <is>
          <t>DALARNAS LÄN</t>
        </is>
      </c>
      <c r="E325" t="inlineStr">
        <is>
          <t>LEKSAND</t>
        </is>
      </c>
      <c r="F325" t="inlineStr">
        <is>
          <t>Bergvik skog väst AB</t>
        </is>
      </c>
      <c r="G325" t="n">
        <v>0.3</v>
      </c>
      <c r="H325" t="n">
        <v>0</v>
      </c>
      <c r="I325" t="n">
        <v>0</v>
      </c>
      <c r="J325" t="n">
        <v>0</v>
      </c>
      <c r="K325" t="n">
        <v>0</v>
      </c>
      <c r="L325" t="n">
        <v>0</v>
      </c>
      <c r="M325" t="n">
        <v>0</v>
      </c>
      <c r="N325" t="n">
        <v>0</v>
      </c>
      <c r="O325" t="n">
        <v>0</v>
      </c>
      <c r="P325" t="n">
        <v>0</v>
      </c>
      <c r="Q325" t="n">
        <v>0</v>
      </c>
      <c r="R325" s="2" t="inlineStr"/>
    </row>
    <row r="326" ht="15" customHeight="1">
      <c r="A326" t="inlineStr">
        <is>
          <t>A 47977-2025</t>
        </is>
      </c>
      <c r="B326" s="1" t="n">
        <v>45932.60920138889</v>
      </c>
      <c r="C326" s="1" t="n">
        <v>45973</v>
      </c>
      <c r="D326" t="inlineStr">
        <is>
          <t>DALARNAS LÄN</t>
        </is>
      </c>
      <c r="E326" t="inlineStr">
        <is>
          <t>LEKSAND</t>
        </is>
      </c>
      <c r="F326" t="inlineStr">
        <is>
          <t>Bergvik skog väst AB</t>
        </is>
      </c>
      <c r="G326" t="n">
        <v>0.2</v>
      </c>
      <c r="H326" t="n">
        <v>0</v>
      </c>
      <c r="I326" t="n">
        <v>0</v>
      </c>
      <c r="J326" t="n">
        <v>0</v>
      </c>
      <c r="K326" t="n">
        <v>0</v>
      </c>
      <c r="L326" t="n">
        <v>0</v>
      </c>
      <c r="M326" t="n">
        <v>0</v>
      </c>
      <c r="N326" t="n">
        <v>0</v>
      </c>
      <c r="O326" t="n">
        <v>0</v>
      </c>
      <c r="P326" t="n">
        <v>0</v>
      </c>
      <c r="Q326" t="n">
        <v>0</v>
      </c>
      <c r="R326" s="2" t="inlineStr"/>
    </row>
    <row r="327" ht="15" customHeight="1">
      <c r="A327" t="inlineStr">
        <is>
          <t>A 16293-2025</t>
        </is>
      </c>
      <c r="B327" s="1" t="n">
        <v>45751.33447916667</v>
      </c>
      <c r="C327" s="1" t="n">
        <v>45973</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22681-2022</t>
        </is>
      </c>
      <c r="B328" s="1" t="n">
        <v>44714.50961805556</v>
      </c>
      <c r="C328" s="1" t="n">
        <v>45973</v>
      </c>
      <c r="D328" t="inlineStr">
        <is>
          <t>DALARNAS LÄN</t>
        </is>
      </c>
      <c r="E328" t="inlineStr">
        <is>
          <t>LEKSAND</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51860-2024</t>
        </is>
      </c>
      <c r="B329" s="1" t="n">
        <v>45607.54511574074</v>
      </c>
      <c r="C329" s="1" t="n">
        <v>45973</v>
      </c>
      <c r="D329" t="inlineStr">
        <is>
          <t>DALARNAS LÄN</t>
        </is>
      </c>
      <c r="E329" t="inlineStr">
        <is>
          <t>LEKSAND</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39569-2025</t>
        </is>
      </c>
      <c r="B330" s="1" t="n">
        <v>45890</v>
      </c>
      <c r="C330" s="1" t="n">
        <v>45973</v>
      </c>
      <c r="D330" t="inlineStr">
        <is>
          <t>DALARNAS LÄN</t>
        </is>
      </c>
      <c r="E330" t="inlineStr">
        <is>
          <t>LEKSAND</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23891-2025</t>
        </is>
      </c>
      <c r="B331" s="1" t="n">
        <v>45793</v>
      </c>
      <c r="C331" s="1" t="n">
        <v>45973</v>
      </c>
      <c r="D331" t="inlineStr">
        <is>
          <t>DALARNAS LÄN</t>
        </is>
      </c>
      <c r="E331" t="inlineStr">
        <is>
          <t>LEKSAND</t>
        </is>
      </c>
      <c r="F331" t="inlineStr">
        <is>
          <t>Kommuner</t>
        </is>
      </c>
      <c r="G331" t="n">
        <v>1.5</v>
      </c>
      <c r="H331" t="n">
        <v>0</v>
      </c>
      <c r="I331" t="n">
        <v>0</v>
      </c>
      <c r="J331" t="n">
        <v>0</v>
      </c>
      <c r="K331" t="n">
        <v>0</v>
      </c>
      <c r="L331" t="n">
        <v>0</v>
      </c>
      <c r="M331" t="n">
        <v>0</v>
      </c>
      <c r="N331" t="n">
        <v>0</v>
      </c>
      <c r="O331" t="n">
        <v>0</v>
      </c>
      <c r="P331" t="n">
        <v>0</v>
      </c>
      <c r="Q331" t="n">
        <v>0</v>
      </c>
      <c r="R331" s="2" t="inlineStr"/>
    </row>
    <row r="332" ht="15" customHeight="1">
      <c r="A332" t="inlineStr">
        <is>
          <t>A 12363-2023</t>
        </is>
      </c>
      <c r="B332" s="1" t="n">
        <v>44998</v>
      </c>
      <c r="C332" s="1" t="n">
        <v>45973</v>
      </c>
      <c r="D332" t="inlineStr">
        <is>
          <t>DALARNAS LÄN</t>
        </is>
      </c>
      <c r="E332" t="inlineStr">
        <is>
          <t>LEKSAND</t>
        </is>
      </c>
      <c r="G332" t="n">
        <v>10</v>
      </c>
      <c r="H332" t="n">
        <v>0</v>
      </c>
      <c r="I332" t="n">
        <v>0</v>
      </c>
      <c r="J332" t="n">
        <v>0</v>
      </c>
      <c r="K332" t="n">
        <v>0</v>
      </c>
      <c r="L332" t="n">
        <v>0</v>
      </c>
      <c r="M332" t="n">
        <v>0</v>
      </c>
      <c r="N332" t="n">
        <v>0</v>
      </c>
      <c r="O332" t="n">
        <v>0</v>
      </c>
      <c r="P332" t="n">
        <v>0</v>
      </c>
      <c r="Q332" t="n">
        <v>0</v>
      </c>
      <c r="R332" s="2" t="inlineStr"/>
    </row>
    <row r="333" ht="15" customHeight="1">
      <c r="A333" t="inlineStr">
        <is>
          <t>A 30196-2023</t>
        </is>
      </c>
      <c r="B333" s="1" t="n">
        <v>45110</v>
      </c>
      <c r="C333" s="1" t="n">
        <v>45973</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46446-2023</t>
        </is>
      </c>
      <c r="B334" s="1" t="n">
        <v>45197.59344907408</v>
      </c>
      <c r="C334" s="1" t="n">
        <v>45973</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15020-2023</t>
        </is>
      </c>
      <c r="B335" s="1" t="n">
        <v>45015.6196412037</v>
      </c>
      <c r="C335" s="1" t="n">
        <v>45973</v>
      </c>
      <c r="D335" t="inlineStr">
        <is>
          <t>DALARNAS LÄN</t>
        </is>
      </c>
      <c r="E335" t="inlineStr">
        <is>
          <t>LEKSAND</t>
        </is>
      </c>
      <c r="G335" t="n">
        <v>2.6</v>
      </c>
      <c r="H335" t="n">
        <v>0</v>
      </c>
      <c r="I335" t="n">
        <v>0</v>
      </c>
      <c r="J335" t="n">
        <v>0</v>
      </c>
      <c r="K335" t="n">
        <v>0</v>
      </c>
      <c r="L335" t="n">
        <v>0</v>
      </c>
      <c r="M335" t="n">
        <v>0</v>
      </c>
      <c r="N335" t="n">
        <v>0</v>
      </c>
      <c r="O335" t="n">
        <v>0</v>
      </c>
      <c r="P335" t="n">
        <v>0</v>
      </c>
      <c r="Q335" t="n">
        <v>0</v>
      </c>
      <c r="R335" s="2" t="inlineStr"/>
    </row>
    <row r="336" ht="15" customHeight="1">
      <c r="A336" t="inlineStr">
        <is>
          <t>A 39516-2025</t>
        </is>
      </c>
      <c r="B336" s="1" t="n">
        <v>45890.42633101852</v>
      </c>
      <c r="C336" s="1" t="n">
        <v>45973</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24187-2025</t>
        </is>
      </c>
      <c r="B337" s="1" t="n">
        <v>45796</v>
      </c>
      <c r="C337" s="1" t="n">
        <v>45973</v>
      </c>
      <c r="D337" t="inlineStr">
        <is>
          <t>DALARNAS LÄN</t>
        </is>
      </c>
      <c r="E337" t="inlineStr">
        <is>
          <t>LEKSAND</t>
        </is>
      </c>
      <c r="G337" t="n">
        <v>2.1</v>
      </c>
      <c r="H337" t="n">
        <v>0</v>
      </c>
      <c r="I337" t="n">
        <v>0</v>
      </c>
      <c r="J337" t="n">
        <v>0</v>
      </c>
      <c r="K337" t="n">
        <v>0</v>
      </c>
      <c r="L337" t="n">
        <v>0</v>
      </c>
      <c r="M337" t="n">
        <v>0</v>
      </c>
      <c r="N337" t="n">
        <v>0</v>
      </c>
      <c r="O337" t="n">
        <v>0</v>
      </c>
      <c r="P337" t="n">
        <v>0</v>
      </c>
      <c r="Q337" t="n">
        <v>0</v>
      </c>
      <c r="R337" s="2" t="inlineStr"/>
    </row>
    <row r="338" ht="15" customHeight="1">
      <c r="A338" t="inlineStr">
        <is>
          <t>A 24188-2025</t>
        </is>
      </c>
      <c r="B338" s="1" t="n">
        <v>45796</v>
      </c>
      <c r="C338" s="1" t="n">
        <v>45973</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39660-2025</t>
        </is>
      </c>
      <c r="B339" s="1" t="n">
        <v>45890.63006944444</v>
      </c>
      <c r="C339" s="1" t="n">
        <v>45973</v>
      </c>
      <c r="D339" t="inlineStr">
        <is>
          <t>DALARNAS LÄN</t>
        </is>
      </c>
      <c r="E339" t="inlineStr">
        <is>
          <t>LEKSAND</t>
        </is>
      </c>
      <c r="F339" t="inlineStr">
        <is>
          <t>Bergvik skog väst AB</t>
        </is>
      </c>
      <c r="G339" t="n">
        <v>5.8</v>
      </c>
      <c r="H339" t="n">
        <v>0</v>
      </c>
      <c r="I339" t="n">
        <v>0</v>
      </c>
      <c r="J339" t="n">
        <v>0</v>
      </c>
      <c r="K339" t="n">
        <v>0</v>
      </c>
      <c r="L339" t="n">
        <v>0</v>
      </c>
      <c r="M339" t="n">
        <v>0</v>
      </c>
      <c r="N339" t="n">
        <v>0</v>
      </c>
      <c r="O339" t="n">
        <v>0</v>
      </c>
      <c r="P339" t="n">
        <v>0</v>
      </c>
      <c r="Q339" t="n">
        <v>0</v>
      </c>
      <c r="R339" s="2" t="inlineStr"/>
    </row>
    <row r="340" ht="15" customHeight="1">
      <c r="A340" t="inlineStr">
        <is>
          <t>A 39693-2025</t>
        </is>
      </c>
      <c r="B340" s="1" t="n">
        <v>45890.68304398148</v>
      </c>
      <c r="C340" s="1" t="n">
        <v>45973</v>
      </c>
      <c r="D340" t="inlineStr">
        <is>
          <t>DALARNAS LÄN</t>
        </is>
      </c>
      <c r="E340" t="inlineStr">
        <is>
          <t>LEKSAND</t>
        </is>
      </c>
      <c r="G340" t="n">
        <v>3.1</v>
      </c>
      <c r="H340" t="n">
        <v>0</v>
      </c>
      <c r="I340" t="n">
        <v>0</v>
      </c>
      <c r="J340" t="n">
        <v>0</v>
      </c>
      <c r="K340" t="n">
        <v>0</v>
      </c>
      <c r="L340" t="n">
        <v>0</v>
      </c>
      <c r="M340" t="n">
        <v>0</v>
      </c>
      <c r="N340" t="n">
        <v>0</v>
      </c>
      <c r="O340" t="n">
        <v>0</v>
      </c>
      <c r="P340" t="n">
        <v>0</v>
      </c>
      <c r="Q340" t="n">
        <v>0</v>
      </c>
      <c r="R340" s="2" t="inlineStr"/>
    </row>
    <row r="341" ht="15" customHeight="1">
      <c r="A341" t="inlineStr">
        <is>
          <t>A 23323-2023</t>
        </is>
      </c>
      <c r="B341" s="1" t="n">
        <v>45076</v>
      </c>
      <c r="C341" s="1" t="n">
        <v>45973</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10299-2024</t>
        </is>
      </c>
      <c r="B342" s="1" t="n">
        <v>45365.50425925926</v>
      </c>
      <c r="C342" s="1" t="n">
        <v>45973</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55643-2024</t>
        </is>
      </c>
      <c r="B343" s="1" t="n">
        <v>45621</v>
      </c>
      <c r="C343" s="1" t="n">
        <v>45973</v>
      </c>
      <c r="D343" t="inlineStr">
        <is>
          <t>DALARNAS LÄN</t>
        </is>
      </c>
      <c r="E343" t="inlineStr">
        <is>
          <t>LEKSAND</t>
        </is>
      </c>
      <c r="G343" t="n">
        <v>1.7</v>
      </c>
      <c r="H343" t="n">
        <v>0</v>
      </c>
      <c r="I343" t="n">
        <v>0</v>
      </c>
      <c r="J343" t="n">
        <v>0</v>
      </c>
      <c r="K343" t="n">
        <v>0</v>
      </c>
      <c r="L343" t="n">
        <v>0</v>
      </c>
      <c r="M343" t="n">
        <v>0</v>
      </c>
      <c r="N343" t="n">
        <v>0</v>
      </c>
      <c r="O343" t="n">
        <v>0</v>
      </c>
      <c r="P343" t="n">
        <v>0</v>
      </c>
      <c r="Q343" t="n">
        <v>0</v>
      </c>
      <c r="R343" s="2" t="inlineStr"/>
    </row>
    <row r="344" ht="15" customHeight="1">
      <c r="A344" t="inlineStr">
        <is>
          <t>A 54682-2023</t>
        </is>
      </c>
      <c r="B344" s="1" t="n">
        <v>45235.90439814814</v>
      </c>
      <c r="C344" s="1" t="n">
        <v>45973</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41169-2024</t>
        </is>
      </c>
      <c r="B345" s="1" t="n">
        <v>45559.48637731482</v>
      </c>
      <c r="C345" s="1" t="n">
        <v>45973</v>
      </c>
      <c r="D345" t="inlineStr">
        <is>
          <t>DALARNAS LÄN</t>
        </is>
      </c>
      <c r="E345" t="inlineStr">
        <is>
          <t>LEKSAND</t>
        </is>
      </c>
      <c r="G345" t="n">
        <v>8.9</v>
      </c>
      <c r="H345" t="n">
        <v>0</v>
      </c>
      <c r="I345" t="n">
        <v>0</v>
      </c>
      <c r="J345" t="n">
        <v>0</v>
      </c>
      <c r="K345" t="n">
        <v>0</v>
      </c>
      <c r="L345" t="n">
        <v>0</v>
      </c>
      <c r="M345" t="n">
        <v>0</v>
      </c>
      <c r="N345" t="n">
        <v>0</v>
      </c>
      <c r="O345" t="n">
        <v>0</v>
      </c>
      <c r="P345" t="n">
        <v>0</v>
      </c>
      <c r="Q345" t="n">
        <v>0</v>
      </c>
      <c r="R345" s="2" t="inlineStr"/>
    </row>
    <row r="346" ht="15" customHeight="1">
      <c r="A346" t="inlineStr">
        <is>
          <t>A 1463-2024</t>
        </is>
      </c>
      <c r="B346" s="1" t="n">
        <v>45303</v>
      </c>
      <c r="C346" s="1" t="n">
        <v>45973</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56211-2023</t>
        </is>
      </c>
      <c r="B347" s="1" t="n">
        <v>45240</v>
      </c>
      <c r="C347" s="1" t="n">
        <v>45973</v>
      </c>
      <c r="D347" t="inlineStr">
        <is>
          <t>DALARNAS LÄN</t>
        </is>
      </c>
      <c r="E347" t="inlineStr">
        <is>
          <t>LEKSAND</t>
        </is>
      </c>
      <c r="G347" t="n">
        <v>1.5</v>
      </c>
      <c r="H347" t="n">
        <v>0</v>
      </c>
      <c r="I347" t="n">
        <v>0</v>
      </c>
      <c r="J347" t="n">
        <v>0</v>
      </c>
      <c r="K347" t="n">
        <v>0</v>
      </c>
      <c r="L347" t="n">
        <v>0</v>
      </c>
      <c r="M347" t="n">
        <v>0</v>
      </c>
      <c r="N347" t="n">
        <v>0</v>
      </c>
      <c r="O347" t="n">
        <v>0</v>
      </c>
      <c r="P347" t="n">
        <v>0</v>
      </c>
      <c r="Q347" t="n">
        <v>0</v>
      </c>
      <c r="R347" s="2" t="inlineStr"/>
    </row>
    <row r="348" ht="15" customHeight="1">
      <c r="A348" t="inlineStr">
        <is>
          <t>A 60129-2023</t>
        </is>
      </c>
      <c r="B348" s="1" t="n">
        <v>45258.49056712963</v>
      </c>
      <c r="C348" s="1" t="n">
        <v>45973</v>
      </c>
      <c r="D348" t="inlineStr">
        <is>
          <t>DALARNAS LÄN</t>
        </is>
      </c>
      <c r="E348" t="inlineStr">
        <is>
          <t>LEKSAND</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16137-2023</t>
        </is>
      </c>
      <c r="B349" s="1" t="n">
        <v>45027</v>
      </c>
      <c r="C349" s="1" t="n">
        <v>45973</v>
      </c>
      <c r="D349" t="inlineStr">
        <is>
          <t>DALARNAS LÄN</t>
        </is>
      </c>
      <c r="E349" t="inlineStr">
        <is>
          <t>LEKSAND</t>
        </is>
      </c>
      <c r="G349" t="n">
        <v>1.6</v>
      </c>
      <c r="H349" t="n">
        <v>0</v>
      </c>
      <c r="I349" t="n">
        <v>0</v>
      </c>
      <c r="J349" t="n">
        <v>0</v>
      </c>
      <c r="K349" t="n">
        <v>0</v>
      </c>
      <c r="L349" t="n">
        <v>0</v>
      </c>
      <c r="M349" t="n">
        <v>0</v>
      </c>
      <c r="N349" t="n">
        <v>0</v>
      </c>
      <c r="O349" t="n">
        <v>0</v>
      </c>
      <c r="P349" t="n">
        <v>0</v>
      </c>
      <c r="Q349" t="n">
        <v>0</v>
      </c>
      <c r="R349" s="2" t="inlineStr"/>
    </row>
    <row r="350" ht="15" customHeight="1">
      <c r="A350" t="inlineStr">
        <is>
          <t>A 56283-2024</t>
        </is>
      </c>
      <c r="B350" s="1" t="n">
        <v>45624.67864583333</v>
      </c>
      <c r="C350" s="1" t="n">
        <v>45973</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56299-2024</t>
        </is>
      </c>
      <c r="B351" s="1" t="n">
        <v>45624.68607638889</v>
      </c>
      <c r="C351" s="1" t="n">
        <v>45973</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43077-2024</t>
        </is>
      </c>
      <c r="B352" s="1" t="n">
        <v>45567.50030092592</v>
      </c>
      <c r="C352" s="1" t="n">
        <v>45973</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30000-2023</t>
        </is>
      </c>
      <c r="B353" s="1" t="n">
        <v>45109.71128472222</v>
      </c>
      <c r="C353" s="1" t="n">
        <v>45973</v>
      </c>
      <c r="D353" t="inlineStr">
        <is>
          <t>DALARNAS LÄN</t>
        </is>
      </c>
      <c r="E353" t="inlineStr">
        <is>
          <t>LEKSAND</t>
        </is>
      </c>
      <c r="G353" t="n">
        <v>1.1</v>
      </c>
      <c r="H353" t="n">
        <v>0</v>
      </c>
      <c r="I353" t="n">
        <v>0</v>
      </c>
      <c r="J353" t="n">
        <v>0</v>
      </c>
      <c r="K353" t="n">
        <v>0</v>
      </c>
      <c r="L353" t="n">
        <v>0</v>
      </c>
      <c r="M353" t="n">
        <v>0</v>
      </c>
      <c r="N353" t="n">
        <v>0</v>
      </c>
      <c r="O353" t="n">
        <v>0</v>
      </c>
      <c r="P353" t="n">
        <v>0</v>
      </c>
      <c r="Q353" t="n">
        <v>0</v>
      </c>
      <c r="R353" s="2" t="inlineStr"/>
    </row>
    <row r="354" ht="15" customHeight="1">
      <c r="A354" t="inlineStr">
        <is>
          <t>A 48421-2025</t>
        </is>
      </c>
      <c r="B354" s="1" t="n">
        <v>45934.67564814815</v>
      </c>
      <c r="C354" s="1" t="n">
        <v>45973</v>
      </c>
      <c r="D354" t="inlineStr">
        <is>
          <t>DALARNAS LÄN</t>
        </is>
      </c>
      <c r="E354" t="inlineStr">
        <is>
          <t>LEKSAND</t>
        </is>
      </c>
      <c r="G354" t="n">
        <v>2.2</v>
      </c>
      <c r="H354" t="n">
        <v>0</v>
      </c>
      <c r="I354" t="n">
        <v>0</v>
      </c>
      <c r="J354" t="n">
        <v>0</v>
      </c>
      <c r="K354" t="n">
        <v>0</v>
      </c>
      <c r="L354" t="n">
        <v>0</v>
      </c>
      <c r="M354" t="n">
        <v>0</v>
      </c>
      <c r="N354" t="n">
        <v>0</v>
      </c>
      <c r="O354" t="n">
        <v>0</v>
      </c>
      <c r="P354" t="n">
        <v>0</v>
      </c>
      <c r="Q354" t="n">
        <v>0</v>
      </c>
      <c r="R354" s="2" t="inlineStr"/>
    </row>
    <row r="355" ht="15" customHeight="1">
      <c r="A355" t="inlineStr">
        <is>
          <t>A 17282-2025</t>
        </is>
      </c>
      <c r="B355" s="1" t="n">
        <v>45756.57114583333</v>
      </c>
      <c r="C355" s="1" t="n">
        <v>45973</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12923-2025</t>
        </is>
      </c>
      <c r="B356" s="1" t="n">
        <v>45734.29193287037</v>
      </c>
      <c r="C356" s="1" t="n">
        <v>45973</v>
      </c>
      <c r="D356" t="inlineStr">
        <is>
          <t>DALARNAS LÄN</t>
        </is>
      </c>
      <c r="E356" t="inlineStr">
        <is>
          <t>LEKSAND</t>
        </is>
      </c>
      <c r="G356" t="n">
        <v>7.2</v>
      </c>
      <c r="H356" t="n">
        <v>0</v>
      </c>
      <c r="I356" t="n">
        <v>0</v>
      </c>
      <c r="J356" t="n">
        <v>0</v>
      </c>
      <c r="K356" t="n">
        <v>0</v>
      </c>
      <c r="L356" t="n">
        <v>0</v>
      </c>
      <c r="M356" t="n">
        <v>0</v>
      </c>
      <c r="N356" t="n">
        <v>0</v>
      </c>
      <c r="O356" t="n">
        <v>0</v>
      </c>
      <c r="P356" t="n">
        <v>0</v>
      </c>
      <c r="Q356" t="n">
        <v>0</v>
      </c>
      <c r="R356" s="2" t="inlineStr"/>
    </row>
    <row r="357" ht="15" customHeight="1">
      <c r="A357" t="inlineStr">
        <is>
          <t>A 2820-2024</t>
        </is>
      </c>
      <c r="B357" s="1" t="n">
        <v>45314.76287037037</v>
      </c>
      <c r="C357" s="1" t="n">
        <v>45973</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2822-2024</t>
        </is>
      </c>
      <c r="B358" s="1" t="n">
        <v>45314.76622685185</v>
      </c>
      <c r="C358" s="1" t="n">
        <v>45973</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51320-2023</t>
        </is>
      </c>
      <c r="B359" s="1" t="n">
        <v>45219.57456018519</v>
      </c>
      <c r="C359" s="1" t="n">
        <v>45973</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12621-2025</t>
        </is>
      </c>
      <c r="B360" s="1" t="n">
        <v>45733.3575</v>
      </c>
      <c r="C360" s="1" t="n">
        <v>45973</v>
      </c>
      <c r="D360" t="inlineStr">
        <is>
          <t>DALARNAS LÄN</t>
        </is>
      </c>
      <c r="E360" t="inlineStr">
        <is>
          <t>LEKSAND</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24005-2024</t>
        </is>
      </c>
      <c r="B361" s="1" t="n">
        <v>45456.39239583333</v>
      </c>
      <c r="C361" s="1" t="n">
        <v>45973</v>
      </c>
      <c r="D361" t="inlineStr">
        <is>
          <t>DALARNAS LÄN</t>
        </is>
      </c>
      <c r="E361" t="inlineStr">
        <is>
          <t>LEKSAND</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1984-2025</t>
        </is>
      </c>
      <c r="B362" s="1" t="n">
        <v>45670</v>
      </c>
      <c r="C362" s="1" t="n">
        <v>45973</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59199-2024</t>
        </is>
      </c>
      <c r="B363" s="1" t="n">
        <v>45637</v>
      </c>
      <c r="C363" s="1" t="n">
        <v>45973</v>
      </c>
      <c r="D363" t="inlineStr">
        <is>
          <t>DALARNAS LÄN</t>
        </is>
      </c>
      <c r="E363" t="inlineStr">
        <is>
          <t>LEKSAND</t>
        </is>
      </c>
      <c r="G363" t="n">
        <v>5.4</v>
      </c>
      <c r="H363" t="n">
        <v>0</v>
      </c>
      <c r="I363" t="n">
        <v>0</v>
      </c>
      <c r="J363" t="n">
        <v>0</v>
      </c>
      <c r="K363" t="n">
        <v>0</v>
      </c>
      <c r="L363" t="n">
        <v>0</v>
      </c>
      <c r="M363" t="n">
        <v>0</v>
      </c>
      <c r="N363" t="n">
        <v>0</v>
      </c>
      <c r="O363" t="n">
        <v>0</v>
      </c>
      <c r="P363" t="n">
        <v>0</v>
      </c>
      <c r="Q363" t="n">
        <v>0</v>
      </c>
      <c r="R363" s="2" t="inlineStr"/>
    </row>
    <row r="364" ht="15" customHeight="1">
      <c r="A364" t="inlineStr">
        <is>
          <t>A 51377-2023</t>
        </is>
      </c>
      <c r="B364" s="1" t="n">
        <v>45219</v>
      </c>
      <c r="C364" s="1" t="n">
        <v>45973</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48824-2025</t>
        </is>
      </c>
      <c r="B365" s="1" t="n">
        <v>45937.37949074074</v>
      </c>
      <c r="C365" s="1" t="n">
        <v>45973</v>
      </c>
      <c r="D365" t="inlineStr">
        <is>
          <t>DALARNAS LÄN</t>
        </is>
      </c>
      <c r="E365" t="inlineStr">
        <is>
          <t>LEKSAND</t>
        </is>
      </c>
      <c r="G365" t="n">
        <v>6.3</v>
      </c>
      <c r="H365" t="n">
        <v>0</v>
      </c>
      <c r="I365" t="n">
        <v>0</v>
      </c>
      <c r="J365" t="n">
        <v>0</v>
      </c>
      <c r="K365" t="n">
        <v>0</v>
      </c>
      <c r="L365" t="n">
        <v>0</v>
      </c>
      <c r="M365" t="n">
        <v>0</v>
      </c>
      <c r="N365" t="n">
        <v>0</v>
      </c>
      <c r="O365" t="n">
        <v>0</v>
      </c>
      <c r="P365" t="n">
        <v>0</v>
      </c>
      <c r="Q365" t="n">
        <v>0</v>
      </c>
      <c r="R365" s="2" t="inlineStr"/>
    </row>
    <row r="366" ht="15" customHeight="1">
      <c r="A366" t="inlineStr">
        <is>
          <t>A 59859-2023</t>
        </is>
      </c>
      <c r="B366" s="1" t="n">
        <v>45257</v>
      </c>
      <c r="C366" s="1" t="n">
        <v>45973</v>
      </c>
      <c r="D366" t="inlineStr">
        <is>
          <t>DALARNAS LÄN</t>
        </is>
      </c>
      <c r="E366" t="inlineStr">
        <is>
          <t>LEKSAND</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33310-2023</t>
        </is>
      </c>
      <c r="B367" s="1" t="n">
        <v>45127.82231481482</v>
      </c>
      <c r="C367" s="1" t="n">
        <v>45973</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57899-2024</t>
        </is>
      </c>
      <c r="B368" s="1" t="n">
        <v>45630</v>
      </c>
      <c r="C368" s="1" t="n">
        <v>45973</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19330-2025</t>
        </is>
      </c>
      <c r="B369" s="1" t="n">
        <v>45769</v>
      </c>
      <c r="C369" s="1" t="n">
        <v>45973</v>
      </c>
      <c r="D369" t="inlineStr">
        <is>
          <t>DALARNAS LÄN</t>
        </is>
      </c>
      <c r="E369" t="inlineStr">
        <is>
          <t>LEKSAND</t>
        </is>
      </c>
      <c r="G369" t="n">
        <v>1.6</v>
      </c>
      <c r="H369" t="n">
        <v>0</v>
      </c>
      <c r="I369" t="n">
        <v>0</v>
      </c>
      <c r="J369" t="n">
        <v>0</v>
      </c>
      <c r="K369" t="n">
        <v>0</v>
      </c>
      <c r="L369" t="n">
        <v>0</v>
      </c>
      <c r="M369" t="n">
        <v>0</v>
      </c>
      <c r="N369" t="n">
        <v>0</v>
      </c>
      <c r="O369" t="n">
        <v>0</v>
      </c>
      <c r="P369" t="n">
        <v>0</v>
      </c>
      <c r="Q369" t="n">
        <v>0</v>
      </c>
      <c r="R369" s="2" t="inlineStr"/>
    </row>
    <row r="370" ht="15" customHeight="1">
      <c r="A370" t="inlineStr">
        <is>
          <t>A 11110-2023</t>
        </is>
      </c>
      <c r="B370" s="1" t="n">
        <v>44992</v>
      </c>
      <c r="C370" s="1" t="n">
        <v>45973</v>
      </c>
      <c r="D370" t="inlineStr">
        <is>
          <t>DALARNAS LÄN</t>
        </is>
      </c>
      <c r="E370" t="inlineStr">
        <is>
          <t>LEKSAND</t>
        </is>
      </c>
      <c r="G370" t="n">
        <v>11.2</v>
      </c>
      <c r="H370" t="n">
        <v>0</v>
      </c>
      <c r="I370" t="n">
        <v>0</v>
      </c>
      <c r="J370" t="n">
        <v>0</v>
      </c>
      <c r="K370" t="n">
        <v>0</v>
      </c>
      <c r="L370" t="n">
        <v>0</v>
      </c>
      <c r="M370" t="n">
        <v>0</v>
      </c>
      <c r="N370" t="n">
        <v>0</v>
      </c>
      <c r="O370" t="n">
        <v>0</v>
      </c>
      <c r="P370" t="n">
        <v>0</v>
      </c>
      <c r="Q370" t="n">
        <v>0</v>
      </c>
      <c r="R370" s="2" t="inlineStr"/>
    </row>
    <row r="371" ht="15" customHeight="1">
      <c r="A371" t="inlineStr">
        <is>
          <t>A 45943-2022</t>
        </is>
      </c>
      <c r="B371" s="1" t="n">
        <v>44846.64418981481</v>
      </c>
      <c r="C371" s="1" t="n">
        <v>45973</v>
      </c>
      <c r="D371" t="inlineStr">
        <is>
          <t>DALARNAS LÄN</t>
        </is>
      </c>
      <c r="E371" t="inlineStr">
        <is>
          <t>LEKSAND</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56753-2023</t>
        </is>
      </c>
      <c r="B372" s="1" t="n">
        <v>45244.37094907407</v>
      </c>
      <c r="C372" s="1" t="n">
        <v>45973</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49076-2025</t>
        </is>
      </c>
      <c r="B373" s="1" t="n">
        <v>45937.65601851852</v>
      </c>
      <c r="C373" s="1" t="n">
        <v>45973</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57933-2024</t>
        </is>
      </c>
      <c r="B374" s="1" t="n">
        <v>45630</v>
      </c>
      <c r="C374" s="1" t="n">
        <v>45973</v>
      </c>
      <c r="D374" t="inlineStr">
        <is>
          <t>DALARNAS LÄN</t>
        </is>
      </c>
      <c r="E374" t="inlineStr">
        <is>
          <t>LEKSAND</t>
        </is>
      </c>
      <c r="G374" t="n">
        <v>1.1</v>
      </c>
      <c r="H374" t="n">
        <v>0</v>
      </c>
      <c r="I374" t="n">
        <v>0</v>
      </c>
      <c r="J374" t="n">
        <v>0</v>
      </c>
      <c r="K374" t="n">
        <v>0</v>
      </c>
      <c r="L374" t="n">
        <v>0</v>
      </c>
      <c r="M374" t="n">
        <v>0</v>
      </c>
      <c r="N374" t="n">
        <v>0</v>
      </c>
      <c r="O374" t="n">
        <v>0</v>
      </c>
      <c r="P374" t="n">
        <v>0</v>
      </c>
      <c r="Q374" t="n">
        <v>0</v>
      </c>
      <c r="R374" s="2" t="inlineStr"/>
    </row>
    <row r="375" ht="15" customHeight="1">
      <c r="A375" t="inlineStr">
        <is>
          <t>A 48922-2025</t>
        </is>
      </c>
      <c r="B375" s="1" t="n">
        <v>45937.50077546296</v>
      </c>
      <c r="C375" s="1" t="n">
        <v>45973</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48829-2025</t>
        </is>
      </c>
      <c r="B376" s="1" t="n">
        <v>45936</v>
      </c>
      <c r="C376" s="1" t="n">
        <v>45973</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11403-2023</t>
        </is>
      </c>
      <c r="B377" s="1" t="n">
        <v>44993</v>
      </c>
      <c r="C377" s="1" t="n">
        <v>45973</v>
      </c>
      <c r="D377" t="inlineStr">
        <is>
          <t>DALARNAS LÄN</t>
        </is>
      </c>
      <c r="E377" t="inlineStr">
        <is>
          <t>LEKSAND</t>
        </is>
      </c>
      <c r="G377" t="n">
        <v>0.1</v>
      </c>
      <c r="H377" t="n">
        <v>0</v>
      </c>
      <c r="I377" t="n">
        <v>0</v>
      </c>
      <c r="J377" t="n">
        <v>0</v>
      </c>
      <c r="K377" t="n">
        <v>0</v>
      </c>
      <c r="L377" t="n">
        <v>0</v>
      </c>
      <c r="M377" t="n">
        <v>0</v>
      </c>
      <c r="N377" t="n">
        <v>0</v>
      </c>
      <c r="O377" t="n">
        <v>0</v>
      </c>
      <c r="P377" t="n">
        <v>0</v>
      </c>
      <c r="Q377" t="n">
        <v>0</v>
      </c>
      <c r="R377" s="2" t="inlineStr"/>
    </row>
    <row r="378" ht="15" customHeight="1">
      <c r="A378" t="inlineStr">
        <is>
          <t>A 22683-2022</t>
        </is>
      </c>
      <c r="B378" s="1" t="n">
        <v>44714</v>
      </c>
      <c r="C378" s="1" t="n">
        <v>45973</v>
      </c>
      <c r="D378" t="inlineStr">
        <is>
          <t>DALARNAS LÄN</t>
        </is>
      </c>
      <c r="E378" t="inlineStr">
        <is>
          <t>LEKSAND</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52755-2024</t>
        </is>
      </c>
      <c r="B379" s="1" t="n">
        <v>45610.50217592593</v>
      </c>
      <c r="C379" s="1" t="n">
        <v>45973</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40517-2025</t>
        </is>
      </c>
      <c r="B380" s="1" t="n">
        <v>45896.36368055556</v>
      </c>
      <c r="C380" s="1" t="n">
        <v>45973</v>
      </c>
      <c r="D380" t="inlineStr">
        <is>
          <t>DALARNAS LÄN</t>
        </is>
      </c>
      <c r="E380" t="inlineStr">
        <is>
          <t>LEKSAND</t>
        </is>
      </c>
      <c r="G380" t="n">
        <v>1.6</v>
      </c>
      <c r="H380" t="n">
        <v>0</v>
      </c>
      <c r="I380" t="n">
        <v>0</v>
      </c>
      <c r="J380" t="n">
        <v>0</v>
      </c>
      <c r="K380" t="n">
        <v>0</v>
      </c>
      <c r="L380" t="n">
        <v>0</v>
      </c>
      <c r="M380" t="n">
        <v>0</v>
      </c>
      <c r="N380" t="n">
        <v>0</v>
      </c>
      <c r="O380" t="n">
        <v>0</v>
      </c>
      <c r="P380" t="n">
        <v>0</v>
      </c>
      <c r="Q380" t="n">
        <v>0</v>
      </c>
      <c r="R380" s="2" t="inlineStr"/>
    </row>
    <row r="381" ht="15" customHeight="1">
      <c r="A381" t="inlineStr">
        <is>
          <t>A 60878-2023</t>
        </is>
      </c>
      <c r="B381" s="1" t="n">
        <v>45259</v>
      </c>
      <c r="C381" s="1" t="n">
        <v>45973</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61502-2023</t>
        </is>
      </c>
      <c r="B382" s="1" t="n">
        <v>45264</v>
      </c>
      <c r="C382" s="1" t="n">
        <v>45973</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28965-2023</t>
        </is>
      </c>
      <c r="B383" s="1" t="n">
        <v>45104</v>
      </c>
      <c r="C383" s="1" t="n">
        <v>45973</v>
      </c>
      <c r="D383" t="inlineStr">
        <is>
          <t>DALARNAS LÄN</t>
        </is>
      </c>
      <c r="E383" t="inlineStr">
        <is>
          <t>LEKSAND</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44967.43953703704</v>
      </c>
      <c r="C384" s="1" t="n">
        <v>45973</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1719-2024</t>
        </is>
      </c>
      <c r="B385" s="1" t="n">
        <v>45307</v>
      </c>
      <c r="C385" s="1" t="n">
        <v>45973</v>
      </c>
      <c r="D385" t="inlineStr">
        <is>
          <t>DALARNAS LÄN</t>
        </is>
      </c>
      <c r="E385" t="inlineStr">
        <is>
          <t>LEKSAND</t>
        </is>
      </c>
      <c r="G385" t="n">
        <v>2.8</v>
      </c>
      <c r="H385" t="n">
        <v>0</v>
      </c>
      <c r="I385" t="n">
        <v>0</v>
      </c>
      <c r="J385" t="n">
        <v>0</v>
      </c>
      <c r="K385" t="n">
        <v>0</v>
      </c>
      <c r="L385" t="n">
        <v>0</v>
      </c>
      <c r="M385" t="n">
        <v>0</v>
      </c>
      <c r="N385" t="n">
        <v>0</v>
      </c>
      <c r="O385" t="n">
        <v>0</v>
      </c>
      <c r="P385" t="n">
        <v>0</v>
      </c>
      <c r="Q385" t="n">
        <v>0</v>
      </c>
      <c r="R385" s="2" t="inlineStr"/>
    </row>
    <row r="386" ht="15" customHeight="1">
      <c r="A386" t="inlineStr">
        <is>
          <t>A 40513-2025</t>
        </is>
      </c>
      <c r="B386" s="1" t="n">
        <v>45896.35100694445</v>
      </c>
      <c r="C386" s="1" t="n">
        <v>45973</v>
      </c>
      <c r="D386" t="inlineStr">
        <is>
          <t>DALARNAS LÄN</t>
        </is>
      </c>
      <c r="E386" t="inlineStr">
        <is>
          <t>LEKSAND</t>
        </is>
      </c>
      <c r="G386" t="n">
        <v>7.1</v>
      </c>
      <c r="H386" t="n">
        <v>0</v>
      </c>
      <c r="I386" t="n">
        <v>0</v>
      </c>
      <c r="J386" t="n">
        <v>0</v>
      </c>
      <c r="K386" t="n">
        <v>0</v>
      </c>
      <c r="L386" t="n">
        <v>0</v>
      </c>
      <c r="M386" t="n">
        <v>0</v>
      </c>
      <c r="N386" t="n">
        <v>0</v>
      </c>
      <c r="O386" t="n">
        <v>0</v>
      </c>
      <c r="P386" t="n">
        <v>0</v>
      </c>
      <c r="Q386" t="n">
        <v>0</v>
      </c>
      <c r="R386" s="2" t="inlineStr"/>
    </row>
    <row r="387" ht="15" customHeight="1">
      <c r="A387" t="inlineStr">
        <is>
          <t>A 16744-2025</t>
        </is>
      </c>
      <c r="B387" s="1" t="n">
        <v>45754</v>
      </c>
      <c r="C387" s="1" t="n">
        <v>45973</v>
      </c>
      <c r="D387" t="inlineStr">
        <is>
          <t>DALARNAS LÄN</t>
        </is>
      </c>
      <c r="E387" t="inlineStr">
        <is>
          <t>LEKSAND</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49209-2025</t>
        </is>
      </c>
      <c r="B388" s="1" t="n">
        <v>45938.43589120371</v>
      </c>
      <c r="C388" s="1" t="n">
        <v>45973</v>
      </c>
      <c r="D388" t="inlineStr">
        <is>
          <t>DALARNAS LÄN</t>
        </is>
      </c>
      <c r="E388" t="inlineStr">
        <is>
          <t>LEKSAND</t>
        </is>
      </c>
      <c r="G388" t="n">
        <v>4.8</v>
      </c>
      <c r="H388" t="n">
        <v>0</v>
      </c>
      <c r="I388" t="n">
        <v>0</v>
      </c>
      <c r="J388" t="n">
        <v>0</v>
      </c>
      <c r="K388" t="n">
        <v>0</v>
      </c>
      <c r="L388" t="n">
        <v>0</v>
      </c>
      <c r="M388" t="n">
        <v>0</v>
      </c>
      <c r="N388" t="n">
        <v>0</v>
      </c>
      <c r="O388" t="n">
        <v>0</v>
      </c>
      <c r="P388" t="n">
        <v>0</v>
      </c>
      <c r="Q388" t="n">
        <v>0</v>
      </c>
      <c r="R388" s="2" t="inlineStr"/>
    </row>
    <row r="389" ht="15" customHeight="1">
      <c r="A389" t="inlineStr">
        <is>
          <t>A 49212-2025</t>
        </is>
      </c>
      <c r="B389" s="1" t="n">
        <v>45938.43855324074</v>
      </c>
      <c r="C389" s="1" t="n">
        <v>45973</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22349-2024</t>
        </is>
      </c>
      <c r="B390" s="1" t="n">
        <v>45446</v>
      </c>
      <c r="C390" s="1" t="n">
        <v>45973</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11617-2024</t>
        </is>
      </c>
      <c r="B391" s="1" t="n">
        <v>45373.42898148148</v>
      </c>
      <c r="C391" s="1" t="n">
        <v>45973</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49505-2025</t>
        </is>
      </c>
      <c r="B392" s="1" t="n">
        <v>45939.37564814815</v>
      </c>
      <c r="C392" s="1" t="n">
        <v>45973</v>
      </c>
      <c r="D392" t="inlineStr">
        <is>
          <t>DALARNAS LÄN</t>
        </is>
      </c>
      <c r="E392" t="inlineStr">
        <is>
          <t>LEKSAND</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61953-2023</t>
        </is>
      </c>
      <c r="B393" s="1" t="n">
        <v>45266</v>
      </c>
      <c r="C393" s="1" t="n">
        <v>45973</v>
      </c>
      <c r="D393" t="inlineStr">
        <is>
          <t>DALARNAS LÄN</t>
        </is>
      </c>
      <c r="E393" t="inlineStr">
        <is>
          <t>LEKSAND</t>
        </is>
      </c>
      <c r="G393" t="n">
        <v>0.1</v>
      </c>
      <c r="H393" t="n">
        <v>0</v>
      </c>
      <c r="I393" t="n">
        <v>0</v>
      </c>
      <c r="J393" t="n">
        <v>0</v>
      </c>
      <c r="K393" t="n">
        <v>0</v>
      </c>
      <c r="L393" t="n">
        <v>0</v>
      </c>
      <c r="M393" t="n">
        <v>0</v>
      </c>
      <c r="N393" t="n">
        <v>0</v>
      </c>
      <c r="O393" t="n">
        <v>0</v>
      </c>
      <c r="P393" t="n">
        <v>0</v>
      </c>
      <c r="Q393" t="n">
        <v>0</v>
      </c>
      <c r="R393" s="2" t="inlineStr"/>
    </row>
    <row r="394" ht="15" customHeight="1">
      <c r="A394" t="inlineStr">
        <is>
          <t>A 58619-2022</t>
        </is>
      </c>
      <c r="B394" s="1" t="n">
        <v>44902.59579861111</v>
      </c>
      <c r="C394" s="1" t="n">
        <v>45973</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6030-2025</t>
        </is>
      </c>
      <c r="B395" s="1" t="n">
        <v>45695</v>
      </c>
      <c r="C395" s="1" t="n">
        <v>45973</v>
      </c>
      <c r="D395" t="inlineStr">
        <is>
          <t>DALARNAS LÄN</t>
        </is>
      </c>
      <c r="E395" t="inlineStr">
        <is>
          <t>LEKSAND</t>
        </is>
      </c>
      <c r="G395" t="n">
        <v>1.4</v>
      </c>
      <c r="H395" t="n">
        <v>0</v>
      </c>
      <c r="I395" t="n">
        <v>0</v>
      </c>
      <c r="J395" t="n">
        <v>0</v>
      </c>
      <c r="K395" t="n">
        <v>0</v>
      </c>
      <c r="L395" t="n">
        <v>0</v>
      </c>
      <c r="M395" t="n">
        <v>0</v>
      </c>
      <c r="N395" t="n">
        <v>0</v>
      </c>
      <c r="O395" t="n">
        <v>0</v>
      </c>
      <c r="P395" t="n">
        <v>0</v>
      </c>
      <c r="Q395" t="n">
        <v>0</v>
      </c>
      <c r="R395" s="2" t="inlineStr"/>
    </row>
    <row r="396" ht="15" customHeight="1">
      <c r="A396" t="inlineStr">
        <is>
          <t>A 20946-2023</t>
        </is>
      </c>
      <c r="B396" s="1" t="n">
        <v>45061</v>
      </c>
      <c r="C396" s="1" t="n">
        <v>45973</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61225-2023</t>
        </is>
      </c>
      <c r="B397" s="1" t="n">
        <v>45264</v>
      </c>
      <c r="C397" s="1" t="n">
        <v>45973</v>
      </c>
      <c r="D397" t="inlineStr">
        <is>
          <t>DALARNAS LÄN</t>
        </is>
      </c>
      <c r="E397" t="inlineStr">
        <is>
          <t>LEKSAND</t>
        </is>
      </c>
      <c r="G397" t="n">
        <v>7</v>
      </c>
      <c r="H397" t="n">
        <v>0</v>
      </c>
      <c r="I397" t="n">
        <v>0</v>
      </c>
      <c r="J397" t="n">
        <v>0</v>
      </c>
      <c r="K397" t="n">
        <v>0</v>
      </c>
      <c r="L397" t="n">
        <v>0</v>
      </c>
      <c r="M397" t="n">
        <v>0</v>
      </c>
      <c r="N397" t="n">
        <v>0</v>
      </c>
      <c r="O397" t="n">
        <v>0</v>
      </c>
      <c r="P397" t="n">
        <v>0</v>
      </c>
      <c r="Q397" t="n">
        <v>0</v>
      </c>
      <c r="R397" s="2" t="inlineStr"/>
    </row>
    <row r="398" ht="15" customHeight="1">
      <c r="A398" t="inlineStr">
        <is>
          <t>A 61252-2023</t>
        </is>
      </c>
      <c r="B398" s="1" t="n">
        <v>45261</v>
      </c>
      <c r="C398" s="1" t="n">
        <v>45973</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14617-2024</t>
        </is>
      </c>
      <c r="B399" s="1" t="n">
        <v>45397</v>
      </c>
      <c r="C399" s="1" t="n">
        <v>45973</v>
      </c>
      <c r="D399" t="inlineStr">
        <is>
          <t>DALARNAS LÄN</t>
        </is>
      </c>
      <c r="E399" t="inlineStr">
        <is>
          <t>LEKSAND</t>
        </is>
      </c>
      <c r="G399" t="n">
        <v>0.2</v>
      </c>
      <c r="H399" t="n">
        <v>0</v>
      </c>
      <c r="I399" t="n">
        <v>0</v>
      </c>
      <c r="J399" t="n">
        <v>0</v>
      </c>
      <c r="K399" t="n">
        <v>0</v>
      </c>
      <c r="L399" t="n">
        <v>0</v>
      </c>
      <c r="M399" t="n">
        <v>0</v>
      </c>
      <c r="N399" t="n">
        <v>0</v>
      </c>
      <c r="O399" t="n">
        <v>0</v>
      </c>
      <c r="P399" t="n">
        <v>0</v>
      </c>
      <c r="Q399" t="n">
        <v>0</v>
      </c>
      <c r="R399" s="2" t="inlineStr"/>
    </row>
    <row r="400" ht="15" customHeight="1">
      <c r="A400" t="inlineStr">
        <is>
          <t>A 53981-2024</t>
        </is>
      </c>
      <c r="B400" s="1" t="n">
        <v>45615</v>
      </c>
      <c r="C400" s="1" t="n">
        <v>45973</v>
      </c>
      <c r="D400" t="inlineStr">
        <is>
          <t>DALARNAS LÄN</t>
        </is>
      </c>
      <c r="E400" t="inlineStr">
        <is>
          <t>LEKSAND</t>
        </is>
      </c>
      <c r="G400" t="n">
        <v>5.4</v>
      </c>
      <c r="H400" t="n">
        <v>0</v>
      </c>
      <c r="I400" t="n">
        <v>0</v>
      </c>
      <c r="J400" t="n">
        <v>0</v>
      </c>
      <c r="K400" t="n">
        <v>0</v>
      </c>
      <c r="L400" t="n">
        <v>0</v>
      </c>
      <c r="M400" t="n">
        <v>0</v>
      </c>
      <c r="N400" t="n">
        <v>0</v>
      </c>
      <c r="O400" t="n">
        <v>0</v>
      </c>
      <c r="P400" t="n">
        <v>0</v>
      </c>
      <c r="Q400" t="n">
        <v>0</v>
      </c>
      <c r="R400" s="2" t="inlineStr"/>
    </row>
    <row r="401" ht="15" customHeight="1">
      <c r="A401" t="inlineStr">
        <is>
          <t>A 46141-2022</t>
        </is>
      </c>
      <c r="B401" s="1" t="n">
        <v>44846</v>
      </c>
      <c r="C401" s="1" t="n">
        <v>45973</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62993-2023</t>
        </is>
      </c>
      <c r="B402" s="1" t="n">
        <v>45272</v>
      </c>
      <c r="C402" s="1" t="n">
        <v>45973</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17589-2025</t>
        </is>
      </c>
      <c r="B403" s="1" t="n">
        <v>45757.67844907408</v>
      </c>
      <c r="C403" s="1" t="n">
        <v>45973</v>
      </c>
      <c r="D403" t="inlineStr">
        <is>
          <t>DALARNAS LÄN</t>
        </is>
      </c>
      <c r="E403" t="inlineStr">
        <is>
          <t>LEKSAND</t>
        </is>
      </c>
      <c r="G403" t="n">
        <v>5.8</v>
      </c>
      <c r="H403" t="n">
        <v>0</v>
      </c>
      <c r="I403" t="n">
        <v>0</v>
      </c>
      <c r="J403" t="n">
        <v>0</v>
      </c>
      <c r="K403" t="n">
        <v>0</v>
      </c>
      <c r="L403" t="n">
        <v>0</v>
      </c>
      <c r="M403" t="n">
        <v>0</v>
      </c>
      <c r="N403" t="n">
        <v>0</v>
      </c>
      <c r="O403" t="n">
        <v>0</v>
      </c>
      <c r="P403" t="n">
        <v>0</v>
      </c>
      <c r="Q403" t="n">
        <v>0</v>
      </c>
      <c r="R403" s="2" t="inlineStr"/>
    </row>
    <row r="404" ht="15" customHeight="1">
      <c r="A404" t="inlineStr">
        <is>
          <t>A 24373-2025</t>
        </is>
      </c>
      <c r="B404" s="1" t="n">
        <v>45797.61113425926</v>
      </c>
      <c r="C404" s="1" t="n">
        <v>45973</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61933-2023</t>
        </is>
      </c>
      <c r="B405" s="1" t="n">
        <v>45266</v>
      </c>
      <c r="C405" s="1" t="n">
        <v>45973</v>
      </c>
      <c r="D405" t="inlineStr">
        <is>
          <t>DALARNAS LÄN</t>
        </is>
      </c>
      <c r="E405" t="inlineStr">
        <is>
          <t>LEKSAND</t>
        </is>
      </c>
      <c r="G405" t="n">
        <v>0.2</v>
      </c>
      <c r="H405" t="n">
        <v>0</v>
      </c>
      <c r="I405" t="n">
        <v>0</v>
      </c>
      <c r="J405" t="n">
        <v>0</v>
      </c>
      <c r="K405" t="n">
        <v>0</v>
      </c>
      <c r="L405" t="n">
        <v>0</v>
      </c>
      <c r="M405" t="n">
        <v>0</v>
      </c>
      <c r="N405" t="n">
        <v>0</v>
      </c>
      <c r="O405" t="n">
        <v>0</v>
      </c>
      <c r="P405" t="n">
        <v>0</v>
      </c>
      <c r="Q405" t="n">
        <v>0</v>
      </c>
      <c r="R405" s="2" t="inlineStr"/>
    </row>
    <row r="406" ht="15" customHeight="1">
      <c r="A406" t="inlineStr">
        <is>
          <t>A 33198-2022</t>
        </is>
      </c>
      <c r="B406" s="1" t="n">
        <v>44785.68597222222</v>
      </c>
      <c r="C406" s="1" t="n">
        <v>45973</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11740-2025</t>
        </is>
      </c>
      <c r="B407" s="1" t="n">
        <v>45727.62582175926</v>
      </c>
      <c r="C407" s="1" t="n">
        <v>45973</v>
      </c>
      <c r="D407" t="inlineStr">
        <is>
          <t>DALARNAS LÄN</t>
        </is>
      </c>
      <c r="E407" t="inlineStr">
        <is>
          <t>LEKSAND</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15619-2025</t>
        </is>
      </c>
      <c r="B408" s="1" t="n">
        <v>45747</v>
      </c>
      <c r="C408" s="1" t="n">
        <v>45973</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41237-2025</t>
        </is>
      </c>
      <c r="B409" s="1" t="n">
        <v>45898.59570601852</v>
      </c>
      <c r="C409" s="1" t="n">
        <v>45973</v>
      </c>
      <c r="D409" t="inlineStr">
        <is>
          <t>DALARNAS LÄN</t>
        </is>
      </c>
      <c r="E409" t="inlineStr">
        <is>
          <t>LEKSAND</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41248-2025</t>
        </is>
      </c>
      <c r="B410" s="1" t="n">
        <v>45898.60199074074</v>
      </c>
      <c r="C410" s="1" t="n">
        <v>45973</v>
      </c>
      <c r="D410" t="inlineStr">
        <is>
          <t>DALARNAS LÄN</t>
        </is>
      </c>
      <c r="E410" t="inlineStr">
        <is>
          <t>LEKSAND</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41308-2025</t>
        </is>
      </c>
      <c r="B411" s="1" t="n">
        <v>45898</v>
      </c>
      <c r="C411" s="1" t="n">
        <v>45973</v>
      </c>
      <c r="D411" t="inlineStr">
        <is>
          <t>DALARNAS LÄN</t>
        </is>
      </c>
      <c r="E411" t="inlineStr">
        <is>
          <t>LEKSAND</t>
        </is>
      </c>
      <c r="F411" t="inlineStr">
        <is>
          <t>Bergvik skog väst AB</t>
        </is>
      </c>
      <c r="G411" t="n">
        <v>6.7</v>
      </c>
      <c r="H411" t="n">
        <v>0</v>
      </c>
      <c r="I411" t="n">
        <v>0</v>
      </c>
      <c r="J411" t="n">
        <v>0</v>
      </c>
      <c r="K411" t="n">
        <v>0</v>
      </c>
      <c r="L411" t="n">
        <v>0</v>
      </c>
      <c r="M411" t="n">
        <v>0</v>
      </c>
      <c r="N411" t="n">
        <v>0</v>
      </c>
      <c r="O411" t="n">
        <v>0</v>
      </c>
      <c r="P411" t="n">
        <v>0</v>
      </c>
      <c r="Q411" t="n">
        <v>0</v>
      </c>
      <c r="R411" s="2" t="inlineStr"/>
    </row>
    <row r="412" ht="15" customHeight="1">
      <c r="A412" t="inlineStr">
        <is>
          <t>A 46931-2023</t>
        </is>
      </c>
      <c r="B412" s="1" t="n">
        <v>45201</v>
      </c>
      <c r="C412" s="1" t="n">
        <v>45973</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17483-2025</t>
        </is>
      </c>
      <c r="B413" s="1" t="n">
        <v>45757.49408564815</v>
      </c>
      <c r="C413" s="1" t="n">
        <v>45973</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17759-2023</t>
        </is>
      </c>
      <c r="B414" s="1" t="n">
        <v>45037.48765046296</v>
      </c>
      <c r="C414" s="1" t="n">
        <v>45973</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43220-2024</t>
        </is>
      </c>
      <c r="B415" s="1" t="n">
        <v>45567.86112268519</v>
      </c>
      <c r="C415" s="1" t="n">
        <v>45973</v>
      </c>
      <c r="D415" t="inlineStr">
        <is>
          <t>DALARNAS LÄN</t>
        </is>
      </c>
      <c r="E415" t="inlineStr">
        <is>
          <t>LEKSAND</t>
        </is>
      </c>
      <c r="G415" t="n">
        <v>0.9</v>
      </c>
      <c r="H415" t="n">
        <v>0</v>
      </c>
      <c r="I415" t="n">
        <v>0</v>
      </c>
      <c r="J415" t="n">
        <v>0</v>
      </c>
      <c r="K415" t="n">
        <v>0</v>
      </c>
      <c r="L415" t="n">
        <v>0</v>
      </c>
      <c r="M415" t="n">
        <v>0</v>
      </c>
      <c r="N415" t="n">
        <v>0</v>
      </c>
      <c r="O415" t="n">
        <v>0</v>
      </c>
      <c r="P415" t="n">
        <v>0</v>
      </c>
      <c r="Q415" t="n">
        <v>0</v>
      </c>
      <c r="R415" s="2" t="inlineStr"/>
    </row>
    <row r="416" ht="15" customHeight="1">
      <c r="A416" t="inlineStr">
        <is>
          <t>A 55015-2024</t>
        </is>
      </c>
      <c r="B416" s="1" t="n">
        <v>45621.35554398148</v>
      </c>
      <c r="C416" s="1" t="n">
        <v>45973</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34039-2024</t>
        </is>
      </c>
      <c r="B417" s="1" t="n">
        <v>45523.5974537037</v>
      </c>
      <c r="C417" s="1" t="n">
        <v>45973</v>
      </c>
      <c r="D417" t="inlineStr">
        <is>
          <t>DALARNAS LÄN</t>
        </is>
      </c>
      <c r="E417" t="inlineStr">
        <is>
          <t>LEKSAND</t>
        </is>
      </c>
      <c r="G417" t="n">
        <v>7.1</v>
      </c>
      <c r="H417" t="n">
        <v>0</v>
      </c>
      <c r="I417" t="n">
        <v>0</v>
      </c>
      <c r="J417" t="n">
        <v>0</v>
      </c>
      <c r="K417" t="n">
        <v>0</v>
      </c>
      <c r="L417" t="n">
        <v>0</v>
      </c>
      <c r="M417" t="n">
        <v>0</v>
      </c>
      <c r="N417" t="n">
        <v>0</v>
      </c>
      <c r="O417" t="n">
        <v>0</v>
      </c>
      <c r="P417" t="n">
        <v>0</v>
      </c>
      <c r="Q417" t="n">
        <v>0</v>
      </c>
      <c r="R417" s="2" t="inlineStr"/>
    </row>
    <row r="418" ht="15" customHeight="1">
      <c r="A418" t="inlineStr">
        <is>
          <t>A 46505-2023</t>
        </is>
      </c>
      <c r="B418" s="1" t="n">
        <v>45197</v>
      </c>
      <c r="C418" s="1" t="n">
        <v>45973</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481-2024</t>
        </is>
      </c>
      <c r="B419" s="1" t="n">
        <v>45298</v>
      </c>
      <c r="C419" s="1" t="n">
        <v>45973</v>
      </c>
      <c r="D419" t="inlineStr">
        <is>
          <t>DALARNAS LÄN</t>
        </is>
      </c>
      <c r="E419" t="inlineStr">
        <is>
          <t>LEKSAND</t>
        </is>
      </c>
      <c r="G419" t="n">
        <v>7</v>
      </c>
      <c r="H419" t="n">
        <v>0</v>
      </c>
      <c r="I419" t="n">
        <v>0</v>
      </c>
      <c r="J419" t="n">
        <v>0</v>
      </c>
      <c r="K419" t="n">
        <v>0</v>
      </c>
      <c r="L419" t="n">
        <v>0</v>
      </c>
      <c r="M419" t="n">
        <v>0</v>
      </c>
      <c r="N419" t="n">
        <v>0</v>
      </c>
      <c r="O419" t="n">
        <v>0</v>
      </c>
      <c r="P419" t="n">
        <v>0</v>
      </c>
      <c r="Q419" t="n">
        <v>0</v>
      </c>
      <c r="R419" s="2" t="inlineStr"/>
    </row>
    <row r="420" ht="15" customHeight="1">
      <c r="A420" t="inlineStr">
        <is>
          <t>A 41380-2025</t>
        </is>
      </c>
      <c r="B420" s="1" t="n">
        <v>45900.92826388889</v>
      </c>
      <c r="C420" s="1" t="n">
        <v>45973</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50332-2025</t>
        </is>
      </c>
      <c r="B421" s="1" t="n">
        <v>45944.47092592593</v>
      </c>
      <c r="C421" s="1" t="n">
        <v>45973</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50278-2023</t>
        </is>
      </c>
      <c r="B422" s="1" t="n">
        <v>45216.43444444444</v>
      </c>
      <c r="C422" s="1" t="n">
        <v>45973</v>
      </c>
      <c r="D422" t="inlineStr">
        <is>
          <t>DALARNAS LÄN</t>
        </is>
      </c>
      <c r="E422" t="inlineStr">
        <is>
          <t>LEKSAND</t>
        </is>
      </c>
      <c r="G422" t="n">
        <v>0.4</v>
      </c>
      <c r="H422" t="n">
        <v>0</v>
      </c>
      <c r="I422" t="n">
        <v>0</v>
      </c>
      <c r="J422" t="n">
        <v>0</v>
      </c>
      <c r="K422" t="n">
        <v>0</v>
      </c>
      <c r="L422" t="n">
        <v>0</v>
      </c>
      <c r="M422" t="n">
        <v>0</v>
      </c>
      <c r="N422" t="n">
        <v>0</v>
      </c>
      <c r="O422" t="n">
        <v>0</v>
      </c>
      <c r="P422" t="n">
        <v>0</v>
      </c>
      <c r="Q422" t="n">
        <v>0</v>
      </c>
      <c r="R422" s="2" t="inlineStr"/>
    </row>
    <row r="423" ht="15" customHeight="1">
      <c r="A423" t="inlineStr">
        <is>
          <t>A 16197-2024</t>
        </is>
      </c>
      <c r="B423" s="1" t="n">
        <v>45406.70356481482</v>
      </c>
      <c r="C423" s="1" t="n">
        <v>45973</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44491-2023</t>
        </is>
      </c>
      <c r="B424" s="1" t="n">
        <v>45183</v>
      </c>
      <c r="C424" s="1" t="n">
        <v>45973</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5453-2025</t>
        </is>
      </c>
      <c r="B425" s="1" t="n">
        <v>45692.95231481481</v>
      </c>
      <c r="C425" s="1" t="n">
        <v>45973</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57925-2024</t>
        </is>
      </c>
      <c r="B426" s="1" t="n">
        <v>45630</v>
      </c>
      <c r="C426" s="1" t="n">
        <v>45973</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33001-2023</t>
        </is>
      </c>
      <c r="B427" s="1" t="n">
        <v>45125</v>
      </c>
      <c r="C427" s="1" t="n">
        <v>45973</v>
      </c>
      <c r="D427" t="inlineStr">
        <is>
          <t>DALARNAS LÄN</t>
        </is>
      </c>
      <c r="E427" t="inlineStr">
        <is>
          <t>LEKSAND</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33674-2023</t>
        </is>
      </c>
      <c r="B428" s="1" t="n">
        <v>45132</v>
      </c>
      <c r="C428" s="1" t="n">
        <v>45973</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27445-2024</t>
        </is>
      </c>
      <c r="B429" s="1" t="n">
        <v>45474.42474537037</v>
      </c>
      <c r="C429" s="1" t="n">
        <v>45973</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27446-2024</t>
        </is>
      </c>
      <c r="B430" s="1" t="n">
        <v>45474.42671296297</v>
      </c>
      <c r="C430" s="1" t="n">
        <v>45973</v>
      </c>
      <c r="D430" t="inlineStr">
        <is>
          <t>DALARNAS LÄN</t>
        </is>
      </c>
      <c r="E430" t="inlineStr">
        <is>
          <t>LEKSAND</t>
        </is>
      </c>
      <c r="G430" t="n">
        <v>2.9</v>
      </c>
      <c r="H430" t="n">
        <v>0</v>
      </c>
      <c r="I430" t="n">
        <v>0</v>
      </c>
      <c r="J430" t="n">
        <v>0</v>
      </c>
      <c r="K430" t="n">
        <v>0</v>
      </c>
      <c r="L430" t="n">
        <v>0</v>
      </c>
      <c r="M430" t="n">
        <v>0</v>
      </c>
      <c r="N430" t="n">
        <v>0</v>
      </c>
      <c r="O430" t="n">
        <v>0</v>
      </c>
      <c r="P430" t="n">
        <v>0</v>
      </c>
      <c r="Q430" t="n">
        <v>0</v>
      </c>
      <c r="R430" s="2" t="inlineStr"/>
    </row>
    <row r="431" ht="15" customHeight="1">
      <c r="A431" t="inlineStr">
        <is>
          <t>A 18837-2023</t>
        </is>
      </c>
      <c r="B431" s="1" t="n">
        <v>45044.42940972222</v>
      </c>
      <c r="C431" s="1" t="n">
        <v>45973</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41335-2025</t>
        </is>
      </c>
      <c r="B432" s="1" t="n">
        <v>45899.36747685185</v>
      </c>
      <c r="C432" s="1" t="n">
        <v>45973</v>
      </c>
      <c r="D432" t="inlineStr">
        <is>
          <t>DALARNAS LÄN</t>
        </is>
      </c>
      <c r="E432" t="inlineStr">
        <is>
          <t>LEKSAND</t>
        </is>
      </c>
      <c r="G432" t="n">
        <v>5.9</v>
      </c>
      <c r="H432" t="n">
        <v>0</v>
      </c>
      <c r="I432" t="n">
        <v>0</v>
      </c>
      <c r="J432" t="n">
        <v>0</v>
      </c>
      <c r="K432" t="n">
        <v>0</v>
      </c>
      <c r="L432" t="n">
        <v>0</v>
      </c>
      <c r="M432" t="n">
        <v>0</v>
      </c>
      <c r="N432" t="n">
        <v>0</v>
      </c>
      <c r="O432" t="n">
        <v>0</v>
      </c>
      <c r="P432" t="n">
        <v>0</v>
      </c>
      <c r="Q432" t="n">
        <v>0</v>
      </c>
      <c r="R432" s="2" t="inlineStr"/>
    </row>
    <row r="433" ht="15" customHeight="1">
      <c r="A433" t="inlineStr">
        <is>
          <t>A 17730-2024</t>
        </is>
      </c>
      <c r="B433" s="1" t="n">
        <v>45418</v>
      </c>
      <c r="C433" s="1" t="n">
        <v>45973</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40868-2024</t>
        </is>
      </c>
      <c r="B434" s="1" t="n">
        <v>45558</v>
      </c>
      <c r="C434" s="1" t="n">
        <v>45973</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22646-2025</t>
        </is>
      </c>
      <c r="B435" s="1" t="n">
        <v>45786</v>
      </c>
      <c r="C435" s="1" t="n">
        <v>45973</v>
      </c>
      <c r="D435" t="inlineStr">
        <is>
          <t>DALARNAS LÄN</t>
        </is>
      </c>
      <c r="E435" t="inlineStr">
        <is>
          <t>LEKSAND</t>
        </is>
      </c>
      <c r="F435" t="inlineStr">
        <is>
          <t>Kommuner</t>
        </is>
      </c>
      <c r="G435" t="n">
        <v>1.6</v>
      </c>
      <c r="H435" t="n">
        <v>0</v>
      </c>
      <c r="I435" t="n">
        <v>0</v>
      </c>
      <c r="J435" t="n">
        <v>0</v>
      </c>
      <c r="K435" t="n">
        <v>0</v>
      </c>
      <c r="L435" t="n">
        <v>0</v>
      </c>
      <c r="M435" t="n">
        <v>0</v>
      </c>
      <c r="N435" t="n">
        <v>0</v>
      </c>
      <c r="O435" t="n">
        <v>0</v>
      </c>
      <c r="P435" t="n">
        <v>0</v>
      </c>
      <c r="Q435" t="n">
        <v>0</v>
      </c>
      <c r="R435" s="2" t="inlineStr"/>
    </row>
    <row r="436" ht="15" customHeight="1">
      <c r="A436" t="inlineStr">
        <is>
          <t>A 41487-2025</t>
        </is>
      </c>
      <c r="B436" s="1" t="n">
        <v>45901.4815625</v>
      </c>
      <c r="C436" s="1" t="n">
        <v>45973</v>
      </c>
      <c r="D436" t="inlineStr">
        <is>
          <t>DALARNAS LÄN</t>
        </is>
      </c>
      <c r="E436" t="inlineStr">
        <is>
          <t>LEKSAND</t>
        </is>
      </c>
      <c r="F436" t="inlineStr">
        <is>
          <t>Bergvik skog väst AB</t>
        </is>
      </c>
      <c r="G436" t="n">
        <v>7.3</v>
      </c>
      <c r="H436" t="n">
        <v>0</v>
      </c>
      <c r="I436" t="n">
        <v>0</v>
      </c>
      <c r="J436" t="n">
        <v>0</v>
      </c>
      <c r="K436" t="n">
        <v>0</v>
      </c>
      <c r="L436" t="n">
        <v>0</v>
      </c>
      <c r="M436" t="n">
        <v>0</v>
      </c>
      <c r="N436" t="n">
        <v>0</v>
      </c>
      <c r="O436" t="n">
        <v>0</v>
      </c>
      <c r="P436" t="n">
        <v>0</v>
      </c>
      <c r="Q436" t="n">
        <v>0</v>
      </c>
      <c r="R436" s="2" t="inlineStr"/>
    </row>
    <row r="437" ht="15" customHeight="1">
      <c r="A437" t="inlineStr">
        <is>
          <t>A 64933-2023</t>
        </is>
      </c>
      <c r="B437" s="1" t="n">
        <v>45282</v>
      </c>
      <c r="C437" s="1" t="n">
        <v>45973</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16135-2023</t>
        </is>
      </c>
      <c r="B438" s="1" t="n">
        <v>45027.63717592593</v>
      </c>
      <c r="C438" s="1" t="n">
        <v>45973</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30198-2024</t>
        </is>
      </c>
      <c r="B439" s="1" t="n">
        <v>45490.34765046297</v>
      </c>
      <c r="C439" s="1" t="n">
        <v>45973</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10373-2023</t>
        </is>
      </c>
      <c r="B440" s="1" t="n">
        <v>44987</v>
      </c>
      <c r="C440" s="1" t="n">
        <v>45973</v>
      </c>
      <c r="D440" t="inlineStr">
        <is>
          <t>DALARNAS LÄN</t>
        </is>
      </c>
      <c r="E440" t="inlineStr">
        <is>
          <t>LEKSAND</t>
        </is>
      </c>
      <c r="G440" t="n">
        <v>0.3</v>
      </c>
      <c r="H440" t="n">
        <v>0</v>
      </c>
      <c r="I440" t="n">
        <v>0</v>
      </c>
      <c r="J440" t="n">
        <v>0</v>
      </c>
      <c r="K440" t="n">
        <v>0</v>
      </c>
      <c r="L440" t="n">
        <v>0</v>
      </c>
      <c r="M440" t="n">
        <v>0</v>
      </c>
      <c r="N440" t="n">
        <v>0</v>
      </c>
      <c r="O440" t="n">
        <v>0</v>
      </c>
      <c r="P440" t="n">
        <v>0</v>
      </c>
      <c r="Q440" t="n">
        <v>0</v>
      </c>
      <c r="R440" s="2" t="inlineStr"/>
    </row>
    <row r="441" ht="15" customHeight="1">
      <c r="A441" t="inlineStr">
        <is>
          <t>A 39620-2024</t>
        </is>
      </c>
      <c r="B441" s="1" t="n">
        <v>45552.43163194445</v>
      </c>
      <c r="C441" s="1" t="n">
        <v>45973</v>
      </c>
      <c r="D441" t="inlineStr">
        <is>
          <t>DALARNAS LÄN</t>
        </is>
      </c>
      <c r="E441" t="inlineStr">
        <is>
          <t>LEKSAND</t>
        </is>
      </c>
      <c r="G441" t="n">
        <v>2.3</v>
      </c>
      <c r="H441" t="n">
        <v>0</v>
      </c>
      <c r="I441" t="n">
        <v>0</v>
      </c>
      <c r="J441" t="n">
        <v>0</v>
      </c>
      <c r="K441" t="n">
        <v>0</v>
      </c>
      <c r="L441" t="n">
        <v>0</v>
      </c>
      <c r="M441" t="n">
        <v>0</v>
      </c>
      <c r="N441" t="n">
        <v>0</v>
      </c>
      <c r="O441" t="n">
        <v>0</v>
      </c>
      <c r="P441" t="n">
        <v>0</v>
      </c>
      <c r="Q441" t="n">
        <v>0</v>
      </c>
      <c r="R441" s="2" t="inlineStr"/>
    </row>
    <row r="442" ht="15" customHeight="1">
      <c r="A442" t="inlineStr">
        <is>
          <t>A 57907-2024</t>
        </is>
      </c>
      <c r="B442" s="1" t="n">
        <v>45630</v>
      </c>
      <c r="C442" s="1" t="n">
        <v>45973</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59236-2024</t>
        </is>
      </c>
      <c r="B443" s="1" t="n">
        <v>45637.58795138889</v>
      </c>
      <c r="C443" s="1" t="n">
        <v>45973</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24369-2025</t>
        </is>
      </c>
      <c r="B444" s="1" t="n">
        <v>45797.60731481481</v>
      </c>
      <c r="C444" s="1" t="n">
        <v>45973</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23892-2025</t>
        </is>
      </c>
      <c r="B445" s="1" t="n">
        <v>45793</v>
      </c>
      <c r="C445" s="1" t="n">
        <v>45973</v>
      </c>
      <c r="D445" t="inlineStr">
        <is>
          <t>DALARNAS LÄN</t>
        </is>
      </c>
      <c r="E445" t="inlineStr">
        <is>
          <t>LEKSAND</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34038-2024</t>
        </is>
      </c>
      <c r="B446" s="1" t="n">
        <v>45523.59578703704</v>
      </c>
      <c r="C446" s="1" t="n">
        <v>45973</v>
      </c>
      <c r="D446" t="inlineStr">
        <is>
          <t>DALARNAS LÄN</t>
        </is>
      </c>
      <c r="E446" t="inlineStr">
        <is>
          <t>LEKSAND</t>
        </is>
      </c>
      <c r="G446" t="n">
        <v>0.3</v>
      </c>
      <c r="H446" t="n">
        <v>0</v>
      </c>
      <c r="I446" t="n">
        <v>0</v>
      </c>
      <c r="J446" t="n">
        <v>0</v>
      </c>
      <c r="K446" t="n">
        <v>0</v>
      </c>
      <c r="L446" t="n">
        <v>0</v>
      </c>
      <c r="M446" t="n">
        <v>0</v>
      </c>
      <c r="N446" t="n">
        <v>0</v>
      </c>
      <c r="O446" t="n">
        <v>0</v>
      </c>
      <c r="P446" t="n">
        <v>0</v>
      </c>
      <c r="Q446" t="n">
        <v>0</v>
      </c>
      <c r="R446" s="2" t="inlineStr"/>
    </row>
    <row r="447" ht="15" customHeight="1">
      <c r="A447" t="inlineStr">
        <is>
          <t>A 34041-2024</t>
        </is>
      </c>
      <c r="B447" s="1" t="n">
        <v>45523.59895833334</v>
      </c>
      <c r="C447" s="1" t="n">
        <v>45973</v>
      </c>
      <c r="D447" t="inlineStr">
        <is>
          <t>DALARNAS LÄN</t>
        </is>
      </c>
      <c r="E447" t="inlineStr">
        <is>
          <t>LEKSAND</t>
        </is>
      </c>
      <c r="G447" t="n">
        <v>4</v>
      </c>
      <c r="H447" t="n">
        <v>0</v>
      </c>
      <c r="I447" t="n">
        <v>0</v>
      </c>
      <c r="J447" t="n">
        <v>0</v>
      </c>
      <c r="K447" t="n">
        <v>0</v>
      </c>
      <c r="L447" t="n">
        <v>0</v>
      </c>
      <c r="M447" t="n">
        <v>0</v>
      </c>
      <c r="N447" t="n">
        <v>0</v>
      </c>
      <c r="O447" t="n">
        <v>0</v>
      </c>
      <c r="P447" t="n">
        <v>0</v>
      </c>
      <c r="Q447" t="n">
        <v>0</v>
      </c>
      <c r="R447" s="2" t="inlineStr"/>
    </row>
    <row r="448" ht="15" customHeight="1">
      <c r="A448" t="inlineStr">
        <is>
          <t>A 33566-2023</t>
        </is>
      </c>
      <c r="B448" s="1" t="n">
        <v>45131.64390046296</v>
      </c>
      <c r="C448" s="1" t="n">
        <v>45973</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16592-2023</t>
        </is>
      </c>
      <c r="B449" s="1" t="n">
        <v>45030</v>
      </c>
      <c r="C449" s="1" t="n">
        <v>45973</v>
      </c>
      <c r="D449" t="inlineStr">
        <is>
          <t>DALARNAS LÄN</t>
        </is>
      </c>
      <c r="E449" t="inlineStr">
        <is>
          <t>LEKSAND</t>
        </is>
      </c>
      <c r="G449" t="n">
        <v>11.5</v>
      </c>
      <c r="H449" t="n">
        <v>0</v>
      </c>
      <c r="I449" t="n">
        <v>0</v>
      </c>
      <c r="J449" t="n">
        <v>0</v>
      </c>
      <c r="K449" t="n">
        <v>0</v>
      </c>
      <c r="L449" t="n">
        <v>0</v>
      </c>
      <c r="M449" t="n">
        <v>0</v>
      </c>
      <c r="N449" t="n">
        <v>0</v>
      </c>
      <c r="O449" t="n">
        <v>0</v>
      </c>
      <c r="P449" t="n">
        <v>0</v>
      </c>
      <c r="Q449" t="n">
        <v>0</v>
      </c>
      <c r="R449" s="2" t="inlineStr"/>
    </row>
    <row r="450" ht="15" customHeight="1">
      <c r="A450" t="inlineStr">
        <is>
          <t>A 7395-2025</t>
        </is>
      </c>
      <c r="B450" s="1" t="n">
        <v>45705.34516203704</v>
      </c>
      <c r="C450" s="1" t="n">
        <v>45973</v>
      </c>
      <c r="D450" t="inlineStr">
        <is>
          <t>DALARNAS LÄN</t>
        </is>
      </c>
      <c r="E450" t="inlineStr">
        <is>
          <t>LEKSAND</t>
        </is>
      </c>
      <c r="G450" t="n">
        <v>1.8</v>
      </c>
      <c r="H450" t="n">
        <v>0</v>
      </c>
      <c r="I450" t="n">
        <v>0</v>
      </c>
      <c r="J450" t="n">
        <v>0</v>
      </c>
      <c r="K450" t="n">
        <v>0</v>
      </c>
      <c r="L450" t="n">
        <v>0</v>
      </c>
      <c r="M450" t="n">
        <v>0</v>
      </c>
      <c r="N450" t="n">
        <v>0</v>
      </c>
      <c r="O450" t="n">
        <v>0</v>
      </c>
      <c r="P450" t="n">
        <v>0</v>
      </c>
      <c r="Q450" t="n">
        <v>0</v>
      </c>
      <c r="R450" s="2" t="inlineStr"/>
    </row>
    <row r="451" ht="15" customHeight="1">
      <c r="A451" t="inlineStr">
        <is>
          <t>A 31971-2024</t>
        </is>
      </c>
      <c r="B451" s="1" t="n">
        <v>45510.55171296297</v>
      </c>
      <c r="C451" s="1" t="n">
        <v>45973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42284-2025</t>
        </is>
      </c>
      <c r="B452" s="1" t="n">
        <v>45903</v>
      </c>
      <c r="C452" s="1" t="n">
        <v>45973</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61546-2021</t>
        </is>
      </c>
      <c r="B453" s="1" t="n">
        <v>44501</v>
      </c>
      <c r="C453" s="1" t="n">
        <v>45973</v>
      </c>
      <c r="D453" t="inlineStr">
        <is>
          <t>DALARNAS LÄN</t>
        </is>
      </c>
      <c r="E453" t="inlineStr">
        <is>
          <t>LEKSAND</t>
        </is>
      </c>
      <c r="G453" t="n">
        <v>3</v>
      </c>
      <c r="H453" t="n">
        <v>0</v>
      </c>
      <c r="I453" t="n">
        <v>0</v>
      </c>
      <c r="J453" t="n">
        <v>0</v>
      </c>
      <c r="K453" t="n">
        <v>0</v>
      </c>
      <c r="L453" t="n">
        <v>0</v>
      </c>
      <c r="M453" t="n">
        <v>0</v>
      </c>
      <c r="N453" t="n">
        <v>0</v>
      </c>
      <c r="O453" t="n">
        <v>0</v>
      </c>
      <c r="P453" t="n">
        <v>0</v>
      </c>
      <c r="Q453" t="n">
        <v>0</v>
      </c>
      <c r="R453" s="2" t="inlineStr"/>
    </row>
    <row r="454" ht="15" customHeight="1">
      <c r="A454" t="inlineStr">
        <is>
          <t>A 10833-2023</t>
        </is>
      </c>
      <c r="B454" s="1" t="n">
        <v>44990</v>
      </c>
      <c r="C454" s="1" t="n">
        <v>45973</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24715-2025</t>
        </is>
      </c>
      <c r="B455" s="1" t="n">
        <v>45798.97899305556</v>
      </c>
      <c r="C455" s="1" t="n">
        <v>45973</v>
      </c>
      <c r="D455" t="inlineStr">
        <is>
          <t>DALARNAS LÄN</t>
        </is>
      </c>
      <c r="E455" t="inlineStr">
        <is>
          <t>LEKSAND</t>
        </is>
      </c>
      <c r="G455" t="n">
        <v>8.4</v>
      </c>
      <c r="H455" t="n">
        <v>0</v>
      </c>
      <c r="I455" t="n">
        <v>0</v>
      </c>
      <c r="J455" t="n">
        <v>0</v>
      </c>
      <c r="K455" t="n">
        <v>0</v>
      </c>
      <c r="L455" t="n">
        <v>0</v>
      </c>
      <c r="M455" t="n">
        <v>0</v>
      </c>
      <c r="N455" t="n">
        <v>0</v>
      </c>
      <c r="O455" t="n">
        <v>0</v>
      </c>
      <c r="P455" t="n">
        <v>0</v>
      </c>
      <c r="Q455" t="n">
        <v>0</v>
      </c>
      <c r="R455" s="2" t="inlineStr"/>
    </row>
    <row r="456" ht="15" customHeight="1">
      <c r="A456" t="inlineStr">
        <is>
          <t>A 50704-2025</t>
        </is>
      </c>
      <c r="B456" s="1" t="n">
        <v>45946.27984953704</v>
      </c>
      <c r="C456" s="1" t="n">
        <v>45973</v>
      </c>
      <c r="D456" t="inlineStr">
        <is>
          <t>DALARNAS LÄN</t>
        </is>
      </c>
      <c r="E456" t="inlineStr">
        <is>
          <t>LEKSAND</t>
        </is>
      </c>
      <c r="G456" t="n">
        <v>2.1</v>
      </c>
      <c r="H456" t="n">
        <v>0</v>
      </c>
      <c r="I456" t="n">
        <v>0</v>
      </c>
      <c r="J456" t="n">
        <v>0</v>
      </c>
      <c r="K456" t="n">
        <v>0</v>
      </c>
      <c r="L456" t="n">
        <v>0</v>
      </c>
      <c r="M456" t="n">
        <v>0</v>
      </c>
      <c r="N456" t="n">
        <v>0</v>
      </c>
      <c r="O456" t="n">
        <v>0</v>
      </c>
      <c r="P456" t="n">
        <v>0</v>
      </c>
      <c r="Q456" t="n">
        <v>0</v>
      </c>
      <c r="R456" s="2" t="inlineStr"/>
    </row>
    <row r="457" ht="15" customHeight="1">
      <c r="A457" t="inlineStr">
        <is>
          <t>A 7653-2025</t>
        </is>
      </c>
      <c r="B457" s="1" t="n">
        <v>45705.95238425926</v>
      </c>
      <c r="C457" s="1" t="n">
        <v>45973</v>
      </c>
      <c r="D457" t="inlineStr">
        <is>
          <t>DALARNAS LÄN</t>
        </is>
      </c>
      <c r="E457" t="inlineStr">
        <is>
          <t>LEKSAND</t>
        </is>
      </c>
      <c r="G457" t="n">
        <v>0.8</v>
      </c>
      <c r="H457" t="n">
        <v>0</v>
      </c>
      <c r="I457" t="n">
        <v>0</v>
      </c>
      <c r="J457" t="n">
        <v>0</v>
      </c>
      <c r="K457" t="n">
        <v>0</v>
      </c>
      <c r="L457" t="n">
        <v>0</v>
      </c>
      <c r="M457" t="n">
        <v>0</v>
      </c>
      <c r="N457" t="n">
        <v>0</v>
      </c>
      <c r="O457" t="n">
        <v>0</v>
      </c>
      <c r="P457" t="n">
        <v>0</v>
      </c>
      <c r="Q457" t="n">
        <v>0</v>
      </c>
      <c r="R457" s="2" t="inlineStr"/>
    </row>
    <row r="458" ht="15" customHeight="1">
      <c r="A458" t="inlineStr">
        <is>
          <t>A 41853-2023</t>
        </is>
      </c>
      <c r="B458" s="1" t="n">
        <v>45176.62483796296</v>
      </c>
      <c r="C458" s="1" t="n">
        <v>45973</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62116-2024</t>
        </is>
      </c>
      <c r="B459" s="1" t="n">
        <v>45646</v>
      </c>
      <c r="C459" s="1" t="n">
        <v>45973</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17233-2023</t>
        </is>
      </c>
      <c r="B460" s="1" t="n">
        <v>45035</v>
      </c>
      <c r="C460" s="1" t="n">
        <v>45973</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16231-2021</t>
        </is>
      </c>
      <c r="B461" s="1" t="n">
        <v>44292</v>
      </c>
      <c r="C461" s="1" t="n">
        <v>45973</v>
      </c>
      <c r="D461" t="inlineStr">
        <is>
          <t>DALARNAS LÄN</t>
        </is>
      </c>
      <c r="E461" t="inlineStr">
        <is>
          <t>LEKSAND</t>
        </is>
      </c>
      <c r="G461" t="n">
        <v>1.1</v>
      </c>
      <c r="H461" t="n">
        <v>0</v>
      </c>
      <c r="I461" t="n">
        <v>0</v>
      </c>
      <c r="J461" t="n">
        <v>0</v>
      </c>
      <c r="K461" t="n">
        <v>0</v>
      </c>
      <c r="L461" t="n">
        <v>0</v>
      </c>
      <c r="M461" t="n">
        <v>0</v>
      </c>
      <c r="N461" t="n">
        <v>0</v>
      </c>
      <c r="O461" t="n">
        <v>0</v>
      </c>
      <c r="P461" t="n">
        <v>0</v>
      </c>
      <c r="Q461" t="n">
        <v>0</v>
      </c>
      <c r="R461" s="2" t="inlineStr"/>
    </row>
    <row r="462" ht="15" customHeight="1">
      <c r="A462" t="inlineStr">
        <is>
          <t>A 25096-2025</t>
        </is>
      </c>
      <c r="B462" s="1" t="n">
        <v>45800.33868055556</v>
      </c>
      <c r="C462" s="1" t="n">
        <v>45973</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12857-2023</t>
        </is>
      </c>
      <c r="B463" s="1" t="n">
        <v>45001.5000462963</v>
      </c>
      <c r="C463" s="1" t="n">
        <v>45973</v>
      </c>
      <c r="D463" t="inlineStr">
        <is>
          <t>DALARNAS LÄN</t>
        </is>
      </c>
      <c r="E463" t="inlineStr">
        <is>
          <t>LEKSAND</t>
        </is>
      </c>
      <c r="G463" t="n">
        <v>0.2</v>
      </c>
      <c r="H463" t="n">
        <v>0</v>
      </c>
      <c r="I463" t="n">
        <v>0</v>
      </c>
      <c r="J463" t="n">
        <v>0</v>
      </c>
      <c r="K463" t="n">
        <v>0</v>
      </c>
      <c r="L463" t="n">
        <v>0</v>
      </c>
      <c r="M463" t="n">
        <v>0</v>
      </c>
      <c r="N463" t="n">
        <v>0</v>
      </c>
      <c r="O463" t="n">
        <v>0</v>
      </c>
      <c r="P463" t="n">
        <v>0</v>
      </c>
      <c r="Q463" t="n">
        <v>0</v>
      </c>
      <c r="R463" s="2" t="inlineStr"/>
    </row>
    <row r="464" ht="15" customHeight="1">
      <c r="A464" t="inlineStr">
        <is>
          <t>A 15986-2025</t>
        </is>
      </c>
      <c r="B464" s="1" t="n">
        <v>45749.57331018519</v>
      </c>
      <c r="C464" s="1" t="n">
        <v>45973</v>
      </c>
      <c r="D464" t="inlineStr">
        <is>
          <t>DALARNAS LÄN</t>
        </is>
      </c>
      <c r="E464" t="inlineStr">
        <is>
          <t>LEKSAND</t>
        </is>
      </c>
      <c r="G464" t="n">
        <v>2.7</v>
      </c>
      <c r="H464" t="n">
        <v>0</v>
      </c>
      <c r="I464" t="n">
        <v>0</v>
      </c>
      <c r="J464" t="n">
        <v>0</v>
      </c>
      <c r="K464" t="n">
        <v>0</v>
      </c>
      <c r="L464" t="n">
        <v>0</v>
      </c>
      <c r="M464" t="n">
        <v>0</v>
      </c>
      <c r="N464" t="n">
        <v>0</v>
      </c>
      <c r="O464" t="n">
        <v>0</v>
      </c>
      <c r="P464" t="n">
        <v>0</v>
      </c>
      <c r="Q464" t="n">
        <v>0</v>
      </c>
      <c r="R464" s="2" t="inlineStr"/>
    </row>
    <row r="465" ht="15" customHeight="1">
      <c r="A465" t="inlineStr">
        <is>
          <t>A 28674-2024</t>
        </is>
      </c>
      <c r="B465" s="1" t="n">
        <v>45478.47863425926</v>
      </c>
      <c r="C465" s="1" t="n">
        <v>45973</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62295-2023</t>
        </is>
      </c>
      <c r="B466" s="1" t="n">
        <v>45267</v>
      </c>
      <c r="C466" s="1" t="n">
        <v>45973</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10771-2024</t>
        </is>
      </c>
      <c r="B467" s="1" t="n">
        <v>45369.57342592593</v>
      </c>
      <c r="C467" s="1" t="n">
        <v>45973</v>
      </c>
      <c r="D467" t="inlineStr">
        <is>
          <t>DALARNAS LÄN</t>
        </is>
      </c>
      <c r="E467" t="inlineStr">
        <is>
          <t>LEKSAND</t>
        </is>
      </c>
      <c r="G467" t="n">
        <v>0.4</v>
      </c>
      <c r="H467" t="n">
        <v>0</v>
      </c>
      <c r="I467" t="n">
        <v>0</v>
      </c>
      <c r="J467" t="n">
        <v>0</v>
      </c>
      <c r="K467" t="n">
        <v>0</v>
      </c>
      <c r="L467" t="n">
        <v>0</v>
      </c>
      <c r="M467" t="n">
        <v>0</v>
      </c>
      <c r="N467" t="n">
        <v>0</v>
      </c>
      <c r="O467" t="n">
        <v>0</v>
      </c>
      <c r="P467" t="n">
        <v>0</v>
      </c>
      <c r="Q467" t="n">
        <v>0</v>
      </c>
      <c r="R467" s="2" t="inlineStr"/>
    </row>
    <row r="468" ht="15" customHeight="1">
      <c r="A468" t="inlineStr">
        <is>
          <t>A 19622-2024</t>
        </is>
      </c>
      <c r="B468" s="1" t="n">
        <v>45432.33592592592</v>
      </c>
      <c r="C468" s="1" t="n">
        <v>45973</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42402-2025</t>
        </is>
      </c>
      <c r="B469" s="1" t="n">
        <v>45905.3753125</v>
      </c>
      <c r="C469" s="1" t="n">
        <v>45973</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25105-2025</t>
        </is>
      </c>
      <c r="B470" s="1" t="n">
        <v>45800.34751157407</v>
      </c>
      <c r="C470" s="1" t="n">
        <v>45973</v>
      </c>
      <c r="D470" t="inlineStr">
        <is>
          <t>DALARNAS LÄN</t>
        </is>
      </c>
      <c r="E470" t="inlineStr">
        <is>
          <t>LEKSAND</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24714-2025</t>
        </is>
      </c>
      <c r="B471" s="1" t="n">
        <v>45798.96927083333</v>
      </c>
      <c r="C471" s="1" t="n">
        <v>45973</v>
      </c>
      <c r="D471" t="inlineStr">
        <is>
          <t>DALARNAS LÄN</t>
        </is>
      </c>
      <c r="E471" t="inlineStr">
        <is>
          <t>LEKSAND</t>
        </is>
      </c>
      <c r="F471" t="inlineStr">
        <is>
          <t>Bergvik skog väst AB</t>
        </is>
      </c>
      <c r="G471" t="n">
        <v>6.2</v>
      </c>
      <c r="H471" t="n">
        <v>0</v>
      </c>
      <c r="I471" t="n">
        <v>0</v>
      </c>
      <c r="J471" t="n">
        <v>0</v>
      </c>
      <c r="K471" t="n">
        <v>0</v>
      </c>
      <c r="L471" t="n">
        <v>0</v>
      </c>
      <c r="M471" t="n">
        <v>0</v>
      </c>
      <c r="N471" t="n">
        <v>0</v>
      </c>
      <c r="O471" t="n">
        <v>0</v>
      </c>
      <c r="P471" t="n">
        <v>0</v>
      </c>
      <c r="Q471" t="n">
        <v>0</v>
      </c>
      <c r="R471" s="2" t="inlineStr"/>
    </row>
    <row r="472" ht="15" customHeight="1">
      <c r="A472" t="inlineStr">
        <is>
          <t>A 27317-2021</t>
        </is>
      </c>
      <c r="B472" s="1" t="n">
        <v>44351</v>
      </c>
      <c r="C472" s="1" t="n">
        <v>45973</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46834-2023</t>
        </is>
      </c>
      <c r="B473" s="1" t="n">
        <v>45199.35668981481</v>
      </c>
      <c r="C473" s="1" t="n">
        <v>45973</v>
      </c>
      <c r="D473" t="inlineStr">
        <is>
          <t>DALARNAS LÄN</t>
        </is>
      </c>
      <c r="E473" t="inlineStr">
        <is>
          <t>LEKSAND</t>
        </is>
      </c>
      <c r="G473" t="n">
        <v>16.3</v>
      </c>
      <c r="H473" t="n">
        <v>0</v>
      </c>
      <c r="I473" t="n">
        <v>0</v>
      </c>
      <c r="J473" t="n">
        <v>0</v>
      </c>
      <c r="K473" t="n">
        <v>0</v>
      </c>
      <c r="L473" t="n">
        <v>0</v>
      </c>
      <c r="M473" t="n">
        <v>0</v>
      </c>
      <c r="N473" t="n">
        <v>0</v>
      </c>
      <c r="O473" t="n">
        <v>0</v>
      </c>
      <c r="P473" t="n">
        <v>0</v>
      </c>
      <c r="Q473" t="n">
        <v>0</v>
      </c>
      <c r="R473" s="2" t="inlineStr"/>
    </row>
    <row r="474" ht="15" customHeight="1">
      <c r="A474" t="inlineStr">
        <is>
          <t>A 61055-2023</t>
        </is>
      </c>
      <c r="B474" s="1" t="n">
        <v>45261</v>
      </c>
      <c r="C474" s="1" t="n">
        <v>45973</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31255-2023</t>
        </is>
      </c>
      <c r="B475" s="1" t="n">
        <v>45114.36729166667</v>
      </c>
      <c r="C475" s="1" t="n">
        <v>45973</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1983-2025</t>
        </is>
      </c>
      <c r="B476" s="1" t="n">
        <v>45670</v>
      </c>
      <c r="C476" s="1" t="n">
        <v>45973</v>
      </c>
      <c r="D476" t="inlineStr">
        <is>
          <t>DALARNAS LÄN</t>
        </is>
      </c>
      <c r="E476" t="inlineStr">
        <is>
          <t>LEKSAND</t>
        </is>
      </c>
      <c r="G476" t="n">
        <v>1.5</v>
      </c>
      <c r="H476" t="n">
        <v>0</v>
      </c>
      <c r="I476" t="n">
        <v>0</v>
      </c>
      <c r="J476" t="n">
        <v>0</v>
      </c>
      <c r="K476" t="n">
        <v>0</v>
      </c>
      <c r="L476" t="n">
        <v>0</v>
      </c>
      <c r="M476" t="n">
        <v>0</v>
      </c>
      <c r="N476" t="n">
        <v>0</v>
      </c>
      <c r="O476" t="n">
        <v>0</v>
      </c>
      <c r="P476" t="n">
        <v>0</v>
      </c>
      <c r="Q476" t="n">
        <v>0</v>
      </c>
      <c r="R476" s="2" t="inlineStr"/>
    </row>
    <row r="477" ht="15" customHeight="1">
      <c r="A477" t="inlineStr">
        <is>
          <t>A 10743-2024</t>
        </is>
      </c>
      <c r="B477" s="1" t="n">
        <v>45369.52167824074</v>
      </c>
      <c r="C477" s="1" t="n">
        <v>45973</v>
      </c>
      <c r="D477" t="inlineStr">
        <is>
          <t>DALARNAS LÄN</t>
        </is>
      </c>
      <c r="E477" t="inlineStr">
        <is>
          <t>LEKSAND</t>
        </is>
      </c>
      <c r="G477" t="n">
        <v>2.7</v>
      </c>
      <c r="H477" t="n">
        <v>0</v>
      </c>
      <c r="I477" t="n">
        <v>0</v>
      </c>
      <c r="J477" t="n">
        <v>0</v>
      </c>
      <c r="K477" t="n">
        <v>0</v>
      </c>
      <c r="L477" t="n">
        <v>0</v>
      </c>
      <c r="M477" t="n">
        <v>0</v>
      </c>
      <c r="N477" t="n">
        <v>0</v>
      </c>
      <c r="O477" t="n">
        <v>0</v>
      </c>
      <c r="P477" t="n">
        <v>0</v>
      </c>
      <c r="Q477" t="n">
        <v>0</v>
      </c>
      <c r="R477" s="2" t="inlineStr"/>
    </row>
    <row r="478" ht="15" customHeight="1">
      <c r="A478" t="inlineStr">
        <is>
          <t>A 21402-2023</t>
        </is>
      </c>
      <c r="B478" s="1" t="n">
        <v>45061</v>
      </c>
      <c r="C478" s="1" t="n">
        <v>45973</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43142-2024</t>
        </is>
      </c>
      <c r="B479" s="1" t="n">
        <v>45567.62144675926</v>
      </c>
      <c r="C479" s="1" t="n">
        <v>45973</v>
      </c>
      <c r="D479" t="inlineStr">
        <is>
          <t>DALARNAS LÄN</t>
        </is>
      </c>
      <c r="E479" t="inlineStr">
        <is>
          <t>LEKSAND</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51663-2025</t>
        </is>
      </c>
      <c r="B480" s="1" t="n">
        <v>45951</v>
      </c>
      <c r="C480" s="1" t="n">
        <v>45973</v>
      </c>
      <c r="D480" t="inlineStr">
        <is>
          <t>DALARNAS LÄN</t>
        </is>
      </c>
      <c r="E480" t="inlineStr">
        <is>
          <t>LEKSAND</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51728-2025</t>
        </is>
      </c>
      <c r="B481" s="1" t="n">
        <v>45951</v>
      </c>
      <c r="C481" s="1" t="n">
        <v>45973</v>
      </c>
      <c r="D481" t="inlineStr">
        <is>
          <t>DALARNAS LÄN</t>
        </is>
      </c>
      <c r="E481" t="inlineStr">
        <is>
          <t>LEKSAND</t>
        </is>
      </c>
      <c r="F481" t="inlineStr">
        <is>
          <t>Bergvik skog väst AB</t>
        </is>
      </c>
      <c r="G481" t="n">
        <v>14.2</v>
      </c>
      <c r="H481" t="n">
        <v>0</v>
      </c>
      <c r="I481" t="n">
        <v>0</v>
      </c>
      <c r="J481" t="n">
        <v>0</v>
      </c>
      <c r="K481" t="n">
        <v>0</v>
      </c>
      <c r="L481" t="n">
        <v>0</v>
      </c>
      <c r="M481" t="n">
        <v>0</v>
      </c>
      <c r="N481" t="n">
        <v>0</v>
      </c>
      <c r="O481" t="n">
        <v>0</v>
      </c>
      <c r="P481" t="n">
        <v>0</v>
      </c>
      <c r="Q481" t="n">
        <v>0</v>
      </c>
      <c r="R481" s="2" t="inlineStr"/>
    </row>
    <row r="482" ht="15" customHeight="1">
      <c r="A482" t="inlineStr">
        <is>
          <t>A 51768-2025</t>
        </is>
      </c>
      <c r="B482" s="1" t="n">
        <v>45951.64041666667</v>
      </c>
      <c r="C482" s="1" t="n">
        <v>45973</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51926-2025</t>
        </is>
      </c>
      <c r="B483" s="1" t="n">
        <v>45952.49537037037</v>
      </c>
      <c r="C483" s="1" t="n">
        <v>45973</v>
      </c>
      <c r="D483" t="inlineStr">
        <is>
          <t>DALARNAS LÄN</t>
        </is>
      </c>
      <c r="E483" t="inlineStr">
        <is>
          <t>LEKSAND</t>
        </is>
      </c>
      <c r="G483" t="n">
        <v>2.3</v>
      </c>
      <c r="H483" t="n">
        <v>0</v>
      </c>
      <c r="I483" t="n">
        <v>0</v>
      </c>
      <c r="J483" t="n">
        <v>0</v>
      </c>
      <c r="K483" t="n">
        <v>0</v>
      </c>
      <c r="L483" t="n">
        <v>0</v>
      </c>
      <c r="M483" t="n">
        <v>0</v>
      </c>
      <c r="N483" t="n">
        <v>0</v>
      </c>
      <c r="O483" t="n">
        <v>0</v>
      </c>
      <c r="P483" t="n">
        <v>0</v>
      </c>
      <c r="Q483" t="n">
        <v>0</v>
      </c>
      <c r="R483" s="2" t="inlineStr"/>
    </row>
    <row r="484" ht="15" customHeight="1">
      <c r="A484" t="inlineStr">
        <is>
          <t>A 47673-2023</t>
        </is>
      </c>
      <c r="B484" s="1" t="n">
        <v>45203</v>
      </c>
      <c r="C484" s="1" t="n">
        <v>45973</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25610-2025</t>
        </is>
      </c>
      <c r="B485" s="1" t="n">
        <v>45803.56033564815</v>
      </c>
      <c r="C485" s="1" t="n">
        <v>45973</v>
      </c>
      <c r="D485" t="inlineStr">
        <is>
          <t>DALARNAS LÄN</t>
        </is>
      </c>
      <c r="E485" t="inlineStr">
        <is>
          <t>LEKSAND</t>
        </is>
      </c>
      <c r="G485" t="n">
        <v>5.2</v>
      </c>
      <c r="H485" t="n">
        <v>0</v>
      </c>
      <c r="I485" t="n">
        <v>0</v>
      </c>
      <c r="J485" t="n">
        <v>0</v>
      </c>
      <c r="K485" t="n">
        <v>0</v>
      </c>
      <c r="L485" t="n">
        <v>0</v>
      </c>
      <c r="M485" t="n">
        <v>0</v>
      </c>
      <c r="N485" t="n">
        <v>0</v>
      </c>
      <c r="O485" t="n">
        <v>0</v>
      </c>
      <c r="P485" t="n">
        <v>0</v>
      </c>
      <c r="Q485" t="n">
        <v>0</v>
      </c>
      <c r="R485" s="2" t="inlineStr"/>
    </row>
    <row r="486" ht="15" customHeight="1">
      <c r="A486" t="inlineStr">
        <is>
          <t>A 59718-2023</t>
        </is>
      </c>
      <c r="B486" s="1" t="n">
        <v>45257</v>
      </c>
      <c r="C486" s="1" t="n">
        <v>45973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10367-2023</t>
        </is>
      </c>
      <c r="B487" s="1" t="n">
        <v>44987</v>
      </c>
      <c r="C487" s="1" t="n">
        <v>45973</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43195-2025</t>
        </is>
      </c>
      <c r="B488" s="1" t="n">
        <v>45910.4294212963</v>
      </c>
      <c r="C488" s="1" t="n">
        <v>45973</v>
      </c>
      <c r="D488" t="inlineStr">
        <is>
          <t>DALARNAS LÄN</t>
        </is>
      </c>
      <c r="E488" t="inlineStr">
        <is>
          <t>LEKSAND</t>
        </is>
      </c>
      <c r="G488" t="n">
        <v>2.5</v>
      </c>
      <c r="H488" t="n">
        <v>0</v>
      </c>
      <c r="I488" t="n">
        <v>0</v>
      </c>
      <c r="J488" t="n">
        <v>0</v>
      </c>
      <c r="K488" t="n">
        <v>0</v>
      </c>
      <c r="L488" t="n">
        <v>0</v>
      </c>
      <c r="M488" t="n">
        <v>0</v>
      </c>
      <c r="N488" t="n">
        <v>0</v>
      </c>
      <c r="O488" t="n">
        <v>0</v>
      </c>
      <c r="P488" t="n">
        <v>0</v>
      </c>
      <c r="Q488" t="n">
        <v>0</v>
      </c>
      <c r="R488" s="2" t="inlineStr"/>
    </row>
    <row r="489" ht="15" customHeight="1">
      <c r="A489" t="inlineStr">
        <is>
          <t>A 43158-2025</t>
        </is>
      </c>
      <c r="B489" s="1" t="n">
        <v>45910.35496527778</v>
      </c>
      <c r="C489" s="1" t="n">
        <v>45973</v>
      </c>
      <c r="D489" t="inlineStr">
        <is>
          <t>DALARNAS LÄN</t>
        </is>
      </c>
      <c r="E489" t="inlineStr">
        <is>
          <t>LEKSAND</t>
        </is>
      </c>
      <c r="G489" t="n">
        <v>1.9</v>
      </c>
      <c r="H489" t="n">
        <v>0</v>
      </c>
      <c r="I489" t="n">
        <v>0</v>
      </c>
      <c r="J489" t="n">
        <v>0</v>
      </c>
      <c r="K489" t="n">
        <v>0</v>
      </c>
      <c r="L489" t="n">
        <v>0</v>
      </c>
      <c r="M489" t="n">
        <v>0</v>
      </c>
      <c r="N489" t="n">
        <v>0</v>
      </c>
      <c r="O489" t="n">
        <v>0</v>
      </c>
      <c r="P489" t="n">
        <v>0</v>
      </c>
      <c r="Q489" t="n">
        <v>0</v>
      </c>
      <c r="R489" s="2" t="inlineStr"/>
    </row>
    <row r="490" ht="15" customHeight="1">
      <c r="A490" t="inlineStr">
        <is>
          <t>A 1775-2022</t>
        </is>
      </c>
      <c r="B490" s="1" t="n">
        <v>44574</v>
      </c>
      <c r="C490" s="1" t="n">
        <v>45973</v>
      </c>
      <c r="D490" t="inlineStr">
        <is>
          <t>DALARNAS LÄN</t>
        </is>
      </c>
      <c r="E490" t="inlineStr">
        <is>
          <t>LEKSAND</t>
        </is>
      </c>
      <c r="G490" t="n">
        <v>2</v>
      </c>
      <c r="H490" t="n">
        <v>0</v>
      </c>
      <c r="I490" t="n">
        <v>0</v>
      </c>
      <c r="J490" t="n">
        <v>0</v>
      </c>
      <c r="K490" t="n">
        <v>0</v>
      </c>
      <c r="L490" t="n">
        <v>0</v>
      </c>
      <c r="M490" t="n">
        <v>0</v>
      </c>
      <c r="N490" t="n">
        <v>0</v>
      </c>
      <c r="O490" t="n">
        <v>0</v>
      </c>
      <c r="P490" t="n">
        <v>0</v>
      </c>
      <c r="Q490" t="n">
        <v>0</v>
      </c>
      <c r="R490" s="2" t="inlineStr"/>
    </row>
    <row r="491" ht="15" customHeight="1">
      <c r="A491" t="inlineStr">
        <is>
          <t>A 1946-2024</t>
        </is>
      </c>
      <c r="B491" s="1" t="n">
        <v>45308</v>
      </c>
      <c r="C491" s="1" t="n">
        <v>45973</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30994-2023</t>
        </is>
      </c>
      <c r="B492" s="1" t="n">
        <v>45113</v>
      </c>
      <c r="C492" s="1" t="n">
        <v>45973</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57665-2023</t>
        </is>
      </c>
      <c r="B493" s="1" t="n">
        <v>45246</v>
      </c>
      <c r="C493" s="1" t="n">
        <v>45973</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59763-2023</t>
        </is>
      </c>
      <c r="B494" s="1" t="n">
        <v>45257</v>
      </c>
      <c r="C494" s="1" t="n">
        <v>45973</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51480-2022</t>
        </is>
      </c>
      <c r="B495" s="1" t="n">
        <v>44869.57961805556</v>
      </c>
      <c r="C495" s="1" t="n">
        <v>45973</v>
      </c>
      <c r="D495" t="inlineStr">
        <is>
          <t>DALARNAS LÄN</t>
        </is>
      </c>
      <c r="E495" t="inlineStr">
        <is>
          <t>LEKSAND</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43830-2025</t>
        </is>
      </c>
      <c r="B496" s="1" t="n">
        <v>45912</v>
      </c>
      <c r="C496" s="1" t="n">
        <v>45973</v>
      </c>
      <c r="D496" t="inlineStr">
        <is>
          <t>DALARNAS LÄN</t>
        </is>
      </c>
      <c r="E496" t="inlineStr">
        <is>
          <t>LEKSAND</t>
        </is>
      </c>
      <c r="F496" t="inlineStr">
        <is>
          <t>Bergvik skog väst AB</t>
        </is>
      </c>
      <c r="G496" t="n">
        <v>3.1</v>
      </c>
      <c r="H496" t="n">
        <v>0</v>
      </c>
      <c r="I496" t="n">
        <v>0</v>
      </c>
      <c r="J496" t="n">
        <v>0</v>
      </c>
      <c r="K496" t="n">
        <v>0</v>
      </c>
      <c r="L496" t="n">
        <v>0</v>
      </c>
      <c r="M496" t="n">
        <v>0</v>
      </c>
      <c r="N496" t="n">
        <v>0</v>
      </c>
      <c r="O496" t="n">
        <v>0</v>
      </c>
      <c r="P496" t="n">
        <v>0</v>
      </c>
      <c r="Q496" t="n">
        <v>0</v>
      </c>
      <c r="R496" s="2" t="inlineStr"/>
    </row>
    <row r="497" ht="15" customHeight="1">
      <c r="A497" t="inlineStr">
        <is>
          <t>A 43630-2025</t>
        </is>
      </c>
      <c r="B497" s="1" t="n">
        <v>45911.70278935185</v>
      </c>
      <c r="C497" s="1" t="n">
        <v>45973</v>
      </c>
      <c r="D497" t="inlineStr">
        <is>
          <t>DALARNAS LÄN</t>
        </is>
      </c>
      <c r="E497" t="inlineStr">
        <is>
          <t>LEKSAND</t>
        </is>
      </c>
      <c r="G497" t="n">
        <v>4.7</v>
      </c>
      <c r="H497" t="n">
        <v>0</v>
      </c>
      <c r="I497" t="n">
        <v>0</v>
      </c>
      <c r="J497" t="n">
        <v>0</v>
      </c>
      <c r="K497" t="n">
        <v>0</v>
      </c>
      <c r="L497" t="n">
        <v>0</v>
      </c>
      <c r="M497" t="n">
        <v>0</v>
      </c>
      <c r="N497" t="n">
        <v>0</v>
      </c>
      <c r="O497" t="n">
        <v>0</v>
      </c>
      <c r="P497" t="n">
        <v>0</v>
      </c>
      <c r="Q497" t="n">
        <v>0</v>
      </c>
      <c r="R497" s="2" t="inlineStr"/>
    </row>
    <row r="498" ht="15" customHeight="1">
      <c r="A498" t="inlineStr">
        <is>
          <t>A 17533-2023</t>
        </is>
      </c>
      <c r="B498" s="1" t="n">
        <v>45036</v>
      </c>
      <c r="C498" s="1" t="n">
        <v>45973</v>
      </c>
      <c r="D498" t="inlineStr">
        <is>
          <t>DALARNAS LÄN</t>
        </is>
      </c>
      <c r="E498" t="inlineStr">
        <is>
          <t>LEKSAND</t>
        </is>
      </c>
      <c r="G498" t="n">
        <v>3</v>
      </c>
      <c r="H498" t="n">
        <v>0</v>
      </c>
      <c r="I498" t="n">
        <v>0</v>
      </c>
      <c r="J498" t="n">
        <v>0</v>
      </c>
      <c r="K498" t="n">
        <v>0</v>
      </c>
      <c r="L498" t="n">
        <v>0</v>
      </c>
      <c r="M498" t="n">
        <v>0</v>
      </c>
      <c r="N498" t="n">
        <v>0</v>
      </c>
      <c r="O498" t="n">
        <v>0</v>
      </c>
      <c r="P498" t="n">
        <v>0</v>
      </c>
      <c r="Q498" t="n">
        <v>0</v>
      </c>
      <c r="R498" s="2" t="inlineStr"/>
    </row>
    <row r="499" ht="15" customHeight="1">
      <c r="A499" t="inlineStr">
        <is>
          <t>A 43607-2025</t>
        </is>
      </c>
      <c r="B499" s="1" t="n">
        <v>45911.66873842593</v>
      </c>
      <c r="C499" s="1" t="n">
        <v>45973</v>
      </c>
      <c r="D499" t="inlineStr">
        <is>
          <t>DALARNAS LÄN</t>
        </is>
      </c>
      <c r="E499" t="inlineStr">
        <is>
          <t>LEKSAND</t>
        </is>
      </c>
      <c r="G499" t="n">
        <v>7.3</v>
      </c>
      <c r="H499" t="n">
        <v>0</v>
      </c>
      <c r="I499" t="n">
        <v>0</v>
      </c>
      <c r="J499" t="n">
        <v>0</v>
      </c>
      <c r="K499" t="n">
        <v>0</v>
      </c>
      <c r="L499" t="n">
        <v>0</v>
      </c>
      <c r="M499" t="n">
        <v>0</v>
      </c>
      <c r="N499" t="n">
        <v>0</v>
      </c>
      <c r="O499" t="n">
        <v>0</v>
      </c>
      <c r="P499" t="n">
        <v>0</v>
      </c>
      <c r="Q499" t="n">
        <v>0</v>
      </c>
      <c r="R499" s="2" t="inlineStr"/>
    </row>
    <row r="500" ht="15" customHeight="1">
      <c r="A500" t="inlineStr">
        <is>
          <t>A 49397-2024</t>
        </is>
      </c>
      <c r="B500" s="1" t="n">
        <v>45595</v>
      </c>
      <c r="C500" s="1" t="n">
        <v>45973</v>
      </c>
      <c r="D500" t="inlineStr">
        <is>
          <t>DALARNAS LÄN</t>
        </is>
      </c>
      <c r="E500" t="inlineStr">
        <is>
          <t>LEKSAND</t>
        </is>
      </c>
      <c r="G500" t="n">
        <v>4.3</v>
      </c>
      <c r="H500" t="n">
        <v>0</v>
      </c>
      <c r="I500" t="n">
        <v>0</v>
      </c>
      <c r="J500" t="n">
        <v>0</v>
      </c>
      <c r="K500" t="n">
        <v>0</v>
      </c>
      <c r="L500" t="n">
        <v>0</v>
      </c>
      <c r="M500" t="n">
        <v>0</v>
      </c>
      <c r="N500" t="n">
        <v>0</v>
      </c>
      <c r="O500" t="n">
        <v>0</v>
      </c>
      <c r="P500" t="n">
        <v>0</v>
      </c>
      <c r="Q500" t="n">
        <v>0</v>
      </c>
      <c r="R500" s="2" t="inlineStr"/>
    </row>
    <row r="501" ht="15" customHeight="1">
      <c r="A501" t="inlineStr">
        <is>
          <t>A 43629-2025</t>
        </is>
      </c>
      <c r="B501" s="1" t="n">
        <v>45911.70180555555</v>
      </c>
      <c r="C501" s="1" t="n">
        <v>45973</v>
      </c>
      <c r="D501" t="inlineStr">
        <is>
          <t>DALARNAS LÄN</t>
        </is>
      </c>
      <c r="E501" t="inlineStr">
        <is>
          <t>LEKSAND</t>
        </is>
      </c>
      <c r="G501" t="n">
        <v>2.1</v>
      </c>
      <c r="H501" t="n">
        <v>0</v>
      </c>
      <c r="I501" t="n">
        <v>0</v>
      </c>
      <c r="J501" t="n">
        <v>0</v>
      </c>
      <c r="K501" t="n">
        <v>0</v>
      </c>
      <c r="L501" t="n">
        <v>0</v>
      </c>
      <c r="M501" t="n">
        <v>0</v>
      </c>
      <c r="N501" t="n">
        <v>0</v>
      </c>
      <c r="O501" t="n">
        <v>0</v>
      </c>
      <c r="P501" t="n">
        <v>0</v>
      </c>
      <c r="Q501" t="n">
        <v>0</v>
      </c>
      <c r="R501" s="2" t="inlineStr"/>
    </row>
    <row r="502" ht="15" customHeight="1">
      <c r="A502" t="inlineStr">
        <is>
          <t>A 43781-2025</t>
        </is>
      </c>
      <c r="B502" s="1" t="n">
        <v>45912.52229166667</v>
      </c>
      <c r="C502" s="1" t="n">
        <v>45973</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43237-2024</t>
        </is>
      </c>
      <c r="B503" s="1" t="n">
        <v>45567</v>
      </c>
      <c r="C503" s="1" t="n">
        <v>45973</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43875-2025</t>
        </is>
      </c>
      <c r="B504" s="1" t="n">
        <v>45912.67685185185</v>
      </c>
      <c r="C504" s="1" t="n">
        <v>45973</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43888-2025</t>
        </is>
      </c>
      <c r="B505" s="1" t="n">
        <v>45912</v>
      </c>
      <c r="C505" s="1" t="n">
        <v>45973</v>
      </c>
      <c r="D505" t="inlineStr">
        <is>
          <t>DALARNAS LÄN</t>
        </is>
      </c>
      <c r="E505" t="inlineStr">
        <is>
          <t>LEKSAND</t>
        </is>
      </c>
      <c r="F505" t="inlineStr">
        <is>
          <t>Bergvik skog väst AB</t>
        </is>
      </c>
      <c r="G505" t="n">
        <v>1.6</v>
      </c>
      <c r="H505" t="n">
        <v>0</v>
      </c>
      <c r="I505" t="n">
        <v>0</v>
      </c>
      <c r="J505" t="n">
        <v>0</v>
      </c>
      <c r="K505" t="n">
        <v>0</v>
      </c>
      <c r="L505" t="n">
        <v>0</v>
      </c>
      <c r="M505" t="n">
        <v>0</v>
      </c>
      <c r="N505" t="n">
        <v>0</v>
      </c>
      <c r="O505" t="n">
        <v>0</v>
      </c>
      <c r="P505" t="n">
        <v>0</v>
      </c>
      <c r="Q505" t="n">
        <v>0</v>
      </c>
      <c r="R505" s="2" t="inlineStr"/>
    </row>
    <row r="506" ht="15" customHeight="1">
      <c r="A506" t="inlineStr">
        <is>
          <t>A 34482-2022</t>
        </is>
      </c>
      <c r="B506" s="1" t="n">
        <v>44792</v>
      </c>
      <c r="C506" s="1" t="n">
        <v>45973</v>
      </c>
      <c r="D506" t="inlineStr">
        <is>
          <t>DALARNAS LÄN</t>
        </is>
      </c>
      <c r="E506" t="inlineStr">
        <is>
          <t>LEKSAND</t>
        </is>
      </c>
      <c r="G506" t="n">
        <v>2.6</v>
      </c>
      <c r="H506" t="n">
        <v>0</v>
      </c>
      <c r="I506" t="n">
        <v>0</v>
      </c>
      <c r="J506" t="n">
        <v>0</v>
      </c>
      <c r="K506" t="n">
        <v>0</v>
      </c>
      <c r="L506" t="n">
        <v>0</v>
      </c>
      <c r="M506" t="n">
        <v>0</v>
      </c>
      <c r="N506" t="n">
        <v>0</v>
      </c>
      <c r="O506" t="n">
        <v>0</v>
      </c>
      <c r="P506" t="n">
        <v>0</v>
      </c>
      <c r="Q506" t="n">
        <v>0</v>
      </c>
      <c r="R506" s="2" t="inlineStr"/>
    </row>
    <row r="507" ht="15" customHeight="1">
      <c r="A507" t="inlineStr">
        <is>
          <t>A 17485-2025</t>
        </is>
      </c>
      <c r="B507" s="1" t="n">
        <v>45757.49976851852</v>
      </c>
      <c r="C507" s="1" t="n">
        <v>45973</v>
      </c>
      <c r="D507" t="inlineStr">
        <is>
          <t>DALARNAS LÄN</t>
        </is>
      </c>
      <c r="E507" t="inlineStr">
        <is>
          <t>LEKSAND</t>
        </is>
      </c>
      <c r="G507" t="n">
        <v>3.7</v>
      </c>
      <c r="H507" t="n">
        <v>0</v>
      </c>
      <c r="I507" t="n">
        <v>0</v>
      </c>
      <c r="J507" t="n">
        <v>0</v>
      </c>
      <c r="K507" t="n">
        <v>0</v>
      </c>
      <c r="L507" t="n">
        <v>0</v>
      </c>
      <c r="M507" t="n">
        <v>0</v>
      </c>
      <c r="N507" t="n">
        <v>0</v>
      </c>
      <c r="O507" t="n">
        <v>0</v>
      </c>
      <c r="P507" t="n">
        <v>0</v>
      </c>
      <c r="Q507" t="n">
        <v>0</v>
      </c>
      <c r="R507" s="2" t="inlineStr"/>
    </row>
    <row r="508" ht="15" customHeight="1">
      <c r="A508" t="inlineStr">
        <is>
          <t>A 30595-2023</t>
        </is>
      </c>
      <c r="B508" s="1" t="n">
        <v>45112</v>
      </c>
      <c r="C508" s="1" t="n">
        <v>45973</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6027-2025</t>
        </is>
      </c>
      <c r="B509" s="1" t="n">
        <v>45695</v>
      </c>
      <c r="C509" s="1" t="n">
        <v>45973</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43628-2025</t>
        </is>
      </c>
      <c r="B510" s="1" t="n">
        <v>45911.70060185185</v>
      </c>
      <c r="C510" s="1" t="n">
        <v>45973</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56943-2024</t>
        </is>
      </c>
      <c r="B511" s="1" t="n">
        <v>45625</v>
      </c>
      <c r="C511" s="1" t="n">
        <v>45973</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15257-2025</t>
        </is>
      </c>
      <c r="B512" s="1" t="n">
        <v>45744</v>
      </c>
      <c r="C512" s="1" t="n">
        <v>45973</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53717-2023</t>
        </is>
      </c>
      <c r="B513" s="1" t="n">
        <v>45230</v>
      </c>
      <c r="C513" s="1" t="n">
        <v>45973</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24142-2021</t>
        </is>
      </c>
      <c r="B514" s="1" t="n">
        <v>44336</v>
      </c>
      <c r="C514" s="1" t="n">
        <v>45973</v>
      </c>
      <c r="D514" t="inlineStr">
        <is>
          <t>DALARNAS LÄN</t>
        </is>
      </c>
      <c r="E514" t="inlineStr">
        <is>
          <t>LEKSAND</t>
        </is>
      </c>
      <c r="F514" t="inlineStr">
        <is>
          <t>Bergvik skog väst AB</t>
        </is>
      </c>
      <c r="G514" t="n">
        <v>18.9</v>
      </c>
      <c r="H514" t="n">
        <v>0</v>
      </c>
      <c r="I514" t="n">
        <v>0</v>
      </c>
      <c r="J514" t="n">
        <v>0</v>
      </c>
      <c r="K514" t="n">
        <v>0</v>
      </c>
      <c r="L514" t="n">
        <v>0</v>
      </c>
      <c r="M514" t="n">
        <v>0</v>
      </c>
      <c r="N514" t="n">
        <v>0</v>
      </c>
      <c r="O514" t="n">
        <v>0</v>
      </c>
      <c r="P514" t="n">
        <v>0</v>
      </c>
      <c r="Q514" t="n">
        <v>0</v>
      </c>
      <c r="R514" s="2" t="inlineStr"/>
    </row>
    <row r="515" ht="15" customHeight="1">
      <c r="A515" t="inlineStr">
        <is>
          <t>A 43470-2024</t>
        </is>
      </c>
      <c r="B515" s="1" t="n">
        <v>45568</v>
      </c>
      <c r="C515" s="1" t="n">
        <v>45973</v>
      </c>
      <c r="D515" t="inlineStr">
        <is>
          <t>DALARNAS LÄN</t>
        </is>
      </c>
      <c r="E515" t="inlineStr">
        <is>
          <t>LEKSAND</t>
        </is>
      </c>
      <c r="G515" t="n">
        <v>3.1</v>
      </c>
      <c r="H515" t="n">
        <v>0</v>
      </c>
      <c r="I515" t="n">
        <v>0</v>
      </c>
      <c r="J515" t="n">
        <v>0</v>
      </c>
      <c r="K515" t="n">
        <v>0</v>
      </c>
      <c r="L515" t="n">
        <v>0</v>
      </c>
      <c r="M515" t="n">
        <v>0</v>
      </c>
      <c r="N515" t="n">
        <v>0</v>
      </c>
      <c r="O515" t="n">
        <v>0</v>
      </c>
      <c r="P515" t="n">
        <v>0</v>
      </c>
      <c r="Q515" t="n">
        <v>0</v>
      </c>
      <c r="R515" s="2" t="inlineStr"/>
    </row>
    <row r="516" ht="15" customHeight="1">
      <c r="A516" t="inlineStr">
        <is>
          <t>A 16815-2025</t>
        </is>
      </c>
      <c r="B516" s="1" t="n">
        <v>45754</v>
      </c>
      <c r="C516" s="1" t="n">
        <v>45973</v>
      </c>
      <c r="D516" t="inlineStr">
        <is>
          <t>DALARNAS LÄN</t>
        </is>
      </c>
      <c r="E516" t="inlineStr">
        <is>
          <t>LEKSAND</t>
        </is>
      </c>
      <c r="G516" t="n">
        <v>2.8</v>
      </c>
      <c r="H516" t="n">
        <v>0</v>
      </c>
      <c r="I516" t="n">
        <v>0</v>
      </c>
      <c r="J516" t="n">
        <v>0</v>
      </c>
      <c r="K516" t="n">
        <v>0</v>
      </c>
      <c r="L516" t="n">
        <v>0</v>
      </c>
      <c r="M516" t="n">
        <v>0</v>
      </c>
      <c r="N516" t="n">
        <v>0</v>
      </c>
      <c r="O516" t="n">
        <v>0</v>
      </c>
      <c r="P516" t="n">
        <v>0</v>
      </c>
      <c r="Q516" t="n">
        <v>0</v>
      </c>
      <c r="R516" s="2" t="inlineStr"/>
    </row>
    <row r="517" ht="15" customHeight="1">
      <c r="A517" t="inlineStr">
        <is>
          <t>A 44516-2025</t>
        </is>
      </c>
      <c r="B517" s="1" t="n">
        <v>45916.70982638889</v>
      </c>
      <c r="C517" s="1" t="n">
        <v>45973</v>
      </c>
      <c r="D517" t="inlineStr">
        <is>
          <t>DALARNAS LÄN</t>
        </is>
      </c>
      <c r="E517" t="inlineStr">
        <is>
          <t>LEKSAND</t>
        </is>
      </c>
      <c r="G517" t="n">
        <v>1.8</v>
      </c>
      <c r="H517" t="n">
        <v>0</v>
      </c>
      <c r="I517" t="n">
        <v>0</v>
      </c>
      <c r="J517" t="n">
        <v>0</v>
      </c>
      <c r="K517" t="n">
        <v>0</v>
      </c>
      <c r="L517" t="n">
        <v>0</v>
      </c>
      <c r="M517" t="n">
        <v>0</v>
      </c>
      <c r="N517" t="n">
        <v>0</v>
      </c>
      <c r="O517" t="n">
        <v>0</v>
      </c>
      <c r="P517" t="n">
        <v>0</v>
      </c>
      <c r="Q517" t="n">
        <v>0</v>
      </c>
      <c r="R517" s="2" t="inlineStr"/>
    </row>
    <row r="518" ht="15" customHeight="1">
      <c r="A518" t="inlineStr">
        <is>
          <t>A 44519-2025</t>
        </is>
      </c>
      <c r="B518" s="1" t="n">
        <v>45916.71483796297</v>
      </c>
      <c r="C518" s="1" t="n">
        <v>45973</v>
      </c>
      <c r="D518" t="inlineStr">
        <is>
          <t>DALARNAS LÄN</t>
        </is>
      </c>
      <c r="E518" t="inlineStr">
        <is>
          <t>LEKSAND</t>
        </is>
      </c>
      <c r="G518" t="n">
        <v>3.6</v>
      </c>
      <c r="H518" t="n">
        <v>0</v>
      </c>
      <c r="I518" t="n">
        <v>0</v>
      </c>
      <c r="J518" t="n">
        <v>0</v>
      </c>
      <c r="K518" t="n">
        <v>0</v>
      </c>
      <c r="L518" t="n">
        <v>0</v>
      </c>
      <c r="M518" t="n">
        <v>0</v>
      </c>
      <c r="N518" t="n">
        <v>0</v>
      </c>
      <c r="O518" t="n">
        <v>0</v>
      </c>
      <c r="P518" t="n">
        <v>0</v>
      </c>
      <c r="Q518" t="n">
        <v>0</v>
      </c>
      <c r="R518" s="2" t="inlineStr"/>
    </row>
    <row r="519" ht="15" customHeight="1">
      <c r="A519" t="inlineStr">
        <is>
          <t>A 60873-2023</t>
        </is>
      </c>
      <c r="B519" s="1" t="n">
        <v>45261.03266203704</v>
      </c>
      <c r="C519" s="1" t="n">
        <v>45973</v>
      </c>
      <c r="D519" t="inlineStr">
        <is>
          <t>DALARNAS LÄN</t>
        </is>
      </c>
      <c r="E519" t="inlineStr">
        <is>
          <t>LEKSAND</t>
        </is>
      </c>
      <c r="G519" t="n">
        <v>5.2</v>
      </c>
      <c r="H519" t="n">
        <v>0</v>
      </c>
      <c r="I519" t="n">
        <v>0</v>
      </c>
      <c r="J519" t="n">
        <v>0</v>
      </c>
      <c r="K519" t="n">
        <v>0</v>
      </c>
      <c r="L519" t="n">
        <v>0</v>
      </c>
      <c r="M519" t="n">
        <v>0</v>
      </c>
      <c r="N519" t="n">
        <v>0</v>
      </c>
      <c r="O519" t="n">
        <v>0</v>
      </c>
      <c r="P519" t="n">
        <v>0</v>
      </c>
      <c r="Q519" t="n">
        <v>0</v>
      </c>
      <c r="R519" s="2" t="inlineStr"/>
    </row>
    <row r="520" ht="15" customHeight="1">
      <c r="A520" t="inlineStr">
        <is>
          <t>A 61208-2023</t>
        </is>
      </c>
      <c r="B520" s="1" t="n">
        <v>45260</v>
      </c>
      <c r="C520" s="1" t="n">
        <v>45973</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52977-2022</t>
        </is>
      </c>
      <c r="B521" s="1" t="n">
        <v>44875</v>
      </c>
      <c r="C521" s="1" t="n">
        <v>45973</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54914-2024</t>
        </is>
      </c>
      <c r="B522" s="1" t="n">
        <v>45618.69380787037</v>
      </c>
      <c r="C522" s="1" t="n">
        <v>45973</v>
      </c>
      <c r="D522" t="inlineStr">
        <is>
          <t>DALARNAS LÄN</t>
        </is>
      </c>
      <c r="E522" t="inlineStr">
        <is>
          <t>LEKSAND</t>
        </is>
      </c>
      <c r="G522" t="n">
        <v>1.7</v>
      </c>
      <c r="H522" t="n">
        <v>0</v>
      </c>
      <c r="I522" t="n">
        <v>0</v>
      </c>
      <c r="J522" t="n">
        <v>0</v>
      </c>
      <c r="K522" t="n">
        <v>0</v>
      </c>
      <c r="L522" t="n">
        <v>0</v>
      </c>
      <c r="M522" t="n">
        <v>0</v>
      </c>
      <c r="N522" t="n">
        <v>0</v>
      </c>
      <c r="O522" t="n">
        <v>0</v>
      </c>
      <c r="P522" t="n">
        <v>0</v>
      </c>
      <c r="Q522" t="n">
        <v>0</v>
      </c>
      <c r="R522" s="2" t="inlineStr"/>
    </row>
    <row r="523" ht="15" customHeight="1">
      <c r="A523" t="inlineStr">
        <is>
          <t>A 25921-2024</t>
        </is>
      </c>
      <c r="B523" s="1" t="n">
        <v>45467.6053587963</v>
      </c>
      <c r="C523" s="1" t="n">
        <v>45973</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53190-2025</t>
        </is>
      </c>
      <c r="B524" s="1" t="n">
        <v>45958.56283564815</v>
      </c>
      <c r="C524" s="1" t="n">
        <v>45973</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44237-2025</t>
        </is>
      </c>
      <c r="B525" s="1" t="n">
        <v>45915.6677199074</v>
      </c>
      <c r="C525" s="1" t="n">
        <v>45973</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28892-2022</t>
        </is>
      </c>
      <c r="B526" s="1" t="n">
        <v>44749</v>
      </c>
      <c r="C526" s="1" t="n">
        <v>45973</v>
      </c>
      <c r="D526" t="inlineStr">
        <is>
          <t>DALARNAS LÄN</t>
        </is>
      </c>
      <c r="E526" t="inlineStr">
        <is>
          <t>LEKSAND</t>
        </is>
      </c>
      <c r="F526" t="inlineStr">
        <is>
          <t>Bergvik skog väst AB</t>
        </is>
      </c>
      <c r="G526" t="n">
        <v>9.1</v>
      </c>
      <c r="H526" t="n">
        <v>0</v>
      </c>
      <c r="I526" t="n">
        <v>0</v>
      </c>
      <c r="J526" t="n">
        <v>0</v>
      </c>
      <c r="K526" t="n">
        <v>0</v>
      </c>
      <c r="L526" t="n">
        <v>0</v>
      </c>
      <c r="M526" t="n">
        <v>0</v>
      </c>
      <c r="N526" t="n">
        <v>0</v>
      </c>
      <c r="O526" t="n">
        <v>0</v>
      </c>
      <c r="P526" t="n">
        <v>0</v>
      </c>
      <c r="Q526" t="n">
        <v>0</v>
      </c>
      <c r="R526" s="2" t="inlineStr"/>
    </row>
    <row r="527" ht="15" customHeight="1">
      <c r="A527" t="inlineStr">
        <is>
          <t>A 167-2023</t>
        </is>
      </c>
      <c r="B527" s="1" t="n">
        <v>44918</v>
      </c>
      <c r="C527" s="1" t="n">
        <v>45973</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56950-2024</t>
        </is>
      </c>
      <c r="B528" s="1" t="n">
        <v>45625</v>
      </c>
      <c r="C528" s="1" t="n">
        <v>45973</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320-2023</t>
        </is>
      </c>
      <c r="B529" s="1" t="n">
        <v>44929</v>
      </c>
      <c r="C529" s="1" t="n">
        <v>45973</v>
      </c>
      <c r="D529" t="inlineStr">
        <is>
          <t>DALARNAS LÄN</t>
        </is>
      </c>
      <c r="E529" t="inlineStr">
        <is>
          <t>LEKSAND</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52671-2025</t>
        </is>
      </c>
      <c r="B530" s="1" t="n">
        <v>45955.98113425926</v>
      </c>
      <c r="C530" s="1" t="n">
        <v>45973</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53041-2025</t>
        </is>
      </c>
      <c r="B531" s="1" t="n">
        <v>45958.35487268519</v>
      </c>
      <c r="C531" s="1" t="n">
        <v>45973</v>
      </c>
      <c r="D531" t="inlineStr">
        <is>
          <t>DALARNAS LÄN</t>
        </is>
      </c>
      <c r="E531" t="inlineStr">
        <is>
          <t>LEKSAND</t>
        </is>
      </c>
      <c r="G531" t="n">
        <v>1.7</v>
      </c>
      <c r="H531" t="n">
        <v>0</v>
      </c>
      <c r="I531" t="n">
        <v>0</v>
      </c>
      <c r="J531" t="n">
        <v>0</v>
      </c>
      <c r="K531" t="n">
        <v>0</v>
      </c>
      <c r="L531" t="n">
        <v>0</v>
      </c>
      <c r="M531" t="n">
        <v>0</v>
      </c>
      <c r="N531" t="n">
        <v>0</v>
      </c>
      <c r="O531" t="n">
        <v>0</v>
      </c>
      <c r="P531" t="n">
        <v>0</v>
      </c>
      <c r="Q531" t="n">
        <v>0</v>
      </c>
      <c r="R531" s="2" t="inlineStr"/>
    </row>
    <row r="532" ht="15" customHeight="1">
      <c r="A532" t="inlineStr">
        <is>
          <t>A 9938-2023</t>
        </is>
      </c>
      <c r="B532" s="1" t="n">
        <v>44985</v>
      </c>
      <c r="C532" s="1" t="n">
        <v>45973</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53243-2025</t>
        </is>
      </c>
      <c r="B533" s="1" t="n">
        <v>45958.6442824074</v>
      </c>
      <c r="C533" s="1" t="n">
        <v>45973</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59103-2024</t>
        </is>
      </c>
      <c r="B534" s="1" t="n">
        <v>45637.34184027778</v>
      </c>
      <c r="C534" s="1" t="n">
        <v>45973</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12581-2025</t>
        </is>
      </c>
      <c r="B535" s="1" t="n">
        <v>45732.62201388889</v>
      </c>
      <c r="C535" s="1" t="n">
        <v>45973</v>
      </c>
      <c r="D535" t="inlineStr">
        <is>
          <t>DALARNAS LÄN</t>
        </is>
      </c>
      <c r="E535" t="inlineStr">
        <is>
          <t>LEKSAND</t>
        </is>
      </c>
      <c r="G535" t="n">
        <v>5.1</v>
      </c>
      <c r="H535" t="n">
        <v>0</v>
      </c>
      <c r="I535" t="n">
        <v>0</v>
      </c>
      <c r="J535" t="n">
        <v>0</v>
      </c>
      <c r="K535" t="n">
        <v>0</v>
      </c>
      <c r="L535" t="n">
        <v>0</v>
      </c>
      <c r="M535" t="n">
        <v>0</v>
      </c>
      <c r="N535" t="n">
        <v>0</v>
      </c>
      <c r="O535" t="n">
        <v>0</v>
      </c>
      <c r="P535" t="n">
        <v>0</v>
      </c>
      <c r="Q535" t="n">
        <v>0</v>
      </c>
      <c r="R535" s="2" t="inlineStr"/>
    </row>
    <row r="536" ht="15" customHeight="1">
      <c r="A536" t="inlineStr">
        <is>
          <t>A 12620-2025</t>
        </is>
      </c>
      <c r="B536" s="1" t="n">
        <v>45733.35498842593</v>
      </c>
      <c r="C536" s="1" t="n">
        <v>45973</v>
      </c>
      <c r="D536" t="inlineStr">
        <is>
          <t>DALARNAS LÄN</t>
        </is>
      </c>
      <c r="E536" t="inlineStr">
        <is>
          <t>LEKSAND</t>
        </is>
      </c>
      <c r="F536" t="inlineStr">
        <is>
          <t>Bergvik skog väst AB</t>
        </is>
      </c>
      <c r="G536" t="n">
        <v>3.9</v>
      </c>
      <c r="H536" t="n">
        <v>0</v>
      </c>
      <c r="I536" t="n">
        <v>0</v>
      </c>
      <c r="J536" t="n">
        <v>0</v>
      </c>
      <c r="K536" t="n">
        <v>0</v>
      </c>
      <c r="L536" t="n">
        <v>0</v>
      </c>
      <c r="M536" t="n">
        <v>0</v>
      </c>
      <c r="N536" t="n">
        <v>0</v>
      </c>
      <c r="O536" t="n">
        <v>0</v>
      </c>
      <c r="P536" t="n">
        <v>0</v>
      </c>
      <c r="Q536" t="n">
        <v>0</v>
      </c>
      <c r="R536" s="2" t="inlineStr"/>
    </row>
    <row r="537" ht="15" customHeight="1">
      <c r="A537" t="inlineStr">
        <is>
          <t>A 12623-2025</t>
        </is>
      </c>
      <c r="B537" s="1" t="n">
        <v>45733.36079861111</v>
      </c>
      <c r="C537" s="1" t="n">
        <v>45973</v>
      </c>
      <c r="D537" t="inlineStr">
        <is>
          <t>DALARNAS LÄN</t>
        </is>
      </c>
      <c r="E537" t="inlineStr">
        <is>
          <t>LEKSAND</t>
        </is>
      </c>
      <c r="F537" t="inlineStr">
        <is>
          <t>Bergvik skog väst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32666-2023</t>
        </is>
      </c>
      <c r="B538" s="1" t="n">
        <v>45121</v>
      </c>
      <c r="C538" s="1" t="n">
        <v>45973</v>
      </c>
      <c r="D538" t="inlineStr">
        <is>
          <t>DALARNAS LÄN</t>
        </is>
      </c>
      <c r="E538" t="inlineStr">
        <is>
          <t>LEKSAND</t>
        </is>
      </c>
      <c r="G538" t="n">
        <v>9.9</v>
      </c>
      <c r="H538" t="n">
        <v>0</v>
      </c>
      <c r="I538" t="n">
        <v>0</v>
      </c>
      <c r="J538" t="n">
        <v>0</v>
      </c>
      <c r="K538" t="n">
        <v>0</v>
      </c>
      <c r="L538" t="n">
        <v>0</v>
      </c>
      <c r="M538" t="n">
        <v>0</v>
      </c>
      <c r="N538" t="n">
        <v>0</v>
      </c>
      <c r="O538" t="n">
        <v>0</v>
      </c>
      <c r="P538" t="n">
        <v>0</v>
      </c>
      <c r="Q538" t="n">
        <v>0</v>
      </c>
      <c r="R538" s="2" t="inlineStr"/>
    </row>
    <row r="539" ht="15" customHeight="1">
      <c r="A539" t="inlineStr">
        <is>
          <t>A 70099-2021</t>
        </is>
      </c>
      <c r="B539" s="1" t="n">
        <v>44533</v>
      </c>
      <c r="C539" s="1" t="n">
        <v>45973</v>
      </c>
      <c r="D539" t="inlineStr">
        <is>
          <t>DALARNAS LÄN</t>
        </is>
      </c>
      <c r="E539" t="inlineStr">
        <is>
          <t>LEKSAND</t>
        </is>
      </c>
      <c r="G539" t="n">
        <v>2.8</v>
      </c>
      <c r="H539" t="n">
        <v>0</v>
      </c>
      <c r="I539" t="n">
        <v>0</v>
      </c>
      <c r="J539" t="n">
        <v>0</v>
      </c>
      <c r="K539" t="n">
        <v>0</v>
      </c>
      <c r="L539" t="n">
        <v>0</v>
      </c>
      <c r="M539" t="n">
        <v>0</v>
      </c>
      <c r="N539" t="n">
        <v>0</v>
      </c>
      <c r="O539" t="n">
        <v>0</v>
      </c>
      <c r="P539" t="n">
        <v>0</v>
      </c>
      <c r="Q539" t="n">
        <v>0</v>
      </c>
      <c r="R539" s="2" t="inlineStr"/>
    </row>
    <row r="540" ht="15" customHeight="1">
      <c r="A540" t="inlineStr">
        <is>
          <t>A 5231-2024</t>
        </is>
      </c>
      <c r="B540" s="1" t="n">
        <v>45330</v>
      </c>
      <c r="C540" s="1" t="n">
        <v>45973</v>
      </c>
      <c r="D540" t="inlineStr">
        <is>
          <t>DALARNAS LÄN</t>
        </is>
      </c>
      <c r="E540" t="inlineStr">
        <is>
          <t>LEKSAND</t>
        </is>
      </c>
      <c r="F540" t="inlineStr">
        <is>
          <t>Bergvik skog väst AB</t>
        </is>
      </c>
      <c r="G540" t="n">
        <v>11.2</v>
      </c>
      <c r="H540" t="n">
        <v>0</v>
      </c>
      <c r="I540" t="n">
        <v>0</v>
      </c>
      <c r="J540" t="n">
        <v>0</v>
      </c>
      <c r="K540" t="n">
        <v>0</v>
      </c>
      <c r="L540" t="n">
        <v>0</v>
      </c>
      <c r="M540" t="n">
        <v>0</v>
      </c>
      <c r="N540" t="n">
        <v>0</v>
      </c>
      <c r="O540" t="n">
        <v>0</v>
      </c>
      <c r="P540" t="n">
        <v>0</v>
      </c>
      <c r="Q540" t="n">
        <v>0</v>
      </c>
      <c r="R540" s="2" t="inlineStr"/>
    </row>
    <row r="541" ht="15" customHeight="1">
      <c r="A541" t="inlineStr">
        <is>
          <t>A 13401-2023</t>
        </is>
      </c>
      <c r="B541" s="1" t="n">
        <v>45005</v>
      </c>
      <c r="C541" s="1" t="n">
        <v>45973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60113-2022</t>
        </is>
      </c>
      <c r="B542" s="1" t="n">
        <v>44909</v>
      </c>
      <c r="C542" s="1" t="n">
        <v>45973</v>
      </c>
      <c r="D542" t="inlineStr">
        <is>
          <t>DALARNAS LÄN</t>
        </is>
      </c>
      <c r="E542" t="inlineStr">
        <is>
          <t>LEKSAND</t>
        </is>
      </c>
      <c r="G542" t="n">
        <v>3.7</v>
      </c>
      <c r="H542" t="n">
        <v>0</v>
      </c>
      <c r="I542" t="n">
        <v>0</v>
      </c>
      <c r="J542" t="n">
        <v>0</v>
      </c>
      <c r="K542" t="n">
        <v>0</v>
      </c>
      <c r="L542" t="n">
        <v>0</v>
      </c>
      <c r="M542" t="n">
        <v>0</v>
      </c>
      <c r="N542" t="n">
        <v>0</v>
      </c>
      <c r="O542" t="n">
        <v>0</v>
      </c>
      <c r="P542" t="n">
        <v>0</v>
      </c>
      <c r="Q542" t="n">
        <v>0</v>
      </c>
      <c r="R542" s="2" t="inlineStr"/>
    </row>
    <row r="543" ht="15" customHeight="1">
      <c r="A543" t="inlineStr">
        <is>
          <t>A 15173-2025</t>
        </is>
      </c>
      <c r="B543" s="1" t="n">
        <v>45744.50858796296</v>
      </c>
      <c r="C543" s="1" t="n">
        <v>45973</v>
      </c>
      <c r="D543" t="inlineStr">
        <is>
          <t>DALARNAS LÄN</t>
        </is>
      </c>
      <c r="E543" t="inlineStr">
        <is>
          <t>LEKSAND</t>
        </is>
      </c>
      <c r="G543" t="n">
        <v>0.3</v>
      </c>
      <c r="H543" t="n">
        <v>0</v>
      </c>
      <c r="I543" t="n">
        <v>0</v>
      </c>
      <c r="J543" t="n">
        <v>0</v>
      </c>
      <c r="K543" t="n">
        <v>0</v>
      </c>
      <c r="L543" t="n">
        <v>0</v>
      </c>
      <c r="M543" t="n">
        <v>0</v>
      </c>
      <c r="N543" t="n">
        <v>0</v>
      </c>
      <c r="O543" t="n">
        <v>0</v>
      </c>
      <c r="P543" t="n">
        <v>0</v>
      </c>
      <c r="Q543" t="n">
        <v>0</v>
      </c>
      <c r="R543" s="2" t="inlineStr"/>
    </row>
    <row r="544" ht="15" customHeight="1">
      <c r="A544" t="inlineStr">
        <is>
          <t>A 30611-2023</t>
        </is>
      </c>
      <c r="B544" s="1" t="n">
        <v>45112</v>
      </c>
      <c r="C544" s="1" t="n">
        <v>45973</v>
      </c>
      <c r="D544" t="inlineStr">
        <is>
          <t>DALARNAS LÄN</t>
        </is>
      </c>
      <c r="E544" t="inlineStr">
        <is>
          <t>LEKSAND</t>
        </is>
      </c>
      <c r="G544" t="n">
        <v>3.1</v>
      </c>
      <c r="H544" t="n">
        <v>0</v>
      </c>
      <c r="I544" t="n">
        <v>0</v>
      </c>
      <c r="J544" t="n">
        <v>0</v>
      </c>
      <c r="K544" t="n">
        <v>0</v>
      </c>
      <c r="L544" t="n">
        <v>0</v>
      </c>
      <c r="M544" t="n">
        <v>0</v>
      </c>
      <c r="N544" t="n">
        <v>0</v>
      </c>
      <c r="O544" t="n">
        <v>0</v>
      </c>
      <c r="P544" t="n">
        <v>0</v>
      </c>
      <c r="Q544" t="n">
        <v>0</v>
      </c>
      <c r="R544" s="2" t="inlineStr"/>
    </row>
    <row r="545" ht="15" customHeight="1">
      <c r="A545" t="inlineStr">
        <is>
          <t>A 31254-2023</t>
        </is>
      </c>
      <c r="B545" s="1" t="n">
        <v>45114</v>
      </c>
      <c r="C545" s="1" t="n">
        <v>45973</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row>
    <row r="546" ht="15" customHeight="1">
      <c r="A546" t="inlineStr">
        <is>
          <t>A 23896-2024</t>
        </is>
      </c>
      <c r="B546" s="1" t="n">
        <v>45455.6758449074</v>
      </c>
      <c r="C546" s="1" t="n">
        <v>45973</v>
      </c>
      <c r="D546" t="inlineStr">
        <is>
          <t>DALARNAS LÄN</t>
        </is>
      </c>
      <c r="E546" t="inlineStr">
        <is>
          <t>LEKSAND</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62306-2023</t>
        </is>
      </c>
      <c r="B547" s="1" t="n">
        <v>45266</v>
      </c>
      <c r="C547" s="1" t="n">
        <v>45973</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28578-2023</t>
        </is>
      </c>
      <c r="B548" s="1" t="n">
        <v>45103</v>
      </c>
      <c r="C548" s="1" t="n">
        <v>45973</v>
      </c>
      <c r="D548" t="inlineStr">
        <is>
          <t>DALARNAS LÄN</t>
        </is>
      </c>
      <c r="E548" t="inlineStr">
        <is>
          <t>LEKSAND</t>
        </is>
      </c>
      <c r="G548" t="n">
        <v>4.4</v>
      </c>
      <c r="H548" t="n">
        <v>0</v>
      </c>
      <c r="I548" t="n">
        <v>0</v>
      </c>
      <c r="J548" t="n">
        <v>0</v>
      </c>
      <c r="K548" t="n">
        <v>0</v>
      </c>
      <c r="L548" t="n">
        <v>0</v>
      </c>
      <c r="M548" t="n">
        <v>0</v>
      </c>
      <c r="N548" t="n">
        <v>0</v>
      </c>
      <c r="O548" t="n">
        <v>0</v>
      </c>
      <c r="P548" t="n">
        <v>0</v>
      </c>
      <c r="Q548" t="n">
        <v>0</v>
      </c>
      <c r="R548" s="2" t="inlineStr"/>
    </row>
    <row r="549" ht="15" customHeight="1">
      <c r="A549" t="inlineStr">
        <is>
          <t>A 61288-2022</t>
        </is>
      </c>
      <c r="B549" s="1" t="n">
        <v>44915</v>
      </c>
      <c r="C549" s="1" t="n">
        <v>45973</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20936-2023</t>
        </is>
      </c>
      <c r="B550" s="1" t="n">
        <v>45061</v>
      </c>
      <c r="C550" s="1" t="n">
        <v>45973</v>
      </c>
      <c r="D550" t="inlineStr">
        <is>
          <t>DALARNAS LÄN</t>
        </is>
      </c>
      <c r="E550" t="inlineStr">
        <is>
          <t>LEKSAND</t>
        </is>
      </c>
      <c r="G550" t="n">
        <v>0.3</v>
      </c>
      <c r="H550" t="n">
        <v>0</v>
      </c>
      <c r="I550" t="n">
        <v>0</v>
      </c>
      <c r="J550" t="n">
        <v>0</v>
      </c>
      <c r="K550" t="n">
        <v>0</v>
      </c>
      <c r="L550" t="n">
        <v>0</v>
      </c>
      <c r="M550" t="n">
        <v>0</v>
      </c>
      <c r="N550" t="n">
        <v>0</v>
      </c>
      <c r="O550" t="n">
        <v>0</v>
      </c>
      <c r="P550" t="n">
        <v>0</v>
      </c>
      <c r="Q550" t="n">
        <v>0</v>
      </c>
      <c r="R550" s="2" t="inlineStr"/>
    </row>
    <row r="551" ht="15" customHeight="1">
      <c r="A551" t="inlineStr">
        <is>
          <t>A 44948-2025</t>
        </is>
      </c>
      <c r="B551" s="1" t="n">
        <v>45918.60555555556</v>
      </c>
      <c r="C551" s="1" t="n">
        <v>45973</v>
      </c>
      <c r="D551" t="inlineStr">
        <is>
          <t>DALARNAS LÄN</t>
        </is>
      </c>
      <c r="E551" t="inlineStr">
        <is>
          <t>LEKSAND</t>
        </is>
      </c>
      <c r="G551" t="n">
        <v>5.1</v>
      </c>
      <c r="H551" t="n">
        <v>0</v>
      </c>
      <c r="I551" t="n">
        <v>0</v>
      </c>
      <c r="J551" t="n">
        <v>0</v>
      </c>
      <c r="K551" t="n">
        <v>0</v>
      </c>
      <c r="L551" t="n">
        <v>0</v>
      </c>
      <c r="M551" t="n">
        <v>0</v>
      </c>
      <c r="N551" t="n">
        <v>0</v>
      </c>
      <c r="O551" t="n">
        <v>0</v>
      </c>
      <c r="P551" t="n">
        <v>0</v>
      </c>
      <c r="Q551" t="n">
        <v>0</v>
      </c>
      <c r="R551" s="2" t="inlineStr"/>
    </row>
    <row r="552" ht="15" customHeight="1">
      <c r="A552" t="inlineStr">
        <is>
          <t>A 30175-2023</t>
        </is>
      </c>
      <c r="B552" s="1" t="n">
        <v>45110</v>
      </c>
      <c r="C552" s="1" t="n">
        <v>45973</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45973</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26386-2025</t>
        </is>
      </c>
      <c r="B554" s="1" t="n">
        <v>45806</v>
      </c>
      <c r="C554" s="1" t="n">
        <v>45973</v>
      </c>
      <c r="D554" t="inlineStr">
        <is>
          <t>DALARNAS LÄN</t>
        </is>
      </c>
      <c r="E554" t="inlineStr">
        <is>
          <t>LEKSAND</t>
        </is>
      </c>
      <c r="F554" t="inlineStr">
        <is>
          <t>Bergvik skog väst AB</t>
        </is>
      </c>
      <c r="G554" t="n">
        <v>26.3</v>
      </c>
      <c r="H554" t="n">
        <v>0</v>
      </c>
      <c r="I554" t="n">
        <v>0</v>
      </c>
      <c r="J554" t="n">
        <v>0</v>
      </c>
      <c r="K554" t="n">
        <v>0</v>
      </c>
      <c r="L554" t="n">
        <v>0</v>
      </c>
      <c r="M554" t="n">
        <v>0</v>
      </c>
      <c r="N554" t="n">
        <v>0</v>
      </c>
      <c r="O554" t="n">
        <v>0</v>
      </c>
      <c r="P554" t="n">
        <v>0</v>
      </c>
      <c r="Q554" t="n">
        <v>0</v>
      </c>
      <c r="R554" s="2" t="inlineStr"/>
    </row>
    <row r="555" ht="15" customHeight="1">
      <c r="A555" t="inlineStr">
        <is>
          <t>A 25329-2022</t>
        </is>
      </c>
      <c r="B555" s="1" t="n">
        <v>44731.8799537037</v>
      </c>
      <c r="C555" s="1" t="n">
        <v>45973</v>
      </c>
      <c r="D555" t="inlineStr">
        <is>
          <t>DALARNAS LÄN</t>
        </is>
      </c>
      <c r="E555" t="inlineStr">
        <is>
          <t>LEKSAND</t>
        </is>
      </c>
      <c r="G555" t="n">
        <v>1.4</v>
      </c>
      <c r="H555" t="n">
        <v>0</v>
      </c>
      <c r="I555" t="n">
        <v>0</v>
      </c>
      <c r="J555" t="n">
        <v>0</v>
      </c>
      <c r="K555" t="n">
        <v>0</v>
      </c>
      <c r="L555" t="n">
        <v>0</v>
      </c>
      <c r="M555" t="n">
        <v>0</v>
      </c>
      <c r="N555" t="n">
        <v>0</v>
      </c>
      <c r="O555" t="n">
        <v>0</v>
      </c>
      <c r="P555" t="n">
        <v>0</v>
      </c>
      <c r="Q555" t="n">
        <v>0</v>
      </c>
      <c r="R555" s="2" t="inlineStr"/>
    </row>
    <row r="556" ht="15" customHeight="1">
      <c r="A556" t="inlineStr">
        <is>
          <t>A 26423-2025</t>
        </is>
      </c>
      <c r="B556" s="1" t="n">
        <v>45807.37829861111</v>
      </c>
      <c r="C556" s="1" t="n">
        <v>45973</v>
      </c>
      <c r="D556" t="inlineStr">
        <is>
          <t>DALARNAS LÄN</t>
        </is>
      </c>
      <c r="E556" t="inlineStr">
        <is>
          <t>LEKSAND</t>
        </is>
      </c>
      <c r="G556" t="n">
        <v>1.5</v>
      </c>
      <c r="H556" t="n">
        <v>0</v>
      </c>
      <c r="I556" t="n">
        <v>0</v>
      </c>
      <c r="J556" t="n">
        <v>0</v>
      </c>
      <c r="K556" t="n">
        <v>0</v>
      </c>
      <c r="L556" t="n">
        <v>0</v>
      </c>
      <c r="M556" t="n">
        <v>0</v>
      </c>
      <c r="N556" t="n">
        <v>0</v>
      </c>
      <c r="O556" t="n">
        <v>0</v>
      </c>
      <c r="P556" t="n">
        <v>0</v>
      </c>
      <c r="Q556" t="n">
        <v>0</v>
      </c>
      <c r="R556" s="2" t="inlineStr"/>
    </row>
    <row r="557" ht="15" customHeight="1">
      <c r="A557" t="inlineStr">
        <is>
          <t>A 27323-2025</t>
        </is>
      </c>
      <c r="B557" s="1" t="n">
        <v>45812.60392361111</v>
      </c>
      <c r="C557" s="1" t="n">
        <v>45973</v>
      </c>
      <c r="D557" t="inlineStr">
        <is>
          <t>DALARNAS LÄN</t>
        </is>
      </c>
      <c r="E557" t="inlineStr">
        <is>
          <t>LEKSAND</t>
        </is>
      </c>
      <c r="F557" t="inlineStr">
        <is>
          <t>Bergvik skog väst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53718-2025</t>
        </is>
      </c>
      <c r="B558" s="1" t="n">
        <v>45960.61840277778</v>
      </c>
      <c r="C558" s="1" t="n">
        <v>45973</v>
      </c>
      <c r="D558" t="inlineStr">
        <is>
          <t>DALARNAS LÄN</t>
        </is>
      </c>
      <c r="E558" t="inlineStr">
        <is>
          <t>LEKSAND</t>
        </is>
      </c>
      <c r="G558" t="n">
        <v>7.5</v>
      </c>
      <c r="H558" t="n">
        <v>0</v>
      </c>
      <c r="I558" t="n">
        <v>0</v>
      </c>
      <c r="J558" t="n">
        <v>0</v>
      </c>
      <c r="K558" t="n">
        <v>0</v>
      </c>
      <c r="L558" t="n">
        <v>0</v>
      </c>
      <c r="M558" t="n">
        <v>0</v>
      </c>
      <c r="N558" t="n">
        <v>0</v>
      </c>
      <c r="O558" t="n">
        <v>0</v>
      </c>
      <c r="P558" t="n">
        <v>0</v>
      </c>
      <c r="Q558" t="n">
        <v>0</v>
      </c>
      <c r="R558" s="2" t="inlineStr"/>
    </row>
    <row r="559" ht="15" customHeight="1">
      <c r="A559" t="inlineStr">
        <is>
          <t>A 8940-2023</t>
        </is>
      </c>
      <c r="B559" s="1" t="n">
        <v>44974</v>
      </c>
      <c r="C559" s="1" t="n">
        <v>45973</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9459-2023</t>
        </is>
      </c>
      <c r="B560" s="1" t="n">
        <v>44977</v>
      </c>
      <c r="C560" s="1" t="n">
        <v>45973</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27183-2025</t>
        </is>
      </c>
      <c r="B561" s="1" t="n">
        <v>45812.36097222222</v>
      </c>
      <c r="C561" s="1" t="n">
        <v>45973</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27262-2025</t>
        </is>
      </c>
      <c r="B562" s="1" t="n">
        <v>45812</v>
      </c>
      <c r="C562" s="1" t="n">
        <v>45973</v>
      </c>
      <c r="D562" t="inlineStr">
        <is>
          <t>DALARNAS LÄN</t>
        </is>
      </c>
      <c r="E562" t="inlineStr">
        <is>
          <t>LEKSAND</t>
        </is>
      </c>
      <c r="F562" t="inlineStr">
        <is>
          <t>Bergvik skog väst AB</t>
        </is>
      </c>
      <c r="G562" t="n">
        <v>7.7</v>
      </c>
      <c r="H562" t="n">
        <v>0</v>
      </c>
      <c r="I562" t="n">
        <v>0</v>
      </c>
      <c r="J562" t="n">
        <v>0</v>
      </c>
      <c r="K562" t="n">
        <v>0</v>
      </c>
      <c r="L562" t="n">
        <v>0</v>
      </c>
      <c r="M562" t="n">
        <v>0</v>
      </c>
      <c r="N562" t="n">
        <v>0</v>
      </c>
      <c r="O562" t="n">
        <v>0</v>
      </c>
      <c r="P562" t="n">
        <v>0</v>
      </c>
      <c r="Q562" t="n">
        <v>0</v>
      </c>
      <c r="R562" s="2" t="inlineStr"/>
    </row>
    <row r="563" ht="15" customHeight="1">
      <c r="A563" t="inlineStr">
        <is>
          <t>A 27329-2025</t>
        </is>
      </c>
      <c r="B563" s="1" t="n">
        <v>45812.60864583333</v>
      </c>
      <c r="C563" s="1" t="n">
        <v>45973</v>
      </c>
      <c r="D563" t="inlineStr">
        <is>
          <t>DALARNAS LÄN</t>
        </is>
      </c>
      <c r="E563" t="inlineStr">
        <is>
          <t>LEKSAND</t>
        </is>
      </c>
      <c r="F563" t="inlineStr">
        <is>
          <t>Bergvik skog väst AB</t>
        </is>
      </c>
      <c r="G563" t="n">
        <v>3</v>
      </c>
      <c r="H563" t="n">
        <v>0</v>
      </c>
      <c r="I563" t="n">
        <v>0</v>
      </c>
      <c r="J563" t="n">
        <v>0</v>
      </c>
      <c r="K563" t="n">
        <v>0</v>
      </c>
      <c r="L563" t="n">
        <v>0</v>
      </c>
      <c r="M563" t="n">
        <v>0</v>
      </c>
      <c r="N563" t="n">
        <v>0</v>
      </c>
      <c r="O563" t="n">
        <v>0</v>
      </c>
      <c r="P563" t="n">
        <v>0</v>
      </c>
      <c r="Q563" t="n">
        <v>0</v>
      </c>
      <c r="R563" s="2" t="inlineStr"/>
    </row>
    <row r="564" ht="15" customHeight="1">
      <c r="A564" t="inlineStr">
        <is>
          <t>A 27332-2025</t>
        </is>
      </c>
      <c r="B564" s="1" t="n">
        <v>45812.61265046296</v>
      </c>
      <c r="C564" s="1" t="n">
        <v>45973</v>
      </c>
      <c r="D564" t="inlineStr">
        <is>
          <t>DALARNAS LÄN</t>
        </is>
      </c>
      <c r="E564" t="inlineStr">
        <is>
          <t>LEKSAND</t>
        </is>
      </c>
      <c r="F564" t="inlineStr">
        <is>
          <t>Bergvik skog väst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27682-2025</t>
        </is>
      </c>
      <c r="B565" s="1" t="n">
        <v>45813.64782407408</v>
      </c>
      <c r="C565" s="1" t="n">
        <v>45973</v>
      </c>
      <c r="D565" t="inlineStr">
        <is>
          <t>DALARNAS LÄN</t>
        </is>
      </c>
      <c r="E565" t="inlineStr">
        <is>
          <t>LEKSAND</t>
        </is>
      </c>
      <c r="G565" t="n">
        <v>1.2</v>
      </c>
      <c r="H565" t="n">
        <v>0</v>
      </c>
      <c r="I565" t="n">
        <v>0</v>
      </c>
      <c r="J565" t="n">
        <v>0</v>
      </c>
      <c r="K565" t="n">
        <v>0</v>
      </c>
      <c r="L565" t="n">
        <v>0</v>
      </c>
      <c r="M565" t="n">
        <v>0</v>
      </c>
      <c r="N565" t="n">
        <v>0</v>
      </c>
      <c r="O565" t="n">
        <v>0</v>
      </c>
      <c r="P565" t="n">
        <v>0</v>
      </c>
      <c r="Q565" t="n">
        <v>0</v>
      </c>
      <c r="R565" s="2" t="inlineStr"/>
    </row>
    <row r="566" ht="15" customHeight="1">
      <c r="A566" t="inlineStr">
        <is>
          <t>A 56941-2024</t>
        </is>
      </c>
      <c r="B566" s="1" t="n">
        <v>45625</v>
      </c>
      <c r="C566" s="1" t="n">
        <v>45973</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53438-2025</t>
        </is>
      </c>
      <c r="B567" s="1" t="n">
        <v>45959.63711805556</v>
      </c>
      <c r="C567" s="1" t="n">
        <v>45973</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48721-2023</t>
        </is>
      </c>
      <c r="B568" s="1" t="n">
        <v>45203</v>
      </c>
      <c r="C568" s="1" t="n">
        <v>45973</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17377-2025</t>
        </is>
      </c>
      <c r="B569" s="1" t="n">
        <v>45756.983125</v>
      </c>
      <c r="C569" s="1" t="n">
        <v>45973</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44672-2025</t>
        </is>
      </c>
      <c r="B570" s="1" t="n">
        <v>45917.56780092593</v>
      </c>
      <c r="C570" s="1" t="n">
        <v>45973</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53619-2025</t>
        </is>
      </c>
      <c r="B571" s="1" t="n">
        <v>45960</v>
      </c>
      <c r="C571" s="1" t="n">
        <v>45973</v>
      </c>
      <c r="D571" t="inlineStr">
        <is>
          <t>DALARNAS LÄN</t>
        </is>
      </c>
      <c r="E571" t="inlineStr">
        <is>
          <t>LEKSAND</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61269-2022</t>
        </is>
      </c>
      <c r="B572" s="1" t="n">
        <v>44909</v>
      </c>
      <c r="C572" s="1" t="n">
        <v>45973</v>
      </c>
      <c r="D572" t="inlineStr">
        <is>
          <t>DALARNAS LÄN</t>
        </is>
      </c>
      <c r="E572" t="inlineStr">
        <is>
          <t>LEKSAND</t>
        </is>
      </c>
      <c r="G572" t="n">
        <v>4.2</v>
      </c>
      <c r="H572" t="n">
        <v>0</v>
      </c>
      <c r="I572" t="n">
        <v>0</v>
      </c>
      <c r="J572" t="n">
        <v>0</v>
      </c>
      <c r="K572" t="n">
        <v>0</v>
      </c>
      <c r="L572" t="n">
        <v>0</v>
      </c>
      <c r="M572" t="n">
        <v>0</v>
      </c>
      <c r="N572" t="n">
        <v>0</v>
      </c>
      <c r="O572" t="n">
        <v>0</v>
      </c>
      <c r="P572" t="n">
        <v>0</v>
      </c>
      <c r="Q572" t="n">
        <v>0</v>
      </c>
      <c r="R572" s="2" t="inlineStr"/>
    </row>
    <row r="573" ht="15" customHeight="1">
      <c r="A573" t="inlineStr">
        <is>
          <t>A 33463-2023</t>
        </is>
      </c>
      <c r="B573" s="1" t="n">
        <v>45131</v>
      </c>
      <c r="C573" s="1" t="n">
        <v>45973</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53817-2023</t>
        </is>
      </c>
      <c r="B574" s="1" t="n">
        <v>45231.40488425926</v>
      </c>
      <c r="C574" s="1" t="n">
        <v>45973</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8755-2023</t>
        </is>
      </c>
      <c r="B575" s="1" t="n">
        <v>44978</v>
      </c>
      <c r="C575" s="1" t="n">
        <v>45973</v>
      </c>
      <c r="D575" t="inlineStr">
        <is>
          <t>DALARNAS LÄN</t>
        </is>
      </c>
      <c r="E575" t="inlineStr">
        <is>
          <t>LEKSAND</t>
        </is>
      </c>
      <c r="G575" t="n">
        <v>2.3</v>
      </c>
      <c r="H575" t="n">
        <v>0</v>
      </c>
      <c r="I575" t="n">
        <v>0</v>
      </c>
      <c r="J575" t="n">
        <v>0</v>
      </c>
      <c r="K575" t="n">
        <v>0</v>
      </c>
      <c r="L575" t="n">
        <v>0</v>
      </c>
      <c r="M575" t="n">
        <v>0</v>
      </c>
      <c r="N575" t="n">
        <v>0</v>
      </c>
      <c r="O575" t="n">
        <v>0</v>
      </c>
      <c r="P575" t="n">
        <v>0</v>
      </c>
      <c r="Q575" t="n">
        <v>0</v>
      </c>
      <c r="R575" s="2" t="inlineStr"/>
    </row>
    <row r="576" ht="15" customHeight="1">
      <c r="A576" t="inlineStr">
        <is>
          <t>A 59840-2024</t>
        </is>
      </c>
      <c r="B576" s="1" t="n">
        <v>45638</v>
      </c>
      <c r="C576" s="1" t="n">
        <v>45973</v>
      </c>
      <c r="D576" t="inlineStr">
        <is>
          <t>DALARNAS LÄN</t>
        </is>
      </c>
      <c r="E576" t="inlineStr">
        <is>
          <t>LEKSAND</t>
        </is>
      </c>
      <c r="G576" t="n">
        <v>0.6</v>
      </c>
      <c r="H576" t="n">
        <v>0</v>
      </c>
      <c r="I576" t="n">
        <v>0</v>
      </c>
      <c r="J576" t="n">
        <v>0</v>
      </c>
      <c r="K576" t="n">
        <v>0</v>
      </c>
      <c r="L576" t="n">
        <v>0</v>
      </c>
      <c r="M576" t="n">
        <v>0</v>
      </c>
      <c r="N576" t="n">
        <v>0</v>
      </c>
      <c r="O576" t="n">
        <v>0</v>
      </c>
      <c r="P576" t="n">
        <v>0</v>
      </c>
      <c r="Q576" t="n">
        <v>0</v>
      </c>
      <c r="R576" s="2" t="inlineStr"/>
    </row>
    <row r="577" ht="15" customHeight="1">
      <c r="A577" t="inlineStr">
        <is>
          <t>A 28633-2023</t>
        </is>
      </c>
      <c r="B577" s="1" t="n">
        <v>45103.61575231481</v>
      </c>
      <c r="C577" s="1" t="n">
        <v>45973</v>
      </c>
      <c r="D577" t="inlineStr">
        <is>
          <t>DALARNAS LÄN</t>
        </is>
      </c>
      <c r="E577" t="inlineStr">
        <is>
          <t>LEKSAND</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45101-2025</t>
        </is>
      </c>
      <c r="B578" s="1" t="n">
        <v>45919.39679398148</v>
      </c>
      <c r="C578" s="1" t="n">
        <v>45973</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53838-2025</t>
        </is>
      </c>
      <c r="B579" s="1" t="n">
        <v>45961.34895833334</v>
      </c>
      <c r="C579" s="1" t="n">
        <v>45973</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14943-2023</t>
        </is>
      </c>
      <c r="B580" s="1" t="n">
        <v>45015</v>
      </c>
      <c r="C580" s="1" t="n">
        <v>45973</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41840-2024</t>
        </is>
      </c>
      <c r="B581" s="1" t="n">
        <v>45561.42170138889</v>
      </c>
      <c r="C581" s="1" t="n">
        <v>45973</v>
      </c>
      <c r="D581" t="inlineStr">
        <is>
          <t>DALARNAS LÄN</t>
        </is>
      </c>
      <c r="E581" t="inlineStr">
        <is>
          <t>LEKSAND</t>
        </is>
      </c>
      <c r="G581" t="n">
        <v>0.4</v>
      </c>
      <c r="H581" t="n">
        <v>0</v>
      </c>
      <c r="I581" t="n">
        <v>0</v>
      </c>
      <c r="J581" t="n">
        <v>0</v>
      </c>
      <c r="K581" t="n">
        <v>0</v>
      </c>
      <c r="L581" t="n">
        <v>0</v>
      </c>
      <c r="M581" t="n">
        <v>0</v>
      </c>
      <c r="N581" t="n">
        <v>0</v>
      </c>
      <c r="O581" t="n">
        <v>0</v>
      </c>
      <c r="P581" t="n">
        <v>0</v>
      </c>
      <c r="Q581" t="n">
        <v>0</v>
      </c>
      <c r="R581" s="2" t="inlineStr"/>
    </row>
    <row r="582" ht="15" customHeight="1">
      <c r="A582" t="inlineStr">
        <is>
          <t>A 33143-2024</t>
        </is>
      </c>
      <c r="B582" s="1" t="n">
        <v>45518</v>
      </c>
      <c r="C582" s="1" t="n">
        <v>45973</v>
      </c>
      <c r="D582" t="inlineStr">
        <is>
          <t>DALARNAS LÄN</t>
        </is>
      </c>
      <c r="E582" t="inlineStr">
        <is>
          <t>LEKSAND</t>
        </is>
      </c>
      <c r="G582" t="n">
        <v>0.6</v>
      </c>
      <c r="H582" t="n">
        <v>0</v>
      </c>
      <c r="I582" t="n">
        <v>0</v>
      </c>
      <c r="J582" t="n">
        <v>0</v>
      </c>
      <c r="K582" t="n">
        <v>0</v>
      </c>
      <c r="L582" t="n">
        <v>0</v>
      </c>
      <c r="M582" t="n">
        <v>0</v>
      </c>
      <c r="N582" t="n">
        <v>0</v>
      </c>
      <c r="O582" t="n">
        <v>0</v>
      </c>
      <c r="P582" t="n">
        <v>0</v>
      </c>
      <c r="Q582" t="n">
        <v>0</v>
      </c>
      <c r="R582" s="2" t="inlineStr"/>
    </row>
    <row r="583" ht="15" customHeight="1">
      <c r="A583" t="inlineStr">
        <is>
          <t>A 54120-2025</t>
        </is>
      </c>
      <c r="B583" s="1" t="n">
        <v>45964.45040509259</v>
      </c>
      <c r="C583" s="1" t="n">
        <v>45973</v>
      </c>
      <c r="D583" t="inlineStr">
        <is>
          <t>DALARNAS LÄN</t>
        </is>
      </c>
      <c r="E583" t="inlineStr">
        <is>
          <t>LEKSAND</t>
        </is>
      </c>
      <c r="G583" t="n">
        <v>0.7</v>
      </c>
      <c r="H583" t="n">
        <v>0</v>
      </c>
      <c r="I583" t="n">
        <v>0</v>
      </c>
      <c r="J583" t="n">
        <v>0</v>
      </c>
      <c r="K583" t="n">
        <v>0</v>
      </c>
      <c r="L583" t="n">
        <v>0</v>
      </c>
      <c r="M583" t="n">
        <v>0</v>
      </c>
      <c r="N583" t="n">
        <v>0</v>
      </c>
      <c r="O583" t="n">
        <v>0</v>
      </c>
      <c r="P583" t="n">
        <v>0</v>
      </c>
      <c r="Q583" t="n">
        <v>0</v>
      </c>
      <c r="R583" s="2" t="inlineStr"/>
    </row>
    <row r="584" ht="15" customHeight="1">
      <c r="A584" t="inlineStr">
        <is>
          <t>A 54125-2025</t>
        </is>
      </c>
      <c r="B584" s="1" t="n">
        <v>45964.45671296296</v>
      </c>
      <c r="C584" s="1" t="n">
        <v>45973</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10967-2023</t>
        </is>
      </c>
      <c r="B585" s="1" t="n">
        <v>44991.58001157407</v>
      </c>
      <c r="C585" s="1" t="n">
        <v>45973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10974-2023</t>
        </is>
      </c>
      <c r="B586" s="1" t="n">
        <v>44991.59049768518</v>
      </c>
      <c r="C586" s="1" t="n">
        <v>45973</v>
      </c>
      <c r="D586" t="inlineStr">
        <is>
          <t>DALARNAS LÄN</t>
        </is>
      </c>
      <c r="E586" t="inlineStr">
        <is>
          <t>LEKSAND</t>
        </is>
      </c>
      <c r="G586" t="n">
        <v>0.3</v>
      </c>
      <c r="H586" t="n">
        <v>0</v>
      </c>
      <c r="I586" t="n">
        <v>0</v>
      </c>
      <c r="J586" t="n">
        <v>0</v>
      </c>
      <c r="K586" t="n">
        <v>0</v>
      </c>
      <c r="L586" t="n">
        <v>0</v>
      </c>
      <c r="M586" t="n">
        <v>0</v>
      </c>
      <c r="N586" t="n">
        <v>0</v>
      </c>
      <c r="O586" t="n">
        <v>0</v>
      </c>
      <c r="P586" t="n">
        <v>0</v>
      </c>
      <c r="Q586" t="n">
        <v>0</v>
      </c>
      <c r="R586" s="2" t="inlineStr"/>
    </row>
    <row r="587" ht="15" customHeight="1">
      <c r="A587" t="inlineStr">
        <is>
          <t>A 54015-2025</t>
        </is>
      </c>
      <c r="B587" s="1" t="n">
        <v>45961.64158564815</v>
      </c>
      <c r="C587" s="1" t="n">
        <v>45973</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55516-2024</t>
        </is>
      </c>
      <c r="B588" s="1" t="n">
        <v>45621</v>
      </c>
      <c r="C588" s="1" t="n">
        <v>45973</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30858-2024</t>
        </is>
      </c>
      <c r="B589" s="1" t="n">
        <v>45497.67601851852</v>
      </c>
      <c r="C589" s="1" t="n">
        <v>45973</v>
      </c>
      <c r="D589" t="inlineStr">
        <is>
          <t>DALARNAS LÄN</t>
        </is>
      </c>
      <c r="E589" t="inlineStr">
        <is>
          <t>LEKSAND</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45300-2025</t>
        </is>
      </c>
      <c r="B590" s="1" t="n">
        <v>45921.30490740741</v>
      </c>
      <c r="C590" s="1" t="n">
        <v>45973</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53804-2025</t>
        </is>
      </c>
      <c r="B591" s="1" t="n">
        <v>45960.83247685185</v>
      </c>
      <c r="C591" s="1" t="n">
        <v>45973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11015-2022</t>
        </is>
      </c>
      <c r="B592" s="1" t="n">
        <v>44628.52340277778</v>
      </c>
      <c r="C592" s="1" t="n">
        <v>45973</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45381-2025</t>
        </is>
      </c>
      <c r="B593" s="1" t="n">
        <v>45922.39989583333</v>
      </c>
      <c r="C593" s="1" t="n">
        <v>45973</v>
      </c>
      <c r="D593" t="inlineStr">
        <is>
          <t>DALARNAS LÄN</t>
        </is>
      </c>
      <c r="E593" t="inlineStr">
        <is>
          <t>LEKSAND</t>
        </is>
      </c>
      <c r="G593" t="n">
        <v>0.9</v>
      </c>
      <c r="H593" t="n">
        <v>0</v>
      </c>
      <c r="I593" t="n">
        <v>0</v>
      </c>
      <c r="J593" t="n">
        <v>0</v>
      </c>
      <c r="K593" t="n">
        <v>0</v>
      </c>
      <c r="L593" t="n">
        <v>0</v>
      </c>
      <c r="M593" t="n">
        <v>0</v>
      </c>
      <c r="N593" t="n">
        <v>0</v>
      </c>
      <c r="O593" t="n">
        <v>0</v>
      </c>
      <c r="P593" t="n">
        <v>0</v>
      </c>
      <c r="Q593" t="n">
        <v>0</v>
      </c>
      <c r="R593" s="2" t="inlineStr"/>
    </row>
    <row r="594" ht="15" customHeight="1">
      <c r="A594" t="inlineStr">
        <is>
          <t>A 12582-2025</t>
        </is>
      </c>
      <c r="B594" s="1" t="n">
        <v>45732.62988425926</v>
      </c>
      <c r="C594" s="1" t="n">
        <v>45973</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1182-2025</t>
        </is>
      </c>
      <c r="B595" s="1" t="n">
        <v>45667.35712962963</v>
      </c>
      <c r="C595" s="1" t="n">
        <v>45973</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1519-2024</t>
        </is>
      </c>
      <c r="B596" s="1" t="n">
        <v>45306</v>
      </c>
      <c r="C596" s="1" t="n">
        <v>45973</v>
      </c>
      <c r="D596" t="inlineStr">
        <is>
          <t>DALARNAS LÄN</t>
        </is>
      </c>
      <c r="E596" t="inlineStr">
        <is>
          <t>LEKSAND</t>
        </is>
      </c>
      <c r="G596" t="n">
        <v>3.3</v>
      </c>
      <c r="H596" t="n">
        <v>0</v>
      </c>
      <c r="I596" t="n">
        <v>0</v>
      </c>
      <c r="J596" t="n">
        <v>0</v>
      </c>
      <c r="K596" t="n">
        <v>0</v>
      </c>
      <c r="L596" t="n">
        <v>0</v>
      </c>
      <c r="M596" t="n">
        <v>0</v>
      </c>
      <c r="N596" t="n">
        <v>0</v>
      </c>
      <c r="O596" t="n">
        <v>0</v>
      </c>
      <c r="P596" t="n">
        <v>0</v>
      </c>
      <c r="Q596" t="n">
        <v>0</v>
      </c>
      <c r="R596" s="2" t="inlineStr"/>
    </row>
    <row r="597" ht="15" customHeight="1">
      <c r="A597" t="inlineStr">
        <is>
          <t>A 27705-2025</t>
        </is>
      </c>
      <c r="B597" s="1" t="n">
        <v>45813</v>
      </c>
      <c r="C597" s="1" t="n">
        <v>45973</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53836-2025</t>
        </is>
      </c>
      <c r="B598" s="1" t="n">
        <v>45961.3475462963</v>
      </c>
      <c r="C598" s="1" t="n">
        <v>45973</v>
      </c>
      <c r="D598" t="inlineStr">
        <is>
          <t>DALARNAS LÄN</t>
        </is>
      </c>
      <c r="E598" t="inlineStr">
        <is>
          <t>LEKSAND</t>
        </is>
      </c>
      <c r="G598" t="n">
        <v>3.5</v>
      </c>
      <c r="H598" t="n">
        <v>0</v>
      </c>
      <c r="I598" t="n">
        <v>0</v>
      </c>
      <c r="J598" t="n">
        <v>0</v>
      </c>
      <c r="K598" t="n">
        <v>0</v>
      </c>
      <c r="L598" t="n">
        <v>0</v>
      </c>
      <c r="M598" t="n">
        <v>0</v>
      </c>
      <c r="N598" t="n">
        <v>0</v>
      </c>
      <c r="O598" t="n">
        <v>0</v>
      </c>
      <c r="P598" t="n">
        <v>0</v>
      </c>
      <c r="Q598" t="n">
        <v>0</v>
      </c>
      <c r="R598" s="2" t="inlineStr"/>
    </row>
    <row r="599" ht="15" customHeight="1">
      <c r="A599" t="inlineStr">
        <is>
          <t>A 71817-2021</t>
        </is>
      </c>
      <c r="B599" s="1" t="n">
        <v>44543.59780092593</v>
      </c>
      <c r="C599" s="1" t="n">
        <v>45973</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45318-2025</t>
        </is>
      </c>
      <c r="B600" s="1" t="n">
        <v>45921.85230324074</v>
      </c>
      <c r="C600" s="1" t="n">
        <v>45973</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471-2025</t>
        </is>
      </c>
      <c r="B601" s="1" t="n">
        <v>45664.43394675926</v>
      </c>
      <c r="C601" s="1" t="n">
        <v>45973</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54779-2025</t>
        </is>
      </c>
      <c r="B602" s="1" t="n">
        <v>45966.61672453704</v>
      </c>
      <c r="C602" s="1" t="n">
        <v>45973</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54815-2025</t>
        </is>
      </c>
      <c r="B603" s="1" t="n">
        <v>45966.65237268519</v>
      </c>
      <c r="C603" s="1" t="n">
        <v>45973</v>
      </c>
      <c r="D603" t="inlineStr">
        <is>
          <t>DALARNAS LÄN</t>
        </is>
      </c>
      <c r="E603" t="inlineStr">
        <is>
          <t>LEKSAND</t>
        </is>
      </c>
      <c r="G603" t="n">
        <v>0.6</v>
      </c>
      <c r="H603" t="n">
        <v>0</v>
      </c>
      <c r="I603" t="n">
        <v>0</v>
      </c>
      <c r="J603" t="n">
        <v>0</v>
      </c>
      <c r="K603" t="n">
        <v>0</v>
      </c>
      <c r="L603" t="n">
        <v>0</v>
      </c>
      <c r="M603" t="n">
        <v>0</v>
      </c>
      <c r="N603" t="n">
        <v>0</v>
      </c>
      <c r="O603" t="n">
        <v>0</v>
      </c>
      <c r="P603" t="n">
        <v>0</v>
      </c>
      <c r="Q603" t="n">
        <v>0</v>
      </c>
      <c r="R603" s="2" t="inlineStr"/>
    </row>
    <row r="604" ht="15" customHeight="1">
      <c r="A604" t="inlineStr">
        <is>
          <t>A 32-2024</t>
        </is>
      </c>
      <c r="B604" s="1" t="n">
        <v>45293</v>
      </c>
      <c r="C604" s="1" t="n">
        <v>45973</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54767-2025</t>
        </is>
      </c>
      <c r="B605" s="1" t="n">
        <v>45966.60414351852</v>
      </c>
      <c r="C605" s="1" t="n">
        <v>45973</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54785-2025</t>
        </is>
      </c>
      <c r="B606" s="1" t="n">
        <v>45966.62619212963</v>
      </c>
      <c r="C606" s="1" t="n">
        <v>45973</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54805-2025</t>
        </is>
      </c>
      <c r="B607" s="1" t="n">
        <v>45966.64165509259</v>
      </c>
      <c r="C607" s="1" t="n">
        <v>45973</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36932-2023</t>
        </is>
      </c>
      <c r="B608" s="1" t="n">
        <v>45154</v>
      </c>
      <c r="C608" s="1" t="n">
        <v>45973</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23663-2024</t>
        </is>
      </c>
      <c r="B609" s="1" t="n">
        <v>45454.57049768518</v>
      </c>
      <c r="C609" s="1" t="n">
        <v>45973</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33180-2024</t>
        </is>
      </c>
      <c r="B610" s="1" t="n">
        <v>45518.44481481481</v>
      </c>
      <c r="C610" s="1" t="n">
        <v>45973</v>
      </c>
      <c r="D610" t="inlineStr">
        <is>
          <t>DALARNAS LÄN</t>
        </is>
      </c>
      <c r="E610" t="inlineStr">
        <is>
          <t>LEKSAND</t>
        </is>
      </c>
      <c r="G610" t="n">
        <v>7.6</v>
      </c>
      <c r="H610" t="n">
        <v>0</v>
      </c>
      <c r="I610" t="n">
        <v>0</v>
      </c>
      <c r="J610" t="n">
        <v>0</v>
      </c>
      <c r="K610" t="n">
        <v>0</v>
      </c>
      <c r="L610" t="n">
        <v>0</v>
      </c>
      <c r="M610" t="n">
        <v>0</v>
      </c>
      <c r="N610" t="n">
        <v>0</v>
      </c>
      <c r="O610" t="n">
        <v>0</v>
      </c>
      <c r="P610" t="n">
        <v>0</v>
      </c>
      <c r="Q610" t="n">
        <v>0</v>
      </c>
      <c r="R610" s="2" t="inlineStr"/>
    </row>
    <row r="611" ht="15" customHeight="1">
      <c r="A611" t="inlineStr">
        <is>
          <t>A 11128-2023</t>
        </is>
      </c>
      <c r="B611" s="1" t="n">
        <v>44992</v>
      </c>
      <c r="C611" s="1" t="n">
        <v>45973</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60024-2023</t>
        </is>
      </c>
      <c r="B612" s="1" t="n">
        <v>45258</v>
      </c>
      <c r="C612" s="1" t="n">
        <v>45973</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27680-2025</t>
        </is>
      </c>
      <c r="B613" s="1" t="n">
        <v>45813.64618055556</v>
      </c>
      <c r="C613" s="1" t="n">
        <v>45973</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11859-2024</t>
        </is>
      </c>
      <c r="B614" s="1" t="n">
        <v>45376.44569444445</v>
      </c>
      <c r="C614" s="1" t="n">
        <v>45973</v>
      </c>
      <c r="D614" t="inlineStr">
        <is>
          <t>DALARNAS LÄN</t>
        </is>
      </c>
      <c r="E614" t="inlineStr">
        <is>
          <t>LEKSAND</t>
        </is>
      </c>
      <c r="G614" t="n">
        <v>2.1</v>
      </c>
      <c r="H614" t="n">
        <v>0</v>
      </c>
      <c r="I614" t="n">
        <v>0</v>
      </c>
      <c r="J614" t="n">
        <v>0</v>
      </c>
      <c r="K614" t="n">
        <v>0</v>
      </c>
      <c r="L614" t="n">
        <v>0</v>
      </c>
      <c r="M614" t="n">
        <v>0</v>
      </c>
      <c r="N614" t="n">
        <v>0</v>
      </c>
      <c r="O614" t="n">
        <v>0</v>
      </c>
      <c r="P614" t="n">
        <v>0</v>
      </c>
      <c r="Q614" t="n">
        <v>0</v>
      </c>
      <c r="R614" s="2" t="inlineStr"/>
    </row>
    <row r="615" ht="15" customHeight="1">
      <c r="A615" t="inlineStr">
        <is>
          <t>A 62133-2023</t>
        </is>
      </c>
      <c r="B615" s="1" t="n">
        <v>45267.35582175926</v>
      </c>
      <c r="C615" s="1" t="n">
        <v>45973</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60715-2022</t>
        </is>
      </c>
      <c r="B616" s="1" t="n">
        <v>44912</v>
      </c>
      <c r="C616" s="1" t="n">
        <v>45973</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58495-2023</t>
        </is>
      </c>
      <c r="B617" s="1" t="n">
        <v>45251</v>
      </c>
      <c r="C617" s="1" t="n">
        <v>45973</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11092-2023</t>
        </is>
      </c>
      <c r="B618" s="1" t="n">
        <v>44992</v>
      </c>
      <c r="C618" s="1" t="n">
        <v>45973</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54494-2025</t>
        </is>
      </c>
      <c r="B619" s="1" t="n">
        <v>45965.59965277778</v>
      </c>
      <c r="C619" s="1" t="n">
        <v>45973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15882-2023</t>
        </is>
      </c>
      <c r="B620" s="1" t="n">
        <v>45022</v>
      </c>
      <c r="C620" s="1" t="n">
        <v>45973</v>
      </c>
      <c r="D620" t="inlineStr">
        <is>
          <t>DALARNAS LÄN</t>
        </is>
      </c>
      <c r="E620" t="inlineStr">
        <is>
          <t>LEKSAND</t>
        </is>
      </c>
      <c r="G620" t="n">
        <v>0.1</v>
      </c>
      <c r="H620" t="n">
        <v>0</v>
      </c>
      <c r="I620" t="n">
        <v>0</v>
      </c>
      <c r="J620" t="n">
        <v>0</v>
      </c>
      <c r="K620" t="n">
        <v>0</v>
      </c>
      <c r="L620" t="n">
        <v>0</v>
      </c>
      <c r="M620" t="n">
        <v>0</v>
      </c>
      <c r="N620" t="n">
        <v>0</v>
      </c>
      <c r="O620" t="n">
        <v>0</v>
      </c>
      <c r="P620" t="n">
        <v>0</v>
      </c>
      <c r="Q620" t="n">
        <v>0</v>
      </c>
      <c r="R620" s="2" t="inlineStr"/>
    </row>
    <row r="621" ht="15" customHeight="1">
      <c r="A621" t="inlineStr">
        <is>
          <t>A 6039-2023</t>
        </is>
      </c>
      <c r="B621" s="1" t="n">
        <v>44959</v>
      </c>
      <c r="C621" s="1" t="n">
        <v>45973</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22517-2024</t>
        </is>
      </c>
      <c r="B622" s="1" t="n">
        <v>45447.40143518519</v>
      </c>
      <c r="C622" s="1" t="n">
        <v>45973</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1443-2024</t>
        </is>
      </c>
      <c r="B623" s="1" t="n">
        <v>45303</v>
      </c>
      <c r="C623" s="1" t="n">
        <v>45973</v>
      </c>
      <c r="D623" t="inlineStr">
        <is>
          <t>DALARNAS LÄN</t>
        </is>
      </c>
      <c r="E623" t="inlineStr">
        <is>
          <t>LEKSAND</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52801-2023</t>
        </is>
      </c>
      <c r="B624" s="1" t="n">
        <v>45219</v>
      </c>
      <c r="C624" s="1" t="n">
        <v>45973</v>
      </c>
      <c r="D624" t="inlineStr">
        <is>
          <t>DALARNAS LÄN</t>
        </is>
      </c>
      <c r="E624" t="inlineStr">
        <is>
          <t>LEKSAND</t>
        </is>
      </c>
      <c r="G624" t="n">
        <v>4.9</v>
      </c>
      <c r="H624" t="n">
        <v>0</v>
      </c>
      <c r="I624" t="n">
        <v>0</v>
      </c>
      <c r="J624" t="n">
        <v>0</v>
      </c>
      <c r="K624" t="n">
        <v>0</v>
      </c>
      <c r="L624" t="n">
        <v>0</v>
      </c>
      <c r="M624" t="n">
        <v>0</v>
      </c>
      <c r="N624" t="n">
        <v>0</v>
      </c>
      <c r="O624" t="n">
        <v>0</v>
      </c>
      <c r="P624" t="n">
        <v>0</v>
      </c>
      <c r="Q624" t="n">
        <v>0</v>
      </c>
      <c r="R624" s="2" t="inlineStr"/>
    </row>
    <row r="625" ht="15" customHeight="1">
      <c r="A625" t="inlineStr">
        <is>
          <t>A 1457-2024</t>
        </is>
      </c>
      <c r="B625" s="1" t="n">
        <v>45303</v>
      </c>
      <c r="C625" s="1" t="n">
        <v>45973</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46176-2025</t>
        </is>
      </c>
      <c r="B626" s="1" t="n">
        <v>45924.65101851852</v>
      </c>
      <c r="C626" s="1" t="n">
        <v>45973</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45768-2023</t>
        </is>
      </c>
      <c r="B627" s="1" t="n">
        <v>45195</v>
      </c>
      <c r="C627" s="1" t="n">
        <v>45973</v>
      </c>
      <c r="D627" t="inlineStr">
        <is>
          <t>DALARNAS LÄN</t>
        </is>
      </c>
      <c r="E627" t="inlineStr">
        <is>
          <t>LEKSAND</t>
        </is>
      </c>
      <c r="G627" t="n">
        <v>0.4</v>
      </c>
      <c r="H627" t="n">
        <v>0</v>
      </c>
      <c r="I627" t="n">
        <v>0</v>
      </c>
      <c r="J627" t="n">
        <v>0</v>
      </c>
      <c r="K627" t="n">
        <v>0</v>
      </c>
      <c r="L627" t="n">
        <v>0</v>
      </c>
      <c r="M627" t="n">
        <v>0</v>
      </c>
      <c r="N627" t="n">
        <v>0</v>
      </c>
      <c r="O627" t="n">
        <v>0</v>
      </c>
      <c r="P627" t="n">
        <v>0</v>
      </c>
      <c r="Q627" t="n">
        <v>0</v>
      </c>
      <c r="R627" s="2" t="inlineStr"/>
    </row>
    <row r="628" ht="15" customHeight="1">
      <c r="A628" t="inlineStr">
        <is>
          <t>A 54440-2025</t>
        </is>
      </c>
      <c r="B628" s="1" t="n">
        <v>45965.50385416667</v>
      </c>
      <c r="C628" s="1" t="n">
        <v>45973</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1215-2024</t>
        </is>
      </c>
      <c r="B629" s="1" t="n">
        <v>45302</v>
      </c>
      <c r="C629" s="1" t="n">
        <v>45973</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54293-2025</t>
        </is>
      </c>
      <c r="B630" s="1" t="n">
        <v>45964.86651620371</v>
      </c>
      <c r="C630" s="1" t="n">
        <v>45973</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54295-2025</t>
        </is>
      </c>
      <c r="B631" s="1" t="n">
        <v>45964.87122685185</v>
      </c>
      <c r="C631" s="1" t="n">
        <v>45973</v>
      </c>
      <c r="D631" t="inlineStr">
        <is>
          <t>DALARNAS LÄN</t>
        </is>
      </c>
      <c r="E631" t="inlineStr">
        <is>
          <t>LEKSAND</t>
        </is>
      </c>
      <c r="G631" t="n">
        <v>1.2</v>
      </c>
      <c r="H631" t="n">
        <v>0</v>
      </c>
      <c r="I631" t="n">
        <v>0</v>
      </c>
      <c r="J631" t="n">
        <v>0</v>
      </c>
      <c r="K631" t="n">
        <v>0</v>
      </c>
      <c r="L631" t="n">
        <v>0</v>
      </c>
      <c r="M631" t="n">
        <v>0</v>
      </c>
      <c r="N631" t="n">
        <v>0</v>
      </c>
      <c r="O631" t="n">
        <v>0</v>
      </c>
      <c r="P631" t="n">
        <v>0</v>
      </c>
      <c r="Q631" t="n">
        <v>0</v>
      </c>
      <c r="R631" s="2" t="inlineStr"/>
    </row>
    <row r="632" ht="15" customHeight="1">
      <c r="A632" t="inlineStr">
        <is>
          <t>A 53464-2024</t>
        </is>
      </c>
      <c r="B632" s="1" t="n">
        <v>45611</v>
      </c>
      <c r="C632" s="1" t="n">
        <v>45973</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54752-2025</t>
        </is>
      </c>
      <c r="B633" s="1" t="n">
        <v>45966.5916087963</v>
      </c>
      <c r="C633" s="1" t="n">
        <v>45973</v>
      </c>
      <c r="D633" t="inlineStr">
        <is>
          <t>DALARNAS LÄN</t>
        </is>
      </c>
      <c r="E633" t="inlineStr">
        <is>
          <t>LEKSAND</t>
        </is>
      </c>
      <c r="G633" t="n">
        <v>0.3</v>
      </c>
      <c r="H633" t="n">
        <v>0</v>
      </c>
      <c r="I633" t="n">
        <v>0</v>
      </c>
      <c r="J633" t="n">
        <v>0</v>
      </c>
      <c r="K633" t="n">
        <v>0</v>
      </c>
      <c r="L633" t="n">
        <v>0</v>
      </c>
      <c r="M633" t="n">
        <v>0</v>
      </c>
      <c r="N633" t="n">
        <v>0</v>
      </c>
      <c r="O633" t="n">
        <v>0</v>
      </c>
      <c r="P633" t="n">
        <v>0</v>
      </c>
      <c r="Q633" t="n">
        <v>0</v>
      </c>
      <c r="R633" s="2" t="inlineStr"/>
    </row>
    <row r="634" ht="15" customHeight="1">
      <c r="A634" t="inlineStr">
        <is>
          <t>A 56330-2022</t>
        </is>
      </c>
      <c r="B634" s="1" t="n">
        <v>44890.62630787037</v>
      </c>
      <c r="C634" s="1" t="n">
        <v>45973</v>
      </c>
      <c r="D634" t="inlineStr">
        <is>
          <t>DALARNAS LÄN</t>
        </is>
      </c>
      <c r="E634" t="inlineStr">
        <is>
          <t>LEKSAND</t>
        </is>
      </c>
      <c r="G634" t="n">
        <v>4.9</v>
      </c>
      <c r="H634" t="n">
        <v>0</v>
      </c>
      <c r="I634" t="n">
        <v>0</v>
      </c>
      <c r="J634" t="n">
        <v>0</v>
      </c>
      <c r="K634" t="n">
        <v>0</v>
      </c>
      <c r="L634" t="n">
        <v>0</v>
      </c>
      <c r="M634" t="n">
        <v>0</v>
      </c>
      <c r="N634" t="n">
        <v>0</v>
      </c>
      <c r="O634" t="n">
        <v>0</v>
      </c>
      <c r="P634" t="n">
        <v>0</v>
      </c>
      <c r="Q634" t="n">
        <v>0</v>
      </c>
      <c r="R634" s="2" t="inlineStr"/>
    </row>
    <row r="635" ht="15" customHeight="1">
      <c r="A635" t="inlineStr">
        <is>
          <t>A 2140-2024</t>
        </is>
      </c>
      <c r="B635" s="1" t="n">
        <v>45309</v>
      </c>
      <c r="C635" s="1" t="n">
        <v>45973</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41306-2024</t>
        </is>
      </c>
      <c r="B636" s="1" t="n">
        <v>45559.62550925926</v>
      </c>
      <c r="C636" s="1" t="n">
        <v>45973</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36450-2023</t>
        </is>
      </c>
      <c r="B637" s="1" t="n">
        <v>45152.64842592592</v>
      </c>
      <c r="C637" s="1" t="n">
        <v>45973</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1458-2024</t>
        </is>
      </c>
      <c r="B638" s="1" t="n">
        <v>45303</v>
      </c>
      <c r="C638" s="1" t="n">
        <v>45973</v>
      </c>
      <c r="D638" t="inlineStr">
        <is>
          <t>DALARNAS LÄN</t>
        </is>
      </c>
      <c r="E638" t="inlineStr">
        <is>
          <t>LEKSAND</t>
        </is>
      </c>
      <c r="G638" t="n">
        <v>2</v>
      </c>
      <c r="H638" t="n">
        <v>0</v>
      </c>
      <c r="I638" t="n">
        <v>0</v>
      </c>
      <c r="J638" t="n">
        <v>0</v>
      </c>
      <c r="K638" t="n">
        <v>0</v>
      </c>
      <c r="L638" t="n">
        <v>0</v>
      </c>
      <c r="M638" t="n">
        <v>0</v>
      </c>
      <c r="N638" t="n">
        <v>0</v>
      </c>
      <c r="O638" t="n">
        <v>0</v>
      </c>
      <c r="P638" t="n">
        <v>0</v>
      </c>
      <c r="Q638" t="n">
        <v>0</v>
      </c>
      <c r="R638" s="2" t="inlineStr"/>
    </row>
    <row r="639" ht="15" customHeight="1">
      <c r="A639" t="inlineStr">
        <is>
          <t>A 1461-2024</t>
        </is>
      </c>
      <c r="B639" s="1" t="n">
        <v>45303</v>
      </c>
      <c r="C639" s="1" t="n">
        <v>45973</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2694-2025</t>
        </is>
      </c>
      <c r="B640" s="1" t="n">
        <v>45677.38246527778</v>
      </c>
      <c r="C640" s="1" t="n">
        <v>45973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3737-2023</t>
        </is>
      </c>
      <c r="B641" s="1" t="n">
        <v>44951.42983796296</v>
      </c>
      <c r="C641" s="1" t="n">
        <v>45973</v>
      </c>
      <c r="D641" t="inlineStr">
        <is>
          <t>DALARNAS LÄN</t>
        </is>
      </c>
      <c r="E641" t="inlineStr">
        <is>
          <t>LEKSAND</t>
        </is>
      </c>
      <c r="G641" t="n">
        <v>3.1</v>
      </c>
      <c r="H641" t="n">
        <v>0</v>
      </c>
      <c r="I641" t="n">
        <v>0</v>
      </c>
      <c r="J641" t="n">
        <v>0</v>
      </c>
      <c r="K641" t="n">
        <v>0</v>
      </c>
      <c r="L641" t="n">
        <v>0</v>
      </c>
      <c r="M641" t="n">
        <v>0</v>
      </c>
      <c r="N641" t="n">
        <v>0</v>
      </c>
      <c r="O641" t="n">
        <v>0</v>
      </c>
      <c r="P641" t="n">
        <v>0</v>
      </c>
      <c r="Q641" t="n">
        <v>0</v>
      </c>
      <c r="R641" s="2" t="inlineStr"/>
    </row>
    <row r="642" ht="15" customHeight="1">
      <c r="A642" t="inlineStr">
        <is>
          <t>A 18176-2024</t>
        </is>
      </c>
      <c r="B642" s="1" t="n">
        <v>45420.63901620371</v>
      </c>
      <c r="C642" s="1" t="n">
        <v>45973</v>
      </c>
      <c r="D642" t="inlineStr">
        <is>
          <t>DALARNAS LÄN</t>
        </is>
      </c>
      <c r="E642" t="inlineStr">
        <is>
          <t>LEKSAND</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55268-2024</t>
        </is>
      </c>
      <c r="B643" s="1" t="n">
        <v>45621.61266203703</v>
      </c>
      <c r="C643" s="1" t="n">
        <v>45973</v>
      </c>
      <c r="D643" t="inlineStr">
        <is>
          <t>DALARNAS LÄN</t>
        </is>
      </c>
      <c r="E643" t="inlineStr">
        <is>
          <t>LEKSAND</t>
        </is>
      </c>
      <c r="G643" t="n">
        <v>4.2</v>
      </c>
      <c r="H643" t="n">
        <v>0</v>
      </c>
      <c r="I643" t="n">
        <v>0</v>
      </c>
      <c r="J643" t="n">
        <v>0</v>
      </c>
      <c r="K643" t="n">
        <v>0</v>
      </c>
      <c r="L643" t="n">
        <v>0</v>
      </c>
      <c r="M643" t="n">
        <v>0</v>
      </c>
      <c r="N643" t="n">
        <v>0</v>
      </c>
      <c r="O643" t="n">
        <v>0</v>
      </c>
      <c r="P643" t="n">
        <v>0</v>
      </c>
      <c r="Q643" t="n">
        <v>0</v>
      </c>
      <c r="R643" s="2" t="inlineStr"/>
    </row>
    <row r="644" ht="15" customHeight="1">
      <c r="A644" t="inlineStr">
        <is>
          <t>A 62130-2024</t>
        </is>
      </c>
      <c r="B644" s="1" t="n">
        <v>45656.61827546296</v>
      </c>
      <c r="C644" s="1" t="n">
        <v>45973</v>
      </c>
      <c r="D644" t="inlineStr">
        <is>
          <t>DALARNAS LÄN</t>
        </is>
      </c>
      <c r="E644" t="inlineStr">
        <is>
          <t>LEKSAND</t>
        </is>
      </c>
      <c r="G644" t="n">
        <v>11.4</v>
      </c>
      <c r="H644" t="n">
        <v>0</v>
      </c>
      <c r="I644" t="n">
        <v>0</v>
      </c>
      <c r="J644" t="n">
        <v>0</v>
      </c>
      <c r="K644" t="n">
        <v>0</v>
      </c>
      <c r="L644" t="n">
        <v>0</v>
      </c>
      <c r="M644" t="n">
        <v>0</v>
      </c>
      <c r="N644" t="n">
        <v>0</v>
      </c>
      <c r="O644" t="n">
        <v>0</v>
      </c>
      <c r="P644" t="n">
        <v>0</v>
      </c>
      <c r="Q644" t="n">
        <v>0</v>
      </c>
      <c r="R644" s="2" t="inlineStr"/>
    </row>
    <row r="645" ht="15" customHeight="1">
      <c r="A645" t="inlineStr">
        <is>
          <t>A 11678-2023</t>
        </is>
      </c>
      <c r="B645" s="1" t="n">
        <v>44994</v>
      </c>
      <c r="C645" s="1" t="n">
        <v>45973</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30998-2023</t>
        </is>
      </c>
      <c r="B646" s="1" t="n">
        <v>45113.54193287037</v>
      </c>
      <c r="C646" s="1" t="n">
        <v>45973</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46405-2025</t>
        </is>
      </c>
      <c r="B647" s="1" t="n">
        <v>45925.56306712963</v>
      </c>
      <c r="C647" s="1" t="n">
        <v>45973</v>
      </c>
      <c r="D647" t="inlineStr">
        <is>
          <t>DALARNAS LÄN</t>
        </is>
      </c>
      <c r="E647" t="inlineStr">
        <is>
          <t>LEKSAND</t>
        </is>
      </c>
      <c r="G647" t="n">
        <v>5.7</v>
      </c>
      <c r="H647" t="n">
        <v>0</v>
      </c>
      <c r="I647" t="n">
        <v>0</v>
      </c>
      <c r="J647" t="n">
        <v>0</v>
      </c>
      <c r="K647" t="n">
        <v>0</v>
      </c>
      <c r="L647" t="n">
        <v>0</v>
      </c>
      <c r="M647" t="n">
        <v>0</v>
      </c>
      <c r="N647" t="n">
        <v>0</v>
      </c>
      <c r="O647" t="n">
        <v>0</v>
      </c>
      <c r="P647" t="n">
        <v>0</v>
      </c>
      <c r="Q647" t="n">
        <v>0</v>
      </c>
      <c r="R647" s="2" t="inlineStr"/>
    </row>
    <row r="648" ht="15" customHeight="1">
      <c r="A648" t="inlineStr">
        <is>
          <t>A 13288-2023</t>
        </is>
      </c>
      <c r="B648" s="1" t="n">
        <v>45004.8160300926</v>
      </c>
      <c r="C648" s="1" t="n">
        <v>45973</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6519-2025</t>
        </is>
      </c>
      <c r="B649" s="1" t="n">
        <v>45699</v>
      </c>
      <c r="C649" s="1" t="n">
        <v>45973</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28483-2025</t>
        </is>
      </c>
      <c r="B650" s="1" t="n">
        <v>45818</v>
      </c>
      <c r="C650" s="1" t="n">
        <v>45973</v>
      </c>
      <c r="D650" t="inlineStr">
        <is>
          <t>DALARNAS LÄN</t>
        </is>
      </c>
      <c r="E650" t="inlineStr">
        <is>
          <t>LEKSAND</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46483-2025</t>
        </is>
      </c>
      <c r="B651" s="1" t="n">
        <v>45925.70248842592</v>
      </c>
      <c r="C651" s="1" t="n">
        <v>45973</v>
      </c>
      <c r="D651" t="inlineStr">
        <is>
          <t>DALARNAS LÄN</t>
        </is>
      </c>
      <c r="E651" t="inlineStr">
        <is>
          <t>LEKSAND</t>
        </is>
      </c>
      <c r="G651" t="n">
        <v>3.6</v>
      </c>
      <c r="H651" t="n">
        <v>0</v>
      </c>
      <c r="I651" t="n">
        <v>0</v>
      </c>
      <c r="J651" t="n">
        <v>0</v>
      </c>
      <c r="K651" t="n">
        <v>0</v>
      </c>
      <c r="L651" t="n">
        <v>0</v>
      </c>
      <c r="M651" t="n">
        <v>0</v>
      </c>
      <c r="N651" t="n">
        <v>0</v>
      </c>
      <c r="O651" t="n">
        <v>0</v>
      </c>
      <c r="P651" t="n">
        <v>0</v>
      </c>
      <c r="Q651" t="n">
        <v>0</v>
      </c>
      <c r="R651" s="2" t="inlineStr"/>
    </row>
    <row r="652" ht="15" customHeight="1">
      <c r="A652" t="inlineStr">
        <is>
          <t>A 9143-2023</t>
        </is>
      </c>
      <c r="B652" s="1" t="n">
        <v>44974</v>
      </c>
      <c r="C652" s="1" t="n">
        <v>45973</v>
      </c>
      <c r="D652" t="inlineStr">
        <is>
          <t>DALARNAS LÄN</t>
        </is>
      </c>
      <c r="E652" t="inlineStr">
        <is>
          <t>LEKSAND</t>
        </is>
      </c>
      <c r="G652" t="n">
        <v>4.3</v>
      </c>
      <c r="H652" t="n">
        <v>0</v>
      </c>
      <c r="I652" t="n">
        <v>0</v>
      </c>
      <c r="J652" t="n">
        <v>0</v>
      </c>
      <c r="K652" t="n">
        <v>0</v>
      </c>
      <c r="L652" t="n">
        <v>0</v>
      </c>
      <c r="M652" t="n">
        <v>0</v>
      </c>
      <c r="N652" t="n">
        <v>0</v>
      </c>
      <c r="O652" t="n">
        <v>0</v>
      </c>
      <c r="P652" t="n">
        <v>0</v>
      </c>
      <c r="Q652" t="n">
        <v>0</v>
      </c>
      <c r="R652" s="2" t="inlineStr"/>
    </row>
    <row r="653" ht="15" customHeight="1">
      <c r="A653" t="inlineStr">
        <is>
          <t>A 11869-2024</t>
        </is>
      </c>
      <c r="B653" s="1" t="n">
        <v>45376.45800925926</v>
      </c>
      <c r="C653" s="1" t="n">
        <v>45973</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27520-2023</t>
        </is>
      </c>
      <c r="B654" s="1" t="n">
        <v>45097</v>
      </c>
      <c r="C654" s="1" t="n">
        <v>45973</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30169-2023</t>
        </is>
      </c>
      <c r="B655" s="1" t="n">
        <v>45110</v>
      </c>
      <c r="C655" s="1" t="n">
        <v>45973</v>
      </c>
      <c r="D655" t="inlineStr">
        <is>
          <t>DALARNAS LÄN</t>
        </is>
      </c>
      <c r="E655" t="inlineStr">
        <is>
          <t>LEKSAND</t>
        </is>
      </c>
      <c r="G655" t="n">
        <v>1.1</v>
      </c>
      <c r="H655" t="n">
        <v>0</v>
      </c>
      <c r="I655" t="n">
        <v>0</v>
      </c>
      <c r="J655" t="n">
        <v>0</v>
      </c>
      <c r="K655" t="n">
        <v>0</v>
      </c>
      <c r="L655" t="n">
        <v>0</v>
      </c>
      <c r="M655" t="n">
        <v>0</v>
      </c>
      <c r="N655" t="n">
        <v>0</v>
      </c>
      <c r="O655" t="n">
        <v>0</v>
      </c>
      <c r="P655" t="n">
        <v>0</v>
      </c>
      <c r="Q655" t="n">
        <v>0</v>
      </c>
      <c r="R655" s="2" t="inlineStr"/>
    </row>
    <row r="656" ht="15" customHeight="1">
      <c r="A656" t="inlineStr">
        <is>
          <t>A 37952-2024</t>
        </is>
      </c>
      <c r="B656" s="1" t="n">
        <v>45544.5200462963</v>
      </c>
      <c r="C656" s="1" t="n">
        <v>45973</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36262-2023</t>
        </is>
      </c>
      <c r="B657" s="1" t="n">
        <v>45151.9096875</v>
      </c>
      <c r="C657" s="1" t="n">
        <v>45973</v>
      </c>
      <c r="D657" t="inlineStr">
        <is>
          <t>DALARNAS LÄN</t>
        </is>
      </c>
      <c r="E657" t="inlineStr">
        <is>
          <t>LEKSAND</t>
        </is>
      </c>
      <c r="G657" t="n">
        <v>1.2</v>
      </c>
      <c r="H657" t="n">
        <v>0</v>
      </c>
      <c r="I657" t="n">
        <v>0</v>
      </c>
      <c r="J657" t="n">
        <v>0</v>
      </c>
      <c r="K657" t="n">
        <v>0</v>
      </c>
      <c r="L657" t="n">
        <v>0</v>
      </c>
      <c r="M657" t="n">
        <v>0</v>
      </c>
      <c r="N657" t="n">
        <v>0</v>
      </c>
      <c r="O657" t="n">
        <v>0</v>
      </c>
      <c r="P657" t="n">
        <v>0</v>
      </c>
      <c r="Q657" t="n">
        <v>0</v>
      </c>
      <c r="R657" s="2" t="inlineStr"/>
    </row>
    <row r="658" ht="15" customHeight="1">
      <c r="A658" t="inlineStr">
        <is>
          <t>A 60095-2022</t>
        </is>
      </c>
      <c r="B658" s="1" t="n">
        <v>44909</v>
      </c>
      <c r="C658" s="1" t="n">
        <v>45973</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38117-2023</t>
        </is>
      </c>
      <c r="B659" s="1" t="n">
        <v>45161</v>
      </c>
      <c r="C659" s="1" t="n">
        <v>45973</v>
      </c>
      <c r="D659" t="inlineStr">
        <is>
          <t>DALARNAS LÄN</t>
        </is>
      </c>
      <c r="E659" t="inlineStr">
        <is>
          <t>LEKSAND</t>
        </is>
      </c>
      <c r="G659" t="n">
        <v>1.5</v>
      </c>
      <c r="H659" t="n">
        <v>0</v>
      </c>
      <c r="I659" t="n">
        <v>0</v>
      </c>
      <c r="J659" t="n">
        <v>0</v>
      </c>
      <c r="K659" t="n">
        <v>0</v>
      </c>
      <c r="L659" t="n">
        <v>0</v>
      </c>
      <c r="M659" t="n">
        <v>0</v>
      </c>
      <c r="N659" t="n">
        <v>0</v>
      </c>
      <c r="O659" t="n">
        <v>0</v>
      </c>
      <c r="P659" t="n">
        <v>0</v>
      </c>
      <c r="Q659" t="n">
        <v>0</v>
      </c>
      <c r="R659" s="2" t="inlineStr"/>
    </row>
    <row r="660" ht="15" customHeight="1">
      <c r="A660" t="inlineStr">
        <is>
          <t>A 11418-2023</t>
        </is>
      </c>
      <c r="B660" s="1" t="n">
        <v>44993</v>
      </c>
      <c r="C660" s="1" t="n">
        <v>45973</v>
      </c>
      <c r="D660" t="inlineStr">
        <is>
          <t>DALARNAS LÄN</t>
        </is>
      </c>
      <c r="E660" t="inlineStr">
        <is>
          <t>LEKSAND</t>
        </is>
      </c>
      <c r="G660" t="n">
        <v>2.7</v>
      </c>
      <c r="H660" t="n">
        <v>0</v>
      </c>
      <c r="I660" t="n">
        <v>0</v>
      </c>
      <c r="J660" t="n">
        <v>0</v>
      </c>
      <c r="K660" t="n">
        <v>0</v>
      </c>
      <c r="L660" t="n">
        <v>0</v>
      </c>
      <c r="M660" t="n">
        <v>0</v>
      </c>
      <c r="N660" t="n">
        <v>0</v>
      </c>
      <c r="O660" t="n">
        <v>0</v>
      </c>
      <c r="P660" t="n">
        <v>0</v>
      </c>
      <c r="Q660" t="n">
        <v>0</v>
      </c>
      <c r="R660" s="2" t="inlineStr"/>
    </row>
    <row r="661" ht="15" customHeight="1">
      <c r="A661" t="inlineStr">
        <is>
          <t>A 54677-2025</t>
        </is>
      </c>
      <c r="B661" s="1" t="n">
        <v>45966</v>
      </c>
      <c r="C661" s="1" t="n">
        <v>45973</v>
      </c>
      <c r="D661" t="inlineStr">
        <is>
          <t>DALARNAS LÄN</t>
        </is>
      </c>
      <c r="E661" t="inlineStr">
        <is>
          <t>LEKSAND</t>
        </is>
      </c>
      <c r="G661" t="n">
        <v>0.5</v>
      </c>
      <c r="H661" t="n">
        <v>0</v>
      </c>
      <c r="I661" t="n">
        <v>0</v>
      </c>
      <c r="J661" t="n">
        <v>0</v>
      </c>
      <c r="K661" t="n">
        <v>0</v>
      </c>
      <c r="L661" t="n">
        <v>0</v>
      </c>
      <c r="M661" t="n">
        <v>0</v>
      </c>
      <c r="N661" t="n">
        <v>0</v>
      </c>
      <c r="O661" t="n">
        <v>0</v>
      </c>
      <c r="P661" t="n">
        <v>0</v>
      </c>
      <c r="Q661" t="n">
        <v>0</v>
      </c>
      <c r="R661" s="2" t="inlineStr"/>
    </row>
    <row r="662" ht="15" customHeight="1">
      <c r="A662" t="inlineStr">
        <is>
          <t>A 39558-2023</t>
        </is>
      </c>
      <c r="B662" s="1" t="n">
        <v>45167.38664351852</v>
      </c>
      <c r="C662" s="1" t="n">
        <v>45973</v>
      </c>
      <c r="D662" t="inlineStr">
        <is>
          <t>DALARNAS LÄN</t>
        </is>
      </c>
      <c r="E662" t="inlineStr">
        <is>
          <t>LEKSAND</t>
        </is>
      </c>
      <c r="G662" t="n">
        <v>39.9</v>
      </c>
      <c r="H662" t="n">
        <v>0</v>
      </c>
      <c r="I662" t="n">
        <v>0</v>
      </c>
      <c r="J662" t="n">
        <v>0</v>
      </c>
      <c r="K662" t="n">
        <v>0</v>
      </c>
      <c r="L662" t="n">
        <v>0</v>
      </c>
      <c r="M662" t="n">
        <v>0</v>
      </c>
      <c r="N662" t="n">
        <v>0</v>
      </c>
      <c r="O662" t="n">
        <v>0</v>
      </c>
      <c r="P662" t="n">
        <v>0</v>
      </c>
      <c r="Q662" t="n">
        <v>0</v>
      </c>
      <c r="R662" s="2" t="inlineStr"/>
    </row>
    <row r="663" ht="15" customHeight="1">
      <c r="A663" t="inlineStr">
        <is>
          <t>A 43222-2024</t>
        </is>
      </c>
      <c r="B663" s="1" t="n">
        <v>45567.87177083334</v>
      </c>
      <c r="C663" s="1" t="n">
        <v>45973</v>
      </c>
      <c r="D663" t="inlineStr">
        <is>
          <t>DALARNAS LÄN</t>
        </is>
      </c>
      <c r="E663" t="inlineStr">
        <is>
          <t>LEKSAND</t>
        </is>
      </c>
      <c r="F663" t="inlineStr">
        <is>
          <t>Bergvik skog väst AB</t>
        </is>
      </c>
      <c r="G663" t="n">
        <v>8.6</v>
      </c>
      <c r="H663" t="n">
        <v>0</v>
      </c>
      <c r="I663" t="n">
        <v>0</v>
      </c>
      <c r="J663" t="n">
        <v>0</v>
      </c>
      <c r="K663" t="n">
        <v>0</v>
      </c>
      <c r="L663" t="n">
        <v>0</v>
      </c>
      <c r="M663" t="n">
        <v>0</v>
      </c>
      <c r="N663" t="n">
        <v>0</v>
      </c>
      <c r="O663" t="n">
        <v>0</v>
      </c>
      <c r="P663" t="n">
        <v>0</v>
      </c>
      <c r="Q663" t="n">
        <v>0</v>
      </c>
      <c r="R663" s="2" t="inlineStr"/>
    </row>
    <row r="664" ht="15" customHeight="1">
      <c r="A664" t="inlineStr">
        <is>
          <t>A 43231-2024</t>
        </is>
      </c>
      <c r="B664" s="1" t="n">
        <v>45567.89709490741</v>
      </c>
      <c r="C664" s="1" t="n">
        <v>45973</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53122-2023</t>
        </is>
      </c>
      <c r="B665" s="1" t="n">
        <v>45228</v>
      </c>
      <c r="C665" s="1" t="n">
        <v>45973</v>
      </c>
      <c r="D665" t="inlineStr">
        <is>
          <t>DALARNAS LÄN</t>
        </is>
      </c>
      <c r="E665" t="inlineStr">
        <is>
          <t>LEKSAND</t>
        </is>
      </c>
      <c r="G665" t="n">
        <v>1.9</v>
      </c>
      <c r="H665" t="n">
        <v>0</v>
      </c>
      <c r="I665" t="n">
        <v>0</v>
      </c>
      <c r="J665" t="n">
        <v>0</v>
      </c>
      <c r="K665" t="n">
        <v>0</v>
      </c>
      <c r="L665" t="n">
        <v>0</v>
      </c>
      <c r="M665" t="n">
        <v>0</v>
      </c>
      <c r="N665" t="n">
        <v>0</v>
      </c>
      <c r="O665" t="n">
        <v>0</v>
      </c>
      <c r="P665" t="n">
        <v>0</v>
      </c>
      <c r="Q665" t="n">
        <v>0</v>
      </c>
      <c r="R665" s="2" t="inlineStr"/>
    </row>
    <row r="666" ht="15" customHeight="1">
      <c r="A666" t="inlineStr">
        <is>
          <t>A 28505-2025</t>
        </is>
      </c>
      <c r="B666" s="1" t="n">
        <v>45818</v>
      </c>
      <c r="C666" s="1" t="n">
        <v>45973</v>
      </c>
      <c r="D666" t="inlineStr">
        <is>
          <t>DALARNAS LÄN</t>
        </is>
      </c>
      <c r="E666" t="inlineStr">
        <is>
          <t>LEKSAND</t>
        </is>
      </c>
      <c r="G666" t="n">
        <v>0.8</v>
      </c>
      <c r="H666" t="n">
        <v>0</v>
      </c>
      <c r="I666" t="n">
        <v>0</v>
      </c>
      <c r="J666" t="n">
        <v>0</v>
      </c>
      <c r="K666" t="n">
        <v>0</v>
      </c>
      <c r="L666" t="n">
        <v>0</v>
      </c>
      <c r="M666" t="n">
        <v>0</v>
      </c>
      <c r="N666" t="n">
        <v>0</v>
      </c>
      <c r="O666" t="n">
        <v>0</v>
      </c>
      <c r="P666" t="n">
        <v>0</v>
      </c>
      <c r="Q666" t="n">
        <v>0</v>
      </c>
      <c r="R666" s="2" t="inlineStr"/>
    </row>
    <row r="667" ht="15" customHeight="1">
      <c r="A667" t="inlineStr">
        <is>
          <t>A 64516-2023</t>
        </is>
      </c>
      <c r="B667" s="1" t="n">
        <v>45280</v>
      </c>
      <c r="C667" s="1" t="n">
        <v>45973</v>
      </c>
      <c r="D667" t="inlineStr">
        <is>
          <t>DALARNAS LÄN</t>
        </is>
      </c>
      <c r="E667" t="inlineStr">
        <is>
          <t>LEKSAND</t>
        </is>
      </c>
      <c r="G667" t="n">
        <v>4.4</v>
      </c>
      <c r="H667" t="n">
        <v>0</v>
      </c>
      <c r="I667" t="n">
        <v>0</v>
      </c>
      <c r="J667" t="n">
        <v>0</v>
      </c>
      <c r="K667" t="n">
        <v>0</v>
      </c>
      <c r="L667" t="n">
        <v>0</v>
      </c>
      <c r="M667" t="n">
        <v>0</v>
      </c>
      <c r="N667" t="n">
        <v>0</v>
      </c>
      <c r="O667" t="n">
        <v>0</v>
      </c>
      <c r="P667" t="n">
        <v>0</v>
      </c>
      <c r="Q667" t="n">
        <v>0</v>
      </c>
      <c r="R667" s="2" t="inlineStr"/>
    </row>
    <row r="668" ht="15" customHeight="1">
      <c r="A668" t="inlineStr">
        <is>
          <t>A 46978-2025</t>
        </is>
      </c>
      <c r="B668" s="1" t="n">
        <v>45929.51811342593</v>
      </c>
      <c r="C668" s="1" t="n">
        <v>45973</v>
      </c>
      <c r="D668" t="inlineStr">
        <is>
          <t>DALARNAS LÄN</t>
        </is>
      </c>
      <c r="E668" t="inlineStr">
        <is>
          <t>LEKSAND</t>
        </is>
      </c>
      <c r="G668" t="n">
        <v>2</v>
      </c>
      <c r="H668" t="n">
        <v>0</v>
      </c>
      <c r="I668" t="n">
        <v>0</v>
      </c>
      <c r="J668" t="n">
        <v>0</v>
      </c>
      <c r="K668" t="n">
        <v>0</v>
      </c>
      <c r="L668" t="n">
        <v>0</v>
      </c>
      <c r="M668" t="n">
        <v>0</v>
      </c>
      <c r="N668" t="n">
        <v>0</v>
      </c>
      <c r="O668" t="n">
        <v>0</v>
      </c>
      <c r="P668" t="n">
        <v>0</v>
      </c>
      <c r="Q668" t="n">
        <v>0</v>
      </c>
      <c r="R668" s="2" t="inlineStr"/>
    </row>
    <row r="669" ht="15" customHeight="1">
      <c r="A669" t="inlineStr">
        <is>
          <t>A 28499-2025</t>
        </is>
      </c>
      <c r="B669" s="1" t="n">
        <v>45818</v>
      </c>
      <c r="C669" s="1" t="n">
        <v>45973</v>
      </c>
      <c r="D669" t="inlineStr">
        <is>
          <t>DALARNAS LÄN</t>
        </is>
      </c>
      <c r="E669" t="inlineStr">
        <is>
          <t>LEKSAND</t>
        </is>
      </c>
      <c r="G669" t="n">
        <v>0.7</v>
      </c>
      <c r="H669" t="n">
        <v>0</v>
      </c>
      <c r="I669" t="n">
        <v>0</v>
      </c>
      <c r="J669" t="n">
        <v>0</v>
      </c>
      <c r="K669" t="n">
        <v>0</v>
      </c>
      <c r="L669" t="n">
        <v>0</v>
      </c>
      <c r="M669" t="n">
        <v>0</v>
      </c>
      <c r="N669" t="n">
        <v>0</v>
      </c>
      <c r="O669" t="n">
        <v>0</v>
      </c>
      <c r="P669" t="n">
        <v>0</v>
      </c>
      <c r="Q669" t="n">
        <v>0</v>
      </c>
      <c r="R669" s="2" t="inlineStr"/>
    </row>
    <row r="670" ht="15" customHeight="1">
      <c r="A670" t="inlineStr">
        <is>
          <t>A 27984-2025</t>
        </is>
      </c>
      <c r="B670" s="1" t="n">
        <v>45817.57710648148</v>
      </c>
      <c r="C670" s="1" t="n">
        <v>45973</v>
      </c>
      <c r="D670" t="inlineStr">
        <is>
          <t>DALARNAS LÄN</t>
        </is>
      </c>
      <c r="E670" t="inlineStr">
        <is>
          <t>LEKSAND</t>
        </is>
      </c>
      <c r="G670" t="n">
        <v>0.7</v>
      </c>
      <c r="H670" t="n">
        <v>0</v>
      </c>
      <c r="I670" t="n">
        <v>0</v>
      </c>
      <c r="J670" t="n">
        <v>0</v>
      </c>
      <c r="K670" t="n">
        <v>0</v>
      </c>
      <c r="L670" t="n">
        <v>0</v>
      </c>
      <c r="M670" t="n">
        <v>0</v>
      </c>
      <c r="N670" t="n">
        <v>0</v>
      </c>
      <c r="O670" t="n">
        <v>0</v>
      </c>
      <c r="P670" t="n">
        <v>0</v>
      </c>
      <c r="Q670" t="n">
        <v>0</v>
      </c>
      <c r="R670" s="2" t="inlineStr"/>
    </row>
    <row r="671" ht="15" customHeight="1">
      <c r="A671" t="inlineStr">
        <is>
          <t>A 55784-2025</t>
        </is>
      </c>
      <c r="B671" s="1" t="n">
        <v>45972.63765046297</v>
      </c>
      <c r="C671" s="1" t="n">
        <v>45973</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53799-2023</t>
        </is>
      </c>
      <c r="B672" s="1" t="n">
        <v>45231.35564814815</v>
      </c>
      <c r="C672" s="1" t="n">
        <v>45973</v>
      </c>
      <c r="D672" t="inlineStr">
        <is>
          <t>DALARNAS LÄN</t>
        </is>
      </c>
      <c r="E672" t="inlineStr">
        <is>
          <t>LEKSAND</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40193-2024</t>
        </is>
      </c>
      <c r="B673" s="1" t="n">
        <v>45554.5734375</v>
      </c>
      <c r="C673" s="1" t="n">
        <v>45973</v>
      </c>
      <c r="D673" t="inlineStr">
        <is>
          <t>DALARNAS LÄN</t>
        </is>
      </c>
      <c r="E673" t="inlineStr">
        <is>
          <t>LEKSAND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28488-2025</t>
        </is>
      </c>
      <c r="B674" s="1" t="n">
        <v>45818</v>
      </c>
      <c r="C674" s="1" t="n">
        <v>45973</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31728-2024</t>
        </is>
      </c>
      <c r="B675" s="1" t="n">
        <v>45509.34517361111</v>
      </c>
      <c r="C675" s="1" t="n">
        <v>45973</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32394-2024</t>
        </is>
      </c>
      <c r="B676" s="1" t="n">
        <v>45512.64349537037</v>
      </c>
      <c r="C676" s="1" t="n">
        <v>45973</v>
      </c>
      <c r="D676" t="inlineStr">
        <is>
          <t>DALARNAS LÄN</t>
        </is>
      </c>
      <c r="E676" t="inlineStr">
        <is>
          <t>LEKSAND</t>
        </is>
      </c>
      <c r="F676" t="inlineStr">
        <is>
          <t>Bergvik skog väst AB</t>
        </is>
      </c>
      <c r="G676" t="n">
        <v>6</v>
      </c>
      <c r="H676" t="n">
        <v>0</v>
      </c>
      <c r="I676" t="n">
        <v>0</v>
      </c>
      <c r="J676" t="n">
        <v>0</v>
      </c>
      <c r="K676" t="n">
        <v>0</v>
      </c>
      <c r="L676" t="n">
        <v>0</v>
      </c>
      <c r="M676" t="n">
        <v>0</v>
      </c>
      <c r="N676" t="n">
        <v>0</v>
      </c>
      <c r="O676" t="n">
        <v>0</v>
      </c>
      <c r="P676" t="n">
        <v>0</v>
      </c>
      <c r="Q676" t="n">
        <v>0</v>
      </c>
      <c r="R676" s="2" t="inlineStr"/>
    </row>
    <row r="677" ht="15" customHeight="1">
      <c r="A677" t="inlineStr">
        <is>
          <t>A 43221-2024</t>
        </is>
      </c>
      <c r="B677" s="1" t="n">
        <v>45567.86695601852</v>
      </c>
      <c r="C677" s="1" t="n">
        <v>45973</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55493-2025</t>
        </is>
      </c>
      <c r="B678" s="1" t="n">
        <v>45971.57913194445</v>
      </c>
      <c r="C678" s="1" t="n">
        <v>45973</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21839-2022</t>
        </is>
      </c>
      <c r="B679" s="1" t="n">
        <v>44711</v>
      </c>
      <c r="C679" s="1" t="n">
        <v>45973</v>
      </c>
      <c r="D679" t="inlineStr">
        <is>
          <t>DALARNAS LÄN</t>
        </is>
      </c>
      <c r="E679" t="inlineStr">
        <is>
          <t>LEKSAND</t>
        </is>
      </c>
      <c r="F679" t="inlineStr">
        <is>
          <t>Bergvik skog väst AB</t>
        </is>
      </c>
      <c r="G679" t="n">
        <v>3</v>
      </c>
      <c r="H679" t="n">
        <v>0</v>
      </c>
      <c r="I679" t="n">
        <v>0</v>
      </c>
      <c r="J679" t="n">
        <v>0</v>
      </c>
      <c r="K679" t="n">
        <v>0</v>
      </c>
      <c r="L679" t="n">
        <v>0</v>
      </c>
      <c r="M679" t="n">
        <v>0</v>
      </c>
      <c r="N679" t="n">
        <v>0</v>
      </c>
      <c r="O679" t="n">
        <v>0</v>
      </c>
      <c r="P679" t="n">
        <v>0</v>
      </c>
      <c r="Q679" t="n">
        <v>0</v>
      </c>
      <c r="R679" s="2" t="inlineStr"/>
    </row>
    <row r="680" ht="15" customHeight="1">
      <c r="A680" t="inlineStr">
        <is>
          <t>A 22388-2024</t>
        </is>
      </c>
      <c r="B680" s="1" t="n">
        <v>45446</v>
      </c>
      <c r="C680" s="1" t="n">
        <v>45973</v>
      </c>
      <c r="D680" t="inlineStr">
        <is>
          <t>DALARNAS LÄN</t>
        </is>
      </c>
      <c r="E680" t="inlineStr">
        <is>
          <t>LEKSAND</t>
        </is>
      </c>
      <c r="F680" t="inlineStr">
        <is>
          <t>Bergvik skog väst AB</t>
        </is>
      </c>
      <c r="G680" t="n">
        <v>5.3</v>
      </c>
      <c r="H680" t="n">
        <v>0</v>
      </c>
      <c r="I680" t="n">
        <v>0</v>
      </c>
      <c r="J680" t="n">
        <v>0</v>
      </c>
      <c r="K680" t="n">
        <v>0</v>
      </c>
      <c r="L680" t="n">
        <v>0</v>
      </c>
      <c r="M680" t="n">
        <v>0</v>
      </c>
      <c r="N680" t="n">
        <v>0</v>
      </c>
      <c r="O680" t="n">
        <v>0</v>
      </c>
      <c r="P680" t="n">
        <v>0</v>
      </c>
      <c r="Q680" t="n">
        <v>0</v>
      </c>
      <c r="R680" s="2" t="inlineStr"/>
    </row>
    <row r="681" ht="15" customHeight="1">
      <c r="A681" t="inlineStr">
        <is>
          <t>A 47068-2025</t>
        </is>
      </c>
      <c r="B681" s="1" t="n">
        <v>45929.63511574074</v>
      </c>
      <c r="C681" s="1" t="n">
        <v>45973</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46949-2025</t>
        </is>
      </c>
      <c r="B682" s="1" t="n">
        <v>45929.46811342592</v>
      </c>
      <c r="C682" s="1" t="n">
        <v>45973</v>
      </c>
      <c r="D682" t="inlineStr">
        <is>
          <t>DALARNAS LÄN</t>
        </is>
      </c>
      <c r="E682" t="inlineStr">
        <is>
          <t>LEKSAND</t>
        </is>
      </c>
      <c r="G682" t="n">
        <v>5</v>
      </c>
      <c r="H682" t="n">
        <v>0</v>
      </c>
      <c r="I682" t="n">
        <v>0</v>
      </c>
      <c r="J682" t="n">
        <v>0</v>
      </c>
      <c r="K682" t="n">
        <v>0</v>
      </c>
      <c r="L682" t="n">
        <v>0</v>
      </c>
      <c r="M682" t="n">
        <v>0</v>
      </c>
      <c r="N682" t="n">
        <v>0</v>
      </c>
      <c r="O682" t="n">
        <v>0</v>
      </c>
      <c r="P682" t="n">
        <v>0</v>
      </c>
      <c r="Q682" t="n">
        <v>0</v>
      </c>
      <c r="R682" s="2" t="inlineStr"/>
    </row>
    <row r="683" ht="15" customHeight="1">
      <c r="A683" t="inlineStr">
        <is>
          <t>A 28770-2025</t>
        </is>
      </c>
      <c r="B683" s="1" t="n">
        <v>45820</v>
      </c>
      <c r="C683" s="1" t="n">
        <v>45973</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15120-2023</t>
        </is>
      </c>
      <c r="B684" s="1" t="n">
        <v>45016.46484953703</v>
      </c>
      <c r="C684" s="1" t="n">
        <v>45973</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28458-2025</t>
        </is>
      </c>
      <c r="B685" s="1" t="n">
        <v>45819.413125</v>
      </c>
      <c r="C685" s="1" t="n">
        <v>45973</v>
      </c>
      <c r="D685" t="inlineStr">
        <is>
          <t>DALARNAS LÄN</t>
        </is>
      </c>
      <c r="E685" t="inlineStr">
        <is>
          <t>LEKSAND</t>
        </is>
      </c>
      <c r="G685" t="n">
        <v>3</v>
      </c>
      <c r="H685" t="n">
        <v>0</v>
      </c>
      <c r="I685" t="n">
        <v>0</v>
      </c>
      <c r="J685" t="n">
        <v>0</v>
      </c>
      <c r="K685" t="n">
        <v>0</v>
      </c>
      <c r="L685" t="n">
        <v>0</v>
      </c>
      <c r="M685" t="n">
        <v>0</v>
      </c>
      <c r="N685" t="n">
        <v>0</v>
      </c>
      <c r="O685" t="n">
        <v>0</v>
      </c>
      <c r="P685" t="n">
        <v>0</v>
      </c>
      <c r="Q685" t="n">
        <v>0</v>
      </c>
      <c r="R685" s="2" t="inlineStr"/>
    </row>
    <row r="686" ht="15" customHeight="1">
      <c r="A686" t="inlineStr">
        <is>
          <t>A 17413-2023</t>
        </is>
      </c>
      <c r="B686" s="1" t="n">
        <v>45035</v>
      </c>
      <c r="C686" s="1" t="n">
        <v>45973</v>
      </c>
      <c r="D686" t="inlineStr">
        <is>
          <t>DALARNAS LÄN</t>
        </is>
      </c>
      <c r="E686" t="inlineStr">
        <is>
          <t>LEKSAND</t>
        </is>
      </c>
      <c r="G686" t="n">
        <v>1.7</v>
      </c>
      <c r="H686" t="n">
        <v>0</v>
      </c>
      <c r="I686" t="n">
        <v>0</v>
      </c>
      <c r="J686" t="n">
        <v>0</v>
      </c>
      <c r="K686" t="n">
        <v>0</v>
      </c>
      <c r="L686" t="n">
        <v>0</v>
      </c>
      <c r="M686" t="n">
        <v>0</v>
      </c>
      <c r="N686" t="n">
        <v>0</v>
      </c>
      <c r="O686" t="n">
        <v>0</v>
      </c>
      <c r="P686" t="n">
        <v>0</v>
      </c>
      <c r="Q686" t="n">
        <v>0</v>
      </c>
      <c r="R686" s="2" t="inlineStr"/>
    </row>
    <row r="687" ht="15" customHeight="1">
      <c r="A687" t="inlineStr">
        <is>
          <t>A 9138-2023</t>
        </is>
      </c>
      <c r="B687" s="1" t="n">
        <v>44974</v>
      </c>
      <c r="C687" s="1" t="n">
        <v>45973</v>
      </c>
      <c r="D687" t="inlineStr">
        <is>
          <t>DALARNAS LÄN</t>
        </is>
      </c>
      <c r="E687" t="inlineStr">
        <is>
          <t>LEKSAND</t>
        </is>
      </c>
      <c r="G687" t="n">
        <v>4.6</v>
      </c>
      <c r="H687" t="n">
        <v>0</v>
      </c>
      <c r="I687" t="n">
        <v>0</v>
      </c>
      <c r="J687" t="n">
        <v>0</v>
      </c>
      <c r="K687" t="n">
        <v>0</v>
      </c>
      <c r="L687" t="n">
        <v>0</v>
      </c>
      <c r="M687" t="n">
        <v>0</v>
      </c>
      <c r="N687" t="n">
        <v>0</v>
      </c>
      <c r="O687" t="n">
        <v>0</v>
      </c>
      <c r="P687" t="n">
        <v>0</v>
      </c>
      <c r="Q687" t="n">
        <v>0</v>
      </c>
      <c r="R687" s="2" t="inlineStr"/>
    </row>
    <row r="688" ht="15" customHeight="1">
      <c r="A688" t="inlineStr">
        <is>
          <t>A 29005-2025</t>
        </is>
      </c>
      <c r="B688" s="1" t="n">
        <v>45821.39326388889</v>
      </c>
      <c r="C688" s="1" t="n">
        <v>45973</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61680-2024</t>
        </is>
      </c>
      <c r="B689" s="1" t="n">
        <v>45647.42890046296</v>
      </c>
      <c r="C689" s="1" t="n">
        <v>45973</v>
      </c>
      <c r="D689" t="inlineStr">
        <is>
          <t>DALARNAS LÄN</t>
        </is>
      </c>
      <c r="E689" t="inlineStr">
        <is>
          <t>LEKSAND</t>
        </is>
      </c>
      <c r="G689" t="n">
        <v>3.6</v>
      </c>
      <c r="H689" t="n">
        <v>0</v>
      </c>
      <c r="I689" t="n">
        <v>0</v>
      </c>
      <c r="J689" t="n">
        <v>0</v>
      </c>
      <c r="K689" t="n">
        <v>0</v>
      </c>
      <c r="L689" t="n">
        <v>0</v>
      </c>
      <c r="M689" t="n">
        <v>0</v>
      </c>
      <c r="N689" t="n">
        <v>0</v>
      </c>
      <c r="O689" t="n">
        <v>0</v>
      </c>
      <c r="P689" t="n">
        <v>0</v>
      </c>
      <c r="Q689" t="n">
        <v>0</v>
      </c>
      <c r="R689" s="2" t="inlineStr"/>
    </row>
    <row r="690" ht="15" customHeight="1">
      <c r="A690" t="inlineStr">
        <is>
          <t>A 28985-2025</t>
        </is>
      </c>
      <c r="B690" s="1" t="n">
        <v>45821.36862268519</v>
      </c>
      <c r="C690" s="1" t="n">
        <v>45973</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54911-2024</t>
        </is>
      </c>
      <c r="B691" s="1" t="n">
        <v>45618.68929398148</v>
      </c>
      <c r="C691" s="1" t="n">
        <v>45973</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16611-2024</t>
        </is>
      </c>
      <c r="B692" s="1" t="n">
        <v>45408.55504629629</v>
      </c>
      <c r="C692" s="1" t="n">
        <v>45973</v>
      </c>
      <c r="D692" t="inlineStr">
        <is>
          <t>DALARNAS LÄN</t>
        </is>
      </c>
      <c r="E692" t="inlineStr">
        <is>
          <t>LEKSAND</t>
        </is>
      </c>
      <c r="G692" t="n">
        <v>5.9</v>
      </c>
      <c r="H692" t="n">
        <v>0</v>
      </c>
      <c r="I692" t="n">
        <v>0</v>
      </c>
      <c r="J692" t="n">
        <v>0</v>
      </c>
      <c r="K692" t="n">
        <v>0</v>
      </c>
      <c r="L692" t="n">
        <v>0</v>
      </c>
      <c r="M692" t="n">
        <v>0</v>
      </c>
      <c r="N692" t="n">
        <v>0</v>
      </c>
      <c r="O692" t="n">
        <v>0</v>
      </c>
      <c r="P692" t="n">
        <v>0</v>
      </c>
      <c r="Q692" t="n">
        <v>0</v>
      </c>
      <c r="R692" s="2" t="inlineStr"/>
    </row>
    <row r="693" ht="15" customHeight="1">
      <c r="A693" t="inlineStr">
        <is>
          <t>A 5574-2024</t>
        </is>
      </c>
      <c r="B693" s="1" t="n">
        <v>45334</v>
      </c>
      <c r="C693" s="1" t="n">
        <v>45973</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45512-2023</t>
        </is>
      </c>
      <c r="B694" s="1" t="n">
        <v>45194.49178240741</v>
      </c>
      <c r="C694" s="1" t="n">
        <v>45973</v>
      </c>
      <c r="D694" t="inlineStr">
        <is>
          <t>DALARNAS LÄN</t>
        </is>
      </c>
      <c r="E694" t="inlineStr">
        <is>
          <t>LEKSAND</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402-2024</t>
        </is>
      </c>
      <c r="B695" s="1" t="n">
        <v>45296.45545138889</v>
      </c>
      <c r="C695" s="1" t="n">
        <v>45973</v>
      </c>
      <c r="D695" t="inlineStr">
        <is>
          <t>DALARNAS LÄN</t>
        </is>
      </c>
      <c r="E695" t="inlineStr">
        <is>
          <t>LEKSAND</t>
        </is>
      </c>
      <c r="G695" t="n">
        <v>1.5</v>
      </c>
      <c r="H695" t="n">
        <v>0</v>
      </c>
      <c r="I695" t="n">
        <v>0</v>
      </c>
      <c r="J695" t="n">
        <v>0</v>
      </c>
      <c r="K695" t="n">
        <v>0</v>
      </c>
      <c r="L695" t="n">
        <v>0</v>
      </c>
      <c r="M695" t="n">
        <v>0</v>
      </c>
      <c r="N695" t="n">
        <v>0</v>
      </c>
      <c r="O695" t="n">
        <v>0</v>
      </c>
      <c r="P695" t="n">
        <v>0</v>
      </c>
      <c r="Q695" t="n">
        <v>0</v>
      </c>
      <c r="R695" s="2" t="inlineStr"/>
    </row>
    <row r="696" ht="15" customHeight="1">
      <c r="A696" t="inlineStr">
        <is>
          <t>A 29729-2025</t>
        </is>
      </c>
      <c r="B696" s="1" t="n">
        <v>45825.58077546296</v>
      </c>
      <c r="C696" s="1" t="n">
        <v>45973</v>
      </c>
      <c r="D696" t="inlineStr">
        <is>
          <t>DALARNAS LÄN</t>
        </is>
      </c>
      <c r="E696" t="inlineStr">
        <is>
          <t>LEKSAND</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7778-2025</t>
        </is>
      </c>
      <c r="B697" s="1" t="n">
        <v>45706</v>
      </c>
      <c r="C697" s="1" t="n">
        <v>45973</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29553-2025</t>
        </is>
      </c>
      <c r="B698" s="1" t="n">
        <v>45825.35315972222</v>
      </c>
      <c r="C698" s="1" t="n">
        <v>45973</v>
      </c>
      <c r="D698" t="inlineStr">
        <is>
          <t>DALARNAS LÄN</t>
        </is>
      </c>
      <c r="E698" t="inlineStr">
        <is>
          <t>LEKSAND</t>
        </is>
      </c>
      <c r="G698" t="n">
        <v>1.8</v>
      </c>
      <c r="H698" t="n">
        <v>0</v>
      </c>
      <c r="I698" t="n">
        <v>0</v>
      </c>
      <c r="J698" t="n">
        <v>0</v>
      </c>
      <c r="K698" t="n">
        <v>0</v>
      </c>
      <c r="L698" t="n">
        <v>0</v>
      </c>
      <c r="M698" t="n">
        <v>0</v>
      </c>
      <c r="N698" t="n">
        <v>0</v>
      </c>
      <c r="O698" t="n">
        <v>0</v>
      </c>
      <c r="P698" t="n">
        <v>0</v>
      </c>
      <c r="Q698" t="n">
        <v>0</v>
      </c>
      <c r="R698" s="2" t="inlineStr"/>
    </row>
    <row r="699" ht="15" customHeight="1">
      <c r="A699" t="inlineStr">
        <is>
          <t>A 30254-2025</t>
        </is>
      </c>
      <c r="B699" s="1" t="n">
        <v>45827.42336805556</v>
      </c>
      <c r="C699" s="1" t="n">
        <v>45973</v>
      </c>
      <c r="D699" t="inlineStr">
        <is>
          <t>DALARNAS LÄN</t>
        </is>
      </c>
      <c r="E699" t="inlineStr">
        <is>
          <t>LEKSAND</t>
        </is>
      </c>
      <c r="G699" t="n">
        <v>3.5</v>
      </c>
      <c r="H699" t="n">
        <v>0</v>
      </c>
      <c r="I699" t="n">
        <v>0</v>
      </c>
      <c r="J699" t="n">
        <v>0</v>
      </c>
      <c r="K699" t="n">
        <v>0</v>
      </c>
      <c r="L699" t="n">
        <v>0</v>
      </c>
      <c r="M699" t="n">
        <v>0</v>
      </c>
      <c r="N699" t="n">
        <v>0</v>
      </c>
      <c r="O699" t="n">
        <v>0</v>
      </c>
      <c r="P699" t="n">
        <v>0</v>
      </c>
      <c r="Q699" t="n">
        <v>0</v>
      </c>
      <c r="R699" s="2" t="inlineStr"/>
    </row>
    <row r="700" ht="15" customHeight="1">
      <c r="A700" t="inlineStr">
        <is>
          <t>A 19590-2023</t>
        </is>
      </c>
      <c r="B700" s="1" t="n">
        <v>45049</v>
      </c>
      <c r="C700" s="1" t="n">
        <v>45973</v>
      </c>
      <c r="D700" t="inlineStr">
        <is>
          <t>DALARNAS LÄN</t>
        </is>
      </c>
      <c r="E700" t="inlineStr">
        <is>
          <t>LEKSAND</t>
        </is>
      </c>
      <c r="G700" t="n">
        <v>0.7</v>
      </c>
      <c r="H700" t="n">
        <v>0</v>
      </c>
      <c r="I700" t="n">
        <v>0</v>
      </c>
      <c r="J700" t="n">
        <v>0</v>
      </c>
      <c r="K700" t="n">
        <v>0</v>
      </c>
      <c r="L700" t="n">
        <v>0</v>
      </c>
      <c r="M700" t="n">
        <v>0</v>
      </c>
      <c r="N700" t="n">
        <v>0</v>
      </c>
      <c r="O700" t="n">
        <v>0</v>
      </c>
      <c r="P700" t="n">
        <v>0</v>
      </c>
      <c r="Q700" t="n">
        <v>0</v>
      </c>
      <c r="R700" s="2" t="inlineStr"/>
    </row>
    <row r="701" ht="15" customHeight="1">
      <c r="A701" t="inlineStr">
        <is>
          <t>A 39807-2024</t>
        </is>
      </c>
      <c r="B701" s="1" t="n">
        <v>45553.35763888889</v>
      </c>
      <c r="C701" s="1" t="n">
        <v>45973</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31850-2024</t>
        </is>
      </c>
      <c r="B702" s="1" t="n">
        <v>45509.67334490741</v>
      </c>
      <c r="C702" s="1" t="n">
        <v>45973</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11277-2025</t>
        </is>
      </c>
      <c r="B703" s="1" t="n">
        <v>45726.41565972222</v>
      </c>
      <c r="C703" s="1" t="n">
        <v>45973</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30917-2025</t>
        </is>
      </c>
      <c r="B704" s="1" t="n">
        <v>45832.37989583334</v>
      </c>
      <c r="C704" s="1" t="n">
        <v>45973</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31179-2025</t>
        </is>
      </c>
      <c r="B705" s="1" t="n">
        <v>45832.67648148148</v>
      </c>
      <c r="C705" s="1" t="n">
        <v>45973</v>
      </c>
      <c r="D705" t="inlineStr">
        <is>
          <t>DALARNAS LÄN</t>
        </is>
      </c>
      <c r="E705" t="inlineStr">
        <is>
          <t>LEKSAND</t>
        </is>
      </c>
      <c r="G705" t="n">
        <v>4.7</v>
      </c>
      <c r="H705" t="n">
        <v>0</v>
      </c>
      <c r="I705" t="n">
        <v>0</v>
      </c>
      <c r="J705" t="n">
        <v>0</v>
      </c>
      <c r="K705" t="n">
        <v>0</v>
      </c>
      <c r="L705" t="n">
        <v>0</v>
      </c>
      <c r="M705" t="n">
        <v>0</v>
      </c>
      <c r="N705" t="n">
        <v>0</v>
      </c>
      <c r="O705" t="n">
        <v>0</v>
      </c>
      <c r="P705" t="n">
        <v>0</v>
      </c>
      <c r="Q705" t="n">
        <v>0</v>
      </c>
      <c r="R705" s="2" t="inlineStr"/>
    </row>
    <row r="706" ht="15" customHeight="1">
      <c r="A706" t="inlineStr">
        <is>
          <t>A 325-2023</t>
        </is>
      </c>
      <c r="B706" s="1" t="n">
        <v>44929</v>
      </c>
      <c r="C706" s="1" t="n">
        <v>45973</v>
      </c>
      <c r="D706" t="inlineStr">
        <is>
          <t>DALARNAS LÄN</t>
        </is>
      </c>
      <c r="E706" t="inlineStr">
        <is>
          <t>LEKSAND</t>
        </is>
      </c>
      <c r="F706" t="inlineStr">
        <is>
          <t>Övriga Aktiebolag</t>
        </is>
      </c>
      <c r="G706" t="n">
        <v>7.1</v>
      </c>
      <c r="H706" t="n">
        <v>0</v>
      </c>
      <c r="I706" t="n">
        <v>0</v>
      </c>
      <c r="J706" t="n">
        <v>0</v>
      </c>
      <c r="K706" t="n">
        <v>0</v>
      </c>
      <c r="L706" t="n">
        <v>0</v>
      </c>
      <c r="M706" t="n">
        <v>0</v>
      </c>
      <c r="N706" t="n">
        <v>0</v>
      </c>
      <c r="O706" t="n">
        <v>0</v>
      </c>
      <c r="P706" t="n">
        <v>0</v>
      </c>
      <c r="Q706" t="n">
        <v>0</v>
      </c>
      <c r="R706" s="2" t="inlineStr"/>
    </row>
    <row r="707" ht="15" customHeight="1">
      <c r="A707" t="inlineStr">
        <is>
          <t>A 30969-2025</t>
        </is>
      </c>
      <c r="B707" s="1" t="n">
        <v>45832.45914351852</v>
      </c>
      <c r="C707" s="1" t="n">
        <v>45973</v>
      </c>
      <c r="D707" t="inlineStr">
        <is>
          <t>DALARNAS LÄN</t>
        </is>
      </c>
      <c r="E707" t="inlineStr">
        <is>
          <t>LEKSAND</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30911-2025</t>
        </is>
      </c>
      <c r="B708" s="1" t="n">
        <v>45832.37547453704</v>
      </c>
      <c r="C708" s="1" t="n">
        <v>45973</v>
      </c>
      <c r="D708" t="inlineStr">
        <is>
          <t>DALARNAS LÄN</t>
        </is>
      </c>
      <c r="E708" t="inlineStr">
        <is>
          <t>LEKSAND</t>
        </is>
      </c>
      <c r="G708" t="n">
        <v>0.5</v>
      </c>
      <c r="H708" t="n">
        <v>0</v>
      </c>
      <c r="I708" t="n">
        <v>0</v>
      </c>
      <c r="J708" t="n">
        <v>0</v>
      </c>
      <c r="K708" t="n">
        <v>0</v>
      </c>
      <c r="L708" t="n">
        <v>0</v>
      </c>
      <c r="M708" t="n">
        <v>0</v>
      </c>
      <c r="N708" t="n">
        <v>0</v>
      </c>
      <c r="O708" t="n">
        <v>0</v>
      </c>
      <c r="P708" t="n">
        <v>0</v>
      </c>
      <c r="Q708" t="n">
        <v>0</v>
      </c>
      <c r="R708" s="2" t="inlineStr"/>
    </row>
    <row r="709" ht="15" customHeight="1">
      <c r="A709" t="inlineStr">
        <is>
          <t>A 11678-2025</t>
        </is>
      </c>
      <c r="B709" s="1" t="n">
        <v>45726</v>
      </c>
      <c r="C709" s="1" t="n">
        <v>45973</v>
      </c>
      <c r="D709" t="inlineStr">
        <is>
          <t>DALARNAS LÄN</t>
        </is>
      </c>
      <c r="E709" t="inlineStr">
        <is>
          <t>LEKSAND</t>
        </is>
      </c>
      <c r="G709" t="n">
        <v>9.4</v>
      </c>
      <c r="H709" t="n">
        <v>0</v>
      </c>
      <c r="I709" t="n">
        <v>0</v>
      </c>
      <c r="J709" t="n">
        <v>0</v>
      </c>
      <c r="K709" t="n">
        <v>0</v>
      </c>
      <c r="L709" t="n">
        <v>0</v>
      </c>
      <c r="M709" t="n">
        <v>0</v>
      </c>
      <c r="N709" t="n">
        <v>0</v>
      </c>
      <c r="O709" t="n">
        <v>0</v>
      </c>
      <c r="P709" t="n">
        <v>0</v>
      </c>
      <c r="Q709" t="n">
        <v>0</v>
      </c>
      <c r="R709" s="2" t="inlineStr"/>
    </row>
    <row r="710" ht="15" customHeight="1">
      <c r="A710" t="inlineStr">
        <is>
          <t>A 30920-2025</t>
        </is>
      </c>
      <c r="B710" s="1" t="n">
        <v>45832.38484953704</v>
      </c>
      <c r="C710" s="1" t="n">
        <v>45973</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30916-2025</t>
        </is>
      </c>
      <c r="B711" s="1" t="n">
        <v>45832.37885416667</v>
      </c>
      <c r="C711" s="1" t="n">
        <v>45973</v>
      </c>
      <c r="D711" t="inlineStr">
        <is>
          <t>DALARNAS LÄN</t>
        </is>
      </c>
      <c r="E711" t="inlineStr">
        <is>
          <t>LEKSAND</t>
        </is>
      </c>
      <c r="G711" t="n">
        <v>0.7</v>
      </c>
      <c r="H711" t="n">
        <v>0</v>
      </c>
      <c r="I711" t="n">
        <v>0</v>
      </c>
      <c r="J711" t="n">
        <v>0</v>
      </c>
      <c r="K711" t="n">
        <v>0</v>
      </c>
      <c r="L711" t="n">
        <v>0</v>
      </c>
      <c r="M711" t="n">
        <v>0</v>
      </c>
      <c r="N711" t="n">
        <v>0</v>
      </c>
      <c r="O711" t="n">
        <v>0</v>
      </c>
      <c r="P711" t="n">
        <v>0</v>
      </c>
      <c r="Q711" t="n">
        <v>0</v>
      </c>
      <c r="R711" s="2" t="inlineStr"/>
    </row>
    <row r="712" ht="15" customHeight="1">
      <c r="A712" t="inlineStr">
        <is>
          <t>A 28630-2023</t>
        </is>
      </c>
      <c r="B712" s="1" t="n">
        <v>45103.61003472222</v>
      </c>
      <c r="C712" s="1" t="n">
        <v>45973</v>
      </c>
      <c r="D712" t="inlineStr">
        <is>
          <t>DALARNAS LÄN</t>
        </is>
      </c>
      <c r="E712" t="inlineStr">
        <is>
          <t>LEKSAND</t>
        </is>
      </c>
      <c r="F712" t="inlineStr">
        <is>
          <t>Bergvik skog väst AB</t>
        </is>
      </c>
      <c r="G712" t="n">
        <v>0.3</v>
      </c>
      <c r="H712" t="n">
        <v>0</v>
      </c>
      <c r="I712" t="n">
        <v>0</v>
      </c>
      <c r="J712" t="n">
        <v>0</v>
      </c>
      <c r="K712" t="n">
        <v>0</v>
      </c>
      <c r="L712" t="n">
        <v>0</v>
      </c>
      <c r="M712" t="n">
        <v>0</v>
      </c>
      <c r="N712" t="n">
        <v>0</v>
      </c>
      <c r="O712" t="n">
        <v>0</v>
      </c>
      <c r="P712" t="n">
        <v>0</v>
      </c>
      <c r="Q712" t="n">
        <v>0</v>
      </c>
      <c r="R712" s="2" t="inlineStr"/>
    </row>
    <row r="713" ht="15" customHeight="1">
      <c r="A713" t="inlineStr">
        <is>
          <t>A 30973-2025</t>
        </is>
      </c>
      <c r="B713" s="1" t="n">
        <v>45832.46300925926</v>
      </c>
      <c r="C713" s="1" t="n">
        <v>45973</v>
      </c>
      <c r="D713" t="inlineStr">
        <is>
          <t>DALARNAS LÄN</t>
        </is>
      </c>
      <c r="E713" t="inlineStr">
        <is>
          <t>LEKSAND</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7759-2025</t>
        </is>
      </c>
      <c r="B714" s="1" t="n">
        <v>45706.53827546296</v>
      </c>
      <c r="C714" s="1" t="n">
        <v>45973</v>
      </c>
      <c r="D714" t="inlineStr">
        <is>
          <t>DALARNAS LÄN</t>
        </is>
      </c>
      <c r="E714" t="inlineStr">
        <is>
          <t>LEKSAND</t>
        </is>
      </c>
      <c r="G714" t="n">
        <v>3.3</v>
      </c>
      <c r="H714" t="n">
        <v>0</v>
      </c>
      <c r="I714" t="n">
        <v>0</v>
      </c>
      <c r="J714" t="n">
        <v>0</v>
      </c>
      <c r="K714" t="n">
        <v>0</v>
      </c>
      <c r="L714" t="n">
        <v>0</v>
      </c>
      <c r="M714" t="n">
        <v>0</v>
      </c>
      <c r="N714" t="n">
        <v>0</v>
      </c>
      <c r="O714" t="n">
        <v>0</v>
      </c>
      <c r="P714" t="n">
        <v>0</v>
      </c>
      <c r="Q714" t="n">
        <v>0</v>
      </c>
      <c r="R714" s="2" t="inlineStr"/>
    </row>
    <row r="715" ht="15" customHeight="1">
      <c r="A715" t="inlineStr">
        <is>
          <t>A 31189-2025</t>
        </is>
      </c>
      <c r="B715" s="1" t="n">
        <v>45832.6799537037</v>
      </c>
      <c r="C715" s="1" t="n">
        <v>45973</v>
      </c>
      <c r="D715" t="inlineStr">
        <is>
          <t>DALARNAS LÄN</t>
        </is>
      </c>
      <c r="E715" t="inlineStr">
        <is>
          <t>LEKSAND</t>
        </is>
      </c>
      <c r="G715" t="n">
        <v>5</v>
      </c>
      <c r="H715" t="n">
        <v>0</v>
      </c>
      <c r="I715" t="n">
        <v>0</v>
      </c>
      <c r="J715" t="n">
        <v>0</v>
      </c>
      <c r="K715" t="n">
        <v>0</v>
      </c>
      <c r="L715" t="n">
        <v>0</v>
      </c>
      <c r="M715" t="n">
        <v>0</v>
      </c>
      <c r="N715" t="n">
        <v>0</v>
      </c>
      <c r="O715" t="n">
        <v>0</v>
      </c>
      <c r="P715" t="n">
        <v>0</v>
      </c>
      <c r="Q715" t="n">
        <v>0</v>
      </c>
      <c r="R715" s="2" t="inlineStr"/>
    </row>
    <row r="716" ht="15" customHeight="1">
      <c r="A716" t="inlineStr">
        <is>
          <t>A 31619-2025</t>
        </is>
      </c>
      <c r="B716" s="1" t="n">
        <v>45833</v>
      </c>
      <c r="C716" s="1" t="n">
        <v>45973</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31446-2025</t>
        </is>
      </c>
      <c r="B717" s="1" t="n">
        <v>45833</v>
      </c>
      <c r="C717" s="1" t="n">
        <v>45973</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31787-2025</t>
        </is>
      </c>
      <c r="B718" s="1" t="n">
        <v>45834</v>
      </c>
      <c r="C718" s="1" t="n">
        <v>45973</v>
      </c>
      <c r="D718" t="inlineStr">
        <is>
          <t>DALARNAS LÄN</t>
        </is>
      </c>
      <c r="E718" t="inlineStr">
        <is>
          <t>LEKSAND</t>
        </is>
      </c>
      <c r="F718" t="inlineStr">
        <is>
          <t>Bergvik skog väst AB</t>
        </is>
      </c>
      <c r="G718" t="n">
        <v>1.3</v>
      </c>
      <c r="H718" t="n">
        <v>0</v>
      </c>
      <c r="I718" t="n">
        <v>0</v>
      </c>
      <c r="J718" t="n">
        <v>0</v>
      </c>
      <c r="K718" t="n">
        <v>0</v>
      </c>
      <c r="L718" t="n">
        <v>0</v>
      </c>
      <c r="M718" t="n">
        <v>0</v>
      </c>
      <c r="N718" t="n">
        <v>0</v>
      </c>
      <c r="O718" t="n">
        <v>0</v>
      </c>
      <c r="P718" t="n">
        <v>0</v>
      </c>
      <c r="Q718" t="n">
        <v>0</v>
      </c>
      <c r="R718" s="2" t="inlineStr"/>
    </row>
    <row r="719" ht="15" customHeight="1">
      <c r="A719" t="inlineStr">
        <is>
          <t>A 31493-2025</t>
        </is>
      </c>
      <c r="B719" s="1" t="n">
        <v>45833</v>
      </c>
      <c r="C719" s="1" t="n">
        <v>45973</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32104-2025</t>
        </is>
      </c>
      <c r="B720" s="1" t="n">
        <v>45835</v>
      </c>
      <c r="C720" s="1" t="n">
        <v>45973</v>
      </c>
      <c r="D720" t="inlineStr">
        <is>
          <t>DALARNAS LÄN</t>
        </is>
      </c>
      <c r="E720" t="inlineStr">
        <is>
          <t>LEKSAND</t>
        </is>
      </c>
      <c r="G720" t="n">
        <v>3.1</v>
      </c>
      <c r="H720" t="n">
        <v>0</v>
      </c>
      <c r="I720" t="n">
        <v>0</v>
      </c>
      <c r="J720" t="n">
        <v>0</v>
      </c>
      <c r="K720" t="n">
        <v>0</v>
      </c>
      <c r="L720" t="n">
        <v>0</v>
      </c>
      <c r="M720" t="n">
        <v>0</v>
      </c>
      <c r="N720" t="n">
        <v>0</v>
      </c>
      <c r="O720" t="n">
        <v>0</v>
      </c>
      <c r="P720" t="n">
        <v>0</v>
      </c>
      <c r="Q720" t="n">
        <v>0</v>
      </c>
      <c r="R720" s="2" t="inlineStr"/>
    </row>
    <row r="721" ht="15" customHeight="1">
      <c r="A721" t="inlineStr">
        <is>
          <t>A 32593-2025</t>
        </is>
      </c>
      <c r="B721" s="1" t="n">
        <v>45838</v>
      </c>
      <c r="C721" s="1" t="n">
        <v>45973</v>
      </c>
      <c r="D721" t="inlineStr">
        <is>
          <t>DALARNAS LÄN</t>
        </is>
      </c>
      <c r="E721" t="inlineStr">
        <is>
          <t>LEKSAND</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32661-2025</t>
        </is>
      </c>
      <c r="B722" s="1" t="n">
        <v>45838.67953703704</v>
      </c>
      <c r="C722" s="1" t="n">
        <v>45973</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32301-2025</t>
        </is>
      </c>
      <c r="B723" s="1" t="n">
        <v>45835</v>
      </c>
      <c r="C723" s="1" t="n">
        <v>45973</v>
      </c>
      <c r="D723" t="inlineStr">
        <is>
          <t>DALARNAS LÄN</t>
        </is>
      </c>
      <c r="E723" t="inlineStr">
        <is>
          <t>LEKSAND</t>
        </is>
      </c>
      <c r="G723" t="n">
        <v>2.2</v>
      </c>
      <c r="H723" t="n">
        <v>0</v>
      </c>
      <c r="I723" t="n">
        <v>0</v>
      </c>
      <c r="J723" t="n">
        <v>0</v>
      </c>
      <c r="K723" t="n">
        <v>0</v>
      </c>
      <c r="L723" t="n">
        <v>0</v>
      </c>
      <c r="M723" t="n">
        <v>0</v>
      </c>
      <c r="N723" t="n">
        <v>0</v>
      </c>
      <c r="O723" t="n">
        <v>0</v>
      </c>
      <c r="P723" t="n">
        <v>0</v>
      </c>
      <c r="Q723" t="n">
        <v>0</v>
      </c>
      <c r="R723" s="2" t="inlineStr"/>
    </row>
    <row r="724" ht="15" customHeight="1">
      <c r="A724" t="inlineStr">
        <is>
          <t>A 32653-2025</t>
        </is>
      </c>
      <c r="B724" s="1" t="n">
        <v>45838</v>
      </c>
      <c r="C724" s="1" t="n">
        <v>45973</v>
      </c>
      <c r="D724" t="inlineStr">
        <is>
          <t>DALARNAS LÄN</t>
        </is>
      </c>
      <c r="E724" t="inlineStr">
        <is>
          <t>LEKSAND</t>
        </is>
      </c>
      <c r="G724" t="n">
        <v>5.6</v>
      </c>
      <c r="H724" t="n">
        <v>0</v>
      </c>
      <c r="I724" t="n">
        <v>0</v>
      </c>
      <c r="J724" t="n">
        <v>0</v>
      </c>
      <c r="K724" t="n">
        <v>0</v>
      </c>
      <c r="L724" t="n">
        <v>0</v>
      </c>
      <c r="M724" t="n">
        <v>0</v>
      </c>
      <c r="N724" t="n">
        <v>0</v>
      </c>
      <c r="O724" t="n">
        <v>0</v>
      </c>
      <c r="P724" t="n">
        <v>0</v>
      </c>
      <c r="Q724" t="n">
        <v>0</v>
      </c>
      <c r="R724" s="2" t="inlineStr"/>
    </row>
    <row r="725" ht="15" customHeight="1">
      <c r="A725" t="inlineStr">
        <is>
          <t>A 31945-2025</t>
        </is>
      </c>
      <c r="B725" s="1" t="n">
        <v>45835</v>
      </c>
      <c r="C725" s="1" t="n">
        <v>45973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32726-2025</t>
        </is>
      </c>
      <c r="B726" s="1" t="n">
        <v>45839.3969212963</v>
      </c>
      <c r="C726" s="1" t="n">
        <v>45973</v>
      </c>
      <c r="D726" t="inlineStr">
        <is>
          <t>DALARNAS LÄN</t>
        </is>
      </c>
      <c r="E726" t="inlineStr">
        <is>
          <t>LEKSAND</t>
        </is>
      </c>
      <c r="F726" t="inlineStr">
        <is>
          <t>Bergvik skog väst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33160-2025</t>
        </is>
      </c>
      <c r="B727" s="1" t="n">
        <v>45840</v>
      </c>
      <c r="C727" s="1" t="n">
        <v>45973</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32855-2025</t>
        </is>
      </c>
      <c r="B728" s="1" t="n">
        <v>45839.57643518518</v>
      </c>
      <c r="C728" s="1" t="n">
        <v>45973</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33804-2025</t>
        </is>
      </c>
      <c r="B729" s="1" t="n">
        <v>45842</v>
      </c>
      <c r="C729" s="1" t="n">
        <v>45973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34789-2025</t>
        </is>
      </c>
      <c r="B730" s="1" t="n">
        <v>45848</v>
      </c>
      <c r="C730" s="1" t="n">
        <v>45973</v>
      </c>
      <c r="D730" t="inlineStr">
        <is>
          <t>DALARNAS LÄN</t>
        </is>
      </c>
      <c r="E730" t="inlineStr">
        <is>
          <t>LEKSAND</t>
        </is>
      </c>
      <c r="F730" t="inlineStr">
        <is>
          <t>Bergvik skog väst AB</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41896-2024</t>
        </is>
      </c>
      <c r="B731" s="1" t="n">
        <v>45561.51310185185</v>
      </c>
      <c r="C731" s="1" t="n">
        <v>45973</v>
      </c>
      <c r="D731" t="inlineStr">
        <is>
          <t>DALARNAS LÄN</t>
        </is>
      </c>
      <c r="E731" t="inlineStr">
        <is>
          <t>LEKSAND</t>
        </is>
      </c>
      <c r="F731" t="inlineStr">
        <is>
          <t>Bergvik skog väst AB</t>
        </is>
      </c>
      <c r="G731" t="n">
        <v>2.8</v>
      </c>
      <c r="H731" t="n">
        <v>0</v>
      </c>
      <c r="I731" t="n">
        <v>0</v>
      </c>
      <c r="J731" t="n">
        <v>0</v>
      </c>
      <c r="K731" t="n">
        <v>0</v>
      </c>
      <c r="L731" t="n">
        <v>0</v>
      </c>
      <c r="M731" t="n">
        <v>0</v>
      </c>
      <c r="N731" t="n">
        <v>0</v>
      </c>
      <c r="O731" t="n">
        <v>0</v>
      </c>
      <c r="P731" t="n">
        <v>0</v>
      </c>
      <c r="Q731" t="n">
        <v>0</v>
      </c>
      <c r="R731" s="2" t="inlineStr"/>
    </row>
    <row r="732" ht="15" customHeight="1">
      <c r="A732" t="inlineStr">
        <is>
          <t>A 34537-2025</t>
        </is>
      </c>
      <c r="B732" s="1" t="n">
        <v>45847</v>
      </c>
      <c r="C732" s="1" t="n">
        <v>45973</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35094-2025</t>
        </is>
      </c>
      <c r="B733" s="1" t="n">
        <v>45852</v>
      </c>
      <c r="C733" s="1" t="n">
        <v>45973</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34965-2025</t>
        </is>
      </c>
      <c r="B734" s="1" t="n">
        <v>45849</v>
      </c>
      <c r="C734" s="1" t="n">
        <v>45973</v>
      </c>
      <c r="D734" t="inlineStr">
        <is>
          <t>DALARNAS LÄN</t>
        </is>
      </c>
      <c r="E734" t="inlineStr">
        <is>
          <t>LEKSAND</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34966-2025</t>
        </is>
      </c>
      <c r="B735" s="1" t="n">
        <v>45849</v>
      </c>
      <c r="C735" s="1" t="n">
        <v>45973</v>
      </c>
      <c r="D735" t="inlineStr">
        <is>
          <t>DALARNAS LÄN</t>
        </is>
      </c>
      <c r="E735" t="inlineStr">
        <is>
          <t>LEKSAND</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13705-2021</t>
        </is>
      </c>
      <c r="B736" s="1" t="n">
        <v>44274</v>
      </c>
      <c r="C736" s="1" t="n">
        <v>45973</v>
      </c>
      <c r="D736" t="inlineStr">
        <is>
          <t>DALARNAS LÄN</t>
        </is>
      </c>
      <c r="E736" t="inlineStr">
        <is>
          <t>LEKSAND</t>
        </is>
      </c>
      <c r="G736" t="n">
        <v>3.8</v>
      </c>
      <c r="H736" t="n">
        <v>0</v>
      </c>
      <c r="I736" t="n">
        <v>0</v>
      </c>
      <c r="J736" t="n">
        <v>0</v>
      </c>
      <c r="K736" t="n">
        <v>0</v>
      </c>
      <c r="L736" t="n">
        <v>0</v>
      </c>
      <c r="M736" t="n">
        <v>0</v>
      </c>
      <c r="N736" t="n">
        <v>0</v>
      </c>
      <c r="O736" t="n">
        <v>0</v>
      </c>
      <c r="P736" t="n">
        <v>0</v>
      </c>
      <c r="Q736" t="n">
        <v>0</v>
      </c>
      <c r="R736" s="2" t="inlineStr"/>
    </row>
    <row r="737" ht="15" customHeight="1">
      <c r="A737" t="inlineStr">
        <is>
          <t>A 35746-2025</t>
        </is>
      </c>
      <c r="B737" s="1" t="n">
        <v>45860</v>
      </c>
      <c r="C737" s="1" t="n">
        <v>45973</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35866-2025</t>
        </is>
      </c>
      <c r="B738" s="1" t="n">
        <v>45861</v>
      </c>
      <c r="C738" s="1" t="n">
        <v>45973</v>
      </c>
      <c r="D738" t="inlineStr">
        <is>
          <t>DALARNAS LÄN</t>
        </is>
      </c>
      <c r="E738" t="inlineStr">
        <is>
          <t>LEKSAND</t>
        </is>
      </c>
      <c r="F738" t="inlineStr">
        <is>
          <t>Bergvik skog väst AB</t>
        </is>
      </c>
      <c r="G738" t="n">
        <v>2.1</v>
      </c>
      <c r="H738" t="n">
        <v>0</v>
      </c>
      <c r="I738" t="n">
        <v>0</v>
      </c>
      <c r="J738" t="n">
        <v>0</v>
      </c>
      <c r="K738" t="n">
        <v>0</v>
      </c>
      <c r="L738" t="n">
        <v>0</v>
      </c>
      <c r="M738" t="n">
        <v>0</v>
      </c>
      <c r="N738" t="n">
        <v>0</v>
      </c>
      <c r="O738" t="n">
        <v>0</v>
      </c>
      <c r="P738" t="n">
        <v>0</v>
      </c>
      <c r="Q738" t="n">
        <v>0</v>
      </c>
      <c r="R738" s="2" t="inlineStr"/>
    </row>
    <row r="739" ht="15" customHeight="1">
      <c r="A739" t="inlineStr">
        <is>
          <t>A 41934-2025</t>
        </is>
      </c>
      <c r="B739" s="1" t="n">
        <v>45903.43556712963</v>
      </c>
      <c r="C739" s="1" t="n">
        <v>45973</v>
      </c>
      <c r="D739" t="inlineStr">
        <is>
          <t>DALARNAS LÄN</t>
        </is>
      </c>
      <c r="E739" t="inlineStr">
        <is>
          <t>LEKSAND</t>
        </is>
      </c>
      <c r="F739" t="inlineStr">
        <is>
          <t>Bergvik skog väst AB</t>
        </is>
      </c>
      <c r="G739" t="n">
        <v>3</v>
      </c>
      <c r="H739" t="n">
        <v>0</v>
      </c>
      <c r="I739" t="n">
        <v>0</v>
      </c>
      <c r="J739" t="n">
        <v>0</v>
      </c>
      <c r="K739" t="n">
        <v>0</v>
      </c>
      <c r="L739" t="n">
        <v>0</v>
      </c>
      <c r="M739" t="n">
        <v>0</v>
      </c>
      <c r="N739" t="n">
        <v>0</v>
      </c>
      <c r="O739" t="n">
        <v>0</v>
      </c>
      <c r="P739" t="n">
        <v>0</v>
      </c>
      <c r="Q739" t="n">
        <v>0</v>
      </c>
      <c r="R739" s="2" t="inlineStr"/>
    </row>
    <row r="740" ht="15" customHeight="1">
      <c r="A740" t="inlineStr">
        <is>
          <t>A 35998-2025</t>
        </is>
      </c>
      <c r="B740" s="1" t="n">
        <v>45863.51550925926</v>
      </c>
      <c r="C740" s="1" t="n">
        <v>45973</v>
      </c>
      <c r="D740" t="inlineStr">
        <is>
          <t>DALARNAS LÄN</t>
        </is>
      </c>
      <c r="E740" t="inlineStr">
        <is>
          <t>LEKSAND</t>
        </is>
      </c>
      <c r="G740" t="n">
        <v>2</v>
      </c>
      <c r="H740" t="n">
        <v>0</v>
      </c>
      <c r="I740" t="n">
        <v>0</v>
      </c>
      <c r="J740" t="n">
        <v>0</v>
      </c>
      <c r="K740" t="n">
        <v>0</v>
      </c>
      <c r="L740" t="n">
        <v>0</v>
      </c>
      <c r="M740" t="n">
        <v>0</v>
      </c>
      <c r="N740" t="n">
        <v>0</v>
      </c>
      <c r="O740" t="n">
        <v>0</v>
      </c>
      <c r="P740" t="n">
        <v>0</v>
      </c>
      <c r="Q740" t="n">
        <v>0</v>
      </c>
      <c r="R740" s="2" t="inlineStr"/>
    </row>
    <row r="741" ht="15" customHeight="1">
      <c r="A741" t="inlineStr">
        <is>
          <t>A 36021-2025</t>
        </is>
      </c>
      <c r="B741" s="1" t="n">
        <v>45863.72346064815</v>
      </c>
      <c r="C741" s="1" t="n">
        <v>45973</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36020-2025</t>
        </is>
      </c>
      <c r="B742" s="1" t="n">
        <v>45863</v>
      </c>
      <c r="C742" s="1" t="n">
        <v>45973</v>
      </c>
      <c r="D742" t="inlineStr">
        <is>
          <t>DALARNAS LÄN</t>
        </is>
      </c>
      <c r="E742" t="inlineStr">
        <is>
          <t>LEKSAND</t>
        </is>
      </c>
      <c r="F742" t="inlineStr">
        <is>
          <t>Bergvik skog väst AB</t>
        </is>
      </c>
      <c r="G742" t="n">
        <v>2.8</v>
      </c>
      <c r="H742" t="n">
        <v>0</v>
      </c>
      <c r="I742" t="n">
        <v>0</v>
      </c>
      <c r="J742" t="n">
        <v>0</v>
      </c>
      <c r="K742" t="n">
        <v>0</v>
      </c>
      <c r="L742" t="n">
        <v>0</v>
      </c>
      <c r="M742" t="n">
        <v>0</v>
      </c>
      <c r="N742" t="n">
        <v>0</v>
      </c>
      <c r="O742" t="n">
        <v>0</v>
      </c>
      <c r="P742" t="n">
        <v>0</v>
      </c>
      <c r="Q742" t="n">
        <v>0</v>
      </c>
      <c r="R742" s="2" t="inlineStr"/>
    </row>
    <row r="743" ht="15" customHeight="1">
      <c r="A743" t="inlineStr">
        <is>
          <t>A 36017-2025</t>
        </is>
      </c>
      <c r="B743" s="1" t="n">
        <v>45863</v>
      </c>
      <c r="C743" s="1" t="n">
        <v>45973</v>
      </c>
      <c r="D743" t="inlineStr">
        <is>
          <t>DALARNAS LÄN</t>
        </is>
      </c>
      <c r="E743" t="inlineStr">
        <is>
          <t>LEKSAND</t>
        </is>
      </c>
      <c r="F743" t="inlineStr">
        <is>
          <t>Bergvik skog väst AB</t>
        </is>
      </c>
      <c r="G743" t="n">
        <v>17.9</v>
      </c>
      <c r="H743" t="n">
        <v>0</v>
      </c>
      <c r="I743" t="n">
        <v>0</v>
      </c>
      <c r="J743" t="n">
        <v>0</v>
      </c>
      <c r="K743" t="n">
        <v>0</v>
      </c>
      <c r="L743" t="n">
        <v>0</v>
      </c>
      <c r="M743" t="n">
        <v>0</v>
      </c>
      <c r="N743" t="n">
        <v>0</v>
      </c>
      <c r="O743" t="n">
        <v>0</v>
      </c>
      <c r="P743" t="n">
        <v>0</v>
      </c>
      <c r="Q743" t="n">
        <v>0</v>
      </c>
      <c r="R743" s="2" t="inlineStr"/>
    </row>
    <row r="744" ht="15" customHeight="1">
      <c r="A744" t="inlineStr">
        <is>
          <t>A 36190-2025</t>
        </is>
      </c>
      <c r="B744" s="1" t="n">
        <v>45867</v>
      </c>
      <c r="C744" s="1" t="n">
        <v>45973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36540-2025</t>
        </is>
      </c>
      <c r="B745" s="1" t="n">
        <v>45869.63885416667</v>
      </c>
      <c r="C745" s="1" t="n">
        <v>45973</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164-2023</t>
        </is>
      </c>
      <c r="B746" s="1" t="n">
        <v>44918</v>
      </c>
      <c r="C746" s="1" t="n">
        <v>45973</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51677-2024</t>
        </is>
      </c>
      <c r="B747" s="1" t="n">
        <v>45607.30265046296</v>
      </c>
      <c r="C747" s="1" t="n">
        <v>45973</v>
      </c>
      <c r="D747" t="inlineStr">
        <is>
          <t>DALARNAS LÄN</t>
        </is>
      </c>
      <c r="E747" t="inlineStr">
        <is>
          <t>LEKSAND</t>
        </is>
      </c>
      <c r="G747" t="n">
        <v>3.4</v>
      </c>
      <c r="H747" t="n">
        <v>0</v>
      </c>
      <c r="I747" t="n">
        <v>0</v>
      </c>
      <c r="J747" t="n">
        <v>0</v>
      </c>
      <c r="K747" t="n">
        <v>0</v>
      </c>
      <c r="L747" t="n">
        <v>0</v>
      </c>
      <c r="M747" t="n">
        <v>0</v>
      </c>
      <c r="N747" t="n">
        <v>0</v>
      </c>
      <c r="O747" t="n">
        <v>0</v>
      </c>
      <c r="P747" t="n">
        <v>0</v>
      </c>
      <c r="Q747" t="n">
        <v>0</v>
      </c>
      <c r="R747" s="2" t="inlineStr"/>
    </row>
    <row r="748" ht="15" customHeight="1">
      <c r="A748" t="inlineStr">
        <is>
          <t>A 37508-2025</t>
        </is>
      </c>
      <c r="B748" s="1" t="n">
        <v>45877.66282407408</v>
      </c>
      <c r="C748" s="1" t="n">
        <v>45973</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37996-2025</t>
        </is>
      </c>
      <c r="B749" s="1" t="n">
        <v>45881.8299537037</v>
      </c>
      <c r="C749" s="1" t="n">
        <v>45973</v>
      </c>
      <c r="D749" t="inlineStr">
        <is>
          <t>DALARNAS LÄN</t>
        </is>
      </c>
      <c r="E749" t="inlineStr">
        <is>
          <t>LEKSAND</t>
        </is>
      </c>
      <c r="G749" t="n">
        <v>4.2</v>
      </c>
      <c r="H749" t="n">
        <v>0</v>
      </c>
      <c r="I749" t="n">
        <v>0</v>
      </c>
      <c r="J749" t="n">
        <v>0</v>
      </c>
      <c r="K749" t="n">
        <v>0</v>
      </c>
      <c r="L749" t="n">
        <v>0</v>
      </c>
      <c r="M749" t="n">
        <v>0</v>
      </c>
      <c r="N749" t="n">
        <v>0</v>
      </c>
      <c r="O749" t="n">
        <v>0</v>
      </c>
      <c r="P749" t="n">
        <v>0</v>
      </c>
      <c r="Q749" t="n">
        <v>0</v>
      </c>
      <c r="R749" s="2" t="inlineStr"/>
    </row>
    <row r="750">
      <c r="A750" t="inlineStr">
        <is>
          <t>A 38090-2025</t>
        </is>
      </c>
      <c r="B750" s="1" t="n">
        <v>45882.48440972222</v>
      </c>
      <c r="C750" s="1" t="n">
        <v>45973</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2025-11-12T10:11:15Z</dcterms:created>
  <dcterms:modified xmlns:dcterms="http://purl.org/dc/terms/" xmlns:xsi="http://www.w3.org/2001/XMLSchema-instance" xsi:type="dcterms:W3CDTF">2025-11-12T10:11:16Z</dcterms:modified>
</cp:coreProperties>
</file>