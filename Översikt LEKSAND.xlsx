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45964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39126-2024</t>
        </is>
      </c>
      <c r="B3" s="1" t="n">
        <v>45548</v>
      </c>
      <c r="C3" s="1" t="n">
        <v>45964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39126-2024 artfynd.xlsx", "A 39126-2024")</f>
        <v/>
      </c>
      <c r="T3">
        <f>HYPERLINK("https://klasma.github.io/Logging_2029/kartor/A 39126-2024 karta.png", "A 39126-2024")</f>
        <v/>
      </c>
      <c r="U3">
        <f>HYPERLINK("https://klasma.github.io/Logging_2029/knärot/A 39126-2024 karta knärot.png", "A 39126-2024")</f>
        <v/>
      </c>
      <c r="V3">
        <f>HYPERLINK("https://klasma.github.io/Logging_2029/klagomål/A 39126-2024 FSC-klagomål.docx", "A 39126-2024")</f>
        <v/>
      </c>
      <c r="W3">
        <f>HYPERLINK("https://klasma.github.io/Logging_2029/klagomålsmail/A 39126-2024 FSC-klagomål mail.docx", "A 39126-2024")</f>
        <v/>
      </c>
      <c r="X3">
        <f>HYPERLINK("https://klasma.github.io/Logging_2029/tillsyn/A 39126-2024 tillsynsbegäran.docx", "A 39126-2024")</f>
        <v/>
      </c>
      <c r="Y3">
        <f>HYPERLINK("https://klasma.github.io/Logging_2029/tillsynsmail/A 39126-2024 tillsynsbegäran mail.docx", "A 39126-2024")</f>
        <v/>
      </c>
      <c r="Z3">
        <f>HYPERLINK("https://klasma.github.io/Logging_2029/fåglar/A 39126-2024 prioriterade fågelarter.docx", "A 39126-2024")</f>
        <v/>
      </c>
    </row>
    <row r="4" ht="15" customHeight="1">
      <c r="A4" t="inlineStr">
        <is>
          <t>A 61884-2023</t>
        </is>
      </c>
      <c r="B4" s="1" t="n">
        <v>45266</v>
      </c>
      <c r="C4" s="1" t="n">
        <v>45964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49115-2023</t>
        </is>
      </c>
      <c r="B5" s="1" t="n">
        <v>45205</v>
      </c>
      <c r="C5" s="1" t="n">
        <v>45964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45964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45964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45964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45964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45964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45964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45964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45964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45964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48616-2025</t>
        </is>
      </c>
      <c r="B15" s="1" t="n">
        <v>45936.48783564815</v>
      </c>
      <c r="C15" s="1" t="n">
        <v>45964</v>
      </c>
      <c r="D15" t="inlineStr">
        <is>
          <t>DALARNAS LÄN</t>
        </is>
      </c>
      <c r="E15" t="inlineStr">
        <is>
          <t>LEKSAND</t>
        </is>
      </c>
      <c r="G15" t="n">
        <v>2.6</v>
      </c>
      <c r="H15" t="n">
        <v>2</v>
      </c>
      <c r="I15" t="n">
        <v>2</v>
      </c>
      <c r="J15" t="n">
        <v>3</v>
      </c>
      <c r="K15" t="n">
        <v>1</v>
      </c>
      <c r="L15" t="n">
        <v>0</v>
      </c>
      <c r="M15" t="n">
        <v>0</v>
      </c>
      <c r="N15" t="n">
        <v>0</v>
      </c>
      <c r="O15" t="n">
        <v>4</v>
      </c>
      <c r="P15" t="n">
        <v>1</v>
      </c>
      <c r="Q15" t="n">
        <v>6</v>
      </c>
      <c r="R15" s="2" t="inlineStr">
        <is>
          <t>Knärot
Garnlav
Rosenticka
Tretåig hackspett
Korallblylav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9501-2025</t>
        </is>
      </c>
      <c r="B16" s="1" t="n">
        <v>45715</v>
      </c>
      <c r="C16" s="1" t="n">
        <v>45964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8529-2023</t>
        </is>
      </c>
      <c r="B17" s="1" t="n">
        <v>44977</v>
      </c>
      <c r="C17" s="1" t="n">
        <v>45964</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45964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45964</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45964</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45964</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37399-2023</t>
        </is>
      </c>
      <c r="B22" s="1" t="n">
        <v>45156</v>
      </c>
      <c r="C22" s="1" t="n">
        <v>45964</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41528-2025</t>
        </is>
      </c>
      <c r="B23" s="1" t="n">
        <v>45901.55515046296</v>
      </c>
      <c r="C23" s="1" t="n">
        <v>45964</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6778-2022</t>
        </is>
      </c>
      <c r="B24" s="1" t="n">
        <v>44602</v>
      </c>
      <c r="C24" s="1" t="n">
        <v>45964</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9408-2024</t>
        </is>
      </c>
      <c r="B25" s="1" t="n">
        <v>45358</v>
      </c>
      <c r="C25" s="1" t="n">
        <v>45964</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45964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18860-2025</t>
        </is>
      </c>
      <c r="B27" s="1" t="n">
        <v>45764.42738425926</v>
      </c>
      <c r="C27" s="1" t="n">
        <v>45964</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59111-2024</t>
        </is>
      </c>
      <c r="B28" s="1" t="n">
        <v>45637.36484953704</v>
      </c>
      <c r="C28" s="1" t="n">
        <v>45964</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45964</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41718-2021</t>
        </is>
      </c>
      <c r="B30" s="1" t="n">
        <v>44425</v>
      </c>
      <c r="C30" s="1" t="n">
        <v>45964</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45964</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11218-2023</t>
        </is>
      </c>
      <c r="B32" s="1" t="n">
        <v>44992.62401620371</v>
      </c>
      <c r="C32" s="1" t="n">
        <v>45964</v>
      </c>
      <c r="D32" t="inlineStr">
        <is>
          <t>DALARNAS LÄN</t>
        </is>
      </c>
      <c r="E32" t="inlineStr">
        <is>
          <t>LEKSAND</t>
        </is>
      </c>
      <c r="G32" t="n">
        <v>2.6</v>
      </c>
      <c r="H32" t="n">
        <v>1</v>
      </c>
      <c r="I32" t="n">
        <v>0</v>
      </c>
      <c r="J32" t="n">
        <v>0</v>
      </c>
      <c r="K32" t="n">
        <v>1</v>
      </c>
      <c r="L32" t="n">
        <v>0</v>
      </c>
      <c r="M32" t="n">
        <v>0</v>
      </c>
      <c r="N32" t="n">
        <v>0</v>
      </c>
      <c r="O32" t="n">
        <v>1</v>
      </c>
      <c r="P32" t="n">
        <v>1</v>
      </c>
      <c r="Q32" t="n">
        <v>1</v>
      </c>
      <c r="R32" s="2" t="inlineStr">
        <is>
          <t>Knärot</t>
        </is>
      </c>
      <c r="S32">
        <f>HYPERLINK("https://klasma.github.io/Logging_2029/artfynd/A 11218-2023 artfynd.xlsx", "A 11218-2023")</f>
        <v/>
      </c>
      <c r="T32">
        <f>HYPERLINK("https://klasma.github.io/Logging_2029/kartor/A 11218-2023 karta.png", "A 11218-2023")</f>
        <v/>
      </c>
      <c r="U32">
        <f>HYPERLINK("https://klasma.github.io/Logging_2029/knärot/A 11218-2023 karta knärot.png", "A 11218-2023")</f>
        <v/>
      </c>
      <c r="V32">
        <f>HYPERLINK("https://klasma.github.io/Logging_2029/klagomål/A 11218-2023 FSC-klagomål.docx", "A 11218-2023")</f>
        <v/>
      </c>
      <c r="W32">
        <f>HYPERLINK("https://klasma.github.io/Logging_2029/klagomålsmail/A 11218-2023 FSC-klagomål mail.docx", "A 11218-2023")</f>
        <v/>
      </c>
      <c r="X32">
        <f>HYPERLINK("https://klasma.github.io/Logging_2029/tillsyn/A 11218-2023 tillsynsbegäran.docx", "A 11218-2023")</f>
        <v/>
      </c>
      <c r="Y32">
        <f>HYPERLINK("https://klasma.github.io/Logging_2029/tillsynsmail/A 11218-2023 tillsynsbegäran mail.docx", "A 11218-2023")</f>
        <v/>
      </c>
    </row>
    <row r="33" ht="15" customHeight="1">
      <c r="A33" t="inlineStr">
        <is>
          <t>A 26287-2023</t>
        </is>
      </c>
      <c r="B33" s="1" t="n">
        <v>45091</v>
      </c>
      <c r="C33" s="1" t="n">
        <v>45964</v>
      </c>
      <c r="D33" t="inlineStr">
        <is>
          <t>DALARNAS LÄN</t>
        </is>
      </c>
      <c r="E33" t="inlineStr">
        <is>
          <t>LEKSAND</t>
        </is>
      </c>
      <c r="G33" t="n">
        <v>2.4</v>
      </c>
      <c r="H33" t="n">
        <v>0</v>
      </c>
      <c r="I33" t="n">
        <v>1</v>
      </c>
      <c r="J33" t="n">
        <v>0</v>
      </c>
      <c r="K33" t="n">
        <v>0</v>
      </c>
      <c r="L33" t="n">
        <v>0</v>
      </c>
      <c r="M33" t="n">
        <v>0</v>
      </c>
      <c r="N33" t="n">
        <v>0</v>
      </c>
      <c r="O33" t="n">
        <v>0</v>
      </c>
      <c r="P33" t="n">
        <v>0</v>
      </c>
      <c r="Q33" t="n">
        <v>1</v>
      </c>
      <c r="R33" s="2" t="inlineStr">
        <is>
          <t>Mindre märgborre</t>
        </is>
      </c>
      <c r="S33">
        <f>HYPERLINK("https://klasma.github.io/Logging_2029/artfynd/A 26287-2023 artfynd.xlsx", "A 26287-2023")</f>
        <v/>
      </c>
      <c r="T33">
        <f>HYPERLINK("https://klasma.github.io/Logging_2029/kartor/A 26287-2023 karta.png", "A 26287-2023")</f>
        <v/>
      </c>
      <c r="V33">
        <f>HYPERLINK("https://klasma.github.io/Logging_2029/klagomål/A 26287-2023 FSC-klagomål.docx", "A 26287-2023")</f>
        <v/>
      </c>
      <c r="W33">
        <f>HYPERLINK("https://klasma.github.io/Logging_2029/klagomålsmail/A 26287-2023 FSC-klagomål mail.docx", "A 26287-2023")</f>
        <v/>
      </c>
      <c r="X33">
        <f>HYPERLINK("https://klasma.github.io/Logging_2029/tillsyn/A 26287-2023 tillsynsbegäran.docx", "A 26287-2023")</f>
        <v/>
      </c>
      <c r="Y33">
        <f>HYPERLINK("https://klasma.github.io/Logging_2029/tillsynsmail/A 26287-2023 tillsynsbegäran mail.docx", "A 26287-2023")</f>
        <v/>
      </c>
    </row>
    <row r="34" ht="15" customHeight="1">
      <c r="A34" t="inlineStr">
        <is>
          <t>A 59205-2023</t>
        </is>
      </c>
      <c r="B34" s="1" t="n">
        <v>45251</v>
      </c>
      <c r="C34" s="1" t="n">
        <v>45964</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16735-2025</t>
        </is>
      </c>
      <c r="B35" s="1" t="n">
        <v>45754.54314814815</v>
      </c>
      <c r="C35" s="1" t="n">
        <v>45964</v>
      </c>
      <c r="D35" t="inlineStr">
        <is>
          <t>DALARNAS LÄN</t>
        </is>
      </c>
      <c r="E35" t="inlineStr">
        <is>
          <t>LEKSAND</t>
        </is>
      </c>
      <c r="G35" t="n">
        <v>1.8</v>
      </c>
      <c r="H35" t="n">
        <v>1</v>
      </c>
      <c r="I35" t="n">
        <v>0</v>
      </c>
      <c r="J35" t="n">
        <v>0</v>
      </c>
      <c r="K35" t="n">
        <v>0</v>
      </c>
      <c r="L35" t="n">
        <v>0</v>
      </c>
      <c r="M35" t="n">
        <v>0</v>
      </c>
      <c r="N35" t="n">
        <v>0</v>
      </c>
      <c r="O35" t="n">
        <v>0</v>
      </c>
      <c r="P35" t="n">
        <v>0</v>
      </c>
      <c r="Q35" t="n">
        <v>1</v>
      </c>
      <c r="R35" s="2" t="inlineStr">
        <is>
          <t>Gröngöling</t>
        </is>
      </c>
      <c r="S35">
        <f>HYPERLINK("https://klasma.github.io/Logging_2029/artfynd/A 16735-2025 artfynd.xlsx", "A 16735-2025")</f>
        <v/>
      </c>
      <c r="T35">
        <f>HYPERLINK("https://klasma.github.io/Logging_2029/kartor/A 16735-2025 karta.png", "A 16735-2025")</f>
        <v/>
      </c>
      <c r="V35">
        <f>HYPERLINK("https://klasma.github.io/Logging_2029/klagomål/A 16735-2025 FSC-klagomål.docx", "A 16735-2025")</f>
        <v/>
      </c>
      <c r="W35">
        <f>HYPERLINK("https://klasma.github.io/Logging_2029/klagomålsmail/A 16735-2025 FSC-klagomål mail.docx", "A 16735-2025")</f>
        <v/>
      </c>
      <c r="X35">
        <f>HYPERLINK("https://klasma.github.io/Logging_2029/tillsyn/A 16735-2025 tillsynsbegäran.docx", "A 16735-2025")</f>
        <v/>
      </c>
      <c r="Y35">
        <f>HYPERLINK("https://klasma.github.io/Logging_2029/tillsynsmail/A 16735-2025 tillsynsbegäran mail.docx", "A 16735-2025")</f>
        <v/>
      </c>
      <c r="Z35">
        <f>HYPERLINK("https://klasma.github.io/Logging_2029/fåglar/A 16735-2025 prioriterade fågelarter.docx", "A 16735-2025")</f>
        <v/>
      </c>
    </row>
    <row r="36" ht="15" customHeight="1">
      <c r="A36" t="inlineStr">
        <is>
          <t>A 16333-2023</t>
        </is>
      </c>
      <c r="B36" s="1" t="n">
        <v>45028</v>
      </c>
      <c r="C36" s="1" t="n">
        <v>45964</v>
      </c>
      <c r="D36" t="inlineStr">
        <is>
          <t>DALARNAS LÄN</t>
        </is>
      </c>
      <c r="E36" t="inlineStr">
        <is>
          <t>LEKSAND</t>
        </is>
      </c>
      <c r="G36" t="n">
        <v>1.5</v>
      </c>
      <c r="H36" t="n">
        <v>0</v>
      </c>
      <c r="I36" t="n">
        <v>1</v>
      </c>
      <c r="J36" t="n">
        <v>0</v>
      </c>
      <c r="K36" t="n">
        <v>0</v>
      </c>
      <c r="L36" t="n">
        <v>0</v>
      </c>
      <c r="M36" t="n">
        <v>0</v>
      </c>
      <c r="N36" t="n">
        <v>0</v>
      </c>
      <c r="O36" t="n">
        <v>0</v>
      </c>
      <c r="P36" t="n">
        <v>0</v>
      </c>
      <c r="Q36" t="n">
        <v>1</v>
      </c>
      <c r="R36" s="2" t="inlineStr">
        <is>
          <t>Läderskål</t>
        </is>
      </c>
      <c r="S36">
        <f>HYPERLINK("https://klasma.github.io/Logging_2029/artfynd/A 16333-2023 artfynd.xlsx", "A 16333-2023")</f>
        <v/>
      </c>
      <c r="T36">
        <f>HYPERLINK("https://klasma.github.io/Logging_2029/kartor/A 16333-2023 karta.png", "A 16333-2023")</f>
        <v/>
      </c>
      <c r="V36">
        <f>HYPERLINK("https://klasma.github.io/Logging_2029/klagomål/A 16333-2023 FSC-klagomål.docx", "A 16333-2023")</f>
        <v/>
      </c>
      <c r="W36">
        <f>HYPERLINK("https://klasma.github.io/Logging_2029/klagomålsmail/A 16333-2023 FSC-klagomål mail.docx", "A 16333-2023")</f>
        <v/>
      </c>
      <c r="X36">
        <f>HYPERLINK("https://klasma.github.io/Logging_2029/tillsyn/A 16333-2023 tillsynsbegäran.docx", "A 16333-2023")</f>
        <v/>
      </c>
      <c r="Y36">
        <f>HYPERLINK("https://klasma.github.io/Logging_2029/tillsynsmail/A 16333-2023 tillsynsbegäran mail.docx", "A 16333-2023")</f>
        <v/>
      </c>
    </row>
    <row r="37" ht="15" customHeight="1">
      <c r="A37" t="inlineStr">
        <is>
          <t>A 53633-2024</t>
        </is>
      </c>
      <c r="B37" s="1" t="n">
        <v>45614.83726851852</v>
      </c>
      <c r="C37" s="1" t="n">
        <v>45964</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52600-2024</t>
        </is>
      </c>
      <c r="B38" s="1" t="n">
        <v>45609</v>
      </c>
      <c r="C38" s="1" t="n">
        <v>45964</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4974-2025</t>
        </is>
      </c>
      <c r="B39" s="1" t="n">
        <v>45690.8478587963</v>
      </c>
      <c r="C39" s="1" t="n">
        <v>45964</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31124-2024</t>
        </is>
      </c>
      <c r="B40" s="1" t="n">
        <v>45502.62886574074</v>
      </c>
      <c r="C40" s="1" t="n">
        <v>45964</v>
      </c>
      <c r="D40" t="inlineStr">
        <is>
          <t>DALARNAS LÄN</t>
        </is>
      </c>
      <c r="E40" t="inlineStr">
        <is>
          <t>LEKSAND</t>
        </is>
      </c>
      <c r="G40" t="n">
        <v>1.9</v>
      </c>
      <c r="H40" t="n">
        <v>1</v>
      </c>
      <c r="I40" t="n">
        <v>0</v>
      </c>
      <c r="J40" t="n">
        <v>0</v>
      </c>
      <c r="K40" t="n">
        <v>1</v>
      </c>
      <c r="L40" t="n">
        <v>0</v>
      </c>
      <c r="M40" t="n">
        <v>0</v>
      </c>
      <c r="N40" t="n">
        <v>0</v>
      </c>
      <c r="O40" t="n">
        <v>1</v>
      </c>
      <c r="P40" t="n">
        <v>1</v>
      </c>
      <c r="Q40" t="n">
        <v>1</v>
      </c>
      <c r="R40" s="2" t="inlineStr">
        <is>
          <t>Väddnätfjäril</t>
        </is>
      </c>
      <c r="S40">
        <f>HYPERLINK("https://klasma.github.io/Logging_2029/artfynd/A 31124-2024 artfynd.xlsx", "A 31124-2024")</f>
        <v/>
      </c>
      <c r="T40">
        <f>HYPERLINK("https://klasma.github.io/Logging_2029/kartor/A 31124-2024 karta.png", "A 31124-2024")</f>
        <v/>
      </c>
      <c r="V40">
        <f>HYPERLINK("https://klasma.github.io/Logging_2029/klagomål/A 31124-2024 FSC-klagomål.docx", "A 31124-2024")</f>
        <v/>
      </c>
      <c r="W40">
        <f>HYPERLINK("https://klasma.github.io/Logging_2029/klagomålsmail/A 31124-2024 FSC-klagomål mail.docx", "A 31124-2024")</f>
        <v/>
      </c>
      <c r="X40">
        <f>HYPERLINK("https://klasma.github.io/Logging_2029/tillsyn/A 31124-2024 tillsynsbegäran.docx", "A 31124-2024")</f>
        <v/>
      </c>
      <c r="Y40">
        <f>HYPERLINK("https://klasma.github.io/Logging_2029/tillsynsmail/A 31124-2024 tillsynsbegäran mail.docx", "A 31124-2024")</f>
        <v/>
      </c>
    </row>
    <row r="41" ht="15" customHeight="1">
      <c r="A41" t="inlineStr">
        <is>
          <t>A 55633-2024</t>
        </is>
      </c>
      <c r="B41" s="1" t="n">
        <v>45621</v>
      </c>
      <c r="C41" s="1" t="n">
        <v>45964</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31951-2025</t>
        </is>
      </c>
      <c r="B42" s="1" t="n">
        <v>45835.33481481481</v>
      </c>
      <c r="C42" s="1" t="n">
        <v>45964</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164-2024</t>
        </is>
      </c>
      <c r="B43" s="1" t="n">
        <v>45294.49954861111</v>
      </c>
      <c r="C43" s="1" t="n">
        <v>45964</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34993-2025</t>
        </is>
      </c>
      <c r="B44" s="1" t="n">
        <v>45849.82383101852</v>
      </c>
      <c r="C44" s="1" t="n">
        <v>45964</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45964</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6029-2025</t>
        </is>
      </c>
      <c r="B46" s="1" t="n">
        <v>45695</v>
      </c>
      <c r="C46" s="1" t="n">
        <v>45964</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41873-2022</t>
        </is>
      </c>
      <c r="B47" s="1" t="n">
        <v>44829</v>
      </c>
      <c r="C47" s="1" t="n">
        <v>45964</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47601-2025</t>
        </is>
      </c>
      <c r="B48" s="1" t="n">
        <v>45931.46008101852</v>
      </c>
      <c r="C48" s="1" t="n">
        <v>45964</v>
      </c>
      <c r="D48" t="inlineStr">
        <is>
          <t>DALARNAS LÄN</t>
        </is>
      </c>
      <c r="E48" t="inlineStr">
        <is>
          <t>LEKSAND</t>
        </is>
      </c>
      <c r="G48" t="n">
        <v>1.9</v>
      </c>
      <c r="H48" t="n">
        <v>0</v>
      </c>
      <c r="I48" t="n">
        <v>1</v>
      </c>
      <c r="J48" t="n">
        <v>0</v>
      </c>
      <c r="K48" t="n">
        <v>0</v>
      </c>
      <c r="L48" t="n">
        <v>0</v>
      </c>
      <c r="M48" t="n">
        <v>0</v>
      </c>
      <c r="N48" t="n">
        <v>0</v>
      </c>
      <c r="O48" t="n">
        <v>0</v>
      </c>
      <c r="P48" t="n">
        <v>0</v>
      </c>
      <c r="Q48" t="n">
        <v>1</v>
      </c>
      <c r="R48" s="2" t="inlineStr">
        <is>
          <t>Vågbandad barkbock</t>
        </is>
      </c>
      <c r="S48">
        <f>HYPERLINK("https://klasma.github.io/Logging_2029/artfynd/A 47601-2025 artfynd.xlsx", "A 47601-2025")</f>
        <v/>
      </c>
      <c r="T48">
        <f>HYPERLINK("https://klasma.github.io/Logging_2029/kartor/A 47601-2025 karta.png", "A 47601-2025")</f>
        <v/>
      </c>
      <c r="V48">
        <f>HYPERLINK("https://klasma.github.io/Logging_2029/klagomål/A 47601-2025 FSC-klagomål.docx", "A 47601-2025")</f>
        <v/>
      </c>
      <c r="W48">
        <f>HYPERLINK("https://klasma.github.io/Logging_2029/klagomålsmail/A 47601-2025 FSC-klagomål mail.docx", "A 47601-2025")</f>
        <v/>
      </c>
      <c r="X48">
        <f>HYPERLINK("https://klasma.github.io/Logging_2029/tillsyn/A 47601-2025 tillsynsbegäran.docx", "A 47601-2025")</f>
        <v/>
      </c>
      <c r="Y48">
        <f>HYPERLINK("https://klasma.github.io/Logging_2029/tillsynsmail/A 47601-2025 tillsynsbegäran mail.docx", "A 47601-2025")</f>
        <v/>
      </c>
    </row>
    <row r="49" ht="15" customHeight="1">
      <c r="A49" t="inlineStr">
        <is>
          <t>A 45375-2025</t>
        </is>
      </c>
      <c r="B49" s="1" t="n">
        <v>45922.39347222223</v>
      </c>
      <c r="C49" s="1" t="n">
        <v>45964</v>
      </c>
      <c r="D49" t="inlineStr">
        <is>
          <t>DALARNAS LÄN</t>
        </is>
      </c>
      <c r="E49" t="inlineStr">
        <is>
          <t>LEKSAND</t>
        </is>
      </c>
      <c r="G49" t="n">
        <v>4.3</v>
      </c>
      <c r="H49" t="n">
        <v>1</v>
      </c>
      <c r="I49" t="n">
        <v>0</v>
      </c>
      <c r="J49" t="n">
        <v>0</v>
      </c>
      <c r="K49" t="n">
        <v>0</v>
      </c>
      <c r="L49" t="n">
        <v>1</v>
      </c>
      <c r="M49" t="n">
        <v>0</v>
      </c>
      <c r="N49" t="n">
        <v>0</v>
      </c>
      <c r="O49" t="n">
        <v>1</v>
      </c>
      <c r="P49" t="n">
        <v>1</v>
      </c>
      <c r="Q49" t="n">
        <v>1</v>
      </c>
      <c r="R49" s="2" t="inlineStr">
        <is>
          <t>Mosippa</t>
        </is>
      </c>
      <c r="S49">
        <f>HYPERLINK("https://klasma.github.io/Logging_2029/artfynd/A 45375-2025 artfynd.xlsx", "A 45375-2025")</f>
        <v/>
      </c>
      <c r="T49">
        <f>HYPERLINK("https://klasma.github.io/Logging_2029/kartor/A 45375-2025 karta.png", "A 45375-2025")</f>
        <v/>
      </c>
      <c r="V49">
        <f>HYPERLINK("https://klasma.github.io/Logging_2029/klagomål/A 45375-2025 FSC-klagomål.docx", "A 45375-2025")</f>
        <v/>
      </c>
      <c r="W49">
        <f>HYPERLINK("https://klasma.github.io/Logging_2029/klagomålsmail/A 45375-2025 FSC-klagomål mail.docx", "A 45375-2025")</f>
        <v/>
      </c>
      <c r="X49">
        <f>HYPERLINK("https://klasma.github.io/Logging_2029/tillsyn/A 45375-2025 tillsynsbegäran.docx", "A 45375-2025")</f>
        <v/>
      </c>
      <c r="Y49">
        <f>HYPERLINK("https://klasma.github.io/Logging_2029/tillsynsmail/A 45375-2025 tillsynsbegäran mail.docx", "A 45375-2025")</f>
        <v/>
      </c>
    </row>
    <row r="50" ht="15" customHeight="1">
      <c r="A50" t="inlineStr">
        <is>
          <t>A 36778-2025</t>
        </is>
      </c>
      <c r="B50" s="1" t="n">
        <v>45873</v>
      </c>
      <c r="C50" s="1" t="n">
        <v>45964</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1078-2021</t>
        </is>
      </c>
      <c r="B51" s="1" t="n">
        <v>44207</v>
      </c>
      <c r="C51" s="1" t="n">
        <v>45964</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45964</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45964</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45964</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45964</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45964</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45964</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45964</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45964</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45964</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45964</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45964</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45964</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45964</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45964</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45964</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45964</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45964</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45964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45964</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45964</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45964</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45964</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45964</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45964</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45964</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45964</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45964</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45964</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45964</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45964</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36956-2021</t>
        </is>
      </c>
      <c r="B82" s="1" t="n">
        <v>44393.55643518519</v>
      </c>
      <c r="C82" s="1" t="n">
        <v>45964</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46672-2022</t>
        </is>
      </c>
      <c r="B83" s="1" t="n">
        <v>44851</v>
      </c>
      <c r="C83" s="1" t="n">
        <v>45964</v>
      </c>
      <c r="D83" t="inlineStr">
        <is>
          <t>DALARNAS LÄN</t>
        </is>
      </c>
      <c r="E83" t="inlineStr">
        <is>
          <t>LEKSAND</t>
        </is>
      </c>
      <c r="G83" t="n">
        <v>0.7</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45964</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45964</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43410-2021</t>
        </is>
      </c>
      <c r="B86" s="1" t="n">
        <v>44432.60814814815</v>
      </c>
      <c r="C86" s="1" t="n">
        <v>45964</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72155-2021</t>
        </is>
      </c>
      <c r="B87" s="1" t="n">
        <v>44543</v>
      </c>
      <c r="C87" s="1" t="n">
        <v>45964</v>
      </c>
      <c r="D87" t="inlineStr">
        <is>
          <t>DALARNAS LÄN</t>
        </is>
      </c>
      <c r="E87" t="inlineStr">
        <is>
          <t>LEKSAND</t>
        </is>
      </c>
      <c r="G87" t="n">
        <v>2.5</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45964</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45964</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45964</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45964</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19677-2021</t>
        </is>
      </c>
      <c r="B92" s="1" t="n">
        <v>44312</v>
      </c>
      <c r="C92" s="1" t="n">
        <v>45964</v>
      </c>
      <c r="D92" t="inlineStr">
        <is>
          <t>DALARNAS LÄN</t>
        </is>
      </c>
      <c r="E92" t="inlineStr">
        <is>
          <t>LEKSAND</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45964</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45964</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38619-2021</t>
        </is>
      </c>
      <c r="B95" s="1" t="n">
        <v>44409</v>
      </c>
      <c r="C95" s="1" t="n">
        <v>45964</v>
      </c>
      <c r="D95" t="inlineStr">
        <is>
          <t>DALARNAS LÄN</t>
        </is>
      </c>
      <c r="E95" t="inlineStr">
        <is>
          <t>LEKSAND</t>
        </is>
      </c>
      <c r="G95" t="n">
        <v>0.6</v>
      </c>
      <c r="H95" t="n">
        <v>0</v>
      </c>
      <c r="I95" t="n">
        <v>0</v>
      </c>
      <c r="J95" t="n">
        <v>0</v>
      </c>
      <c r="K95" t="n">
        <v>0</v>
      </c>
      <c r="L95" t="n">
        <v>0</v>
      </c>
      <c r="M95" t="n">
        <v>0</v>
      </c>
      <c r="N95" t="n">
        <v>0</v>
      </c>
      <c r="O95" t="n">
        <v>0</v>
      </c>
      <c r="P95" t="n">
        <v>0</v>
      </c>
      <c r="Q95" t="n">
        <v>0</v>
      </c>
      <c r="R95" s="2" t="inlineStr"/>
    </row>
    <row r="96" ht="15" customHeight="1">
      <c r="A96" t="inlineStr">
        <is>
          <t>A 8501-2022</t>
        </is>
      </c>
      <c r="B96" s="1" t="n">
        <v>44613.40672453704</v>
      </c>
      <c r="C96" s="1" t="n">
        <v>45964</v>
      </c>
      <c r="D96" t="inlineStr">
        <is>
          <t>DALARNAS LÄN</t>
        </is>
      </c>
      <c r="E96" t="inlineStr">
        <is>
          <t>LEKSAND</t>
        </is>
      </c>
      <c r="G96" t="n">
        <v>3</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45964</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45964</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43275-2022</t>
        </is>
      </c>
      <c r="B99" s="1" t="n">
        <v>44824</v>
      </c>
      <c r="C99" s="1" t="n">
        <v>45964</v>
      </c>
      <c r="D99" t="inlineStr">
        <is>
          <t>DALARNAS LÄN</t>
        </is>
      </c>
      <c r="E99" t="inlineStr">
        <is>
          <t>LEKSAND</t>
        </is>
      </c>
      <c r="G99" t="n">
        <v>2.1</v>
      </c>
      <c r="H99" t="n">
        <v>0</v>
      </c>
      <c r="I99" t="n">
        <v>0</v>
      </c>
      <c r="J99" t="n">
        <v>0</v>
      </c>
      <c r="K99" t="n">
        <v>0</v>
      </c>
      <c r="L99" t="n">
        <v>0</v>
      </c>
      <c r="M99" t="n">
        <v>0</v>
      </c>
      <c r="N99" t="n">
        <v>0</v>
      </c>
      <c r="O99" t="n">
        <v>0</v>
      </c>
      <c r="P99" t="n">
        <v>0</v>
      </c>
      <c r="Q99" t="n">
        <v>0</v>
      </c>
      <c r="R99" s="2" t="inlineStr"/>
    </row>
    <row r="100" ht="15" customHeight="1">
      <c r="A100" t="inlineStr">
        <is>
          <t>A 43304-2022</t>
        </is>
      </c>
      <c r="B100" s="1" t="n">
        <v>44834</v>
      </c>
      <c r="C100" s="1" t="n">
        <v>45964</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45964</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64449-2020</t>
        </is>
      </c>
      <c r="B102" s="1" t="n">
        <v>44168</v>
      </c>
      <c r="C102" s="1" t="n">
        <v>45964</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45964</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45964</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45964</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45964</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45964</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45964</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18040-2024</t>
        </is>
      </c>
      <c r="B109" s="1" t="n">
        <v>45420.36664351852</v>
      </c>
      <c r="C109" s="1" t="n">
        <v>45964</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46141-2022</t>
        </is>
      </c>
      <c r="B110" s="1" t="n">
        <v>44846</v>
      </c>
      <c r="C110" s="1" t="n">
        <v>45964</v>
      </c>
      <c r="D110" t="inlineStr">
        <is>
          <t>DALARNAS LÄN</t>
        </is>
      </c>
      <c r="E110" t="inlineStr">
        <is>
          <t>LEKSAND</t>
        </is>
      </c>
      <c r="G110" t="n">
        <v>2.8</v>
      </c>
      <c r="H110" t="n">
        <v>0</v>
      </c>
      <c r="I110" t="n">
        <v>0</v>
      </c>
      <c r="J110" t="n">
        <v>0</v>
      </c>
      <c r="K110" t="n">
        <v>0</v>
      </c>
      <c r="L110" t="n">
        <v>0</v>
      </c>
      <c r="M110" t="n">
        <v>0</v>
      </c>
      <c r="N110" t="n">
        <v>0</v>
      </c>
      <c r="O110" t="n">
        <v>0</v>
      </c>
      <c r="P110" t="n">
        <v>0</v>
      </c>
      <c r="Q110" t="n">
        <v>0</v>
      </c>
      <c r="R110" s="2" t="inlineStr"/>
    </row>
    <row r="111" ht="15" customHeight="1">
      <c r="A111" t="inlineStr">
        <is>
          <t>A 14616-2024</t>
        </is>
      </c>
      <c r="B111" s="1" t="n">
        <v>45397.2624537037</v>
      </c>
      <c r="C111" s="1" t="n">
        <v>45964</v>
      </c>
      <c r="D111" t="inlineStr">
        <is>
          <t>DALARNAS LÄN</t>
        </is>
      </c>
      <c r="E111" t="inlineStr">
        <is>
          <t>LEKSAND</t>
        </is>
      </c>
      <c r="G111" t="n">
        <v>0.5</v>
      </c>
      <c r="H111" t="n">
        <v>0</v>
      </c>
      <c r="I111" t="n">
        <v>0</v>
      </c>
      <c r="J111" t="n">
        <v>0</v>
      </c>
      <c r="K111" t="n">
        <v>0</v>
      </c>
      <c r="L111" t="n">
        <v>0</v>
      </c>
      <c r="M111" t="n">
        <v>0</v>
      </c>
      <c r="N111" t="n">
        <v>0</v>
      </c>
      <c r="O111" t="n">
        <v>0</v>
      </c>
      <c r="P111" t="n">
        <v>0</v>
      </c>
      <c r="Q111" t="n">
        <v>0</v>
      </c>
      <c r="R111" s="2" t="inlineStr"/>
    </row>
    <row r="112" ht="15" customHeight="1">
      <c r="A112" t="inlineStr">
        <is>
          <t>A 41840-2024</t>
        </is>
      </c>
      <c r="B112" s="1" t="n">
        <v>45561.42170138889</v>
      </c>
      <c r="C112" s="1" t="n">
        <v>45964</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776-2021</t>
        </is>
      </c>
      <c r="B113" s="1" t="n">
        <v>44203</v>
      </c>
      <c r="C113" s="1" t="n">
        <v>45964</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6519-2025</t>
        </is>
      </c>
      <c r="B114" s="1" t="n">
        <v>45699</v>
      </c>
      <c r="C114" s="1" t="n">
        <v>45964</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8045-2024</t>
        </is>
      </c>
      <c r="B115" s="1" t="n">
        <v>45351.31371527778</v>
      </c>
      <c r="C115" s="1" t="n">
        <v>45964</v>
      </c>
      <c r="D115" t="inlineStr">
        <is>
          <t>DALARNAS LÄN</t>
        </is>
      </c>
      <c r="E115" t="inlineStr">
        <is>
          <t>LEKSAND</t>
        </is>
      </c>
      <c r="G115" t="n">
        <v>6.7</v>
      </c>
      <c r="H115" t="n">
        <v>0</v>
      </c>
      <c r="I115" t="n">
        <v>0</v>
      </c>
      <c r="J115" t="n">
        <v>0</v>
      </c>
      <c r="K115" t="n">
        <v>0</v>
      </c>
      <c r="L115" t="n">
        <v>0</v>
      </c>
      <c r="M115" t="n">
        <v>0</v>
      </c>
      <c r="N115" t="n">
        <v>0</v>
      </c>
      <c r="O115" t="n">
        <v>0</v>
      </c>
      <c r="P115" t="n">
        <v>0</v>
      </c>
      <c r="Q115" t="n">
        <v>0</v>
      </c>
      <c r="R115" s="2" t="inlineStr"/>
    </row>
    <row r="116" ht="15" customHeight="1">
      <c r="A116" t="inlineStr">
        <is>
          <t>A 33001-2023</t>
        </is>
      </c>
      <c r="B116" s="1" t="n">
        <v>45125</v>
      </c>
      <c r="C116" s="1" t="n">
        <v>45964</v>
      </c>
      <c r="D116" t="inlineStr">
        <is>
          <t>DALARNAS LÄN</t>
        </is>
      </c>
      <c r="E116" t="inlineStr">
        <is>
          <t>LEKSAND</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1946-2024</t>
        </is>
      </c>
      <c r="B117" s="1" t="n">
        <v>45308</v>
      </c>
      <c r="C117" s="1" t="n">
        <v>45964</v>
      </c>
      <c r="D117" t="inlineStr">
        <is>
          <t>DALARNAS LÄN</t>
        </is>
      </c>
      <c r="E117" t="inlineStr">
        <is>
          <t>LEKSAND</t>
        </is>
      </c>
      <c r="G117" t="n">
        <v>2.3</v>
      </c>
      <c r="H117" t="n">
        <v>0</v>
      </c>
      <c r="I117" t="n">
        <v>0</v>
      </c>
      <c r="J117" t="n">
        <v>0</v>
      </c>
      <c r="K117" t="n">
        <v>0</v>
      </c>
      <c r="L117" t="n">
        <v>0</v>
      </c>
      <c r="M117" t="n">
        <v>0</v>
      </c>
      <c r="N117" t="n">
        <v>0</v>
      </c>
      <c r="O117" t="n">
        <v>0</v>
      </c>
      <c r="P117" t="n">
        <v>0</v>
      </c>
      <c r="Q117" t="n">
        <v>0</v>
      </c>
      <c r="R117" s="2" t="inlineStr"/>
    </row>
    <row r="118" ht="15" customHeight="1">
      <c r="A118" t="inlineStr">
        <is>
          <t>A 40755-2024</t>
        </is>
      </c>
      <c r="B118" s="1" t="n">
        <v>45558.45815972222</v>
      </c>
      <c r="C118" s="1" t="n">
        <v>45964</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28592-2023</t>
        </is>
      </c>
      <c r="B119" s="1" t="n">
        <v>45103</v>
      </c>
      <c r="C119" s="1" t="n">
        <v>45964</v>
      </c>
      <c r="D119" t="inlineStr">
        <is>
          <t>DALARNAS LÄN</t>
        </is>
      </c>
      <c r="E119" t="inlineStr">
        <is>
          <t>LEKSAND</t>
        </is>
      </c>
      <c r="G119" t="n">
        <v>0.5</v>
      </c>
      <c r="H119" t="n">
        <v>0</v>
      </c>
      <c r="I119" t="n">
        <v>0</v>
      </c>
      <c r="J119" t="n">
        <v>0</v>
      </c>
      <c r="K119" t="n">
        <v>0</v>
      </c>
      <c r="L119" t="n">
        <v>0</v>
      </c>
      <c r="M119" t="n">
        <v>0</v>
      </c>
      <c r="N119" t="n">
        <v>0</v>
      </c>
      <c r="O119" t="n">
        <v>0</v>
      </c>
      <c r="P119" t="n">
        <v>0</v>
      </c>
      <c r="Q119" t="n">
        <v>0</v>
      </c>
      <c r="R119" s="2" t="inlineStr"/>
    </row>
    <row r="120" ht="15" customHeight="1">
      <c r="A120" t="inlineStr">
        <is>
          <t>A 32394-2024</t>
        </is>
      </c>
      <c r="B120" s="1" t="n">
        <v>45512.64349537037</v>
      </c>
      <c r="C120" s="1" t="n">
        <v>45964</v>
      </c>
      <c r="D120" t="inlineStr">
        <is>
          <t>DALARNAS LÄN</t>
        </is>
      </c>
      <c r="E120" t="inlineStr">
        <is>
          <t>LEKSAND</t>
        </is>
      </c>
      <c r="F120" t="inlineStr">
        <is>
          <t>Bergvik skog väst AB</t>
        </is>
      </c>
      <c r="G120" t="n">
        <v>6</v>
      </c>
      <c r="H120" t="n">
        <v>0</v>
      </c>
      <c r="I120" t="n">
        <v>0</v>
      </c>
      <c r="J120" t="n">
        <v>0</v>
      </c>
      <c r="K120" t="n">
        <v>0</v>
      </c>
      <c r="L120" t="n">
        <v>0</v>
      </c>
      <c r="M120" t="n">
        <v>0</v>
      </c>
      <c r="N120" t="n">
        <v>0</v>
      </c>
      <c r="O120" t="n">
        <v>0</v>
      </c>
      <c r="P120" t="n">
        <v>0</v>
      </c>
      <c r="Q120" t="n">
        <v>0</v>
      </c>
      <c r="R120" s="2" t="inlineStr"/>
    </row>
    <row r="121" ht="15" customHeight="1">
      <c r="A121" t="inlineStr">
        <is>
          <t>A 11015-2022</t>
        </is>
      </c>
      <c r="B121" s="1" t="n">
        <v>44628.52340277778</v>
      </c>
      <c r="C121" s="1" t="n">
        <v>45964</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61680-2024</t>
        </is>
      </c>
      <c r="B122" s="1" t="n">
        <v>45647.42890046296</v>
      </c>
      <c r="C122" s="1" t="n">
        <v>45964</v>
      </c>
      <c r="D122" t="inlineStr">
        <is>
          <t>DALARNAS LÄN</t>
        </is>
      </c>
      <c r="E122" t="inlineStr">
        <is>
          <t>LEKSAND</t>
        </is>
      </c>
      <c r="G122" t="n">
        <v>3.6</v>
      </c>
      <c r="H122" t="n">
        <v>0</v>
      </c>
      <c r="I122" t="n">
        <v>0</v>
      </c>
      <c r="J122" t="n">
        <v>0</v>
      </c>
      <c r="K122" t="n">
        <v>0</v>
      </c>
      <c r="L122" t="n">
        <v>0</v>
      </c>
      <c r="M122" t="n">
        <v>0</v>
      </c>
      <c r="N122" t="n">
        <v>0</v>
      </c>
      <c r="O122" t="n">
        <v>0</v>
      </c>
      <c r="P122" t="n">
        <v>0</v>
      </c>
      <c r="Q122" t="n">
        <v>0</v>
      </c>
      <c r="R122" s="2" t="inlineStr"/>
    </row>
    <row r="123" ht="15" customHeight="1">
      <c r="A123" t="inlineStr">
        <is>
          <t>A 40752-2024</t>
        </is>
      </c>
      <c r="B123" s="1" t="n">
        <v>45558.45638888889</v>
      </c>
      <c r="C123" s="1" t="n">
        <v>45964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18484-2024</t>
        </is>
      </c>
      <c r="B124" s="1" t="n">
        <v>45425.52559027778</v>
      </c>
      <c r="C124" s="1" t="n">
        <v>45964</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62295-2023</t>
        </is>
      </c>
      <c r="B125" s="1" t="n">
        <v>45267</v>
      </c>
      <c r="C125" s="1" t="n">
        <v>45964</v>
      </c>
      <c r="D125" t="inlineStr">
        <is>
          <t>DALARNAS LÄN</t>
        </is>
      </c>
      <c r="E125" t="inlineStr">
        <is>
          <t>LEKSAND</t>
        </is>
      </c>
      <c r="G125" t="n">
        <v>2.5</v>
      </c>
      <c r="H125" t="n">
        <v>0</v>
      </c>
      <c r="I125" t="n">
        <v>0</v>
      </c>
      <c r="J125" t="n">
        <v>0</v>
      </c>
      <c r="K125" t="n">
        <v>0</v>
      </c>
      <c r="L125" t="n">
        <v>0</v>
      </c>
      <c r="M125" t="n">
        <v>0</v>
      </c>
      <c r="N125" t="n">
        <v>0</v>
      </c>
      <c r="O125" t="n">
        <v>0</v>
      </c>
      <c r="P125" t="n">
        <v>0</v>
      </c>
      <c r="Q125" t="n">
        <v>0</v>
      </c>
      <c r="R125" s="2" t="inlineStr"/>
    </row>
    <row r="126" ht="15" customHeight="1">
      <c r="A126" t="inlineStr">
        <is>
          <t>A 15882-2023</t>
        </is>
      </c>
      <c r="B126" s="1" t="n">
        <v>45022</v>
      </c>
      <c r="C126" s="1" t="n">
        <v>45964</v>
      </c>
      <c r="D126" t="inlineStr">
        <is>
          <t>DALARNAS LÄN</t>
        </is>
      </c>
      <c r="E126" t="inlineStr">
        <is>
          <t>LEKSAND</t>
        </is>
      </c>
      <c r="G126" t="n">
        <v>0.1</v>
      </c>
      <c r="H126" t="n">
        <v>0</v>
      </c>
      <c r="I126" t="n">
        <v>0</v>
      </c>
      <c r="J126" t="n">
        <v>0</v>
      </c>
      <c r="K126" t="n">
        <v>0</v>
      </c>
      <c r="L126" t="n">
        <v>0</v>
      </c>
      <c r="M126" t="n">
        <v>0</v>
      </c>
      <c r="N126" t="n">
        <v>0</v>
      </c>
      <c r="O126" t="n">
        <v>0</v>
      </c>
      <c r="P126" t="n">
        <v>0</v>
      </c>
      <c r="Q126" t="n">
        <v>0</v>
      </c>
      <c r="R126" s="2" t="inlineStr"/>
    </row>
    <row r="127" ht="15" customHeight="1">
      <c r="A127" t="inlineStr">
        <is>
          <t>A 11418-2023</t>
        </is>
      </c>
      <c r="B127" s="1" t="n">
        <v>44993</v>
      </c>
      <c r="C127" s="1" t="n">
        <v>45964</v>
      </c>
      <c r="D127" t="inlineStr">
        <is>
          <t>DALARNAS LÄN</t>
        </is>
      </c>
      <c r="E127" t="inlineStr">
        <is>
          <t>LEKSAND</t>
        </is>
      </c>
      <c r="G127" t="n">
        <v>2.7</v>
      </c>
      <c r="H127" t="n">
        <v>0</v>
      </c>
      <c r="I127" t="n">
        <v>0</v>
      </c>
      <c r="J127" t="n">
        <v>0</v>
      </c>
      <c r="K127" t="n">
        <v>0</v>
      </c>
      <c r="L127" t="n">
        <v>0</v>
      </c>
      <c r="M127" t="n">
        <v>0</v>
      </c>
      <c r="N127" t="n">
        <v>0</v>
      </c>
      <c r="O127" t="n">
        <v>0</v>
      </c>
      <c r="P127" t="n">
        <v>0</v>
      </c>
      <c r="Q127" t="n">
        <v>0</v>
      </c>
      <c r="R127" s="2" t="inlineStr"/>
    </row>
    <row r="128" ht="15" customHeight="1">
      <c r="A128" t="inlineStr">
        <is>
          <t>A 40407-2024</t>
        </is>
      </c>
      <c r="B128" s="1" t="n">
        <v>45555</v>
      </c>
      <c r="C128" s="1" t="n">
        <v>45964</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33180-2024</t>
        </is>
      </c>
      <c r="B129" s="1" t="n">
        <v>45518.44481481481</v>
      </c>
      <c r="C129" s="1" t="n">
        <v>45964</v>
      </c>
      <c r="D129" t="inlineStr">
        <is>
          <t>DALARNAS LÄN</t>
        </is>
      </c>
      <c r="E129" t="inlineStr">
        <is>
          <t>LEKSAND</t>
        </is>
      </c>
      <c r="G129" t="n">
        <v>7.6</v>
      </c>
      <c r="H129" t="n">
        <v>0</v>
      </c>
      <c r="I129" t="n">
        <v>0</v>
      </c>
      <c r="J129" t="n">
        <v>0</v>
      </c>
      <c r="K129" t="n">
        <v>0</v>
      </c>
      <c r="L129" t="n">
        <v>0</v>
      </c>
      <c r="M129" t="n">
        <v>0</v>
      </c>
      <c r="N129" t="n">
        <v>0</v>
      </c>
      <c r="O129" t="n">
        <v>0</v>
      </c>
      <c r="P129" t="n">
        <v>0</v>
      </c>
      <c r="Q129" t="n">
        <v>0</v>
      </c>
      <c r="R129" s="2" t="inlineStr"/>
    </row>
    <row r="130" ht="15" customHeight="1">
      <c r="A130" t="inlineStr">
        <is>
          <t>A 70099-2021</t>
        </is>
      </c>
      <c r="B130" s="1" t="n">
        <v>44533</v>
      </c>
      <c r="C130" s="1" t="n">
        <v>45964</v>
      </c>
      <c r="D130" t="inlineStr">
        <is>
          <t>DALARNAS LÄN</t>
        </is>
      </c>
      <c r="E130" t="inlineStr">
        <is>
          <t>LEKSAND</t>
        </is>
      </c>
      <c r="G130" t="n">
        <v>2.8</v>
      </c>
      <c r="H130" t="n">
        <v>0</v>
      </c>
      <c r="I130" t="n">
        <v>0</v>
      </c>
      <c r="J130" t="n">
        <v>0</v>
      </c>
      <c r="K130" t="n">
        <v>0</v>
      </c>
      <c r="L130" t="n">
        <v>0</v>
      </c>
      <c r="M130" t="n">
        <v>0</v>
      </c>
      <c r="N130" t="n">
        <v>0</v>
      </c>
      <c r="O130" t="n">
        <v>0</v>
      </c>
      <c r="P130" t="n">
        <v>0</v>
      </c>
      <c r="Q130" t="n">
        <v>0</v>
      </c>
      <c r="R130" s="2" t="inlineStr"/>
    </row>
    <row r="131" ht="15" customHeight="1">
      <c r="A131" t="inlineStr">
        <is>
          <t>A 15173-2025</t>
        </is>
      </c>
      <c r="B131" s="1" t="n">
        <v>45744.50858796296</v>
      </c>
      <c r="C131" s="1" t="n">
        <v>45964</v>
      </c>
      <c r="D131" t="inlineStr">
        <is>
          <t>DALARNAS LÄN</t>
        </is>
      </c>
      <c r="E131" t="inlineStr">
        <is>
          <t>LEKSAND</t>
        </is>
      </c>
      <c r="G131" t="n">
        <v>0.3</v>
      </c>
      <c r="H131" t="n">
        <v>0</v>
      </c>
      <c r="I131" t="n">
        <v>0</v>
      </c>
      <c r="J131" t="n">
        <v>0</v>
      </c>
      <c r="K131" t="n">
        <v>0</v>
      </c>
      <c r="L131" t="n">
        <v>0</v>
      </c>
      <c r="M131" t="n">
        <v>0</v>
      </c>
      <c r="N131" t="n">
        <v>0</v>
      </c>
      <c r="O131" t="n">
        <v>0</v>
      </c>
      <c r="P131" t="n">
        <v>0</v>
      </c>
      <c r="Q131" t="n">
        <v>0</v>
      </c>
      <c r="R131" s="2" t="inlineStr"/>
    </row>
    <row r="132" ht="15" customHeight="1">
      <c r="A132" t="inlineStr">
        <is>
          <t>A 61054-2023</t>
        </is>
      </c>
      <c r="B132" s="1" t="n">
        <v>45261</v>
      </c>
      <c r="C132" s="1" t="n">
        <v>45964</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61056-2023</t>
        </is>
      </c>
      <c r="B133" s="1" t="n">
        <v>45261</v>
      </c>
      <c r="C133" s="1" t="n">
        <v>45964</v>
      </c>
      <c r="D133" t="inlineStr">
        <is>
          <t>DALARNAS LÄN</t>
        </is>
      </c>
      <c r="E133" t="inlineStr">
        <is>
          <t>LEKSAND</t>
        </is>
      </c>
      <c r="G133" t="n">
        <v>0.3</v>
      </c>
      <c r="H133" t="n">
        <v>0</v>
      </c>
      <c r="I133" t="n">
        <v>0</v>
      </c>
      <c r="J133" t="n">
        <v>0</v>
      </c>
      <c r="K133" t="n">
        <v>0</v>
      </c>
      <c r="L133" t="n">
        <v>0</v>
      </c>
      <c r="M133" t="n">
        <v>0</v>
      </c>
      <c r="N133" t="n">
        <v>0</v>
      </c>
      <c r="O133" t="n">
        <v>0</v>
      </c>
      <c r="P133" t="n">
        <v>0</v>
      </c>
      <c r="Q133" t="n">
        <v>0</v>
      </c>
      <c r="R133" s="2" t="inlineStr"/>
    </row>
    <row r="134" ht="15" customHeight="1">
      <c r="A134" t="inlineStr">
        <is>
          <t>A 27791-2023</t>
        </is>
      </c>
      <c r="B134" s="1" t="n">
        <v>45098</v>
      </c>
      <c r="C134" s="1" t="n">
        <v>45964</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52801-2023</t>
        </is>
      </c>
      <c r="B135" s="1" t="n">
        <v>45219</v>
      </c>
      <c r="C135" s="1" t="n">
        <v>45964</v>
      </c>
      <c r="D135" t="inlineStr">
        <is>
          <t>DALARNAS LÄN</t>
        </is>
      </c>
      <c r="E135" t="inlineStr">
        <is>
          <t>LEKSAND</t>
        </is>
      </c>
      <c r="G135" t="n">
        <v>4.9</v>
      </c>
      <c r="H135" t="n">
        <v>0</v>
      </c>
      <c r="I135" t="n">
        <v>0</v>
      </c>
      <c r="J135" t="n">
        <v>0</v>
      </c>
      <c r="K135" t="n">
        <v>0</v>
      </c>
      <c r="L135" t="n">
        <v>0</v>
      </c>
      <c r="M135" t="n">
        <v>0</v>
      </c>
      <c r="N135" t="n">
        <v>0</v>
      </c>
      <c r="O135" t="n">
        <v>0</v>
      </c>
      <c r="P135" t="n">
        <v>0</v>
      </c>
      <c r="Q135" t="n">
        <v>0</v>
      </c>
      <c r="R135" s="2" t="inlineStr"/>
    </row>
    <row r="136" ht="15" customHeight="1">
      <c r="A136" t="inlineStr">
        <is>
          <t>A 9781-2024</t>
        </is>
      </c>
      <c r="B136" s="1" t="n">
        <v>45362.66299768518</v>
      </c>
      <c r="C136" s="1" t="n">
        <v>45964</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5583-2024</t>
        </is>
      </c>
      <c r="B137" s="1" t="n">
        <v>45334</v>
      </c>
      <c r="C137" s="1" t="n">
        <v>45964</v>
      </c>
      <c r="D137" t="inlineStr">
        <is>
          <t>DALARNAS LÄN</t>
        </is>
      </c>
      <c r="E137" t="inlineStr">
        <is>
          <t>LEKSAND</t>
        </is>
      </c>
      <c r="F137" t="inlineStr">
        <is>
          <t>Kyrkan</t>
        </is>
      </c>
      <c r="G137" t="n">
        <v>0.4</v>
      </c>
      <c r="H137" t="n">
        <v>0</v>
      </c>
      <c r="I137" t="n">
        <v>0</v>
      </c>
      <c r="J137" t="n">
        <v>0</v>
      </c>
      <c r="K137" t="n">
        <v>0</v>
      </c>
      <c r="L137" t="n">
        <v>0</v>
      </c>
      <c r="M137" t="n">
        <v>0</v>
      </c>
      <c r="N137" t="n">
        <v>0</v>
      </c>
      <c r="O137" t="n">
        <v>0</v>
      </c>
      <c r="P137" t="n">
        <v>0</v>
      </c>
      <c r="Q137" t="n">
        <v>0</v>
      </c>
      <c r="R137" s="2" t="inlineStr"/>
    </row>
    <row r="138" ht="15" customHeight="1">
      <c r="A138" t="inlineStr">
        <is>
          <t>A 71817-2021</t>
        </is>
      </c>
      <c r="B138" s="1" t="n">
        <v>44543.59780092593</v>
      </c>
      <c r="C138" s="1" t="n">
        <v>45964</v>
      </c>
      <c r="D138" t="inlineStr">
        <is>
          <t>DALARNAS LÄN</t>
        </is>
      </c>
      <c r="E138" t="inlineStr">
        <is>
          <t>LEKSAND</t>
        </is>
      </c>
      <c r="F138" t="inlineStr">
        <is>
          <t>Bergvik skog väst AB</t>
        </is>
      </c>
      <c r="G138" t="n">
        <v>3</v>
      </c>
      <c r="H138" t="n">
        <v>0</v>
      </c>
      <c r="I138" t="n">
        <v>0</v>
      </c>
      <c r="J138" t="n">
        <v>0</v>
      </c>
      <c r="K138" t="n">
        <v>0</v>
      </c>
      <c r="L138" t="n">
        <v>0</v>
      </c>
      <c r="M138" t="n">
        <v>0</v>
      </c>
      <c r="N138" t="n">
        <v>0</v>
      </c>
      <c r="O138" t="n">
        <v>0</v>
      </c>
      <c r="P138" t="n">
        <v>0</v>
      </c>
      <c r="Q138" t="n">
        <v>0</v>
      </c>
      <c r="R138" s="2" t="inlineStr"/>
    </row>
    <row r="139" ht="15" customHeight="1">
      <c r="A139" t="inlineStr">
        <is>
          <t>A 56950-2024</t>
        </is>
      </c>
      <c r="B139" s="1" t="n">
        <v>45625</v>
      </c>
      <c r="C139" s="1" t="n">
        <v>45964</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30175-2023</t>
        </is>
      </c>
      <c r="B140" s="1" t="n">
        <v>45110</v>
      </c>
      <c r="C140" s="1" t="n">
        <v>45964</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59103-2024</t>
        </is>
      </c>
      <c r="B141" s="1" t="n">
        <v>45637.34184027778</v>
      </c>
      <c r="C141" s="1" t="n">
        <v>45964</v>
      </c>
      <c r="D141" t="inlineStr">
        <is>
          <t>DALARNAS LÄN</t>
        </is>
      </c>
      <c r="E141" t="inlineStr">
        <is>
          <t>LEKSAND</t>
        </is>
      </c>
      <c r="G141" t="n">
        <v>1.5</v>
      </c>
      <c r="H141" t="n">
        <v>0</v>
      </c>
      <c r="I141" t="n">
        <v>0</v>
      </c>
      <c r="J141" t="n">
        <v>0</v>
      </c>
      <c r="K141" t="n">
        <v>0</v>
      </c>
      <c r="L141" t="n">
        <v>0</v>
      </c>
      <c r="M141" t="n">
        <v>0</v>
      </c>
      <c r="N141" t="n">
        <v>0</v>
      </c>
      <c r="O141" t="n">
        <v>0</v>
      </c>
      <c r="P141" t="n">
        <v>0</v>
      </c>
      <c r="Q141" t="n">
        <v>0</v>
      </c>
      <c r="R141" s="2" t="inlineStr"/>
    </row>
    <row r="142" ht="15" customHeight="1">
      <c r="A142" t="inlineStr">
        <is>
          <t>A 15120-2023</t>
        </is>
      </c>
      <c r="B142" s="1" t="n">
        <v>45016.46484953703</v>
      </c>
      <c r="C142" s="1" t="n">
        <v>45964</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43693-2022</t>
        </is>
      </c>
      <c r="B143" s="1" t="n">
        <v>44837.6369212963</v>
      </c>
      <c r="C143" s="1" t="n">
        <v>45964</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6846-2023</t>
        </is>
      </c>
      <c r="B144" s="1" t="n">
        <v>44967.43953703704</v>
      </c>
      <c r="C144" s="1" t="n">
        <v>45964</v>
      </c>
      <c r="D144" t="inlineStr">
        <is>
          <t>DALARNAS LÄN</t>
        </is>
      </c>
      <c r="E144" t="inlineStr">
        <is>
          <t>LEKSAND</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17413-2023</t>
        </is>
      </c>
      <c r="B145" s="1" t="n">
        <v>45035</v>
      </c>
      <c r="C145" s="1" t="n">
        <v>45964</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5453-2025</t>
        </is>
      </c>
      <c r="B146" s="1" t="n">
        <v>45692.95231481481</v>
      </c>
      <c r="C146" s="1" t="n">
        <v>45964</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11617-2024</t>
        </is>
      </c>
      <c r="B147" s="1" t="n">
        <v>45373.42898148148</v>
      </c>
      <c r="C147" s="1" t="n">
        <v>45964</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1775-2022</t>
        </is>
      </c>
      <c r="B148" s="1" t="n">
        <v>44574</v>
      </c>
      <c r="C148" s="1" t="n">
        <v>45964</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3352-2024</t>
        </is>
      </c>
      <c r="B149" s="1" t="n">
        <v>45317</v>
      </c>
      <c r="C149" s="1" t="n">
        <v>45964</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56753-2023</t>
        </is>
      </c>
      <c r="B150" s="1" t="n">
        <v>45244.37094907407</v>
      </c>
      <c r="C150" s="1" t="n">
        <v>45964</v>
      </c>
      <c r="D150" t="inlineStr">
        <is>
          <t>DALARNAS LÄN</t>
        </is>
      </c>
      <c r="E150" t="inlineStr">
        <is>
          <t>LEKSAND</t>
        </is>
      </c>
      <c r="G150" t="n">
        <v>0.5</v>
      </c>
      <c r="H150" t="n">
        <v>0</v>
      </c>
      <c r="I150" t="n">
        <v>0</v>
      </c>
      <c r="J150" t="n">
        <v>0</v>
      </c>
      <c r="K150" t="n">
        <v>0</v>
      </c>
      <c r="L150" t="n">
        <v>0</v>
      </c>
      <c r="M150" t="n">
        <v>0</v>
      </c>
      <c r="N150" t="n">
        <v>0</v>
      </c>
      <c r="O150" t="n">
        <v>0</v>
      </c>
      <c r="P150" t="n">
        <v>0</v>
      </c>
      <c r="Q150" t="n">
        <v>0</v>
      </c>
      <c r="R150" s="2" t="inlineStr"/>
    </row>
    <row r="151" ht="15" customHeight="1">
      <c r="A151" t="inlineStr">
        <is>
          <t>A 52755-2024</t>
        </is>
      </c>
      <c r="B151" s="1" t="n">
        <v>45610.50217592593</v>
      </c>
      <c r="C151" s="1" t="n">
        <v>45964</v>
      </c>
      <c r="D151" t="inlineStr">
        <is>
          <t>DALARNAS LÄN</t>
        </is>
      </c>
      <c r="E151" t="inlineStr">
        <is>
          <t>LEKSAND</t>
        </is>
      </c>
      <c r="G151" t="n">
        <v>1.3</v>
      </c>
      <c r="H151" t="n">
        <v>0</v>
      </c>
      <c r="I151" t="n">
        <v>0</v>
      </c>
      <c r="J151" t="n">
        <v>0</v>
      </c>
      <c r="K151" t="n">
        <v>0</v>
      </c>
      <c r="L151" t="n">
        <v>0</v>
      </c>
      <c r="M151" t="n">
        <v>0</v>
      </c>
      <c r="N151" t="n">
        <v>0</v>
      </c>
      <c r="O151" t="n">
        <v>0</v>
      </c>
      <c r="P151" t="n">
        <v>0</v>
      </c>
      <c r="Q151" t="n">
        <v>0</v>
      </c>
      <c r="R151" s="2" t="inlineStr"/>
    </row>
    <row r="152" ht="15" customHeight="1">
      <c r="A152" t="inlineStr">
        <is>
          <t>A 43077-2024</t>
        </is>
      </c>
      <c r="B152" s="1" t="n">
        <v>45567.50030092592</v>
      </c>
      <c r="C152" s="1" t="n">
        <v>45964</v>
      </c>
      <c r="D152" t="inlineStr">
        <is>
          <t>DALARNAS LÄN</t>
        </is>
      </c>
      <c r="E152" t="inlineStr">
        <is>
          <t>LEKSAND</t>
        </is>
      </c>
      <c r="G152" t="n">
        <v>1.6</v>
      </c>
      <c r="H152" t="n">
        <v>0</v>
      </c>
      <c r="I152" t="n">
        <v>0</v>
      </c>
      <c r="J152" t="n">
        <v>0</v>
      </c>
      <c r="K152" t="n">
        <v>0</v>
      </c>
      <c r="L152" t="n">
        <v>0</v>
      </c>
      <c r="M152" t="n">
        <v>0</v>
      </c>
      <c r="N152" t="n">
        <v>0</v>
      </c>
      <c r="O152" t="n">
        <v>0</v>
      </c>
      <c r="P152" t="n">
        <v>0</v>
      </c>
      <c r="Q152" t="n">
        <v>0</v>
      </c>
      <c r="R152" s="2" t="inlineStr"/>
    </row>
    <row r="153" ht="15" customHeight="1">
      <c r="A153" t="inlineStr">
        <is>
          <t>A 57899-2024</t>
        </is>
      </c>
      <c r="B153" s="1" t="n">
        <v>45630</v>
      </c>
      <c r="C153" s="1" t="n">
        <v>45964</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13165-2023</t>
        </is>
      </c>
      <c r="B154" s="1" t="n">
        <v>45002.57731481481</v>
      </c>
      <c r="C154" s="1" t="n">
        <v>45964</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38117-2023</t>
        </is>
      </c>
      <c r="B155" s="1" t="n">
        <v>45161</v>
      </c>
      <c r="C155" s="1" t="n">
        <v>45964</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60873-2023</t>
        </is>
      </c>
      <c r="B156" s="1" t="n">
        <v>45261.03266203704</v>
      </c>
      <c r="C156" s="1" t="n">
        <v>45964</v>
      </c>
      <c r="D156" t="inlineStr">
        <is>
          <t>DALARNAS LÄN</t>
        </is>
      </c>
      <c r="E156" t="inlineStr">
        <is>
          <t>LEKSAND</t>
        </is>
      </c>
      <c r="G156" t="n">
        <v>5.2</v>
      </c>
      <c r="H156" t="n">
        <v>0</v>
      </c>
      <c r="I156" t="n">
        <v>0</v>
      </c>
      <c r="J156" t="n">
        <v>0</v>
      </c>
      <c r="K156" t="n">
        <v>0</v>
      </c>
      <c r="L156" t="n">
        <v>0</v>
      </c>
      <c r="M156" t="n">
        <v>0</v>
      </c>
      <c r="N156" t="n">
        <v>0</v>
      </c>
      <c r="O156" t="n">
        <v>0</v>
      </c>
      <c r="P156" t="n">
        <v>0</v>
      </c>
      <c r="Q156" t="n">
        <v>0</v>
      </c>
      <c r="R156" s="2" t="inlineStr"/>
    </row>
    <row r="157" ht="15" customHeight="1">
      <c r="A157" t="inlineStr">
        <is>
          <t>A 39620-2024</t>
        </is>
      </c>
      <c r="B157" s="1" t="n">
        <v>45552.43163194445</v>
      </c>
      <c r="C157" s="1" t="n">
        <v>45964</v>
      </c>
      <c r="D157" t="inlineStr">
        <is>
          <t>DALARNAS LÄN</t>
        </is>
      </c>
      <c r="E157" t="inlineStr">
        <is>
          <t>LEKSAND</t>
        </is>
      </c>
      <c r="G157" t="n">
        <v>2.3</v>
      </c>
      <c r="H157" t="n">
        <v>0</v>
      </c>
      <c r="I157" t="n">
        <v>0</v>
      </c>
      <c r="J157" t="n">
        <v>0</v>
      </c>
      <c r="K157" t="n">
        <v>0</v>
      </c>
      <c r="L157" t="n">
        <v>0</v>
      </c>
      <c r="M157" t="n">
        <v>0</v>
      </c>
      <c r="N157" t="n">
        <v>0</v>
      </c>
      <c r="O157" t="n">
        <v>0</v>
      </c>
      <c r="P157" t="n">
        <v>0</v>
      </c>
      <c r="Q157" t="n">
        <v>0</v>
      </c>
      <c r="R157" s="2" t="inlineStr"/>
    </row>
    <row r="158" ht="15" customHeight="1">
      <c r="A158" t="inlineStr">
        <is>
          <t>A 59763-2023</t>
        </is>
      </c>
      <c r="B158" s="1" t="n">
        <v>45257</v>
      </c>
      <c r="C158" s="1" t="n">
        <v>45964</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33674-2023</t>
        </is>
      </c>
      <c r="B159" s="1" t="n">
        <v>45132</v>
      </c>
      <c r="C159" s="1" t="n">
        <v>45964</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62306-2023</t>
        </is>
      </c>
      <c r="B160" s="1" t="n">
        <v>45266</v>
      </c>
      <c r="C160" s="1" t="n">
        <v>45964</v>
      </c>
      <c r="D160" t="inlineStr">
        <is>
          <t>DALARNAS LÄN</t>
        </is>
      </c>
      <c r="E160" t="inlineStr">
        <is>
          <t>LEKSAND</t>
        </is>
      </c>
      <c r="G160" t="n">
        <v>1.1</v>
      </c>
      <c r="H160" t="n">
        <v>0</v>
      </c>
      <c r="I160" t="n">
        <v>0</v>
      </c>
      <c r="J160" t="n">
        <v>0</v>
      </c>
      <c r="K160" t="n">
        <v>0</v>
      </c>
      <c r="L160" t="n">
        <v>0</v>
      </c>
      <c r="M160" t="n">
        <v>0</v>
      </c>
      <c r="N160" t="n">
        <v>0</v>
      </c>
      <c r="O160" t="n">
        <v>0</v>
      </c>
      <c r="P160" t="n">
        <v>0</v>
      </c>
      <c r="Q160" t="n">
        <v>0</v>
      </c>
      <c r="R160" s="2" t="inlineStr"/>
    </row>
    <row r="161" ht="15" customHeight="1">
      <c r="A161" t="inlineStr">
        <is>
          <t>A 12581-2025</t>
        </is>
      </c>
      <c r="B161" s="1" t="n">
        <v>45732.62201388889</v>
      </c>
      <c r="C161" s="1" t="n">
        <v>45964</v>
      </c>
      <c r="D161" t="inlineStr">
        <is>
          <t>DALARNAS LÄN</t>
        </is>
      </c>
      <c r="E161" t="inlineStr">
        <is>
          <t>LEKSAND</t>
        </is>
      </c>
      <c r="G161" t="n">
        <v>5.1</v>
      </c>
      <c r="H161" t="n">
        <v>0</v>
      </c>
      <c r="I161" t="n">
        <v>0</v>
      </c>
      <c r="J161" t="n">
        <v>0</v>
      </c>
      <c r="K161" t="n">
        <v>0</v>
      </c>
      <c r="L161" t="n">
        <v>0</v>
      </c>
      <c r="M161" t="n">
        <v>0</v>
      </c>
      <c r="N161" t="n">
        <v>0</v>
      </c>
      <c r="O161" t="n">
        <v>0</v>
      </c>
      <c r="P161" t="n">
        <v>0</v>
      </c>
      <c r="Q161" t="n">
        <v>0</v>
      </c>
      <c r="R161" s="2" t="inlineStr"/>
    </row>
    <row r="162" ht="15" customHeight="1">
      <c r="A162" t="inlineStr">
        <is>
          <t>A 12620-2025</t>
        </is>
      </c>
      <c r="B162" s="1" t="n">
        <v>45733.35498842593</v>
      </c>
      <c r="C162" s="1" t="n">
        <v>45964</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12623-2025</t>
        </is>
      </c>
      <c r="B163" s="1" t="n">
        <v>45733.36079861111</v>
      </c>
      <c r="C163" s="1" t="n">
        <v>45964</v>
      </c>
      <c r="D163" t="inlineStr">
        <is>
          <t>DALARNAS LÄN</t>
        </is>
      </c>
      <c r="E163" t="inlineStr">
        <is>
          <t>LEKSAND</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31971-2024</t>
        </is>
      </c>
      <c r="B164" s="1" t="n">
        <v>45510.55171296297</v>
      </c>
      <c r="C164" s="1" t="n">
        <v>45964</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30204-2024</t>
        </is>
      </c>
      <c r="B165" s="1" t="n">
        <v>45490.35402777778</v>
      </c>
      <c r="C165" s="1" t="n">
        <v>45964</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27445-2024</t>
        </is>
      </c>
      <c r="B166" s="1" t="n">
        <v>45474.42474537037</v>
      </c>
      <c r="C166" s="1" t="n">
        <v>45964</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6050-2023</t>
        </is>
      </c>
      <c r="B167" s="1" t="n">
        <v>44959</v>
      </c>
      <c r="C167" s="1" t="n">
        <v>45964</v>
      </c>
      <c r="D167" t="inlineStr">
        <is>
          <t>DALARNAS LÄN</t>
        </is>
      </c>
      <c r="E167" t="inlineStr">
        <is>
          <t>LEKSAND</t>
        </is>
      </c>
      <c r="G167" t="n">
        <v>6.2</v>
      </c>
      <c r="H167" t="n">
        <v>0</v>
      </c>
      <c r="I167" t="n">
        <v>0</v>
      </c>
      <c r="J167" t="n">
        <v>0</v>
      </c>
      <c r="K167" t="n">
        <v>0</v>
      </c>
      <c r="L167" t="n">
        <v>0</v>
      </c>
      <c r="M167" t="n">
        <v>0</v>
      </c>
      <c r="N167" t="n">
        <v>0</v>
      </c>
      <c r="O167" t="n">
        <v>0</v>
      </c>
      <c r="P167" t="n">
        <v>0</v>
      </c>
      <c r="Q167" t="n">
        <v>0</v>
      </c>
      <c r="R167" s="2" t="inlineStr"/>
    </row>
    <row r="168" ht="15" customHeight="1">
      <c r="A168" t="inlineStr">
        <is>
          <t>A 17730-2024</t>
        </is>
      </c>
      <c r="B168" s="1" t="n">
        <v>45418</v>
      </c>
      <c r="C168" s="1" t="n">
        <v>45964</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22388-2024</t>
        </is>
      </c>
      <c r="B169" s="1" t="n">
        <v>45446</v>
      </c>
      <c r="C169" s="1" t="n">
        <v>45964</v>
      </c>
      <c r="D169" t="inlineStr">
        <is>
          <t>DALARNAS LÄN</t>
        </is>
      </c>
      <c r="E169" t="inlineStr">
        <is>
          <t>LEKSAND</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31728-2024</t>
        </is>
      </c>
      <c r="B170" s="1" t="n">
        <v>45509.34517361111</v>
      </c>
      <c r="C170" s="1" t="n">
        <v>45964</v>
      </c>
      <c r="D170" t="inlineStr">
        <is>
          <t>DALARNAS LÄN</t>
        </is>
      </c>
      <c r="E170" t="inlineStr">
        <is>
          <t>LEKSAND</t>
        </is>
      </c>
      <c r="G170" t="n">
        <v>1.2</v>
      </c>
      <c r="H170" t="n">
        <v>0</v>
      </c>
      <c r="I170" t="n">
        <v>0</v>
      </c>
      <c r="J170" t="n">
        <v>0</v>
      </c>
      <c r="K170" t="n">
        <v>0</v>
      </c>
      <c r="L170" t="n">
        <v>0</v>
      </c>
      <c r="M170" t="n">
        <v>0</v>
      </c>
      <c r="N170" t="n">
        <v>0</v>
      </c>
      <c r="O170" t="n">
        <v>0</v>
      </c>
      <c r="P170" t="n">
        <v>0</v>
      </c>
      <c r="Q170" t="n">
        <v>0</v>
      </c>
      <c r="R170" s="2" t="inlineStr"/>
    </row>
    <row r="171" ht="15" customHeight="1">
      <c r="A171" t="inlineStr">
        <is>
          <t>A 48644-2023</t>
        </is>
      </c>
      <c r="B171" s="1" t="n">
        <v>45208.58997685185</v>
      </c>
      <c r="C171" s="1" t="n">
        <v>45964</v>
      </c>
      <c r="D171" t="inlineStr">
        <is>
          <t>DALARNAS LÄN</t>
        </is>
      </c>
      <c r="E171" t="inlineStr">
        <is>
          <t>LEKSAND</t>
        </is>
      </c>
      <c r="F171" t="inlineStr">
        <is>
          <t>Bergvik skog väst AB</t>
        </is>
      </c>
      <c r="G171" t="n">
        <v>1.3</v>
      </c>
      <c r="H171" t="n">
        <v>0</v>
      </c>
      <c r="I171" t="n">
        <v>0</v>
      </c>
      <c r="J171" t="n">
        <v>0</v>
      </c>
      <c r="K171" t="n">
        <v>0</v>
      </c>
      <c r="L171" t="n">
        <v>0</v>
      </c>
      <c r="M171" t="n">
        <v>0</v>
      </c>
      <c r="N171" t="n">
        <v>0</v>
      </c>
      <c r="O171" t="n">
        <v>0</v>
      </c>
      <c r="P171" t="n">
        <v>0</v>
      </c>
      <c r="Q171" t="n">
        <v>0</v>
      </c>
      <c r="R171" s="2" t="inlineStr"/>
    </row>
    <row r="172" ht="15" customHeight="1">
      <c r="A172" t="inlineStr">
        <is>
          <t>A 20946-2023</t>
        </is>
      </c>
      <c r="B172" s="1" t="n">
        <v>45061</v>
      </c>
      <c r="C172" s="1" t="n">
        <v>45964</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34039-2024</t>
        </is>
      </c>
      <c r="B173" s="1" t="n">
        <v>45523.5974537037</v>
      </c>
      <c r="C173" s="1" t="n">
        <v>45964</v>
      </c>
      <c r="D173" t="inlineStr">
        <is>
          <t>DALARNAS LÄN</t>
        </is>
      </c>
      <c r="E173" t="inlineStr">
        <is>
          <t>LEKSAND</t>
        </is>
      </c>
      <c r="G173" t="n">
        <v>7.1</v>
      </c>
      <c r="H173" t="n">
        <v>0</v>
      </c>
      <c r="I173" t="n">
        <v>0</v>
      </c>
      <c r="J173" t="n">
        <v>0</v>
      </c>
      <c r="K173" t="n">
        <v>0</v>
      </c>
      <c r="L173" t="n">
        <v>0</v>
      </c>
      <c r="M173" t="n">
        <v>0</v>
      </c>
      <c r="N173" t="n">
        <v>0</v>
      </c>
      <c r="O173" t="n">
        <v>0</v>
      </c>
      <c r="P173" t="n">
        <v>0</v>
      </c>
      <c r="Q173" t="n">
        <v>0</v>
      </c>
      <c r="R173" s="2" t="inlineStr"/>
    </row>
    <row r="174" ht="15" customHeight="1">
      <c r="A174" t="inlineStr">
        <is>
          <t>A 31871-2022</t>
        </is>
      </c>
      <c r="B174" s="1" t="n">
        <v>44777.37854166667</v>
      </c>
      <c r="C174" s="1" t="n">
        <v>45964</v>
      </c>
      <c r="D174" t="inlineStr">
        <is>
          <t>DALARNAS LÄN</t>
        </is>
      </c>
      <c r="E174" t="inlineStr">
        <is>
          <t>LEKSAND</t>
        </is>
      </c>
      <c r="G174" t="n">
        <v>4.1</v>
      </c>
      <c r="H174" t="n">
        <v>0</v>
      </c>
      <c r="I174" t="n">
        <v>0</v>
      </c>
      <c r="J174" t="n">
        <v>0</v>
      </c>
      <c r="K174" t="n">
        <v>0</v>
      </c>
      <c r="L174" t="n">
        <v>0</v>
      </c>
      <c r="M174" t="n">
        <v>0</v>
      </c>
      <c r="N174" t="n">
        <v>0</v>
      </c>
      <c r="O174" t="n">
        <v>0</v>
      </c>
      <c r="P174" t="n">
        <v>0</v>
      </c>
      <c r="Q174" t="n">
        <v>0</v>
      </c>
      <c r="R174" s="2" t="inlineStr"/>
    </row>
    <row r="175" ht="15" customHeight="1">
      <c r="A175" t="inlineStr">
        <is>
          <t>A 7759-2025</t>
        </is>
      </c>
      <c r="B175" s="1" t="n">
        <v>45706.53827546296</v>
      </c>
      <c r="C175" s="1" t="n">
        <v>45964</v>
      </c>
      <c r="D175" t="inlineStr">
        <is>
          <t>DALARNAS LÄN</t>
        </is>
      </c>
      <c r="E175" t="inlineStr">
        <is>
          <t>LEKSAND</t>
        </is>
      </c>
      <c r="G175" t="n">
        <v>3.3</v>
      </c>
      <c r="H175" t="n">
        <v>0</v>
      </c>
      <c r="I175" t="n">
        <v>0</v>
      </c>
      <c r="J175" t="n">
        <v>0</v>
      </c>
      <c r="K175" t="n">
        <v>0</v>
      </c>
      <c r="L175" t="n">
        <v>0</v>
      </c>
      <c r="M175" t="n">
        <v>0</v>
      </c>
      <c r="N175" t="n">
        <v>0</v>
      </c>
      <c r="O175" t="n">
        <v>0</v>
      </c>
      <c r="P175" t="n">
        <v>0</v>
      </c>
      <c r="Q175" t="n">
        <v>0</v>
      </c>
      <c r="R175" s="2" t="inlineStr"/>
    </row>
    <row r="176" ht="15" customHeight="1">
      <c r="A176" t="inlineStr">
        <is>
          <t>A 14140-2022</t>
        </is>
      </c>
      <c r="B176" s="1" t="n">
        <v>44651</v>
      </c>
      <c r="C176" s="1" t="n">
        <v>45964</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12356-2023</t>
        </is>
      </c>
      <c r="B177" s="1" t="n">
        <v>44998</v>
      </c>
      <c r="C177" s="1" t="n">
        <v>45964</v>
      </c>
      <c r="D177" t="inlineStr">
        <is>
          <t>DALARNAS LÄN</t>
        </is>
      </c>
      <c r="E177" t="inlineStr">
        <is>
          <t>LEKSAND</t>
        </is>
      </c>
      <c r="G177" t="n">
        <v>1.6</v>
      </c>
      <c r="H177" t="n">
        <v>0</v>
      </c>
      <c r="I177" t="n">
        <v>0</v>
      </c>
      <c r="J177" t="n">
        <v>0</v>
      </c>
      <c r="K177" t="n">
        <v>0</v>
      </c>
      <c r="L177" t="n">
        <v>0</v>
      </c>
      <c r="M177" t="n">
        <v>0</v>
      </c>
      <c r="N177" t="n">
        <v>0</v>
      </c>
      <c r="O177" t="n">
        <v>0</v>
      </c>
      <c r="P177" t="n">
        <v>0</v>
      </c>
      <c r="Q177" t="n">
        <v>0</v>
      </c>
      <c r="R177" s="2" t="inlineStr"/>
    </row>
    <row r="178" ht="15" customHeight="1">
      <c r="A178" t="inlineStr">
        <is>
          <t>A 12363-2023</t>
        </is>
      </c>
      <c r="B178" s="1" t="n">
        <v>44998</v>
      </c>
      <c r="C178" s="1" t="n">
        <v>45964</v>
      </c>
      <c r="D178" t="inlineStr">
        <is>
          <t>DALARNAS LÄN</t>
        </is>
      </c>
      <c r="E178" t="inlineStr">
        <is>
          <t>LEKSAND</t>
        </is>
      </c>
      <c r="G178" t="n">
        <v>10</v>
      </c>
      <c r="H178" t="n">
        <v>0</v>
      </c>
      <c r="I178" t="n">
        <v>0</v>
      </c>
      <c r="J178" t="n">
        <v>0</v>
      </c>
      <c r="K178" t="n">
        <v>0</v>
      </c>
      <c r="L178" t="n">
        <v>0</v>
      </c>
      <c r="M178" t="n">
        <v>0</v>
      </c>
      <c r="N178" t="n">
        <v>0</v>
      </c>
      <c r="O178" t="n">
        <v>0</v>
      </c>
      <c r="P178" t="n">
        <v>0</v>
      </c>
      <c r="Q178" t="n">
        <v>0</v>
      </c>
      <c r="R178" s="2" t="inlineStr"/>
    </row>
    <row r="179" ht="15" customHeight="1">
      <c r="A179" t="inlineStr">
        <is>
          <t>A 325-2023</t>
        </is>
      </c>
      <c r="B179" s="1" t="n">
        <v>44929</v>
      </c>
      <c r="C179" s="1" t="n">
        <v>45964</v>
      </c>
      <c r="D179" t="inlineStr">
        <is>
          <t>DALARNAS LÄN</t>
        </is>
      </c>
      <c r="E179" t="inlineStr">
        <is>
          <t>LEKSAND</t>
        </is>
      </c>
      <c r="F179" t="inlineStr">
        <is>
          <t>Övriga Aktiebolag</t>
        </is>
      </c>
      <c r="G179" t="n">
        <v>7.1</v>
      </c>
      <c r="H179" t="n">
        <v>0</v>
      </c>
      <c r="I179" t="n">
        <v>0</v>
      </c>
      <c r="J179" t="n">
        <v>0</v>
      </c>
      <c r="K179" t="n">
        <v>0</v>
      </c>
      <c r="L179" t="n">
        <v>0</v>
      </c>
      <c r="M179" t="n">
        <v>0</v>
      </c>
      <c r="N179" t="n">
        <v>0</v>
      </c>
      <c r="O179" t="n">
        <v>0</v>
      </c>
      <c r="P179" t="n">
        <v>0</v>
      </c>
      <c r="Q179" t="n">
        <v>0</v>
      </c>
      <c r="R179" s="2" t="inlineStr"/>
    </row>
    <row r="180" ht="15" customHeight="1">
      <c r="A180" t="inlineStr">
        <is>
          <t>A 53799-2023</t>
        </is>
      </c>
      <c r="B180" s="1" t="n">
        <v>45231.35564814815</v>
      </c>
      <c r="C180" s="1" t="n">
        <v>45964</v>
      </c>
      <c r="D180" t="inlineStr">
        <is>
          <t>DALARNAS LÄN</t>
        </is>
      </c>
      <c r="E180" t="inlineStr">
        <is>
          <t>LEKSAND</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62130-2024</t>
        </is>
      </c>
      <c r="B181" s="1" t="n">
        <v>45656.61827546296</v>
      </c>
      <c r="C181" s="1" t="n">
        <v>45964</v>
      </c>
      <c r="D181" t="inlineStr">
        <is>
          <t>DALARNAS LÄN</t>
        </is>
      </c>
      <c r="E181" t="inlineStr">
        <is>
          <t>LEKSAND</t>
        </is>
      </c>
      <c r="G181" t="n">
        <v>11.4</v>
      </c>
      <c r="H181" t="n">
        <v>0</v>
      </c>
      <c r="I181" t="n">
        <v>0</v>
      </c>
      <c r="J181" t="n">
        <v>0</v>
      </c>
      <c r="K181" t="n">
        <v>0</v>
      </c>
      <c r="L181" t="n">
        <v>0</v>
      </c>
      <c r="M181" t="n">
        <v>0</v>
      </c>
      <c r="N181" t="n">
        <v>0</v>
      </c>
      <c r="O181" t="n">
        <v>0</v>
      </c>
      <c r="P181" t="n">
        <v>0</v>
      </c>
      <c r="Q181" t="n">
        <v>0</v>
      </c>
      <c r="R181" s="2" t="inlineStr"/>
    </row>
    <row r="182" ht="15" customHeight="1">
      <c r="A182" t="inlineStr">
        <is>
          <t>A 55015-2024</t>
        </is>
      </c>
      <c r="B182" s="1" t="n">
        <v>45621.35554398148</v>
      </c>
      <c r="C182" s="1" t="n">
        <v>45964</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28674-2024</t>
        </is>
      </c>
      <c r="B183" s="1" t="n">
        <v>45478.47863425926</v>
      </c>
      <c r="C183" s="1" t="n">
        <v>45964</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63513-2023</t>
        </is>
      </c>
      <c r="B184" s="1" t="n">
        <v>45274</v>
      </c>
      <c r="C184" s="1" t="n">
        <v>45964</v>
      </c>
      <c r="D184" t="inlineStr">
        <is>
          <t>DALARNAS LÄN</t>
        </is>
      </c>
      <c r="E184" t="inlineStr">
        <is>
          <t>LEKSAND</t>
        </is>
      </c>
      <c r="G184" t="n">
        <v>2.3</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45964</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56283-2024</t>
        </is>
      </c>
      <c r="B186" s="1" t="n">
        <v>45624.67864583333</v>
      </c>
      <c r="C186" s="1" t="n">
        <v>45964</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59236-2024</t>
        </is>
      </c>
      <c r="B187" s="1" t="n">
        <v>45637.58795138889</v>
      </c>
      <c r="C187" s="1" t="n">
        <v>45964</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19590-2023</t>
        </is>
      </c>
      <c r="B188" s="1" t="n">
        <v>45049</v>
      </c>
      <c r="C188" s="1" t="n">
        <v>45964</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30000-2023</t>
        </is>
      </c>
      <c r="B189" s="1" t="n">
        <v>45109.71128472222</v>
      </c>
      <c r="C189" s="1" t="n">
        <v>45964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53122-2023</t>
        </is>
      </c>
      <c r="B190" s="1" t="n">
        <v>45228</v>
      </c>
      <c r="C190" s="1" t="n">
        <v>45964</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61933-2023</t>
        </is>
      </c>
      <c r="B191" s="1" t="n">
        <v>45266</v>
      </c>
      <c r="C191" s="1" t="n">
        <v>45964</v>
      </c>
      <c r="D191" t="inlineStr">
        <is>
          <t>DALARNAS LÄN</t>
        </is>
      </c>
      <c r="E191" t="inlineStr">
        <is>
          <t>LEKSAND</t>
        </is>
      </c>
      <c r="G191" t="n">
        <v>0.2</v>
      </c>
      <c r="H191" t="n">
        <v>0</v>
      </c>
      <c r="I191" t="n">
        <v>0</v>
      </c>
      <c r="J191" t="n">
        <v>0</v>
      </c>
      <c r="K191" t="n">
        <v>0</v>
      </c>
      <c r="L191" t="n">
        <v>0</v>
      </c>
      <c r="M191" t="n">
        <v>0</v>
      </c>
      <c r="N191" t="n">
        <v>0</v>
      </c>
      <c r="O191" t="n">
        <v>0</v>
      </c>
      <c r="P191" t="n">
        <v>0</v>
      </c>
      <c r="Q191" t="n">
        <v>0</v>
      </c>
      <c r="R191" s="2" t="inlineStr"/>
    </row>
    <row r="192" ht="15" customHeight="1">
      <c r="A192" t="inlineStr">
        <is>
          <t>A 41015-2024</t>
        </is>
      </c>
      <c r="B192" s="1" t="n">
        <v>45559.32537037037</v>
      </c>
      <c r="C192" s="1" t="n">
        <v>45964</v>
      </c>
      <c r="D192" t="inlineStr">
        <is>
          <t>DALARNAS LÄN</t>
        </is>
      </c>
      <c r="E192" t="inlineStr">
        <is>
          <t>LEKSAND</t>
        </is>
      </c>
      <c r="G192" t="n">
        <v>1.6</v>
      </c>
      <c r="H192" t="n">
        <v>0</v>
      </c>
      <c r="I192" t="n">
        <v>0</v>
      </c>
      <c r="J192" t="n">
        <v>0</v>
      </c>
      <c r="K192" t="n">
        <v>0</v>
      </c>
      <c r="L192" t="n">
        <v>0</v>
      </c>
      <c r="M192" t="n">
        <v>0</v>
      </c>
      <c r="N192" t="n">
        <v>0</v>
      </c>
      <c r="O192" t="n">
        <v>0</v>
      </c>
      <c r="P192" t="n">
        <v>0</v>
      </c>
      <c r="Q192" t="n">
        <v>0</v>
      </c>
      <c r="R192" s="2" t="inlineStr"/>
    </row>
    <row r="193" ht="15" customHeight="1">
      <c r="A193" t="inlineStr">
        <is>
          <t>A 18107-2025</t>
        </is>
      </c>
      <c r="B193" s="1" t="n">
        <v>45761.55939814815</v>
      </c>
      <c r="C193" s="1" t="n">
        <v>45964</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49395-2024</t>
        </is>
      </c>
      <c r="B194" s="1" t="n">
        <v>45595</v>
      </c>
      <c r="C194" s="1" t="n">
        <v>45964</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33317-2023</t>
        </is>
      </c>
      <c r="B195" s="1" t="n">
        <v>45127.84586805556</v>
      </c>
      <c r="C195" s="1" t="n">
        <v>45964</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33318-2023</t>
        </is>
      </c>
      <c r="B196" s="1" t="n">
        <v>45127</v>
      </c>
      <c r="C196" s="1" t="n">
        <v>45964</v>
      </c>
      <c r="D196" t="inlineStr">
        <is>
          <t>DALARNAS LÄN</t>
        </is>
      </c>
      <c r="E196" t="inlineStr">
        <is>
          <t>LEKSAND</t>
        </is>
      </c>
      <c r="G196" t="n">
        <v>5.5</v>
      </c>
      <c r="H196" t="n">
        <v>0</v>
      </c>
      <c r="I196" t="n">
        <v>0</v>
      </c>
      <c r="J196" t="n">
        <v>0</v>
      </c>
      <c r="K196" t="n">
        <v>0</v>
      </c>
      <c r="L196" t="n">
        <v>0</v>
      </c>
      <c r="M196" t="n">
        <v>0</v>
      </c>
      <c r="N196" t="n">
        <v>0</v>
      </c>
      <c r="O196" t="n">
        <v>0</v>
      </c>
      <c r="P196" t="n">
        <v>0</v>
      </c>
      <c r="Q196" t="n">
        <v>0</v>
      </c>
      <c r="R196" s="2" t="inlineStr"/>
    </row>
    <row r="197" ht="15" customHeight="1">
      <c r="A197" t="inlineStr">
        <is>
          <t>A 61055-2023</t>
        </is>
      </c>
      <c r="B197" s="1" t="n">
        <v>45261</v>
      </c>
      <c r="C197" s="1" t="n">
        <v>45964</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34038-2024</t>
        </is>
      </c>
      <c r="B198" s="1" t="n">
        <v>45523.59578703704</v>
      </c>
      <c r="C198" s="1" t="n">
        <v>45964</v>
      </c>
      <c r="D198" t="inlineStr">
        <is>
          <t>DALARNAS LÄN</t>
        </is>
      </c>
      <c r="E198" t="inlineStr">
        <is>
          <t>LEKSAND</t>
        </is>
      </c>
      <c r="G198" t="n">
        <v>0.3</v>
      </c>
      <c r="H198" t="n">
        <v>0</v>
      </c>
      <c r="I198" t="n">
        <v>0</v>
      </c>
      <c r="J198" t="n">
        <v>0</v>
      </c>
      <c r="K198" t="n">
        <v>0</v>
      </c>
      <c r="L198" t="n">
        <v>0</v>
      </c>
      <c r="M198" t="n">
        <v>0</v>
      </c>
      <c r="N198" t="n">
        <v>0</v>
      </c>
      <c r="O198" t="n">
        <v>0</v>
      </c>
      <c r="P198" t="n">
        <v>0</v>
      </c>
      <c r="Q198" t="n">
        <v>0</v>
      </c>
      <c r="R198" s="2" t="inlineStr"/>
    </row>
    <row r="199" ht="15" customHeight="1">
      <c r="A199" t="inlineStr">
        <is>
          <t>A 34041-2024</t>
        </is>
      </c>
      <c r="B199" s="1" t="n">
        <v>45523.59895833334</v>
      </c>
      <c r="C199" s="1" t="n">
        <v>45964</v>
      </c>
      <c r="D199" t="inlineStr">
        <is>
          <t>DALARNAS LÄN</t>
        </is>
      </c>
      <c r="E199" t="inlineStr">
        <is>
          <t>LEKSAND</t>
        </is>
      </c>
      <c r="G199" t="n">
        <v>4</v>
      </c>
      <c r="H199" t="n">
        <v>0</v>
      </c>
      <c r="I199" t="n">
        <v>0</v>
      </c>
      <c r="J199" t="n">
        <v>0</v>
      </c>
      <c r="K199" t="n">
        <v>0</v>
      </c>
      <c r="L199" t="n">
        <v>0</v>
      </c>
      <c r="M199" t="n">
        <v>0</v>
      </c>
      <c r="N199" t="n">
        <v>0</v>
      </c>
      <c r="O199" t="n">
        <v>0</v>
      </c>
      <c r="P199" t="n">
        <v>0</v>
      </c>
      <c r="Q199" t="n">
        <v>0</v>
      </c>
      <c r="R199" s="2" t="inlineStr"/>
    </row>
    <row r="200" ht="15" customHeight="1">
      <c r="A200" t="inlineStr">
        <is>
          <t>A 481-2024</t>
        </is>
      </c>
      <c r="B200" s="1" t="n">
        <v>45298</v>
      </c>
      <c r="C200" s="1" t="n">
        <v>45964</v>
      </c>
      <c r="D200" t="inlineStr">
        <is>
          <t>DALARNAS LÄN</t>
        </is>
      </c>
      <c r="E200" t="inlineStr">
        <is>
          <t>LEKSAND</t>
        </is>
      </c>
      <c r="G200" t="n">
        <v>7</v>
      </c>
      <c r="H200" t="n">
        <v>0</v>
      </c>
      <c r="I200" t="n">
        <v>0</v>
      </c>
      <c r="J200" t="n">
        <v>0</v>
      </c>
      <c r="K200" t="n">
        <v>0</v>
      </c>
      <c r="L200" t="n">
        <v>0</v>
      </c>
      <c r="M200" t="n">
        <v>0</v>
      </c>
      <c r="N200" t="n">
        <v>0</v>
      </c>
      <c r="O200" t="n">
        <v>0</v>
      </c>
      <c r="P200" t="n">
        <v>0</v>
      </c>
      <c r="Q200" t="n">
        <v>0</v>
      </c>
      <c r="R200" s="2" t="inlineStr"/>
    </row>
    <row r="201" ht="15" customHeight="1">
      <c r="A201" t="inlineStr">
        <is>
          <t>A 23896-2024</t>
        </is>
      </c>
      <c r="B201" s="1" t="n">
        <v>45455.6758449074</v>
      </c>
      <c r="C201" s="1" t="n">
        <v>45964</v>
      </c>
      <c r="D201" t="inlineStr">
        <is>
          <t>DALARNAS LÄN</t>
        </is>
      </c>
      <c r="E201" t="inlineStr">
        <is>
          <t>LEKSAND</t>
        </is>
      </c>
      <c r="F201" t="inlineStr">
        <is>
          <t>Övriga Aktiebolag</t>
        </is>
      </c>
      <c r="G201" t="n">
        <v>0.9</v>
      </c>
      <c r="H201" t="n">
        <v>0</v>
      </c>
      <c r="I201" t="n">
        <v>0</v>
      </c>
      <c r="J201" t="n">
        <v>0</v>
      </c>
      <c r="K201" t="n">
        <v>0</v>
      </c>
      <c r="L201" t="n">
        <v>0</v>
      </c>
      <c r="M201" t="n">
        <v>0</v>
      </c>
      <c r="N201" t="n">
        <v>0</v>
      </c>
      <c r="O201" t="n">
        <v>0</v>
      </c>
      <c r="P201" t="n">
        <v>0</v>
      </c>
      <c r="Q201" t="n">
        <v>0</v>
      </c>
      <c r="R201" s="2" t="inlineStr"/>
    </row>
    <row r="202" ht="15" customHeight="1">
      <c r="A202" t="inlineStr">
        <is>
          <t>A 6778-2025</t>
        </is>
      </c>
      <c r="B202" s="1" t="n">
        <v>45700.64615740741</v>
      </c>
      <c r="C202" s="1" t="n">
        <v>45964</v>
      </c>
      <c r="D202" t="inlineStr">
        <is>
          <t>DALARNAS LÄN</t>
        </is>
      </c>
      <c r="E202" t="inlineStr">
        <is>
          <t>LEKSAND</t>
        </is>
      </c>
      <c r="G202" t="n">
        <v>2.4</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45964</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14865-2025</t>
        </is>
      </c>
      <c r="B204" s="1" t="n">
        <v>45743.43929398148</v>
      </c>
      <c r="C204" s="1" t="n">
        <v>45964</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28032-2024</t>
        </is>
      </c>
      <c r="B205" s="1" t="n">
        <v>45476.49346064815</v>
      </c>
      <c r="C205" s="1" t="n">
        <v>45964</v>
      </c>
      <c r="D205" t="inlineStr">
        <is>
          <t>DALARNAS LÄN</t>
        </is>
      </c>
      <c r="E205" t="inlineStr">
        <is>
          <t>LEKSAND</t>
        </is>
      </c>
      <c r="G205" t="n">
        <v>2</v>
      </c>
      <c r="H205" t="n">
        <v>0</v>
      </c>
      <c r="I205" t="n">
        <v>0</v>
      </c>
      <c r="J205" t="n">
        <v>0</v>
      </c>
      <c r="K205" t="n">
        <v>0</v>
      </c>
      <c r="L205" t="n">
        <v>0</v>
      </c>
      <c r="M205" t="n">
        <v>0</v>
      </c>
      <c r="N205" t="n">
        <v>0</v>
      </c>
      <c r="O205" t="n">
        <v>0</v>
      </c>
      <c r="P205" t="n">
        <v>0</v>
      </c>
      <c r="Q205" t="n">
        <v>0</v>
      </c>
      <c r="R205" s="2" t="inlineStr"/>
    </row>
    <row r="206" ht="15" customHeight="1">
      <c r="A206" t="inlineStr">
        <is>
          <t>A 11092-2023</t>
        </is>
      </c>
      <c r="B206" s="1" t="n">
        <v>44992</v>
      </c>
      <c r="C206" s="1" t="n">
        <v>45964</v>
      </c>
      <c r="D206" t="inlineStr">
        <is>
          <t>DALARNAS LÄN</t>
        </is>
      </c>
      <c r="E206" t="inlineStr">
        <is>
          <t>LEKSAND</t>
        </is>
      </c>
      <c r="G206" t="n">
        <v>0.5</v>
      </c>
      <c r="H206" t="n">
        <v>0</v>
      </c>
      <c r="I206" t="n">
        <v>0</v>
      </c>
      <c r="J206" t="n">
        <v>0</v>
      </c>
      <c r="K206" t="n">
        <v>0</v>
      </c>
      <c r="L206" t="n">
        <v>0</v>
      </c>
      <c r="M206" t="n">
        <v>0</v>
      </c>
      <c r="N206" t="n">
        <v>0</v>
      </c>
      <c r="O206" t="n">
        <v>0</v>
      </c>
      <c r="P206" t="n">
        <v>0</v>
      </c>
      <c r="Q206" t="n">
        <v>0</v>
      </c>
      <c r="R206" s="2" t="inlineStr"/>
    </row>
    <row r="207" ht="15" customHeight="1">
      <c r="A207" t="inlineStr">
        <is>
          <t>A 28578-2023</t>
        </is>
      </c>
      <c r="B207" s="1" t="n">
        <v>45103</v>
      </c>
      <c r="C207" s="1" t="n">
        <v>45964</v>
      </c>
      <c r="D207" t="inlineStr">
        <is>
          <t>DALARNAS LÄN</t>
        </is>
      </c>
      <c r="E207" t="inlineStr">
        <is>
          <t>LEKSAND</t>
        </is>
      </c>
      <c r="G207" t="n">
        <v>4.4</v>
      </c>
      <c r="H207" t="n">
        <v>0</v>
      </c>
      <c r="I207" t="n">
        <v>0</v>
      </c>
      <c r="J207" t="n">
        <v>0</v>
      </c>
      <c r="K207" t="n">
        <v>0</v>
      </c>
      <c r="L207" t="n">
        <v>0</v>
      </c>
      <c r="M207" t="n">
        <v>0</v>
      </c>
      <c r="N207" t="n">
        <v>0</v>
      </c>
      <c r="O207" t="n">
        <v>0</v>
      </c>
      <c r="P207" t="n">
        <v>0</v>
      </c>
      <c r="Q207" t="n">
        <v>0</v>
      </c>
      <c r="R207" s="2" t="inlineStr"/>
    </row>
    <row r="208" ht="15" customHeight="1">
      <c r="A208" t="inlineStr">
        <is>
          <t>A 50278-2023</t>
        </is>
      </c>
      <c r="B208" s="1" t="n">
        <v>45216.43444444444</v>
      </c>
      <c r="C208" s="1" t="n">
        <v>45964</v>
      </c>
      <c r="D208" t="inlineStr">
        <is>
          <t>DALARNAS LÄN</t>
        </is>
      </c>
      <c r="E208" t="inlineStr">
        <is>
          <t>LEKSAND</t>
        </is>
      </c>
      <c r="G208" t="n">
        <v>0.4</v>
      </c>
      <c r="H208" t="n">
        <v>0</v>
      </c>
      <c r="I208" t="n">
        <v>0</v>
      </c>
      <c r="J208" t="n">
        <v>0</v>
      </c>
      <c r="K208" t="n">
        <v>0</v>
      </c>
      <c r="L208" t="n">
        <v>0</v>
      </c>
      <c r="M208" t="n">
        <v>0</v>
      </c>
      <c r="N208" t="n">
        <v>0</v>
      </c>
      <c r="O208" t="n">
        <v>0</v>
      </c>
      <c r="P208" t="n">
        <v>0</v>
      </c>
      <c r="Q208" t="n">
        <v>0</v>
      </c>
      <c r="R208" s="2" t="inlineStr"/>
    </row>
    <row r="209" ht="15" customHeight="1">
      <c r="A209" t="inlineStr">
        <is>
          <t>A 19371-2024</t>
        </is>
      </c>
      <c r="B209" s="1" t="n">
        <v>45429.34969907408</v>
      </c>
      <c r="C209" s="1" t="n">
        <v>45964</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54911-2024</t>
        </is>
      </c>
      <c r="B210" s="1" t="n">
        <v>45618.68929398148</v>
      </c>
      <c r="C210" s="1" t="n">
        <v>45964</v>
      </c>
      <c r="D210" t="inlineStr">
        <is>
          <t>DALARNAS LÄN</t>
        </is>
      </c>
      <c r="E210" t="inlineStr">
        <is>
          <t>LEKSAND</t>
        </is>
      </c>
      <c r="G210" t="n">
        <v>0.9</v>
      </c>
      <c r="H210" t="n">
        <v>0</v>
      </c>
      <c r="I210" t="n">
        <v>0</v>
      </c>
      <c r="J210" t="n">
        <v>0</v>
      </c>
      <c r="K210" t="n">
        <v>0</v>
      </c>
      <c r="L210" t="n">
        <v>0</v>
      </c>
      <c r="M210" t="n">
        <v>0</v>
      </c>
      <c r="N210" t="n">
        <v>0</v>
      </c>
      <c r="O210" t="n">
        <v>0</v>
      </c>
      <c r="P210" t="n">
        <v>0</v>
      </c>
      <c r="Q210" t="n">
        <v>0</v>
      </c>
      <c r="R210" s="2" t="inlineStr"/>
    </row>
    <row r="211" ht="15" customHeight="1">
      <c r="A211" t="inlineStr">
        <is>
          <t>A 18837-2023</t>
        </is>
      </c>
      <c r="B211" s="1" t="n">
        <v>45044.42940972222</v>
      </c>
      <c r="C211" s="1" t="n">
        <v>45964</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13401-2023</t>
        </is>
      </c>
      <c r="B212" s="1" t="n">
        <v>45005</v>
      </c>
      <c r="C212" s="1" t="n">
        <v>45964</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61288-2022</t>
        </is>
      </c>
      <c r="B213" s="1" t="n">
        <v>44915</v>
      </c>
      <c r="C213" s="1" t="n">
        <v>45964</v>
      </c>
      <c r="D213" t="inlineStr">
        <is>
          <t>DALARNAS LÄN</t>
        </is>
      </c>
      <c r="E213" t="inlineStr">
        <is>
          <t>LEKSAND</t>
        </is>
      </c>
      <c r="G213" t="n">
        <v>1.7</v>
      </c>
      <c r="H213" t="n">
        <v>0</v>
      </c>
      <c r="I213" t="n">
        <v>0</v>
      </c>
      <c r="J213" t="n">
        <v>0</v>
      </c>
      <c r="K213" t="n">
        <v>0</v>
      </c>
      <c r="L213" t="n">
        <v>0</v>
      </c>
      <c r="M213" t="n">
        <v>0</v>
      </c>
      <c r="N213" t="n">
        <v>0</v>
      </c>
      <c r="O213" t="n">
        <v>0</v>
      </c>
      <c r="P213" t="n">
        <v>0</v>
      </c>
      <c r="Q213" t="n">
        <v>0</v>
      </c>
      <c r="R213" s="2" t="inlineStr"/>
    </row>
    <row r="214" ht="15" customHeight="1">
      <c r="A214" t="inlineStr">
        <is>
          <t>A 40193-2024</t>
        </is>
      </c>
      <c r="B214" s="1" t="n">
        <v>45554.5734375</v>
      </c>
      <c r="C214" s="1" t="n">
        <v>45964</v>
      </c>
      <c r="D214" t="inlineStr">
        <is>
          <t>DALARNAS LÄN</t>
        </is>
      </c>
      <c r="E214" t="inlineStr">
        <is>
          <t>LEKSAND</t>
        </is>
      </c>
      <c r="F214" t="inlineStr">
        <is>
          <t>Övriga statliga verk och myndigheter</t>
        </is>
      </c>
      <c r="G214" t="n">
        <v>1</v>
      </c>
      <c r="H214" t="n">
        <v>0</v>
      </c>
      <c r="I214" t="n">
        <v>0</v>
      </c>
      <c r="J214" t="n">
        <v>0</v>
      </c>
      <c r="K214" t="n">
        <v>0</v>
      </c>
      <c r="L214" t="n">
        <v>0</v>
      </c>
      <c r="M214" t="n">
        <v>0</v>
      </c>
      <c r="N214" t="n">
        <v>0</v>
      </c>
      <c r="O214" t="n">
        <v>0</v>
      </c>
      <c r="P214" t="n">
        <v>0</v>
      </c>
      <c r="Q214" t="n">
        <v>0</v>
      </c>
      <c r="R214" s="2" t="inlineStr"/>
    </row>
    <row r="215" ht="15" customHeight="1">
      <c r="A215" t="inlineStr">
        <is>
          <t>A 39558-2023</t>
        </is>
      </c>
      <c r="B215" s="1" t="n">
        <v>45167.38664351852</v>
      </c>
      <c r="C215" s="1" t="n">
        <v>45964</v>
      </c>
      <c r="D215" t="inlineStr">
        <is>
          <t>DALARNAS LÄN</t>
        </is>
      </c>
      <c r="E215" t="inlineStr">
        <is>
          <t>LEKSAND</t>
        </is>
      </c>
      <c r="G215" t="n">
        <v>39.9</v>
      </c>
      <c r="H215" t="n">
        <v>0</v>
      </c>
      <c r="I215" t="n">
        <v>0</v>
      </c>
      <c r="J215" t="n">
        <v>0</v>
      </c>
      <c r="K215" t="n">
        <v>0</v>
      </c>
      <c r="L215" t="n">
        <v>0</v>
      </c>
      <c r="M215" t="n">
        <v>0</v>
      </c>
      <c r="N215" t="n">
        <v>0</v>
      </c>
      <c r="O215" t="n">
        <v>0</v>
      </c>
      <c r="P215" t="n">
        <v>0</v>
      </c>
      <c r="Q215" t="n">
        <v>0</v>
      </c>
      <c r="R215" s="2" t="inlineStr"/>
    </row>
    <row r="216" ht="15" customHeight="1">
      <c r="A216" t="inlineStr">
        <is>
          <t>A 1215-2024</t>
        </is>
      </c>
      <c r="B216" s="1" t="n">
        <v>45302</v>
      </c>
      <c r="C216" s="1" t="n">
        <v>45964</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61502-2023</t>
        </is>
      </c>
      <c r="B217" s="1" t="n">
        <v>45264</v>
      </c>
      <c r="C217" s="1" t="n">
        <v>45964</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60040-2023</t>
        </is>
      </c>
      <c r="B218" s="1" t="n">
        <v>45256</v>
      </c>
      <c r="C218" s="1" t="n">
        <v>45964</v>
      </c>
      <c r="D218" t="inlineStr">
        <is>
          <t>DALARNAS LÄN</t>
        </is>
      </c>
      <c r="E218" t="inlineStr">
        <is>
          <t>LEKSAND</t>
        </is>
      </c>
      <c r="G218" t="n">
        <v>0.9</v>
      </c>
      <c r="H218" t="n">
        <v>0</v>
      </c>
      <c r="I218" t="n">
        <v>0</v>
      </c>
      <c r="J218" t="n">
        <v>0</v>
      </c>
      <c r="K218" t="n">
        <v>0</v>
      </c>
      <c r="L218" t="n">
        <v>0</v>
      </c>
      <c r="M218" t="n">
        <v>0</v>
      </c>
      <c r="N218" t="n">
        <v>0</v>
      </c>
      <c r="O218" t="n">
        <v>0</v>
      </c>
      <c r="P218" t="n">
        <v>0</v>
      </c>
      <c r="Q218" t="n">
        <v>0</v>
      </c>
      <c r="R218" s="2" t="inlineStr"/>
    </row>
    <row r="219" ht="15" customHeight="1">
      <c r="A219" t="inlineStr">
        <is>
          <t>A 23323-2023</t>
        </is>
      </c>
      <c r="B219" s="1" t="n">
        <v>45076</v>
      </c>
      <c r="C219" s="1" t="n">
        <v>45964</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9138-2023</t>
        </is>
      </c>
      <c r="B220" s="1" t="n">
        <v>44974</v>
      </c>
      <c r="C220" s="1" t="n">
        <v>45964</v>
      </c>
      <c r="D220" t="inlineStr">
        <is>
          <t>DALARNAS LÄN</t>
        </is>
      </c>
      <c r="E220" t="inlineStr">
        <is>
          <t>LEKSAND</t>
        </is>
      </c>
      <c r="G220" t="n">
        <v>4.6</v>
      </c>
      <c r="H220" t="n">
        <v>0</v>
      </c>
      <c r="I220" t="n">
        <v>0</v>
      </c>
      <c r="J220" t="n">
        <v>0</v>
      </c>
      <c r="K220" t="n">
        <v>0</v>
      </c>
      <c r="L220" t="n">
        <v>0</v>
      </c>
      <c r="M220" t="n">
        <v>0</v>
      </c>
      <c r="N220" t="n">
        <v>0</v>
      </c>
      <c r="O220" t="n">
        <v>0</v>
      </c>
      <c r="P220" t="n">
        <v>0</v>
      </c>
      <c r="Q220" t="n">
        <v>0</v>
      </c>
      <c r="R220" s="2" t="inlineStr"/>
    </row>
    <row r="221" ht="15" customHeight="1">
      <c r="A221" t="inlineStr">
        <is>
          <t>A 9141-2023</t>
        </is>
      </c>
      <c r="B221" s="1" t="n">
        <v>44974</v>
      </c>
      <c r="C221" s="1" t="n">
        <v>45964</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2630-2025</t>
        </is>
      </c>
      <c r="B222" s="1" t="n">
        <v>45675.85865740741</v>
      </c>
      <c r="C222" s="1" t="n">
        <v>45964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17485-2025</t>
        </is>
      </c>
      <c r="B223" s="1" t="n">
        <v>45757.49976851852</v>
      </c>
      <c r="C223" s="1" t="n">
        <v>45964</v>
      </c>
      <c r="D223" t="inlineStr">
        <is>
          <t>DALARNAS LÄN</t>
        </is>
      </c>
      <c r="E223" t="inlineStr">
        <is>
          <t>LEKSAND</t>
        </is>
      </c>
      <c r="G223" t="n">
        <v>3.7</v>
      </c>
      <c r="H223" t="n">
        <v>0</v>
      </c>
      <c r="I223" t="n">
        <v>0</v>
      </c>
      <c r="J223" t="n">
        <v>0</v>
      </c>
      <c r="K223" t="n">
        <v>0</v>
      </c>
      <c r="L223" t="n">
        <v>0</v>
      </c>
      <c r="M223" t="n">
        <v>0</v>
      </c>
      <c r="N223" t="n">
        <v>0</v>
      </c>
      <c r="O223" t="n">
        <v>0</v>
      </c>
      <c r="P223" t="n">
        <v>0</v>
      </c>
      <c r="Q223" t="n">
        <v>0</v>
      </c>
      <c r="R223" s="2" t="inlineStr"/>
    </row>
    <row r="224" ht="15" customHeight="1">
      <c r="A224" t="inlineStr">
        <is>
          <t>A 15986-2025</t>
        </is>
      </c>
      <c r="B224" s="1" t="n">
        <v>45749.57331018519</v>
      </c>
      <c r="C224" s="1" t="n">
        <v>45964</v>
      </c>
      <c r="D224" t="inlineStr">
        <is>
          <t>DALARNAS LÄN</t>
        </is>
      </c>
      <c r="E224" t="inlineStr">
        <is>
          <t>LEKSAND</t>
        </is>
      </c>
      <c r="G224" t="n">
        <v>2.7</v>
      </c>
      <c r="H224" t="n">
        <v>0</v>
      </c>
      <c r="I224" t="n">
        <v>0</v>
      </c>
      <c r="J224" t="n">
        <v>0</v>
      </c>
      <c r="K224" t="n">
        <v>0</v>
      </c>
      <c r="L224" t="n">
        <v>0</v>
      </c>
      <c r="M224" t="n">
        <v>0</v>
      </c>
      <c r="N224" t="n">
        <v>0</v>
      </c>
      <c r="O224" t="n">
        <v>0</v>
      </c>
      <c r="P224" t="n">
        <v>0</v>
      </c>
      <c r="Q224" t="n">
        <v>0</v>
      </c>
      <c r="R224" s="2" t="inlineStr"/>
    </row>
    <row r="225" ht="15" customHeight="1">
      <c r="A225" t="inlineStr">
        <is>
          <t>A 18176-2024</t>
        </is>
      </c>
      <c r="B225" s="1" t="n">
        <v>45420.63901620371</v>
      </c>
      <c r="C225" s="1" t="n">
        <v>45964</v>
      </c>
      <c r="D225" t="inlineStr">
        <is>
          <t>DALARNAS LÄN</t>
        </is>
      </c>
      <c r="E225" t="inlineStr">
        <is>
          <t>LEKSAND</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52059-2024</t>
        </is>
      </c>
      <c r="B226" s="1" t="n">
        <v>45608.35609953704</v>
      </c>
      <c r="C226" s="1" t="n">
        <v>45964</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21839-2022</t>
        </is>
      </c>
      <c r="B227" s="1" t="n">
        <v>44711</v>
      </c>
      <c r="C227" s="1" t="n">
        <v>45964</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33072-2021</t>
        </is>
      </c>
      <c r="B228" s="1" t="n">
        <v>44375</v>
      </c>
      <c r="C228" s="1" t="n">
        <v>45964</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412-2024</t>
        </is>
      </c>
      <c r="B229" s="1" t="n">
        <v>45296</v>
      </c>
      <c r="C229" s="1" t="n">
        <v>45964</v>
      </c>
      <c r="D229" t="inlineStr">
        <is>
          <t>DALARNAS LÄN</t>
        </is>
      </c>
      <c r="E229" t="inlineStr">
        <is>
          <t>LEKSAND</t>
        </is>
      </c>
      <c r="G229" t="n">
        <v>1.9</v>
      </c>
      <c r="H229" t="n">
        <v>0</v>
      </c>
      <c r="I229" t="n">
        <v>0</v>
      </c>
      <c r="J229" t="n">
        <v>0</v>
      </c>
      <c r="K229" t="n">
        <v>0</v>
      </c>
      <c r="L229" t="n">
        <v>0</v>
      </c>
      <c r="M229" t="n">
        <v>0</v>
      </c>
      <c r="N229" t="n">
        <v>0</v>
      </c>
      <c r="O229" t="n">
        <v>0</v>
      </c>
      <c r="P229" t="n">
        <v>0</v>
      </c>
      <c r="Q229" t="n">
        <v>0</v>
      </c>
      <c r="R229" s="2" t="inlineStr"/>
    </row>
    <row r="230" ht="15" customHeight="1">
      <c r="A230" t="inlineStr">
        <is>
          <t>A 11678-2025</t>
        </is>
      </c>
      <c r="B230" s="1" t="n">
        <v>45726</v>
      </c>
      <c r="C230" s="1" t="n">
        <v>45964</v>
      </c>
      <c r="D230" t="inlineStr">
        <is>
          <t>DALARNAS LÄN</t>
        </is>
      </c>
      <c r="E230" t="inlineStr">
        <is>
          <t>LEKSAND</t>
        </is>
      </c>
      <c r="G230" t="n">
        <v>9.4</v>
      </c>
      <c r="H230" t="n">
        <v>0</v>
      </c>
      <c r="I230" t="n">
        <v>0</v>
      </c>
      <c r="J230" t="n">
        <v>0</v>
      </c>
      <c r="K230" t="n">
        <v>0</v>
      </c>
      <c r="L230" t="n">
        <v>0</v>
      </c>
      <c r="M230" t="n">
        <v>0</v>
      </c>
      <c r="N230" t="n">
        <v>0</v>
      </c>
      <c r="O230" t="n">
        <v>0</v>
      </c>
      <c r="P230" t="n">
        <v>0</v>
      </c>
      <c r="Q230" t="n">
        <v>0</v>
      </c>
      <c r="R230" s="2" t="inlineStr"/>
    </row>
    <row r="231" ht="15" customHeight="1">
      <c r="A231" t="inlineStr">
        <is>
          <t>A 55268-2024</t>
        </is>
      </c>
      <c r="B231" s="1" t="n">
        <v>45621.61266203703</v>
      </c>
      <c r="C231" s="1" t="n">
        <v>45964</v>
      </c>
      <c r="D231" t="inlineStr">
        <is>
          <t>DALARNAS LÄN</t>
        </is>
      </c>
      <c r="E231" t="inlineStr">
        <is>
          <t>LEKSAND</t>
        </is>
      </c>
      <c r="G231" t="n">
        <v>4.2</v>
      </c>
      <c r="H231" t="n">
        <v>0</v>
      </c>
      <c r="I231" t="n">
        <v>0</v>
      </c>
      <c r="J231" t="n">
        <v>0</v>
      </c>
      <c r="K231" t="n">
        <v>0</v>
      </c>
      <c r="L231" t="n">
        <v>0</v>
      </c>
      <c r="M231" t="n">
        <v>0</v>
      </c>
      <c r="N231" t="n">
        <v>0</v>
      </c>
      <c r="O231" t="n">
        <v>0</v>
      </c>
      <c r="P231" t="n">
        <v>0</v>
      </c>
      <c r="Q231" t="n">
        <v>0</v>
      </c>
      <c r="R231" s="2" t="inlineStr"/>
    </row>
    <row r="232" ht="15" customHeight="1">
      <c r="A232" t="inlineStr">
        <is>
          <t>A 8743-2023</t>
        </is>
      </c>
      <c r="B232" s="1" t="n">
        <v>44978</v>
      </c>
      <c r="C232" s="1" t="n">
        <v>45964</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56330-2022</t>
        </is>
      </c>
      <c r="B233" s="1" t="n">
        <v>44890.62630787037</v>
      </c>
      <c r="C233" s="1" t="n">
        <v>45964</v>
      </c>
      <c r="D233" t="inlineStr">
        <is>
          <t>DALARNAS LÄN</t>
        </is>
      </c>
      <c r="E233" t="inlineStr">
        <is>
          <t>LEKSAND</t>
        </is>
      </c>
      <c r="G233" t="n">
        <v>4.9</v>
      </c>
      <c r="H233" t="n">
        <v>0</v>
      </c>
      <c r="I233" t="n">
        <v>0</v>
      </c>
      <c r="J233" t="n">
        <v>0</v>
      </c>
      <c r="K233" t="n">
        <v>0</v>
      </c>
      <c r="L233" t="n">
        <v>0</v>
      </c>
      <c r="M233" t="n">
        <v>0</v>
      </c>
      <c r="N233" t="n">
        <v>0</v>
      </c>
      <c r="O233" t="n">
        <v>0</v>
      </c>
      <c r="P233" t="n">
        <v>0</v>
      </c>
      <c r="Q233" t="n">
        <v>0</v>
      </c>
      <c r="R233" s="2" t="inlineStr"/>
    </row>
    <row r="234" ht="15" customHeight="1">
      <c r="A234" t="inlineStr">
        <is>
          <t>A 15020-2023</t>
        </is>
      </c>
      <c r="B234" s="1" t="n">
        <v>45015.6196412037</v>
      </c>
      <c r="C234" s="1" t="n">
        <v>45964</v>
      </c>
      <c r="D234" t="inlineStr">
        <is>
          <t>DALARNAS LÄN</t>
        </is>
      </c>
      <c r="E234" t="inlineStr">
        <is>
          <t>LEKSAND</t>
        </is>
      </c>
      <c r="G234" t="n">
        <v>2.6</v>
      </c>
      <c r="H234" t="n">
        <v>0</v>
      </c>
      <c r="I234" t="n">
        <v>0</v>
      </c>
      <c r="J234" t="n">
        <v>0</v>
      </c>
      <c r="K234" t="n">
        <v>0</v>
      </c>
      <c r="L234" t="n">
        <v>0</v>
      </c>
      <c r="M234" t="n">
        <v>0</v>
      </c>
      <c r="N234" t="n">
        <v>0</v>
      </c>
      <c r="O234" t="n">
        <v>0</v>
      </c>
      <c r="P234" t="n">
        <v>0</v>
      </c>
      <c r="Q234" t="n">
        <v>0</v>
      </c>
      <c r="R234" s="2" t="inlineStr"/>
    </row>
    <row r="235" ht="15" customHeight="1">
      <c r="A235" t="inlineStr">
        <is>
          <t>A 62161-2024</t>
        </is>
      </c>
      <c r="B235" s="1" t="n">
        <v>45656.86009259259</v>
      </c>
      <c r="C235" s="1" t="n">
        <v>45964</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1983-2025</t>
        </is>
      </c>
      <c r="B236" s="1" t="n">
        <v>45670</v>
      </c>
      <c r="C236" s="1" t="n">
        <v>45964</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59673-2023</t>
        </is>
      </c>
      <c r="B237" s="1" t="n">
        <v>45255.44603009259</v>
      </c>
      <c r="C237" s="1" t="n">
        <v>45964</v>
      </c>
      <c r="D237" t="inlineStr">
        <is>
          <t>DALARNAS LÄN</t>
        </is>
      </c>
      <c r="E237" t="inlineStr">
        <is>
          <t>LEKSAND</t>
        </is>
      </c>
      <c r="G237" t="n">
        <v>12.2</v>
      </c>
      <c r="H237" t="n">
        <v>0</v>
      </c>
      <c r="I237" t="n">
        <v>0</v>
      </c>
      <c r="J237" t="n">
        <v>0</v>
      </c>
      <c r="K237" t="n">
        <v>0</v>
      </c>
      <c r="L237" t="n">
        <v>0</v>
      </c>
      <c r="M237" t="n">
        <v>0</v>
      </c>
      <c r="N237" t="n">
        <v>0</v>
      </c>
      <c r="O237" t="n">
        <v>0</v>
      </c>
      <c r="P237" t="n">
        <v>0</v>
      </c>
      <c r="Q237" t="n">
        <v>0</v>
      </c>
      <c r="R237" s="2" t="inlineStr"/>
    </row>
    <row r="238" ht="15" customHeight="1">
      <c r="A238" t="inlineStr">
        <is>
          <t>A 17726-2024</t>
        </is>
      </c>
      <c r="B238" s="1" t="n">
        <v>45418.55609953704</v>
      </c>
      <c r="C238" s="1" t="n">
        <v>45964</v>
      </c>
      <c r="D238" t="inlineStr">
        <is>
          <t>DALARNAS LÄN</t>
        </is>
      </c>
      <c r="E238" t="inlineStr">
        <is>
          <t>LEKSAND</t>
        </is>
      </c>
      <c r="G238" t="n">
        <v>5.2</v>
      </c>
      <c r="H238" t="n">
        <v>0</v>
      </c>
      <c r="I238" t="n">
        <v>0</v>
      </c>
      <c r="J238" t="n">
        <v>0</v>
      </c>
      <c r="K238" t="n">
        <v>0</v>
      </c>
      <c r="L238" t="n">
        <v>0</v>
      </c>
      <c r="M238" t="n">
        <v>0</v>
      </c>
      <c r="N238" t="n">
        <v>0</v>
      </c>
      <c r="O238" t="n">
        <v>0</v>
      </c>
      <c r="P238" t="n">
        <v>0</v>
      </c>
      <c r="Q238" t="n">
        <v>0</v>
      </c>
      <c r="R238" s="2" t="inlineStr"/>
    </row>
    <row r="239" ht="15" customHeight="1">
      <c r="A239" t="inlineStr">
        <is>
          <t>A 32-2024</t>
        </is>
      </c>
      <c r="B239" s="1" t="n">
        <v>45293</v>
      </c>
      <c r="C239" s="1" t="n">
        <v>45964</v>
      </c>
      <c r="D239" t="inlineStr">
        <is>
          <t>DALARNAS LÄN</t>
        </is>
      </c>
      <c r="E239" t="inlineStr">
        <is>
          <t>LEKSAND</t>
        </is>
      </c>
      <c r="G239" t="n">
        <v>0.6</v>
      </c>
      <c r="H239" t="n">
        <v>0</v>
      </c>
      <c r="I239" t="n">
        <v>0</v>
      </c>
      <c r="J239" t="n">
        <v>0</v>
      </c>
      <c r="K239" t="n">
        <v>0</v>
      </c>
      <c r="L239" t="n">
        <v>0</v>
      </c>
      <c r="M239" t="n">
        <v>0</v>
      </c>
      <c r="N239" t="n">
        <v>0</v>
      </c>
      <c r="O239" t="n">
        <v>0</v>
      </c>
      <c r="P239" t="n">
        <v>0</v>
      </c>
      <c r="Q239" t="n">
        <v>0</v>
      </c>
      <c r="R239" s="2" t="inlineStr"/>
    </row>
    <row r="240" ht="15" customHeight="1">
      <c r="A240" t="inlineStr">
        <is>
          <t>A 1719-2024</t>
        </is>
      </c>
      <c r="B240" s="1" t="n">
        <v>45307</v>
      </c>
      <c r="C240" s="1" t="n">
        <v>45964</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59840-2024</t>
        </is>
      </c>
      <c r="B241" s="1" t="n">
        <v>45638</v>
      </c>
      <c r="C241" s="1" t="n">
        <v>45964</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33463-2023</t>
        </is>
      </c>
      <c r="B242" s="1" t="n">
        <v>45131</v>
      </c>
      <c r="C242" s="1" t="n">
        <v>45964</v>
      </c>
      <c r="D242" t="inlineStr">
        <is>
          <t>DALARNAS LÄN</t>
        </is>
      </c>
      <c r="E242" t="inlineStr">
        <is>
          <t>LEKSAND</t>
        </is>
      </c>
      <c r="G242" t="n">
        <v>0.7</v>
      </c>
      <c r="H242" t="n">
        <v>0</v>
      </c>
      <c r="I242" t="n">
        <v>0</v>
      </c>
      <c r="J242" t="n">
        <v>0</v>
      </c>
      <c r="K242" t="n">
        <v>0</v>
      </c>
      <c r="L242" t="n">
        <v>0</v>
      </c>
      <c r="M242" t="n">
        <v>0</v>
      </c>
      <c r="N242" t="n">
        <v>0</v>
      </c>
      <c r="O242" t="n">
        <v>0</v>
      </c>
      <c r="P242" t="n">
        <v>0</v>
      </c>
      <c r="Q242" t="n">
        <v>0</v>
      </c>
      <c r="R242" s="2" t="inlineStr"/>
    </row>
    <row r="243" ht="15" customHeight="1">
      <c r="A243" t="inlineStr">
        <is>
          <t>A 33566-2023</t>
        </is>
      </c>
      <c r="B243" s="1" t="n">
        <v>45131.64390046296</v>
      </c>
      <c r="C243" s="1" t="n">
        <v>45964</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17759-2023</t>
        </is>
      </c>
      <c r="B244" s="1" t="n">
        <v>45037.48765046296</v>
      </c>
      <c r="C244" s="1" t="n">
        <v>45964</v>
      </c>
      <c r="D244" t="inlineStr">
        <is>
          <t>DALARNAS LÄN</t>
        </is>
      </c>
      <c r="E244" t="inlineStr">
        <is>
          <t>LEKSAND</t>
        </is>
      </c>
      <c r="G244" t="n">
        <v>2.1</v>
      </c>
      <c r="H244" t="n">
        <v>0</v>
      </c>
      <c r="I244" t="n">
        <v>0</v>
      </c>
      <c r="J244" t="n">
        <v>0</v>
      </c>
      <c r="K244" t="n">
        <v>0</v>
      </c>
      <c r="L244" t="n">
        <v>0</v>
      </c>
      <c r="M244" t="n">
        <v>0</v>
      </c>
      <c r="N244" t="n">
        <v>0</v>
      </c>
      <c r="O244" t="n">
        <v>0</v>
      </c>
      <c r="P244" t="n">
        <v>0</v>
      </c>
      <c r="Q244" t="n">
        <v>0</v>
      </c>
      <c r="R244" s="2" t="inlineStr"/>
    </row>
    <row r="245" ht="15" customHeight="1">
      <c r="A245" t="inlineStr">
        <is>
          <t>A 55516-2024</t>
        </is>
      </c>
      <c r="B245" s="1" t="n">
        <v>45621</v>
      </c>
      <c r="C245" s="1" t="n">
        <v>45964</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12992-2022</t>
        </is>
      </c>
      <c r="B246" s="1" t="n">
        <v>44643</v>
      </c>
      <c r="C246" s="1" t="n">
        <v>45964</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30611-2023</t>
        </is>
      </c>
      <c r="B247" s="1" t="n">
        <v>45112</v>
      </c>
      <c r="C247" s="1" t="n">
        <v>45964</v>
      </c>
      <c r="D247" t="inlineStr">
        <is>
          <t>DALARNAS LÄN</t>
        </is>
      </c>
      <c r="E247" t="inlineStr">
        <is>
          <t>LEKSAND</t>
        </is>
      </c>
      <c r="G247" t="n">
        <v>3.1</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45964</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44546.46354166666</v>
      </c>
      <c r="C249" s="1" t="n">
        <v>45964</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33143-2024</t>
        </is>
      </c>
      <c r="B250" s="1" t="n">
        <v>45518</v>
      </c>
      <c r="C250" s="1" t="n">
        <v>45964</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8211-2023</t>
        </is>
      </c>
      <c r="B251" s="1" t="n">
        <v>44974</v>
      </c>
      <c r="C251" s="1" t="n">
        <v>45964</v>
      </c>
      <c r="D251" t="inlineStr">
        <is>
          <t>DALARNAS LÄN</t>
        </is>
      </c>
      <c r="E251" t="inlineStr">
        <is>
          <t>LEKSAND</t>
        </is>
      </c>
      <c r="G251" t="n">
        <v>5.2</v>
      </c>
      <c r="H251" t="n">
        <v>0</v>
      </c>
      <c r="I251" t="n">
        <v>0</v>
      </c>
      <c r="J251" t="n">
        <v>0</v>
      </c>
      <c r="K251" t="n">
        <v>0</v>
      </c>
      <c r="L251" t="n">
        <v>0</v>
      </c>
      <c r="M251" t="n">
        <v>0</v>
      </c>
      <c r="N251" t="n">
        <v>0</v>
      </c>
      <c r="O251" t="n">
        <v>0</v>
      </c>
      <c r="P251" t="n">
        <v>0</v>
      </c>
      <c r="Q251" t="n">
        <v>0</v>
      </c>
      <c r="R251" s="2" t="inlineStr"/>
    </row>
    <row r="252" ht="15" customHeight="1">
      <c r="A252" t="inlineStr">
        <is>
          <t>A 12621-2025</t>
        </is>
      </c>
      <c r="B252" s="1" t="n">
        <v>45733.3575</v>
      </c>
      <c r="C252" s="1" t="n">
        <v>45964</v>
      </c>
      <c r="D252" t="inlineStr">
        <is>
          <t>DALARNAS LÄN</t>
        </is>
      </c>
      <c r="E252" t="inlineStr">
        <is>
          <t>LEKSAND</t>
        </is>
      </c>
      <c r="F252" t="inlineStr">
        <is>
          <t>Bergvik skog väst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10299-2024</t>
        </is>
      </c>
      <c r="B253" s="1" t="n">
        <v>45365.50425925926</v>
      </c>
      <c r="C253" s="1" t="n">
        <v>45964</v>
      </c>
      <c r="D253" t="inlineStr">
        <is>
          <t>DALARNAS LÄN</t>
        </is>
      </c>
      <c r="E253" t="inlineStr">
        <is>
          <t>LEKSAND</t>
        </is>
      </c>
      <c r="G253" t="n">
        <v>3.6</v>
      </c>
      <c r="H253" t="n">
        <v>0</v>
      </c>
      <c r="I253" t="n">
        <v>0</v>
      </c>
      <c r="J253" t="n">
        <v>0</v>
      </c>
      <c r="K253" t="n">
        <v>0</v>
      </c>
      <c r="L253" t="n">
        <v>0</v>
      </c>
      <c r="M253" t="n">
        <v>0</v>
      </c>
      <c r="N253" t="n">
        <v>0</v>
      </c>
      <c r="O253" t="n">
        <v>0</v>
      </c>
      <c r="P253" t="n">
        <v>0</v>
      </c>
      <c r="Q253" t="n">
        <v>0</v>
      </c>
      <c r="R253" s="2" t="inlineStr"/>
    </row>
    <row r="254" ht="15" customHeight="1">
      <c r="A254" t="inlineStr">
        <is>
          <t>A 50447-2023</t>
        </is>
      </c>
      <c r="B254" s="1" t="n">
        <v>45216.72185185185</v>
      </c>
      <c r="C254" s="1" t="n">
        <v>45964</v>
      </c>
      <c r="D254" t="inlineStr">
        <is>
          <t>DALARNAS LÄN</t>
        </is>
      </c>
      <c r="E254" t="inlineStr">
        <is>
          <t>LEKSAND</t>
        </is>
      </c>
      <c r="G254" t="n">
        <v>1.1</v>
      </c>
      <c r="H254" t="n">
        <v>0</v>
      </c>
      <c r="I254" t="n">
        <v>0</v>
      </c>
      <c r="J254" t="n">
        <v>0</v>
      </c>
      <c r="K254" t="n">
        <v>0</v>
      </c>
      <c r="L254" t="n">
        <v>0</v>
      </c>
      <c r="M254" t="n">
        <v>0</v>
      </c>
      <c r="N254" t="n">
        <v>0</v>
      </c>
      <c r="O254" t="n">
        <v>0</v>
      </c>
      <c r="P254" t="n">
        <v>0</v>
      </c>
      <c r="Q254" t="n">
        <v>0</v>
      </c>
      <c r="R254" s="2" t="inlineStr"/>
    </row>
    <row r="255" ht="15" customHeight="1">
      <c r="A255" t="inlineStr">
        <is>
          <t>A 402-2024</t>
        </is>
      </c>
      <c r="B255" s="1" t="n">
        <v>45296.45545138889</v>
      </c>
      <c r="C255" s="1" t="n">
        <v>45964</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16135-2023</t>
        </is>
      </c>
      <c r="B256" s="1" t="n">
        <v>45027.63717592593</v>
      </c>
      <c r="C256" s="1" t="n">
        <v>45964</v>
      </c>
      <c r="D256" t="inlineStr">
        <is>
          <t>DALARNAS LÄN</t>
        </is>
      </c>
      <c r="E256" t="inlineStr">
        <is>
          <t>LEKSAND</t>
        </is>
      </c>
      <c r="G256" t="n">
        <v>4.9</v>
      </c>
      <c r="H256" t="n">
        <v>0</v>
      </c>
      <c r="I256" t="n">
        <v>0</v>
      </c>
      <c r="J256" t="n">
        <v>0</v>
      </c>
      <c r="K256" t="n">
        <v>0</v>
      </c>
      <c r="L256" t="n">
        <v>0</v>
      </c>
      <c r="M256" t="n">
        <v>0</v>
      </c>
      <c r="N256" t="n">
        <v>0</v>
      </c>
      <c r="O256" t="n">
        <v>0</v>
      </c>
      <c r="P256" t="n">
        <v>0</v>
      </c>
      <c r="Q256" t="n">
        <v>0</v>
      </c>
      <c r="R256" s="2" t="inlineStr"/>
    </row>
    <row r="257" ht="15" customHeight="1">
      <c r="A257" t="inlineStr">
        <is>
          <t>A 46876-2023</t>
        </is>
      </c>
      <c r="B257" s="1" t="n">
        <v>45200</v>
      </c>
      <c r="C257" s="1" t="n">
        <v>45964</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45155-2021</t>
        </is>
      </c>
      <c r="B258" s="1" t="n">
        <v>44439</v>
      </c>
      <c r="C258" s="1" t="n">
        <v>45964</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59859-2023</t>
        </is>
      </c>
      <c r="B259" s="1" t="n">
        <v>45257</v>
      </c>
      <c r="C259" s="1" t="n">
        <v>45964</v>
      </c>
      <c r="D259" t="inlineStr">
        <is>
          <t>DALARNAS LÄN</t>
        </is>
      </c>
      <c r="E259" t="inlineStr">
        <is>
          <t>LEKSAND</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2517-2024</t>
        </is>
      </c>
      <c r="B260" s="1" t="n">
        <v>45313</v>
      </c>
      <c r="C260" s="1" t="n">
        <v>45964</v>
      </c>
      <c r="D260" t="inlineStr">
        <is>
          <t>DALARNAS LÄN</t>
        </is>
      </c>
      <c r="E260" t="inlineStr">
        <is>
          <t>LEKSAND</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55512-2024</t>
        </is>
      </c>
      <c r="B261" s="1" t="n">
        <v>45621</v>
      </c>
      <c r="C261" s="1" t="n">
        <v>45964</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39136-2023</t>
        </is>
      </c>
      <c r="B262" s="1" t="n">
        <v>45165</v>
      </c>
      <c r="C262" s="1" t="n">
        <v>45964</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53193-2024</t>
        </is>
      </c>
      <c r="B263" s="1" t="n">
        <v>45610</v>
      </c>
      <c r="C263" s="1" t="n">
        <v>45964</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43470-2024</t>
        </is>
      </c>
      <c r="B264" s="1" t="n">
        <v>45568</v>
      </c>
      <c r="C264" s="1" t="n">
        <v>45964</v>
      </c>
      <c r="D264" t="inlineStr">
        <is>
          <t>DALARNAS LÄN</t>
        </is>
      </c>
      <c r="E264" t="inlineStr">
        <is>
          <t>LEKSAND</t>
        </is>
      </c>
      <c r="G264" t="n">
        <v>3.1</v>
      </c>
      <c r="H264" t="n">
        <v>0</v>
      </c>
      <c r="I264" t="n">
        <v>0</v>
      </c>
      <c r="J264" t="n">
        <v>0</v>
      </c>
      <c r="K264" t="n">
        <v>0</v>
      </c>
      <c r="L264" t="n">
        <v>0</v>
      </c>
      <c r="M264" t="n">
        <v>0</v>
      </c>
      <c r="N264" t="n">
        <v>0</v>
      </c>
      <c r="O264" t="n">
        <v>0</v>
      </c>
      <c r="P264" t="n">
        <v>0</v>
      </c>
      <c r="Q264" t="n">
        <v>0</v>
      </c>
      <c r="R264" s="2" t="inlineStr"/>
    </row>
    <row r="265" ht="15" customHeight="1">
      <c r="A265" t="inlineStr">
        <is>
          <t>A 11606-2025</t>
        </is>
      </c>
      <c r="B265" s="1" t="n">
        <v>45727</v>
      </c>
      <c r="C265" s="1" t="n">
        <v>45964</v>
      </c>
      <c r="D265" t="inlineStr">
        <is>
          <t>DALARNAS LÄN</t>
        </is>
      </c>
      <c r="E265" t="inlineStr">
        <is>
          <t>LEKSAND</t>
        </is>
      </c>
      <c r="G265" t="n">
        <v>2.3</v>
      </c>
      <c r="H265" t="n">
        <v>0</v>
      </c>
      <c r="I265" t="n">
        <v>0</v>
      </c>
      <c r="J265" t="n">
        <v>0</v>
      </c>
      <c r="K265" t="n">
        <v>0</v>
      </c>
      <c r="L265" t="n">
        <v>0</v>
      </c>
      <c r="M265" t="n">
        <v>0</v>
      </c>
      <c r="N265" t="n">
        <v>0</v>
      </c>
      <c r="O265" t="n">
        <v>0</v>
      </c>
      <c r="P265" t="n">
        <v>0</v>
      </c>
      <c r="Q265" t="n">
        <v>0</v>
      </c>
      <c r="R265" s="2" t="inlineStr"/>
    </row>
    <row r="266" ht="15" customHeight="1">
      <c r="A266" t="inlineStr">
        <is>
          <t>A 14615-2024</t>
        </is>
      </c>
      <c r="B266" s="1" t="n">
        <v>45397.26047453703</v>
      </c>
      <c r="C266" s="1" t="n">
        <v>45964</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23663-2024</t>
        </is>
      </c>
      <c r="B267" s="1" t="n">
        <v>45454.57049768518</v>
      </c>
      <c r="C267" s="1" t="n">
        <v>45964</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59199-2024</t>
        </is>
      </c>
      <c r="B268" s="1" t="n">
        <v>45637</v>
      </c>
      <c r="C268" s="1" t="n">
        <v>45964</v>
      </c>
      <c r="D268" t="inlineStr">
        <is>
          <t>DALARNAS LÄN</t>
        </is>
      </c>
      <c r="E268" t="inlineStr">
        <is>
          <t>LEKSAND</t>
        </is>
      </c>
      <c r="G268" t="n">
        <v>5.4</v>
      </c>
      <c r="H268" t="n">
        <v>0</v>
      </c>
      <c r="I268" t="n">
        <v>0</v>
      </c>
      <c r="J268" t="n">
        <v>0</v>
      </c>
      <c r="K268" t="n">
        <v>0</v>
      </c>
      <c r="L268" t="n">
        <v>0</v>
      </c>
      <c r="M268" t="n">
        <v>0</v>
      </c>
      <c r="N268" t="n">
        <v>0</v>
      </c>
      <c r="O268" t="n">
        <v>0</v>
      </c>
      <c r="P268" t="n">
        <v>0</v>
      </c>
      <c r="Q268" t="n">
        <v>0</v>
      </c>
      <c r="R268" s="2" t="inlineStr"/>
    </row>
    <row r="269" ht="15" customHeight="1">
      <c r="A269" t="inlineStr">
        <is>
          <t>A 22683-2022</t>
        </is>
      </c>
      <c r="B269" s="1" t="n">
        <v>44714</v>
      </c>
      <c r="C269" s="1" t="n">
        <v>45964</v>
      </c>
      <c r="D269" t="inlineStr">
        <is>
          <t>DALARNAS LÄN</t>
        </is>
      </c>
      <c r="E269" t="inlineStr">
        <is>
          <t>LEKSAND</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13161-2024</t>
        </is>
      </c>
      <c r="B270" s="1" t="n">
        <v>45386.38972222222</v>
      </c>
      <c r="C270" s="1" t="n">
        <v>45964</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61208-2023</t>
        </is>
      </c>
      <c r="B271" s="1" t="n">
        <v>45260</v>
      </c>
      <c r="C271" s="1" t="n">
        <v>45964</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26062-2024</t>
        </is>
      </c>
      <c r="B272" s="1" t="n">
        <v>45468.3509375</v>
      </c>
      <c r="C272" s="1" t="n">
        <v>45964</v>
      </c>
      <c r="D272" t="inlineStr">
        <is>
          <t>DALARNAS LÄN</t>
        </is>
      </c>
      <c r="E272" t="inlineStr">
        <is>
          <t>LEKSAND</t>
        </is>
      </c>
      <c r="F272" t="inlineStr">
        <is>
          <t>Övriga statliga verk och myndigheter</t>
        </is>
      </c>
      <c r="G272" t="n">
        <v>6.4</v>
      </c>
      <c r="H272" t="n">
        <v>0</v>
      </c>
      <c r="I272" t="n">
        <v>0</v>
      </c>
      <c r="J272" t="n">
        <v>0</v>
      </c>
      <c r="K272" t="n">
        <v>0</v>
      </c>
      <c r="L272" t="n">
        <v>0</v>
      </c>
      <c r="M272" t="n">
        <v>0</v>
      </c>
      <c r="N272" t="n">
        <v>0</v>
      </c>
      <c r="O272" t="n">
        <v>0</v>
      </c>
      <c r="P272" t="n">
        <v>0</v>
      </c>
      <c r="Q272" t="n">
        <v>0</v>
      </c>
      <c r="R272" s="2" t="inlineStr"/>
    </row>
    <row r="273" ht="15" customHeight="1">
      <c r="A273" t="inlineStr">
        <is>
          <t>A 22517-2024</t>
        </is>
      </c>
      <c r="B273" s="1" t="n">
        <v>45447.40143518519</v>
      </c>
      <c r="C273" s="1" t="n">
        <v>45964</v>
      </c>
      <c r="D273" t="inlineStr">
        <is>
          <t>DALARNAS LÄN</t>
        </is>
      </c>
      <c r="E273" t="inlineStr">
        <is>
          <t>LEKSAND</t>
        </is>
      </c>
      <c r="G273" t="n">
        <v>0.4</v>
      </c>
      <c r="H273" t="n">
        <v>0</v>
      </c>
      <c r="I273" t="n">
        <v>0</v>
      </c>
      <c r="J273" t="n">
        <v>0</v>
      </c>
      <c r="K273" t="n">
        <v>0</v>
      </c>
      <c r="L273" t="n">
        <v>0</v>
      </c>
      <c r="M273" t="n">
        <v>0</v>
      </c>
      <c r="N273" t="n">
        <v>0</v>
      </c>
      <c r="O273" t="n">
        <v>0</v>
      </c>
      <c r="P273" t="n">
        <v>0</v>
      </c>
      <c r="Q273" t="n">
        <v>0</v>
      </c>
      <c r="R273" s="2" t="inlineStr"/>
    </row>
    <row r="274" ht="15" customHeight="1">
      <c r="A274" t="inlineStr">
        <is>
          <t>A 61953-2023</t>
        </is>
      </c>
      <c r="B274" s="1" t="n">
        <v>45266</v>
      </c>
      <c r="C274" s="1" t="n">
        <v>45964</v>
      </c>
      <c r="D274" t="inlineStr">
        <is>
          <t>DALARNAS LÄN</t>
        </is>
      </c>
      <c r="E274" t="inlineStr">
        <is>
          <t>LEKSAND</t>
        </is>
      </c>
      <c r="G274" t="n">
        <v>0.1</v>
      </c>
      <c r="H274" t="n">
        <v>0</v>
      </c>
      <c r="I274" t="n">
        <v>0</v>
      </c>
      <c r="J274" t="n">
        <v>0</v>
      </c>
      <c r="K274" t="n">
        <v>0</v>
      </c>
      <c r="L274" t="n">
        <v>0</v>
      </c>
      <c r="M274" t="n">
        <v>0</v>
      </c>
      <c r="N274" t="n">
        <v>0</v>
      </c>
      <c r="O274" t="n">
        <v>0</v>
      </c>
      <c r="P274" t="n">
        <v>0</v>
      </c>
      <c r="Q274" t="n">
        <v>0</v>
      </c>
      <c r="R274" s="2" t="inlineStr"/>
    </row>
    <row r="275" ht="15" customHeight="1">
      <c r="A275" t="inlineStr">
        <is>
          <t>A 36932-2023</t>
        </is>
      </c>
      <c r="B275" s="1" t="n">
        <v>45154</v>
      </c>
      <c r="C275" s="1" t="n">
        <v>45964</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2579-2022</t>
        </is>
      </c>
      <c r="B276" s="1" t="n">
        <v>44580</v>
      </c>
      <c r="C276" s="1" t="n">
        <v>45964</v>
      </c>
      <c r="D276" t="inlineStr">
        <is>
          <t>DALARNAS LÄN</t>
        </is>
      </c>
      <c r="E276" t="inlineStr">
        <is>
          <t>LEKSAND</t>
        </is>
      </c>
      <c r="G276" t="n">
        <v>0.3</v>
      </c>
      <c r="H276" t="n">
        <v>0</v>
      </c>
      <c r="I276" t="n">
        <v>0</v>
      </c>
      <c r="J276" t="n">
        <v>0</v>
      </c>
      <c r="K276" t="n">
        <v>0</v>
      </c>
      <c r="L276" t="n">
        <v>0</v>
      </c>
      <c r="M276" t="n">
        <v>0</v>
      </c>
      <c r="N276" t="n">
        <v>0</v>
      </c>
      <c r="O276" t="n">
        <v>0</v>
      </c>
      <c r="P276" t="n">
        <v>0</v>
      </c>
      <c r="Q276" t="n">
        <v>0</v>
      </c>
      <c r="R276" s="2" t="inlineStr"/>
    </row>
    <row r="277" ht="15" customHeight="1">
      <c r="A277" t="inlineStr">
        <is>
          <t>A 16815-2025</t>
        </is>
      </c>
      <c r="B277" s="1" t="n">
        <v>45754</v>
      </c>
      <c r="C277" s="1" t="n">
        <v>45964</v>
      </c>
      <c r="D277" t="inlineStr">
        <is>
          <t>DALARNAS LÄN</t>
        </is>
      </c>
      <c r="E277" t="inlineStr">
        <is>
          <t>LEKSAND</t>
        </is>
      </c>
      <c r="G277" t="n">
        <v>2.8</v>
      </c>
      <c r="H277" t="n">
        <v>0</v>
      </c>
      <c r="I277" t="n">
        <v>0</v>
      </c>
      <c r="J277" t="n">
        <v>0</v>
      </c>
      <c r="K277" t="n">
        <v>0</v>
      </c>
      <c r="L277" t="n">
        <v>0</v>
      </c>
      <c r="M277" t="n">
        <v>0</v>
      </c>
      <c r="N277" t="n">
        <v>0</v>
      </c>
      <c r="O277" t="n">
        <v>0</v>
      </c>
      <c r="P277" t="n">
        <v>0</v>
      </c>
      <c r="Q277" t="n">
        <v>0</v>
      </c>
      <c r="R277" s="2" t="inlineStr"/>
    </row>
    <row r="278" ht="15" customHeight="1">
      <c r="A278" t="inlineStr">
        <is>
          <t>A 16854-2025</t>
        </is>
      </c>
      <c r="B278" s="1" t="n">
        <v>45754.72883101852</v>
      </c>
      <c r="C278" s="1" t="n">
        <v>45964</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62133-2023</t>
        </is>
      </c>
      <c r="B279" s="1" t="n">
        <v>45267.35582175926</v>
      </c>
      <c r="C279" s="1" t="n">
        <v>45964</v>
      </c>
      <c r="D279" t="inlineStr">
        <is>
          <t>DALARNAS LÄN</t>
        </is>
      </c>
      <c r="E279" t="inlineStr">
        <is>
          <t>LEKSAND</t>
        </is>
      </c>
      <c r="G279" t="n">
        <v>1.3</v>
      </c>
      <c r="H279" t="n">
        <v>0</v>
      </c>
      <c r="I279" t="n">
        <v>0</v>
      </c>
      <c r="J279" t="n">
        <v>0</v>
      </c>
      <c r="K279" t="n">
        <v>0</v>
      </c>
      <c r="L279" t="n">
        <v>0</v>
      </c>
      <c r="M279" t="n">
        <v>0</v>
      </c>
      <c r="N279" t="n">
        <v>0</v>
      </c>
      <c r="O279" t="n">
        <v>0</v>
      </c>
      <c r="P279" t="n">
        <v>0</v>
      </c>
      <c r="Q279" t="n">
        <v>0</v>
      </c>
      <c r="R279" s="2" t="inlineStr"/>
    </row>
    <row r="280" ht="15" customHeight="1">
      <c r="A280" t="inlineStr">
        <is>
          <t>A 57013-2023</t>
        </is>
      </c>
      <c r="B280" s="1" t="n">
        <v>45244</v>
      </c>
      <c r="C280" s="1" t="n">
        <v>45964</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2140-2024</t>
        </is>
      </c>
      <c r="B281" s="1" t="n">
        <v>45309</v>
      </c>
      <c r="C281" s="1" t="n">
        <v>45964</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19622-2024</t>
        </is>
      </c>
      <c r="B282" s="1" t="n">
        <v>45432.33592592592</v>
      </c>
      <c r="C282" s="1" t="n">
        <v>45964</v>
      </c>
      <c r="D282" t="inlineStr">
        <is>
          <t>DALARNAS LÄN</t>
        </is>
      </c>
      <c r="E282" t="inlineStr">
        <is>
          <t>LEKSAND</t>
        </is>
      </c>
      <c r="G282" t="n">
        <v>1.3</v>
      </c>
      <c r="H282" t="n">
        <v>0</v>
      </c>
      <c r="I282" t="n">
        <v>0</v>
      </c>
      <c r="J282" t="n">
        <v>0</v>
      </c>
      <c r="K282" t="n">
        <v>0</v>
      </c>
      <c r="L282" t="n">
        <v>0</v>
      </c>
      <c r="M282" t="n">
        <v>0</v>
      </c>
      <c r="N282" t="n">
        <v>0</v>
      </c>
      <c r="O282" t="n">
        <v>0</v>
      </c>
      <c r="P282" t="n">
        <v>0</v>
      </c>
      <c r="Q282" t="n">
        <v>0</v>
      </c>
      <c r="R282" s="2" t="inlineStr"/>
    </row>
    <row r="283" ht="15" customHeight="1">
      <c r="A283" t="inlineStr">
        <is>
          <t>A 23615-2024</t>
        </is>
      </c>
      <c r="B283" s="1" t="n">
        <v>45454.43050925926</v>
      </c>
      <c r="C283" s="1" t="n">
        <v>45964</v>
      </c>
      <c r="D283" t="inlineStr">
        <is>
          <t>DALARNAS LÄN</t>
        </is>
      </c>
      <c r="E283" t="inlineStr">
        <is>
          <t>LEKSAND</t>
        </is>
      </c>
      <c r="G283" t="n">
        <v>1.7</v>
      </c>
      <c r="H283" t="n">
        <v>0</v>
      </c>
      <c r="I283" t="n">
        <v>0</v>
      </c>
      <c r="J283" t="n">
        <v>0</v>
      </c>
      <c r="K283" t="n">
        <v>0</v>
      </c>
      <c r="L283" t="n">
        <v>0</v>
      </c>
      <c r="M283" t="n">
        <v>0</v>
      </c>
      <c r="N283" t="n">
        <v>0</v>
      </c>
      <c r="O283" t="n">
        <v>0</v>
      </c>
      <c r="P283" t="n">
        <v>0</v>
      </c>
      <c r="Q283" t="n">
        <v>0</v>
      </c>
      <c r="R283" s="2" t="inlineStr"/>
    </row>
    <row r="284" ht="15" customHeight="1">
      <c r="A284" t="inlineStr">
        <is>
          <t>A 40009-2024</t>
        </is>
      </c>
      <c r="B284" s="1" t="n">
        <v>45553.65361111111</v>
      </c>
      <c r="C284" s="1" t="n">
        <v>45964</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10967-2023</t>
        </is>
      </c>
      <c r="B285" s="1" t="n">
        <v>44991.58001157407</v>
      </c>
      <c r="C285" s="1" t="n">
        <v>45964</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10974-2023</t>
        </is>
      </c>
      <c r="B286" s="1" t="n">
        <v>44991.59049768518</v>
      </c>
      <c r="C286" s="1" t="n">
        <v>45964</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22349-2024</t>
        </is>
      </c>
      <c r="B287" s="1" t="n">
        <v>45446</v>
      </c>
      <c r="C287" s="1" t="n">
        <v>45964</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40230-2023</t>
        </is>
      </c>
      <c r="B288" s="1" t="n">
        <v>45169.46887731482</v>
      </c>
      <c r="C288" s="1" t="n">
        <v>45964</v>
      </c>
      <c r="D288" t="inlineStr">
        <is>
          <t>DALARNAS LÄN</t>
        </is>
      </c>
      <c r="E288" t="inlineStr">
        <is>
          <t>LEKSAND</t>
        </is>
      </c>
      <c r="G288" t="n">
        <v>0.5</v>
      </c>
      <c r="H288" t="n">
        <v>0</v>
      </c>
      <c r="I288" t="n">
        <v>0</v>
      </c>
      <c r="J288" t="n">
        <v>0</v>
      </c>
      <c r="K288" t="n">
        <v>0</v>
      </c>
      <c r="L288" t="n">
        <v>0</v>
      </c>
      <c r="M288" t="n">
        <v>0</v>
      </c>
      <c r="N288" t="n">
        <v>0</v>
      </c>
      <c r="O288" t="n">
        <v>0</v>
      </c>
      <c r="P288" t="n">
        <v>0</v>
      </c>
      <c r="Q288" t="n">
        <v>0</v>
      </c>
      <c r="R288" s="2" t="inlineStr"/>
    </row>
    <row r="289" ht="15" customHeight="1">
      <c r="A289" t="inlineStr">
        <is>
          <t>A 47203-2023</t>
        </is>
      </c>
      <c r="B289" s="1" t="n">
        <v>45202</v>
      </c>
      <c r="C289" s="1" t="n">
        <v>45964</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53717-2023</t>
        </is>
      </c>
      <c r="B290" s="1" t="n">
        <v>45230</v>
      </c>
      <c r="C290" s="1" t="n">
        <v>45964</v>
      </c>
      <c r="D290" t="inlineStr">
        <is>
          <t>DALARNAS LÄN</t>
        </is>
      </c>
      <c r="E290" t="inlineStr">
        <is>
          <t>LEKSAND</t>
        </is>
      </c>
      <c r="G290" t="n">
        <v>2.4</v>
      </c>
      <c r="H290" t="n">
        <v>0</v>
      </c>
      <c r="I290" t="n">
        <v>0</v>
      </c>
      <c r="J290" t="n">
        <v>0</v>
      </c>
      <c r="K290" t="n">
        <v>0</v>
      </c>
      <c r="L290" t="n">
        <v>0</v>
      </c>
      <c r="M290" t="n">
        <v>0</v>
      </c>
      <c r="N290" t="n">
        <v>0</v>
      </c>
      <c r="O290" t="n">
        <v>0</v>
      </c>
      <c r="P290" t="n">
        <v>0</v>
      </c>
      <c r="Q290" t="n">
        <v>0</v>
      </c>
      <c r="R290" s="2" t="inlineStr"/>
    </row>
    <row r="291" ht="15" customHeight="1">
      <c r="A291" t="inlineStr">
        <is>
          <t>A 42727-2024</t>
        </is>
      </c>
      <c r="B291" s="1" t="n">
        <v>45566</v>
      </c>
      <c r="C291" s="1" t="n">
        <v>45964</v>
      </c>
      <c r="D291" t="inlineStr">
        <is>
          <t>DALARNAS LÄN</t>
        </is>
      </c>
      <c r="E291" t="inlineStr">
        <is>
          <t>LEKSAND</t>
        </is>
      </c>
      <c r="G291" t="n">
        <v>0.8</v>
      </c>
      <c r="H291" t="n">
        <v>0</v>
      </c>
      <c r="I291" t="n">
        <v>0</v>
      </c>
      <c r="J291" t="n">
        <v>0</v>
      </c>
      <c r="K291" t="n">
        <v>0</v>
      </c>
      <c r="L291" t="n">
        <v>0</v>
      </c>
      <c r="M291" t="n">
        <v>0</v>
      </c>
      <c r="N291" t="n">
        <v>0</v>
      </c>
      <c r="O291" t="n">
        <v>0</v>
      </c>
      <c r="P291" t="n">
        <v>0</v>
      </c>
      <c r="Q291" t="n">
        <v>0</v>
      </c>
      <c r="R291" s="2" t="inlineStr"/>
    </row>
    <row r="292" ht="15" customHeight="1">
      <c r="A292" t="inlineStr">
        <is>
          <t>A 11712-2025</t>
        </is>
      </c>
      <c r="B292" s="1" t="n">
        <v>45727</v>
      </c>
      <c r="C292" s="1" t="n">
        <v>45964</v>
      </c>
      <c r="D292" t="inlineStr">
        <is>
          <t>DALARNAS LÄN</t>
        </is>
      </c>
      <c r="E292" t="inlineStr">
        <is>
          <t>LEKSAND</t>
        </is>
      </c>
      <c r="G292" t="n">
        <v>6</v>
      </c>
      <c r="H292" t="n">
        <v>0</v>
      </c>
      <c r="I292" t="n">
        <v>0</v>
      </c>
      <c r="J292" t="n">
        <v>0</v>
      </c>
      <c r="K292" t="n">
        <v>0</v>
      </c>
      <c r="L292" t="n">
        <v>0</v>
      </c>
      <c r="M292" t="n">
        <v>0</v>
      </c>
      <c r="N292" t="n">
        <v>0</v>
      </c>
      <c r="O292" t="n">
        <v>0</v>
      </c>
      <c r="P292" t="n">
        <v>0</v>
      </c>
      <c r="Q292" t="n">
        <v>0</v>
      </c>
      <c r="R292" s="2" t="inlineStr"/>
    </row>
    <row r="293" ht="15" customHeight="1">
      <c r="A293" t="inlineStr">
        <is>
          <t>A 6030-2025</t>
        </is>
      </c>
      <c r="B293" s="1" t="n">
        <v>45695</v>
      </c>
      <c r="C293" s="1" t="n">
        <v>45964</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57925-2024</t>
        </is>
      </c>
      <c r="B294" s="1" t="n">
        <v>45630</v>
      </c>
      <c r="C294" s="1" t="n">
        <v>45964</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19295-2024</t>
        </is>
      </c>
      <c r="B295" s="1" t="n">
        <v>45428.69106481481</v>
      </c>
      <c r="C295" s="1" t="n">
        <v>45964</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16197-2024</t>
        </is>
      </c>
      <c r="B296" s="1" t="n">
        <v>45406.70356481482</v>
      </c>
      <c r="C296" s="1" t="n">
        <v>45964</v>
      </c>
      <c r="D296" t="inlineStr">
        <is>
          <t>DALARNAS LÄN</t>
        </is>
      </c>
      <c r="E296" t="inlineStr">
        <is>
          <t>LEKSAND</t>
        </is>
      </c>
      <c r="G296" t="n">
        <v>2.4</v>
      </c>
      <c r="H296" t="n">
        <v>0</v>
      </c>
      <c r="I296" t="n">
        <v>0</v>
      </c>
      <c r="J296" t="n">
        <v>0</v>
      </c>
      <c r="K296" t="n">
        <v>0</v>
      </c>
      <c r="L296" t="n">
        <v>0</v>
      </c>
      <c r="M296" t="n">
        <v>0</v>
      </c>
      <c r="N296" t="n">
        <v>0</v>
      </c>
      <c r="O296" t="n">
        <v>0</v>
      </c>
      <c r="P296" t="n">
        <v>0</v>
      </c>
      <c r="Q296" t="n">
        <v>0</v>
      </c>
      <c r="R296" s="2" t="inlineStr"/>
    </row>
    <row r="297" ht="15" customHeight="1">
      <c r="A297" t="inlineStr">
        <is>
          <t>A 11004-2023</t>
        </is>
      </c>
      <c r="B297" s="1" t="n">
        <v>44986</v>
      </c>
      <c r="C297" s="1" t="n">
        <v>45964</v>
      </c>
      <c r="D297" t="inlineStr">
        <is>
          <t>DALARNAS LÄN</t>
        </is>
      </c>
      <c r="E297" t="inlineStr">
        <is>
          <t>LEKSAND</t>
        </is>
      </c>
      <c r="G297" t="n">
        <v>1.3</v>
      </c>
      <c r="H297" t="n">
        <v>0</v>
      </c>
      <c r="I297" t="n">
        <v>0</v>
      </c>
      <c r="J297" t="n">
        <v>0</v>
      </c>
      <c r="K297" t="n">
        <v>0</v>
      </c>
      <c r="L297" t="n">
        <v>0</v>
      </c>
      <c r="M297" t="n">
        <v>0</v>
      </c>
      <c r="N297" t="n">
        <v>0</v>
      </c>
      <c r="O297" t="n">
        <v>0</v>
      </c>
      <c r="P297" t="n">
        <v>0</v>
      </c>
      <c r="Q297" t="n">
        <v>0</v>
      </c>
      <c r="R297" s="2" t="inlineStr"/>
    </row>
    <row r="298" ht="15" customHeight="1">
      <c r="A298" t="inlineStr">
        <is>
          <t>A 42230-2023</t>
        </is>
      </c>
      <c r="B298" s="1" t="n">
        <v>45180</v>
      </c>
      <c r="C298" s="1" t="n">
        <v>45964</v>
      </c>
      <c r="D298" t="inlineStr">
        <is>
          <t>DALARNAS LÄN</t>
        </is>
      </c>
      <c r="E298" t="inlineStr">
        <is>
          <t>LEKSAND</t>
        </is>
      </c>
      <c r="G298" t="n">
        <v>0.6</v>
      </c>
      <c r="H298" t="n">
        <v>0</v>
      </c>
      <c r="I298" t="n">
        <v>0</v>
      </c>
      <c r="J298" t="n">
        <v>0</v>
      </c>
      <c r="K298" t="n">
        <v>0</v>
      </c>
      <c r="L298" t="n">
        <v>0</v>
      </c>
      <c r="M298" t="n">
        <v>0</v>
      </c>
      <c r="N298" t="n">
        <v>0</v>
      </c>
      <c r="O298" t="n">
        <v>0</v>
      </c>
      <c r="P298" t="n">
        <v>0</v>
      </c>
      <c r="Q298" t="n">
        <v>0</v>
      </c>
      <c r="R298" s="2" t="inlineStr"/>
    </row>
    <row r="299" ht="15" customHeight="1">
      <c r="A299" t="inlineStr">
        <is>
          <t>A 32688-2024</t>
        </is>
      </c>
      <c r="B299" s="1" t="n">
        <v>45515.83091435185</v>
      </c>
      <c r="C299" s="1" t="n">
        <v>45964</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43419-2024</t>
        </is>
      </c>
      <c r="B300" s="1" t="n">
        <v>45568</v>
      </c>
      <c r="C300" s="1" t="n">
        <v>45964</v>
      </c>
      <c r="D300" t="inlineStr">
        <is>
          <t>DALARNAS LÄN</t>
        </is>
      </c>
      <c r="E300" t="inlineStr">
        <is>
          <t>LEKSAND</t>
        </is>
      </c>
      <c r="G300" t="n">
        <v>0.4</v>
      </c>
      <c r="H300" t="n">
        <v>0</v>
      </c>
      <c r="I300" t="n">
        <v>0</v>
      </c>
      <c r="J300" t="n">
        <v>0</v>
      </c>
      <c r="K300" t="n">
        <v>0</v>
      </c>
      <c r="L300" t="n">
        <v>0</v>
      </c>
      <c r="M300" t="n">
        <v>0</v>
      </c>
      <c r="N300" t="n">
        <v>0</v>
      </c>
      <c r="O300" t="n">
        <v>0</v>
      </c>
      <c r="P300" t="n">
        <v>0</v>
      </c>
      <c r="Q300" t="n">
        <v>0</v>
      </c>
      <c r="R300" s="2" t="inlineStr"/>
    </row>
    <row r="301" ht="15" customHeight="1">
      <c r="A301" t="inlineStr">
        <is>
          <t>A 47854-2023</t>
        </is>
      </c>
      <c r="B301" s="1" t="n">
        <v>45198</v>
      </c>
      <c r="C301" s="1" t="n">
        <v>45964</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20937-2025</t>
        </is>
      </c>
      <c r="B302" s="1" t="n">
        <v>45777.42769675926</v>
      </c>
      <c r="C302" s="1" t="n">
        <v>45964</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28633-2023</t>
        </is>
      </c>
      <c r="B303" s="1" t="n">
        <v>45103.61575231481</v>
      </c>
      <c r="C303" s="1" t="n">
        <v>45964</v>
      </c>
      <c r="D303" t="inlineStr">
        <is>
          <t>DALARNAS LÄN</t>
        </is>
      </c>
      <c r="E303" t="inlineStr">
        <is>
          <t>LEKSAND</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49581-2022</t>
        </is>
      </c>
      <c r="B304" s="1" t="n">
        <v>44862.36287037037</v>
      </c>
      <c r="C304" s="1" t="n">
        <v>45964</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9459-2023</t>
        </is>
      </c>
      <c r="B305" s="1" t="n">
        <v>44977</v>
      </c>
      <c r="C305" s="1" t="n">
        <v>45964</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20683-2025</t>
        </is>
      </c>
      <c r="B306" s="1" t="n">
        <v>45776</v>
      </c>
      <c r="C306" s="1" t="n">
        <v>45964</v>
      </c>
      <c r="D306" t="inlineStr">
        <is>
          <t>DALARNAS LÄN</t>
        </is>
      </c>
      <c r="E306" t="inlineStr">
        <is>
          <t>LEKSAND</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30198-2024</t>
        </is>
      </c>
      <c r="B307" s="1" t="n">
        <v>45490.34765046297</v>
      </c>
      <c r="C307" s="1" t="n">
        <v>45964</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59718-2023</t>
        </is>
      </c>
      <c r="B308" s="1" t="n">
        <v>45257</v>
      </c>
      <c r="C308" s="1" t="n">
        <v>45964</v>
      </c>
      <c r="D308" t="inlineStr">
        <is>
          <t>DALARNAS LÄN</t>
        </is>
      </c>
      <c r="E308" t="inlineStr">
        <is>
          <t>LEKSAND</t>
        </is>
      </c>
      <c r="G308" t="n">
        <v>2.2</v>
      </c>
      <c r="H308" t="n">
        <v>0</v>
      </c>
      <c r="I308" t="n">
        <v>0</v>
      </c>
      <c r="J308" t="n">
        <v>0</v>
      </c>
      <c r="K308" t="n">
        <v>0</v>
      </c>
      <c r="L308" t="n">
        <v>0</v>
      </c>
      <c r="M308" t="n">
        <v>0</v>
      </c>
      <c r="N308" t="n">
        <v>0</v>
      </c>
      <c r="O308" t="n">
        <v>0</v>
      </c>
      <c r="P308" t="n">
        <v>0</v>
      </c>
      <c r="Q308" t="n">
        <v>0</v>
      </c>
      <c r="R308" s="2" t="inlineStr"/>
    </row>
    <row r="309" ht="15" customHeight="1">
      <c r="A309" t="inlineStr">
        <is>
          <t>A 56153-2021</t>
        </is>
      </c>
      <c r="B309" s="1" t="n">
        <v>44477</v>
      </c>
      <c r="C309" s="1" t="n">
        <v>45964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7395-2025</t>
        </is>
      </c>
      <c r="B310" s="1" t="n">
        <v>45705.34516203704</v>
      </c>
      <c r="C310" s="1" t="n">
        <v>45964</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16744-2025</t>
        </is>
      </c>
      <c r="B311" s="1" t="n">
        <v>45754</v>
      </c>
      <c r="C311" s="1" t="n">
        <v>45964</v>
      </c>
      <c r="D311" t="inlineStr">
        <is>
          <t>DALARNAS LÄN</t>
        </is>
      </c>
      <c r="E311" t="inlineStr">
        <is>
          <t>LEKSAND</t>
        </is>
      </c>
      <c r="F311" t="inlineStr">
        <is>
          <t>Bergvik skog väst AB</t>
        </is>
      </c>
      <c r="G311" t="n">
        <v>1.8</v>
      </c>
      <c r="H311" t="n">
        <v>0</v>
      </c>
      <c r="I311" t="n">
        <v>0</v>
      </c>
      <c r="J311" t="n">
        <v>0</v>
      </c>
      <c r="K311" t="n">
        <v>0</v>
      </c>
      <c r="L311" t="n">
        <v>0</v>
      </c>
      <c r="M311" t="n">
        <v>0</v>
      </c>
      <c r="N311" t="n">
        <v>0</v>
      </c>
      <c r="O311" t="n">
        <v>0</v>
      </c>
      <c r="P311" t="n">
        <v>0</v>
      </c>
      <c r="Q311" t="n">
        <v>0</v>
      </c>
      <c r="R311" s="2" t="inlineStr"/>
    </row>
    <row r="312" ht="15" customHeight="1">
      <c r="A312" t="inlineStr">
        <is>
          <t>A 55643-2024</t>
        </is>
      </c>
      <c r="B312" s="1" t="n">
        <v>45621</v>
      </c>
      <c r="C312" s="1" t="n">
        <v>45964</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11859-2024</t>
        </is>
      </c>
      <c r="B313" s="1" t="n">
        <v>45376.44569444445</v>
      </c>
      <c r="C313" s="1" t="n">
        <v>45964</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21230-2025</t>
        </is>
      </c>
      <c r="B314" s="1" t="n">
        <v>45779.54589120371</v>
      </c>
      <c r="C314" s="1" t="n">
        <v>45964</v>
      </c>
      <c r="D314" t="inlineStr">
        <is>
          <t>DALARNAS LÄN</t>
        </is>
      </c>
      <c r="E314" t="inlineStr">
        <is>
          <t>LEKSAND</t>
        </is>
      </c>
      <c r="G314" t="n">
        <v>0.5</v>
      </c>
      <c r="H314" t="n">
        <v>0</v>
      </c>
      <c r="I314" t="n">
        <v>0</v>
      </c>
      <c r="J314" t="n">
        <v>0</v>
      </c>
      <c r="K314" t="n">
        <v>0</v>
      </c>
      <c r="L314" t="n">
        <v>0</v>
      </c>
      <c r="M314" t="n">
        <v>0</v>
      </c>
      <c r="N314" t="n">
        <v>0</v>
      </c>
      <c r="O314" t="n">
        <v>0</v>
      </c>
      <c r="P314" t="n">
        <v>0</v>
      </c>
      <c r="Q314" t="n">
        <v>0</v>
      </c>
      <c r="R314" s="2" t="inlineStr"/>
    </row>
    <row r="315" ht="15" customHeight="1">
      <c r="A315" t="inlineStr">
        <is>
          <t>A 21193-2025</t>
        </is>
      </c>
      <c r="B315" s="1" t="n">
        <v>45779.46675925926</v>
      </c>
      <c r="C315" s="1" t="n">
        <v>45964</v>
      </c>
      <c r="D315" t="inlineStr">
        <is>
          <t>DALARNAS LÄN</t>
        </is>
      </c>
      <c r="E315" t="inlineStr">
        <is>
          <t>LEKSAND</t>
        </is>
      </c>
      <c r="G315" t="n">
        <v>3.7</v>
      </c>
      <c r="H315" t="n">
        <v>0</v>
      </c>
      <c r="I315" t="n">
        <v>0</v>
      </c>
      <c r="J315" t="n">
        <v>0</v>
      </c>
      <c r="K315" t="n">
        <v>0</v>
      </c>
      <c r="L315" t="n">
        <v>0</v>
      </c>
      <c r="M315" t="n">
        <v>0</v>
      </c>
      <c r="N315" t="n">
        <v>0</v>
      </c>
      <c r="O315" t="n">
        <v>0</v>
      </c>
      <c r="P315" t="n">
        <v>0</v>
      </c>
      <c r="Q315" t="n">
        <v>0</v>
      </c>
      <c r="R315" s="2" t="inlineStr"/>
    </row>
    <row r="316" ht="15" customHeight="1">
      <c r="A316" t="inlineStr">
        <is>
          <t>A 22281-2024</t>
        </is>
      </c>
      <c r="B316" s="1" t="n">
        <v>45446.54756944445</v>
      </c>
      <c r="C316" s="1" t="n">
        <v>45964</v>
      </c>
      <c r="D316" t="inlineStr">
        <is>
          <t>DALARNAS LÄN</t>
        </is>
      </c>
      <c r="E316" t="inlineStr">
        <is>
          <t>LEKSAND</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51320-2023</t>
        </is>
      </c>
      <c r="B317" s="1" t="n">
        <v>45219.57456018519</v>
      </c>
      <c r="C317" s="1" t="n">
        <v>45964</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40627-2023</t>
        </is>
      </c>
      <c r="B318" s="1" t="n">
        <v>45170</v>
      </c>
      <c r="C318" s="1" t="n">
        <v>45964</v>
      </c>
      <c r="D318" t="inlineStr">
        <is>
          <t>DALARNAS LÄN</t>
        </is>
      </c>
      <c r="E318" t="inlineStr">
        <is>
          <t>LEKSAND</t>
        </is>
      </c>
      <c r="F318" t="inlineStr">
        <is>
          <t>Bergvik skog väst AB</t>
        </is>
      </c>
      <c r="G318" t="n">
        <v>3.3</v>
      </c>
      <c r="H318" t="n">
        <v>0</v>
      </c>
      <c r="I318" t="n">
        <v>0</v>
      </c>
      <c r="J318" t="n">
        <v>0</v>
      </c>
      <c r="K318" t="n">
        <v>0</v>
      </c>
      <c r="L318" t="n">
        <v>0</v>
      </c>
      <c r="M318" t="n">
        <v>0</v>
      </c>
      <c r="N318" t="n">
        <v>0</v>
      </c>
      <c r="O318" t="n">
        <v>0</v>
      </c>
      <c r="P318" t="n">
        <v>0</v>
      </c>
      <c r="Q318" t="n">
        <v>0</v>
      </c>
      <c r="R318" s="2" t="inlineStr"/>
    </row>
    <row r="319" ht="15" customHeight="1">
      <c r="A319" t="inlineStr">
        <is>
          <t>A 28630-2023</t>
        </is>
      </c>
      <c r="B319" s="1" t="n">
        <v>45103.61003472222</v>
      </c>
      <c r="C319" s="1" t="n">
        <v>45964</v>
      </c>
      <c r="D319" t="inlineStr">
        <is>
          <t>DALARNAS LÄN</t>
        </is>
      </c>
      <c r="E319" t="inlineStr">
        <is>
          <t>LEKSAND</t>
        </is>
      </c>
      <c r="F319" t="inlineStr">
        <is>
          <t>Bergvik skog väst AB</t>
        </is>
      </c>
      <c r="G319" t="n">
        <v>0.3</v>
      </c>
      <c r="H319" t="n">
        <v>0</v>
      </c>
      <c r="I319" t="n">
        <v>0</v>
      </c>
      <c r="J319" t="n">
        <v>0</v>
      </c>
      <c r="K319" t="n">
        <v>0</v>
      </c>
      <c r="L319" t="n">
        <v>0</v>
      </c>
      <c r="M319" t="n">
        <v>0</v>
      </c>
      <c r="N319" t="n">
        <v>0</v>
      </c>
      <c r="O319" t="n">
        <v>0</v>
      </c>
      <c r="P319" t="n">
        <v>0</v>
      </c>
      <c r="Q319" t="n">
        <v>0</v>
      </c>
      <c r="R319" s="2" t="inlineStr"/>
    </row>
    <row r="320" ht="15" customHeight="1">
      <c r="A320" t="inlineStr">
        <is>
          <t>A 21600-2025</t>
        </is>
      </c>
      <c r="B320" s="1" t="n">
        <v>45783.3521875</v>
      </c>
      <c r="C320" s="1" t="n">
        <v>45964</v>
      </c>
      <c r="D320" t="inlineStr">
        <is>
          <t>DALARNAS LÄN</t>
        </is>
      </c>
      <c r="E320" t="inlineStr">
        <is>
          <t>LEKSAND</t>
        </is>
      </c>
      <c r="G320" t="n">
        <v>7.7</v>
      </c>
      <c r="H320" t="n">
        <v>0</v>
      </c>
      <c r="I320" t="n">
        <v>0</v>
      </c>
      <c r="J320" t="n">
        <v>0</v>
      </c>
      <c r="K320" t="n">
        <v>0</v>
      </c>
      <c r="L320" t="n">
        <v>0</v>
      </c>
      <c r="M320" t="n">
        <v>0</v>
      </c>
      <c r="N320" t="n">
        <v>0</v>
      </c>
      <c r="O320" t="n">
        <v>0</v>
      </c>
      <c r="P320" t="n">
        <v>0</v>
      </c>
      <c r="Q320" t="n">
        <v>0</v>
      </c>
      <c r="R320" s="2" t="inlineStr"/>
    </row>
    <row r="321" ht="15" customHeight="1">
      <c r="A321" t="inlineStr">
        <is>
          <t>A 17282-2025</t>
        </is>
      </c>
      <c r="B321" s="1" t="n">
        <v>45756.57114583333</v>
      </c>
      <c r="C321" s="1" t="n">
        <v>45964</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30860-2024</t>
        </is>
      </c>
      <c r="B322" s="1" t="n">
        <v>45497.69108796296</v>
      </c>
      <c r="C322" s="1" t="n">
        <v>45964</v>
      </c>
      <c r="D322" t="inlineStr">
        <is>
          <t>DALARNAS LÄN</t>
        </is>
      </c>
      <c r="E322" t="inlineStr">
        <is>
          <t>LEKSAND</t>
        </is>
      </c>
      <c r="F322" t="inlineStr">
        <is>
          <t>Bergvik skog väst AB</t>
        </is>
      </c>
      <c r="G322" t="n">
        <v>0.7</v>
      </c>
      <c r="H322" t="n">
        <v>0</v>
      </c>
      <c r="I322" t="n">
        <v>0</v>
      </c>
      <c r="J322" t="n">
        <v>0</v>
      </c>
      <c r="K322" t="n">
        <v>0</v>
      </c>
      <c r="L322" t="n">
        <v>0</v>
      </c>
      <c r="M322" t="n">
        <v>0</v>
      </c>
      <c r="N322" t="n">
        <v>0</v>
      </c>
      <c r="O322" t="n">
        <v>0</v>
      </c>
      <c r="P322" t="n">
        <v>0</v>
      </c>
      <c r="Q322" t="n">
        <v>0</v>
      </c>
      <c r="R322" s="2" t="inlineStr"/>
    </row>
    <row r="323" ht="15" customHeight="1">
      <c r="A323" t="inlineStr">
        <is>
          <t>A 30864-2024</t>
        </is>
      </c>
      <c r="B323" s="1" t="n">
        <v>45497.71550925926</v>
      </c>
      <c r="C323" s="1" t="n">
        <v>45964</v>
      </c>
      <c r="D323" t="inlineStr">
        <is>
          <t>DALARNAS LÄN</t>
        </is>
      </c>
      <c r="E323" t="inlineStr">
        <is>
          <t>LEKSAND</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56016-2024</t>
        </is>
      </c>
      <c r="B324" s="1" t="n">
        <v>45623.87737268519</v>
      </c>
      <c r="C324" s="1" t="n">
        <v>45964</v>
      </c>
      <c r="D324" t="inlineStr">
        <is>
          <t>DALARNAS LÄN</t>
        </is>
      </c>
      <c r="E324" t="inlineStr">
        <is>
          <t>LEKSAND</t>
        </is>
      </c>
      <c r="G324" t="n">
        <v>6.1</v>
      </c>
      <c r="H324" t="n">
        <v>0</v>
      </c>
      <c r="I324" t="n">
        <v>0</v>
      </c>
      <c r="J324" t="n">
        <v>0</v>
      </c>
      <c r="K324" t="n">
        <v>0</v>
      </c>
      <c r="L324" t="n">
        <v>0</v>
      </c>
      <c r="M324" t="n">
        <v>0</v>
      </c>
      <c r="N324" t="n">
        <v>0</v>
      </c>
      <c r="O324" t="n">
        <v>0</v>
      </c>
      <c r="P324" t="n">
        <v>0</v>
      </c>
      <c r="Q324" t="n">
        <v>0</v>
      </c>
      <c r="R324" s="2" t="inlineStr"/>
    </row>
    <row r="325" ht="15" customHeight="1">
      <c r="A325" t="inlineStr">
        <is>
          <t>A 35080-2022</t>
        </is>
      </c>
      <c r="B325" s="1" t="n">
        <v>44797</v>
      </c>
      <c r="C325" s="1" t="n">
        <v>45964</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11872-2024</t>
        </is>
      </c>
      <c r="B326" s="1" t="n">
        <v>45376.46833333333</v>
      </c>
      <c r="C326" s="1" t="n">
        <v>45964</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9857-2025</t>
        </is>
      </c>
      <c r="B327" s="1" t="n">
        <v>45716.62609953704</v>
      </c>
      <c r="C327" s="1" t="n">
        <v>45964</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21457-2025</t>
        </is>
      </c>
      <c r="B328" s="1" t="n">
        <v>45782.55451388889</v>
      </c>
      <c r="C328" s="1" t="n">
        <v>45964</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5873-2025</t>
        </is>
      </c>
      <c r="B329" s="1" t="n">
        <v>45695.36715277778</v>
      </c>
      <c r="C329" s="1" t="n">
        <v>45964</v>
      </c>
      <c r="D329" t="inlineStr">
        <is>
          <t>DALARNAS LÄN</t>
        </is>
      </c>
      <c r="E329" t="inlineStr">
        <is>
          <t>LEKSAND</t>
        </is>
      </c>
      <c r="G329" t="n">
        <v>1.4</v>
      </c>
      <c r="H329" t="n">
        <v>0</v>
      </c>
      <c r="I329" t="n">
        <v>0</v>
      </c>
      <c r="J329" t="n">
        <v>0</v>
      </c>
      <c r="K329" t="n">
        <v>0</v>
      </c>
      <c r="L329" t="n">
        <v>0</v>
      </c>
      <c r="M329" t="n">
        <v>0</v>
      </c>
      <c r="N329" t="n">
        <v>0</v>
      </c>
      <c r="O329" t="n">
        <v>0</v>
      </c>
      <c r="P329" t="n">
        <v>0</v>
      </c>
      <c r="Q329" t="n">
        <v>0</v>
      </c>
      <c r="R329" s="2" t="inlineStr"/>
    </row>
    <row r="330" ht="15" customHeight="1">
      <c r="A330" t="inlineStr">
        <is>
          <t>A 30994-2023</t>
        </is>
      </c>
      <c r="B330" s="1" t="n">
        <v>45113</v>
      </c>
      <c r="C330" s="1" t="n">
        <v>45964</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33306-2023</t>
        </is>
      </c>
      <c r="B331" s="1" t="n">
        <v>45127</v>
      </c>
      <c r="C331" s="1" t="n">
        <v>45964</v>
      </c>
      <c r="D331" t="inlineStr">
        <is>
          <t>DALARNAS LÄN</t>
        </is>
      </c>
      <c r="E331" t="inlineStr">
        <is>
          <t>LEKSAND</t>
        </is>
      </c>
      <c r="G331" t="n">
        <v>2.2</v>
      </c>
      <c r="H331" t="n">
        <v>0</v>
      </c>
      <c r="I331" t="n">
        <v>0</v>
      </c>
      <c r="J331" t="n">
        <v>0</v>
      </c>
      <c r="K331" t="n">
        <v>0</v>
      </c>
      <c r="L331" t="n">
        <v>0</v>
      </c>
      <c r="M331" t="n">
        <v>0</v>
      </c>
      <c r="N331" t="n">
        <v>0</v>
      </c>
      <c r="O331" t="n">
        <v>0</v>
      </c>
      <c r="P331" t="n">
        <v>0</v>
      </c>
      <c r="Q331" t="n">
        <v>0</v>
      </c>
      <c r="R331" s="2" t="inlineStr"/>
    </row>
    <row r="332" ht="15" customHeight="1">
      <c r="A332" t="inlineStr">
        <is>
          <t>A 33316-2023</t>
        </is>
      </c>
      <c r="B332" s="1" t="n">
        <v>45127</v>
      </c>
      <c r="C332" s="1" t="n">
        <v>45964</v>
      </c>
      <c r="D332" t="inlineStr">
        <is>
          <t>DALARNAS LÄN</t>
        </is>
      </c>
      <c r="E332" t="inlineStr">
        <is>
          <t>LEKSAND</t>
        </is>
      </c>
      <c r="G332" t="n">
        <v>8.9</v>
      </c>
      <c r="H332" t="n">
        <v>0</v>
      </c>
      <c r="I332" t="n">
        <v>0</v>
      </c>
      <c r="J332" t="n">
        <v>0</v>
      </c>
      <c r="K332" t="n">
        <v>0</v>
      </c>
      <c r="L332" t="n">
        <v>0</v>
      </c>
      <c r="M332" t="n">
        <v>0</v>
      </c>
      <c r="N332" t="n">
        <v>0</v>
      </c>
      <c r="O332" t="n">
        <v>0</v>
      </c>
      <c r="P332" t="n">
        <v>0</v>
      </c>
      <c r="Q332" t="n">
        <v>0</v>
      </c>
      <c r="R332" s="2" t="inlineStr"/>
    </row>
    <row r="333" ht="15" customHeight="1">
      <c r="A333" t="inlineStr">
        <is>
          <t>A 37832-2023</t>
        </is>
      </c>
      <c r="B333" s="1" t="n">
        <v>45160.3479050926</v>
      </c>
      <c r="C333" s="1" t="n">
        <v>45964</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70098-2021</t>
        </is>
      </c>
      <c r="B334" s="1" t="n">
        <v>44533</v>
      </c>
      <c r="C334" s="1" t="n">
        <v>45964</v>
      </c>
      <c r="D334" t="inlineStr">
        <is>
          <t>DALARNAS LÄN</t>
        </is>
      </c>
      <c r="E334" t="inlineStr">
        <is>
          <t>LEKSAND</t>
        </is>
      </c>
      <c r="G334" t="n">
        <v>0.8</v>
      </c>
      <c r="H334" t="n">
        <v>0</v>
      </c>
      <c r="I334" t="n">
        <v>0</v>
      </c>
      <c r="J334" t="n">
        <v>0</v>
      </c>
      <c r="K334" t="n">
        <v>0</v>
      </c>
      <c r="L334" t="n">
        <v>0</v>
      </c>
      <c r="M334" t="n">
        <v>0</v>
      </c>
      <c r="N334" t="n">
        <v>0</v>
      </c>
      <c r="O334" t="n">
        <v>0</v>
      </c>
      <c r="P334" t="n">
        <v>0</v>
      </c>
      <c r="Q334" t="n">
        <v>0</v>
      </c>
      <c r="R334" s="2" t="inlineStr"/>
    </row>
    <row r="335" ht="15" customHeight="1">
      <c r="A335" t="inlineStr">
        <is>
          <t>A 61252-2023</t>
        </is>
      </c>
      <c r="B335" s="1" t="n">
        <v>45261</v>
      </c>
      <c r="C335" s="1" t="n">
        <v>45964</v>
      </c>
      <c r="D335" t="inlineStr">
        <is>
          <t>DALARNAS LÄN</t>
        </is>
      </c>
      <c r="E335" t="inlineStr">
        <is>
          <t>LEKSAND</t>
        </is>
      </c>
      <c r="G335" t="n">
        <v>1.9</v>
      </c>
      <c r="H335" t="n">
        <v>0</v>
      </c>
      <c r="I335" t="n">
        <v>0</v>
      </c>
      <c r="J335" t="n">
        <v>0</v>
      </c>
      <c r="K335" t="n">
        <v>0</v>
      </c>
      <c r="L335" t="n">
        <v>0</v>
      </c>
      <c r="M335" t="n">
        <v>0</v>
      </c>
      <c r="N335" t="n">
        <v>0</v>
      </c>
      <c r="O335" t="n">
        <v>0</v>
      </c>
      <c r="P335" t="n">
        <v>0</v>
      </c>
      <c r="Q335" t="n">
        <v>0</v>
      </c>
      <c r="R335" s="2" t="inlineStr"/>
    </row>
    <row r="336" ht="15" customHeight="1">
      <c r="A336" t="inlineStr">
        <is>
          <t>A 9143-2023</t>
        </is>
      </c>
      <c r="B336" s="1" t="n">
        <v>44974</v>
      </c>
      <c r="C336" s="1" t="n">
        <v>45964</v>
      </c>
      <c r="D336" t="inlineStr">
        <is>
          <t>DALARNAS LÄN</t>
        </is>
      </c>
      <c r="E336" t="inlineStr">
        <is>
          <t>LEKSAND</t>
        </is>
      </c>
      <c r="G336" t="n">
        <v>4.3</v>
      </c>
      <c r="H336" t="n">
        <v>0</v>
      </c>
      <c r="I336" t="n">
        <v>0</v>
      </c>
      <c r="J336" t="n">
        <v>0</v>
      </c>
      <c r="K336" t="n">
        <v>0</v>
      </c>
      <c r="L336" t="n">
        <v>0</v>
      </c>
      <c r="M336" t="n">
        <v>0</v>
      </c>
      <c r="N336" t="n">
        <v>0</v>
      </c>
      <c r="O336" t="n">
        <v>0</v>
      </c>
      <c r="P336" t="n">
        <v>0</v>
      </c>
      <c r="Q336" t="n">
        <v>0</v>
      </c>
      <c r="R336" s="2" t="inlineStr"/>
    </row>
    <row r="337" ht="15" customHeight="1">
      <c r="A337" t="inlineStr">
        <is>
          <t>A 61554-2024</t>
        </is>
      </c>
      <c r="B337" s="1" t="n">
        <v>45646.60748842593</v>
      </c>
      <c r="C337" s="1" t="n">
        <v>45964</v>
      </c>
      <c r="D337" t="inlineStr">
        <is>
          <t>DALARNAS LÄN</t>
        </is>
      </c>
      <c r="E337" t="inlineStr">
        <is>
          <t>LEKSAND</t>
        </is>
      </c>
      <c r="G337" t="n">
        <v>2.6</v>
      </c>
      <c r="H337" t="n">
        <v>0</v>
      </c>
      <c r="I337" t="n">
        <v>0</v>
      </c>
      <c r="J337" t="n">
        <v>0</v>
      </c>
      <c r="K337" t="n">
        <v>0</v>
      </c>
      <c r="L337" t="n">
        <v>0</v>
      </c>
      <c r="M337" t="n">
        <v>0</v>
      </c>
      <c r="N337" t="n">
        <v>0</v>
      </c>
      <c r="O337" t="n">
        <v>0</v>
      </c>
      <c r="P337" t="n">
        <v>0</v>
      </c>
      <c r="Q337" t="n">
        <v>0</v>
      </c>
      <c r="R337" s="2" t="inlineStr"/>
    </row>
    <row r="338" ht="15" customHeight="1">
      <c r="A338" t="inlineStr">
        <is>
          <t>A 22080-2025</t>
        </is>
      </c>
      <c r="B338" s="1" t="n">
        <v>45785</v>
      </c>
      <c r="C338" s="1" t="n">
        <v>45964</v>
      </c>
      <c r="D338" t="inlineStr">
        <is>
          <t>DALARNAS LÄN</t>
        </is>
      </c>
      <c r="E338" t="inlineStr">
        <is>
          <t>LEKSAND</t>
        </is>
      </c>
      <c r="G338" t="n">
        <v>7</v>
      </c>
      <c r="H338" t="n">
        <v>0</v>
      </c>
      <c r="I338" t="n">
        <v>0</v>
      </c>
      <c r="J338" t="n">
        <v>0</v>
      </c>
      <c r="K338" t="n">
        <v>0</v>
      </c>
      <c r="L338" t="n">
        <v>0</v>
      </c>
      <c r="M338" t="n">
        <v>0</v>
      </c>
      <c r="N338" t="n">
        <v>0</v>
      </c>
      <c r="O338" t="n">
        <v>0</v>
      </c>
      <c r="P338" t="n">
        <v>0</v>
      </c>
      <c r="Q338" t="n">
        <v>0</v>
      </c>
      <c r="R338" s="2" t="inlineStr"/>
    </row>
    <row r="339" ht="15" customHeight="1">
      <c r="A339" t="inlineStr">
        <is>
          <t>A 33310-2023</t>
        </is>
      </c>
      <c r="B339" s="1" t="n">
        <v>45127.82231481482</v>
      </c>
      <c r="C339" s="1" t="n">
        <v>45964</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54844-2021</t>
        </is>
      </c>
      <c r="B340" s="1" t="n">
        <v>44474.30614583333</v>
      </c>
      <c r="C340" s="1" t="n">
        <v>45964</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471-2025</t>
        </is>
      </c>
      <c r="B341" s="1" t="n">
        <v>45664.43394675926</v>
      </c>
      <c r="C341" s="1" t="n">
        <v>45964</v>
      </c>
      <c r="D341" t="inlineStr">
        <is>
          <t>DALARNAS LÄN</t>
        </is>
      </c>
      <c r="E341" t="inlineStr">
        <is>
          <t>LEKSAND</t>
        </is>
      </c>
      <c r="G341" t="n">
        <v>1.3</v>
      </c>
      <c r="H341" t="n">
        <v>0</v>
      </c>
      <c r="I341" t="n">
        <v>0</v>
      </c>
      <c r="J341" t="n">
        <v>0</v>
      </c>
      <c r="K341" t="n">
        <v>0</v>
      </c>
      <c r="L341" t="n">
        <v>0</v>
      </c>
      <c r="M341" t="n">
        <v>0</v>
      </c>
      <c r="N341" t="n">
        <v>0</v>
      </c>
      <c r="O341" t="n">
        <v>0</v>
      </c>
      <c r="P341" t="n">
        <v>0</v>
      </c>
      <c r="Q341" t="n">
        <v>0</v>
      </c>
      <c r="R341" s="2" t="inlineStr"/>
    </row>
    <row r="342" ht="15" customHeight="1">
      <c r="A342" t="inlineStr">
        <is>
          <t>A 21916-2025</t>
        </is>
      </c>
      <c r="B342" s="1" t="n">
        <v>45784.50115740741</v>
      </c>
      <c r="C342" s="1" t="n">
        <v>45964</v>
      </c>
      <c r="D342" t="inlineStr">
        <is>
          <t>DALARNAS LÄN</t>
        </is>
      </c>
      <c r="E342" t="inlineStr">
        <is>
          <t>LEKSAND</t>
        </is>
      </c>
      <c r="G342" t="n">
        <v>2.6</v>
      </c>
      <c r="H342" t="n">
        <v>0</v>
      </c>
      <c r="I342" t="n">
        <v>0</v>
      </c>
      <c r="J342" t="n">
        <v>0</v>
      </c>
      <c r="K342" t="n">
        <v>0</v>
      </c>
      <c r="L342" t="n">
        <v>0</v>
      </c>
      <c r="M342" t="n">
        <v>0</v>
      </c>
      <c r="N342" t="n">
        <v>0</v>
      </c>
      <c r="O342" t="n">
        <v>0</v>
      </c>
      <c r="P342" t="n">
        <v>0</v>
      </c>
      <c r="Q342" t="n">
        <v>0</v>
      </c>
      <c r="R342" s="2" t="inlineStr"/>
    </row>
    <row r="343" ht="15" customHeight="1">
      <c r="A343" t="inlineStr">
        <is>
          <t>A 62307-2023</t>
        </is>
      </c>
      <c r="B343" s="1" t="n">
        <v>45266</v>
      </c>
      <c r="C343" s="1" t="n">
        <v>45964</v>
      </c>
      <c r="D343" t="inlineStr">
        <is>
          <t>DALARNAS LÄN</t>
        </is>
      </c>
      <c r="E343" t="inlineStr">
        <is>
          <t>LEKSAND</t>
        </is>
      </c>
      <c r="G343" t="n">
        <v>3.9</v>
      </c>
      <c r="H343" t="n">
        <v>0</v>
      </c>
      <c r="I343" t="n">
        <v>0</v>
      </c>
      <c r="J343" t="n">
        <v>0</v>
      </c>
      <c r="K343" t="n">
        <v>0</v>
      </c>
      <c r="L343" t="n">
        <v>0</v>
      </c>
      <c r="M343" t="n">
        <v>0</v>
      </c>
      <c r="N343" t="n">
        <v>0</v>
      </c>
      <c r="O343" t="n">
        <v>0</v>
      </c>
      <c r="P343" t="n">
        <v>0</v>
      </c>
      <c r="Q343" t="n">
        <v>0</v>
      </c>
      <c r="R343" s="2" t="inlineStr"/>
    </row>
    <row r="344" ht="15" customHeight="1">
      <c r="A344" t="inlineStr">
        <is>
          <t>A 14967-2023</t>
        </is>
      </c>
      <c r="B344" s="1" t="n">
        <v>45015</v>
      </c>
      <c r="C344" s="1" t="n">
        <v>45964</v>
      </c>
      <c r="D344" t="inlineStr">
        <is>
          <t>DALARNAS LÄN</t>
        </is>
      </c>
      <c r="E344" t="inlineStr">
        <is>
          <t>LEKSAND</t>
        </is>
      </c>
      <c r="G344" t="n">
        <v>1.4</v>
      </c>
      <c r="H344" t="n">
        <v>0</v>
      </c>
      <c r="I344" t="n">
        <v>0</v>
      </c>
      <c r="J344" t="n">
        <v>0</v>
      </c>
      <c r="K344" t="n">
        <v>0</v>
      </c>
      <c r="L344" t="n">
        <v>0</v>
      </c>
      <c r="M344" t="n">
        <v>0</v>
      </c>
      <c r="N344" t="n">
        <v>0</v>
      </c>
      <c r="O344" t="n">
        <v>0</v>
      </c>
      <c r="P344" t="n">
        <v>0</v>
      </c>
      <c r="Q344" t="n">
        <v>0</v>
      </c>
      <c r="R344" s="2" t="inlineStr"/>
    </row>
    <row r="345" ht="15" customHeight="1">
      <c r="A345" t="inlineStr">
        <is>
          <t>A 7861-2024</t>
        </is>
      </c>
      <c r="B345" s="1" t="n">
        <v>45350.30831018519</v>
      </c>
      <c r="C345" s="1" t="n">
        <v>45964</v>
      </c>
      <c r="D345" t="inlineStr">
        <is>
          <t>DALARNAS LÄN</t>
        </is>
      </c>
      <c r="E345" t="inlineStr">
        <is>
          <t>LEKSAND</t>
        </is>
      </c>
      <c r="G345" t="n">
        <v>1.8</v>
      </c>
      <c r="H345" t="n">
        <v>0</v>
      </c>
      <c r="I345" t="n">
        <v>0</v>
      </c>
      <c r="J345" t="n">
        <v>0</v>
      </c>
      <c r="K345" t="n">
        <v>0</v>
      </c>
      <c r="L345" t="n">
        <v>0</v>
      </c>
      <c r="M345" t="n">
        <v>0</v>
      </c>
      <c r="N345" t="n">
        <v>0</v>
      </c>
      <c r="O345" t="n">
        <v>0</v>
      </c>
      <c r="P345" t="n">
        <v>0</v>
      </c>
      <c r="Q345" t="n">
        <v>0</v>
      </c>
      <c r="R345" s="2" t="inlineStr"/>
    </row>
    <row r="346" ht="15" customHeight="1">
      <c r="A346" t="inlineStr">
        <is>
          <t>A 52293-2024</t>
        </is>
      </c>
      <c r="B346" s="1" t="n">
        <v>45608.71297453704</v>
      </c>
      <c r="C346" s="1" t="n">
        <v>45964</v>
      </c>
      <c r="D346" t="inlineStr">
        <is>
          <t>DALARNAS LÄN</t>
        </is>
      </c>
      <c r="E346" t="inlineStr">
        <is>
          <t>LEKSAND</t>
        </is>
      </c>
      <c r="G346" t="n">
        <v>1.6</v>
      </c>
      <c r="H346" t="n">
        <v>0</v>
      </c>
      <c r="I346" t="n">
        <v>0</v>
      </c>
      <c r="J346" t="n">
        <v>0</v>
      </c>
      <c r="K346" t="n">
        <v>0</v>
      </c>
      <c r="L346" t="n">
        <v>0</v>
      </c>
      <c r="M346" t="n">
        <v>0</v>
      </c>
      <c r="N346" t="n">
        <v>0</v>
      </c>
      <c r="O346" t="n">
        <v>0</v>
      </c>
      <c r="P346" t="n">
        <v>0</v>
      </c>
      <c r="Q346" t="n">
        <v>0</v>
      </c>
      <c r="R346" s="2" t="inlineStr"/>
    </row>
    <row r="347" ht="15" customHeight="1">
      <c r="A347" t="inlineStr">
        <is>
          <t>A 1182-2025</t>
        </is>
      </c>
      <c r="B347" s="1" t="n">
        <v>45667.35712962963</v>
      </c>
      <c r="C347" s="1" t="n">
        <v>45964</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45512-2023</t>
        </is>
      </c>
      <c r="B348" s="1" t="n">
        <v>45194.49178240741</v>
      </c>
      <c r="C348" s="1" t="n">
        <v>45964</v>
      </c>
      <c r="D348" t="inlineStr">
        <is>
          <t>DALARNAS LÄN</t>
        </is>
      </c>
      <c r="E348" t="inlineStr">
        <is>
          <t>LEKSAND</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36534-2024</t>
        </is>
      </c>
      <c r="B349" s="1" t="n">
        <v>45537.45143518518</v>
      </c>
      <c r="C349" s="1" t="n">
        <v>45964</v>
      </c>
      <c r="D349" t="inlineStr">
        <is>
          <t>DALARNAS LÄN</t>
        </is>
      </c>
      <c r="E349" t="inlineStr">
        <is>
          <t>LEKSAND</t>
        </is>
      </c>
      <c r="G349" t="n">
        <v>4</v>
      </c>
      <c r="H349" t="n">
        <v>0</v>
      </c>
      <c r="I349" t="n">
        <v>0</v>
      </c>
      <c r="J349" t="n">
        <v>0</v>
      </c>
      <c r="K349" t="n">
        <v>0</v>
      </c>
      <c r="L349" t="n">
        <v>0</v>
      </c>
      <c r="M349" t="n">
        <v>0</v>
      </c>
      <c r="N349" t="n">
        <v>0</v>
      </c>
      <c r="O349" t="n">
        <v>0</v>
      </c>
      <c r="P349" t="n">
        <v>0</v>
      </c>
      <c r="Q349" t="n">
        <v>0</v>
      </c>
      <c r="R349" s="2" t="inlineStr"/>
    </row>
    <row r="350" ht="15" customHeight="1">
      <c r="A350" t="inlineStr">
        <is>
          <t>A 22536-2025</t>
        </is>
      </c>
      <c r="B350" s="1" t="n">
        <v>45787.33037037037</v>
      </c>
      <c r="C350" s="1" t="n">
        <v>45964</v>
      </c>
      <c r="D350" t="inlineStr">
        <is>
          <t>DALARNAS LÄN</t>
        </is>
      </c>
      <c r="E350" t="inlineStr">
        <is>
          <t>LEKSAND</t>
        </is>
      </c>
      <c r="G350" t="n">
        <v>1.8</v>
      </c>
      <c r="H350" t="n">
        <v>0</v>
      </c>
      <c r="I350" t="n">
        <v>0</v>
      </c>
      <c r="J350" t="n">
        <v>0</v>
      </c>
      <c r="K350" t="n">
        <v>0</v>
      </c>
      <c r="L350" t="n">
        <v>0</v>
      </c>
      <c r="M350" t="n">
        <v>0</v>
      </c>
      <c r="N350" t="n">
        <v>0</v>
      </c>
      <c r="O350" t="n">
        <v>0</v>
      </c>
      <c r="P350" t="n">
        <v>0</v>
      </c>
      <c r="Q350" t="n">
        <v>0</v>
      </c>
      <c r="R350" s="2" t="inlineStr"/>
    </row>
    <row r="351" ht="15" customHeight="1">
      <c r="A351" t="inlineStr">
        <is>
          <t>A 46665-2023</t>
        </is>
      </c>
      <c r="B351" s="1" t="n">
        <v>45198.47399305556</v>
      </c>
      <c r="C351" s="1" t="n">
        <v>45964</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56943-2024</t>
        </is>
      </c>
      <c r="B352" s="1" t="n">
        <v>45625</v>
      </c>
      <c r="C352" s="1" t="n">
        <v>45964</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45964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60024-2023</t>
        </is>
      </c>
      <c r="B354" s="1" t="n">
        <v>45258</v>
      </c>
      <c r="C354" s="1" t="n">
        <v>45964</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60042-2023</t>
        </is>
      </c>
      <c r="B355" s="1" t="n">
        <v>45256</v>
      </c>
      <c r="C355" s="1" t="n">
        <v>45964</v>
      </c>
      <c r="D355" t="inlineStr">
        <is>
          <t>DALARNAS LÄN</t>
        </is>
      </c>
      <c r="E355" t="inlineStr">
        <is>
          <t>LEKSAND</t>
        </is>
      </c>
      <c r="G355" t="n">
        <v>2</v>
      </c>
      <c r="H355" t="n">
        <v>0</v>
      </c>
      <c r="I355" t="n">
        <v>0</v>
      </c>
      <c r="J355" t="n">
        <v>0</v>
      </c>
      <c r="K355" t="n">
        <v>0</v>
      </c>
      <c r="L355" t="n">
        <v>0</v>
      </c>
      <c r="M355" t="n">
        <v>0</v>
      </c>
      <c r="N355" t="n">
        <v>0</v>
      </c>
      <c r="O355" t="n">
        <v>0</v>
      </c>
      <c r="P355" t="n">
        <v>0</v>
      </c>
      <c r="Q355" t="n">
        <v>0</v>
      </c>
      <c r="R355" s="2" t="inlineStr"/>
    </row>
    <row r="356" ht="15" customHeight="1">
      <c r="A356" t="inlineStr">
        <is>
          <t>A 19330-2025</t>
        </is>
      </c>
      <c r="B356" s="1" t="n">
        <v>45769</v>
      </c>
      <c r="C356" s="1" t="n">
        <v>45964</v>
      </c>
      <c r="D356" t="inlineStr">
        <is>
          <t>DALARNAS LÄN</t>
        </is>
      </c>
      <c r="E356" t="inlineStr">
        <is>
          <t>LEKSAND</t>
        </is>
      </c>
      <c r="G356" t="n">
        <v>1.6</v>
      </c>
      <c r="H356" t="n">
        <v>0</v>
      </c>
      <c r="I356" t="n">
        <v>0</v>
      </c>
      <c r="J356" t="n">
        <v>0</v>
      </c>
      <c r="K356" t="n">
        <v>0</v>
      </c>
      <c r="L356" t="n">
        <v>0</v>
      </c>
      <c r="M356" t="n">
        <v>0</v>
      </c>
      <c r="N356" t="n">
        <v>0</v>
      </c>
      <c r="O356" t="n">
        <v>0</v>
      </c>
      <c r="P356" t="n">
        <v>0</v>
      </c>
      <c r="Q356" t="n">
        <v>0</v>
      </c>
      <c r="R356" s="2" t="inlineStr"/>
    </row>
    <row r="357" ht="15" customHeight="1">
      <c r="A357" t="inlineStr">
        <is>
          <t>A 59826-2023</t>
        </is>
      </c>
      <c r="B357" s="1" t="n">
        <v>45254</v>
      </c>
      <c r="C357" s="1" t="n">
        <v>45964</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28913-2024</t>
        </is>
      </c>
      <c r="B358" s="1" t="n">
        <v>45480.75318287037</v>
      </c>
      <c r="C358" s="1" t="n">
        <v>45964</v>
      </c>
      <c r="D358" t="inlineStr">
        <is>
          <t>DALARNAS LÄN</t>
        </is>
      </c>
      <c r="E358" t="inlineStr">
        <is>
          <t>LEKSAND</t>
        </is>
      </c>
      <c r="G358" t="n">
        <v>1.5</v>
      </c>
      <c r="H358" t="n">
        <v>0</v>
      </c>
      <c r="I358" t="n">
        <v>0</v>
      </c>
      <c r="J358" t="n">
        <v>0</v>
      </c>
      <c r="K358" t="n">
        <v>0</v>
      </c>
      <c r="L358" t="n">
        <v>0</v>
      </c>
      <c r="M358" t="n">
        <v>0</v>
      </c>
      <c r="N358" t="n">
        <v>0</v>
      </c>
      <c r="O358" t="n">
        <v>0</v>
      </c>
      <c r="P358" t="n">
        <v>0</v>
      </c>
      <c r="Q358" t="n">
        <v>0</v>
      </c>
      <c r="R358" s="2" t="inlineStr"/>
    </row>
    <row r="359" ht="15" customHeight="1">
      <c r="A359" t="inlineStr">
        <is>
          <t>A 15619-2025</t>
        </is>
      </c>
      <c r="B359" s="1" t="n">
        <v>45747</v>
      </c>
      <c r="C359" s="1" t="n">
        <v>45964</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34244-2024</t>
        </is>
      </c>
      <c r="B360" s="1" t="n">
        <v>45524.58349537037</v>
      </c>
      <c r="C360" s="1" t="n">
        <v>45964</v>
      </c>
      <c r="D360" t="inlineStr">
        <is>
          <t>DALARNAS LÄN</t>
        </is>
      </c>
      <c r="E360" t="inlineStr">
        <is>
          <t>LEKSAND</t>
        </is>
      </c>
      <c r="G360" t="n">
        <v>1.5</v>
      </c>
      <c r="H360" t="n">
        <v>0</v>
      </c>
      <c r="I360" t="n">
        <v>0</v>
      </c>
      <c r="J360" t="n">
        <v>0</v>
      </c>
      <c r="K360" t="n">
        <v>0</v>
      </c>
      <c r="L360" t="n">
        <v>0</v>
      </c>
      <c r="M360" t="n">
        <v>0</v>
      </c>
      <c r="N360" t="n">
        <v>0</v>
      </c>
      <c r="O360" t="n">
        <v>0</v>
      </c>
      <c r="P360" t="n">
        <v>0</v>
      </c>
      <c r="Q360" t="n">
        <v>0</v>
      </c>
      <c r="R360" s="2" t="inlineStr"/>
    </row>
    <row r="361" ht="15" customHeight="1">
      <c r="A361" t="inlineStr">
        <is>
          <t>A 14617-2024</t>
        </is>
      </c>
      <c r="B361" s="1" t="n">
        <v>45397</v>
      </c>
      <c r="C361" s="1" t="n">
        <v>45964</v>
      </c>
      <c r="D361" t="inlineStr">
        <is>
          <t>DALARNAS LÄN</t>
        </is>
      </c>
      <c r="E361" t="inlineStr">
        <is>
          <t>LEKSAND</t>
        </is>
      </c>
      <c r="G361" t="n">
        <v>0.2</v>
      </c>
      <c r="H361" t="n">
        <v>0</v>
      </c>
      <c r="I361" t="n">
        <v>0</v>
      </c>
      <c r="J361" t="n">
        <v>0</v>
      </c>
      <c r="K361" t="n">
        <v>0</v>
      </c>
      <c r="L361" t="n">
        <v>0</v>
      </c>
      <c r="M361" t="n">
        <v>0</v>
      </c>
      <c r="N361" t="n">
        <v>0</v>
      </c>
      <c r="O361" t="n">
        <v>0</v>
      </c>
      <c r="P361" t="n">
        <v>0</v>
      </c>
      <c r="Q361" t="n">
        <v>0</v>
      </c>
      <c r="R361" s="2" t="inlineStr"/>
    </row>
    <row r="362" ht="15" customHeight="1">
      <c r="A362" t="inlineStr">
        <is>
          <t>A 21954-2023</t>
        </is>
      </c>
      <c r="B362" s="1" t="n">
        <v>45068</v>
      </c>
      <c r="C362" s="1" t="n">
        <v>45964</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60945-2024</t>
        </is>
      </c>
      <c r="B363" s="1" t="n">
        <v>45645.37893518519</v>
      </c>
      <c r="C363" s="1" t="n">
        <v>45964</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60692-2023</t>
        </is>
      </c>
      <c r="B364" s="1" t="n">
        <v>45260.50008101852</v>
      </c>
      <c r="C364" s="1" t="n">
        <v>45964</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45964</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44491-2023</t>
        </is>
      </c>
      <c r="B366" s="1" t="n">
        <v>45183</v>
      </c>
      <c r="C366" s="1" t="n">
        <v>45964</v>
      </c>
      <c r="D366" t="inlineStr">
        <is>
          <t>DALARNAS LÄN</t>
        </is>
      </c>
      <c r="E366" t="inlineStr">
        <is>
          <t>LEKSAND</t>
        </is>
      </c>
      <c r="G366" t="n">
        <v>2.6</v>
      </c>
      <c r="H366" t="n">
        <v>0</v>
      </c>
      <c r="I366" t="n">
        <v>0</v>
      </c>
      <c r="J366" t="n">
        <v>0</v>
      </c>
      <c r="K366" t="n">
        <v>0</v>
      </c>
      <c r="L366" t="n">
        <v>0</v>
      </c>
      <c r="M366" t="n">
        <v>0</v>
      </c>
      <c r="N366" t="n">
        <v>0</v>
      </c>
      <c r="O366" t="n">
        <v>0</v>
      </c>
      <c r="P366" t="n">
        <v>0</v>
      </c>
      <c r="Q366" t="n">
        <v>0</v>
      </c>
      <c r="R366" s="2" t="inlineStr"/>
    </row>
    <row r="367" ht="15" customHeight="1">
      <c r="A367" t="inlineStr">
        <is>
          <t>A 60920-2020</t>
        </is>
      </c>
      <c r="B367" s="1" t="n">
        <v>44153</v>
      </c>
      <c r="C367" s="1" t="n">
        <v>45964</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61614-2023</t>
        </is>
      </c>
      <c r="B368" s="1" t="n">
        <v>45261</v>
      </c>
      <c r="C368" s="1" t="n">
        <v>45964</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57468-2023</t>
        </is>
      </c>
      <c r="B369" s="1" t="n">
        <v>45246</v>
      </c>
      <c r="C369" s="1" t="n">
        <v>45964</v>
      </c>
      <c r="D369" t="inlineStr">
        <is>
          <t>DALARNAS LÄN</t>
        </is>
      </c>
      <c r="E369" t="inlineStr">
        <is>
          <t>LEKSAND</t>
        </is>
      </c>
      <c r="G369" t="n">
        <v>4.6</v>
      </c>
      <c r="H369" t="n">
        <v>0</v>
      </c>
      <c r="I369" t="n">
        <v>0</v>
      </c>
      <c r="J369" t="n">
        <v>0</v>
      </c>
      <c r="K369" t="n">
        <v>0</v>
      </c>
      <c r="L369" t="n">
        <v>0</v>
      </c>
      <c r="M369" t="n">
        <v>0</v>
      </c>
      <c r="N369" t="n">
        <v>0</v>
      </c>
      <c r="O369" t="n">
        <v>0</v>
      </c>
      <c r="P369" t="n">
        <v>0</v>
      </c>
      <c r="Q369" t="n">
        <v>0</v>
      </c>
      <c r="R369" s="2" t="inlineStr"/>
    </row>
    <row r="370" ht="15" customHeight="1">
      <c r="A370" t="inlineStr">
        <is>
          <t>A 14797-2025</t>
        </is>
      </c>
      <c r="B370" s="1" t="n">
        <v>45742.90363425926</v>
      </c>
      <c r="C370" s="1" t="n">
        <v>45964</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59751-2024</t>
        </is>
      </c>
      <c r="B371" s="1" t="n">
        <v>45638</v>
      </c>
      <c r="C371" s="1" t="n">
        <v>45964</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51857-2022</t>
        </is>
      </c>
      <c r="B372" s="1" t="n">
        <v>44867</v>
      </c>
      <c r="C372" s="1" t="n">
        <v>45964</v>
      </c>
      <c r="D372" t="inlineStr">
        <is>
          <t>DALARNAS LÄN</t>
        </is>
      </c>
      <c r="E372" t="inlineStr">
        <is>
          <t>LEKSAND</t>
        </is>
      </c>
      <c r="G372" t="n">
        <v>1.2</v>
      </c>
      <c r="H372" t="n">
        <v>0</v>
      </c>
      <c r="I372" t="n">
        <v>0</v>
      </c>
      <c r="J372" t="n">
        <v>0</v>
      </c>
      <c r="K372" t="n">
        <v>0</v>
      </c>
      <c r="L372" t="n">
        <v>0</v>
      </c>
      <c r="M372" t="n">
        <v>0</v>
      </c>
      <c r="N372" t="n">
        <v>0</v>
      </c>
      <c r="O372" t="n">
        <v>0</v>
      </c>
      <c r="P372" t="n">
        <v>0</v>
      </c>
      <c r="Q372" t="n">
        <v>0</v>
      </c>
      <c r="R372" s="2" t="inlineStr"/>
    </row>
    <row r="373" ht="15" customHeight="1">
      <c r="A373" t="inlineStr">
        <is>
          <t>A 28128-2022</t>
        </is>
      </c>
      <c r="B373" s="1" t="n">
        <v>44746.50628472222</v>
      </c>
      <c r="C373" s="1" t="n">
        <v>45964</v>
      </c>
      <c r="D373" t="inlineStr">
        <is>
          <t>DALARNAS LÄN</t>
        </is>
      </c>
      <c r="E373" t="inlineStr">
        <is>
          <t>LEKSAND</t>
        </is>
      </c>
      <c r="G373" t="n">
        <v>3.5</v>
      </c>
      <c r="H373" t="n">
        <v>0</v>
      </c>
      <c r="I373" t="n">
        <v>0</v>
      </c>
      <c r="J373" t="n">
        <v>0</v>
      </c>
      <c r="K373" t="n">
        <v>0</v>
      </c>
      <c r="L373" t="n">
        <v>0</v>
      </c>
      <c r="M373" t="n">
        <v>0</v>
      </c>
      <c r="N373" t="n">
        <v>0</v>
      </c>
      <c r="O373" t="n">
        <v>0</v>
      </c>
      <c r="P373" t="n">
        <v>0</v>
      </c>
      <c r="Q373" t="n">
        <v>0</v>
      </c>
      <c r="R373" s="2" t="inlineStr"/>
    </row>
    <row r="374" ht="15" customHeight="1">
      <c r="A374" t="inlineStr">
        <is>
          <t>A 61787-2022</t>
        </is>
      </c>
      <c r="B374" s="1" t="n">
        <v>44917</v>
      </c>
      <c r="C374" s="1" t="n">
        <v>45964</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22876-2025</t>
        </is>
      </c>
      <c r="B375" s="1" t="n">
        <v>45790.3728587963</v>
      </c>
      <c r="C375" s="1" t="n">
        <v>45964</v>
      </c>
      <c r="D375" t="inlineStr">
        <is>
          <t>DALARNAS LÄN</t>
        </is>
      </c>
      <c r="E375" t="inlineStr">
        <is>
          <t>LEKSAND</t>
        </is>
      </c>
      <c r="G375" t="n">
        <v>5.9</v>
      </c>
      <c r="H375" t="n">
        <v>0</v>
      </c>
      <c r="I375" t="n">
        <v>0</v>
      </c>
      <c r="J375" t="n">
        <v>0</v>
      </c>
      <c r="K375" t="n">
        <v>0</v>
      </c>
      <c r="L375" t="n">
        <v>0</v>
      </c>
      <c r="M375" t="n">
        <v>0</v>
      </c>
      <c r="N375" t="n">
        <v>0</v>
      </c>
      <c r="O375" t="n">
        <v>0</v>
      </c>
      <c r="P375" t="n">
        <v>0</v>
      </c>
      <c r="Q375" t="n">
        <v>0</v>
      </c>
      <c r="R375" s="2" t="inlineStr"/>
    </row>
    <row r="376" ht="15" customHeight="1">
      <c r="A376" t="inlineStr">
        <is>
          <t>A 49499-2024</t>
        </is>
      </c>
      <c r="B376" s="1" t="n">
        <v>45596</v>
      </c>
      <c r="C376" s="1" t="n">
        <v>45964</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44822-2024</t>
        </is>
      </c>
      <c r="B377" s="1" t="n">
        <v>45574.6646412037</v>
      </c>
      <c r="C377" s="1" t="n">
        <v>45964</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1267-2025</t>
        </is>
      </c>
      <c r="B378" s="1" t="n">
        <v>45667</v>
      </c>
      <c r="C378" s="1" t="n">
        <v>45964</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23058-2025</t>
        </is>
      </c>
      <c r="B379" s="1" t="n">
        <v>45790.78076388889</v>
      </c>
      <c r="C379" s="1" t="n">
        <v>45964</v>
      </c>
      <c r="D379" t="inlineStr">
        <is>
          <t>DALARNAS LÄN</t>
        </is>
      </c>
      <c r="E379" t="inlineStr">
        <is>
          <t>LEKSAND</t>
        </is>
      </c>
      <c r="G379" t="n">
        <v>6.7</v>
      </c>
      <c r="H379" t="n">
        <v>0</v>
      </c>
      <c r="I379" t="n">
        <v>0</v>
      </c>
      <c r="J379" t="n">
        <v>0</v>
      </c>
      <c r="K379" t="n">
        <v>0</v>
      </c>
      <c r="L379" t="n">
        <v>0</v>
      </c>
      <c r="M379" t="n">
        <v>0</v>
      </c>
      <c r="N379" t="n">
        <v>0</v>
      </c>
      <c r="O379" t="n">
        <v>0</v>
      </c>
      <c r="P379" t="n">
        <v>0</v>
      </c>
      <c r="Q379" t="n">
        <v>0</v>
      </c>
      <c r="R379" s="2" t="inlineStr"/>
    </row>
    <row r="380" ht="15" customHeight="1">
      <c r="A380" t="inlineStr">
        <is>
          <t>A 23076-2025</t>
        </is>
      </c>
      <c r="B380" s="1" t="n">
        <v>45790.90960648148</v>
      </c>
      <c r="C380" s="1" t="n">
        <v>45964</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61269-2022</t>
        </is>
      </c>
      <c r="B381" s="1" t="n">
        <v>44909</v>
      </c>
      <c r="C381" s="1" t="n">
        <v>45964</v>
      </c>
      <c r="D381" t="inlineStr">
        <is>
          <t>DALARNAS LÄN</t>
        </is>
      </c>
      <c r="E381" t="inlineStr">
        <is>
          <t>LEKSAND</t>
        </is>
      </c>
      <c r="G381" t="n">
        <v>4.2</v>
      </c>
      <c r="H381" t="n">
        <v>0</v>
      </c>
      <c r="I381" t="n">
        <v>0</v>
      </c>
      <c r="J381" t="n">
        <v>0</v>
      </c>
      <c r="K381" t="n">
        <v>0</v>
      </c>
      <c r="L381" t="n">
        <v>0</v>
      </c>
      <c r="M381" t="n">
        <v>0</v>
      </c>
      <c r="N381" t="n">
        <v>0</v>
      </c>
      <c r="O381" t="n">
        <v>0</v>
      </c>
      <c r="P381" t="n">
        <v>0</v>
      </c>
      <c r="Q381" t="n">
        <v>0</v>
      </c>
      <c r="R381" s="2" t="inlineStr"/>
    </row>
    <row r="382" ht="15" customHeight="1">
      <c r="A382" t="inlineStr">
        <is>
          <t>A 64933-2023</t>
        </is>
      </c>
      <c r="B382" s="1" t="n">
        <v>45282</v>
      </c>
      <c r="C382" s="1" t="n">
        <v>45964</v>
      </c>
      <c r="D382" t="inlineStr">
        <is>
          <t>DALARNAS LÄN</t>
        </is>
      </c>
      <c r="E382" t="inlineStr">
        <is>
          <t>LEKSAND</t>
        </is>
      </c>
      <c r="G382" t="n">
        <v>2.3</v>
      </c>
      <c r="H382" t="n">
        <v>0</v>
      </c>
      <c r="I382" t="n">
        <v>0</v>
      </c>
      <c r="J382" t="n">
        <v>0</v>
      </c>
      <c r="K382" t="n">
        <v>0</v>
      </c>
      <c r="L382" t="n">
        <v>0</v>
      </c>
      <c r="M382" t="n">
        <v>0</v>
      </c>
      <c r="N382" t="n">
        <v>0</v>
      </c>
      <c r="O382" t="n">
        <v>0</v>
      </c>
      <c r="P382" t="n">
        <v>0</v>
      </c>
      <c r="Q382" t="n">
        <v>0</v>
      </c>
      <c r="R382" s="2" t="inlineStr"/>
    </row>
    <row r="383" ht="15" customHeight="1">
      <c r="A383" t="inlineStr">
        <is>
          <t>A 23855-2025</t>
        </is>
      </c>
      <c r="B383" s="1" t="n">
        <v>45793.65900462963</v>
      </c>
      <c r="C383" s="1" t="n">
        <v>45964</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19700-2025</t>
        </is>
      </c>
      <c r="B384" s="1" t="n">
        <v>45771.32445601852</v>
      </c>
      <c r="C384" s="1" t="n">
        <v>45964</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24003-2024</t>
        </is>
      </c>
      <c r="B385" s="1" t="n">
        <v>45456.39003472222</v>
      </c>
      <c r="C385" s="1" t="n">
        <v>45964</v>
      </c>
      <c r="D385" t="inlineStr">
        <is>
          <t>DALARNAS LÄN</t>
        </is>
      </c>
      <c r="E385" t="inlineStr">
        <is>
          <t>LEKSAND</t>
        </is>
      </c>
      <c r="F385" t="inlineStr">
        <is>
          <t>Bergvik skog väst AB</t>
        </is>
      </c>
      <c r="G385" t="n">
        <v>3.2</v>
      </c>
      <c r="H385" t="n">
        <v>0</v>
      </c>
      <c r="I385" t="n">
        <v>0</v>
      </c>
      <c r="J385" t="n">
        <v>0</v>
      </c>
      <c r="K385" t="n">
        <v>0</v>
      </c>
      <c r="L385" t="n">
        <v>0</v>
      </c>
      <c r="M385" t="n">
        <v>0</v>
      </c>
      <c r="N385" t="n">
        <v>0</v>
      </c>
      <c r="O385" t="n">
        <v>0</v>
      </c>
      <c r="P385" t="n">
        <v>0</v>
      </c>
      <c r="Q385" t="n">
        <v>0</v>
      </c>
      <c r="R385" s="2" t="inlineStr"/>
    </row>
    <row r="386" ht="15" customHeight="1">
      <c r="A386" t="inlineStr">
        <is>
          <t>A 23891-2025</t>
        </is>
      </c>
      <c r="B386" s="1" t="n">
        <v>45793</v>
      </c>
      <c r="C386" s="1" t="n">
        <v>45964</v>
      </c>
      <c r="D386" t="inlineStr">
        <is>
          <t>DALARNAS LÄN</t>
        </is>
      </c>
      <c r="E386" t="inlineStr">
        <is>
          <t>LEKSAND</t>
        </is>
      </c>
      <c r="F386" t="inlineStr">
        <is>
          <t>Kommuner</t>
        </is>
      </c>
      <c r="G386" t="n">
        <v>1.5</v>
      </c>
      <c r="H386" t="n">
        <v>0</v>
      </c>
      <c r="I386" t="n">
        <v>0</v>
      </c>
      <c r="J386" t="n">
        <v>0</v>
      </c>
      <c r="K386" t="n">
        <v>0</v>
      </c>
      <c r="L386" t="n">
        <v>0</v>
      </c>
      <c r="M386" t="n">
        <v>0</v>
      </c>
      <c r="N386" t="n">
        <v>0</v>
      </c>
      <c r="O386" t="n">
        <v>0</v>
      </c>
      <c r="P386" t="n">
        <v>0</v>
      </c>
      <c r="Q386" t="n">
        <v>0</v>
      </c>
      <c r="R386" s="2" t="inlineStr"/>
    </row>
    <row r="387" ht="15" customHeight="1">
      <c r="A387" t="inlineStr">
        <is>
          <t>A 23517-2025</t>
        </is>
      </c>
      <c r="B387" s="1" t="n">
        <v>45792</v>
      </c>
      <c r="C387" s="1" t="n">
        <v>45964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12582-2025</t>
        </is>
      </c>
      <c r="B388" s="1" t="n">
        <v>45732.62988425926</v>
      </c>
      <c r="C388" s="1" t="n">
        <v>45964</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34585-2024</t>
        </is>
      </c>
      <c r="B389" s="1" t="n">
        <v>45526.37697916666</v>
      </c>
      <c r="C389" s="1" t="n">
        <v>45964</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62116-2024</t>
        </is>
      </c>
      <c r="B390" s="1" t="n">
        <v>45646</v>
      </c>
      <c r="C390" s="1" t="n">
        <v>45964</v>
      </c>
      <c r="D390" t="inlineStr">
        <is>
          <t>DALARNAS LÄN</t>
        </is>
      </c>
      <c r="E390" t="inlineStr">
        <is>
          <t>LEKSAND</t>
        </is>
      </c>
      <c r="G390" t="n">
        <v>1.4</v>
      </c>
      <c r="H390" t="n">
        <v>0</v>
      </c>
      <c r="I390" t="n">
        <v>0</v>
      </c>
      <c r="J390" t="n">
        <v>0</v>
      </c>
      <c r="K390" t="n">
        <v>0</v>
      </c>
      <c r="L390" t="n">
        <v>0</v>
      </c>
      <c r="M390" t="n">
        <v>0</v>
      </c>
      <c r="N390" t="n">
        <v>0</v>
      </c>
      <c r="O390" t="n">
        <v>0</v>
      </c>
      <c r="P390" t="n">
        <v>0</v>
      </c>
      <c r="Q390" t="n">
        <v>0</v>
      </c>
      <c r="R390" s="2" t="inlineStr"/>
    </row>
    <row r="391" ht="15" customHeight="1">
      <c r="A391" t="inlineStr">
        <is>
          <t>A 30169-2023</t>
        </is>
      </c>
      <c r="B391" s="1" t="n">
        <v>45110</v>
      </c>
      <c r="C391" s="1" t="n">
        <v>45964</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10743-2024</t>
        </is>
      </c>
      <c r="B392" s="1" t="n">
        <v>45369.52167824074</v>
      </c>
      <c r="C392" s="1" t="n">
        <v>45964</v>
      </c>
      <c r="D392" t="inlineStr">
        <is>
          <t>DALARNAS LÄN</t>
        </is>
      </c>
      <c r="E392" t="inlineStr">
        <is>
          <t>LEKSAND</t>
        </is>
      </c>
      <c r="G392" t="n">
        <v>2.7</v>
      </c>
      <c r="H392" t="n">
        <v>0</v>
      </c>
      <c r="I392" t="n">
        <v>0</v>
      </c>
      <c r="J392" t="n">
        <v>0</v>
      </c>
      <c r="K392" t="n">
        <v>0</v>
      </c>
      <c r="L392" t="n">
        <v>0</v>
      </c>
      <c r="M392" t="n">
        <v>0</v>
      </c>
      <c r="N392" t="n">
        <v>0</v>
      </c>
      <c r="O392" t="n">
        <v>0</v>
      </c>
      <c r="P392" t="n">
        <v>0</v>
      </c>
      <c r="Q392" t="n">
        <v>0</v>
      </c>
      <c r="R392" s="2" t="inlineStr"/>
    </row>
    <row r="393" ht="15" customHeight="1">
      <c r="A393" t="inlineStr">
        <is>
          <t>A 13063-2023</t>
        </is>
      </c>
      <c r="B393" s="1" t="n">
        <v>45001</v>
      </c>
      <c r="C393" s="1" t="n">
        <v>45964</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10771-2024</t>
        </is>
      </c>
      <c r="B394" s="1" t="n">
        <v>45369.57342592593</v>
      </c>
      <c r="C394" s="1" t="n">
        <v>45964</v>
      </c>
      <c r="D394" t="inlineStr">
        <is>
          <t>DALARNAS LÄN</t>
        </is>
      </c>
      <c r="E394" t="inlineStr">
        <is>
          <t>LEKSAND</t>
        </is>
      </c>
      <c r="G394" t="n">
        <v>0.4</v>
      </c>
      <c r="H394" t="n">
        <v>0</v>
      </c>
      <c r="I394" t="n">
        <v>0</v>
      </c>
      <c r="J394" t="n">
        <v>0</v>
      </c>
      <c r="K394" t="n">
        <v>0</v>
      </c>
      <c r="L394" t="n">
        <v>0</v>
      </c>
      <c r="M394" t="n">
        <v>0</v>
      </c>
      <c r="N394" t="n">
        <v>0</v>
      </c>
      <c r="O394" t="n">
        <v>0</v>
      </c>
      <c r="P394" t="n">
        <v>0</v>
      </c>
      <c r="Q394" t="n">
        <v>0</v>
      </c>
      <c r="R394" s="2" t="inlineStr"/>
    </row>
    <row r="395" ht="15" customHeight="1">
      <c r="A395" t="inlineStr">
        <is>
          <t>A 24187-2025</t>
        </is>
      </c>
      <c r="B395" s="1" t="n">
        <v>45796</v>
      </c>
      <c r="C395" s="1" t="n">
        <v>45964</v>
      </c>
      <c r="D395" t="inlineStr">
        <is>
          <t>DALARNAS LÄN</t>
        </is>
      </c>
      <c r="E395" t="inlineStr">
        <is>
          <t>LEKSAND</t>
        </is>
      </c>
      <c r="G395" t="n">
        <v>2.1</v>
      </c>
      <c r="H395" t="n">
        <v>0</v>
      </c>
      <c r="I395" t="n">
        <v>0</v>
      </c>
      <c r="J395" t="n">
        <v>0</v>
      </c>
      <c r="K395" t="n">
        <v>0</v>
      </c>
      <c r="L395" t="n">
        <v>0</v>
      </c>
      <c r="M395" t="n">
        <v>0</v>
      </c>
      <c r="N395" t="n">
        <v>0</v>
      </c>
      <c r="O395" t="n">
        <v>0</v>
      </c>
      <c r="P395" t="n">
        <v>0</v>
      </c>
      <c r="Q395" t="n">
        <v>0</v>
      </c>
      <c r="R395" s="2" t="inlineStr"/>
    </row>
    <row r="396" ht="15" customHeight="1">
      <c r="A396" t="inlineStr">
        <is>
          <t>A 24188-2025</t>
        </is>
      </c>
      <c r="B396" s="1" t="n">
        <v>45796</v>
      </c>
      <c r="C396" s="1" t="n">
        <v>45964</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14943-2023</t>
        </is>
      </c>
      <c r="B397" s="1" t="n">
        <v>45015</v>
      </c>
      <c r="C397" s="1" t="n">
        <v>45964</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7450-2023</t>
        </is>
      </c>
      <c r="B398" s="1" t="n">
        <v>44971</v>
      </c>
      <c r="C398" s="1" t="n">
        <v>45964</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24373-2025</t>
        </is>
      </c>
      <c r="B399" s="1" t="n">
        <v>45797.61113425926</v>
      </c>
      <c r="C399" s="1" t="n">
        <v>45964</v>
      </c>
      <c r="D399" t="inlineStr">
        <is>
          <t>DALARNAS LÄN</t>
        </is>
      </c>
      <c r="E399" t="inlineStr">
        <is>
          <t>LEKSAND</t>
        </is>
      </c>
      <c r="G399" t="n">
        <v>2.4</v>
      </c>
      <c r="H399" t="n">
        <v>0</v>
      </c>
      <c r="I399" t="n">
        <v>0</v>
      </c>
      <c r="J399" t="n">
        <v>0</v>
      </c>
      <c r="K399" t="n">
        <v>0</v>
      </c>
      <c r="L399" t="n">
        <v>0</v>
      </c>
      <c r="M399" t="n">
        <v>0</v>
      </c>
      <c r="N399" t="n">
        <v>0</v>
      </c>
      <c r="O399" t="n">
        <v>0</v>
      </c>
      <c r="P399" t="n">
        <v>0</v>
      </c>
      <c r="Q399" t="n">
        <v>0</v>
      </c>
      <c r="R399" s="2" t="inlineStr"/>
    </row>
    <row r="400" ht="15" customHeight="1">
      <c r="A400" t="inlineStr">
        <is>
          <t>A 22646-2025</t>
        </is>
      </c>
      <c r="B400" s="1" t="n">
        <v>45786</v>
      </c>
      <c r="C400" s="1" t="n">
        <v>45964</v>
      </c>
      <c r="D400" t="inlineStr">
        <is>
          <t>DALARNAS LÄN</t>
        </is>
      </c>
      <c r="E400" t="inlineStr">
        <is>
          <t>LEKSAND</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24919-2024</t>
        </is>
      </c>
      <c r="B401" s="1" t="n">
        <v>45461.60636574074</v>
      </c>
      <c r="C401" s="1" t="n">
        <v>45964</v>
      </c>
      <c r="D401" t="inlineStr">
        <is>
          <t>DALARNAS LÄN</t>
        </is>
      </c>
      <c r="E401" t="inlineStr">
        <is>
          <t>LEKSAND</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54289-2023</t>
        </is>
      </c>
      <c r="B402" s="1" t="n">
        <v>45232.71193287037</v>
      </c>
      <c r="C402" s="1" t="n">
        <v>45964</v>
      </c>
      <c r="D402" t="inlineStr">
        <is>
          <t>DALARNAS LÄN</t>
        </is>
      </c>
      <c r="E402" t="inlineStr">
        <is>
          <t>LEKSAND</t>
        </is>
      </c>
      <c r="G402" t="n">
        <v>2</v>
      </c>
      <c r="H402" t="n">
        <v>0</v>
      </c>
      <c r="I402" t="n">
        <v>0</v>
      </c>
      <c r="J402" t="n">
        <v>0</v>
      </c>
      <c r="K402" t="n">
        <v>0</v>
      </c>
      <c r="L402" t="n">
        <v>0</v>
      </c>
      <c r="M402" t="n">
        <v>0</v>
      </c>
      <c r="N402" t="n">
        <v>0</v>
      </c>
      <c r="O402" t="n">
        <v>0</v>
      </c>
      <c r="P402" t="n">
        <v>0</v>
      </c>
      <c r="Q402" t="n">
        <v>0</v>
      </c>
      <c r="R402" s="2" t="inlineStr"/>
    </row>
    <row r="403" ht="15" customHeight="1">
      <c r="A403" t="inlineStr">
        <is>
          <t>A 56941-2024</t>
        </is>
      </c>
      <c r="B403" s="1" t="n">
        <v>45625</v>
      </c>
      <c r="C403" s="1" t="n">
        <v>45964</v>
      </c>
      <c r="D403" t="inlineStr">
        <is>
          <t>DALARNAS LÄN</t>
        </is>
      </c>
      <c r="E403" t="inlineStr">
        <is>
          <t>LEKSAND</t>
        </is>
      </c>
      <c r="G403" t="n">
        <v>1.8</v>
      </c>
      <c r="H403" t="n">
        <v>0</v>
      </c>
      <c r="I403" t="n">
        <v>0</v>
      </c>
      <c r="J403" t="n">
        <v>0</v>
      </c>
      <c r="K403" t="n">
        <v>0</v>
      </c>
      <c r="L403" t="n">
        <v>0</v>
      </c>
      <c r="M403" t="n">
        <v>0</v>
      </c>
      <c r="N403" t="n">
        <v>0</v>
      </c>
      <c r="O403" t="n">
        <v>0</v>
      </c>
      <c r="P403" t="n">
        <v>0</v>
      </c>
      <c r="Q403" t="n">
        <v>0</v>
      </c>
      <c r="R403" s="2" t="inlineStr"/>
    </row>
    <row r="404" ht="15" customHeight="1">
      <c r="A404" t="inlineStr">
        <is>
          <t>A 56211-2023</t>
        </is>
      </c>
      <c r="B404" s="1" t="n">
        <v>45240</v>
      </c>
      <c r="C404" s="1" t="n">
        <v>45964</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24369-2025</t>
        </is>
      </c>
      <c r="B405" s="1" t="n">
        <v>45797.60731481481</v>
      </c>
      <c r="C405" s="1" t="n">
        <v>45964</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16051-2023</t>
        </is>
      </c>
      <c r="B406" s="1" t="n">
        <v>45027</v>
      </c>
      <c r="C406" s="1" t="n">
        <v>45964</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63514-2023</t>
        </is>
      </c>
      <c r="B407" s="1" t="n">
        <v>45274</v>
      </c>
      <c r="C407" s="1" t="n">
        <v>45964</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2311-2021</t>
        </is>
      </c>
      <c r="B408" s="1" t="n">
        <v>44213</v>
      </c>
      <c r="C408" s="1" t="n">
        <v>45964</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24715-2025</t>
        </is>
      </c>
      <c r="B409" s="1" t="n">
        <v>45798.97899305556</v>
      </c>
      <c r="C409" s="1" t="n">
        <v>45964</v>
      </c>
      <c r="D409" t="inlineStr">
        <is>
          <t>DALARNAS LÄN</t>
        </is>
      </c>
      <c r="E409" t="inlineStr">
        <is>
          <t>LEKSAND</t>
        </is>
      </c>
      <c r="G409" t="n">
        <v>8.4</v>
      </c>
      <c r="H409" t="n">
        <v>0</v>
      </c>
      <c r="I409" t="n">
        <v>0</v>
      </c>
      <c r="J409" t="n">
        <v>0</v>
      </c>
      <c r="K409" t="n">
        <v>0</v>
      </c>
      <c r="L409" t="n">
        <v>0</v>
      </c>
      <c r="M409" t="n">
        <v>0</v>
      </c>
      <c r="N409" t="n">
        <v>0</v>
      </c>
      <c r="O409" t="n">
        <v>0</v>
      </c>
      <c r="P409" t="n">
        <v>0</v>
      </c>
      <c r="Q409" t="n">
        <v>0</v>
      </c>
      <c r="R409" s="2" t="inlineStr"/>
    </row>
    <row r="410" ht="15" customHeight="1">
      <c r="A410" t="inlineStr">
        <is>
          <t>A 11869-2024</t>
        </is>
      </c>
      <c r="B410" s="1" t="n">
        <v>45376.45800925926</v>
      </c>
      <c r="C410" s="1" t="n">
        <v>45964</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32666-2023</t>
        </is>
      </c>
      <c r="B411" s="1" t="n">
        <v>45121</v>
      </c>
      <c r="C411" s="1" t="n">
        <v>45964</v>
      </c>
      <c r="D411" t="inlineStr">
        <is>
          <t>DALARNAS LÄN</t>
        </is>
      </c>
      <c r="E411" t="inlineStr">
        <is>
          <t>LEKSAND</t>
        </is>
      </c>
      <c r="G411" t="n">
        <v>9.9</v>
      </c>
      <c r="H411" t="n">
        <v>0</v>
      </c>
      <c r="I411" t="n">
        <v>0</v>
      </c>
      <c r="J411" t="n">
        <v>0</v>
      </c>
      <c r="K411" t="n">
        <v>0</v>
      </c>
      <c r="L411" t="n">
        <v>0</v>
      </c>
      <c r="M411" t="n">
        <v>0</v>
      </c>
      <c r="N411" t="n">
        <v>0</v>
      </c>
      <c r="O411" t="n">
        <v>0</v>
      </c>
      <c r="P411" t="n">
        <v>0</v>
      </c>
      <c r="Q411" t="n">
        <v>0</v>
      </c>
      <c r="R411" s="2" t="inlineStr"/>
    </row>
    <row r="412" ht="15" customHeight="1">
      <c r="A412" t="inlineStr">
        <is>
          <t>A 40868-2024</t>
        </is>
      </c>
      <c r="B412" s="1" t="n">
        <v>45558</v>
      </c>
      <c r="C412" s="1" t="n">
        <v>45964</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46446-2023</t>
        </is>
      </c>
      <c r="B413" s="1" t="n">
        <v>45197.59344907408</v>
      </c>
      <c r="C413" s="1" t="n">
        <v>45964</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52100-2024</t>
        </is>
      </c>
      <c r="B414" s="1" t="n">
        <v>45608.41634259259</v>
      </c>
      <c r="C414" s="1" t="n">
        <v>45964</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5231-2024</t>
        </is>
      </c>
      <c r="B415" s="1" t="n">
        <v>45330</v>
      </c>
      <c r="C415" s="1" t="n">
        <v>45964</v>
      </c>
      <c r="D415" t="inlineStr">
        <is>
          <t>DALARNAS LÄN</t>
        </is>
      </c>
      <c r="E415" t="inlineStr">
        <is>
          <t>LEKSAND</t>
        </is>
      </c>
      <c r="F415" t="inlineStr">
        <is>
          <t>Bergvik skog väst AB</t>
        </is>
      </c>
      <c r="G415" t="n">
        <v>11.2</v>
      </c>
      <c r="H415" t="n">
        <v>0</v>
      </c>
      <c r="I415" t="n">
        <v>0</v>
      </c>
      <c r="J415" t="n">
        <v>0</v>
      </c>
      <c r="K415" t="n">
        <v>0</v>
      </c>
      <c r="L415" t="n">
        <v>0</v>
      </c>
      <c r="M415" t="n">
        <v>0</v>
      </c>
      <c r="N415" t="n">
        <v>0</v>
      </c>
      <c r="O415" t="n">
        <v>0</v>
      </c>
      <c r="P415" t="n">
        <v>0</v>
      </c>
      <c r="Q415" t="n">
        <v>0</v>
      </c>
      <c r="R415" s="2" t="inlineStr"/>
    </row>
    <row r="416" ht="15" customHeight="1">
      <c r="A416" t="inlineStr">
        <is>
          <t>A 53981-2024</t>
        </is>
      </c>
      <c r="B416" s="1" t="n">
        <v>45615</v>
      </c>
      <c r="C416" s="1" t="n">
        <v>45964</v>
      </c>
      <c r="D416" t="inlineStr">
        <is>
          <t>DALARNAS LÄN</t>
        </is>
      </c>
      <c r="E416" t="inlineStr">
        <is>
          <t>LEKSAND</t>
        </is>
      </c>
      <c r="G416" t="n">
        <v>5.4</v>
      </c>
      <c r="H416" t="n">
        <v>0</v>
      </c>
      <c r="I416" t="n">
        <v>0</v>
      </c>
      <c r="J416" t="n">
        <v>0</v>
      </c>
      <c r="K416" t="n">
        <v>0</v>
      </c>
      <c r="L416" t="n">
        <v>0</v>
      </c>
      <c r="M416" t="n">
        <v>0</v>
      </c>
      <c r="N416" t="n">
        <v>0</v>
      </c>
      <c r="O416" t="n">
        <v>0</v>
      </c>
      <c r="P416" t="n">
        <v>0</v>
      </c>
      <c r="Q416" t="n">
        <v>0</v>
      </c>
      <c r="R416" s="2" t="inlineStr"/>
    </row>
    <row r="417" ht="15" customHeight="1">
      <c r="A417" t="inlineStr">
        <is>
          <t>A 16137-2023</t>
        </is>
      </c>
      <c r="B417" s="1" t="n">
        <v>45027</v>
      </c>
      <c r="C417" s="1" t="n">
        <v>45964</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34033-2024</t>
        </is>
      </c>
      <c r="B418" s="1" t="n">
        <v>45523.59265046296</v>
      </c>
      <c r="C418" s="1" t="n">
        <v>45964</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19618-2024</t>
        </is>
      </c>
      <c r="B419" s="1" t="n">
        <v>45432.32896990741</v>
      </c>
      <c r="C419" s="1" t="n">
        <v>45964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54682-2023</t>
        </is>
      </c>
      <c r="B420" s="1" t="n">
        <v>45235.90439814814</v>
      </c>
      <c r="C420" s="1" t="n">
        <v>45964</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5847-2025</t>
        </is>
      </c>
      <c r="B421" s="1" t="n">
        <v>45695.30824074074</v>
      </c>
      <c r="C421" s="1" t="n">
        <v>45964</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25610-2025</t>
        </is>
      </c>
      <c r="B422" s="1" t="n">
        <v>45803.56033564815</v>
      </c>
      <c r="C422" s="1" t="n">
        <v>45964</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14504-2025</t>
        </is>
      </c>
      <c r="B423" s="1" t="n">
        <v>45741</v>
      </c>
      <c r="C423" s="1" t="n">
        <v>45964</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60878-2023</t>
        </is>
      </c>
      <c r="B424" s="1" t="n">
        <v>45259</v>
      </c>
      <c r="C424" s="1" t="n">
        <v>45964</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25105-2025</t>
        </is>
      </c>
      <c r="B425" s="1" t="n">
        <v>45800.34751157407</v>
      </c>
      <c r="C425" s="1" t="n">
        <v>45964</v>
      </c>
      <c r="D425" t="inlineStr">
        <is>
          <t>DALARNAS LÄN</t>
        </is>
      </c>
      <c r="E425" t="inlineStr">
        <is>
          <t>LEKSAND</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36262-2023</t>
        </is>
      </c>
      <c r="B426" s="1" t="n">
        <v>45151.9096875</v>
      </c>
      <c r="C426" s="1" t="n">
        <v>45964</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10367-2023</t>
        </is>
      </c>
      <c r="B427" s="1" t="n">
        <v>44987</v>
      </c>
      <c r="C427" s="1" t="n">
        <v>45964</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25096-2025</t>
        </is>
      </c>
      <c r="B428" s="1" t="n">
        <v>45800.33868055556</v>
      </c>
      <c r="C428" s="1" t="n">
        <v>45964</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31255-2023</t>
        </is>
      </c>
      <c r="B429" s="1" t="n">
        <v>45114.36729166667</v>
      </c>
      <c r="C429" s="1" t="n">
        <v>45964</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64516-2023</t>
        </is>
      </c>
      <c r="B430" s="1" t="n">
        <v>45280</v>
      </c>
      <c r="C430" s="1" t="n">
        <v>45964</v>
      </c>
      <c r="D430" t="inlineStr">
        <is>
          <t>DALARNAS LÄN</t>
        </is>
      </c>
      <c r="E430" t="inlineStr">
        <is>
          <t>LEKSAND</t>
        </is>
      </c>
      <c r="G430" t="n">
        <v>4.4</v>
      </c>
      <c r="H430" t="n">
        <v>0</v>
      </c>
      <c r="I430" t="n">
        <v>0</v>
      </c>
      <c r="J430" t="n">
        <v>0</v>
      </c>
      <c r="K430" t="n">
        <v>0</v>
      </c>
      <c r="L430" t="n">
        <v>0</v>
      </c>
      <c r="M430" t="n">
        <v>0</v>
      </c>
      <c r="N430" t="n">
        <v>0</v>
      </c>
      <c r="O430" t="n">
        <v>0</v>
      </c>
      <c r="P430" t="n">
        <v>0</v>
      </c>
      <c r="Q430" t="n">
        <v>0</v>
      </c>
      <c r="R430" s="2" t="inlineStr"/>
    </row>
    <row r="431" ht="15" customHeight="1">
      <c r="A431" t="inlineStr">
        <is>
          <t>A 45788-2021</t>
        </is>
      </c>
      <c r="B431" s="1" t="n">
        <v>44441</v>
      </c>
      <c r="C431" s="1" t="n">
        <v>45964</v>
      </c>
      <c r="D431" t="inlineStr">
        <is>
          <t>DALARNAS LÄN</t>
        </is>
      </c>
      <c r="E431" t="inlineStr">
        <is>
          <t>LEKSAND</t>
        </is>
      </c>
      <c r="G431" t="n">
        <v>3</v>
      </c>
      <c r="H431" t="n">
        <v>0</v>
      </c>
      <c r="I431" t="n">
        <v>0</v>
      </c>
      <c r="J431" t="n">
        <v>0</v>
      </c>
      <c r="K431" t="n">
        <v>0</v>
      </c>
      <c r="L431" t="n">
        <v>0</v>
      </c>
      <c r="M431" t="n">
        <v>0</v>
      </c>
      <c r="N431" t="n">
        <v>0</v>
      </c>
      <c r="O431" t="n">
        <v>0</v>
      </c>
      <c r="P431" t="n">
        <v>0</v>
      </c>
      <c r="Q431" t="n">
        <v>0</v>
      </c>
      <c r="R431" s="2" t="inlineStr"/>
    </row>
    <row r="432" ht="15" customHeight="1">
      <c r="A432" t="inlineStr">
        <is>
          <t>A 52977-2022</t>
        </is>
      </c>
      <c r="B432" s="1" t="n">
        <v>44875</v>
      </c>
      <c r="C432" s="1" t="n">
        <v>45964</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30863-2024</t>
        </is>
      </c>
      <c r="B433" s="1" t="n">
        <v>45497.71074074074</v>
      </c>
      <c r="C433" s="1" t="n">
        <v>45964</v>
      </c>
      <c r="D433" t="inlineStr">
        <is>
          <t>DALARNAS LÄN</t>
        </is>
      </c>
      <c r="E433" t="inlineStr">
        <is>
          <t>LEKSAND</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43221-2024</t>
        </is>
      </c>
      <c r="B434" s="1" t="n">
        <v>45567.86695601852</v>
      </c>
      <c r="C434" s="1" t="n">
        <v>45964</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24481-2024</t>
        </is>
      </c>
      <c r="B435" s="1" t="n">
        <v>45459.36460648148</v>
      </c>
      <c r="C435" s="1" t="n">
        <v>45964</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58495-2023</t>
        </is>
      </c>
      <c r="B436" s="1" t="n">
        <v>45251</v>
      </c>
      <c r="C436" s="1" t="n">
        <v>45964</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26423-2025</t>
        </is>
      </c>
      <c r="B437" s="1" t="n">
        <v>45807.37829861111</v>
      </c>
      <c r="C437" s="1" t="n">
        <v>45964</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17589-2025</t>
        </is>
      </c>
      <c r="B438" s="1" t="n">
        <v>45757.67844907408</v>
      </c>
      <c r="C438" s="1" t="n">
        <v>45964</v>
      </c>
      <c r="D438" t="inlineStr">
        <is>
          <t>DALARNAS LÄN</t>
        </is>
      </c>
      <c r="E438" t="inlineStr">
        <is>
          <t>LEKSAND</t>
        </is>
      </c>
      <c r="G438" t="n">
        <v>5.8</v>
      </c>
      <c r="H438" t="n">
        <v>0</v>
      </c>
      <c r="I438" t="n">
        <v>0</v>
      </c>
      <c r="J438" t="n">
        <v>0</v>
      </c>
      <c r="K438" t="n">
        <v>0</v>
      </c>
      <c r="L438" t="n">
        <v>0</v>
      </c>
      <c r="M438" t="n">
        <v>0</v>
      </c>
      <c r="N438" t="n">
        <v>0</v>
      </c>
      <c r="O438" t="n">
        <v>0</v>
      </c>
      <c r="P438" t="n">
        <v>0</v>
      </c>
      <c r="Q438" t="n">
        <v>0</v>
      </c>
      <c r="R438" s="2" t="inlineStr"/>
    </row>
    <row r="439" ht="15" customHeight="1">
      <c r="A439" t="inlineStr">
        <is>
          <t>A 26386-2025</t>
        </is>
      </c>
      <c r="B439" s="1" t="n">
        <v>45806</v>
      </c>
      <c r="C439" s="1" t="n">
        <v>45964</v>
      </c>
      <c r="D439" t="inlineStr">
        <is>
          <t>DALARNAS LÄN</t>
        </is>
      </c>
      <c r="E439" t="inlineStr">
        <is>
          <t>LEKSAND</t>
        </is>
      </c>
      <c r="F439" t="inlineStr">
        <is>
          <t>Bergvik skog väst AB</t>
        </is>
      </c>
      <c r="G439" t="n">
        <v>26.3</v>
      </c>
      <c r="H439" t="n">
        <v>0</v>
      </c>
      <c r="I439" t="n">
        <v>0</v>
      </c>
      <c r="J439" t="n">
        <v>0</v>
      </c>
      <c r="K439" t="n">
        <v>0</v>
      </c>
      <c r="L439" t="n">
        <v>0</v>
      </c>
      <c r="M439" t="n">
        <v>0</v>
      </c>
      <c r="N439" t="n">
        <v>0</v>
      </c>
      <c r="O439" t="n">
        <v>0</v>
      </c>
      <c r="P439" t="n">
        <v>0</v>
      </c>
      <c r="Q439" t="n">
        <v>0</v>
      </c>
      <c r="R439" s="2" t="inlineStr"/>
    </row>
    <row r="440" ht="15" customHeight="1">
      <c r="A440" t="inlineStr">
        <is>
          <t>A 29157-2022</t>
        </is>
      </c>
      <c r="B440" s="1" t="n">
        <v>44750.48355324074</v>
      </c>
      <c r="C440" s="1" t="n">
        <v>45964</v>
      </c>
      <c r="D440" t="inlineStr">
        <is>
          <t>DALARNAS LÄN</t>
        </is>
      </c>
      <c r="E440" t="inlineStr">
        <is>
          <t>LEKSAND</t>
        </is>
      </c>
      <c r="F440" t="inlineStr">
        <is>
          <t>Bergvik skog väst AB</t>
        </is>
      </c>
      <c r="G440" t="n">
        <v>2.7</v>
      </c>
      <c r="H440" t="n">
        <v>0</v>
      </c>
      <c r="I440" t="n">
        <v>0</v>
      </c>
      <c r="J440" t="n">
        <v>0</v>
      </c>
      <c r="K440" t="n">
        <v>0</v>
      </c>
      <c r="L440" t="n">
        <v>0</v>
      </c>
      <c r="M440" t="n">
        <v>0</v>
      </c>
      <c r="N440" t="n">
        <v>0</v>
      </c>
      <c r="O440" t="n">
        <v>0</v>
      </c>
      <c r="P440" t="n">
        <v>0</v>
      </c>
      <c r="Q440" t="n">
        <v>0</v>
      </c>
      <c r="R440" s="2" t="inlineStr"/>
    </row>
    <row r="441" ht="15" customHeight="1">
      <c r="A441" t="inlineStr">
        <is>
          <t>A 32635-2021</t>
        </is>
      </c>
      <c r="B441" s="1" t="n">
        <v>44374</v>
      </c>
      <c r="C441" s="1" t="n">
        <v>45964</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11080-2023</t>
        </is>
      </c>
      <c r="B442" s="1" t="n">
        <v>44992</v>
      </c>
      <c r="C442" s="1" t="n">
        <v>45964</v>
      </c>
      <c r="D442" t="inlineStr">
        <is>
          <t>DALARNAS LÄN</t>
        </is>
      </c>
      <c r="E442" t="inlineStr">
        <is>
          <t>LEKSAND</t>
        </is>
      </c>
      <c r="G442" t="n">
        <v>6.9</v>
      </c>
      <c r="H442" t="n">
        <v>0</v>
      </c>
      <c r="I442" t="n">
        <v>0</v>
      </c>
      <c r="J442" t="n">
        <v>0</v>
      </c>
      <c r="K442" t="n">
        <v>0</v>
      </c>
      <c r="L442" t="n">
        <v>0</v>
      </c>
      <c r="M442" t="n">
        <v>0</v>
      </c>
      <c r="N442" t="n">
        <v>0</v>
      </c>
      <c r="O442" t="n">
        <v>0</v>
      </c>
      <c r="P442" t="n">
        <v>0</v>
      </c>
      <c r="Q442" t="n">
        <v>0</v>
      </c>
      <c r="R442" s="2" t="inlineStr"/>
    </row>
    <row r="443" ht="15" customHeight="1">
      <c r="A443" t="inlineStr">
        <is>
          <t>A 320-2023</t>
        </is>
      </c>
      <c r="B443" s="1" t="n">
        <v>44929</v>
      </c>
      <c r="C443" s="1" t="n">
        <v>45964</v>
      </c>
      <c r="D443" t="inlineStr">
        <is>
          <t>DALARNAS LÄN</t>
        </is>
      </c>
      <c r="E443" t="inlineStr">
        <is>
          <t>LEKSAND</t>
        </is>
      </c>
      <c r="F443" t="inlineStr">
        <is>
          <t>Övriga Aktiebolag</t>
        </is>
      </c>
      <c r="G443" t="n">
        <v>5.4</v>
      </c>
      <c r="H443" t="n">
        <v>0</v>
      </c>
      <c r="I443" t="n">
        <v>0</v>
      </c>
      <c r="J443" t="n">
        <v>0</v>
      </c>
      <c r="K443" t="n">
        <v>0</v>
      </c>
      <c r="L443" t="n">
        <v>0</v>
      </c>
      <c r="M443" t="n">
        <v>0</v>
      </c>
      <c r="N443" t="n">
        <v>0</v>
      </c>
      <c r="O443" t="n">
        <v>0</v>
      </c>
      <c r="P443" t="n">
        <v>0</v>
      </c>
      <c r="Q443" t="n">
        <v>0</v>
      </c>
      <c r="R443" s="2" t="inlineStr"/>
    </row>
    <row r="444" ht="15" customHeight="1">
      <c r="A444" t="inlineStr">
        <is>
          <t>A 40181-2023</t>
        </is>
      </c>
      <c r="B444" s="1" t="n">
        <v>45169</v>
      </c>
      <c r="C444" s="1" t="n">
        <v>45964</v>
      </c>
      <c r="D444" t="inlineStr">
        <is>
          <t>DALARNAS LÄN</t>
        </is>
      </c>
      <c r="E444" t="inlineStr">
        <is>
          <t>LEKSAND</t>
        </is>
      </c>
      <c r="G444" t="n">
        <v>2.8</v>
      </c>
      <c r="H444" t="n">
        <v>0</v>
      </c>
      <c r="I444" t="n">
        <v>0</v>
      </c>
      <c r="J444" t="n">
        <v>0</v>
      </c>
      <c r="K444" t="n">
        <v>0</v>
      </c>
      <c r="L444" t="n">
        <v>0</v>
      </c>
      <c r="M444" t="n">
        <v>0</v>
      </c>
      <c r="N444" t="n">
        <v>0</v>
      </c>
      <c r="O444" t="n">
        <v>0</v>
      </c>
      <c r="P444" t="n">
        <v>0</v>
      </c>
      <c r="Q444" t="n">
        <v>0</v>
      </c>
      <c r="R444" s="2" t="inlineStr"/>
    </row>
    <row r="445" ht="15" customHeight="1">
      <c r="A445" t="inlineStr">
        <is>
          <t>A 1519-2024</t>
        </is>
      </c>
      <c r="B445" s="1" t="n">
        <v>45306</v>
      </c>
      <c r="C445" s="1" t="n">
        <v>45964</v>
      </c>
      <c r="D445" t="inlineStr">
        <is>
          <t>DALARNAS LÄN</t>
        </is>
      </c>
      <c r="E445" t="inlineStr">
        <is>
          <t>LEKSAND</t>
        </is>
      </c>
      <c r="G445" t="n">
        <v>3.3</v>
      </c>
      <c r="H445" t="n">
        <v>0</v>
      </c>
      <c r="I445" t="n">
        <v>0</v>
      </c>
      <c r="J445" t="n">
        <v>0</v>
      </c>
      <c r="K445" t="n">
        <v>0</v>
      </c>
      <c r="L445" t="n">
        <v>0</v>
      </c>
      <c r="M445" t="n">
        <v>0</v>
      </c>
      <c r="N445" t="n">
        <v>0</v>
      </c>
      <c r="O445" t="n">
        <v>0</v>
      </c>
      <c r="P445" t="n">
        <v>0</v>
      </c>
      <c r="Q445" t="n">
        <v>0</v>
      </c>
      <c r="R445" s="2" t="inlineStr"/>
    </row>
    <row r="446" ht="15" customHeight="1">
      <c r="A446" t="inlineStr">
        <is>
          <t>A 63544-2023</t>
        </is>
      </c>
      <c r="B446" s="1" t="n">
        <v>45275</v>
      </c>
      <c r="C446" s="1" t="n">
        <v>45964</v>
      </c>
      <c r="D446" t="inlineStr">
        <is>
          <t>DALARNAS LÄN</t>
        </is>
      </c>
      <c r="E446" t="inlineStr">
        <is>
          <t>LEKSAND</t>
        </is>
      </c>
      <c r="G446" t="n">
        <v>0.3</v>
      </c>
      <c r="H446" t="n">
        <v>0</v>
      </c>
      <c r="I446" t="n">
        <v>0</v>
      </c>
      <c r="J446" t="n">
        <v>0</v>
      </c>
      <c r="K446" t="n">
        <v>0</v>
      </c>
      <c r="L446" t="n">
        <v>0</v>
      </c>
      <c r="M446" t="n">
        <v>0</v>
      </c>
      <c r="N446" t="n">
        <v>0</v>
      </c>
      <c r="O446" t="n">
        <v>0</v>
      </c>
      <c r="P446" t="n">
        <v>0</v>
      </c>
      <c r="Q446" t="n">
        <v>0</v>
      </c>
      <c r="R446" s="2" t="inlineStr"/>
    </row>
    <row r="447" ht="15" customHeight="1">
      <c r="A447" t="inlineStr">
        <is>
          <t>A 58877-2023</t>
        </is>
      </c>
      <c r="B447" s="1" t="n">
        <v>45252</v>
      </c>
      <c r="C447" s="1" t="n">
        <v>45964</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51377-2023</t>
        </is>
      </c>
      <c r="B448" s="1" t="n">
        <v>45219</v>
      </c>
      <c r="C448" s="1" t="n">
        <v>45964</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2694-2025</t>
        </is>
      </c>
      <c r="B449" s="1" t="n">
        <v>45677.38246527778</v>
      </c>
      <c r="C449" s="1" t="n">
        <v>45964</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28892-2022</t>
        </is>
      </c>
      <c r="B450" s="1" t="n">
        <v>44749</v>
      </c>
      <c r="C450" s="1" t="n">
        <v>45964</v>
      </c>
      <c r="D450" t="inlineStr">
        <is>
          <t>DALARNAS LÄN</t>
        </is>
      </c>
      <c r="E450" t="inlineStr">
        <is>
          <t>LEKSAND</t>
        </is>
      </c>
      <c r="F450" t="inlineStr">
        <is>
          <t>Bergvik skog väst AB</t>
        </is>
      </c>
      <c r="G450" t="n">
        <v>9.1</v>
      </c>
      <c r="H450" t="n">
        <v>0</v>
      </c>
      <c r="I450" t="n">
        <v>0</v>
      </c>
      <c r="J450" t="n">
        <v>0</v>
      </c>
      <c r="K450" t="n">
        <v>0</v>
      </c>
      <c r="L450" t="n">
        <v>0</v>
      </c>
      <c r="M450" t="n">
        <v>0</v>
      </c>
      <c r="N450" t="n">
        <v>0</v>
      </c>
      <c r="O450" t="n">
        <v>0</v>
      </c>
      <c r="P450" t="n">
        <v>0</v>
      </c>
      <c r="Q450" t="n">
        <v>0</v>
      </c>
      <c r="R450" s="2" t="inlineStr"/>
    </row>
    <row r="451" ht="15" customHeight="1">
      <c r="A451" t="inlineStr">
        <is>
          <t>A 25329-2022</t>
        </is>
      </c>
      <c r="B451" s="1" t="n">
        <v>44731.8799537037</v>
      </c>
      <c r="C451" s="1" t="n">
        <v>45964</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27323-2025</t>
        </is>
      </c>
      <c r="B452" s="1" t="n">
        <v>45812.60392361111</v>
      </c>
      <c r="C452" s="1" t="n">
        <v>45964</v>
      </c>
      <c r="D452" t="inlineStr">
        <is>
          <t>DALARNAS LÄN</t>
        </is>
      </c>
      <c r="E452" t="inlineStr">
        <is>
          <t>LEKSAND</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33593-2024</t>
        </is>
      </c>
      <c r="B453" s="1" t="n">
        <v>45520.36055555556</v>
      </c>
      <c r="C453" s="1" t="n">
        <v>45964</v>
      </c>
      <c r="D453" t="inlineStr">
        <is>
          <t>DALARNAS LÄN</t>
        </is>
      </c>
      <c r="E453" t="inlineStr">
        <is>
          <t>LEKSAND</t>
        </is>
      </c>
      <c r="G453" t="n">
        <v>0.3</v>
      </c>
      <c r="H453" t="n">
        <v>0</v>
      </c>
      <c r="I453" t="n">
        <v>0</v>
      </c>
      <c r="J453" t="n">
        <v>0</v>
      </c>
      <c r="K453" t="n">
        <v>0</v>
      </c>
      <c r="L453" t="n">
        <v>0</v>
      </c>
      <c r="M453" t="n">
        <v>0</v>
      </c>
      <c r="N453" t="n">
        <v>0</v>
      </c>
      <c r="O453" t="n">
        <v>0</v>
      </c>
      <c r="P453" t="n">
        <v>0</v>
      </c>
      <c r="Q453" t="n">
        <v>0</v>
      </c>
      <c r="R453" s="2" t="inlineStr"/>
    </row>
    <row r="454" ht="15" customHeight="1">
      <c r="A454" t="inlineStr">
        <is>
          <t>A 27262-2025</t>
        </is>
      </c>
      <c r="B454" s="1" t="n">
        <v>45812</v>
      </c>
      <c r="C454" s="1" t="n">
        <v>45964</v>
      </c>
      <c r="D454" t="inlineStr">
        <is>
          <t>DALARNAS LÄN</t>
        </is>
      </c>
      <c r="E454" t="inlineStr">
        <is>
          <t>LEKSAND</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7778-2025</t>
        </is>
      </c>
      <c r="B455" s="1" t="n">
        <v>45706</v>
      </c>
      <c r="C455" s="1" t="n">
        <v>45964</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52572-2024</t>
        </is>
      </c>
      <c r="B456" s="1" t="n">
        <v>45609.66488425926</v>
      </c>
      <c r="C456" s="1" t="n">
        <v>45964</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27332-2025</t>
        </is>
      </c>
      <c r="B457" s="1" t="n">
        <v>45812.61265046296</v>
      </c>
      <c r="C457" s="1" t="n">
        <v>45964</v>
      </c>
      <c r="D457" t="inlineStr">
        <is>
          <t>DALARNAS LÄN</t>
        </is>
      </c>
      <c r="E457" t="inlineStr">
        <is>
          <t>LEKSAND</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41853-2023</t>
        </is>
      </c>
      <c r="B458" s="1" t="n">
        <v>45176.62483796296</v>
      </c>
      <c r="C458" s="1" t="n">
        <v>45964</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27183-2025</t>
        </is>
      </c>
      <c r="B459" s="1" t="n">
        <v>45812.36097222222</v>
      </c>
      <c r="C459" s="1" t="n">
        <v>45964</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27520-2023</t>
        </is>
      </c>
      <c r="B460" s="1" t="n">
        <v>45097</v>
      </c>
      <c r="C460" s="1" t="n">
        <v>45964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27680-2025</t>
        </is>
      </c>
      <c r="B461" s="1" t="n">
        <v>45813.64618055556</v>
      </c>
      <c r="C461" s="1" t="n">
        <v>45964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55926-2024</t>
        </is>
      </c>
      <c r="B462" s="1" t="n">
        <v>45623.601875</v>
      </c>
      <c r="C462" s="1" t="n">
        <v>45964</v>
      </c>
      <c r="D462" t="inlineStr">
        <is>
          <t>DALARNAS LÄN</t>
        </is>
      </c>
      <c r="E462" t="inlineStr">
        <is>
          <t>LEKSAND</t>
        </is>
      </c>
      <c r="G462" t="n">
        <v>0.6</v>
      </c>
      <c r="H462" t="n">
        <v>0</v>
      </c>
      <c r="I462" t="n">
        <v>0</v>
      </c>
      <c r="J462" t="n">
        <v>0</v>
      </c>
      <c r="K462" t="n">
        <v>0</v>
      </c>
      <c r="L462" t="n">
        <v>0</v>
      </c>
      <c r="M462" t="n">
        <v>0</v>
      </c>
      <c r="N462" t="n">
        <v>0</v>
      </c>
      <c r="O462" t="n">
        <v>0</v>
      </c>
      <c r="P462" t="n">
        <v>0</v>
      </c>
      <c r="Q462" t="n">
        <v>0</v>
      </c>
      <c r="R462" s="2" t="inlineStr"/>
    </row>
    <row r="463" ht="15" customHeight="1">
      <c r="A463" t="inlineStr">
        <is>
          <t>A 27682-2025</t>
        </is>
      </c>
      <c r="B463" s="1" t="n">
        <v>45813.64782407408</v>
      </c>
      <c r="C463" s="1" t="n">
        <v>45964</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49405-2024</t>
        </is>
      </c>
      <c r="B464" s="1" t="n">
        <v>45595</v>
      </c>
      <c r="C464" s="1" t="n">
        <v>45964</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27705-2025</t>
        </is>
      </c>
      <c r="B465" s="1" t="n">
        <v>45813</v>
      </c>
      <c r="C465" s="1" t="n">
        <v>45964</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12857-2023</t>
        </is>
      </c>
      <c r="B466" s="1" t="n">
        <v>45001.5000462963</v>
      </c>
      <c r="C466" s="1" t="n">
        <v>45964</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45040-2021</t>
        </is>
      </c>
      <c r="B467" s="1" t="n">
        <v>44438</v>
      </c>
      <c r="C467" s="1" t="n">
        <v>45964</v>
      </c>
      <c r="D467" t="inlineStr">
        <is>
          <t>DALARNAS LÄN</t>
        </is>
      </c>
      <c r="E467" t="inlineStr">
        <is>
          <t>LEKSAND</t>
        </is>
      </c>
      <c r="G467" t="n">
        <v>2.7</v>
      </c>
      <c r="H467" t="n">
        <v>0</v>
      </c>
      <c r="I467" t="n">
        <v>0</v>
      </c>
      <c r="J467" t="n">
        <v>0</v>
      </c>
      <c r="K467" t="n">
        <v>0</v>
      </c>
      <c r="L467" t="n">
        <v>0</v>
      </c>
      <c r="M467" t="n">
        <v>0</v>
      </c>
      <c r="N467" t="n">
        <v>0</v>
      </c>
      <c r="O467" t="n">
        <v>0</v>
      </c>
      <c r="P467" t="n">
        <v>0</v>
      </c>
      <c r="Q467" t="n">
        <v>0</v>
      </c>
      <c r="R467" s="2" t="inlineStr"/>
    </row>
    <row r="468" ht="15" customHeight="1">
      <c r="A468" t="inlineStr">
        <is>
          <t>A 27329-2025</t>
        </is>
      </c>
      <c r="B468" s="1" t="n">
        <v>45812.60864583333</v>
      </c>
      <c r="C468" s="1" t="n">
        <v>45964</v>
      </c>
      <c r="D468" t="inlineStr">
        <is>
          <t>DALARNAS LÄN</t>
        </is>
      </c>
      <c r="E468" t="inlineStr">
        <is>
          <t>LEKSAND</t>
        </is>
      </c>
      <c r="F468" t="inlineStr">
        <is>
          <t>Bergvik skog väst AB</t>
        </is>
      </c>
      <c r="G468" t="n">
        <v>3</v>
      </c>
      <c r="H468" t="n">
        <v>0</v>
      </c>
      <c r="I468" t="n">
        <v>0</v>
      </c>
      <c r="J468" t="n">
        <v>0</v>
      </c>
      <c r="K468" t="n">
        <v>0</v>
      </c>
      <c r="L468" t="n">
        <v>0</v>
      </c>
      <c r="M468" t="n">
        <v>0</v>
      </c>
      <c r="N468" t="n">
        <v>0</v>
      </c>
      <c r="O468" t="n">
        <v>0</v>
      </c>
      <c r="P468" t="n">
        <v>0</v>
      </c>
      <c r="Q468" t="n">
        <v>0</v>
      </c>
      <c r="R468" s="2" t="inlineStr"/>
    </row>
    <row r="469" ht="15" customHeight="1">
      <c r="A469" t="inlineStr">
        <is>
          <t>A 32072-2024</t>
        </is>
      </c>
      <c r="B469" s="1" t="n">
        <v>45510.98405092592</v>
      </c>
      <c r="C469" s="1" t="n">
        <v>45964</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56299-2024</t>
        </is>
      </c>
      <c r="B470" s="1" t="n">
        <v>45624.68607638889</v>
      </c>
      <c r="C470" s="1" t="n">
        <v>45964</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17483-2025</t>
        </is>
      </c>
      <c r="B471" s="1" t="n">
        <v>45757.49408564815</v>
      </c>
      <c r="C471" s="1" t="n">
        <v>45964</v>
      </c>
      <c r="D471" t="inlineStr">
        <is>
          <t>DALARNAS LÄN</t>
        </is>
      </c>
      <c r="E471" t="inlineStr">
        <is>
          <t>LEKSAND</t>
        </is>
      </c>
      <c r="G471" t="n">
        <v>4.1</v>
      </c>
      <c r="H471" t="n">
        <v>0</v>
      </c>
      <c r="I471" t="n">
        <v>0</v>
      </c>
      <c r="J471" t="n">
        <v>0</v>
      </c>
      <c r="K471" t="n">
        <v>0</v>
      </c>
      <c r="L471" t="n">
        <v>0</v>
      </c>
      <c r="M471" t="n">
        <v>0</v>
      </c>
      <c r="N471" t="n">
        <v>0</v>
      </c>
      <c r="O471" t="n">
        <v>0</v>
      </c>
      <c r="P471" t="n">
        <v>0</v>
      </c>
      <c r="Q471" t="n">
        <v>0</v>
      </c>
      <c r="R471" s="2" t="inlineStr"/>
    </row>
    <row r="472" ht="15" customHeight="1">
      <c r="A472" t="inlineStr">
        <is>
          <t>A 27984-2025</t>
        </is>
      </c>
      <c r="B472" s="1" t="n">
        <v>45817.57710648148</v>
      </c>
      <c r="C472" s="1" t="n">
        <v>45964</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45964</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11110-2023</t>
        </is>
      </c>
      <c r="B474" s="1" t="n">
        <v>44992</v>
      </c>
      <c r="C474" s="1" t="n">
        <v>45964</v>
      </c>
      <c r="D474" t="inlineStr">
        <is>
          <t>DALARNAS LÄN</t>
        </is>
      </c>
      <c r="E474" t="inlineStr">
        <is>
          <t>LEKSAND</t>
        </is>
      </c>
      <c r="G474" t="n">
        <v>11.2</v>
      </c>
      <c r="H474" t="n">
        <v>0</v>
      </c>
      <c r="I474" t="n">
        <v>0</v>
      </c>
      <c r="J474" t="n">
        <v>0</v>
      </c>
      <c r="K474" t="n">
        <v>0</v>
      </c>
      <c r="L474" t="n">
        <v>0</v>
      </c>
      <c r="M474" t="n">
        <v>0</v>
      </c>
      <c r="N474" t="n">
        <v>0</v>
      </c>
      <c r="O474" t="n">
        <v>0</v>
      </c>
      <c r="P474" t="n">
        <v>0</v>
      </c>
      <c r="Q474" t="n">
        <v>0</v>
      </c>
      <c r="R474" s="2" t="inlineStr"/>
    </row>
    <row r="475" ht="15" customHeight="1">
      <c r="A475" t="inlineStr">
        <is>
          <t>A 18481-2024</t>
        </is>
      </c>
      <c r="B475" s="1" t="n">
        <v>45425.52193287037</v>
      </c>
      <c r="C475" s="1" t="n">
        <v>45964</v>
      </c>
      <c r="D475" t="inlineStr">
        <is>
          <t>DALARNAS LÄN</t>
        </is>
      </c>
      <c r="E475" t="inlineStr">
        <is>
          <t>LEKSAND</t>
        </is>
      </c>
      <c r="G475" t="n">
        <v>0.9</v>
      </c>
      <c r="H475" t="n">
        <v>0</v>
      </c>
      <c r="I475" t="n">
        <v>0</v>
      </c>
      <c r="J475" t="n">
        <v>0</v>
      </c>
      <c r="K475" t="n">
        <v>0</v>
      </c>
      <c r="L475" t="n">
        <v>0</v>
      </c>
      <c r="M475" t="n">
        <v>0</v>
      </c>
      <c r="N475" t="n">
        <v>0</v>
      </c>
      <c r="O475" t="n">
        <v>0</v>
      </c>
      <c r="P475" t="n">
        <v>0</v>
      </c>
      <c r="Q475" t="n">
        <v>0</v>
      </c>
      <c r="R475" s="2" t="inlineStr"/>
    </row>
    <row r="476" ht="15" customHeight="1">
      <c r="A476" t="inlineStr">
        <is>
          <t>A 8046-2024</t>
        </is>
      </c>
      <c r="B476" s="1" t="n">
        <v>45351.31555555556</v>
      </c>
      <c r="C476" s="1" t="n">
        <v>45964</v>
      </c>
      <c r="D476" t="inlineStr">
        <is>
          <t>DALARNAS LÄN</t>
        </is>
      </c>
      <c r="E476" t="inlineStr">
        <is>
          <t>LEKSAND</t>
        </is>
      </c>
      <c r="G476" t="n">
        <v>2.9</v>
      </c>
      <c r="H476" t="n">
        <v>0</v>
      </c>
      <c r="I476" t="n">
        <v>0</v>
      </c>
      <c r="J476" t="n">
        <v>0</v>
      </c>
      <c r="K476" t="n">
        <v>0</v>
      </c>
      <c r="L476" t="n">
        <v>0</v>
      </c>
      <c r="M476" t="n">
        <v>0</v>
      </c>
      <c r="N476" t="n">
        <v>0</v>
      </c>
      <c r="O476" t="n">
        <v>0</v>
      </c>
      <c r="P476" t="n">
        <v>0</v>
      </c>
      <c r="Q476" t="n">
        <v>0</v>
      </c>
      <c r="R476" s="2" t="inlineStr"/>
    </row>
    <row r="477" ht="15" customHeight="1">
      <c r="A477" t="inlineStr">
        <is>
          <t>A 56059-2024</t>
        </is>
      </c>
      <c r="B477" s="1" t="n">
        <v>45624.36729166667</v>
      </c>
      <c r="C477" s="1" t="n">
        <v>45964</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7827-2024</t>
        </is>
      </c>
      <c r="B478" s="1" t="n">
        <v>45349.7467824074</v>
      </c>
      <c r="C478" s="1" t="n">
        <v>45964</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45943-2022</t>
        </is>
      </c>
      <c r="B479" s="1" t="n">
        <v>44846.64418981481</v>
      </c>
      <c r="C479" s="1" t="n">
        <v>45964</v>
      </c>
      <c r="D479" t="inlineStr">
        <is>
          <t>DALARNAS LÄN</t>
        </is>
      </c>
      <c r="E479" t="inlineStr">
        <is>
          <t>LEKSAND</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28499-2025</t>
        </is>
      </c>
      <c r="B480" s="1" t="n">
        <v>45818</v>
      </c>
      <c r="C480" s="1" t="n">
        <v>45964</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43735-2022</t>
        </is>
      </c>
      <c r="B481" s="1" t="n">
        <v>44837.70210648148</v>
      </c>
      <c r="C481" s="1" t="n">
        <v>45964</v>
      </c>
      <c r="D481" t="inlineStr">
        <is>
          <t>DALARNAS LÄN</t>
        </is>
      </c>
      <c r="E481" t="inlineStr">
        <is>
          <t>LEKSAND</t>
        </is>
      </c>
      <c r="G481" t="n">
        <v>2.9</v>
      </c>
      <c r="H481" t="n">
        <v>0</v>
      </c>
      <c r="I481" t="n">
        <v>0</v>
      </c>
      <c r="J481" t="n">
        <v>0</v>
      </c>
      <c r="K481" t="n">
        <v>0</v>
      </c>
      <c r="L481" t="n">
        <v>0</v>
      </c>
      <c r="M481" t="n">
        <v>0</v>
      </c>
      <c r="N481" t="n">
        <v>0</v>
      </c>
      <c r="O481" t="n">
        <v>0</v>
      </c>
      <c r="P481" t="n">
        <v>0</v>
      </c>
      <c r="Q481" t="n">
        <v>0</v>
      </c>
      <c r="R481" s="2" t="inlineStr"/>
    </row>
    <row r="482" ht="15" customHeight="1">
      <c r="A482" t="inlineStr">
        <is>
          <t>A 28483-2025</t>
        </is>
      </c>
      <c r="B482" s="1" t="n">
        <v>45818</v>
      </c>
      <c r="C482" s="1" t="n">
        <v>45964</v>
      </c>
      <c r="D482" t="inlineStr">
        <is>
          <t>DALARNAS LÄN</t>
        </is>
      </c>
      <c r="E482" t="inlineStr">
        <is>
          <t>LEKSAND</t>
        </is>
      </c>
      <c r="F482" t="inlineStr">
        <is>
          <t>Bergvik skog väst AB</t>
        </is>
      </c>
      <c r="G482" t="n">
        <v>1.6</v>
      </c>
      <c r="H482" t="n">
        <v>0</v>
      </c>
      <c r="I482" t="n">
        <v>0</v>
      </c>
      <c r="J482" t="n">
        <v>0</v>
      </c>
      <c r="K482" t="n">
        <v>0</v>
      </c>
      <c r="L482" t="n">
        <v>0</v>
      </c>
      <c r="M482" t="n">
        <v>0</v>
      </c>
      <c r="N482" t="n">
        <v>0</v>
      </c>
      <c r="O482" t="n">
        <v>0</v>
      </c>
      <c r="P482" t="n">
        <v>0</v>
      </c>
      <c r="Q482" t="n">
        <v>0</v>
      </c>
      <c r="R482" s="2" t="inlineStr"/>
    </row>
    <row r="483" ht="15" customHeight="1">
      <c r="A483" t="inlineStr">
        <is>
          <t>A 28458-2025</t>
        </is>
      </c>
      <c r="B483" s="1" t="n">
        <v>45819.413125</v>
      </c>
      <c r="C483" s="1" t="n">
        <v>45964</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20936-2023</t>
        </is>
      </c>
      <c r="B484" s="1" t="n">
        <v>45061</v>
      </c>
      <c r="C484" s="1" t="n">
        <v>45964</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7928-2023</t>
        </is>
      </c>
      <c r="B485" s="1" t="n">
        <v>44973</v>
      </c>
      <c r="C485" s="1" t="n">
        <v>45964</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44469-2024</t>
        </is>
      </c>
      <c r="B486" s="1" t="n">
        <v>45574</v>
      </c>
      <c r="C486" s="1" t="n">
        <v>45964</v>
      </c>
      <c r="D486" t="inlineStr">
        <is>
          <t>DALARNAS LÄN</t>
        </is>
      </c>
      <c r="E486" t="inlineStr">
        <is>
          <t>LEKSAND</t>
        </is>
      </c>
      <c r="G486" t="n">
        <v>2</v>
      </c>
      <c r="H486" t="n">
        <v>0</v>
      </c>
      <c r="I486" t="n">
        <v>0</v>
      </c>
      <c r="J486" t="n">
        <v>0</v>
      </c>
      <c r="K486" t="n">
        <v>0</v>
      </c>
      <c r="L486" t="n">
        <v>0</v>
      </c>
      <c r="M486" t="n">
        <v>0</v>
      </c>
      <c r="N486" t="n">
        <v>0</v>
      </c>
      <c r="O486" t="n">
        <v>0</v>
      </c>
      <c r="P486" t="n">
        <v>0</v>
      </c>
      <c r="Q486" t="n">
        <v>0</v>
      </c>
      <c r="R486" s="2" t="inlineStr"/>
    </row>
    <row r="487" ht="15" customHeight="1">
      <c r="A487" t="inlineStr">
        <is>
          <t>A 28505-2025</t>
        </is>
      </c>
      <c r="B487" s="1" t="n">
        <v>45818</v>
      </c>
      <c r="C487" s="1" t="n">
        <v>45964</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28488-2025</t>
        </is>
      </c>
      <c r="B488" s="1" t="n">
        <v>45818</v>
      </c>
      <c r="C488" s="1" t="n">
        <v>45964</v>
      </c>
      <c r="D488" t="inlineStr">
        <is>
          <t>DALARNAS LÄN</t>
        </is>
      </c>
      <c r="E488" t="inlineStr">
        <is>
          <t>LEKSAND</t>
        </is>
      </c>
      <c r="G488" t="n">
        <v>1.1</v>
      </c>
      <c r="H488" t="n">
        <v>0</v>
      </c>
      <c r="I488" t="n">
        <v>0</v>
      </c>
      <c r="J488" t="n">
        <v>0</v>
      </c>
      <c r="K488" t="n">
        <v>0</v>
      </c>
      <c r="L488" t="n">
        <v>0</v>
      </c>
      <c r="M488" t="n">
        <v>0</v>
      </c>
      <c r="N488" t="n">
        <v>0</v>
      </c>
      <c r="O488" t="n">
        <v>0</v>
      </c>
      <c r="P488" t="n">
        <v>0</v>
      </c>
      <c r="Q488" t="n">
        <v>0</v>
      </c>
      <c r="R488" s="2" t="inlineStr"/>
    </row>
    <row r="489" ht="15" customHeight="1">
      <c r="A489" t="inlineStr">
        <is>
          <t>A 28770-2025</t>
        </is>
      </c>
      <c r="B489" s="1" t="n">
        <v>45820</v>
      </c>
      <c r="C489" s="1" t="n">
        <v>45964</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60113-2022</t>
        </is>
      </c>
      <c r="B490" s="1" t="n">
        <v>44909</v>
      </c>
      <c r="C490" s="1" t="n">
        <v>45964</v>
      </c>
      <c r="D490" t="inlineStr">
        <is>
          <t>DALARNAS LÄN</t>
        </is>
      </c>
      <c r="E490" t="inlineStr">
        <is>
          <t>LEKSAND</t>
        </is>
      </c>
      <c r="G490" t="n">
        <v>3.7</v>
      </c>
      <c r="H490" t="n">
        <v>0</v>
      </c>
      <c r="I490" t="n">
        <v>0</v>
      </c>
      <c r="J490" t="n">
        <v>0</v>
      </c>
      <c r="K490" t="n">
        <v>0</v>
      </c>
      <c r="L490" t="n">
        <v>0</v>
      </c>
      <c r="M490" t="n">
        <v>0</v>
      </c>
      <c r="N490" t="n">
        <v>0</v>
      </c>
      <c r="O490" t="n">
        <v>0</v>
      </c>
      <c r="P490" t="n">
        <v>0</v>
      </c>
      <c r="Q490" t="n">
        <v>0</v>
      </c>
      <c r="R490" s="2" t="inlineStr"/>
    </row>
    <row r="491" ht="15" customHeight="1">
      <c r="A491" t="inlineStr">
        <is>
          <t>A 19550-2023</t>
        </is>
      </c>
      <c r="B491" s="1" t="n">
        <v>45049</v>
      </c>
      <c r="C491" s="1" t="n">
        <v>45964</v>
      </c>
      <c r="D491" t="inlineStr">
        <is>
          <t>DALARNAS LÄN</t>
        </is>
      </c>
      <c r="E491" t="inlineStr">
        <is>
          <t>LEKSAND</t>
        </is>
      </c>
      <c r="G491" t="n">
        <v>1.1</v>
      </c>
      <c r="H491" t="n">
        <v>0</v>
      </c>
      <c r="I491" t="n">
        <v>0</v>
      </c>
      <c r="J491" t="n">
        <v>0</v>
      </c>
      <c r="K491" t="n">
        <v>0</v>
      </c>
      <c r="L491" t="n">
        <v>0</v>
      </c>
      <c r="M491" t="n">
        <v>0</v>
      </c>
      <c r="N491" t="n">
        <v>0</v>
      </c>
      <c r="O491" t="n">
        <v>0</v>
      </c>
      <c r="P491" t="n">
        <v>0</v>
      </c>
      <c r="Q491" t="n">
        <v>0</v>
      </c>
      <c r="R491" s="2" t="inlineStr"/>
    </row>
    <row r="492" ht="15" customHeight="1">
      <c r="A492" t="inlineStr">
        <is>
          <t>A 31915-2024</t>
        </is>
      </c>
      <c r="B492" s="1" t="n">
        <v>45510.38956018518</v>
      </c>
      <c r="C492" s="1" t="n">
        <v>45964</v>
      </c>
      <c r="D492" t="inlineStr">
        <is>
          <t>DALARNAS LÄN</t>
        </is>
      </c>
      <c r="E492" t="inlineStr">
        <is>
          <t>LEKSAND</t>
        </is>
      </c>
      <c r="G492" t="n">
        <v>1.9</v>
      </c>
      <c r="H492" t="n">
        <v>0</v>
      </c>
      <c r="I492" t="n">
        <v>0</v>
      </c>
      <c r="J492" t="n">
        <v>0</v>
      </c>
      <c r="K492" t="n">
        <v>0</v>
      </c>
      <c r="L492" t="n">
        <v>0</v>
      </c>
      <c r="M492" t="n">
        <v>0</v>
      </c>
      <c r="N492" t="n">
        <v>0</v>
      </c>
      <c r="O492" t="n">
        <v>0</v>
      </c>
      <c r="P492" t="n">
        <v>0</v>
      </c>
      <c r="Q492" t="n">
        <v>0</v>
      </c>
      <c r="R492" s="2" t="inlineStr"/>
    </row>
    <row r="493" ht="15" customHeight="1">
      <c r="A493" t="inlineStr">
        <is>
          <t>A 53464-2024</t>
        </is>
      </c>
      <c r="B493" s="1" t="n">
        <v>45611</v>
      </c>
      <c r="C493" s="1" t="n">
        <v>45964</v>
      </c>
      <c r="D493" t="inlineStr">
        <is>
          <t>DALARNAS LÄN</t>
        </is>
      </c>
      <c r="E493" t="inlineStr">
        <is>
          <t>LEKSAND</t>
        </is>
      </c>
      <c r="G493" t="n">
        <v>1.7</v>
      </c>
      <c r="H493" t="n">
        <v>0</v>
      </c>
      <c r="I493" t="n">
        <v>0</v>
      </c>
      <c r="J493" t="n">
        <v>0</v>
      </c>
      <c r="K493" t="n">
        <v>0</v>
      </c>
      <c r="L493" t="n">
        <v>0</v>
      </c>
      <c r="M493" t="n">
        <v>0</v>
      </c>
      <c r="N493" t="n">
        <v>0</v>
      </c>
      <c r="O493" t="n">
        <v>0</v>
      </c>
      <c r="P493" t="n">
        <v>0</v>
      </c>
      <c r="Q493" t="n">
        <v>0</v>
      </c>
      <c r="R493" s="2" t="inlineStr"/>
    </row>
    <row r="494" ht="15" customHeight="1">
      <c r="A494" t="inlineStr">
        <is>
          <t>A 51480-2022</t>
        </is>
      </c>
      <c r="B494" s="1" t="n">
        <v>44869.57961805556</v>
      </c>
      <c r="C494" s="1" t="n">
        <v>45964</v>
      </c>
      <c r="D494" t="inlineStr">
        <is>
          <t>DALARNAS LÄN</t>
        </is>
      </c>
      <c r="E494" t="inlineStr">
        <is>
          <t>LEKSAND</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28985-2025</t>
        </is>
      </c>
      <c r="B495" s="1" t="n">
        <v>45821.36862268519</v>
      </c>
      <c r="C495" s="1" t="n">
        <v>45964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43220-2024</t>
        </is>
      </c>
      <c r="B496" s="1" t="n">
        <v>45567.86112268519</v>
      </c>
      <c r="C496" s="1" t="n">
        <v>45964</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29553-2025</t>
        </is>
      </c>
      <c r="B497" s="1" t="n">
        <v>45825.35315972222</v>
      </c>
      <c r="C497" s="1" t="n">
        <v>45964</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46628-2024</t>
        </is>
      </c>
      <c r="B498" s="1" t="n">
        <v>45583.33195601852</v>
      </c>
      <c r="C498" s="1" t="n">
        <v>45964</v>
      </c>
      <c r="D498" t="inlineStr">
        <is>
          <t>DALARNAS LÄN</t>
        </is>
      </c>
      <c r="E498" t="inlineStr">
        <is>
          <t>LEKSAND</t>
        </is>
      </c>
      <c r="G498" t="n">
        <v>0.2</v>
      </c>
      <c r="H498" t="n">
        <v>0</v>
      </c>
      <c r="I498" t="n">
        <v>0</v>
      </c>
      <c r="J498" t="n">
        <v>0</v>
      </c>
      <c r="K498" t="n">
        <v>0</v>
      </c>
      <c r="L498" t="n">
        <v>0</v>
      </c>
      <c r="M498" t="n">
        <v>0</v>
      </c>
      <c r="N498" t="n">
        <v>0</v>
      </c>
      <c r="O498" t="n">
        <v>0</v>
      </c>
      <c r="P498" t="n">
        <v>0</v>
      </c>
      <c r="Q498" t="n">
        <v>0</v>
      </c>
      <c r="R498" s="2" t="inlineStr"/>
    </row>
    <row r="499" ht="15" customHeight="1">
      <c r="A499" t="inlineStr">
        <is>
          <t>A 29005-2025</t>
        </is>
      </c>
      <c r="B499" s="1" t="n">
        <v>45821.39326388889</v>
      </c>
      <c r="C499" s="1" t="n">
        <v>45964</v>
      </c>
      <c r="D499" t="inlineStr">
        <is>
          <t>DALARNAS LÄN</t>
        </is>
      </c>
      <c r="E499" t="inlineStr">
        <is>
          <t>LEKSAND</t>
        </is>
      </c>
      <c r="G499" t="n">
        <v>2.1</v>
      </c>
      <c r="H499" t="n">
        <v>0</v>
      </c>
      <c r="I499" t="n">
        <v>0</v>
      </c>
      <c r="J499" t="n">
        <v>0</v>
      </c>
      <c r="K499" t="n">
        <v>0</v>
      </c>
      <c r="L499" t="n">
        <v>0</v>
      </c>
      <c r="M499" t="n">
        <v>0</v>
      </c>
      <c r="N499" t="n">
        <v>0</v>
      </c>
      <c r="O499" t="n">
        <v>0</v>
      </c>
      <c r="P499" t="n">
        <v>0</v>
      </c>
      <c r="Q499" t="n">
        <v>0</v>
      </c>
      <c r="R499" s="2" t="inlineStr"/>
    </row>
    <row r="500" ht="15" customHeight="1">
      <c r="A500" t="inlineStr">
        <is>
          <t>A 43222-2024</t>
        </is>
      </c>
      <c r="B500" s="1" t="n">
        <v>45567.87177083334</v>
      </c>
      <c r="C500" s="1" t="n">
        <v>45964</v>
      </c>
      <c r="D500" t="inlineStr">
        <is>
          <t>DALARNAS LÄN</t>
        </is>
      </c>
      <c r="E500" t="inlineStr">
        <is>
          <t>LEKSAND</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43231-2024</t>
        </is>
      </c>
      <c r="B501" s="1" t="n">
        <v>45567.89709490741</v>
      </c>
      <c r="C501" s="1" t="n">
        <v>45964</v>
      </c>
      <c r="D501" t="inlineStr">
        <is>
          <t>DALARNAS LÄN</t>
        </is>
      </c>
      <c r="E501" t="inlineStr">
        <is>
          <t>LEKSAND</t>
        </is>
      </c>
      <c r="G501" t="n">
        <v>1.9</v>
      </c>
      <c r="H501" t="n">
        <v>0</v>
      </c>
      <c r="I501" t="n">
        <v>0</v>
      </c>
      <c r="J501" t="n">
        <v>0</v>
      </c>
      <c r="K501" t="n">
        <v>0</v>
      </c>
      <c r="L501" t="n">
        <v>0</v>
      </c>
      <c r="M501" t="n">
        <v>0</v>
      </c>
      <c r="N501" t="n">
        <v>0</v>
      </c>
      <c r="O501" t="n">
        <v>0</v>
      </c>
      <c r="P501" t="n">
        <v>0</v>
      </c>
      <c r="Q501" t="n">
        <v>0</v>
      </c>
      <c r="R501" s="2" t="inlineStr"/>
    </row>
    <row r="502" ht="15" customHeight="1">
      <c r="A502" t="inlineStr">
        <is>
          <t>A 17533-2023</t>
        </is>
      </c>
      <c r="B502" s="1" t="n">
        <v>45036</v>
      </c>
      <c r="C502" s="1" t="n">
        <v>45964</v>
      </c>
      <c r="D502" t="inlineStr">
        <is>
          <t>DALARNAS LÄN</t>
        </is>
      </c>
      <c r="E502" t="inlineStr">
        <is>
          <t>LEKSAND</t>
        </is>
      </c>
      <c r="G502" t="n">
        <v>3</v>
      </c>
      <c r="H502" t="n">
        <v>0</v>
      </c>
      <c r="I502" t="n">
        <v>0</v>
      </c>
      <c r="J502" t="n">
        <v>0</v>
      </c>
      <c r="K502" t="n">
        <v>0</v>
      </c>
      <c r="L502" t="n">
        <v>0</v>
      </c>
      <c r="M502" t="n">
        <v>0</v>
      </c>
      <c r="N502" t="n">
        <v>0</v>
      </c>
      <c r="O502" t="n">
        <v>0</v>
      </c>
      <c r="P502" t="n">
        <v>0</v>
      </c>
      <c r="Q502" t="n">
        <v>0</v>
      </c>
      <c r="R502" s="2" t="inlineStr"/>
    </row>
    <row r="503" ht="15" customHeight="1">
      <c r="A503" t="inlineStr">
        <is>
          <t>A 29729-2025</t>
        </is>
      </c>
      <c r="B503" s="1" t="n">
        <v>45825.58077546296</v>
      </c>
      <c r="C503" s="1" t="n">
        <v>45964</v>
      </c>
      <c r="D503" t="inlineStr">
        <is>
          <t>DALARNAS LÄN</t>
        </is>
      </c>
      <c r="E503" t="inlineStr">
        <is>
          <t>LEKSAND</t>
        </is>
      </c>
      <c r="F503" t="inlineStr">
        <is>
          <t>Bergvik skog väst AB</t>
        </is>
      </c>
      <c r="G503" t="n">
        <v>4.3</v>
      </c>
      <c r="H503" t="n">
        <v>0</v>
      </c>
      <c r="I503" t="n">
        <v>0</v>
      </c>
      <c r="J503" t="n">
        <v>0</v>
      </c>
      <c r="K503" t="n">
        <v>0</v>
      </c>
      <c r="L503" t="n">
        <v>0</v>
      </c>
      <c r="M503" t="n">
        <v>0</v>
      </c>
      <c r="N503" t="n">
        <v>0</v>
      </c>
      <c r="O503" t="n">
        <v>0</v>
      </c>
      <c r="P503" t="n">
        <v>0</v>
      </c>
      <c r="Q503" t="n">
        <v>0</v>
      </c>
      <c r="R503" s="2" t="inlineStr"/>
    </row>
    <row r="504" ht="15" customHeight="1">
      <c r="A504" t="inlineStr">
        <is>
          <t>A 54914-2024</t>
        </is>
      </c>
      <c r="B504" s="1" t="n">
        <v>45618.69380787037</v>
      </c>
      <c r="C504" s="1" t="n">
        <v>45964</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49397-2024</t>
        </is>
      </c>
      <c r="B505" s="1" t="n">
        <v>45595</v>
      </c>
      <c r="C505" s="1" t="n">
        <v>45964</v>
      </c>
      <c r="D505" t="inlineStr">
        <is>
          <t>DALARNAS LÄN</t>
        </is>
      </c>
      <c r="E505" t="inlineStr">
        <is>
          <t>LEKSAND</t>
        </is>
      </c>
      <c r="G505" t="n">
        <v>4.3</v>
      </c>
      <c r="H505" t="n">
        <v>0</v>
      </c>
      <c r="I505" t="n">
        <v>0</v>
      </c>
      <c r="J505" t="n">
        <v>0</v>
      </c>
      <c r="K505" t="n">
        <v>0</v>
      </c>
      <c r="L505" t="n">
        <v>0</v>
      </c>
      <c r="M505" t="n">
        <v>0</v>
      </c>
      <c r="N505" t="n">
        <v>0</v>
      </c>
      <c r="O505" t="n">
        <v>0</v>
      </c>
      <c r="P505" t="n">
        <v>0</v>
      </c>
      <c r="Q505" t="n">
        <v>0</v>
      </c>
      <c r="R505" s="2" t="inlineStr"/>
    </row>
    <row r="506" ht="15" customHeight="1">
      <c r="A506" t="inlineStr">
        <is>
          <t>A 39921-2024</t>
        </is>
      </c>
      <c r="B506" s="1" t="n">
        <v>45553</v>
      </c>
      <c r="C506" s="1" t="n">
        <v>45964</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58244-2024</t>
        </is>
      </c>
      <c r="B507" s="1" t="n">
        <v>45631</v>
      </c>
      <c r="C507" s="1" t="n">
        <v>45964</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57907-2024</t>
        </is>
      </c>
      <c r="B508" s="1" t="n">
        <v>45630</v>
      </c>
      <c r="C508" s="1" t="n">
        <v>45964</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30254-2025</t>
        </is>
      </c>
      <c r="B509" s="1" t="n">
        <v>45827.42336805556</v>
      </c>
      <c r="C509" s="1" t="n">
        <v>45964</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61546-2021</t>
        </is>
      </c>
      <c r="B510" s="1" t="n">
        <v>44501</v>
      </c>
      <c r="C510" s="1" t="n">
        <v>45964</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41046-2024</t>
        </is>
      </c>
      <c r="B511" s="1" t="n">
        <v>45559.36677083333</v>
      </c>
      <c r="C511" s="1" t="n">
        <v>45964</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27317-2021</t>
        </is>
      </c>
      <c r="B512" s="1" t="n">
        <v>44351</v>
      </c>
      <c r="C512" s="1" t="n">
        <v>45964</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16005-2025</t>
        </is>
      </c>
      <c r="B513" s="1" t="n">
        <v>45749.59765046297</v>
      </c>
      <c r="C513" s="1" t="n">
        <v>45964</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12923-2025</t>
        </is>
      </c>
      <c r="B514" s="1" t="n">
        <v>45734.29193287037</v>
      </c>
      <c r="C514" s="1" t="n">
        <v>45964</v>
      </c>
      <c r="D514" t="inlineStr">
        <is>
          <t>DALARNAS LÄN</t>
        </is>
      </c>
      <c r="E514" t="inlineStr">
        <is>
          <t>LEKSAND</t>
        </is>
      </c>
      <c r="G514" t="n">
        <v>7.2</v>
      </c>
      <c r="H514" t="n">
        <v>0</v>
      </c>
      <c r="I514" t="n">
        <v>0</v>
      </c>
      <c r="J514" t="n">
        <v>0</v>
      </c>
      <c r="K514" t="n">
        <v>0</v>
      </c>
      <c r="L514" t="n">
        <v>0</v>
      </c>
      <c r="M514" t="n">
        <v>0</v>
      </c>
      <c r="N514" t="n">
        <v>0</v>
      </c>
      <c r="O514" t="n">
        <v>0</v>
      </c>
      <c r="P514" t="n">
        <v>0</v>
      </c>
      <c r="Q514" t="n">
        <v>0</v>
      </c>
      <c r="R514" s="2" t="inlineStr"/>
    </row>
    <row r="515" ht="15" customHeight="1">
      <c r="A515" t="inlineStr">
        <is>
          <t>A 5738-2023</t>
        </is>
      </c>
      <c r="B515" s="1" t="n">
        <v>44962</v>
      </c>
      <c r="C515" s="1" t="n">
        <v>45964</v>
      </c>
      <c r="D515" t="inlineStr">
        <is>
          <t>DALARNAS LÄN</t>
        </is>
      </c>
      <c r="E515" t="inlineStr">
        <is>
          <t>LEKSAND</t>
        </is>
      </c>
      <c r="G515" t="n">
        <v>0.2</v>
      </c>
      <c r="H515" t="n">
        <v>0</v>
      </c>
      <c r="I515" t="n">
        <v>0</v>
      </c>
      <c r="J515" t="n">
        <v>0</v>
      </c>
      <c r="K515" t="n">
        <v>0</v>
      </c>
      <c r="L515" t="n">
        <v>0</v>
      </c>
      <c r="M515" t="n">
        <v>0</v>
      </c>
      <c r="N515" t="n">
        <v>0</v>
      </c>
      <c r="O515" t="n">
        <v>0</v>
      </c>
      <c r="P515" t="n">
        <v>0</v>
      </c>
      <c r="Q515" t="n">
        <v>0</v>
      </c>
      <c r="R515" s="2" t="inlineStr"/>
    </row>
    <row r="516" ht="15" customHeight="1">
      <c r="A516" t="inlineStr">
        <is>
          <t>A 8940-2023</t>
        </is>
      </c>
      <c r="B516" s="1" t="n">
        <v>44974</v>
      </c>
      <c r="C516" s="1" t="n">
        <v>45964</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11128-2023</t>
        </is>
      </c>
      <c r="B517" s="1" t="n">
        <v>44992</v>
      </c>
      <c r="C517" s="1" t="n">
        <v>45964</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9105-2024</t>
        </is>
      </c>
      <c r="B518" s="1" t="n">
        <v>45357</v>
      </c>
      <c r="C518" s="1" t="n">
        <v>45964</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30920-2025</t>
        </is>
      </c>
      <c r="B519" s="1" t="n">
        <v>45832.38484953704</v>
      </c>
      <c r="C519" s="1" t="n">
        <v>45964</v>
      </c>
      <c r="D519" t="inlineStr">
        <is>
          <t>DALARNAS LÄN</t>
        </is>
      </c>
      <c r="E519" t="inlineStr">
        <is>
          <t>LEKSAND</t>
        </is>
      </c>
      <c r="G519" t="n">
        <v>1.9</v>
      </c>
      <c r="H519" t="n">
        <v>0</v>
      </c>
      <c r="I519" t="n">
        <v>0</v>
      </c>
      <c r="J519" t="n">
        <v>0</v>
      </c>
      <c r="K519" t="n">
        <v>0</v>
      </c>
      <c r="L519" t="n">
        <v>0</v>
      </c>
      <c r="M519" t="n">
        <v>0</v>
      </c>
      <c r="N519" t="n">
        <v>0</v>
      </c>
      <c r="O519" t="n">
        <v>0</v>
      </c>
      <c r="P519" t="n">
        <v>0</v>
      </c>
      <c r="Q519" t="n">
        <v>0</v>
      </c>
      <c r="R519" s="2" t="inlineStr"/>
    </row>
    <row r="520" ht="15" customHeight="1">
      <c r="A520" t="inlineStr">
        <is>
          <t>A 24005-2024</t>
        </is>
      </c>
      <c r="B520" s="1" t="n">
        <v>45456.39239583333</v>
      </c>
      <c r="C520" s="1" t="n">
        <v>45964</v>
      </c>
      <c r="D520" t="inlineStr">
        <is>
          <t>DALARNAS LÄN</t>
        </is>
      </c>
      <c r="E520" t="inlineStr">
        <is>
          <t>LEKSAND</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30969-2025</t>
        </is>
      </c>
      <c r="B521" s="1" t="n">
        <v>45832.45914351852</v>
      </c>
      <c r="C521" s="1" t="n">
        <v>45964</v>
      </c>
      <c r="D521" t="inlineStr">
        <is>
          <t>DALARNAS LÄN</t>
        </is>
      </c>
      <c r="E521" t="inlineStr">
        <is>
          <t>LEKSAND</t>
        </is>
      </c>
      <c r="F521" t="inlineStr">
        <is>
          <t>Bergvik skog väst AB</t>
        </is>
      </c>
      <c r="G521" t="n">
        <v>1.5</v>
      </c>
      <c r="H521" t="n">
        <v>0</v>
      </c>
      <c r="I521" t="n">
        <v>0</v>
      </c>
      <c r="J521" t="n">
        <v>0</v>
      </c>
      <c r="K521" t="n">
        <v>0</v>
      </c>
      <c r="L521" t="n">
        <v>0</v>
      </c>
      <c r="M521" t="n">
        <v>0</v>
      </c>
      <c r="N521" t="n">
        <v>0</v>
      </c>
      <c r="O521" t="n">
        <v>0</v>
      </c>
      <c r="P521" t="n">
        <v>0</v>
      </c>
      <c r="Q521" t="n">
        <v>0</v>
      </c>
      <c r="R521" s="2" t="inlineStr"/>
    </row>
    <row r="522" ht="15" customHeight="1">
      <c r="A522" t="inlineStr">
        <is>
          <t>A 30917-2025</t>
        </is>
      </c>
      <c r="B522" s="1" t="n">
        <v>45832.37989583334</v>
      </c>
      <c r="C522" s="1" t="n">
        <v>45964</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61225-2023</t>
        </is>
      </c>
      <c r="B523" s="1" t="n">
        <v>45264</v>
      </c>
      <c r="C523" s="1" t="n">
        <v>45964</v>
      </c>
      <c r="D523" t="inlineStr">
        <is>
          <t>DALARNAS LÄN</t>
        </is>
      </c>
      <c r="E523" t="inlineStr">
        <is>
          <t>LEKSAND</t>
        </is>
      </c>
      <c r="G523" t="n">
        <v>7</v>
      </c>
      <c r="H523" t="n">
        <v>0</v>
      </c>
      <c r="I523" t="n">
        <v>0</v>
      </c>
      <c r="J523" t="n">
        <v>0</v>
      </c>
      <c r="K523" t="n">
        <v>0</v>
      </c>
      <c r="L523" t="n">
        <v>0</v>
      </c>
      <c r="M523" t="n">
        <v>0</v>
      </c>
      <c r="N523" t="n">
        <v>0</v>
      </c>
      <c r="O523" t="n">
        <v>0</v>
      </c>
      <c r="P523" t="n">
        <v>0</v>
      </c>
      <c r="Q523" t="n">
        <v>0</v>
      </c>
      <c r="R523" s="2" t="inlineStr"/>
    </row>
    <row r="524" ht="15" customHeight="1">
      <c r="A524" t="inlineStr">
        <is>
          <t>A 31619-2025</t>
        </is>
      </c>
      <c r="B524" s="1" t="n">
        <v>45833</v>
      </c>
      <c r="C524" s="1" t="n">
        <v>45964</v>
      </c>
      <c r="D524" t="inlineStr">
        <is>
          <t>DALARNAS LÄN</t>
        </is>
      </c>
      <c r="E524" t="inlineStr">
        <is>
          <t>LEKSAND</t>
        </is>
      </c>
      <c r="G524" t="n">
        <v>2.5</v>
      </c>
      <c r="H524" t="n">
        <v>0</v>
      </c>
      <c r="I524" t="n">
        <v>0</v>
      </c>
      <c r="J524" t="n">
        <v>0</v>
      </c>
      <c r="K524" t="n">
        <v>0</v>
      </c>
      <c r="L524" t="n">
        <v>0</v>
      </c>
      <c r="M524" t="n">
        <v>0</v>
      </c>
      <c r="N524" t="n">
        <v>0</v>
      </c>
      <c r="O524" t="n">
        <v>0</v>
      </c>
      <c r="P524" t="n">
        <v>0</v>
      </c>
      <c r="Q524" t="n">
        <v>0</v>
      </c>
      <c r="R524" s="2" t="inlineStr"/>
    </row>
    <row r="525" ht="15" customHeight="1">
      <c r="A525" t="inlineStr">
        <is>
          <t>A 30916-2025</t>
        </is>
      </c>
      <c r="B525" s="1" t="n">
        <v>45832.37885416667</v>
      </c>
      <c r="C525" s="1" t="n">
        <v>45964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1458-2024</t>
        </is>
      </c>
      <c r="B526" s="1" t="n">
        <v>45303</v>
      </c>
      <c r="C526" s="1" t="n">
        <v>45964</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1461-2024</t>
        </is>
      </c>
      <c r="B527" s="1" t="n">
        <v>45303</v>
      </c>
      <c r="C527" s="1" t="n">
        <v>45964</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31446-2025</t>
        </is>
      </c>
      <c r="B528" s="1" t="n">
        <v>45833</v>
      </c>
      <c r="C528" s="1" t="n">
        <v>45964</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30911-2025</t>
        </is>
      </c>
      <c r="B529" s="1" t="n">
        <v>45832.37547453704</v>
      </c>
      <c r="C529" s="1" t="n">
        <v>45964</v>
      </c>
      <c r="D529" t="inlineStr">
        <is>
          <t>DALARNAS LÄN</t>
        </is>
      </c>
      <c r="E529" t="inlineStr">
        <is>
          <t>LEKSAND</t>
        </is>
      </c>
      <c r="G529" t="n">
        <v>0.5</v>
      </c>
      <c r="H529" t="n">
        <v>0</v>
      </c>
      <c r="I529" t="n">
        <v>0</v>
      </c>
      <c r="J529" t="n">
        <v>0</v>
      </c>
      <c r="K529" t="n">
        <v>0</v>
      </c>
      <c r="L529" t="n">
        <v>0</v>
      </c>
      <c r="M529" t="n">
        <v>0</v>
      </c>
      <c r="N529" t="n">
        <v>0</v>
      </c>
      <c r="O529" t="n">
        <v>0</v>
      </c>
      <c r="P529" t="n">
        <v>0</v>
      </c>
      <c r="Q529" t="n">
        <v>0</v>
      </c>
      <c r="R529" s="2" t="inlineStr"/>
    </row>
    <row r="530" ht="15" customHeight="1">
      <c r="A530" t="inlineStr">
        <is>
          <t>A 15968-2025</t>
        </is>
      </c>
      <c r="B530" s="1" t="n">
        <v>45749.54818287037</v>
      </c>
      <c r="C530" s="1" t="n">
        <v>45964</v>
      </c>
      <c r="D530" t="inlineStr">
        <is>
          <t>DALARNAS LÄN</t>
        </is>
      </c>
      <c r="E530" t="inlineStr">
        <is>
          <t>LEKSAND</t>
        </is>
      </c>
      <c r="G530" t="n">
        <v>3.2</v>
      </c>
      <c r="H530" t="n">
        <v>0</v>
      </c>
      <c r="I530" t="n">
        <v>0</v>
      </c>
      <c r="J530" t="n">
        <v>0</v>
      </c>
      <c r="K530" t="n">
        <v>0</v>
      </c>
      <c r="L530" t="n">
        <v>0</v>
      </c>
      <c r="M530" t="n">
        <v>0</v>
      </c>
      <c r="N530" t="n">
        <v>0</v>
      </c>
      <c r="O530" t="n">
        <v>0</v>
      </c>
      <c r="P530" t="n">
        <v>0</v>
      </c>
      <c r="Q530" t="n">
        <v>0</v>
      </c>
      <c r="R530" s="2" t="inlineStr"/>
    </row>
    <row r="531" ht="15" customHeight="1">
      <c r="A531" t="inlineStr">
        <is>
          <t>A 47068-2025</t>
        </is>
      </c>
      <c r="B531" s="1" t="n">
        <v>45929.63511574074</v>
      </c>
      <c r="C531" s="1" t="n">
        <v>45964</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38001-2023</t>
        </is>
      </c>
      <c r="B532" s="1" t="n">
        <v>45160</v>
      </c>
      <c r="C532" s="1" t="n">
        <v>45964</v>
      </c>
      <c r="D532" t="inlineStr">
        <is>
          <t>DALARNAS LÄN</t>
        </is>
      </c>
      <c r="E532" t="inlineStr">
        <is>
          <t>LEKSAND</t>
        </is>
      </c>
      <c r="G532" t="n">
        <v>3.6</v>
      </c>
      <c r="H532" t="n">
        <v>0</v>
      </c>
      <c r="I532" t="n">
        <v>0</v>
      </c>
      <c r="J532" t="n">
        <v>0</v>
      </c>
      <c r="K532" t="n">
        <v>0</v>
      </c>
      <c r="L532" t="n">
        <v>0</v>
      </c>
      <c r="M532" t="n">
        <v>0</v>
      </c>
      <c r="N532" t="n">
        <v>0</v>
      </c>
      <c r="O532" t="n">
        <v>0</v>
      </c>
      <c r="P532" t="n">
        <v>0</v>
      </c>
      <c r="Q532" t="n">
        <v>0</v>
      </c>
      <c r="R532" s="2" t="inlineStr"/>
    </row>
    <row r="533" ht="15" customHeight="1">
      <c r="A533" t="inlineStr">
        <is>
          <t>A 31179-2025</t>
        </is>
      </c>
      <c r="B533" s="1" t="n">
        <v>45832.67648148148</v>
      </c>
      <c r="C533" s="1" t="n">
        <v>45964</v>
      </c>
      <c r="D533" t="inlineStr">
        <is>
          <t>DALARNAS LÄN</t>
        </is>
      </c>
      <c r="E533" t="inlineStr">
        <is>
          <t>LEKSAND</t>
        </is>
      </c>
      <c r="G533" t="n">
        <v>4.7</v>
      </c>
      <c r="H533" t="n">
        <v>0</v>
      </c>
      <c r="I533" t="n">
        <v>0</v>
      </c>
      <c r="J533" t="n">
        <v>0</v>
      </c>
      <c r="K533" t="n">
        <v>0</v>
      </c>
      <c r="L533" t="n">
        <v>0</v>
      </c>
      <c r="M533" t="n">
        <v>0</v>
      </c>
      <c r="N533" t="n">
        <v>0</v>
      </c>
      <c r="O533" t="n">
        <v>0</v>
      </c>
      <c r="P533" t="n">
        <v>0</v>
      </c>
      <c r="Q533" t="n">
        <v>0</v>
      </c>
      <c r="R533" s="2" t="inlineStr"/>
    </row>
    <row r="534" ht="15" customHeight="1">
      <c r="A534" t="inlineStr">
        <is>
          <t>A 31189-2025</t>
        </is>
      </c>
      <c r="B534" s="1" t="n">
        <v>45832.6799537037</v>
      </c>
      <c r="C534" s="1" t="n">
        <v>45964</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30973-2025</t>
        </is>
      </c>
      <c r="B535" s="1" t="n">
        <v>45832.46300925926</v>
      </c>
      <c r="C535" s="1" t="n">
        <v>45964</v>
      </c>
      <c r="D535" t="inlineStr">
        <is>
          <t>DALARNAS LÄN</t>
        </is>
      </c>
      <c r="E535" t="inlineStr">
        <is>
          <t>LEKSAND</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30196-2023</t>
        </is>
      </c>
      <c r="B536" s="1" t="n">
        <v>45110</v>
      </c>
      <c r="C536" s="1" t="n">
        <v>45964</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47673-2023</t>
        </is>
      </c>
      <c r="B537" s="1" t="n">
        <v>45203</v>
      </c>
      <c r="C537" s="1" t="n">
        <v>45964</v>
      </c>
      <c r="D537" t="inlineStr">
        <is>
          <t>DALARNAS LÄN</t>
        </is>
      </c>
      <c r="E537" t="inlineStr">
        <is>
          <t>LEKSAND</t>
        </is>
      </c>
      <c r="G537" t="n">
        <v>2</v>
      </c>
      <c r="H537" t="n">
        <v>0</v>
      </c>
      <c r="I537" t="n">
        <v>0</v>
      </c>
      <c r="J537" t="n">
        <v>0</v>
      </c>
      <c r="K537" t="n">
        <v>0</v>
      </c>
      <c r="L537" t="n">
        <v>0</v>
      </c>
      <c r="M537" t="n">
        <v>0</v>
      </c>
      <c r="N537" t="n">
        <v>0</v>
      </c>
      <c r="O537" t="n">
        <v>0</v>
      </c>
      <c r="P537" t="n">
        <v>0</v>
      </c>
      <c r="Q537" t="n">
        <v>0</v>
      </c>
      <c r="R537" s="2" t="inlineStr"/>
    </row>
    <row r="538" ht="15" customHeight="1">
      <c r="A538" t="inlineStr">
        <is>
          <t>A 10833-2023</t>
        </is>
      </c>
      <c r="B538" s="1" t="n">
        <v>44990</v>
      </c>
      <c r="C538" s="1" t="n">
        <v>45964</v>
      </c>
      <c r="D538" t="inlineStr">
        <is>
          <t>DALARNAS LÄN</t>
        </is>
      </c>
      <c r="E538" t="inlineStr">
        <is>
          <t>LEKSAND</t>
        </is>
      </c>
      <c r="G538" t="n">
        <v>1.7</v>
      </c>
      <c r="H538" t="n">
        <v>0</v>
      </c>
      <c r="I538" t="n">
        <v>0</v>
      </c>
      <c r="J538" t="n">
        <v>0</v>
      </c>
      <c r="K538" t="n">
        <v>0</v>
      </c>
      <c r="L538" t="n">
        <v>0</v>
      </c>
      <c r="M538" t="n">
        <v>0</v>
      </c>
      <c r="N538" t="n">
        <v>0</v>
      </c>
      <c r="O538" t="n">
        <v>0</v>
      </c>
      <c r="P538" t="n">
        <v>0</v>
      </c>
      <c r="Q538" t="n">
        <v>0</v>
      </c>
      <c r="R538" s="2" t="inlineStr"/>
    </row>
    <row r="539" ht="15" customHeight="1">
      <c r="A539" t="inlineStr">
        <is>
          <t>A 19820-2024</t>
        </is>
      </c>
      <c r="B539" s="1" t="n">
        <v>45433.33907407407</v>
      </c>
      <c r="C539" s="1" t="n">
        <v>45964</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19823-2024</t>
        </is>
      </c>
      <c r="B540" s="1" t="n">
        <v>45433.34469907408</v>
      </c>
      <c r="C540" s="1" t="n">
        <v>45964</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47121-2021</t>
        </is>
      </c>
      <c r="B541" s="1" t="n">
        <v>44446</v>
      </c>
      <c r="C541" s="1" t="n">
        <v>45964</v>
      </c>
      <c r="D541" t="inlineStr">
        <is>
          <t>DALARNAS LÄN</t>
        </is>
      </c>
      <c r="E541" t="inlineStr">
        <is>
          <t>LEKSAND</t>
        </is>
      </c>
      <c r="G541" t="n">
        <v>3.5</v>
      </c>
      <c r="H541" t="n">
        <v>0</v>
      </c>
      <c r="I541" t="n">
        <v>0</v>
      </c>
      <c r="J541" t="n">
        <v>0</v>
      </c>
      <c r="K541" t="n">
        <v>0</v>
      </c>
      <c r="L541" t="n">
        <v>0</v>
      </c>
      <c r="M541" t="n">
        <v>0</v>
      </c>
      <c r="N541" t="n">
        <v>0</v>
      </c>
      <c r="O541" t="n">
        <v>0</v>
      </c>
      <c r="P541" t="n">
        <v>0</v>
      </c>
      <c r="Q541" t="n">
        <v>0</v>
      </c>
      <c r="R541" s="2" t="inlineStr"/>
    </row>
    <row r="542" ht="15" customHeight="1">
      <c r="A542" t="inlineStr">
        <is>
          <t>A 36444-2023</t>
        </is>
      </c>
      <c r="B542" s="1" t="n">
        <v>45152.63138888889</v>
      </c>
      <c r="C542" s="1" t="n">
        <v>45964</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31493-2025</t>
        </is>
      </c>
      <c r="B543" s="1" t="n">
        <v>45833</v>
      </c>
      <c r="C543" s="1" t="n">
        <v>45964</v>
      </c>
      <c r="D543" t="inlineStr">
        <is>
          <t>DALARNAS LÄN</t>
        </is>
      </c>
      <c r="E543" t="inlineStr">
        <is>
          <t>LEKSAND</t>
        </is>
      </c>
      <c r="G543" t="n">
        <v>0.9</v>
      </c>
      <c r="H543" t="n">
        <v>0</v>
      </c>
      <c r="I543" t="n">
        <v>0</v>
      </c>
      <c r="J543" t="n">
        <v>0</v>
      </c>
      <c r="K543" t="n">
        <v>0</v>
      </c>
      <c r="L543" t="n">
        <v>0</v>
      </c>
      <c r="M543" t="n">
        <v>0</v>
      </c>
      <c r="N543" t="n">
        <v>0</v>
      </c>
      <c r="O543" t="n">
        <v>0</v>
      </c>
      <c r="P543" t="n">
        <v>0</v>
      </c>
      <c r="Q543" t="n">
        <v>0</v>
      </c>
      <c r="R543" s="2" t="inlineStr"/>
    </row>
    <row r="544" ht="15" customHeight="1">
      <c r="A544" t="inlineStr">
        <is>
          <t>A 21402-2023</t>
        </is>
      </c>
      <c r="B544" s="1" t="n">
        <v>45061</v>
      </c>
      <c r="C544" s="1" t="n">
        <v>45964</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31945-2025</t>
        </is>
      </c>
      <c r="B545" s="1" t="n">
        <v>45835</v>
      </c>
      <c r="C545" s="1" t="n">
        <v>45964</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7653-2025</t>
        </is>
      </c>
      <c r="B546" s="1" t="n">
        <v>45705.95238425926</v>
      </c>
      <c r="C546" s="1" t="n">
        <v>45964</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31391-2024</t>
        </is>
      </c>
      <c r="B547" s="1" t="n">
        <v>45505.46616898148</v>
      </c>
      <c r="C547" s="1" t="n">
        <v>45964</v>
      </c>
      <c r="D547" t="inlineStr">
        <is>
          <t>DALARNAS LÄN</t>
        </is>
      </c>
      <c r="E547" t="inlineStr">
        <is>
          <t>LEKSAND</t>
        </is>
      </c>
      <c r="F547" t="inlineStr">
        <is>
          <t>Bergvik skog väst AB</t>
        </is>
      </c>
      <c r="G547" t="n">
        <v>2.7</v>
      </c>
      <c r="H547" t="n">
        <v>0</v>
      </c>
      <c r="I547" t="n">
        <v>0</v>
      </c>
      <c r="J547" t="n">
        <v>0</v>
      </c>
      <c r="K547" t="n">
        <v>0</v>
      </c>
      <c r="L547" t="n">
        <v>0</v>
      </c>
      <c r="M547" t="n">
        <v>0</v>
      </c>
      <c r="N547" t="n">
        <v>0</v>
      </c>
      <c r="O547" t="n">
        <v>0</v>
      </c>
      <c r="P547" t="n">
        <v>0</v>
      </c>
      <c r="Q547" t="n">
        <v>0</v>
      </c>
      <c r="R547" s="2" t="inlineStr"/>
    </row>
    <row r="548" ht="15" customHeight="1">
      <c r="A548" t="inlineStr">
        <is>
          <t>A 167-2023</t>
        </is>
      </c>
      <c r="B548" s="1" t="n">
        <v>44918</v>
      </c>
      <c r="C548" s="1" t="n">
        <v>45964</v>
      </c>
      <c r="D548" t="inlineStr">
        <is>
          <t>DALARNAS LÄN</t>
        </is>
      </c>
      <c r="E548" t="inlineStr">
        <is>
          <t>LEKSAND</t>
        </is>
      </c>
      <c r="G548" t="n">
        <v>0.5</v>
      </c>
      <c r="H548" t="n">
        <v>0</v>
      </c>
      <c r="I548" t="n">
        <v>0</v>
      </c>
      <c r="J548" t="n">
        <v>0</v>
      </c>
      <c r="K548" t="n">
        <v>0</v>
      </c>
      <c r="L548" t="n">
        <v>0</v>
      </c>
      <c r="M548" t="n">
        <v>0</v>
      </c>
      <c r="N548" t="n">
        <v>0</v>
      </c>
      <c r="O548" t="n">
        <v>0</v>
      </c>
      <c r="P548" t="n">
        <v>0</v>
      </c>
      <c r="Q548" t="n">
        <v>0</v>
      </c>
      <c r="R548" s="2" t="inlineStr"/>
    </row>
    <row r="549" ht="15" customHeight="1">
      <c r="A549" t="inlineStr">
        <is>
          <t>A 6039-2023</t>
        </is>
      </c>
      <c r="B549" s="1" t="n">
        <v>44959</v>
      </c>
      <c r="C549" s="1" t="n">
        <v>45964</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6758-2024</t>
        </is>
      </c>
      <c r="B550" s="1" t="n">
        <v>45342.46857638889</v>
      </c>
      <c r="C550" s="1" t="n">
        <v>45964</v>
      </c>
      <c r="D550" t="inlineStr">
        <is>
          <t>DALARNAS LÄN</t>
        </is>
      </c>
      <c r="E550" t="inlineStr">
        <is>
          <t>LEKSAND</t>
        </is>
      </c>
      <c r="F550" t="inlineStr">
        <is>
          <t>Bergvik skog väst AB</t>
        </is>
      </c>
      <c r="G550" t="n">
        <v>6.2</v>
      </c>
      <c r="H550" t="n">
        <v>0</v>
      </c>
      <c r="I550" t="n">
        <v>0</v>
      </c>
      <c r="J550" t="n">
        <v>0</v>
      </c>
      <c r="K550" t="n">
        <v>0</v>
      </c>
      <c r="L550" t="n">
        <v>0</v>
      </c>
      <c r="M550" t="n">
        <v>0</v>
      </c>
      <c r="N550" t="n">
        <v>0</v>
      </c>
      <c r="O550" t="n">
        <v>0</v>
      </c>
      <c r="P550" t="n">
        <v>0</v>
      </c>
      <c r="Q550" t="n">
        <v>0</v>
      </c>
      <c r="R550" s="2" t="inlineStr"/>
    </row>
    <row r="551" ht="15" customHeight="1">
      <c r="A551" t="inlineStr">
        <is>
          <t>A 4257-2022</t>
        </is>
      </c>
      <c r="B551" s="1" t="n">
        <v>44588</v>
      </c>
      <c r="C551" s="1" t="n">
        <v>45964</v>
      </c>
      <c r="D551" t="inlineStr">
        <is>
          <t>DALARNAS LÄN</t>
        </is>
      </c>
      <c r="E551" t="inlineStr">
        <is>
          <t>LEKSAND</t>
        </is>
      </c>
      <c r="G551" t="n">
        <v>6.8</v>
      </c>
      <c r="H551" t="n">
        <v>0</v>
      </c>
      <c r="I551" t="n">
        <v>0</v>
      </c>
      <c r="J551" t="n">
        <v>0</v>
      </c>
      <c r="K551" t="n">
        <v>0</v>
      </c>
      <c r="L551" t="n">
        <v>0</v>
      </c>
      <c r="M551" t="n">
        <v>0</v>
      </c>
      <c r="N551" t="n">
        <v>0</v>
      </c>
      <c r="O551" t="n">
        <v>0</v>
      </c>
      <c r="P551" t="n">
        <v>0</v>
      </c>
      <c r="Q551" t="n">
        <v>0</v>
      </c>
      <c r="R551" s="2" t="inlineStr"/>
    </row>
    <row r="552" ht="15" customHeight="1">
      <c r="A552" t="inlineStr">
        <is>
          <t>A 32104-2025</t>
        </is>
      </c>
      <c r="B552" s="1" t="n">
        <v>45835</v>
      </c>
      <c r="C552" s="1" t="n">
        <v>45964</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31850-2024</t>
        </is>
      </c>
      <c r="B553" s="1" t="n">
        <v>45509.67334490741</v>
      </c>
      <c r="C553" s="1" t="n">
        <v>45964</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31787-2025</t>
        </is>
      </c>
      <c r="B554" s="1" t="n">
        <v>45834</v>
      </c>
      <c r="C554" s="1" t="n">
        <v>45964</v>
      </c>
      <c r="D554" t="inlineStr">
        <is>
          <t>DALARNAS LÄN</t>
        </is>
      </c>
      <c r="E554" t="inlineStr">
        <is>
          <t>LEKSAND</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28921-2023</t>
        </is>
      </c>
      <c r="B555" s="1" t="n">
        <v>45104</v>
      </c>
      <c r="C555" s="1" t="n">
        <v>45964</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30998-2023</t>
        </is>
      </c>
      <c r="B556" s="1" t="n">
        <v>45113.54193287037</v>
      </c>
      <c r="C556" s="1" t="n">
        <v>45964</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38498-2025</t>
        </is>
      </c>
      <c r="B557" s="1" t="n">
        <v>45884.3706712963</v>
      </c>
      <c r="C557" s="1" t="n">
        <v>45964</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32301-2025</t>
        </is>
      </c>
      <c r="B558" s="1" t="n">
        <v>45835</v>
      </c>
      <c r="C558" s="1" t="n">
        <v>45964</v>
      </c>
      <c r="D558" t="inlineStr">
        <is>
          <t>DALARNAS LÄN</t>
        </is>
      </c>
      <c r="E558" t="inlineStr">
        <is>
          <t>LEKSAND</t>
        </is>
      </c>
      <c r="G558" t="n">
        <v>2.2</v>
      </c>
      <c r="H558" t="n">
        <v>0</v>
      </c>
      <c r="I558" t="n">
        <v>0</v>
      </c>
      <c r="J558" t="n">
        <v>0</v>
      </c>
      <c r="K558" t="n">
        <v>0</v>
      </c>
      <c r="L558" t="n">
        <v>0</v>
      </c>
      <c r="M558" t="n">
        <v>0</v>
      </c>
      <c r="N558" t="n">
        <v>0</v>
      </c>
      <c r="O558" t="n">
        <v>0</v>
      </c>
      <c r="P558" t="n">
        <v>0</v>
      </c>
      <c r="Q558" t="n">
        <v>0</v>
      </c>
      <c r="R558" s="2" t="inlineStr"/>
    </row>
    <row r="559" ht="15" customHeight="1">
      <c r="A559" t="inlineStr">
        <is>
          <t>A 31254-2023</t>
        </is>
      </c>
      <c r="B559" s="1" t="n">
        <v>45114</v>
      </c>
      <c r="C559" s="1" t="n">
        <v>45964</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32653-2025</t>
        </is>
      </c>
      <c r="B560" s="1" t="n">
        <v>45838</v>
      </c>
      <c r="C560" s="1" t="n">
        <v>45964</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27244-2023</t>
        </is>
      </c>
      <c r="B561" s="1" t="n">
        <v>45096</v>
      </c>
      <c r="C561" s="1" t="n">
        <v>45964</v>
      </c>
      <c r="D561" t="inlineStr">
        <is>
          <t>DALARNAS LÄN</t>
        </is>
      </c>
      <c r="E561" t="inlineStr">
        <is>
          <t>LEKSAND</t>
        </is>
      </c>
      <c r="G561" t="n">
        <v>5</v>
      </c>
      <c r="H561" t="n">
        <v>0</v>
      </c>
      <c r="I561" t="n">
        <v>0</v>
      </c>
      <c r="J561" t="n">
        <v>0</v>
      </c>
      <c r="K561" t="n">
        <v>0</v>
      </c>
      <c r="L561" t="n">
        <v>0</v>
      </c>
      <c r="M561" t="n">
        <v>0</v>
      </c>
      <c r="N561" t="n">
        <v>0</v>
      </c>
      <c r="O561" t="n">
        <v>0</v>
      </c>
      <c r="P561" t="n">
        <v>0</v>
      </c>
      <c r="Q561" t="n">
        <v>0</v>
      </c>
      <c r="R561" s="2" t="inlineStr"/>
    </row>
    <row r="562" ht="15" customHeight="1">
      <c r="A562" t="inlineStr">
        <is>
          <t>A 32855-2025</t>
        </is>
      </c>
      <c r="B562" s="1" t="n">
        <v>45839.57643518518</v>
      </c>
      <c r="C562" s="1" t="n">
        <v>45964</v>
      </c>
      <c r="D562" t="inlineStr">
        <is>
          <t>DALARNAS LÄN</t>
        </is>
      </c>
      <c r="E562" t="inlineStr">
        <is>
          <t>LEKSAND</t>
        </is>
      </c>
      <c r="G562" t="n">
        <v>0.7</v>
      </c>
      <c r="H562" t="n">
        <v>0</v>
      </c>
      <c r="I562" t="n">
        <v>0</v>
      </c>
      <c r="J562" t="n">
        <v>0</v>
      </c>
      <c r="K562" t="n">
        <v>0</v>
      </c>
      <c r="L562" t="n">
        <v>0</v>
      </c>
      <c r="M562" t="n">
        <v>0</v>
      </c>
      <c r="N562" t="n">
        <v>0</v>
      </c>
      <c r="O562" t="n">
        <v>0</v>
      </c>
      <c r="P562" t="n">
        <v>0</v>
      </c>
      <c r="Q562" t="n">
        <v>0</v>
      </c>
      <c r="R562" s="2" t="inlineStr"/>
    </row>
    <row r="563" ht="15" customHeight="1">
      <c r="A563" t="inlineStr">
        <is>
          <t>A 32661-2025</t>
        </is>
      </c>
      <c r="B563" s="1" t="n">
        <v>45838.67953703704</v>
      </c>
      <c r="C563" s="1" t="n">
        <v>45964</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23283-2024</t>
        </is>
      </c>
      <c r="B564" s="1" t="n">
        <v>45453</v>
      </c>
      <c r="C564" s="1" t="n">
        <v>45964</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3183-2025</t>
        </is>
      </c>
      <c r="B565" s="1" t="n">
        <v>45679.40298611111</v>
      </c>
      <c r="C565" s="1" t="n">
        <v>45964</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39807-2024</t>
        </is>
      </c>
      <c r="B566" s="1" t="n">
        <v>45553.35763888889</v>
      </c>
      <c r="C566" s="1" t="n">
        <v>45964</v>
      </c>
      <c r="D566" t="inlineStr">
        <is>
          <t>DALARNAS LÄN</t>
        </is>
      </c>
      <c r="E566" t="inlineStr">
        <is>
          <t>LEKSAND</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32593-2025</t>
        </is>
      </c>
      <c r="B567" s="1" t="n">
        <v>45838</v>
      </c>
      <c r="C567" s="1" t="n">
        <v>45964</v>
      </c>
      <c r="D567" t="inlineStr">
        <is>
          <t>DALARNAS LÄN</t>
        </is>
      </c>
      <c r="E567" t="inlineStr">
        <is>
          <t>LEKSAND</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32726-2025</t>
        </is>
      </c>
      <c r="B568" s="1" t="n">
        <v>45839.3969212963</v>
      </c>
      <c r="C568" s="1" t="n">
        <v>45964</v>
      </c>
      <c r="D568" t="inlineStr">
        <is>
          <t>DALARNAS LÄN</t>
        </is>
      </c>
      <c r="E568" t="inlineStr">
        <is>
          <t>LEKSAND</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1463-2024</t>
        </is>
      </c>
      <c r="B569" s="1" t="n">
        <v>45303</v>
      </c>
      <c r="C569" s="1" t="n">
        <v>45964</v>
      </c>
      <c r="D569" t="inlineStr">
        <is>
          <t>DALARNAS LÄN</t>
        </is>
      </c>
      <c r="E569" t="inlineStr">
        <is>
          <t>LEKSAND</t>
        </is>
      </c>
      <c r="G569" t="n">
        <v>1.5</v>
      </c>
      <c r="H569" t="n">
        <v>0</v>
      </c>
      <c r="I569" t="n">
        <v>0</v>
      </c>
      <c r="J569" t="n">
        <v>0</v>
      </c>
      <c r="K569" t="n">
        <v>0</v>
      </c>
      <c r="L569" t="n">
        <v>0</v>
      </c>
      <c r="M569" t="n">
        <v>0</v>
      </c>
      <c r="N569" t="n">
        <v>0</v>
      </c>
      <c r="O569" t="n">
        <v>0</v>
      </c>
      <c r="P569" t="n">
        <v>0</v>
      </c>
      <c r="Q569" t="n">
        <v>0</v>
      </c>
      <c r="R569" s="2" t="inlineStr"/>
    </row>
    <row r="570" ht="15" customHeight="1">
      <c r="A570" t="inlineStr">
        <is>
          <t>A 16611-2024</t>
        </is>
      </c>
      <c r="B570" s="1" t="n">
        <v>45408.55504629629</v>
      </c>
      <c r="C570" s="1" t="n">
        <v>45964</v>
      </c>
      <c r="D570" t="inlineStr">
        <is>
          <t>DALARNAS LÄN</t>
        </is>
      </c>
      <c r="E570" t="inlineStr">
        <is>
          <t>LEKSAND</t>
        </is>
      </c>
      <c r="G570" t="n">
        <v>5.9</v>
      </c>
      <c r="H570" t="n">
        <v>0</v>
      </c>
      <c r="I570" t="n">
        <v>0</v>
      </c>
      <c r="J570" t="n">
        <v>0</v>
      </c>
      <c r="K570" t="n">
        <v>0</v>
      </c>
      <c r="L570" t="n">
        <v>0</v>
      </c>
      <c r="M570" t="n">
        <v>0</v>
      </c>
      <c r="N570" t="n">
        <v>0</v>
      </c>
      <c r="O570" t="n">
        <v>0</v>
      </c>
      <c r="P570" t="n">
        <v>0</v>
      </c>
      <c r="Q570" t="n">
        <v>0</v>
      </c>
      <c r="R570" s="2" t="inlineStr"/>
    </row>
    <row r="571" ht="15" customHeight="1">
      <c r="A571" t="inlineStr">
        <is>
          <t>A 16592-2023</t>
        </is>
      </c>
      <c r="B571" s="1" t="n">
        <v>45030</v>
      </c>
      <c r="C571" s="1" t="n">
        <v>45964</v>
      </c>
      <c r="D571" t="inlineStr">
        <is>
          <t>DALARNAS LÄN</t>
        </is>
      </c>
      <c r="E571" t="inlineStr">
        <is>
          <t>LEKSAND</t>
        </is>
      </c>
      <c r="G571" t="n">
        <v>11.5</v>
      </c>
      <c r="H571" t="n">
        <v>0</v>
      </c>
      <c r="I571" t="n">
        <v>0</v>
      </c>
      <c r="J571" t="n">
        <v>0</v>
      </c>
      <c r="K571" t="n">
        <v>0</v>
      </c>
      <c r="L571" t="n">
        <v>0</v>
      </c>
      <c r="M571" t="n">
        <v>0</v>
      </c>
      <c r="N571" t="n">
        <v>0</v>
      </c>
      <c r="O571" t="n">
        <v>0</v>
      </c>
      <c r="P571" t="n">
        <v>0</v>
      </c>
      <c r="Q571" t="n">
        <v>0</v>
      </c>
      <c r="R571" s="2" t="inlineStr"/>
    </row>
    <row r="572" ht="15" customHeight="1">
      <c r="A572" t="inlineStr">
        <is>
          <t>A 12290-2024</t>
        </is>
      </c>
      <c r="B572" s="1" t="n">
        <v>45378.57877314815</v>
      </c>
      <c r="C572" s="1" t="n">
        <v>45964</v>
      </c>
      <c r="D572" t="inlineStr">
        <is>
          <t>DALARNAS LÄN</t>
        </is>
      </c>
      <c r="E572" t="inlineStr">
        <is>
          <t>LEKSAND</t>
        </is>
      </c>
      <c r="G572" t="n">
        <v>2.5</v>
      </c>
      <c r="H572" t="n">
        <v>0</v>
      </c>
      <c r="I572" t="n">
        <v>0</v>
      </c>
      <c r="J572" t="n">
        <v>0</v>
      </c>
      <c r="K572" t="n">
        <v>0</v>
      </c>
      <c r="L572" t="n">
        <v>0</v>
      </c>
      <c r="M572" t="n">
        <v>0</v>
      </c>
      <c r="N572" t="n">
        <v>0</v>
      </c>
      <c r="O572" t="n">
        <v>0</v>
      </c>
      <c r="P572" t="n">
        <v>0</v>
      </c>
      <c r="Q572" t="n">
        <v>0</v>
      </c>
      <c r="R572" s="2" t="inlineStr"/>
    </row>
    <row r="573" ht="15" customHeight="1">
      <c r="A573" t="inlineStr">
        <is>
          <t>A 33160-2025</t>
        </is>
      </c>
      <c r="B573" s="1" t="n">
        <v>45840</v>
      </c>
      <c r="C573" s="1" t="n">
        <v>45964</v>
      </c>
      <c r="D573" t="inlineStr">
        <is>
          <t>DALARNAS LÄN</t>
        </is>
      </c>
      <c r="E573" t="inlineStr">
        <is>
          <t>LEKSAND</t>
        </is>
      </c>
      <c r="G573" t="n">
        <v>2.3</v>
      </c>
      <c r="H573" t="n">
        <v>0</v>
      </c>
      <c r="I573" t="n">
        <v>0</v>
      </c>
      <c r="J573" t="n">
        <v>0</v>
      </c>
      <c r="K573" t="n">
        <v>0</v>
      </c>
      <c r="L573" t="n">
        <v>0</v>
      </c>
      <c r="M573" t="n">
        <v>0</v>
      </c>
      <c r="N573" t="n">
        <v>0</v>
      </c>
      <c r="O573" t="n">
        <v>0</v>
      </c>
      <c r="P573" t="n">
        <v>0</v>
      </c>
      <c r="Q573" t="n">
        <v>0</v>
      </c>
      <c r="R573" s="2" t="inlineStr"/>
    </row>
    <row r="574" ht="15" customHeight="1">
      <c r="A574" t="inlineStr">
        <is>
          <t>A 45768-2023</t>
        </is>
      </c>
      <c r="B574" s="1" t="n">
        <v>45195</v>
      </c>
      <c r="C574" s="1" t="n">
        <v>45964</v>
      </c>
      <c r="D574" t="inlineStr">
        <is>
          <t>DALARNAS LÄN</t>
        </is>
      </c>
      <c r="E574" t="inlineStr">
        <is>
          <t>LEKSAND</t>
        </is>
      </c>
      <c r="G574" t="n">
        <v>0.4</v>
      </c>
      <c r="H574" t="n">
        <v>0</v>
      </c>
      <c r="I574" t="n">
        <v>0</v>
      </c>
      <c r="J574" t="n">
        <v>0</v>
      </c>
      <c r="K574" t="n">
        <v>0</v>
      </c>
      <c r="L574" t="n">
        <v>0</v>
      </c>
      <c r="M574" t="n">
        <v>0</v>
      </c>
      <c r="N574" t="n">
        <v>0</v>
      </c>
      <c r="O574" t="n">
        <v>0</v>
      </c>
      <c r="P574" t="n">
        <v>0</v>
      </c>
      <c r="Q574" t="n">
        <v>0</v>
      </c>
      <c r="R574" s="2" t="inlineStr"/>
    </row>
    <row r="575" ht="15" customHeight="1">
      <c r="A575" t="inlineStr">
        <is>
          <t>A 17606-2024</t>
        </is>
      </c>
      <c r="B575" s="1" t="n">
        <v>45415</v>
      </c>
      <c r="C575" s="1" t="n">
        <v>45964</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39819-2024</t>
        </is>
      </c>
      <c r="B576" s="1" t="n">
        <v>45553.38774305556</v>
      </c>
      <c r="C576" s="1" t="n">
        <v>45964</v>
      </c>
      <c r="D576" t="inlineStr">
        <is>
          <t>DALARNAS LÄN</t>
        </is>
      </c>
      <c r="E576" t="inlineStr">
        <is>
          <t>LEKSAND</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25025-2023</t>
        </is>
      </c>
      <c r="B577" s="1" t="n">
        <v>45085.92146990741</v>
      </c>
      <c r="C577" s="1" t="n">
        <v>45964</v>
      </c>
      <c r="D577" t="inlineStr">
        <is>
          <t>DALARNAS LÄN</t>
        </is>
      </c>
      <c r="E577" t="inlineStr">
        <is>
          <t>LEKSAND</t>
        </is>
      </c>
      <c r="G577" t="n">
        <v>3</v>
      </c>
      <c r="H577" t="n">
        <v>0</v>
      </c>
      <c r="I577" t="n">
        <v>0</v>
      </c>
      <c r="J577" t="n">
        <v>0</v>
      </c>
      <c r="K577" t="n">
        <v>0</v>
      </c>
      <c r="L577" t="n">
        <v>0</v>
      </c>
      <c r="M577" t="n">
        <v>0</v>
      </c>
      <c r="N577" t="n">
        <v>0</v>
      </c>
      <c r="O577" t="n">
        <v>0</v>
      </c>
      <c r="P577" t="n">
        <v>0</v>
      </c>
      <c r="Q577" t="n">
        <v>0</v>
      </c>
      <c r="R577" s="2" t="inlineStr"/>
    </row>
    <row r="578" ht="15" customHeight="1">
      <c r="A578" t="inlineStr">
        <is>
          <t>A 25038-2023</t>
        </is>
      </c>
      <c r="B578" s="1" t="n">
        <v>45085</v>
      </c>
      <c r="C578" s="1" t="n">
        <v>45964</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36450-2023</t>
        </is>
      </c>
      <c r="B579" s="1" t="n">
        <v>45152.64842592592</v>
      </c>
      <c r="C579" s="1" t="n">
        <v>45964</v>
      </c>
      <c r="D579" t="inlineStr">
        <is>
          <t>DALARNAS LÄN</t>
        </is>
      </c>
      <c r="E579" t="inlineStr">
        <is>
          <t>LEKSAND</t>
        </is>
      </c>
      <c r="G579" t="n">
        <v>2.4</v>
      </c>
      <c r="H579" t="n">
        <v>0</v>
      </c>
      <c r="I579" t="n">
        <v>0</v>
      </c>
      <c r="J579" t="n">
        <v>0</v>
      </c>
      <c r="K579" t="n">
        <v>0</v>
      </c>
      <c r="L579" t="n">
        <v>0</v>
      </c>
      <c r="M579" t="n">
        <v>0</v>
      </c>
      <c r="N579" t="n">
        <v>0</v>
      </c>
      <c r="O579" t="n">
        <v>0</v>
      </c>
      <c r="P579" t="n">
        <v>0</v>
      </c>
      <c r="Q579" t="n">
        <v>0</v>
      </c>
      <c r="R579" s="2" t="inlineStr"/>
    </row>
    <row r="580" ht="15" customHeight="1">
      <c r="A580" t="inlineStr">
        <is>
          <t>A 19559-2023</t>
        </is>
      </c>
      <c r="B580" s="1" t="n">
        <v>45050</v>
      </c>
      <c r="C580" s="1" t="n">
        <v>45964</v>
      </c>
      <c r="D580" t="inlineStr">
        <is>
          <t>DALARNAS LÄN</t>
        </is>
      </c>
      <c r="E580" t="inlineStr">
        <is>
          <t>LEKSAND</t>
        </is>
      </c>
      <c r="G580" t="n">
        <v>0.1</v>
      </c>
      <c r="H580" t="n">
        <v>0</v>
      </c>
      <c r="I580" t="n">
        <v>0</v>
      </c>
      <c r="J580" t="n">
        <v>0</v>
      </c>
      <c r="K580" t="n">
        <v>0</v>
      </c>
      <c r="L580" t="n">
        <v>0</v>
      </c>
      <c r="M580" t="n">
        <v>0</v>
      </c>
      <c r="N580" t="n">
        <v>0</v>
      </c>
      <c r="O580" t="n">
        <v>0</v>
      </c>
      <c r="P580" t="n">
        <v>0</v>
      </c>
      <c r="Q580" t="n">
        <v>0</v>
      </c>
      <c r="R580" s="2" t="inlineStr"/>
    </row>
    <row r="581" ht="15" customHeight="1">
      <c r="A581" t="inlineStr">
        <is>
          <t>A 11277-2025</t>
        </is>
      </c>
      <c r="B581" s="1" t="n">
        <v>45726.41565972222</v>
      </c>
      <c r="C581" s="1" t="n">
        <v>45964</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48721-2023</t>
        </is>
      </c>
      <c r="B582" s="1" t="n">
        <v>45203</v>
      </c>
      <c r="C582" s="1" t="n">
        <v>45964</v>
      </c>
      <c r="D582" t="inlineStr">
        <is>
          <t>DALARNAS LÄN</t>
        </is>
      </c>
      <c r="E582" t="inlineStr">
        <is>
          <t>LEKSAND</t>
        </is>
      </c>
      <c r="G582" t="n">
        <v>2.9</v>
      </c>
      <c r="H582" t="n">
        <v>0</v>
      </c>
      <c r="I582" t="n">
        <v>0</v>
      </c>
      <c r="J582" t="n">
        <v>0</v>
      </c>
      <c r="K582" t="n">
        <v>0</v>
      </c>
      <c r="L582" t="n">
        <v>0</v>
      </c>
      <c r="M582" t="n">
        <v>0</v>
      </c>
      <c r="N582" t="n">
        <v>0</v>
      </c>
      <c r="O582" t="n">
        <v>0</v>
      </c>
      <c r="P582" t="n">
        <v>0</v>
      </c>
      <c r="Q582" t="n">
        <v>0</v>
      </c>
      <c r="R582" s="2" t="inlineStr"/>
    </row>
    <row r="583" ht="15" customHeight="1">
      <c r="A583" t="inlineStr">
        <is>
          <t>A 43142-2024</t>
        </is>
      </c>
      <c r="B583" s="1" t="n">
        <v>45567.62144675926</v>
      </c>
      <c r="C583" s="1" t="n">
        <v>45964</v>
      </c>
      <c r="D583" t="inlineStr">
        <is>
          <t>DALARNAS LÄN</t>
        </is>
      </c>
      <c r="E583" t="inlineStr">
        <is>
          <t>LEKSAND</t>
        </is>
      </c>
      <c r="F583" t="inlineStr">
        <is>
          <t>Bergvik skog väst AB</t>
        </is>
      </c>
      <c r="G583" t="n">
        <v>2.9</v>
      </c>
      <c r="H583" t="n">
        <v>0</v>
      </c>
      <c r="I583" t="n">
        <v>0</v>
      </c>
      <c r="J583" t="n">
        <v>0</v>
      </c>
      <c r="K583" t="n">
        <v>0</v>
      </c>
      <c r="L583" t="n">
        <v>0</v>
      </c>
      <c r="M583" t="n">
        <v>0</v>
      </c>
      <c r="N583" t="n">
        <v>0</v>
      </c>
      <c r="O583" t="n">
        <v>0</v>
      </c>
      <c r="P583" t="n">
        <v>0</v>
      </c>
      <c r="Q583" t="n">
        <v>0</v>
      </c>
      <c r="R583" s="2" t="inlineStr"/>
    </row>
    <row r="584" ht="15" customHeight="1">
      <c r="A584" t="inlineStr">
        <is>
          <t>A 1984-2025</t>
        </is>
      </c>
      <c r="B584" s="1" t="n">
        <v>45670</v>
      </c>
      <c r="C584" s="1" t="n">
        <v>45964</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1443-2024</t>
        </is>
      </c>
      <c r="B585" s="1" t="n">
        <v>45303</v>
      </c>
      <c r="C585" s="1" t="n">
        <v>45964</v>
      </c>
      <c r="D585" t="inlineStr">
        <is>
          <t>DALARNAS LÄN</t>
        </is>
      </c>
      <c r="E585" t="inlineStr">
        <is>
          <t>LEKSAND</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5570-2024</t>
        </is>
      </c>
      <c r="B586" s="1" t="n">
        <v>45334</v>
      </c>
      <c r="C586" s="1" t="n">
        <v>45964</v>
      </c>
      <c r="D586" t="inlineStr">
        <is>
          <t>DALARNAS LÄN</t>
        </is>
      </c>
      <c r="E586" t="inlineStr">
        <is>
          <t>LEKSAND</t>
        </is>
      </c>
      <c r="G586" t="n">
        <v>0.3</v>
      </c>
      <c r="H586" t="n">
        <v>0</v>
      </c>
      <c r="I586" t="n">
        <v>0</v>
      </c>
      <c r="J586" t="n">
        <v>0</v>
      </c>
      <c r="K586" t="n">
        <v>0</v>
      </c>
      <c r="L586" t="n">
        <v>0</v>
      </c>
      <c r="M586" t="n">
        <v>0</v>
      </c>
      <c r="N586" t="n">
        <v>0</v>
      </c>
      <c r="O586" t="n">
        <v>0</v>
      </c>
      <c r="P586" t="n">
        <v>0</v>
      </c>
      <c r="Q586" t="n">
        <v>0</v>
      </c>
      <c r="R586" s="2" t="inlineStr"/>
    </row>
    <row r="587" ht="15" customHeight="1">
      <c r="A587" t="inlineStr">
        <is>
          <t>A 54917-2024</t>
        </is>
      </c>
      <c r="B587" s="1" t="n">
        <v>45618.69581018519</v>
      </c>
      <c r="C587" s="1" t="n">
        <v>45964</v>
      </c>
      <c r="D587" t="inlineStr">
        <is>
          <t>DALARNAS LÄN</t>
        </is>
      </c>
      <c r="E587" t="inlineStr">
        <is>
          <t>LEKSAND</t>
        </is>
      </c>
      <c r="G587" t="n">
        <v>1.2</v>
      </c>
      <c r="H587" t="n">
        <v>0</v>
      </c>
      <c r="I587" t="n">
        <v>0</v>
      </c>
      <c r="J587" t="n">
        <v>0</v>
      </c>
      <c r="K587" t="n">
        <v>0</v>
      </c>
      <c r="L587" t="n">
        <v>0</v>
      </c>
      <c r="M587" t="n">
        <v>0</v>
      </c>
      <c r="N587" t="n">
        <v>0</v>
      </c>
      <c r="O587" t="n">
        <v>0</v>
      </c>
      <c r="P587" t="n">
        <v>0</v>
      </c>
      <c r="Q587" t="n">
        <v>0</v>
      </c>
      <c r="R587" s="2" t="inlineStr"/>
    </row>
    <row r="588" ht="15" customHeight="1">
      <c r="A588" t="inlineStr">
        <is>
          <t>A 33804-2025</t>
        </is>
      </c>
      <c r="B588" s="1" t="n">
        <v>45842</v>
      </c>
      <c r="C588" s="1" t="n">
        <v>45964</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11403-2023</t>
        </is>
      </c>
      <c r="B589" s="1" t="n">
        <v>44993</v>
      </c>
      <c r="C589" s="1" t="n">
        <v>45964</v>
      </c>
      <c r="D589" t="inlineStr">
        <is>
          <t>DALARNAS LÄN</t>
        </is>
      </c>
      <c r="E589" t="inlineStr">
        <is>
          <t>LEKSAND</t>
        </is>
      </c>
      <c r="G589" t="n">
        <v>0.1</v>
      </c>
      <c r="H589" t="n">
        <v>0</v>
      </c>
      <c r="I589" t="n">
        <v>0</v>
      </c>
      <c r="J589" t="n">
        <v>0</v>
      </c>
      <c r="K589" t="n">
        <v>0</v>
      </c>
      <c r="L589" t="n">
        <v>0</v>
      </c>
      <c r="M589" t="n">
        <v>0</v>
      </c>
      <c r="N589" t="n">
        <v>0</v>
      </c>
      <c r="O589" t="n">
        <v>0</v>
      </c>
      <c r="P589" t="n">
        <v>0</v>
      </c>
      <c r="Q589" t="n">
        <v>0</v>
      </c>
      <c r="R589" s="2" t="inlineStr"/>
    </row>
    <row r="590" ht="15" customHeight="1">
      <c r="A590" t="inlineStr">
        <is>
          <t>A 27446-2024</t>
        </is>
      </c>
      <c r="B590" s="1" t="n">
        <v>45474.42671296297</v>
      </c>
      <c r="C590" s="1" t="n">
        <v>45964</v>
      </c>
      <c r="D590" t="inlineStr">
        <is>
          <t>DALARNAS LÄN</t>
        </is>
      </c>
      <c r="E590" t="inlineStr">
        <is>
          <t>LEKSAND</t>
        </is>
      </c>
      <c r="G590" t="n">
        <v>2.9</v>
      </c>
      <c r="H590" t="n">
        <v>0</v>
      </c>
      <c r="I590" t="n">
        <v>0</v>
      </c>
      <c r="J590" t="n">
        <v>0</v>
      </c>
      <c r="K590" t="n">
        <v>0</v>
      </c>
      <c r="L590" t="n">
        <v>0</v>
      </c>
      <c r="M590" t="n">
        <v>0</v>
      </c>
      <c r="N590" t="n">
        <v>0</v>
      </c>
      <c r="O590" t="n">
        <v>0</v>
      </c>
      <c r="P590" t="n">
        <v>0</v>
      </c>
      <c r="Q590" t="n">
        <v>0</v>
      </c>
      <c r="R590" s="2" t="inlineStr"/>
    </row>
    <row r="591" ht="15" customHeight="1">
      <c r="A591" t="inlineStr">
        <is>
          <t>A 53817-2023</t>
        </is>
      </c>
      <c r="B591" s="1" t="n">
        <v>45231.40488425926</v>
      </c>
      <c r="C591" s="1" t="n">
        <v>45964</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60129-2023</t>
        </is>
      </c>
      <c r="B592" s="1" t="n">
        <v>45258.49056712963</v>
      </c>
      <c r="C592" s="1" t="n">
        <v>45964</v>
      </c>
      <c r="D592" t="inlineStr">
        <is>
          <t>DALARNAS LÄN</t>
        </is>
      </c>
      <c r="E592" t="inlineStr">
        <is>
          <t>LEKSAND</t>
        </is>
      </c>
      <c r="F592" t="inlineStr">
        <is>
          <t>Bergvik skog väst AB</t>
        </is>
      </c>
      <c r="G592" t="n">
        <v>1.5</v>
      </c>
      <c r="H592" t="n">
        <v>0</v>
      </c>
      <c r="I592" t="n">
        <v>0</v>
      </c>
      <c r="J592" t="n">
        <v>0</v>
      </c>
      <c r="K592" t="n">
        <v>0</v>
      </c>
      <c r="L592" t="n">
        <v>0</v>
      </c>
      <c r="M592" t="n">
        <v>0</v>
      </c>
      <c r="N592" t="n">
        <v>0</v>
      </c>
      <c r="O592" t="n">
        <v>0</v>
      </c>
      <c r="P592" t="n">
        <v>0</v>
      </c>
      <c r="Q592" t="n">
        <v>0</v>
      </c>
      <c r="R592" s="2" t="inlineStr"/>
    </row>
    <row r="593" ht="15" customHeight="1">
      <c r="A593" t="inlineStr">
        <is>
          <t>A 3737-2023</t>
        </is>
      </c>
      <c r="B593" s="1" t="n">
        <v>44951.42983796296</v>
      </c>
      <c r="C593" s="1" t="n">
        <v>45964</v>
      </c>
      <c r="D593" t="inlineStr">
        <is>
          <t>DALARNAS LÄN</t>
        </is>
      </c>
      <c r="E593" t="inlineStr">
        <is>
          <t>LEKSAND</t>
        </is>
      </c>
      <c r="G593" t="n">
        <v>3.1</v>
      </c>
      <c r="H593" t="n">
        <v>0</v>
      </c>
      <c r="I593" t="n">
        <v>0</v>
      </c>
      <c r="J593" t="n">
        <v>0</v>
      </c>
      <c r="K593" t="n">
        <v>0</v>
      </c>
      <c r="L593" t="n">
        <v>0</v>
      </c>
      <c r="M593" t="n">
        <v>0</v>
      </c>
      <c r="N593" t="n">
        <v>0</v>
      </c>
      <c r="O593" t="n">
        <v>0</v>
      </c>
      <c r="P593" t="n">
        <v>0</v>
      </c>
      <c r="Q593" t="n">
        <v>0</v>
      </c>
      <c r="R593" s="2" t="inlineStr"/>
    </row>
    <row r="594" ht="15" customHeight="1">
      <c r="A594" t="inlineStr">
        <is>
          <t>A 43237-2024</t>
        </is>
      </c>
      <c r="B594" s="1" t="n">
        <v>45567</v>
      </c>
      <c r="C594" s="1" t="n">
        <v>45964</v>
      </c>
      <c r="D594" t="inlineStr">
        <is>
          <t>DALARNAS LÄN</t>
        </is>
      </c>
      <c r="E594" t="inlineStr">
        <is>
          <t>LEKSAND</t>
        </is>
      </c>
      <c r="G594" t="n">
        <v>0.8</v>
      </c>
      <c r="H594" t="n">
        <v>0</v>
      </c>
      <c r="I594" t="n">
        <v>0</v>
      </c>
      <c r="J594" t="n">
        <v>0</v>
      </c>
      <c r="K594" t="n">
        <v>0</v>
      </c>
      <c r="L594" t="n">
        <v>0</v>
      </c>
      <c r="M594" t="n">
        <v>0</v>
      </c>
      <c r="N594" t="n">
        <v>0</v>
      </c>
      <c r="O594" t="n">
        <v>0</v>
      </c>
      <c r="P594" t="n">
        <v>0</v>
      </c>
      <c r="Q594" t="n">
        <v>0</v>
      </c>
      <c r="R594" s="2" t="inlineStr"/>
    </row>
    <row r="595" ht="15" customHeight="1">
      <c r="A595" t="inlineStr">
        <is>
          <t>A 62993-2023</t>
        </is>
      </c>
      <c r="B595" s="1" t="n">
        <v>45272</v>
      </c>
      <c r="C595" s="1" t="n">
        <v>45964</v>
      </c>
      <c r="D595" t="inlineStr">
        <is>
          <t>DALARNAS LÄN</t>
        </is>
      </c>
      <c r="E595" t="inlineStr">
        <is>
          <t>LEKSAND</t>
        </is>
      </c>
      <c r="G595" t="n">
        <v>0.6</v>
      </c>
      <c r="H595" t="n">
        <v>0</v>
      </c>
      <c r="I595" t="n">
        <v>0</v>
      </c>
      <c r="J595" t="n">
        <v>0</v>
      </c>
      <c r="K595" t="n">
        <v>0</v>
      </c>
      <c r="L595" t="n">
        <v>0</v>
      </c>
      <c r="M595" t="n">
        <v>0</v>
      </c>
      <c r="N595" t="n">
        <v>0</v>
      </c>
      <c r="O595" t="n">
        <v>0</v>
      </c>
      <c r="P595" t="n">
        <v>0</v>
      </c>
      <c r="Q595" t="n">
        <v>0</v>
      </c>
      <c r="R595" s="2" t="inlineStr"/>
    </row>
    <row r="596" ht="15" customHeight="1">
      <c r="A596" t="inlineStr">
        <is>
          <t>A 34537-2025</t>
        </is>
      </c>
      <c r="B596" s="1" t="n">
        <v>45847</v>
      </c>
      <c r="C596" s="1" t="n">
        <v>45964</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23068-2024</t>
        </is>
      </c>
      <c r="B597" s="1" t="n">
        <v>45450.45521990741</v>
      </c>
      <c r="C597" s="1" t="n">
        <v>45964</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7894-2025</t>
        </is>
      </c>
      <c r="B598" s="1" t="n">
        <v>45707.30268518518</v>
      </c>
      <c r="C598" s="1" t="n">
        <v>45964</v>
      </c>
      <c r="D598" t="inlineStr">
        <is>
          <t>DALARNAS LÄN</t>
        </is>
      </c>
      <c r="E598" t="inlineStr">
        <is>
          <t>LEKSAND</t>
        </is>
      </c>
      <c r="G598" t="n">
        <v>1.6</v>
      </c>
      <c r="H598" t="n">
        <v>0</v>
      </c>
      <c r="I598" t="n">
        <v>0</v>
      </c>
      <c r="J598" t="n">
        <v>0</v>
      </c>
      <c r="K598" t="n">
        <v>0</v>
      </c>
      <c r="L598" t="n">
        <v>0</v>
      </c>
      <c r="M598" t="n">
        <v>0</v>
      </c>
      <c r="N598" t="n">
        <v>0</v>
      </c>
      <c r="O598" t="n">
        <v>0</v>
      </c>
      <c r="P598" t="n">
        <v>0</v>
      </c>
      <c r="Q598" t="n">
        <v>0</v>
      </c>
      <c r="R598" s="2" t="inlineStr"/>
    </row>
    <row r="599" ht="15" customHeight="1">
      <c r="A599" t="inlineStr">
        <is>
          <t>A 34965-2025</t>
        </is>
      </c>
      <c r="B599" s="1" t="n">
        <v>45849</v>
      </c>
      <c r="C599" s="1" t="n">
        <v>45964</v>
      </c>
      <c r="D599" t="inlineStr">
        <is>
          <t>DALARNAS LÄN</t>
        </is>
      </c>
      <c r="E599" t="inlineStr">
        <is>
          <t>LEKSAND</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41896-2024</t>
        </is>
      </c>
      <c r="B600" s="1" t="n">
        <v>45561.51310185185</v>
      </c>
      <c r="C600" s="1" t="n">
        <v>45964</v>
      </c>
      <c r="D600" t="inlineStr">
        <is>
          <t>DALARNAS LÄN</t>
        </is>
      </c>
      <c r="E600" t="inlineStr">
        <is>
          <t>LEKSAND</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34789-2025</t>
        </is>
      </c>
      <c r="B601" s="1" t="n">
        <v>45848</v>
      </c>
      <c r="C601" s="1" t="n">
        <v>45964</v>
      </c>
      <c r="D601" t="inlineStr">
        <is>
          <t>DALARNAS LÄN</t>
        </is>
      </c>
      <c r="E601" t="inlineStr">
        <is>
          <t>LEKSAND</t>
        </is>
      </c>
      <c r="F601" t="inlineStr">
        <is>
          <t>Bergvik skog väst AB</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45964</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34966-2025</t>
        </is>
      </c>
      <c r="B603" s="1" t="n">
        <v>45849</v>
      </c>
      <c r="C603" s="1" t="n">
        <v>45964</v>
      </c>
      <c r="D603" t="inlineStr">
        <is>
          <t>DALARNAS LÄN</t>
        </is>
      </c>
      <c r="E603" t="inlineStr">
        <is>
          <t>LEKSAND</t>
        </is>
      </c>
      <c r="F603" t="inlineStr">
        <is>
          <t>Bergvik skog väst AB</t>
        </is>
      </c>
      <c r="G603" t="n">
        <v>0.9</v>
      </c>
      <c r="H603" t="n">
        <v>0</v>
      </c>
      <c r="I603" t="n">
        <v>0</v>
      </c>
      <c r="J603" t="n">
        <v>0</v>
      </c>
      <c r="K603" t="n">
        <v>0</v>
      </c>
      <c r="L603" t="n">
        <v>0</v>
      </c>
      <c r="M603" t="n">
        <v>0</v>
      </c>
      <c r="N603" t="n">
        <v>0</v>
      </c>
      <c r="O603" t="n">
        <v>0</v>
      </c>
      <c r="P603" t="n">
        <v>0</v>
      </c>
      <c r="Q603" t="n">
        <v>0</v>
      </c>
      <c r="R603" s="2" t="inlineStr"/>
    </row>
    <row r="604" ht="15" customHeight="1">
      <c r="A604" t="inlineStr">
        <is>
          <t>A 28965-2023</t>
        </is>
      </c>
      <c r="B604" s="1" t="n">
        <v>45104</v>
      </c>
      <c r="C604" s="1" t="n">
        <v>45964</v>
      </c>
      <c r="D604" t="inlineStr">
        <is>
          <t>DALARNAS LÄN</t>
        </is>
      </c>
      <c r="E604" t="inlineStr">
        <is>
          <t>LEKSAND</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16293-2025</t>
        </is>
      </c>
      <c r="B605" s="1" t="n">
        <v>45751.33447916667</v>
      </c>
      <c r="C605" s="1" t="n">
        <v>45964</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6027-2025</t>
        </is>
      </c>
      <c r="B606" s="1" t="n">
        <v>45695</v>
      </c>
      <c r="C606" s="1" t="n">
        <v>45964</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35094-2025</t>
        </is>
      </c>
      <c r="B607" s="1" t="n">
        <v>45852</v>
      </c>
      <c r="C607" s="1" t="n">
        <v>45964</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7417-2024</t>
        </is>
      </c>
      <c r="B608" s="1" t="n">
        <v>45345.62378472222</v>
      </c>
      <c r="C608" s="1" t="n">
        <v>45964</v>
      </c>
      <c r="D608" t="inlineStr">
        <is>
          <t>DALARNAS LÄN</t>
        </is>
      </c>
      <c r="E608" t="inlineStr">
        <is>
          <t>LEKSAND</t>
        </is>
      </c>
      <c r="G608" t="n">
        <v>2.8</v>
      </c>
      <c r="H608" t="n">
        <v>0</v>
      </c>
      <c r="I608" t="n">
        <v>0</v>
      </c>
      <c r="J608" t="n">
        <v>0</v>
      </c>
      <c r="K608" t="n">
        <v>0</v>
      </c>
      <c r="L608" t="n">
        <v>0</v>
      </c>
      <c r="M608" t="n">
        <v>0</v>
      </c>
      <c r="N608" t="n">
        <v>0</v>
      </c>
      <c r="O608" t="n">
        <v>0</v>
      </c>
      <c r="P608" t="n">
        <v>0</v>
      </c>
      <c r="Q608" t="n">
        <v>0</v>
      </c>
      <c r="R608" s="2" t="inlineStr"/>
    </row>
    <row r="609" ht="15" customHeight="1">
      <c r="A609" t="inlineStr">
        <is>
          <t>A 11678-2023</t>
        </is>
      </c>
      <c r="B609" s="1" t="n">
        <v>44994</v>
      </c>
      <c r="C609" s="1" t="n">
        <v>45964</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8755-2023</t>
        </is>
      </c>
      <c r="B610" s="1" t="n">
        <v>44978</v>
      </c>
      <c r="C610" s="1" t="n">
        <v>45964</v>
      </c>
      <c r="D610" t="inlineStr">
        <is>
          <t>DALARNAS LÄN</t>
        </is>
      </c>
      <c r="E610" t="inlineStr">
        <is>
          <t>LEKSAND</t>
        </is>
      </c>
      <c r="G610" t="n">
        <v>2.3</v>
      </c>
      <c r="H610" t="n">
        <v>0</v>
      </c>
      <c r="I610" t="n">
        <v>0</v>
      </c>
      <c r="J610" t="n">
        <v>0</v>
      </c>
      <c r="K610" t="n">
        <v>0</v>
      </c>
      <c r="L610" t="n">
        <v>0</v>
      </c>
      <c r="M610" t="n">
        <v>0</v>
      </c>
      <c r="N610" t="n">
        <v>0</v>
      </c>
      <c r="O610" t="n">
        <v>0</v>
      </c>
      <c r="P610" t="n">
        <v>0</v>
      </c>
      <c r="Q610" t="n">
        <v>0</v>
      </c>
      <c r="R610" s="2" t="inlineStr"/>
    </row>
    <row r="611" ht="15" customHeight="1">
      <c r="A611" t="inlineStr">
        <is>
          <t>A 5582-2024</t>
        </is>
      </c>
      <c r="B611" s="1" t="n">
        <v>45334</v>
      </c>
      <c r="C611" s="1" t="n">
        <v>45964</v>
      </c>
      <c r="D611" t="inlineStr">
        <is>
          <t>DALARNAS LÄN</t>
        </is>
      </c>
      <c r="E611" t="inlineStr">
        <is>
          <t>LEKSAND</t>
        </is>
      </c>
      <c r="G611" t="n">
        <v>0.5</v>
      </c>
      <c r="H611" t="n">
        <v>0</v>
      </c>
      <c r="I611" t="n">
        <v>0</v>
      </c>
      <c r="J611" t="n">
        <v>0</v>
      </c>
      <c r="K611" t="n">
        <v>0</v>
      </c>
      <c r="L611" t="n">
        <v>0</v>
      </c>
      <c r="M611" t="n">
        <v>0</v>
      </c>
      <c r="N611" t="n">
        <v>0</v>
      </c>
      <c r="O611" t="n">
        <v>0</v>
      </c>
      <c r="P611" t="n">
        <v>0</v>
      </c>
      <c r="Q611" t="n">
        <v>0</v>
      </c>
      <c r="R611" s="2" t="inlineStr"/>
    </row>
    <row r="612" ht="15" customHeight="1">
      <c r="A612" t="inlineStr">
        <is>
          <t>A 13705-2021</t>
        </is>
      </c>
      <c r="B612" s="1" t="n">
        <v>44274</v>
      </c>
      <c r="C612" s="1" t="n">
        <v>45964</v>
      </c>
      <c r="D612" t="inlineStr">
        <is>
          <t>DALARNAS LÄN</t>
        </is>
      </c>
      <c r="E612" t="inlineStr">
        <is>
          <t>LEKSAND</t>
        </is>
      </c>
      <c r="G612" t="n">
        <v>3.8</v>
      </c>
      <c r="H612" t="n">
        <v>0</v>
      </c>
      <c r="I612" t="n">
        <v>0</v>
      </c>
      <c r="J612" t="n">
        <v>0</v>
      </c>
      <c r="K612" t="n">
        <v>0</v>
      </c>
      <c r="L612" t="n">
        <v>0</v>
      </c>
      <c r="M612" t="n">
        <v>0</v>
      </c>
      <c r="N612" t="n">
        <v>0</v>
      </c>
      <c r="O612" t="n">
        <v>0</v>
      </c>
      <c r="P612" t="n">
        <v>0</v>
      </c>
      <c r="Q612" t="n">
        <v>0</v>
      </c>
      <c r="R612" s="2" t="inlineStr"/>
    </row>
    <row r="613" ht="15" customHeight="1">
      <c r="A613" t="inlineStr">
        <is>
          <t>A 35866-2025</t>
        </is>
      </c>
      <c r="B613" s="1" t="n">
        <v>45861</v>
      </c>
      <c r="C613" s="1" t="n">
        <v>45964</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35746-2025</t>
        </is>
      </c>
      <c r="B614" s="1" t="n">
        <v>45860</v>
      </c>
      <c r="C614" s="1" t="n">
        <v>45964</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41934-2025</t>
        </is>
      </c>
      <c r="B615" s="1" t="n">
        <v>45903.43556712963</v>
      </c>
      <c r="C615" s="1" t="n">
        <v>45964</v>
      </c>
      <c r="D615" t="inlineStr">
        <is>
          <t>DALARNAS LÄN</t>
        </is>
      </c>
      <c r="E615" t="inlineStr">
        <is>
          <t>LEKSAND</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46505-2023</t>
        </is>
      </c>
      <c r="B616" s="1" t="n">
        <v>45197</v>
      </c>
      <c r="C616" s="1" t="n">
        <v>45964</v>
      </c>
      <c r="D616" t="inlineStr">
        <is>
          <t>DALARNAS LÄN</t>
        </is>
      </c>
      <c r="E616" t="inlineStr">
        <is>
          <t>LEKSAND</t>
        </is>
      </c>
      <c r="G616" t="n">
        <v>2.3</v>
      </c>
      <c r="H616" t="n">
        <v>0</v>
      </c>
      <c r="I616" t="n">
        <v>0</v>
      </c>
      <c r="J616" t="n">
        <v>0</v>
      </c>
      <c r="K616" t="n">
        <v>0</v>
      </c>
      <c r="L616" t="n">
        <v>0</v>
      </c>
      <c r="M616" t="n">
        <v>0</v>
      </c>
      <c r="N616" t="n">
        <v>0</v>
      </c>
      <c r="O616" t="n">
        <v>0</v>
      </c>
      <c r="P616" t="n">
        <v>0</v>
      </c>
      <c r="Q616" t="n">
        <v>0</v>
      </c>
      <c r="R616" s="2" t="inlineStr"/>
    </row>
    <row r="617" ht="15" customHeight="1">
      <c r="A617" t="inlineStr">
        <is>
          <t>A 36020-2025</t>
        </is>
      </c>
      <c r="B617" s="1" t="n">
        <v>45863</v>
      </c>
      <c r="C617" s="1" t="n">
        <v>45964</v>
      </c>
      <c r="D617" t="inlineStr">
        <is>
          <t>DALARNAS LÄN</t>
        </is>
      </c>
      <c r="E617" t="inlineStr">
        <is>
          <t>LEKSAND</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5574-2024</t>
        </is>
      </c>
      <c r="B618" s="1" t="n">
        <v>45334</v>
      </c>
      <c r="C618" s="1" t="n">
        <v>45964</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58619-2022</t>
        </is>
      </c>
      <c r="B619" s="1" t="n">
        <v>44902.59579861111</v>
      </c>
      <c r="C619" s="1" t="n">
        <v>45964</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36017-2025</t>
        </is>
      </c>
      <c r="B620" s="1" t="n">
        <v>45863</v>
      </c>
      <c r="C620" s="1" t="n">
        <v>45964</v>
      </c>
      <c r="D620" t="inlineStr">
        <is>
          <t>DALARNAS LÄN</t>
        </is>
      </c>
      <c r="E620" t="inlineStr">
        <is>
          <t>LEKSAND</t>
        </is>
      </c>
      <c r="F620" t="inlineStr">
        <is>
          <t>Bergvik skog väst AB</t>
        </is>
      </c>
      <c r="G620" t="n">
        <v>17.9</v>
      </c>
      <c r="H620" t="n">
        <v>0</v>
      </c>
      <c r="I620" t="n">
        <v>0</v>
      </c>
      <c r="J620" t="n">
        <v>0</v>
      </c>
      <c r="K620" t="n">
        <v>0</v>
      </c>
      <c r="L620" t="n">
        <v>0</v>
      </c>
      <c r="M620" t="n">
        <v>0</v>
      </c>
      <c r="N620" t="n">
        <v>0</v>
      </c>
      <c r="O620" t="n">
        <v>0</v>
      </c>
      <c r="P620" t="n">
        <v>0</v>
      </c>
      <c r="Q620" t="n">
        <v>0</v>
      </c>
      <c r="R620" s="2" t="inlineStr"/>
    </row>
    <row r="621" ht="15" customHeight="1">
      <c r="A621" t="inlineStr">
        <is>
          <t>A 4121-2024</t>
        </is>
      </c>
      <c r="B621" s="1" t="n">
        <v>45323</v>
      </c>
      <c r="C621" s="1" t="n">
        <v>45964</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46978-2025</t>
        </is>
      </c>
      <c r="B622" s="1" t="n">
        <v>45929.51811342593</v>
      </c>
      <c r="C622" s="1" t="n">
        <v>45964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35998-2025</t>
        </is>
      </c>
      <c r="B623" s="1" t="n">
        <v>45863.51550925926</v>
      </c>
      <c r="C623" s="1" t="n">
        <v>45964</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36021-2025</t>
        </is>
      </c>
      <c r="B624" s="1" t="n">
        <v>45863.72346064815</v>
      </c>
      <c r="C624" s="1" t="n">
        <v>45964</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57665-2023</t>
        </is>
      </c>
      <c r="B625" s="1" t="n">
        <v>45246</v>
      </c>
      <c r="C625" s="1" t="n">
        <v>45964</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30858-2024</t>
        </is>
      </c>
      <c r="B626" s="1" t="n">
        <v>45497.67601851852</v>
      </c>
      <c r="C626" s="1" t="n">
        <v>45964</v>
      </c>
      <c r="D626" t="inlineStr">
        <is>
          <t>DALARNAS LÄN</t>
        </is>
      </c>
      <c r="E626" t="inlineStr">
        <is>
          <t>LEKSAND</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36190-2025</t>
        </is>
      </c>
      <c r="B627" s="1" t="n">
        <v>45867</v>
      </c>
      <c r="C627" s="1" t="n">
        <v>45964</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7897-2025</t>
        </is>
      </c>
      <c r="B628" s="1" t="n">
        <v>45707.30969907407</v>
      </c>
      <c r="C628" s="1" t="n">
        <v>45964</v>
      </c>
      <c r="D628" t="inlineStr">
        <is>
          <t>DALARNAS LÄN</t>
        </is>
      </c>
      <c r="E628" t="inlineStr">
        <is>
          <t>LEKSAND</t>
        </is>
      </c>
      <c r="G628" t="n">
        <v>3.1</v>
      </c>
      <c r="H628" t="n">
        <v>0</v>
      </c>
      <c r="I628" t="n">
        <v>0</v>
      </c>
      <c r="J628" t="n">
        <v>0</v>
      </c>
      <c r="K628" t="n">
        <v>0</v>
      </c>
      <c r="L628" t="n">
        <v>0</v>
      </c>
      <c r="M628" t="n">
        <v>0</v>
      </c>
      <c r="N628" t="n">
        <v>0</v>
      </c>
      <c r="O628" t="n">
        <v>0</v>
      </c>
      <c r="P628" t="n">
        <v>0</v>
      </c>
      <c r="Q628" t="n">
        <v>0</v>
      </c>
      <c r="R628" s="2" t="inlineStr"/>
    </row>
    <row r="629" ht="15" customHeight="1">
      <c r="A629" t="inlineStr">
        <is>
          <t>A 38721-2025</t>
        </is>
      </c>
      <c r="B629" s="1" t="n">
        <v>45886.83605324074</v>
      </c>
      <c r="C629" s="1" t="n">
        <v>45964</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25921-2024</t>
        </is>
      </c>
      <c r="B630" s="1" t="n">
        <v>45467.6053587963</v>
      </c>
      <c r="C630" s="1" t="n">
        <v>45964</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41306-2024</t>
        </is>
      </c>
      <c r="B631" s="1" t="n">
        <v>45559.62550925926</v>
      </c>
      <c r="C631" s="1" t="n">
        <v>45964</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36540-2025</t>
        </is>
      </c>
      <c r="B632" s="1" t="n">
        <v>45869.63885416667</v>
      </c>
      <c r="C632" s="1" t="n">
        <v>45964</v>
      </c>
      <c r="D632" t="inlineStr">
        <is>
          <t>DALARNAS LÄN</t>
        </is>
      </c>
      <c r="E632" t="inlineStr">
        <is>
          <t>LEKSAND</t>
        </is>
      </c>
      <c r="G632" t="n">
        <v>0.6</v>
      </c>
      <c r="H632" t="n">
        <v>0</v>
      </c>
      <c r="I632" t="n">
        <v>0</v>
      </c>
      <c r="J632" t="n">
        <v>0</v>
      </c>
      <c r="K632" t="n">
        <v>0</v>
      </c>
      <c r="L632" t="n">
        <v>0</v>
      </c>
      <c r="M632" t="n">
        <v>0</v>
      </c>
      <c r="N632" t="n">
        <v>0</v>
      </c>
      <c r="O632" t="n">
        <v>0</v>
      </c>
      <c r="P632" t="n">
        <v>0</v>
      </c>
      <c r="Q632" t="n">
        <v>0</v>
      </c>
      <c r="R632" s="2" t="inlineStr"/>
    </row>
    <row r="633" ht="15" customHeight="1">
      <c r="A633" t="inlineStr">
        <is>
          <t>A 17377-2025</t>
        </is>
      </c>
      <c r="B633" s="1" t="n">
        <v>45756.983125</v>
      </c>
      <c r="C633" s="1" t="n">
        <v>45964</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13288-2023</t>
        </is>
      </c>
      <c r="B634" s="1" t="n">
        <v>45004.8160300926</v>
      </c>
      <c r="C634" s="1" t="n">
        <v>45964</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51677-2024</t>
        </is>
      </c>
      <c r="B635" s="1" t="n">
        <v>45607.30265046296</v>
      </c>
      <c r="C635" s="1" t="n">
        <v>45964</v>
      </c>
      <c r="D635" t="inlineStr">
        <is>
          <t>DALARNAS LÄN</t>
        </is>
      </c>
      <c r="E635" t="inlineStr">
        <is>
          <t>LEKSAND</t>
        </is>
      </c>
      <c r="G635" t="n">
        <v>3.4</v>
      </c>
      <c r="H635" t="n">
        <v>0</v>
      </c>
      <c r="I635" t="n">
        <v>0</v>
      </c>
      <c r="J635" t="n">
        <v>0</v>
      </c>
      <c r="K635" t="n">
        <v>0</v>
      </c>
      <c r="L635" t="n">
        <v>0</v>
      </c>
      <c r="M635" t="n">
        <v>0</v>
      </c>
      <c r="N635" t="n">
        <v>0</v>
      </c>
      <c r="O635" t="n">
        <v>0</v>
      </c>
      <c r="P635" t="n">
        <v>0</v>
      </c>
      <c r="Q635" t="n">
        <v>0</v>
      </c>
      <c r="R635" s="2" t="inlineStr"/>
    </row>
    <row r="636" ht="15" customHeight="1">
      <c r="A636" t="inlineStr">
        <is>
          <t>A 17233-2023</t>
        </is>
      </c>
      <c r="B636" s="1" t="n">
        <v>45035</v>
      </c>
      <c r="C636" s="1" t="n">
        <v>45964</v>
      </c>
      <c r="D636" t="inlineStr">
        <is>
          <t>DALARNAS LÄN</t>
        </is>
      </c>
      <c r="E636" t="inlineStr">
        <is>
          <t>LEKSAND</t>
        </is>
      </c>
      <c r="G636" t="n">
        <v>1.6</v>
      </c>
      <c r="H636" t="n">
        <v>0</v>
      </c>
      <c r="I636" t="n">
        <v>0</v>
      </c>
      <c r="J636" t="n">
        <v>0</v>
      </c>
      <c r="K636" t="n">
        <v>0</v>
      </c>
      <c r="L636" t="n">
        <v>0</v>
      </c>
      <c r="M636" t="n">
        <v>0</v>
      </c>
      <c r="N636" t="n">
        <v>0</v>
      </c>
      <c r="O636" t="n">
        <v>0</v>
      </c>
      <c r="P636" t="n">
        <v>0</v>
      </c>
      <c r="Q636" t="n">
        <v>0</v>
      </c>
      <c r="R636" s="2" t="inlineStr"/>
    </row>
    <row r="637" ht="15" customHeight="1">
      <c r="A637" t="inlineStr">
        <is>
          <t>A 46931-2023</t>
        </is>
      </c>
      <c r="B637" s="1" t="n">
        <v>45201</v>
      </c>
      <c r="C637" s="1" t="n">
        <v>45964</v>
      </c>
      <c r="D637" t="inlineStr">
        <is>
          <t>DALARNAS LÄN</t>
        </is>
      </c>
      <c r="E637" t="inlineStr">
        <is>
          <t>LEKSAND</t>
        </is>
      </c>
      <c r="G637" t="n">
        <v>1.4</v>
      </c>
      <c r="H637" t="n">
        <v>0</v>
      </c>
      <c r="I637" t="n">
        <v>0</v>
      </c>
      <c r="J637" t="n">
        <v>0</v>
      </c>
      <c r="K637" t="n">
        <v>0</v>
      </c>
      <c r="L637" t="n">
        <v>0</v>
      </c>
      <c r="M637" t="n">
        <v>0</v>
      </c>
      <c r="N637" t="n">
        <v>0</v>
      </c>
      <c r="O637" t="n">
        <v>0</v>
      </c>
      <c r="P637" t="n">
        <v>0</v>
      </c>
      <c r="Q637" t="n">
        <v>0</v>
      </c>
      <c r="R637" s="2" t="inlineStr"/>
    </row>
    <row r="638" ht="15" customHeight="1">
      <c r="A638" t="inlineStr">
        <is>
          <t>A 11740-2025</t>
        </is>
      </c>
      <c r="B638" s="1" t="n">
        <v>45727.62582175926</v>
      </c>
      <c r="C638" s="1" t="n">
        <v>45964</v>
      </c>
      <c r="D638" t="inlineStr">
        <is>
          <t>DALARNAS LÄN</t>
        </is>
      </c>
      <c r="E638" t="inlineStr">
        <is>
          <t>LEKSAND</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164-2023</t>
        </is>
      </c>
      <c r="B639" s="1" t="n">
        <v>44918</v>
      </c>
      <c r="C639" s="1" t="n">
        <v>45964</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46949-2025</t>
        </is>
      </c>
      <c r="B640" s="1" t="n">
        <v>45929.46811342592</v>
      </c>
      <c r="C640" s="1" t="n">
        <v>45964</v>
      </c>
      <c r="D640" t="inlineStr">
        <is>
          <t>DALARNAS LÄN</t>
        </is>
      </c>
      <c r="E640" t="inlineStr">
        <is>
          <t>LEKSAND</t>
        </is>
      </c>
      <c r="G640" t="n">
        <v>5</v>
      </c>
      <c r="H640" t="n">
        <v>0</v>
      </c>
      <c r="I640" t="n">
        <v>0</v>
      </c>
      <c r="J640" t="n">
        <v>0</v>
      </c>
      <c r="K640" t="n">
        <v>0</v>
      </c>
      <c r="L640" t="n">
        <v>0</v>
      </c>
      <c r="M640" t="n">
        <v>0</v>
      </c>
      <c r="N640" t="n">
        <v>0</v>
      </c>
      <c r="O640" t="n">
        <v>0</v>
      </c>
      <c r="P640" t="n">
        <v>0</v>
      </c>
      <c r="Q640" t="n">
        <v>0</v>
      </c>
      <c r="R640" s="2" t="inlineStr"/>
    </row>
    <row r="641" ht="15" customHeight="1">
      <c r="A641" t="inlineStr">
        <is>
          <t>A 10373-2023</t>
        </is>
      </c>
      <c r="B641" s="1" t="n">
        <v>44987</v>
      </c>
      <c r="C641" s="1" t="n">
        <v>45964</v>
      </c>
      <c r="D641" t="inlineStr">
        <is>
          <t>DALARNAS LÄN</t>
        </is>
      </c>
      <c r="E641" t="inlineStr">
        <is>
          <t>LEKSAND</t>
        </is>
      </c>
      <c r="G641" t="n">
        <v>0.3</v>
      </c>
      <c r="H641" t="n">
        <v>0</v>
      </c>
      <c r="I641" t="n">
        <v>0</v>
      </c>
      <c r="J641" t="n">
        <v>0</v>
      </c>
      <c r="K641" t="n">
        <v>0</v>
      </c>
      <c r="L641" t="n">
        <v>0</v>
      </c>
      <c r="M641" t="n">
        <v>0</v>
      </c>
      <c r="N641" t="n">
        <v>0</v>
      </c>
      <c r="O641" t="n">
        <v>0</v>
      </c>
      <c r="P641" t="n">
        <v>0</v>
      </c>
      <c r="Q641" t="n">
        <v>0</v>
      </c>
      <c r="R641" s="2" t="inlineStr"/>
    </row>
    <row r="642" ht="15" customHeight="1">
      <c r="A642" t="inlineStr">
        <is>
          <t>A 37508-2025</t>
        </is>
      </c>
      <c r="B642" s="1" t="n">
        <v>45877.66282407408</v>
      </c>
      <c r="C642" s="1" t="n">
        <v>45964</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2820-2024</t>
        </is>
      </c>
      <c r="B643" s="1" t="n">
        <v>45314.76287037037</v>
      </c>
      <c r="C643" s="1" t="n">
        <v>45964</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2822-2024</t>
        </is>
      </c>
      <c r="B644" s="1" t="n">
        <v>45314.76622685185</v>
      </c>
      <c r="C644" s="1" t="n">
        <v>45964</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39569-2025</t>
        </is>
      </c>
      <c r="B645" s="1" t="n">
        <v>45890</v>
      </c>
      <c r="C645" s="1" t="n">
        <v>45964</v>
      </c>
      <c r="D645" t="inlineStr">
        <is>
          <t>DALARNAS LÄN</t>
        </is>
      </c>
      <c r="E645" t="inlineStr">
        <is>
          <t>LEKSAND</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45318-2025</t>
        </is>
      </c>
      <c r="B646" s="1" t="n">
        <v>45921.85230324074</v>
      </c>
      <c r="C646" s="1" t="n">
        <v>45964</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37952-2024</t>
        </is>
      </c>
      <c r="B647" s="1" t="n">
        <v>45544.5200462963</v>
      </c>
      <c r="C647" s="1" t="n">
        <v>45964</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39572-2025</t>
        </is>
      </c>
      <c r="B648" s="1" t="n">
        <v>45890</v>
      </c>
      <c r="C648" s="1" t="n">
        <v>45964</v>
      </c>
      <c r="D648" t="inlineStr">
        <is>
          <t>DALARNAS LÄN</t>
        </is>
      </c>
      <c r="E648" t="inlineStr">
        <is>
          <t>LEKSAND</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45381-2025</t>
        </is>
      </c>
      <c r="B649" s="1" t="n">
        <v>45922.39989583333</v>
      </c>
      <c r="C649" s="1" t="n">
        <v>45964</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39660-2025</t>
        </is>
      </c>
      <c r="B650" s="1" t="n">
        <v>45890.63006944444</v>
      </c>
      <c r="C650" s="1" t="n">
        <v>45964</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39693-2025</t>
        </is>
      </c>
      <c r="B651" s="1" t="n">
        <v>45890.68304398148</v>
      </c>
      <c r="C651" s="1" t="n">
        <v>45964</v>
      </c>
      <c r="D651" t="inlineStr">
        <is>
          <t>DALARNAS LÄN</t>
        </is>
      </c>
      <c r="E651" t="inlineStr">
        <is>
          <t>LEKSAND</t>
        </is>
      </c>
      <c r="G651" t="n">
        <v>3.1</v>
      </c>
      <c r="H651" t="n">
        <v>0</v>
      </c>
      <c r="I651" t="n">
        <v>0</v>
      </c>
      <c r="J651" t="n">
        <v>0</v>
      </c>
      <c r="K651" t="n">
        <v>0</v>
      </c>
      <c r="L651" t="n">
        <v>0</v>
      </c>
      <c r="M651" t="n">
        <v>0</v>
      </c>
      <c r="N651" t="n">
        <v>0</v>
      </c>
      <c r="O651" t="n">
        <v>0</v>
      </c>
      <c r="P651" t="n">
        <v>0</v>
      </c>
      <c r="Q651" t="n">
        <v>0</v>
      </c>
      <c r="R651" s="2" t="inlineStr"/>
    </row>
    <row r="652" ht="15" customHeight="1">
      <c r="A652" t="inlineStr">
        <is>
          <t>A 45300-2025</t>
        </is>
      </c>
      <c r="B652" s="1" t="n">
        <v>45921.30490740741</v>
      </c>
      <c r="C652" s="1" t="n">
        <v>45964</v>
      </c>
      <c r="D652" t="inlineStr">
        <is>
          <t>DALARNAS LÄN</t>
        </is>
      </c>
      <c r="E652" t="inlineStr">
        <is>
          <t>LEKSAND</t>
        </is>
      </c>
      <c r="G652" t="n">
        <v>2.3</v>
      </c>
      <c r="H652" t="n">
        <v>0</v>
      </c>
      <c r="I652" t="n">
        <v>0</v>
      </c>
      <c r="J652" t="n">
        <v>0</v>
      </c>
      <c r="K652" t="n">
        <v>0</v>
      </c>
      <c r="L652" t="n">
        <v>0</v>
      </c>
      <c r="M652" t="n">
        <v>0</v>
      </c>
      <c r="N652" t="n">
        <v>0</v>
      </c>
      <c r="O652" t="n">
        <v>0</v>
      </c>
      <c r="P652" t="n">
        <v>0</v>
      </c>
      <c r="Q652" t="n">
        <v>0</v>
      </c>
      <c r="R652" s="2" t="inlineStr"/>
    </row>
    <row r="653" ht="15" customHeight="1">
      <c r="A653" t="inlineStr">
        <is>
          <t>A 39546-2025</t>
        </is>
      </c>
      <c r="B653" s="1" t="n">
        <v>45890.45706018519</v>
      </c>
      <c r="C653" s="1" t="n">
        <v>45964</v>
      </c>
      <c r="D653" t="inlineStr">
        <is>
          <t>DALARNAS LÄN</t>
        </is>
      </c>
      <c r="E653" t="inlineStr">
        <is>
          <t>LEKSAND</t>
        </is>
      </c>
      <c r="G653" t="n">
        <v>4.6</v>
      </c>
      <c r="H653" t="n">
        <v>0</v>
      </c>
      <c r="I653" t="n">
        <v>0</v>
      </c>
      <c r="J653" t="n">
        <v>0</v>
      </c>
      <c r="K653" t="n">
        <v>0</v>
      </c>
      <c r="L653" t="n">
        <v>0</v>
      </c>
      <c r="M653" t="n">
        <v>0</v>
      </c>
      <c r="N653" t="n">
        <v>0</v>
      </c>
      <c r="O653" t="n">
        <v>0</v>
      </c>
      <c r="P653" t="n">
        <v>0</v>
      </c>
      <c r="Q653" t="n">
        <v>0</v>
      </c>
      <c r="R653" s="2" t="inlineStr"/>
    </row>
    <row r="654" ht="15" customHeight="1">
      <c r="A654" t="inlineStr">
        <is>
          <t>A 47640-2024</t>
        </is>
      </c>
      <c r="B654" s="1" t="n">
        <v>45588.36508101852</v>
      </c>
      <c r="C654" s="1" t="n">
        <v>45964</v>
      </c>
      <c r="D654" t="inlineStr">
        <is>
          <t>DALARNAS LÄN</t>
        </is>
      </c>
      <c r="E654" t="inlineStr">
        <is>
          <t>LEKSAND</t>
        </is>
      </c>
      <c r="G654" t="n">
        <v>9.1</v>
      </c>
      <c r="H654" t="n">
        <v>0</v>
      </c>
      <c r="I654" t="n">
        <v>0</v>
      </c>
      <c r="J654" t="n">
        <v>0</v>
      </c>
      <c r="K654" t="n">
        <v>0</v>
      </c>
      <c r="L654" t="n">
        <v>0</v>
      </c>
      <c r="M654" t="n">
        <v>0</v>
      </c>
      <c r="N654" t="n">
        <v>0</v>
      </c>
      <c r="O654" t="n">
        <v>0</v>
      </c>
      <c r="P654" t="n">
        <v>0</v>
      </c>
      <c r="Q654" t="n">
        <v>0</v>
      </c>
      <c r="R654" s="2" t="inlineStr"/>
    </row>
    <row r="655" ht="15" customHeight="1">
      <c r="A655" t="inlineStr">
        <is>
          <t>A 15257-2025</t>
        </is>
      </c>
      <c r="B655" s="1" t="n">
        <v>45744</v>
      </c>
      <c r="C655" s="1" t="n">
        <v>45964</v>
      </c>
      <c r="D655" t="inlineStr">
        <is>
          <t>DALARNAS LÄN</t>
        </is>
      </c>
      <c r="E655" t="inlineStr">
        <is>
          <t>LEKSAND</t>
        </is>
      </c>
      <c r="G655" t="n">
        <v>0.9</v>
      </c>
      <c r="H655" t="n">
        <v>0</v>
      </c>
      <c r="I655" t="n">
        <v>0</v>
      </c>
      <c r="J655" t="n">
        <v>0</v>
      </c>
      <c r="K655" t="n">
        <v>0</v>
      </c>
      <c r="L655" t="n">
        <v>0</v>
      </c>
      <c r="M655" t="n">
        <v>0</v>
      </c>
      <c r="N655" t="n">
        <v>0</v>
      </c>
      <c r="O655" t="n">
        <v>0</v>
      </c>
      <c r="P655" t="n">
        <v>0</v>
      </c>
      <c r="Q655" t="n">
        <v>0</v>
      </c>
      <c r="R655" s="2" t="inlineStr"/>
    </row>
    <row r="656" ht="15" customHeight="1">
      <c r="A656" t="inlineStr">
        <is>
          <t>A 46834-2023</t>
        </is>
      </c>
      <c r="B656" s="1" t="n">
        <v>45199.35668981481</v>
      </c>
      <c r="C656" s="1" t="n">
        <v>45964</v>
      </c>
      <c r="D656" t="inlineStr">
        <is>
          <t>DALARNAS LÄN</t>
        </is>
      </c>
      <c r="E656" t="inlineStr">
        <is>
          <t>LEKSAND</t>
        </is>
      </c>
      <c r="G656" t="n">
        <v>16.3</v>
      </c>
      <c r="H656" t="n">
        <v>0</v>
      </c>
      <c r="I656" t="n">
        <v>0</v>
      </c>
      <c r="J656" t="n">
        <v>0</v>
      </c>
      <c r="K656" t="n">
        <v>0</v>
      </c>
      <c r="L656" t="n">
        <v>0</v>
      </c>
      <c r="M656" t="n">
        <v>0</v>
      </c>
      <c r="N656" t="n">
        <v>0</v>
      </c>
      <c r="O656" t="n">
        <v>0</v>
      </c>
      <c r="P656" t="n">
        <v>0</v>
      </c>
      <c r="Q656" t="n">
        <v>0</v>
      </c>
      <c r="R656" s="2" t="inlineStr"/>
    </row>
    <row r="657" ht="15" customHeight="1">
      <c r="A657" t="inlineStr">
        <is>
          <t>A 39516-2025</t>
        </is>
      </c>
      <c r="B657" s="1" t="n">
        <v>45890.42633101852</v>
      </c>
      <c r="C657" s="1" t="n">
        <v>45964</v>
      </c>
      <c r="D657" t="inlineStr">
        <is>
          <t>DALARNAS LÄN</t>
        </is>
      </c>
      <c r="E657" t="inlineStr">
        <is>
          <t>LEKSAND</t>
        </is>
      </c>
      <c r="G657" t="n">
        <v>3.6</v>
      </c>
      <c r="H657" t="n">
        <v>0</v>
      </c>
      <c r="I657" t="n">
        <v>0</v>
      </c>
      <c r="J657" t="n">
        <v>0</v>
      </c>
      <c r="K657" t="n">
        <v>0</v>
      </c>
      <c r="L657" t="n">
        <v>0</v>
      </c>
      <c r="M657" t="n">
        <v>0</v>
      </c>
      <c r="N657" t="n">
        <v>0</v>
      </c>
      <c r="O657" t="n">
        <v>0</v>
      </c>
      <c r="P657" t="n">
        <v>0</v>
      </c>
      <c r="Q657" t="n">
        <v>0</v>
      </c>
      <c r="R657" s="2" t="inlineStr"/>
    </row>
    <row r="658" ht="15" customHeight="1">
      <c r="A658" t="inlineStr">
        <is>
          <t>A 47976-2025</t>
        </is>
      </c>
      <c r="B658" s="1" t="n">
        <v>45932.60846064815</v>
      </c>
      <c r="C658" s="1" t="n">
        <v>45964</v>
      </c>
      <c r="D658" t="inlineStr">
        <is>
          <t>DALARNAS LÄN</t>
        </is>
      </c>
      <c r="E658" t="inlineStr">
        <is>
          <t>LEKSAND</t>
        </is>
      </c>
      <c r="F658" t="inlineStr">
        <is>
          <t>Bergvik skog väst AB</t>
        </is>
      </c>
      <c r="G658" t="n">
        <v>0.3</v>
      </c>
      <c r="H658" t="n">
        <v>0</v>
      </c>
      <c r="I658" t="n">
        <v>0</v>
      </c>
      <c r="J658" t="n">
        <v>0</v>
      </c>
      <c r="K658" t="n">
        <v>0</v>
      </c>
      <c r="L658" t="n">
        <v>0</v>
      </c>
      <c r="M658" t="n">
        <v>0</v>
      </c>
      <c r="N658" t="n">
        <v>0</v>
      </c>
      <c r="O658" t="n">
        <v>0</v>
      </c>
      <c r="P658" t="n">
        <v>0</v>
      </c>
      <c r="Q658" t="n">
        <v>0</v>
      </c>
      <c r="R658" s="2" t="inlineStr"/>
    </row>
    <row r="659" ht="15" customHeight="1">
      <c r="A659" t="inlineStr">
        <is>
          <t>A 47977-2025</t>
        </is>
      </c>
      <c r="B659" s="1" t="n">
        <v>45932.60920138889</v>
      </c>
      <c r="C659" s="1" t="n">
        <v>45964</v>
      </c>
      <c r="D659" t="inlineStr">
        <is>
          <t>DALARNAS LÄN</t>
        </is>
      </c>
      <c r="E659" t="inlineStr">
        <is>
          <t>LEKSAND</t>
        </is>
      </c>
      <c r="F659" t="inlineStr">
        <is>
          <t>Bergvik skog väst AB</t>
        </is>
      </c>
      <c r="G659" t="n">
        <v>0.2</v>
      </c>
      <c r="H659" t="n">
        <v>0</v>
      </c>
      <c r="I659" t="n">
        <v>0</v>
      </c>
      <c r="J659" t="n">
        <v>0</v>
      </c>
      <c r="K659" t="n">
        <v>0</v>
      </c>
      <c r="L659" t="n">
        <v>0</v>
      </c>
      <c r="M659" t="n">
        <v>0</v>
      </c>
      <c r="N659" t="n">
        <v>0</v>
      </c>
      <c r="O659" t="n">
        <v>0</v>
      </c>
      <c r="P659" t="n">
        <v>0</v>
      </c>
      <c r="Q659" t="n">
        <v>0</v>
      </c>
      <c r="R659" s="2" t="inlineStr"/>
    </row>
    <row r="660" ht="15" customHeight="1">
      <c r="A660" t="inlineStr">
        <is>
          <t>A 12851-2023</t>
        </is>
      </c>
      <c r="B660" s="1" t="n">
        <v>45001.49347222222</v>
      </c>
      <c r="C660" s="1" t="n">
        <v>45964</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37996-2025</t>
        </is>
      </c>
      <c r="B661" s="1" t="n">
        <v>45881.8299537037</v>
      </c>
      <c r="C661" s="1" t="n">
        <v>45964</v>
      </c>
      <c r="D661" t="inlineStr">
        <is>
          <t>DALARNAS LÄN</t>
        </is>
      </c>
      <c r="E661" t="inlineStr">
        <is>
          <t>LEKSAND</t>
        </is>
      </c>
      <c r="G661" t="n">
        <v>4.2</v>
      </c>
      <c r="H661" t="n">
        <v>0</v>
      </c>
      <c r="I661" t="n">
        <v>0</v>
      </c>
      <c r="J661" t="n">
        <v>0</v>
      </c>
      <c r="K661" t="n">
        <v>0</v>
      </c>
      <c r="L661" t="n">
        <v>0</v>
      </c>
      <c r="M661" t="n">
        <v>0</v>
      </c>
      <c r="N661" t="n">
        <v>0</v>
      </c>
      <c r="O661" t="n">
        <v>0</v>
      </c>
      <c r="P661" t="n">
        <v>0</v>
      </c>
      <c r="Q661" t="n">
        <v>0</v>
      </c>
      <c r="R661" s="2" t="inlineStr"/>
    </row>
    <row r="662" ht="15" customHeight="1">
      <c r="A662" t="inlineStr">
        <is>
          <t>A 41169-2024</t>
        </is>
      </c>
      <c r="B662" s="1" t="n">
        <v>45559.48637731482</v>
      </c>
      <c r="C662" s="1" t="n">
        <v>45964</v>
      </c>
      <c r="D662" t="inlineStr">
        <is>
          <t>DALARNAS LÄN</t>
        </is>
      </c>
      <c r="E662" t="inlineStr">
        <is>
          <t>LEKSAND</t>
        </is>
      </c>
      <c r="G662" t="n">
        <v>8.9</v>
      </c>
      <c r="H662" t="n">
        <v>0</v>
      </c>
      <c r="I662" t="n">
        <v>0</v>
      </c>
      <c r="J662" t="n">
        <v>0</v>
      </c>
      <c r="K662" t="n">
        <v>0</v>
      </c>
      <c r="L662" t="n">
        <v>0</v>
      </c>
      <c r="M662" t="n">
        <v>0</v>
      </c>
      <c r="N662" t="n">
        <v>0</v>
      </c>
      <c r="O662" t="n">
        <v>0</v>
      </c>
      <c r="P662" t="n">
        <v>0</v>
      </c>
      <c r="Q662" t="n">
        <v>0</v>
      </c>
      <c r="R662" s="2" t="inlineStr"/>
    </row>
    <row r="663" ht="15" customHeight="1">
      <c r="A663" t="inlineStr">
        <is>
          <t>A 46176-2025</t>
        </is>
      </c>
      <c r="B663" s="1" t="n">
        <v>45924.65101851852</v>
      </c>
      <c r="C663" s="1" t="n">
        <v>45964</v>
      </c>
      <c r="D663" t="inlineStr">
        <is>
          <t>DALARNAS LÄN</t>
        </is>
      </c>
      <c r="E663" t="inlineStr">
        <is>
          <t>LEKSAND</t>
        </is>
      </c>
      <c r="G663" t="n">
        <v>2.4</v>
      </c>
      <c r="H663" t="n">
        <v>0</v>
      </c>
      <c r="I663" t="n">
        <v>0</v>
      </c>
      <c r="J663" t="n">
        <v>0</v>
      </c>
      <c r="K663" t="n">
        <v>0</v>
      </c>
      <c r="L663" t="n">
        <v>0</v>
      </c>
      <c r="M663" t="n">
        <v>0</v>
      </c>
      <c r="N663" t="n">
        <v>0</v>
      </c>
      <c r="O663" t="n">
        <v>0</v>
      </c>
      <c r="P663" t="n">
        <v>0</v>
      </c>
      <c r="Q663" t="n">
        <v>0</v>
      </c>
      <c r="R663" s="2" t="inlineStr"/>
    </row>
    <row r="664" ht="15" customHeight="1">
      <c r="A664" t="inlineStr">
        <is>
          <t>A 49076-2025</t>
        </is>
      </c>
      <c r="B664" s="1" t="n">
        <v>45937.65601851852</v>
      </c>
      <c r="C664" s="1" t="n">
        <v>45964</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19296-2024</t>
        </is>
      </c>
      <c r="B665" s="1" t="n">
        <v>45428.69438657408</v>
      </c>
      <c r="C665" s="1" t="n">
        <v>45964</v>
      </c>
      <c r="D665" t="inlineStr">
        <is>
          <t>DALARNAS LÄN</t>
        </is>
      </c>
      <c r="E665" t="inlineStr">
        <is>
          <t>LEKSAND</t>
        </is>
      </c>
      <c r="G665" t="n">
        <v>2.4</v>
      </c>
      <c r="H665" t="n">
        <v>0</v>
      </c>
      <c r="I665" t="n">
        <v>0</v>
      </c>
      <c r="J665" t="n">
        <v>0</v>
      </c>
      <c r="K665" t="n">
        <v>0</v>
      </c>
      <c r="L665" t="n">
        <v>0</v>
      </c>
      <c r="M665" t="n">
        <v>0</v>
      </c>
      <c r="N665" t="n">
        <v>0</v>
      </c>
      <c r="O665" t="n">
        <v>0</v>
      </c>
      <c r="P665" t="n">
        <v>0</v>
      </c>
      <c r="Q665" t="n">
        <v>0</v>
      </c>
      <c r="R665" s="2" t="inlineStr"/>
    </row>
    <row r="666" ht="15" customHeight="1">
      <c r="A666" t="inlineStr">
        <is>
          <t>A 48824-2025</t>
        </is>
      </c>
      <c r="B666" s="1" t="n">
        <v>45937.37949074074</v>
      </c>
      <c r="C666" s="1" t="n">
        <v>45964</v>
      </c>
      <c r="D666" t="inlineStr">
        <is>
          <t>DALARNAS LÄN</t>
        </is>
      </c>
      <c r="E666" t="inlineStr">
        <is>
          <t>LEKSAND</t>
        </is>
      </c>
      <c r="G666" t="n">
        <v>6.3</v>
      </c>
      <c r="H666" t="n">
        <v>0</v>
      </c>
      <c r="I666" t="n">
        <v>0</v>
      </c>
      <c r="J666" t="n">
        <v>0</v>
      </c>
      <c r="K666" t="n">
        <v>0</v>
      </c>
      <c r="L666" t="n">
        <v>0</v>
      </c>
      <c r="M666" t="n">
        <v>0</v>
      </c>
      <c r="N666" t="n">
        <v>0</v>
      </c>
      <c r="O666" t="n">
        <v>0</v>
      </c>
      <c r="P666" t="n">
        <v>0</v>
      </c>
      <c r="Q666" t="n">
        <v>0</v>
      </c>
      <c r="R666" s="2" t="inlineStr"/>
    </row>
    <row r="667" ht="15" customHeight="1">
      <c r="A667" t="inlineStr">
        <is>
          <t>A 46405-2025</t>
        </is>
      </c>
      <c r="B667" s="1" t="n">
        <v>45925.56306712963</v>
      </c>
      <c r="C667" s="1" t="n">
        <v>45964</v>
      </c>
      <c r="D667" t="inlineStr">
        <is>
          <t>DALARNAS LÄN</t>
        </is>
      </c>
      <c r="E667" t="inlineStr">
        <is>
          <t>LEKSAND</t>
        </is>
      </c>
      <c r="G667" t="n">
        <v>5.7</v>
      </c>
      <c r="H667" t="n">
        <v>0</v>
      </c>
      <c r="I667" t="n">
        <v>0</v>
      </c>
      <c r="J667" t="n">
        <v>0</v>
      </c>
      <c r="K667" t="n">
        <v>0</v>
      </c>
      <c r="L667" t="n">
        <v>0</v>
      </c>
      <c r="M667" t="n">
        <v>0</v>
      </c>
      <c r="N667" t="n">
        <v>0</v>
      </c>
      <c r="O667" t="n">
        <v>0</v>
      </c>
      <c r="P667" t="n">
        <v>0</v>
      </c>
      <c r="Q667" t="n">
        <v>0</v>
      </c>
      <c r="R667" s="2" t="inlineStr"/>
    </row>
    <row r="668" ht="15" customHeight="1">
      <c r="A668" t="inlineStr">
        <is>
          <t>A 46483-2025</t>
        </is>
      </c>
      <c r="B668" s="1" t="n">
        <v>45925.70248842592</v>
      </c>
      <c r="C668" s="1" t="n">
        <v>45964</v>
      </c>
      <c r="D668" t="inlineStr">
        <is>
          <t>DALARNAS LÄN</t>
        </is>
      </c>
      <c r="E668" t="inlineStr">
        <is>
          <t>LEKSAND</t>
        </is>
      </c>
      <c r="G668" t="n">
        <v>3.6</v>
      </c>
      <c r="H668" t="n">
        <v>0</v>
      </c>
      <c r="I668" t="n">
        <v>0</v>
      </c>
      <c r="J668" t="n">
        <v>0</v>
      </c>
      <c r="K668" t="n">
        <v>0</v>
      </c>
      <c r="L668" t="n">
        <v>0</v>
      </c>
      <c r="M668" t="n">
        <v>0</v>
      </c>
      <c r="N668" t="n">
        <v>0</v>
      </c>
      <c r="O668" t="n">
        <v>0</v>
      </c>
      <c r="P668" t="n">
        <v>0</v>
      </c>
      <c r="Q668" t="n">
        <v>0</v>
      </c>
      <c r="R668" s="2" t="inlineStr"/>
    </row>
    <row r="669" ht="15" customHeight="1">
      <c r="A669" t="inlineStr">
        <is>
          <t>A 48829-2025</t>
        </is>
      </c>
      <c r="B669" s="1" t="n">
        <v>45936</v>
      </c>
      <c r="C669" s="1" t="n">
        <v>45964</v>
      </c>
      <c r="D669" t="inlineStr">
        <is>
          <t>DALARNAS LÄN</t>
        </is>
      </c>
      <c r="E669" t="inlineStr">
        <is>
          <t>LEKSAND</t>
        </is>
      </c>
      <c r="G669" t="n">
        <v>1.9</v>
      </c>
      <c r="H669" t="n">
        <v>0</v>
      </c>
      <c r="I669" t="n">
        <v>0</v>
      </c>
      <c r="J669" t="n">
        <v>0</v>
      </c>
      <c r="K669" t="n">
        <v>0</v>
      </c>
      <c r="L669" t="n">
        <v>0</v>
      </c>
      <c r="M669" t="n">
        <v>0</v>
      </c>
      <c r="N669" t="n">
        <v>0</v>
      </c>
      <c r="O669" t="n">
        <v>0</v>
      </c>
      <c r="P669" t="n">
        <v>0</v>
      </c>
      <c r="Q669" t="n">
        <v>0</v>
      </c>
      <c r="R669" s="2" t="inlineStr"/>
    </row>
    <row r="670" ht="15" customHeight="1">
      <c r="A670" t="inlineStr">
        <is>
          <t>A 34482-2022</t>
        </is>
      </c>
      <c r="B670" s="1" t="n">
        <v>44792</v>
      </c>
      <c r="C670" s="1" t="n">
        <v>45964</v>
      </c>
      <c r="D670" t="inlineStr">
        <is>
          <t>DALARNAS LÄN</t>
        </is>
      </c>
      <c r="E670" t="inlineStr">
        <is>
          <t>LEKSAND</t>
        </is>
      </c>
      <c r="G670" t="n">
        <v>2.6</v>
      </c>
      <c r="H670" t="n">
        <v>0</v>
      </c>
      <c r="I670" t="n">
        <v>0</v>
      </c>
      <c r="J670" t="n">
        <v>0</v>
      </c>
      <c r="K670" t="n">
        <v>0</v>
      </c>
      <c r="L670" t="n">
        <v>0</v>
      </c>
      <c r="M670" t="n">
        <v>0</v>
      </c>
      <c r="N670" t="n">
        <v>0</v>
      </c>
      <c r="O670" t="n">
        <v>0</v>
      </c>
      <c r="P670" t="n">
        <v>0</v>
      </c>
      <c r="Q670" t="n">
        <v>0</v>
      </c>
      <c r="R670" s="2" t="inlineStr"/>
    </row>
    <row r="671" ht="15" customHeight="1">
      <c r="A671" t="inlineStr">
        <is>
          <t>A 48421-2025</t>
        </is>
      </c>
      <c r="B671" s="1" t="n">
        <v>45934.67564814815</v>
      </c>
      <c r="C671" s="1" t="n">
        <v>45964</v>
      </c>
      <c r="D671" t="inlineStr">
        <is>
          <t>DALARNAS LÄN</t>
        </is>
      </c>
      <c r="E671" t="inlineStr">
        <is>
          <t>LEKSAND</t>
        </is>
      </c>
      <c r="G671" t="n">
        <v>2.2</v>
      </c>
      <c r="H671" t="n">
        <v>0</v>
      </c>
      <c r="I671" t="n">
        <v>0</v>
      </c>
      <c r="J671" t="n">
        <v>0</v>
      </c>
      <c r="K671" t="n">
        <v>0</v>
      </c>
      <c r="L671" t="n">
        <v>0</v>
      </c>
      <c r="M671" t="n">
        <v>0</v>
      </c>
      <c r="N671" t="n">
        <v>0</v>
      </c>
      <c r="O671" t="n">
        <v>0</v>
      </c>
      <c r="P671" t="n">
        <v>0</v>
      </c>
      <c r="Q671" t="n">
        <v>0</v>
      </c>
      <c r="R671" s="2" t="inlineStr"/>
    </row>
    <row r="672" ht="15" customHeight="1">
      <c r="A672" t="inlineStr">
        <is>
          <t>A 5584-2024</t>
        </is>
      </c>
      <c r="B672" s="1" t="n">
        <v>45334</v>
      </c>
      <c r="C672" s="1" t="n">
        <v>45964</v>
      </c>
      <c r="D672" t="inlineStr">
        <is>
          <t>DALARNAS LÄN</t>
        </is>
      </c>
      <c r="E672" t="inlineStr">
        <is>
          <t>LEKSAND</t>
        </is>
      </c>
      <c r="F672" t="inlineStr">
        <is>
          <t>Kyrkan</t>
        </is>
      </c>
      <c r="G672" t="n">
        <v>0.4</v>
      </c>
      <c r="H672" t="n">
        <v>0</v>
      </c>
      <c r="I672" t="n">
        <v>0</v>
      </c>
      <c r="J672" t="n">
        <v>0</v>
      </c>
      <c r="K672" t="n">
        <v>0</v>
      </c>
      <c r="L672" t="n">
        <v>0</v>
      </c>
      <c r="M672" t="n">
        <v>0</v>
      </c>
      <c r="N672" t="n">
        <v>0</v>
      </c>
      <c r="O672" t="n">
        <v>0</v>
      </c>
      <c r="P672" t="n">
        <v>0</v>
      </c>
      <c r="Q672" t="n">
        <v>0</v>
      </c>
      <c r="R672" s="2" t="inlineStr"/>
    </row>
    <row r="673" ht="15" customHeight="1">
      <c r="A673" t="inlineStr">
        <is>
          <t>A 51860-2024</t>
        </is>
      </c>
      <c r="B673" s="1" t="n">
        <v>45607.54511574074</v>
      </c>
      <c r="C673" s="1" t="n">
        <v>45964</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22681-2022</t>
        </is>
      </c>
      <c r="B674" s="1" t="n">
        <v>44714.50961805556</v>
      </c>
      <c r="C674" s="1" t="n">
        <v>45964</v>
      </c>
      <c r="D674" t="inlineStr">
        <is>
          <t>DALARNAS LÄN</t>
        </is>
      </c>
      <c r="E674" t="inlineStr">
        <is>
          <t>LEKSAND</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38090-2025</t>
        </is>
      </c>
      <c r="B675" s="1" t="n">
        <v>45882.48440972222</v>
      </c>
      <c r="C675" s="1" t="n">
        <v>45964</v>
      </c>
      <c r="D675" t="inlineStr">
        <is>
          <t>DALARNAS LÄN</t>
        </is>
      </c>
      <c r="E675" t="inlineStr">
        <is>
          <t>LEKSAND</t>
        </is>
      </c>
      <c r="G675" t="n">
        <v>1.6</v>
      </c>
      <c r="H675" t="n">
        <v>0</v>
      </c>
      <c r="I675" t="n">
        <v>0</v>
      </c>
      <c r="J675" t="n">
        <v>0</v>
      </c>
      <c r="K675" t="n">
        <v>0</v>
      </c>
      <c r="L675" t="n">
        <v>0</v>
      </c>
      <c r="M675" t="n">
        <v>0</v>
      </c>
      <c r="N675" t="n">
        <v>0</v>
      </c>
      <c r="O675" t="n">
        <v>0</v>
      </c>
      <c r="P675" t="n">
        <v>0</v>
      </c>
      <c r="Q675" t="n">
        <v>0</v>
      </c>
      <c r="R675" s="2" t="inlineStr"/>
    </row>
    <row r="676" ht="15" customHeight="1">
      <c r="A676" t="inlineStr">
        <is>
          <t>A 48922-2025</t>
        </is>
      </c>
      <c r="B676" s="1" t="n">
        <v>45937.50077546296</v>
      </c>
      <c r="C676" s="1" t="n">
        <v>45964</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1457-2024</t>
        </is>
      </c>
      <c r="B677" s="1" t="n">
        <v>45303</v>
      </c>
      <c r="C677" s="1" t="n">
        <v>45964</v>
      </c>
      <c r="D677" t="inlineStr">
        <is>
          <t>DALARNAS LÄN</t>
        </is>
      </c>
      <c r="E677" t="inlineStr">
        <is>
          <t>LEKSAND</t>
        </is>
      </c>
      <c r="G677" t="n">
        <v>4.4</v>
      </c>
      <c r="H677" t="n">
        <v>0</v>
      </c>
      <c r="I677" t="n">
        <v>0</v>
      </c>
      <c r="J677" t="n">
        <v>0</v>
      </c>
      <c r="K677" t="n">
        <v>0</v>
      </c>
      <c r="L677" t="n">
        <v>0</v>
      </c>
      <c r="M677" t="n">
        <v>0</v>
      </c>
      <c r="N677" t="n">
        <v>0</v>
      </c>
      <c r="O677" t="n">
        <v>0</v>
      </c>
      <c r="P677" t="n">
        <v>0</v>
      </c>
      <c r="Q677" t="n">
        <v>0</v>
      </c>
      <c r="R677" s="2" t="inlineStr"/>
    </row>
    <row r="678" ht="15" customHeight="1">
      <c r="A678" t="inlineStr">
        <is>
          <t>A 40007-2024</t>
        </is>
      </c>
      <c r="B678" s="1" t="n">
        <v>45553.6516550926</v>
      </c>
      <c r="C678" s="1" t="n">
        <v>45964</v>
      </c>
      <c r="D678" t="inlineStr">
        <is>
          <t>DALARNAS LÄN</t>
        </is>
      </c>
      <c r="E678" t="inlineStr">
        <is>
          <t>LEKSAND</t>
        </is>
      </c>
      <c r="F678" t="inlineStr">
        <is>
          <t>Bergvik skog väst AB</t>
        </is>
      </c>
      <c r="G678" t="n">
        <v>3.2</v>
      </c>
      <c r="H678" t="n">
        <v>0</v>
      </c>
      <c r="I678" t="n">
        <v>0</v>
      </c>
      <c r="J678" t="n">
        <v>0</v>
      </c>
      <c r="K678" t="n">
        <v>0</v>
      </c>
      <c r="L678" t="n">
        <v>0</v>
      </c>
      <c r="M678" t="n">
        <v>0</v>
      </c>
      <c r="N678" t="n">
        <v>0</v>
      </c>
      <c r="O678" t="n">
        <v>0</v>
      </c>
      <c r="P678" t="n">
        <v>0</v>
      </c>
      <c r="Q678" t="n">
        <v>0</v>
      </c>
      <c r="R678" s="2" t="inlineStr"/>
    </row>
    <row r="679" ht="15" customHeight="1">
      <c r="A679" t="inlineStr">
        <is>
          <t>A 40513-2025</t>
        </is>
      </c>
      <c r="B679" s="1" t="n">
        <v>45896.35100694445</v>
      </c>
      <c r="C679" s="1" t="n">
        <v>45964</v>
      </c>
      <c r="D679" t="inlineStr">
        <is>
          <t>DALARNAS LÄN</t>
        </is>
      </c>
      <c r="E679" t="inlineStr">
        <is>
          <t>LEKSAND</t>
        </is>
      </c>
      <c r="G679" t="n">
        <v>7.1</v>
      </c>
      <c r="H679" t="n">
        <v>0</v>
      </c>
      <c r="I679" t="n">
        <v>0</v>
      </c>
      <c r="J679" t="n">
        <v>0</v>
      </c>
      <c r="K679" t="n">
        <v>0</v>
      </c>
      <c r="L679" t="n">
        <v>0</v>
      </c>
      <c r="M679" t="n">
        <v>0</v>
      </c>
      <c r="N679" t="n">
        <v>0</v>
      </c>
      <c r="O679" t="n">
        <v>0</v>
      </c>
      <c r="P679" t="n">
        <v>0</v>
      </c>
      <c r="Q679" t="n">
        <v>0</v>
      </c>
      <c r="R679" s="2" t="inlineStr"/>
    </row>
    <row r="680" ht="15" customHeight="1">
      <c r="A680" t="inlineStr">
        <is>
          <t>A 49212-2025</t>
        </is>
      </c>
      <c r="B680" s="1" t="n">
        <v>45938.43855324074</v>
      </c>
      <c r="C680" s="1" t="n">
        <v>45964</v>
      </c>
      <c r="D680" t="inlineStr">
        <is>
          <t>DALARNAS LÄN</t>
        </is>
      </c>
      <c r="E680" t="inlineStr">
        <is>
          <t>LEKSAND</t>
        </is>
      </c>
      <c r="G680" t="n">
        <v>2</v>
      </c>
      <c r="H680" t="n">
        <v>0</v>
      </c>
      <c r="I680" t="n">
        <v>0</v>
      </c>
      <c r="J680" t="n">
        <v>0</v>
      </c>
      <c r="K680" t="n">
        <v>0</v>
      </c>
      <c r="L680" t="n">
        <v>0</v>
      </c>
      <c r="M680" t="n">
        <v>0</v>
      </c>
      <c r="N680" t="n">
        <v>0</v>
      </c>
      <c r="O680" t="n">
        <v>0</v>
      </c>
      <c r="P680" t="n">
        <v>0</v>
      </c>
      <c r="Q680" t="n">
        <v>0</v>
      </c>
      <c r="R680" s="2" t="inlineStr"/>
    </row>
    <row r="681" ht="15" customHeight="1">
      <c r="A681" t="inlineStr">
        <is>
          <t>A 33198-2022</t>
        </is>
      </c>
      <c r="B681" s="1" t="n">
        <v>44785.68597222222</v>
      </c>
      <c r="C681" s="1" t="n">
        <v>45964</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9938-2023</t>
        </is>
      </c>
      <c r="B682" s="1" t="n">
        <v>44985</v>
      </c>
      <c r="C682" s="1" t="n">
        <v>45964</v>
      </c>
      <c r="D682" t="inlineStr">
        <is>
          <t>DALARNAS LÄN</t>
        </is>
      </c>
      <c r="E682" t="inlineStr">
        <is>
          <t>LEKSAND</t>
        </is>
      </c>
      <c r="G682" t="n">
        <v>3.1</v>
      </c>
      <c r="H682" t="n">
        <v>0</v>
      </c>
      <c r="I682" t="n">
        <v>0</v>
      </c>
      <c r="J682" t="n">
        <v>0</v>
      </c>
      <c r="K682" t="n">
        <v>0</v>
      </c>
      <c r="L682" t="n">
        <v>0</v>
      </c>
      <c r="M682" t="n">
        <v>0</v>
      </c>
      <c r="N682" t="n">
        <v>0</v>
      </c>
      <c r="O682" t="n">
        <v>0</v>
      </c>
      <c r="P682" t="n">
        <v>0</v>
      </c>
      <c r="Q682" t="n">
        <v>0</v>
      </c>
      <c r="R682" s="2" t="inlineStr"/>
    </row>
    <row r="683" ht="15" customHeight="1">
      <c r="A683" t="inlineStr">
        <is>
          <t>A 49209-2025</t>
        </is>
      </c>
      <c r="B683" s="1" t="n">
        <v>45938.43589120371</v>
      </c>
      <c r="C683" s="1" t="n">
        <v>45964</v>
      </c>
      <c r="D683" t="inlineStr">
        <is>
          <t>DALARNAS LÄN</t>
        </is>
      </c>
      <c r="E683" t="inlineStr">
        <is>
          <t>LEKSAND</t>
        </is>
      </c>
      <c r="G683" t="n">
        <v>4.8</v>
      </c>
      <c r="H683" t="n">
        <v>0</v>
      </c>
      <c r="I683" t="n">
        <v>0</v>
      </c>
      <c r="J683" t="n">
        <v>0</v>
      </c>
      <c r="K683" t="n">
        <v>0</v>
      </c>
      <c r="L683" t="n">
        <v>0</v>
      </c>
      <c r="M683" t="n">
        <v>0</v>
      </c>
      <c r="N683" t="n">
        <v>0</v>
      </c>
      <c r="O683" t="n">
        <v>0</v>
      </c>
      <c r="P683" t="n">
        <v>0</v>
      </c>
      <c r="Q683" t="n">
        <v>0</v>
      </c>
      <c r="R683" s="2" t="inlineStr"/>
    </row>
    <row r="684" ht="15" customHeight="1">
      <c r="A684" t="inlineStr">
        <is>
          <t>A 40517-2025</t>
        </is>
      </c>
      <c r="B684" s="1" t="n">
        <v>45896.36368055556</v>
      </c>
      <c r="C684" s="1" t="n">
        <v>45964</v>
      </c>
      <c r="D684" t="inlineStr">
        <is>
          <t>DALARNAS LÄN</t>
        </is>
      </c>
      <c r="E684" t="inlineStr">
        <is>
          <t>LEKSAND</t>
        </is>
      </c>
      <c r="G684" t="n">
        <v>1.6</v>
      </c>
      <c r="H684" t="n">
        <v>0</v>
      </c>
      <c r="I684" t="n">
        <v>0</v>
      </c>
      <c r="J684" t="n">
        <v>0</v>
      </c>
      <c r="K684" t="n">
        <v>0</v>
      </c>
      <c r="L684" t="n">
        <v>0</v>
      </c>
      <c r="M684" t="n">
        <v>0</v>
      </c>
      <c r="N684" t="n">
        <v>0</v>
      </c>
      <c r="O684" t="n">
        <v>0</v>
      </c>
      <c r="P684" t="n">
        <v>0</v>
      </c>
      <c r="Q684" t="n">
        <v>0</v>
      </c>
      <c r="R684" s="2" t="inlineStr"/>
    </row>
    <row r="685" ht="15" customHeight="1">
      <c r="A685" t="inlineStr">
        <is>
          <t>A 49505-2025</t>
        </is>
      </c>
      <c r="B685" s="1" t="n">
        <v>45939.37564814815</v>
      </c>
      <c r="C685" s="1" t="n">
        <v>45964</v>
      </c>
      <c r="D685" t="inlineStr">
        <is>
          <t>DALARNAS LÄN</t>
        </is>
      </c>
      <c r="E685" t="inlineStr">
        <is>
          <t>LEKSAND</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31726-2024</t>
        </is>
      </c>
      <c r="B686" s="1" t="n">
        <v>45509.33908564815</v>
      </c>
      <c r="C686" s="1" t="n">
        <v>45964</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41487-2025</t>
        </is>
      </c>
      <c r="B687" s="1" t="n">
        <v>45901.4815625</v>
      </c>
      <c r="C687" s="1" t="n">
        <v>45964</v>
      </c>
      <c r="D687" t="inlineStr">
        <is>
          <t>DALARNAS LÄN</t>
        </is>
      </c>
      <c r="E687" t="inlineStr">
        <is>
          <t>LEKSAND</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26957-2023</t>
        </is>
      </c>
      <c r="B688" s="1" t="n">
        <v>45093</v>
      </c>
      <c r="C688" s="1" t="n">
        <v>45964</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39595-2023</t>
        </is>
      </c>
      <c r="B689" s="1" t="n">
        <v>45167</v>
      </c>
      <c r="C689" s="1" t="n">
        <v>45964</v>
      </c>
      <c r="D689" t="inlineStr">
        <is>
          <t>DALARNAS LÄN</t>
        </is>
      </c>
      <c r="E689" t="inlineStr">
        <is>
          <t>LEKSAND</t>
        </is>
      </c>
      <c r="G689" t="n">
        <v>0.9</v>
      </c>
      <c r="H689" t="n">
        <v>0</v>
      </c>
      <c r="I689" t="n">
        <v>0</v>
      </c>
      <c r="J689" t="n">
        <v>0</v>
      </c>
      <c r="K689" t="n">
        <v>0</v>
      </c>
      <c r="L689" t="n">
        <v>0</v>
      </c>
      <c r="M689" t="n">
        <v>0</v>
      </c>
      <c r="N689" t="n">
        <v>0</v>
      </c>
      <c r="O689" t="n">
        <v>0</v>
      </c>
      <c r="P689" t="n">
        <v>0</v>
      </c>
      <c r="Q689" t="n">
        <v>0</v>
      </c>
      <c r="R689" s="2" t="inlineStr"/>
    </row>
    <row r="690" ht="15" customHeight="1">
      <c r="A690" t="inlineStr">
        <is>
          <t>A 41237-2025</t>
        </is>
      </c>
      <c r="B690" s="1" t="n">
        <v>45898.59570601852</v>
      </c>
      <c r="C690" s="1" t="n">
        <v>45964</v>
      </c>
      <c r="D690" t="inlineStr">
        <is>
          <t>DALARNAS LÄN</t>
        </is>
      </c>
      <c r="E690" t="inlineStr">
        <is>
          <t>LEKSAND</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40642-2023</t>
        </is>
      </c>
      <c r="B691" s="1" t="n">
        <v>45169</v>
      </c>
      <c r="C691" s="1" t="n">
        <v>45964</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41248-2025</t>
        </is>
      </c>
      <c r="B692" s="1" t="n">
        <v>45898.60199074074</v>
      </c>
      <c r="C692" s="1" t="n">
        <v>45964</v>
      </c>
      <c r="D692" t="inlineStr">
        <is>
          <t>DALARNAS LÄN</t>
        </is>
      </c>
      <c r="E692" t="inlineStr">
        <is>
          <t>LEKSAND</t>
        </is>
      </c>
      <c r="F692" t="inlineStr">
        <is>
          <t>Bergvik skog väst AB</t>
        </is>
      </c>
      <c r="G692" t="n">
        <v>2.5</v>
      </c>
      <c r="H692" t="n">
        <v>0</v>
      </c>
      <c r="I692" t="n">
        <v>0</v>
      </c>
      <c r="J692" t="n">
        <v>0</v>
      </c>
      <c r="K692" t="n">
        <v>0</v>
      </c>
      <c r="L692" t="n">
        <v>0</v>
      </c>
      <c r="M692" t="n">
        <v>0</v>
      </c>
      <c r="N692" t="n">
        <v>0</v>
      </c>
      <c r="O692" t="n">
        <v>0</v>
      </c>
      <c r="P692" t="n">
        <v>0</v>
      </c>
      <c r="Q692" t="n">
        <v>0</v>
      </c>
      <c r="R692" s="2" t="inlineStr"/>
    </row>
    <row r="693" ht="15" customHeight="1">
      <c r="A693" t="inlineStr">
        <is>
          <t>A 57933-2024</t>
        </is>
      </c>
      <c r="B693" s="1" t="n">
        <v>45630</v>
      </c>
      <c r="C693" s="1" t="n">
        <v>45964</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41308-2025</t>
        </is>
      </c>
      <c r="B694" s="1" t="n">
        <v>45898</v>
      </c>
      <c r="C694" s="1" t="n">
        <v>45964</v>
      </c>
      <c r="D694" t="inlineStr">
        <is>
          <t>DALARNAS LÄN</t>
        </is>
      </c>
      <c r="E694" t="inlineStr">
        <is>
          <t>LEKSAND</t>
        </is>
      </c>
      <c r="F694" t="inlineStr">
        <is>
          <t>Bergvik skog väst AB</t>
        </is>
      </c>
      <c r="G694" t="n">
        <v>6.7</v>
      </c>
      <c r="H694" t="n">
        <v>0</v>
      </c>
      <c r="I694" t="n">
        <v>0</v>
      </c>
      <c r="J694" t="n">
        <v>0</v>
      </c>
      <c r="K694" t="n">
        <v>0</v>
      </c>
      <c r="L694" t="n">
        <v>0</v>
      </c>
      <c r="M694" t="n">
        <v>0</v>
      </c>
      <c r="N694" t="n">
        <v>0</v>
      </c>
      <c r="O694" t="n">
        <v>0</v>
      </c>
      <c r="P694" t="n">
        <v>0</v>
      </c>
      <c r="Q694" t="n">
        <v>0</v>
      </c>
      <c r="R694" s="2" t="inlineStr"/>
    </row>
    <row r="695" ht="15" customHeight="1">
      <c r="A695" t="inlineStr">
        <is>
          <t>A 60095-2022</t>
        </is>
      </c>
      <c r="B695" s="1" t="n">
        <v>44909</v>
      </c>
      <c r="C695" s="1" t="n">
        <v>45964</v>
      </c>
      <c r="D695" t="inlineStr">
        <is>
          <t>DALARNAS LÄN</t>
        </is>
      </c>
      <c r="E695" t="inlineStr">
        <is>
          <t>LEKSAND</t>
        </is>
      </c>
      <c r="G695" t="n">
        <v>2.4</v>
      </c>
      <c r="H695" t="n">
        <v>0</v>
      </c>
      <c r="I695" t="n">
        <v>0</v>
      </c>
      <c r="J695" t="n">
        <v>0</v>
      </c>
      <c r="K695" t="n">
        <v>0</v>
      </c>
      <c r="L695" t="n">
        <v>0</v>
      </c>
      <c r="M695" t="n">
        <v>0</v>
      </c>
      <c r="N695" t="n">
        <v>0</v>
      </c>
      <c r="O695" t="n">
        <v>0</v>
      </c>
      <c r="P695" t="n">
        <v>0</v>
      </c>
      <c r="Q695" t="n">
        <v>0</v>
      </c>
      <c r="R695" s="2" t="inlineStr"/>
    </row>
    <row r="696" ht="15" customHeight="1">
      <c r="A696" t="inlineStr">
        <is>
          <t>A 30595-2023</t>
        </is>
      </c>
      <c r="B696" s="1" t="n">
        <v>45112</v>
      </c>
      <c r="C696" s="1" t="n">
        <v>45964</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41335-2025</t>
        </is>
      </c>
      <c r="B697" s="1" t="n">
        <v>45899.36747685185</v>
      </c>
      <c r="C697" s="1" t="n">
        <v>45964</v>
      </c>
      <c r="D697" t="inlineStr">
        <is>
          <t>DALARNAS LÄN</t>
        </is>
      </c>
      <c r="E697" t="inlineStr">
        <is>
          <t>LEKSAND</t>
        </is>
      </c>
      <c r="G697" t="n">
        <v>5.9</v>
      </c>
      <c r="H697" t="n">
        <v>0</v>
      </c>
      <c r="I697" t="n">
        <v>0</v>
      </c>
      <c r="J697" t="n">
        <v>0</v>
      </c>
      <c r="K697" t="n">
        <v>0</v>
      </c>
      <c r="L697" t="n">
        <v>0</v>
      </c>
      <c r="M697" t="n">
        <v>0</v>
      </c>
      <c r="N697" t="n">
        <v>0</v>
      </c>
      <c r="O697" t="n">
        <v>0</v>
      </c>
      <c r="P697" t="n">
        <v>0</v>
      </c>
      <c r="Q697" t="n">
        <v>0</v>
      </c>
      <c r="R697" s="2" t="inlineStr"/>
    </row>
    <row r="698" ht="15" customHeight="1">
      <c r="A698" t="inlineStr">
        <is>
          <t>A 41380-2025</t>
        </is>
      </c>
      <c r="B698" s="1" t="n">
        <v>45900.92826388889</v>
      </c>
      <c r="C698" s="1" t="n">
        <v>45964</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23892-2025</t>
        </is>
      </c>
      <c r="B699" s="1" t="n">
        <v>45793</v>
      </c>
      <c r="C699" s="1" t="n">
        <v>45964</v>
      </c>
      <c r="D699" t="inlineStr">
        <is>
          <t>DALARNAS LÄN</t>
        </is>
      </c>
      <c r="E699" t="inlineStr">
        <is>
          <t>LEKSAND</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42284-2025</t>
        </is>
      </c>
      <c r="B700" s="1" t="n">
        <v>45903</v>
      </c>
      <c r="C700" s="1" t="n">
        <v>45964</v>
      </c>
      <c r="D700" t="inlineStr">
        <is>
          <t>DALARNAS LÄN</t>
        </is>
      </c>
      <c r="E700" t="inlineStr">
        <is>
          <t>LEKSAND</t>
        </is>
      </c>
      <c r="G700" t="n">
        <v>1.2</v>
      </c>
      <c r="H700" t="n">
        <v>0</v>
      </c>
      <c r="I700" t="n">
        <v>0</v>
      </c>
      <c r="J700" t="n">
        <v>0</v>
      </c>
      <c r="K700" t="n">
        <v>0</v>
      </c>
      <c r="L700" t="n">
        <v>0</v>
      </c>
      <c r="M700" t="n">
        <v>0</v>
      </c>
      <c r="N700" t="n">
        <v>0</v>
      </c>
      <c r="O700" t="n">
        <v>0</v>
      </c>
      <c r="P700" t="n">
        <v>0</v>
      </c>
      <c r="Q700" t="n">
        <v>0</v>
      </c>
      <c r="R700" s="2" t="inlineStr"/>
    </row>
    <row r="701" ht="15" customHeight="1">
      <c r="A701" t="inlineStr">
        <is>
          <t>A 50332-2025</t>
        </is>
      </c>
      <c r="B701" s="1" t="n">
        <v>45944.47092592593</v>
      </c>
      <c r="C701" s="1" t="n">
        <v>45964</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50704-2025</t>
        </is>
      </c>
      <c r="B702" s="1" t="n">
        <v>45946.27984953704</v>
      </c>
      <c r="C702" s="1" t="n">
        <v>45964</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42402-2025</t>
        </is>
      </c>
      <c r="B703" s="1" t="n">
        <v>45905.3753125</v>
      </c>
      <c r="C703" s="1" t="n">
        <v>45964</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51663-2025</t>
        </is>
      </c>
      <c r="B704" s="1" t="n">
        <v>45951</v>
      </c>
      <c r="C704" s="1" t="n">
        <v>45964</v>
      </c>
      <c r="D704" t="inlineStr">
        <is>
          <t>DALARNAS LÄN</t>
        </is>
      </c>
      <c r="E704" t="inlineStr">
        <is>
          <t>LEKSAND</t>
        </is>
      </c>
      <c r="F704" t="inlineStr">
        <is>
          <t>Bergvik skog väst AB</t>
        </is>
      </c>
      <c r="G704" t="n">
        <v>3.1</v>
      </c>
      <c r="H704" t="n">
        <v>0</v>
      </c>
      <c r="I704" t="n">
        <v>0</v>
      </c>
      <c r="J704" t="n">
        <v>0</v>
      </c>
      <c r="K704" t="n">
        <v>0</v>
      </c>
      <c r="L704" t="n">
        <v>0</v>
      </c>
      <c r="M704" t="n">
        <v>0</v>
      </c>
      <c r="N704" t="n">
        <v>0</v>
      </c>
      <c r="O704" t="n">
        <v>0</v>
      </c>
      <c r="P704" t="n">
        <v>0</v>
      </c>
      <c r="Q704" t="n">
        <v>0</v>
      </c>
      <c r="R704" s="2" t="inlineStr"/>
    </row>
    <row r="705" ht="15" customHeight="1">
      <c r="A705" t="inlineStr">
        <is>
          <t>A 51768-2025</t>
        </is>
      </c>
      <c r="B705" s="1" t="n">
        <v>45951.64041666667</v>
      </c>
      <c r="C705" s="1" t="n">
        <v>45964</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24714-2025</t>
        </is>
      </c>
      <c r="B706" s="1" t="n">
        <v>45798.96927083333</v>
      </c>
      <c r="C706" s="1" t="n">
        <v>45964</v>
      </c>
      <c r="D706" t="inlineStr">
        <is>
          <t>DALARNAS LÄN</t>
        </is>
      </c>
      <c r="E706" t="inlineStr">
        <is>
          <t>LEKSAND</t>
        </is>
      </c>
      <c r="F706" t="inlineStr">
        <is>
          <t>Bergvik skog väst AB</t>
        </is>
      </c>
      <c r="G706" t="n">
        <v>6.2</v>
      </c>
      <c r="H706" t="n">
        <v>0</v>
      </c>
      <c r="I706" t="n">
        <v>0</v>
      </c>
      <c r="J706" t="n">
        <v>0</v>
      </c>
      <c r="K706" t="n">
        <v>0</v>
      </c>
      <c r="L706" t="n">
        <v>0</v>
      </c>
      <c r="M706" t="n">
        <v>0</v>
      </c>
      <c r="N706" t="n">
        <v>0</v>
      </c>
      <c r="O706" t="n">
        <v>0</v>
      </c>
      <c r="P706" t="n">
        <v>0</v>
      </c>
      <c r="Q706" t="n">
        <v>0</v>
      </c>
      <c r="R706" s="2" t="inlineStr"/>
    </row>
    <row r="707" ht="15" customHeight="1">
      <c r="A707" t="inlineStr">
        <is>
          <t>A 43158-2025</t>
        </is>
      </c>
      <c r="B707" s="1" t="n">
        <v>45910.35496527778</v>
      </c>
      <c r="C707" s="1" t="n">
        <v>45964</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43629-2025</t>
        </is>
      </c>
      <c r="B708" s="1" t="n">
        <v>45911.70180555555</v>
      </c>
      <c r="C708" s="1" t="n">
        <v>45964</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51926-2025</t>
        </is>
      </c>
      <c r="B709" s="1" t="n">
        <v>45952.49537037037</v>
      </c>
      <c r="C709" s="1" t="n">
        <v>45964</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43628-2025</t>
        </is>
      </c>
      <c r="B710" s="1" t="n">
        <v>45911.70060185185</v>
      </c>
      <c r="C710" s="1" t="n">
        <v>45964</v>
      </c>
      <c r="D710" t="inlineStr">
        <is>
          <t>DALARNAS LÄN</t>
        </is>
      </c>
      <c r="E710" t="inlineStr">
        <is>
          <t>LEKSAND</t>
        </is>
      </c>
      <c r="G710" t="n">
        <v>1.4</v>
      </c>
      <c r="H710" t="n">
        <v>0</v>
      </c>
      <c r="I710" t="n">
        <v>0</v>
      </c>
      <c r="J710" t="n">
        <v>0</v>
      </c>
      <c r="K710" t="n">
        <v>0</v>
      </c>
      <c r="L710" t="n">
        <v>0</v>
      </c>
      <c r="M710" t="n">
        <v>0</v>
      </c>
      <c r="N710" t="n">
        <v>0</v>
      </c>
      <c r="O710" t="n">
        <v>0</v>
      </c>
      <c r="P710" t="n">
        <v>0</v>
      </c>
      <c r="Q710" t="n">
        <v>0</v>
      </c>
      <c r="R710" s="2" t="inlineStr"/>
    </row>
    <row r="711" ht="15" customHeight="1">
      <c r="A711" t="inlineStr">
        <is>
          <t>A 43607-2025</t>
        </is>
      </c>
      <c r="B711" s="1" t="n">
        <v>45911.66873842593</v>
      </c>
      <c r="C711" s="1" t="n">
        <v>45964</v>
      </c>
      <c r="D711" t="inlineStr">
        <is>
          <t>DALARNAS LÄN</t>
        </is>
      </c>
      <c r="E711" t="inlineStr">
        <is>
          <t>LEKSAND</t>
        </is>
      </c>
      <c r="G711" t="n">
        <v>7.3</v>
      </c>
      <c r="H711" t="n">
        <v>0</v>
      </c>
      <c r="I711" t="n">
        <v>0</v>
      </c>
      <c r="J711" t="n">
        <v>0</v>
      </c>
      <c r="K711" t="n">
        <v>0</v>
      </c>
      <c r="L711" t="n">
        <v>0</v>
      </c>
      <c r="M711" t="n">
        <v>0</v>
      </c>
      <c r="N711" t="n">
        <v>0</v>
      </c>
      <c r="O711" t="n">
        <v>0</v>
      </c>
      <c r="P711" t="n">
        <v>0</v>
      </c>
      <c r="Q711" t="n">
        <v>0</v>
      </c>
      <c r="R711" s="2" t="inlineStr"/>
    </row>
    <row r="712" ht="15" customHeight="1">
      <c r="A712" t="inlineStr">
        <is>
          <t>A 43195-2025</t>
        </is>
      </c>
      <c r="B712" s="1" t="n">
        <v>45910.4294212963</v>
      </c>
      <c r="C712" s="1" t="n">
        <v>45964</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43630-2025</t>
        </is>
      </c>
      <c r="B713" s="1" t="n">
        <v>45911.70278935185</v>
      </c>
      <c r="C713" s="1" t="n">
        <v>45964</v>
      </c>
      <c r="D713" t="inlineStr">
        <is>
          <t>DALARNAS LÄN</t>
        </is>
      </c>
      <c r="E713" t="inlineStr">
        <is>
          <t>LEKSAND</t>
        </is>
      </c>
      <c r="G713" t="n">
        <v>4.7</v>
      </c>
      <c r="H713" t="n">
        <v>0</v>
      </c>
      <c r="I713" t="n">
        <v>0</v>
      </c>
      <c r="J713" t="n">
        <v>0</v>
      </c>
      <c r="K713" t="n">
        <v>0</v>
      </c>
      <c r="L713" t="n">
        <v>0</v>
      </c>
      <c r="M713" t="n">
        <v>0</v>
      </c>
      <c r="N713" t="n">
        <v>0</v>
      </c>
      <c r="O713" t="n">
        <v>0</v>
      </c>
      <c r="P713" t="n">
        <v>0</v>
      </c>
      <c r="Q713" t="n">
        <v>0</v>
      </c>
      <c r="R713" s="2" t="inlineStr"/>
    </row>
    <row r="714" ht="15" customHeight="1">
      <c r="A714" t="inlineStr">
        <is>
          <t>A 51728-2025</t>
        </is>
      </c>
      <c r="B714" s="1" t="n">
        <v>45951</v>
      </c>
      <c r="C714" s="1" t="n">
        <v>45964</v>
      </c>
      <c r="D714" t="inlineStr">
        <is>
          <t>DALARNAS LÄN</t>
        </is>
      </c>
      <c r="E714" t="inlineStr">
        <is>
          <t>LEKSAND</t>
        </is>
      </c>
      <c r="F714" t="inlineStr">
        <is>
          <t>Bergvik skog väst AB</t>
        </is>
      </c>
      <c r="G714" t="n">
        <v>14.2</v>
      </c>
      <c r="H714" t="n">
        <v>0</v>
      </c>
      <c r="I714" t="n">
        <v>0</v>
      </c>
      <c r="J714" t="n">
        <v>0</v>
      </c>
      <c r="K714" t="n">
        <v>0</v>
      </c>
      <c r="L714" t="n">
        <v>0</v>
      </c>
      <c r="M714" t="n">
        <v>0</v>
      </c>
      <c r="N714" t="n">
        <v>0</v>
      </c>
      <c r="O714" t="n">
        <v>0</v>
      </c>
      <c r="P714" t="n">
        <v>0</v>
      </c>
      <c r="Q714" t="n">
        <v>0</v>
      </c>
      <c r="R714" s="2" t="inlineStr"/>
    </row>
    <row r="715" ht="15" customHeight="1">
      <c r="A715" t="inlineStr">
        <is>
          <t>A 43830-2025</t>
        </is>
      </c>
      <c r="B715" s="1" t="n">
        <v>45912</v>
      </c>
      <c r="C715" s="1" t="n">
        <v>45964</v>
      </c>
      <c r="D715" t="inlineStr">
        <is>
          <t>DALARNAS LÄN</t>
        </is>
      </c>
      <c r="E715" t="inlineStr">
        <is>
          <t>LEKSAND</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43888-2025</t>
        </is>
      </c>
      <c r="B716" s="1" t="n">
        <v>45912</v>
      </c>
      <c r="C716" s="1" t="n">
        <v>45964</v>
      </c>
      <c r="D716" t="inlineStr">
        <is>
          <t>DALARNAS LÄN</t>
        </is>
      </c>
      <c r="E716" t="inlineStr">
        <is>
          <t>LEKSAND</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43781-2025</t>
        </is>
      </c>
      <c r="B717" s="1" t="n">
        <v>45912.52229166667</v>
      </c>
      <c r="C717" s="1" t="n">
        <v>45964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52671-2025</t>
        </is>
      </c>
      <c r="B718" s="1" t="n">
        <v>45955.98113425926</v>
      </c>
      <c r="C718" s="1" t="n">
        <v>45964</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44237-2025</t>
        </is>
      </c>
      <c r="B719" s="1" t="n">
        <v>45915.6677199074</v>
      </c>
      <c r="C719" s="1" t="n">
        <v>45964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43875-2025</t>
        </is>
      </c>
      <c r="B720" s="1" t="n">
        <v>45912.67685185185</v>
      </c>
      <c r="C720" s="1" t="n">
        <v>45964</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44519-2025</t>
        </is>
      </c>
      <c r="B721" s="1" t="n">
        <v>45916.71483796297</v>
      </c>
      <c r="C721" s="1" t="n">
        <v>45964</v>
      </c>
      <c r="D721" t="inlineStr">
        <is>
          <t>DALARNAS LÄN</t>
        </is>
      </c>
      <c r="E721" t="inlineStr">
        <is>
          <t>LEKSAND</t>
        </is>
      </c>
      <c r="G721" t="n">
        <v>3.6</v>
      </c>
      <c r="H721" t="n">
        <v>0</v>
      </c>
      <c r="I721" t="n">
        <v>0</v>
      </c>
      <c r="J721" t="n">
        <v>0</v>
      </c>
      <c r="K721" t="n">
        <v>0</v>
      </c>
      <c r="L721" t="n">
        <v>0</v>
      </c>
      <c r="M721" t="n">
        <v>0</v>
      </c>
      <c r="N721" t="n">
        <v>0</v>
      </c>
      <c r="O721" t="n">
        <v>0</v>
      </c>
      <c r="P721" t="n">
        <v>0</v>
      </c>
      <c r="Q721" t="n">
        <v>0</v>
      </c>
      <c r="R721" s="2" t="inlineStr"/>
    </row>
    <row r="722" ht="15" customHeight="1">
      <c r="A722" t="inlineStr">
        <is>
          <t>A 53438-2025</t>
        </is>
      </c>
      <c r="B722" s="1" t="n">
        <v>45959.63711805556</v>
      </c>
      <c r="C722" s="1" t="n">
        <v>45964</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53243-2025</t>
        </is>
      </c>
      <c r="B723" s="1" t="n">
        <v>45958.6442824074</v>
      </c>
      <c r="C723" s="1" t="n">
        <v>45964</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53041-2025</t>
        </is>
      </c>
      <c r="B724" s="1" t="n">
        <v>45958.35487268519</v>
      </c>
      <c r="C724" s="1" t="n">
        <v>45964</v>
      </c>
      <c r="D724" t="inlineStr">
        <is>
          <t>DALARNAS LÄN</t>
        </is>
      </c>
      <c r="E724" t="inlineStr">
        <is>
          <t>LEKSAND</t>
        </is>
      </c>
      <c r="G724" t="n">
        <v>1.7</v>
      </c>
      <c r="H724" t="n">
        <v>0</v>
      </c>
      <c r="I724" t="n">
        <v>0</v>
      </c>
      <c r="J724" t="n">
        <v>0</v>
      </c>
      <c r="K724" t="n">
        <v>0</v>
      </c>
      <c r="L724" t="n">
        <v>0</v>
      </c>
      <c r="M724" t="n">
        <v>0</v>
      </c>
      <c r="N724" t="n">
        <v>0</v>
      </c>
      <c r="O724" t="n">
        <v>0</v>
      </c>
      <c r="P724" t="n">
        <v>0</v>
      </c>
      <c r="Q724" t="n">
        <v>0</v>
      </c>
      <c r="R724" s="2" t="inlineStr"/>
    </row>
    <row r="725" ht="15" customHeight="1">
      <c r="A725" t="inlineStr">
        <is>
          <t>A 44516-2025</t>
        </is>
      </c>
      <c r="B725" s="1" t="n">
        <v>45916.70982638889</v>
      </c>
      <c r="C725" s="1" t="n">
        <v>45964</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53190-2025</t>
        </is>
      </c>
      <c r="B726" s="1" t="n">
        <v>45958.56283564815</v>
      </c>
      <c r="C726" s="1" t="n">
        <v>45964</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44672-2025</t>
        </is>
      </c>
      <c r="B727" s="1" t="n">
        <v>45917.56780092593</v>
      </c>
      <c r="C727" s="1" t="n">
        <v>45964</v>
      </c>
      <c r="D727" t="inlineStr">
        <is>
          <t>DALARNAS LÄN</t>
        </is>
      </c>
      <c r="E727" t="inlineStr">
        <is>
          <t>LEKSAND</t>
        </is>
      </c>
      <c r="G727" t="n">
        <v>0.5</v>
      </c>
      <c r="H727" t="n">
        <v>0</v>
      </c>
      <c r="I727" t="n">
        <v>0</v>
      </c>
      <c r="J727" t="n">
        <v>0</v>
      </c>
      <c r="K727" t="n">
        <v>0</v>
      </c>
      <c r="L727" t="n">
        <v>0</v>
      </c>
      <c r="M727" t="n">
        <v>0</v>
      </c>
      <c r="N727" t="n">
        <v>0</v>
      </c>
      <c r="O727" t="n">
        <v>0</v>
      </c>
      <c r="P727" t="n">
        <v>0</v>
      </c>
      <c r="Q727" t="n">
        <v>0</v>
      </c>
      <c r="R727" s="2" t="inlineStr"/>
    </row>
    <row r="728" ht="15" customHeight="1">
      <c r="A728" t="inlineStr">
        <is>
          <t>A 54015-2025</t>
        </is>
      </c>
      <c r="B728" s="1" t="n">
        <v>45961.64158564815</v>
      </c>
      <c r="C728" s="1" t="n">
        <v>45964</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53804-2025</t>
        </is>
      </c>
      <c r="B729" s="1" t="n">
        <v>45960.83247685185</v>
      </c>
      <c r="C729" s="1" t="n">
        <v>45964</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44948-2025</t>
        </is>
      </c>
      <c r="B730" s="1" t="n">
        <v>45918.60555555556</v>
      </c>
      <c r="C730" s="1" t="n">
        <v>45964</v>
      </c>
      <c r="D730" t="inlineStr">
        <is>
          <t>DALARNAS LÄN</t>
        </is>
      </c>
      <c r="E730" t="inlineStr">
        <is>
          <t>LEKSAND</t>
        </is>
      </c>
      <c r="G730" t="n">
        <v>5.1</v>
      </c>
      <c r="H730" t="n">
        <v>0</v>
      </c>
      <c r="I730" t="n">
        <v>0</v>
      </c>
      <c r="J730" t="n">
        <v>0</v>
      </c>
      <c r="K730" t="n">
        <v>0</v>
      </c>
      <c r="L730" t="n">
        <v>0</v>
      </c>
      <c r="M730" t="n">
        <v>0</v>
      </c>
      <c r="N730" t="n">
        <v>0</v>
      </c>
      <c r="O730" t="n">
        <v>0</v>
      </c>
      <c r="P730" t="n">
        <v>0</v>
      </c>
      <c r="Q730" t="n">
        <v>0</v>
      </c>
      <c r="R730" s="2" t="inlineStr"/>
    </row>
    <row r="731" ht="15" customHeight="1">
      <c r="A731" t="inlineStr">
        <is>
          <t>A 45101-2025</t>
        </is>
      </c>
      <c r="B731" s="1" t="n">
        <v>45919.39679398148</v>
      </c>
      <c r="C731" s="1" t="n">
        <v>45964</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53619-2025</t>
        </is>
      </c>
      <c r="B732" s="1" t="n">
        <v>45960</v>
      </c>
      <c r="C732" s="1" t="n">
        <v>45964</v>
      </c>
      <c r="D732" t="inlineStr">
        <is>
          <t>DALARNAS LÄN</t>
        </is>
      </c>
      <c r="E732" t="inlineStr">
        <is>
          <t>LEKSAND</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53718-2025</t>
        </is>
      </c>
      <c r="B733" s="1" t="n">
        <v>45960.61840277778</v>
      </c>
      <c r="C733" s="1" t="n">
        <v>45964</v>
      </c>
      <c r="D733" t="inlineStr">
        <is>
          <t>DALARNAS LÄN</t>
        </is>
      </c>
      <c r="E733" t="inlineStr">
        <is>
          <t>LEKSAND</t>
        </is>
      </c>
      <c r="G733" t="n">
        <v>7.5</v>
      </c>
      <c r="H733" t="n">
        <v>0</v>
      </c>
      <c r="I733" t="n">
        <v>0</v>
      </c>
      <c r="J733" t="n">
        <v>0</v>
      </c>
      <c r="K733" t="n">
        <v>0</v>
      </c>
      <c r="L733" t="n">
        <v>0</v>
      </c>
      <c r="M733" t="n">
        <v>0</v>
      </c>
      <c r="N733" t="n">
        <v>0</v>
      </c>
      <c r="O733" t="n">
        <v>0</v>
      </c>
      <c r="P733" t="n">
        <v>0</v>
      </c>
      <c r="Q733" t="n">
        <v>0</v>
      </c>
      <c r="R733" s="2" t="inlineStr"/>
    </row>
    <row r="734" ht="15" customHeight="1">
      <c r="A734" t="inlineStr">
        <is>
          <t>A 53836-2025</t>
        </is>
      </c>
      <c r="B734" s="1" t="n">
        <v>45961.3475462963</v>
      </c>
      <c r="C734" s="1" t="n">
        <v>45964</v>
      </c>
      <c r="D734" t="inlineStr">
        <is>
          <t>DALARNAS LÄN</t>
        </is>
      </c>
      <c r="E734" t="inlineStr">
        <is>
          <t>LEKSAND</t>
        </is>
      </c>
      <c r="G734" t="n">
        <v>3.5</v>
      </c>
      <c r="H734" t="n">
        <v>0</v>
      </c>
      <c r="I734" t="n">
        <v>0</v>
      </c>
      <c r="J734" t="n">
        <v>0</v>
      </c>
      <c r="K734" t="n">
        <v>0</v>
      </c>
      <c r="L734" t="n">
        <v>0</v>
      </c>
      <c r="M734" t="n">
        <v>0</v>
      </c>
      <c r="N734" t="n">
        <v>0</v>
      </c>
      <c r="O734" t="n">
        <v>0</v>
      </c>
      <c r="P734" t="n">
        <v>0</v>
      </c>
      <c r="Q734" t="n">
        <v>0</v>
      </c>
      <c r="R734" s="2" t="inlineStr"/>
    </row>
    <row r="735">
      <c r="A735" t="inlineStr">
        <is>
          <t>A 53838-2025</t>
        </is>
      </c>
      <c r="B735" s="1" t="n">
        <v>45961.34895833334</v>
      </c>
      <c r="C735" s="1" t="n">
        <v>45964</v>
      </c>
      <c r="D735" t="inlineStr">
        <is>
          <t>DALARNAS LÄN</t>
        </is>
      </c>
      <c r="E735" t="inlineStr">
        <is>
          <t>LEKSAND</t>
        </is>
      </c>
      <c r="G735" t="n">
        <v>1.3</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2025-11-03T10:04:02Z</dcterms:created>
  <dcterms:modified xmlns:dcterms="http://purl.org/dc/terms/" xmlns:xsi="http://www.w3.org/2001/XMLSchema-instance" xsi:type="dcterms:W3CDTF">2025-11-03T10:04:02Z</dcterms:modified>
</cp:coreProperties>
</file>