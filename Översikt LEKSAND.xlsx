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45834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45834</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45834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45834</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45834</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45834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45834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45834</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45834</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45834</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45834</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45834</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45834</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45834</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45834</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45834</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45834</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45834</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45834</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45834</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45834</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45834</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45834</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45834</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45834</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45834</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45834</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45834</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45834</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45834</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45834</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45834</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45834</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45834</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45834</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45834</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45834</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45834</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45834</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45834</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45834</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45834</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45834</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45834</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45834</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45834</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45834</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45834</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45834</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45834</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45834</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45834</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45834</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45834</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45834</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45834</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45834</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45834</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45834</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45834</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45834</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45834</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45834</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45834</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45834</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45834</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45834</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45834</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45834</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6029-2025</t>
        </is>
      </c>
      <c r="B71" s="1" t="n">
        <v>45695</v>
      </c>
      <c r="C71" s="1" t="n">
        <v>45834</v>
      </c>
      <c r="D71" t="inlineStr">
        <is>
          <t>DALARNAS LÄN</t>
        </is>
      </c>
      <c r="E71" t="inlineStr">
        <is>
          <t>LEKSAND</t>
        </is>
      </c>
      <c r="G71" t="n">
        <v>3.5</v>
      </c>
      <c r="H71" t="n">
        <v>1</v>
      </c>
      <c r="I71" t="n">
        <v>0</v>
      </c>
      <c r="J71" t="n">
        <v>1</v>
      </c>
      <c r="K71" t="n">
        <v>0</v>
      </c>
      <c r="L71" t="n">
        <v>0</v>
      </c>
      <c r="M71" t="n">
        <v>0</v>
      </c>
      <c r="N71" t="n">
        <v>0</v>
      </c>
      <c r="O71" t="n">
        <v>1</v>
      </c>
      <c r="P71" t="n">
        <v>0</v>
      </c>
      <c r="Q71" t="n">
        <v>1</v>
      </c>
      <c r="R71" s="2" t="inlineStr">
        <is>
          <t>Spillkråka</t>
        </is>
      </c>
      <c r="S71">
        <f>HYPERLINK("https://klasma.github.io/Logging_2029/artfynd/A 6029-2025 artfynd.xlsx", "A 6029-2025")</f>
        <v/>
      </c>
      <c r="T71">
        <f>HYPERLINK("https://klasma.github.io/Logging_2029/kartor/A 6029-2025 karta.png", "A 6029-2025")</f>
        <v/>
      </c>
      <c r="V71">
        <f>HYPERLINK("https://klasma.github.io/Logging_2029/klagomål/A 6029-2025 FSC-klagomål.docx", "A 6029-2025")</f>
        <v/>
      </c>
      <c r="W71">
        <f>HYPERLINK("https://klasma.github.io/Logging_2029/klagomålsmail/A 6029-2025 FSC-klagomål mail.docx", "A 6029-2025")</f>
        <v/>
      </c>
      <c r="X71">
        <f>HYPERLINK("https://klasma.github.io/Logging_2029/tillsyn/A 6029-2025 tillsynsbegäran.docx", "A 6029-2025")</f>
        <v/>
      </c>
      <c r="Y71">
        <f>HYPERLINK("https://klasma.github.io/Logging_2029/tillsynsmail/A 6029-2025 tillsynsbegäran mail.docx", "A 6029-2025")</f>
        <v/>
      </c>
      <c r="Z71">
        <f>HYPERLINK("https://klasma.github.io/Logging_2029/fåglar/A 6029-2025 prioriterade fågelarter.docx", "A 6029-2025")</f>
        <v/>
      </c>
    </row>
    <row r="72" ht="15" customHeight="1">
      <c r="A72" t="inlineStr">
        <is>
          <t>A 16735-2025</t>
        </is>
      </c>
      <c r="B72" s="1" t="n">
        <v>45754</v>
      </c>
      <c r="C72" s="1" t="n">
        <v>45834</v>
      </c>
      <c r="D72" t="inlineStr">
        <is>
          <t>DALARNAS LÄN</t>
        </is>
      </c>
      <c r="E72" t="inlineStr">
        <is>
          <t>LEKSAND</t>
        </is>
      </c>
      <c r="G72" t="n">
        <v>1.8</v>
      </c>
      <c r="H72" t="n">
        <v>1</v>
      </c>
      <c r="I72" t="n">
        <v>0</v>
      </c>
      <c r="J72" t="n">
        <v>0</v>
      </c>
      <c r="K72" t="n">
        <v>0</v>
      </c>
      <c r="L72" t="n">
        <v>0</v>
      </c>
      <c r="M72" t="n">
        <v>0</v>
      </c>
      <c r="N72" t="n">
        <v>0</v>
      </c>
      <c r="O72" t="n">
        <v>0</v>
      </c>
      <c r="P72" t="n">
        <v>0</v>
      </c>
      <c r="Q72" t="n">
        <v>1</v>
      </c>
      <c r="R72" s="2" t="inlineStr">
        <is>
          <t>Gröngöling</t>
        </is>
      </c>
      <c r="S72">
        <f>HYPERLINK("https://klasma.github.io/Logging_202029/artfynd/A 16735-2025 artfynd.xlsx", "A 16735-2025")</f>
        <v/>
      </c>
      <c r="T72">
        <f>HYPERLINK("https://klasma.github.io/Logging_202029/kartor/A 16735-2025 karta.png", "A 16735-2025")</f>
        <v/>
      </c>
      <c r="V72">
        <f>HYPERLINK("https://klasma.github.io/Logging_202029/klagomål/A 16735-2025 FSC-klagomål.docx", "A 16735-2025")</f>
        <v/>
      </c>
      <c r="W72">
        <f>HYPERLINK("https://klasma.github.io/Logging_202029/klagomålsmail/A 16735-2025 FSC-klagomål mail.docx", "A 16735-2025")</f>
        <v/>
      </c>
      <c r="X72">
        <f>HYPERLINK("https://klasma.github.io/Logging_202029/tillsyn/A 16735-2025 tillsynsbegäran.docx", "A 16735-2025")</f>
        <v/>
      </c>
      <c r="Y72">
        <f>HYPERLINK("https://klasma.github.io/Logging_202029/tillsynsmail/A 16735-2025 tillsynsbegäran mail.docx", "A 16735-2025")</f>
        <v/>
      </c>
      <c r="Z72">
        <f>HYPERLINK("https://klasma.github.io/Logging_202029/fåglar/A 16735-2025 prioriterade fågelarter.docx", "A 16735-2025")</f>
        <v/>
      </c>
    </row>
    <row r="73" ht="15" customHeight="1">
      <c r="A73" t="inlineStr">
        <is>
          <t>A 17822-2019</t>
        </is>
      </c>
      <c r="B73" s="1" t="n">
        <v>43556</v>
      </c>
      <c r="C73" s="1" t="n">
        <v>45834</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17967-2019</t>
        </is>
      </c>
      <c r="B74" s="1" t="n">
        <v>43557</v>
      </c>
      <c r="C74" s="1" t="n">
        <v>45834</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17970-2019</t>
        </is>
      </c>
      <c r="B75" s="1" t="n">
        <v>43557</v>
      </c>
      <c r="C75" s="1" t="n">
        <v>45834</v>
      </c>
      <c r="D75" t="inlineStr">
        <is>
          <t>DALARNAS LÄN</t>
        </is>
      </c>
      <c r="E75" t="inlineStr">
        <is>
          <t>LEKSAND</t>
        </is>
      </c>
      <c r="G75" t="n">
        <v>2.5</v>
      </c>
      <c r="H75" t="n">
        <v>0</v>
      </c>
      <c r="I75" t="n">
        <v>0</v>
      </c>
      <c r="J75" t="n">
        <v>0</v>
      </c>
      <c r="K75" t="n">
        <v>0</v>
      </c>
      <c r="L75" t="n">
        <v>0</v>
      </c>
      <c r="M75" t="n">
        <v>0</v>
      </c>
      <c r="N75" t="n">
        <v>0</v>
      </c>
      <c r="O75" t="n">
        <v>0</v>
      </c>
      <c r="P75" t="n">
        <v>0</v>
      </c>
      <c r="Q75" t="n">
        <v>0</v>
      </c>
      <c r="R75" s="2" t="inlineStr"/>
    </row>
    <row r="76" ht="15" customHeight="1">
      <c r="A76" t="inlineStr">
        <is>
          <t>A 18238-2019</t>
        </is>
      </c>
      <c r="B76" s="1" t="n">
        <v>43558</v>
      </c>
      <c r="C76" s="1" t="n">
        <v>45834</v>
      </c>
      <c r="D76" t="inlineStr">
        <is>
          <t>DALARNAS LÄN</t>
        </is>
      </c>
      <c r="E76" t="inlineStr">
        <is>
          <t>LEKSAND</t>
        </is>
      </c>
      <c r="G76" t="n">
        <v>3.3</v>
      </c>
      <c r="H76" t="n">
        <v>0</v>
      </c>
      <c r="I76" t="n">
        <v>0</v>
      </c>
      <c r="J76" t="n">
        <v>0</v>
      </c>
      <c r="K76" t="n">
        <v>0</v>
      </c>
      <c r="L76" t="n">
        <v>0</v>
      </c>
      <c r="M76" t="n">
        <v>0</v>
      </c>
      <c r="N76" t="n">
        <v>0</v>
      </c>
      <c r="O76" t="n">
        <v>0</v>
      </c>
      <c r="P76" t="n">
        <v>0</v>
      </c>
      <c r="Q76" t="n">
        <v>0</v>
      </c>
      <c r="R76" s="2" t="inlineStr"/>
    </row>
    <row r="77" ht="15" customHeight="1">
      <c r="A77" t="inlineStr">
        <is>
          <t>A 19703-2019</t>
        </is>
      </c>
      <c r="B77" s="1" t="n">
        <v>43566</v>
      </c>
      <c r="C77" s="1" t="n">
        <v>45834</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19790-2019</t>
        </is>
      </c>
      <c r="B78" s="1" t="n">
        <v>43566</v>
      </c>
      <c r="C78" s="1" t="n">
        <v>45834</v>
      </c>
      <c r="D78" t="inlineStr">
        <is>
          <t>DALARNAS LÄN</t>
        </is>
      </c>
      <c r="E78" t="inlineStr">
        <is>
          <t>LEKSAND</t>
        </is>
      </c>
      <c r="G78" t="n">
        <v>11.4</v>
      </c>
      <c r="H78" t="n">
        <v>0</v>
      </c>
      <c r="I78" t="n">
        <v>0</v>
      </c>
      <c r="J78" t="n">
        <v>0</v>
      </c>
      <c r="K78" t="n">
        <v>0</v>
      </c>
      <c r="L78" t="n">
        <v>0</v>
      </c>
      <c r="M78" t="n">
        <v>0</v>
      </c>
      <c r="N78" t="n">
        <v>0</v>
      </c>
      <c r="O78" t="n">
        <v>0</v>
      </c>
      <c r="P78" t="n">
        <v>0</v>
      </c>
      <c r="Q78" t="n">
        <v>0</v>
      </c>
      <c r="R78" s="2" t="inlineStr"/>
    </row>
    <row r="79" ht="15" customHeight="1">
      <c r="A79" t="inlineStr">
        <is>
          <t>A 22975-2019</t>
        </is>
      </c>
      <c r="B79" s="1" t="n">
        <v>43591</v>
      </c>
      <c r="C79" s="1" t="n">
        <v>45834</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24300-2019</t>
        </is>
      </c>
      <c r="B80" s="1" t="n">
        <v>43598</v>
      </c>
      <c r="C80" s="1" t="n">
        <v>45834</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24051-2019</t>
        </is>
      </c>
      <c r="B81" s="1" t="n">
        <v>43598</v>
      </c>
      <c r="C81" s="1" t="n">
        <v>45834</v>
      </c>
      <c r="D81" t="inlineStr">
        <is>
          <t>DALARNAS LÄN</t>
        </is>
      </c>
      <c r="E81" t="inlineStr">
        <is>
          <t>LEKSAND</t>
        </is>
      </c>
      <c r="G81" t="n">
        <v>5.4</v>
      </c>
      <c r="H81" t="n">
        <v>0</v>
      </c>
      <c r="I81" t="n">
        <v>0</v>
      </c>
      <c r="J81" t="n">
        <v>0</v>
      </c>
      <c r="K81" t="n">
        <v>0</v>
      </c>
      <c r="L81" t="n">
        <v>0</v>
      </c>
      <c r="M81" t="n">
        <v>0</v>
      </c>
      <c r="N81" t="n">
        <v>0</v>
      </c>
      <c r="O81" t="n">
        <v>0</v>
      </c>
      <c r="P81" t="n">
        <v>0</v>
      </c>
      <c r="Q81" t="n">
        <v>0</v>
      </c>
      <c r="R81" s="2" t="inlineStr"/>
    </row>
    <row r="82" ht="15" customHeight="1">
      <c r="A82" t="inlineStr">
        <is>
          <t>A 24542-2019</t>
        </is>
      </c>
      <c r="B82" s="1" t="n">
        <v>43600</v>
      </c>
      <c r="C82" s="1" t="n">
        <v>45834</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32532-2019</t>
        </is>
      </c>
      <c r="B83" s="1" t="n">
        <v>43646</v>
      </c>
      <c r="C83" s="1" t="n">
        <v>45834</v>
      </c>
      <c r="D83" t="inlineStr">
        <is>
          <t>DALARNAS LÄN</t>
        </is>
      </c>
      <c r="E83" t="inlineStr">
        <is>
          <t>LEKSAND</t>
        </is>
      </c>
      <c r="G83" t="n">
        <v>3.1</v>
      </c>
      <c r="H83" t="n">
        <v>0</v>
      </c>
      <c r="I83" t="n">
        <v>0</v>
      </c>
      <c r="J83" t="n">
        <v>0</v>
      </c>
      <c r="K83" t="n">
        <v>0</v>
      </c>
      <c r="L83" t="n">
        <v>0</v>
      </c>
      <c r="M83" t="n">
        <v>0</v>
      </c>
      <c r="N83" t="n">
        <v>0</v>
      </c>
      <c r="O83" t="n">
        <v>0</v>
      </c>
      <c r="P83" t="n">
        <v>0</v>
      </c>
      <c r="Q83" t="n">
        <v>0</v>
      </c>
      <c r="R83" s="2" t="inlineStr"/>
    </row>
    <row r="84" ht="15" customHeight="1">
      <c r="A84" t="inlineStr">
        <is>
          <t>A 33903-2019</t>
        </is>
      </c>
      <c r="B84" s="1" t="n">
        <v>43654</v>
      </c>
      <c r="C84" s="1" t="n">
        <v>45834</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36014-2019</t>
        </is>
      </c>
      <c r="B85" s="1" t="n">
        <v>43657</v>
      </c>
      <c r="C85" s="1" t="n">
        <v>45834</v>
      </c>
      <c r="D85" t="inlineStr">
        <is>
          <t>DALARNAS LÄN</t>
        </is>
      </c>
      <c r="E85" t="inlineStr">
        <is>
          <t>LEKSAND</t>
        </is>
      </c>
      <c r="G85" t="n">
        <v>1.8</v>
      </c>
      <c r="H85" t="n">
        <v>0</v>
      </c>
      <c r="I85" t="n">
        <v>0</v>
      </c>
      <c r="J85" t="n">
        <v>0</v>
      </c>
      <c r="K85" t="n">
        <v>0</v>
      </c>
      <c r="L85" t="n">
        <v>0</v>
      </c>
      <c r="M85" t="n">
        <v>0</v>
      </c>
      <c r="N85" t="n">
        <v>0</v>
      </c>
      <c r="O85" t="n">
        <v>0</v>
      </c>
      <c r="P85" t="n">
        <v>0</v>
      </c>
      <c r="Q85" t="n">
        <v>0</v>
      </c>
      <c r="R85" s="2" t="inlineStr"/>
    </row>
    <row r="86" ht="15" customHeight="1">
      <c r="A86" t="inlineStr">
        <is>
          <t>A 36023-2019</t>
        </is>
      </c>
      <c r="B86" s="1" t="n">
        <v>43657</v>
      </c>
      <c r="C86" s="1" t="n">
        <v>45834</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36287-2019</t>
        </is>
      </c>
      <c r="B87" s="1" t="n">
        <v>43669</v>
      </c>
      <c r="C87" s="1" t="n">
        <v>45834</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37733-2019</t>
        </is>
      </c>
      <c r="B88" s="1" t="n">
        <v>43682</v>
      </c>
      <c r="C88" s="1" t="n">
        <v>45834</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37822-2019</t>
        </is>
      </c>
      <c r="B89" s="1" t="n">
        <v>43682</v>
      </c>
      <c r="C89" s="1" t="n">
        <v>45834</v>
      </c>
      <c r="D89" t="inlineStr">
        <is>
          <t>DALARNAS LÄN</t>
        </is>
      </c>
      <c r="E89" t="inlineStr">
        <is>
          <t>LEKSAND</t>
        </is>
      </c>
      <c r="G89" t="n">
        <v>8.9</v>
      </c>
      <c r="H89" t="n">
        <v>0</v>
      </c>
      <c r="I89" t="n">
        <v>0</v>
      </c>
      <c r="J89" t="n">
        <v>0</v>
      </c>
      <c r="K89" t="n">
        <v>0</v>
      </c>
      <c r="L89" t="n">
        <v>0</v>
      </c>
      <c r="M89" t="n">
        <v>0</v>
      </c>
      <c r="N89" t="n">
        <v>0</v>
      </c>
      <c r="O89" t="n">
        <v>0</v>
      </c>
      <c r="P89" t="n">
        <v>0</v>
      </c>
      <c r="Q89" t="n">
        <v>0</v>
      </c>
      <c r="R89" s="2" t="inlineStr"/>
    </row>
    <row r="90" ht="15" customHeight="1">
      <c r="A90" t="inlineStr">
        <is>
          <t>A 38350-2019</t>
        </is>
      </c>
      <c r="B90" s="1" t="n">
        <v>43685</v>
      </c>
      <c r="C90" s="1" t="n">
        <v>45834</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39025-2019</t>
        </is>
      </c>
      <c r="B91" s="1" t="n">
        <v>43689</v>
      </c>
      <c r="C91" s="1" t="n">
        <v>45834</v>
      </c>
      <c r="D91" t="inlineStr">
        <is>
          <t>DALARNAS LÄN</t>
        </is>
      </c>
      <c r="E91" t="inlineStr">
        <is>
          <t>LEKSAND</t>
        </is>
      </c>
      <c r="F91" t="inlineStr">
        <is>
          <t>Bergvik skog väst AB</t>
        </is>
      </c>
      <c r="G91" t="n">
        <v>10.1</v>
      </c>
      <c r="H91" t="n">
        <v>0</v>
      </c>
      <c r="I91" t="n">
        <v>0</v>
      </c>
      <c r="J91" t="n">
        <v>0</v>
      </c>
      <c r="K91" t="n">
        <v>0</v>
      </c>
      <c r="L91" t="n">
        <v>0</v>
      </c>
      <c r="M91" t="n">
        <v>0</v>
      </c>
      <c r="N91" t="n">
        <v>0</v>
      </c>
      <c r="O91" t="n">
        <v>0</v>
      </c>
      <c r="P91" t="n">
        <v>0</v>
      </c>
      <c r="Q91" t="n">
        <v>0</v>
      </c>
      <c r="R91" s="2" t="inlineStr"/>
    </row>
    <row r="92" ht="15" customHeight="1">
      <c r="A92" t="inlineStr">
        <is>
          <t>A 41329-2019</t>
        </is>
      </c>
      <c r="B92" s="1" t="n">
        <v>43698</v>
      </c>
      <c r="C92" s="1" t="n">
        <v>45834</v>
      </c>
      <c r="D92" t="inlineStr">
        <is>
          <t>DALARNAS LÄN</t>
        </is>
      </c>
      <c r="E92" t="inlineStr">
        <is>
          <t>LEKSAND</t>
        </is>
      </c>
      <c r="G92" t="n">
        <v>2</v>
      </c>
      <c r="H92" t="n">
        <v>0</v>
      </c>
      <c r="I92" t="n">
        <v>0</v>
      </c>
      <c r="J92" t="n">
        <v>0</v>
      </c>
      <c r="K92" t="n">
        <v>0</v>
      </c>
      <c r="L92" t="n">
        <v>0</v>
      </c>
      <c r="M92" t="n">
        <v>0</v>
      </c>
      <c r="N92" t="n">
        <v>0</v>
      </c>
      <c r="O92" t="n">
        <v>0</v>
      </c>
      <c r="P92" t="n">
        <v>0</v>
      </c>
      <c r="Q92" t="n">
        <v>0</v>
      </c>
      <c r="R92" s="2" t="inlineStr"/>
    </row>
    <row r="93" ht="15" customHeight="1">
      <c r="A93" t="inlineStr">
        <is>
          <t>A 43082-2019</t>
        </is>
      </c>
      <c r="B93" s="1" t="n">
        <v>43705</v>
      </c>
      <c r="C93" s="1" t="n">
        <v>45834</v>
      </c>
      <c r="D93" t="inlineStr">
        <is>
          <t>DALARNAS LÄN</t>
        </is>
      </c>
      <c r="E93" t="inlineStr">
        <is>
          <t>LEKSAND</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43887-2019</t>
        </is>
      </c>
      <c r="B94" s="1" t="n">
        <v>43707</v>
      </c>
      <c r="C94" s="1" t="n">
        <v>45834</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43884-2019</t>
        </is>
      </c>
      <c r="B95" s="1" t="n">
        <v>43707</v>
      </c>
      <c r="C95" s="1" t="n">
        <v>45834</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44058-2019</t>
        </is>
      </c>
      <c r="B96" s="1" t="n">
        <v>43710</v>
      </c>
      <c r="C96" s="1" t="n">
        <v>45834</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45526-2019</t>
        </is>
      </c>
      <c r="B97" s="1" t="n">
        <v>43714</v>
      </c>
      <c r="C97" s="1" t="n">
        <v>45834</v>
      </c>
      <c r="D97" t="inlineStr">
        <is>
          <t>DALARNAS LÄN</t>
        </is>
      </c>
      <c r="E97" t="inlineStr">
        <is>
          <t>LEKSAND</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45572-2019</t>
        </is>
      </c>
      <c r="B98" s="1" t="n">
        <v>43716</v>
      </c>
      <c r="C98" s="1" t="n">
        <v>45834</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46739-2019</t>
        </is>
      </c>
      <c r="B99" s="1" t="n">
        <v>43719</v>
      </c>
      <c r="C99" s="1" t="n">
        <v>45834</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46740-2019</t>
        </is>
      </c>
      <c r="B100" s="1" t="n">
        <v>43719</v>
      </c>
      <c r="C100" s="1" t="n">
        <v>45834</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47532-2019</t>
        </is>
      </c>
      <c r="B101" s="1" t="n">
        <v>43724</v>
      </c>
      <c r="C101" s="1" t="n">
        <v>45834</v>
      </c>
      <c r="D101" t="inlineStr">
        <is>
          <t>DALARNAS LÄN</t>
        </is>
      </c>
      <c r="E101" t="inlineStr">
        <is>
          <t>LEKSAND</t>
        </is>
      </c>
      <c r="G101" t="n">
        <v>2.3</v>
      </c>
      <c r="H101" t="n">
        <v>0</v>
      </c>
      <c r="I101" t="n">
        <v>0</v>
      </c>
      <c r="J101" t="n">
        <v>0</v>
      </c>
      <c r="K101" t="n">
        <v>0</v>
      </c>
      <c r="L101" t="n">
        <v>0</v>
      </c>
      <c r="M101" t="n">
        <v>0</v>
      </c>
      <c r="N101" t="n">
        <v>0</v>
      </c>
      <c r="O101" t="n">
        <v>0</v>
      </c>
      <c r="P101" t="n">
        <v>0</v>
      </c>
      <c r="Q101" t="n">
        <v>0</v>
      </c>
      <c r="R101" s="2" t="inlineStr"/>
    </row>
    <row r="102" ht="15" customHeight="1">
      <c r="A102" t="inlineStr">
        <is>
          <t>A 49132-2019</t>
        </is>
      </c>
      <c r="B102" s="1" t="n">
        <v>43728</v>
      </c>
      <c r="C102" s="1" t="n">
        <v>45834</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51390-2019</t>
        </is>
      </c>
      <c r="B103" s="1" t="n">
        <v>43733</v>
      </c>
      <c r="C103" s="1" t="n">
        <v>45834</v>
      </c>
      <c r="D103" t="inlineStr">
        <is>
          <t>DALARNAS LÄN</t>
        </is>
      </c>
      <c r="E103" t="inlineStr">
        <is>
          <t>LEKSAND</t>
        </is>
      </c>
      <c r="G103" t="n">
        <v>4.7</v>
      </c>
      <c r="H103" t="n">
        <v>0</v>
      </c>
      <c r="I103" t="n">
        <v>0</v>
      </c>
      <c r="J103" t="n">
        <v>0</v>
      </c>
      <c r="K103" t="n">
        <v>0</v>
      </c>
      <c r="L103" t="n">
        <v>0</v>
      </c>
      <c r="M103" t="n">
        <v>0</v>
      </c>
      <c r="N103" t="n">
        <v>0</v>
      </c>
      <c r="O103" t="n">
        <v>0</v>
      </c>
      <c r="P103" t="n">
        <v>0</v>
      </c>
      <c r="Q103" t="n">
        <v>0</v>
      </c>
      <c r="R103" s="2" t="inlineStr"/>
    </row>
    <row r="104" ht="15" customHeight="1">
      <c r="A104" t="inlineStr">
        <is>
          <t>A 50532-2019</t>
        </is>
      </c>
      <c r="B104" s="1" t="n">
        <v>43735</v>
      </c>
      <c r="C104" s="1" t="n">
        <v>45834</v>
      </c>
      <c r="D104" t="inlineStr">
        <is>
          <t>DALARNAS LÄN</t>
        </is>
      </c>
      <c r="E104" t="inlineStr">
        <is>
          <t>LEKSAND</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52130-2019</t>
        </is>
      </c>
      <c r="B105" s="1" t="n">
        <v>43735</v>
      </c>
      <c r="C105" s="1" t="n">
        <v>45834</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52827-2019</t>
        </is>
      </c>
      <c r="B106" s="1" t="n">
        <v>43746</v>
      </c>
      <c r="C106" s="1" t="n">
        <v>45834</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52957-2019</t>
        </is>
      </c>
      <c r="B107" s="1" t="n">
        <v>43747</v>
      </c>
      <c r="C107" s="1" t="n">
        <v>45834</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53553-2019</t>
        </is>
      </c>
      <c r="B108" s="1" t="n">
        <v>43749</v>
      </c>
      <c r="C108" s="1" t="n">
        <v>45834</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56844-2019</t>
        </is>
      </c>
      <c r="B109" s="1" t="n">
        <v>43765</v>
      </c>
      <c r="C109" s="1" t="n">
        <v>45834</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57221-2019</t>
        </is>
      </c>
      <c r="B110" s="1" t="n">
        <v>43767</v>
      </c>
      <c r="C110" s="1" t="n">
        <v>45834</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58237-2019</t>
        </is>
      </c>
      <c r="B111" s="1" t="n">
        <v>43770</v>
      </c>
      <c r="C111" s="1" t="n">
        <v>45834</v>
      </c>
      <c r="D111" t="inlineStr">
        <is>
          <t>DALARNAS LÄN</t>
        </is>
      </c>
      <c r="E111" t="inlineStr">
        <is>
          <t>LEKSAND</t>
        </is>
      </c>
      <c r="G111" t="n">
        <v>2.5</v>
      </c>
      <c r="H111" t="n">
        <v>0</v>
      </c>
      <c r="I111" t="n">
        <v>0</v>
      </c>
      <c r="J111" t="n">
        <v>0</v>
      </c>
      <c r="K111" t="n">
        <v>0</v>
      </c>
      <c r="L111" t="n">
        <v>0</v>
      </c>
      <c r="M111" t="n">
        <v>0</v>
      </c>
      <c r="N111" t="n">
        <v>0</v>
      </c>
      <c r="O111" t="n">
        <v>0</v>
      </c>
      <c r="P111" t="n">
        <v>0</v>
      </c>
      <c r="Q111" t="n">
        <v>0</v>
      </c>
      <c r="R111" s="2" t="inlineStr"/>
    </row>
    <row r="112" ht="15" customHeight="1">
      <c r="A112" t="inlineStr">
        <is>
          <t>A 59714-2019</t>
        </is>
      </c>
      <c r="B112" s="1" t="n">
        <v>43776</v>
      </c>
      <c r="C112" s="1" t="n">
        <v>45834</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59721-2019</t>
        </is>
      </c>
      <c r="B113" s="1" t="n">
        <v>43776</v>
      </c>
      <c r="C113" s="1" t="n">
        <v>45834</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60809-2019</t>
        </is>
      </c>
      <c r="B114" s="1" t="n">
        <v>43780</v>
      </c>
      <c r="C114" s="1" t="n">
        <v>45834</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61111-2019</t>
        </is>
      </c>
      <c r="B115" s="1" t="n">
        <v>43782</v>
      </c>
      <c r="C115" s="1" t="n">
        <v>45834</v>
      </c>
      <c r="D115" t="inlineStr">
        <is>
          <t>DALARNAS LÄN</t>
        </is>
      </c>
      <c r="E115" t="inlineStr">
        <is>
          <t>LEKSAND</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61113-2019</t>
        </is>
      </c>
      <c r="B116" s="1" t="n">
        <v>43782</v>
      </c>
      <c r="C116" s="1" t="n">
        <v>45834</v>
      </c>
      <c r="D116" t="inlineStr">
        <is>
          <t>DALARNAS LÄN</t>
        </is>
      </c>
      <c r="E116" t="inlineStr">
        <is>
          <t>LEKSAND</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64635-2019</t>
        </is>
      </c>
      <c r="B117" s="1" t="n">
        <v>43794</v>
      </c>
      <c r="C117" s="1" t="n">
        <v>45834</v>
      </c>
      <c r="D117" t="inlineStr">
        <is>
          <t>DALARNAS LÄN</t>
        </is>
      </c>
      <c r="E117" t="inlineStr">
        <is>
          <t>LEKSAND</t>
        </is>
      </c>
      <c r="G117" t="n">
        <v>5.4</v>
      </c>
      <c r="H117" t="n">
        <v>0</v>
      </c>
      <c r="I117" t="n">
        <v>0</v>
      </c>
      <c r="J117" t="n">
        <v>0</v>
      </c>
      <c r="K117" t="n">
        <v>0</v>
      </c>
      <c r="L117" t="n">
        <v>0</v>
      </c>
      <c r="M117" t="n">
        <v>0</v>
      </c>
      <c r="N117" t="n">
        <v>0</v>
      </c>
      <c r="O117" t="n">
        <v>0</v>
      </c>
      <c r="P117" t="n">
        <v>0</v>
      </c>
      <c r="Q117" t="n">
        <v>0</v>
      </c>
      <c r="R117" s="2" t="inlineStr"/>
    </row>
    <row r="118" ht="15" customHeight="1">
      <c r="A118" t="inlineStr">
        <is>
          <t>A 66288-2019</t>
        </is>
      </c>
      <c r="B118" s="1" t="n">
        <v>43808</v>
      </c>
      <c r="C118" s="1" t="n">
        <v>45834</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66822-2019</t>
        </is>
      </c>
      <c r="B119" s="1" t="n">
        <v>43810</v>
      </c>
      <c r="C119" s="1" t="n">
        <v>45834</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67123-2019</t>
        </is>
      </c>
      <c r="B120" s="1" t="n">
        <v>43811</v>
      </c>
      <c r="C120" s="1" t="n">
        <v>45834</v>
      </c>
      <c r="D120" t="inlineStr">
        <is>
          <t>DALARNAS LÄN</t>
        </is>
      </c>
      <c r="E120" t="inlineStr">
        <is>
          <t>LEKSAND</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68808-2019</t>
        </is>
      </c>
      <c r="B121" s="1" t="n">
        <v>43815</v>
      </c>
      <c r="C121" s="1" t="n">
        <v>45834</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1604-2020</t>
        </is>
      </c>
      <c r="B122" s="1" t="n">
        <v>43829</v>
      </c>
      <c r="C122" s="1" t="n">
        <v>45834</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1915-2020</t>
        </is>
      </c>
      <c r="B123" s="1" t="n">
        <v>43837</v>
      </c>
      <c r="C123" s="1" t="n">
        <v>45834</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1778-2020</t>
        </is>
      </c>
      <c r="B124" s="1" t="n">
        <v>43844</v>
      </c>
      <c r="C124" s="1" t="n">
        <v>45834</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2670-2020</t>
        </is>
      </c>
      <c r="B125" s="1" t="n">
        <v>43849</v>
      </c>
      <c r="C125" s="1" t="n">
        <v>45834</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4479-2020</t>
        </is>
      </c>
      <c r="B126" s="1" t="n">
        <v>43850</v>
      </c>
      <c r="C126" s="1" t="n">
        <v>45834</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4004-2020</t>
        </is>
      </c>
      <c r="B127" s="1" t="n">
        <v>43856</v>
      </c>
      <c r="C127" s="1" t="n">
        <v>45834</v>
      </c>
      <c r="D127" t="inlineStr">
        <is>
          <t>DALARNAS LÄN</t>
        </is>
      </c>
      <c r="E127" t="inlineStr">
        <is>
          <t>LEKSAND</t>
        </is>
      </c>
      <c r="G127" t="n">
        <v>6</v>
      </c>
      <c r="H127" t="n">
        <v>0</v>
      </c>
      <c r="I127" t="n">
        <v>0</v>
      </c>
      <c r="J127" t="n">
        <v>0</v>
      </c>
      <c r="K127" t="n">
        <v>0</v>
      </c>
      <c r="L127" t="n">
        <v>0</v>
      </c>
      <c r="M127" t="n">
        <v>0</v>
      </c>
      <c r="N127" t="n">
        <v>0</v>
      </c>
      <c r="O127" t="n">
        <v>0</v>
      </c>
      <c r="P127" t="n">
        <v>0</v>
      </c>
      <c r="Q127" t="n">
        <v>0</v>
      </c>
      <c r="R127" s="2" t="inlineStr"/>
    </row>
    <row r="128" ht="15" customHeight="1">
      <c r="A128" t="inlineStr">
        <is>
          <t>A 6002-2020</t>
        </is>
      </c>
      <c r="B128" s="1" t="n">
        <v>43864</v>
      </c>
      <c r="C128" s="1" t="n">
        <v>45834</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6017-2020</t>
        </is>
      </c>
      <c r="B129" s="1" t="n">
        <v>43864</v>
      </c>
      <c r="C129" s="1" t="n">
        <v>45834</v>
      </c>
      <c r="D129" t="inlineStr">
        <is>
          <t>DALARNAS LÄN</t>
        </is>
      </c>
      <c r="E129" t="inlineStr">
        <is>
          <t>LEKSAND</t>
        </is>
      </c>
      <c r="G129" t="n">
        <v>2.6</v>
      </c>
      <c r="H129" t="n">
        <v>0</v>
      </c>
      <c r="I129" t="n">
        <v>0</v>
      </c>
      <c r="J129" t="n">
        <v>0</v>
      </c>
      <c r="K129" t="n">
        <v>0</v>
      </c>
      <c r="L129" t="n">
        <v>0</v>
      </c>
      <c r="M129" t="n">
        <v>0</v>
      </c>
      <c r="N129" t="n">
        <v>0</v>
      </c>
      <c r="O129" t="n">
        <v>0</v>
      </c>
      <c r="P129" t="n">
        <v>0</v>
      </c>
      <c r="Q129" t="n">
        <v>0</v>
      </c>
      <c r="R129" s="2" t="inlineStr"/>
    </row>
    <row r="130" ht="15" customHeight="1">
      <c r="A130" t="inlineStr">
        <is>
          <t>A 6751-2020</t>
        </is>
      </c>
      <c r="B130" s="1" t="n">
        <v>43866</v>
      </c>
      <c r="C130" s="1" t="n">
        <v>45834</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7351-2020</t>
        </is>
      </c>
      <c r="B131" s="1" t="n">
        <v>43871</v>
      </c>
      <c r="C131" s="1" t="n">
        <v>45834</v>
      </c>
      <c r="D131" t="inlineStr">
        <is>
          <t>DALARNAS LÄN</t>
        </is>
      </c>
      <c r="E131" t="inlineStr">
        <is>
          <t>LEKSAND</t>
        </is>
      </c>
      <c r="F131" t="inlineStr">
        <is>
          <t>Bergvik skog väst AB</t>
        </is>
      </c>
      <c r="G131" t="n">
        <v>5.4</v>
      </c>
      <c r="H131" t="n">
        <v>0</v>
      </c>
      <c r="I131" t="n">
        <v>0</v>
      </c>
      <c r="J131" t="n">
        <v>0</v>
      </c>
      <c r="K131" t="n">
        <v>0</v>
      </c>
      <c r="L131" t="n">
        <v>0</v>
      </c>
      <c r="M131" t="n">
        <v>0</v>
      </c>
      <c r="N131" t="n">
        <v>0</v>
      </c>
      <c r="O131" t="n">
        <v>0</v>
      </c>
      <c r="P131" t="n">
        <v>0</v>
      </c>
      <c r="Q131" t="n">
        <v>0</v>
      </c>
      <c r="R131" s="2" t="inlineStr"/>
    </row>
    <row r="132" ht="15" customHeight="1">
      <c r="A132" t="inlineStr">
        <is>
          <t>A 7868-2020</t>
        </is>
      </c>
      <c r="B132" s="1" t="n">
        <v>43873</v>
      </c>
      <c r="C132" s="1" t="n">
        <v>45834</v>
      </c>
      <c r="D132" t="inlineStr">
        <is>
          <t>DALARNAS LÄN</t>
        </is>
      </c>
      <c r="E132" t="inlineStr">
        <is>
          <t>LEKSAND</t>
        </is>
      </c>
      <c r="G132" t="n">
        <v>1.7</v>
      </c>
      <c r="H132" t="n">
        <v>0</v>
      </c>
      <c r="I132" t="n">
        <v>0</v>
      </c>
      <c r="J132" t="n">
        <v>0</v>
      </c>
      <c r="K132" t="n">
        <v>0</v>
      </c>
      <c r="L132" t="n">
        <v>0</v>
      </c>
      <c r="M132" t="n">
        <v>0</v>
      </c>
      <c r="N132" t="n">
        <v>0</v>
      </c>
      <c r="O132" t="n">
        <v>0</v>
      </c>
      <c r="P132" t="n">
        <v>0</v>
      </c>
      <c r="Q132" t="n">
        <v>0</v>
      </c>
      <c r="R132" s="2" t="inlineStr"/>
    </row>
    <row r="133" ht="15" customHeight="1">
      <c r="A133" t="inlineStr">
        <is>
          <t>A 9710-2020</t>
        </is>
      </c>
      <c r="B133" s="1" t="n">
        <v>43881</v>
      </c>
      <c r="C133" s="1" t="n">
        <v>45834</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11372-2020</t>
        </is>
      </c>
      <c r="B134" s="1" t="n">
        <v>43892</v>
      </c>
      <c r="C134" s="1" t="n">
        <v>45834</v>
      </c>
      <c r="D134" t="inlineStr">
        <is>
          <t>DALARNAS LÄN</t>
        </is>
      </c>
      <c r="E134" t="inlineStr">
        <is>
          <t>LEKSAND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12176-2020</t>
        </is>
      </c>
      <c r="B135" s="1" t="n">
        <v>43895</v>
      </c>
      <c r="C135" s="1" t="n">
        <v>45834</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12247-2020</t>
        </is>
      </c>
      <c r="B136" s="1" t="n">
        <v>43895</v>
      </c>
      <c r="C136" s="1" t="n">
        <v>45834</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13340-2020</t>
        </is>
      </c>
      <c r="B137" s="1" t="n">
        <v>43902</v>
      </c>
      <c r="C137" s="1" t="n">
        <v>45834</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13356-2020</t>
        </is>
      </c>
      <c r="B138" s="1" t="n">
        <v>43902</v>
      </c>
      <c r="C138" s="1" t="n">
        <v>45834</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13352-2020</t>
        </is>
      </c>
      <c r="B139" s="1" t="n">
        <v>43902</v>
      </c>
      <c r="C139" s="1" t="n">
        <v>45834</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15165-2020</t>
        </is>
      </c>
      <c r="B140" s="1" t="n">
        <v>43912</v>
      </c>
      <c r="C140" s="1" t="n">
        <v>45834</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16288-2020</t>
        </is>
      </c>
      <c r="B141" s="1" t="n">
        <v>43917</v>
      </c>
      <c r="C141" s="1" t="n">
        <v>45834</v>
      </c>
      <c r="D141" t="inlineStr">
        <is>
          <t>DALARNAS LÄN</t>
        </is>
      </c>
      <c r="E141" t="inlineStr">
        <is>
          <t>LEKSAND</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18803-2020</t>
        </is>
      </c>
      <c r="B142" s="1" t="n">
        <v>43933</v>
      </c>
      <c r="C142" s="1" t="n">
        <v>45834</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19361-2020</t>
        </is>
      </c>
      <c r="B143" s="1" t="n">
        <v>43938</v>
      </c>
      <c r="C143" s="1" t="n">
        <v>45834</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21141-2020</t>
        </is>
      </c>
      <c r="B144" s="1" t="n">
        <v>43951</v>
      </c>
      <c r="C144" s="1" t="n">
        <v>45834</v>
      </c>
      <c r="D144" t="inlineStr">
        <is>
          <t>DALARNAS LÄN</t>
        </is>
      </c>
      <c r="E144" t="inlineStr">
        <is>
          <t>LEKSAND</t>
        </is>
      </c>
      <c r="F144" t="inlineStr">
        <is>
          <t>Bergvik skog väst AB</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22718-2020</t>
        </is>
      </c>
      <c r="B145" s="1" t="n">
        <v>43964</v>
      </c>
      <c r="C145" s="1" t="n">
        <v>45834</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24207-2020</t>
        </is>
      </c>
      <c r="B146" s="1" t="n">
        <v>43973</v>
      </c>
      <c r="C146" s="1" t="n">
        <v>45834</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25156-2020</t>
        </is>
      </c>
      <c r="B147" s="1" t="n">
        <v>43978</v>
      </c>
      <c r="C147" s="1" t="n">
        <v>45834</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25720-2020</t>
        </is>
      </c>
      <c r="B148" s="1" t="n">
        <v>43984</v>
      </c>
      <c r="C148" s="1" t="n">
        <v>45834</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25989-2020</t>
        </is>
      </c>
      <c r="B149" s="1" t="n">
        <v>43985</v>
      </c>
      <c r="C149" s="1" t="n">
        <v>45834</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26456-2020</t>
        </is>
      </c>
      <c r="B150" s="1" t="n">
        <v>43986</v>
      </c>
      <c r="C150" s="1" t="n">
        <v>45834</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26560-2020</t>
        </is>
      </c>
      <c r="B151" s="1" t="n">
        <v>43987</v>
      </c>
      <c r="C151" s="1" t="n">
        <v>45834</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28161-2020</t>
        </is>
      </c>
      <c r="B152" s="1" t="n">
        <v>43997</v>
      </c>
      <c r="C152" s="1" t="n">
        <v>45834</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28796-2020</t>
        </is>
      </c>
      <c r="B153" s="1" t="n">
        <v>44000</v>
      </c>
      <c r="C153" s="1" t="n">
        <v>45834</v>
      </c>
      <c r="D153" t="inlineStr">
        <is>
          <t>DALARNAS LÄN</t>
        </is>
      </c>
      <c r="E153" t="inlineStr">
        <is>
          <t>LEKSAND</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29089-2020</t>
        </is>
      </c>
      <c r="B154" s="1" t="n">
        <v>44002</v>
      </c>
      <c r="C154" s="1" t="n">
        <v>45834</v>
      </c>
      <c r="D154" t="inlineStr">
        <is>
          <t>DALARNAS LÄN</t>
        </is>
      </c>
      <c r="E154" t="inlineStr">
        <is>
          <t>LEKSAND</t>
        </is>
      </c>
      <c r="G154" t="n">
        <v>1.8</v>
      </c>
      <c r="H154" t="n">
        <v>0</v>
      </c>
      <c r="I154" t="n">
        <v>0</v>
      </c>
      <c r="J154" t="n">
        <v>0</v>
      </c>
      <c r="K154" t="n">
        <v>0</v>
      </c>
      <c r="L154" t="n">
        <v>0</v>
      </c>
      <c r="M154" t="n">
        <v>0</v>
      </c>
      <c r="N154" t="n">
        <v>0</v>
      </c>
      <c r="O154" t="n">
        <v>0</v>
      </c>
      <c r="P154" t="n">
        <v>0</v>
      </c>
      <c r="Q154" t="n">
        <v>0</v>
      </c>
      <c r="R154" s="2" t="inlineStr"/>
    </row>
    <row r="155" ht="15" customHeight="1">
      <c r="A155" t="inlineStr">
        <is>
          <t>A 29088-2020</t>
        </is>
      </c>
      <c r="B155" s="1" t="n">
        <v>44002</v>
      </c>
      <c r="C155" s="1" t="n">
        <v>45834</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29672-2020</t>
        </is>
      </c>
      <c r="B156" s="1" t="n">
        <v>44005</v>
      </c>
      <c r="C156" s="1" t="n">
        <v>45834</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31629-2020</t>
        </is>
      </c>
      <c r="B157" s="1" t="n">
        <v>44013</v>
      </c>
      <c r="C157" s="1" t="n">
        <v>45834</v>
      </c>
      <c r="D157" t="inlineStr">
        <is>
          <t>DALARNAS LÄN</t>
        </is>
      </c>
      <c r="E157" t="inlineStr">
        <is>
          <t>LEKSAND</t>
        </is>
      </c>
      <c r="G157" t="n">
        <v>5.4</v>
      </c>
      <c r="H157" t="n">
        <v>0</v>
      </c>
      <c r="I157" t="n">
        <v>0</v>
      </c>
      <c r="J157" t="n">
        <v>0</v>
      </c>
      <c r="K157" t="n">
        <v>0</v>
      </c>
      <c r="L157" t="n">
        <v>0</v>
      </c>
      <c r="M157" t="n">
        <v>0</v>
      </c>
      <c r="N157" t="n">
        <v>0</v>
      </c>
      <c r="O157" t="n">
        <v>0</v>
      </c>
      <c r="P157" t="n">
        <v>0</v>
      </c>
      <c r="Q157" t="n">
        <v>0</v>
      </c>
      <c r="R157" s="2" t="inlineStr"/>
    </row>
    <row r="158" ht="15" customHeight="1">
      <c r="A158" t="inlineStr">
        <is>
          <t>A 37568-2020</t>
        </is>
      </c>
      <c r="B158" s="1" t="n">
        <v>44056</v>
      </c>
      <c r="C158" s="1" t="n">
        <v>45834</v>
      </c>
      <c r="D158" t="inlineStr">
        <is>
          <t>DALARNAS LÄN</t>
        </is>
      </c>
      <c r="E158" t="inlineStr">
        <is>
          <t>LEKSAND</t>
        </is>
      </c>
      <c r="G158" t="n">
        <v>3.4</v>
      </c>
      <c r="H158" t="n">
        <v>0</v>
      </c>
      <c r="I158" t="n">
        <v>0</v>
      </c>
      <c r="J158" t="n">
        <v>0</v>
      </c>
      <c r="K158" t="n">
        <v>0</v>
      </c>
      <c r="L158" t="n">
        <v>0</v>
      </c>
      <c r="M158" t="n">
        <v>0</v>
      </c>
      <c r="N158" t="n">
        <v>0</v>
      </c>
      <c r="O158" t="n">
        <v>0</v>
      </c>
      <c r="P158" t="n">
        <v>0</v>
      </c>
      <c r="Q158" t="n">
        <v>0</v>
      </c>
      <c r="R158" s="2" t="inlineStr"/>
    </row>
    <row r="159" ht="15" customHeight="1">
      <c r="A159" t="inlineStr">
        <is>
          <t>A 41093-2020</t>
        </is>
      </c>
      <c r="B159" s="1" t="n">
        <v>44071</v>
      </c>
      <c r="C159" s="1" t="n">
        <v>45834</v>
      </c>
      <c r="D159" t="inlineStr">
        <is>
          <t>DALARNAS LÄN</t>
        </is>
      </c>
      <c r="E159" t="inlineStr">
        <is>
          <t>LEKSAND</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41200-2020</t>
        </is>
      </c>
      <c r="B160" s="1" t="n">
        <v>44071</v>
      </c>
      <c r="C160" s="1" t="n">
        <v>45834</v>
      </c>
      <c r="D160" t="inlineStr">
        <is>
          <t>DALARNAS LÄN</t>
        </is>
      </c>
      <c r="E160" t="inlineStr">
        <is>
          <t>LEKSAND</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41432-2020</t>
        </is>
      </c>
      <c r="B161" s="1" t="n">
        <v>44073</v>
      </c>
      <c r="C161" s="1" t="n">
        <v>45834</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42890-2020</t>
        </is>
      </c>
      <c r="B162" s="1" t="n">
        <v>44078</v>
      </c>
      <c r="C162" s="1" t="n">
        <v>45834</v>
      </c>
      <c r="D162" t="inlineStr">
        <is>
          <t>DALARNAS LÄN</t>
        </is>
      </c>
      <c r="E162" t="inlineStr">
        <is>
          <t>LEKSAND</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44665-2020</t>
        </is>
      </c>
      <c r="B163" s="1" t="n">
        <v>44085</v>
      </c>
      <c r="C163" s="1" t="n">
        <v>45834</v>
      </c>
      <c r="D163" t="inlineStr">
        <is>
          <t>DALARNAS LÄN</t>
        </is>
      </c>
      <c r="E163" t="inlineStr">
        <is>
          <t>LEKSAND</t>
        </is>
      </c>
      <c r="F163" t="inlineStr">
        <is>
          <t>Bergvik skog väst AB</t>
        </is>
      </c>
      <c r="G163" t="n">
        <v>5.1</v>
      </c>
      <c r="H163" t="n">
        <v>0</v>
      </c>
      <c r="I163" t="n">
        <v>0</v>
      </c>
      <c r="J163" t="n">
        <v>0</v>
      </c>
      <c r="K163" t="n">
        <v>0</v>
      </c>
      <c r="L163" t="n">
        <v>0</v>
      </c>
      <c r="M163" t="n">
        <v>0</v>
      </c>
      <c r="N163" t="n">
        <v>0</v>
      </c>
      <c r="O163" t="n">
        <v>0</v>
      </c>
      <c r="P163" t="n">
        <v>0</v>
      </c>
      <c r="Q163" t="n">
        <v>0</v>
      </c>
      <c r="R163" s="2" t="inlineStr"/>
    </row>
    <row r="164" ht="15" customHeight="1">
      <c r="A164" t="inlineStr">
        <is>
          <t>A 45995-2020</t>
        </is>
      </c>
      <c r="B164" s="1" t="n">
        <v>44088</v>
      </c>
      <c r="C164" s="1" t="n">
        <v>45834</v>
      </c>
      <c r="D164" t="inlineStr">
        <is>
          <t>DALARNAS LÄN</t>
        </is>
      </c>
      <c r="E164" t="inlineStr">
        <is>
          <t>LEKSAND</t>
        </is>
      </c>
      <c r="G164" t="n">
        <v>7.8</v>
      </c>
      <c r="H164" t="n">
        <v>0</v>
      </c>
      <c r="I164" t="n">
        <v>0</v>
      </c>
      <c r="J164" t="n">
        <v>0</v>
      </c>
      <c r="K164" t="n">
        <v>0</v>
      </c>
      <c r="L164" t="n">
        <v>0</v>
      </c>
      <c r="M164" t="n">
        <v>0</v>
      </c>
      <c r="N164" t="n">
        <v>0</v>
      </c>
      <c r="O164" t="n">
        <v>0</v>
      </c>
      <c r="P164" t="n">
        <v>0</v>
      </c>
      <c r="Q164" t="n">
        <v>0</v>
      </c>
      <c r="R164" s="2" t="inlineStr"/>
    </row>
    <row r="165" ht="15" customHeight="1">
      <c r="A165" t="inlineStr">
        <is>
          <t>A 45950-2020</t>
        </is>
      </c>
      <c r="B165" s="1" t="n">
        <v>44088</v>
      </c>
      <c r="C165" s="1" t="n">
        <v>45834</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45991-2020</t>
        </is>
      </c>
      <c r="B166" s="1" t="n">
        <v>44088</v>
      </c>
      <c r="C166" s="1" t="n">
        <v>45834</v>
      </c>
      <c r="D166" t="inlineStr">
        <is>
          <t>DALARNAS LÄN</t>
        </is>
      </c>
      <c r="E166" t="inlineStr">
        <is>
          <t>LEKSAND</t>
        </is>
      </c>
      <c r="G166" t="n">
        <v>9.9</v>
      </c>
      <c r="H166" t="n">
        <v>0</v>
      </c>
      <c r="I166" t="n">
        <v>0</v>
      </c>
      <c r="J166" t="n">
        <v>0</v>
      </c>
      <c r="K166" t="n">
        <v>0</v>
      </c>
      <c r="L166" t="n">
        <v>0</v>
      </c>
      <c r="M166" t="n">
        <v>0</v>
      </c>
      <c r="N166" t="n">
        <v>0</v>
      </c>
      <c r="O166" t="n">
        <v>0</v>
      </c>
      <c r="P166" t="n">
        <v>0</v>
      </c>
      <c r="Q166" t="n">
        <v>0</v>
      </c>
      <c r="R166" s="2" t="inlineStr"/>
    </row>
    <row r="167" ht="15" customHeight="1">
      <c r="A167" t="inlineStr">
        <is>
          <t>A 46854-2020</t>
        </is>
      </c>
      <c r="B167" s="1" t="n">
        <v>44090</v>
      </c>
      <c r="C167" s="1" t="n">
        <v>45834</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47004-2020</t>
        </is>
      </c>
      <c r="B168" s="1" t="n">
        <v>44091</v>
      </c>
      <c r="C168" s="1" t="n">
        <v>45834</v>
      </c>
      <c r="D168" t="inlineStr">
        <is>
          <t>DALARNAS LÄN</t>
        </is>
      </c>
      <c r="E168" t="inlineStr">
        <is>
          <t>LEKSAND</t>
        </is>
      </c>
      <c r="G168" t="n">
        <v>3.2</v>
      </c>
      <c r="H168" t="n">
        <v>0</v>
      </c>
      <c r="I168" t="n">
        <v>0</v>
      </c>
      <c r="J168" t="n">
        <v>0</v>
      </c>
      <c r="K168" t="n">
        <v>0</v>
      </c>
      <c r="L168" t="n">
        <v>0</v>
      </c>
      <c r="M168" t="n">
        <v>0</v>
      </c>
      <c r="N168" t="n">
        <v>0</v>
      </c>
      <c r="O168" t="n">
        <v>0</v>
      </c>
      <c r="P168" t="n">
        <v>0</v>
      </c>
      <c r="Q168" t="n">
        <v>0</v>
      </c>
      <c r="R168" s="2" t="inlineStr"/>
    </row>
    <row r="169" ht="15" customHeight="1">
      <c r="A169" t="inlineStr">
        <is>
          <t>A 47069-2020</t>
        </is>
      </c>
      <c r="B169" s="1" t="n">
        <v>44096</v>
      </c>
      <c r="C169" s="1" t="n">
        <v>45834</v>
      </c>
      <c r="D169" t="inlineStr">
        <is>
          <t>DALARNAS LÄN</t>
        </is>
      </c>
      <c r="E169" t="inlineStr">
        <is>
          <t>LEKSAND</t>
        </is>
      </c>
      <c r="G169" t="n">
        <v>5.5</v>
      </c>
      <c r="H169" t="n">
        <v>0</v>
      </c>
      <c r="I169" t="n">
        <v>0</v>
      </c>
      <c r="J169" t="n">
        <v>0</v>
      </c>
      <c r="K169" t="n">
        <v>0</v>
      </c>
      <c r="L169" t="n">
        <v>0</v>
      </c>
      <c r="M169" t="n">
        <v>0</v>
      </c>
      <c r="N169" t="n">
        <v>0</v>
      </c>
      <c r="O169" t="n">
        <v>0</v>
      </c>
      <c r="P169" t="n">
        <v>0</v>
      </c>
      <c r="Q169" t="n">
        <v>0</v>
      </c>
      <c r="R169" s="2" t="inlineStr"/>
    </row>
    <row r="170" ht="15" customHeight="1">
      <c r="A170" t="inlineStr">
        <is>
          <t>A 50123-2020</t>
        </is>
      </c>
      <c r="B170" s="1" t="n">
        <v>44104</v>
      </c>
      <c r="C170" s="1" t="n">
        <v>45834</v>
      </c>
      <c r="D170" t="inlineStr">
        <is>
          <t>DALARNAS LÄN</t>
        </is>
      </c>
      <c r="E170" t="inlineStr">
        <is>
          <t>LEKSAND</t>
        </is>
      </c>
      <c r="F170" t="inlineStr">
        <is>
          <t>Övriga Aktiebolag</t>
        </is>
      </c>
      <c r="G170" t="n">
        <v>2.7</v>
      </c>
      <c r="H170" t="n">
        <v>0</v>
      </c>
      <c r="I170" t="n">
        <v>0</v>
      </c>
      <c r="J170" t="n">
        <v>0</v>
      </c>
      <c r="K170" t="n">
        <v>0</v>
      </c>
      <c r="L170" t="n">
        <v>0</v>
      </c>
      <c r="M170" t="n">
        <v>0</v>
      </c>
      <c r="N170" t="n">
        <v>0</v>
      </c>
      <c r="O170" t="n">
        <v>0</v>
      </c>
      <c r="P170" t="n">
        <v>0</v>
      </c>
      <c r="Q170" t="n">
        <v>0</v>
      </c>
      <c r="R170" s="2" t="inlineStr"/>
    </row>
    <row r="171" ht="15" customHeight="1">
      <c r="A171" t="inlineStr">
        <is>
          <t>A 50102-2020</t>
        </is>
      </c>
      <c r="B171" s="1" t="n">
        <v>44104</v>
      </c>
      <c r="C171" s="1" t="n">
        <v>45834</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60920-2020</t>
        </is>
      </c>
      <c r="B172" s="1" t="n">
        <v>44153</v>
      </c>
      <c r="C172" s="1" t="n">
        <v>45834</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60963-2020</t>
        </is>
      </c>
      <c r="B173" s="1" t="n">
        <v>44154</v>
      </c>
      <c r="C173" s="1" t="n">
        <v>45834</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62118-2020</t>
        </is>
      </c>
      <c r="B174" s="1" t="n">
        <v>44159</v>
      </c>
      <c r="C174" s="1" t="n">
        <v>45834</v>
      </c>
      <c r="D174" t="inlineStr">
        <is>
          <t>DALARNAS LÄN</t>
        </is>
      </c>
      <c r="E174" t="inlineStr">
        <is>
          <t>LEKSAND</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63481-2020</t>
        </is>
      </c>
      <c r="B175" s="1" t="n">
        <v>44161</v>
      </c>
      <c r="C175" s="1" t="n">
        <v>45834</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64109-2020</t>
        </is>
      </c>
      <c r="B176" s="1" t="n">
        <v>44167</v>
      </c>
      <c r="C176" s="1" t="n">
        <v>45834</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64449-2020</t>
        </is>
      </c>
      <c r="B177" s="1" t="n">
        <v>44168</v>
      </c>
      <c r="C177" s="1" t="n">
        <v>45834</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64876-2020</t>
        </is>
      </c>
      <c r="B178" s="1" t="n">
        <v>44171</v>
      </c>
      <c r="C178" s="1" t="n">
        <v>45834</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65058-2020</t>
        </is>
      </c>
      <c r="B179" s="1" t="n">
        <v>44172</v>
      </c>
      <c r="C179" s="1" t="n">
        <v>45834</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66169-2020</t>
        </is>
      </c>
      <c r="B180" s="1" t="n">
        <v>44174</v>
      </c>
      <c r="C180" s="1" t="n">
        <v>45834</v>
      </c>
      <c r="D180" t="inlineStr">
        <is>
          <t>DALARNAS LÄN</t>
        </is>
      </c>
      <c r="E180" t="inlineStr">
        <is>
          <t>LEKSAND</t>
        </is>
      </c>
      <c r="G180" t="n">
        <v>5.3</v>
      </c>
      <c r="H180" t="n">
        <v>0</v>
      </c>
      <c r="I180" t="n">
        <v>0</v>
      </c>
      <c r="J180" t="n">
        <v>0</v>
      </c>
      <c r="K180" t="n">
        <v>0</v>
      </c>
      <c r="L180" t="n">
        <v>0</v>
      </c>
      <c r="M180" t="n">
        <v>0</v>
      </c>
      <c r="N180" t="n">
        <v>0</v>
      </c>
      <c r="O180" t="n">
        <v>0</v>
      </c>
      <c r="P180" t="n">
        <v>0</v>
      </c>
      <c r="Q180" t="n">
        <v>0</v>
      </c>
      <c r="R180" s="2" t="inlineStr"/>
    </row>
    <row r="181" ht="15" customHeight="1">
      <c r="A181" t="inlineStr">
        <is>
          <t>A 67100-2020</t>
        </is>
      </c>
      <c r="B181" s="1" t="n">
        <v>44179</v>
      </c>
      <c r="C181" s="1" t="n">
        <v>45834</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67307-2020</t>
        </is>
      </c>
      <c r="B182" s="1" t="n">
        <v>44181</v>
      </c>
      <c r="C182" s="1" t="n">
        <v>45834</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68058-2020</t>
        </is>
      </c>
      <c r="B183" s="1" t="n">
        <v>44183</v>
      </c>
      <c r="C183" s="1" t="n">
        <v>45834</v>
      </c>
      <c r="D183" t="inlineStr">
        <is>
          <t>DALARNAS LÄN</t>
        </is>
      </c>
      <c r="E183" t="inlineStr">
        <is>
          <t>LEKSAND</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776-2021</t>
        </is>
      </c>
      <c r="B184" s="1" t="n">
        <v>44203</v>
      </c>
      <c r="C184" s="1" t="n">
        <v>45834</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1078-2021</t>
        </is>
      </c>
      <c r="B185" s="1" t="n">
        <v>44207</v>
      </c>
      <c r="C185" s="1" t="n">
        <v>45834</v>
      </c>
      <c r="D185" t="inlineStr">
        <is>
          <t>DALARNAS LÄN</t>
        </is>
      </c>
      <c r="E185" t="inlineStr">
        <is>
          <t>LEKSAND</t>
        </is>
      </c>
      <c r="G185" t="n">
        <v>4.9</v>
      </c>
      <c r="H185" t="n">
        <v>0</v>
      </c>
      <c r="I185" t="n">
        <v>0</v>
      </c>
      <c r="J185" t="n">
        <v>0</v>
      </c>
      <c r="K185" t="n">
        <v>0</v>
      </c>
      <c r="L185" t="n">
        <v>0</v>
      </c>
      <c r="M185" t="n">
        <v>0</v>
      </c>
      <c r="N185" t="n">
        <v>0</v>
      </c>
      <c r="O185" t="n">
        <v>0</v>
      </c>
      <c r="P185" t="n">
        <v>0</v>
      </c>
      <c r="Q185" t="n">
        <v>0</v>
      </c>
      <c r="R185" s="2" t="inlineStr"/>
    </row>
    <row r="186" ht="15" customHeight="1">
      <c r="A186" t="inlineStr">
        <is>
          <t>A 2311-2021</t>
        </is>
      </c>
      <c r="B186" s="1" t="n">
        <v>44213</v>
      </c>
      <c r="C186" s="1" t="n">
        <v>45834</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9131-2021</t>
        </is>
      </c>
      <c r="B187" s="1" t="n">
        <v>44249</v>
      </c>
      <c r="C187" s="1" t="n">
        <v>45834</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9133-2021</t>
        </is>
      </c>
      <c r="B188" s="1" t="n">
        <v>44249</v>
      </c>
      <c r="C188" s="1" t="n">
        <v>45834</v>
      </c>
      <c r="D188" t="inlineStr">
        <is>
          <t>DALARNAS LÄN</t>
        </is>
      </c>
      <c r="E188" t="inlineStr">
        <is>
          <t>LEKSAND</t>
        </is>
      </c>
      <c r="G188" t="n">
        <v>2.5</v>
      </c>
      <c r="H188" t="n">
        <v>0</v>
      </c>
      <c r="I188" t="n">
        <v>0</v>
      </c>
      <c r="J188" t="n">
        <v>0</v>
      </c>
      <c r="K188" t="n">
        <v>0</v>
      </c>
      <c r="L188" t="n">
        <v>0</v>
      </c>
      <c r="M188" t="n">
        <v>0</v>
      </c>
      <c r="N188" t="n">
        <v>0</v>
      </c>
      <c r="O188" t="n">
        <v>0</v>
      </c>
      <c r="P188" t="n">
        <v>0</v>
      </c>
      <c r="Q188" t="n">
        <v>0</v>
      </c>
      <c r="R188" s="2" t="inlineStr"/>
    </row>
    <row r="189" ht="15" customHeight="1">
      <c r="A189" t="inlineStr">
        <is>
          <t>A 13705-2021</t>
        </is>
      </c>
      <c r="B189" s="1" t="n">
        <v>44274</v>
      </c>
      <c r="C189" s="1" t="n">
        <v>45834</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16231-2021</t>
        </is>
      </c>
      <c r="B190" s="1" t="n">
        <v>44292</v>
      </c>
      <c r="C190" s="1" t="n">
        <v>45834</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17615-2021</t>
        </is>
      </c>
      <c r="B191" s="1" t="n">
        <v>44299</v>
      </c>
      <c r="C191" s="1" t="n">
        <v>45834</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18267-2021</t>
        </is>
      </c>
      <c r="B192" s="1" t="n">
        <v>44305</v>
      </c>
      <c r="C192" s="1" t="n">
        <v>45834</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18706-2021</t>
        </is>
      </c>
      <c r="B193" s="1" t="n">
        <v>44307</v>
      </c>
      <c r="C193" s="1" t="n">
        <v>45834</v>
      </c>
      <c r="D193" t="inlineStr">
        <is>
          <t>DALARNAS LÄN</t>
        </is>
      </c>
      <c r="E193" t="inlineStr">
        <is>
          <t>LEKSAND</t>
        </is>
      </c>
      <c r="G193" t="n">
        <v>3.4</v>
      </c>
      <c r="H193" t="n">
        <v>0</v>
      </c>
      <c r="I193" t="n">
        <v>0</v>
      </c>
      <c r="J193" t="n">
        <v>0</v>
      </c>
      <c r="K193" t="n">
        <v>0</v>
      </c>
      <c r="L193" t="n">
        <v>0</v>
      </c>
      <c r="M193" t="n">
        <v>0</v>
      </c>
      <c r="N193" t="n">
        <v>0</v>
      </c>
      <c r="O193" t="n">
        <v>0</v>
      </c>
      <c r="P193" t="n">
        <v>0</v>
      </c>
      <c r="Q193" t="n">
        <v>0</v>
      </c>
      <c r="R193" s="2" t="inlineStr"/>
    </row>
    <row r="194" ht="15" customHeight="1">
      <c r="A194" t="inlineStr">
        <is>
          <t>A 19677-2021</t>
        </is>
      </c>
      <c r="B194" s="1" t="n">
        <v>44312</v>
      </c>
      <c r="C194" s="1" t="n">
        <v>45834</v>
      </c>
      <c r="D194" t="inlineStr">
        <is>
          <t>DALARNAS LÄN</t>
        </is>
      </c>
      <c r="E194" t="inlineStr">
        <is>
          <t>LEKSAND</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21132-2021</t>
        </is>
      </c>
      <c r="B195" s="1" t="n">
        <v>44319</v>
      </c>
      <c r="C195" s="1" t="n">
        <v>45834</v>
      </c>
      <c r="D195" t="inlineStr">
        <is>
          <t>DALARNAS LÄN</t>
        </is>
      </c>
      <c r="E195" t="inlineStr">
        <is>
          <t>LEKSAND</t>
        </is>
      </c>
      <c r="G195" t="n">
        <v>6.8</v>
      </c>
      <c r="H195" t="n">
        <v>0</v>
      </c>
      <c r="I195" t="n">
        <v>0</v>
      </c>
      <c r="J195" t="n">
        <v>0</v>
      </c>
      <c r="K195" t="n">
        <v>0</v>
      </c>
      <c r="L195" t="n">
        <v>0</v>
      </c>
      <c r="M195" t="n">
        <v>0</v>
      </c>
      <c r="N195" t="n">
        <v>0</v>
      </c>
      <c r="O195" t="n">
        <v>0</v>
      </c>
      <c r="P195" t="n">
        <v>0</v>
      </c>
      <c r="Q195" t="n">
        <v>0</v>
      </c>
      <c r="R195" s="2" t="inlineStr"/>
    </row>
    <row r="196" ht="15" customHeight="1">
      <c r="A196" t="inlineStr">
        <is>
          <t>A 21968-2021</t>
        </is>
      </c>
      <c r="B196" s="1" t="n">
        <v>44323</v>
      </c>
      <c r="C196" s="1" t="n">
        <v>45834</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21969-2021</t>
        </is>
      </c>
      <c r="B197" s="1" t="n">
        <v>44323</v>
      </c>
      <c r="C197" s="1" t="n">
        <v>45834</v>
      </c>
      <c r="D197" t="inlineStr">
        <is>
          <t>DALARNAS LÄN</t>
        </is>
      </c>
      <c r="E197" t="inlineStr">
        <is>
          <t>LEKSAND</t>
        </is>
      </c>
      <c r="G197" t="n">
        <v>3.8</v>
      </c>
      <c r="H197" t="n">
        <v>0</v>
      </c>
      <c r="I197" t="n">
        <v>0</v>
      </c>
      <c r="J197" t="n">
        <v>0</v>
      </c>
      <c r="K197" t="n">
        <v>0</v>
      </c>
      <c r="L197" t="n">
        <v>0</v>
      </c>
      <c r="M197" t="n">
        <v>0</v>
      </c>
      <c r="N197" t="n">
        <v>0</v>
      </c>
      <c r="O197" t="n">
        <v>0</v>
      </c>
      <c r="P197" t="n">
        <v>0</v>
      </c>
      <c r="Q197" t="n">
        <v>0</v>
      </c>
      <c r="R197" s="2" t="inlineStr"/>
    </row>
    <row r="198" ht="15" customHeight="1">
      <c r="A198" t="inlineStr">
        <is>
          <t>A 21965-2021</t>
        </is>
      </c>
      <c r="B198" s="1" t="n">
        <v>44323</v>
      </c>
      <c r="C198" s="1" t="n">
        <v>45834</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22431-2021</t>
        </is>
      </c>
      <c r="B199" s="1" t="n">
        <v>44326</v>
      </c>
      <c r="C199" s="1" t="n">
        <v>45834</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22684-2021</t>
        </is>
      </c>
      <c r="B200" s="1" t="n">
        <v>44327</v>
      </c>
      <c r="C200" s="1" t="n">
        <v>45834</v>
      </c>
      <c r="D200" t="inlineStr">
        <is>
          <t>DALARNAS LÄN</t>
        </is>
      </c>
      <c r="E200" t="inlineStr">
        <is>
          <t>LEKSAND</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22999-2021</t>
        </is>
      </c>
      <c r="B201" s="1" t="n">
        <v>44328</v>
      </c>
      <c r="C201" s="1" t="n">
        <v>45834</v>
      </c>
      <c r="D201" t="inlineStr">
        <is>
          <t>DALARNAS LÄN</t>
        </is>
      </c>
      <c r="E201" t="inlineStr">
        <is>
          <t>LEKSAND</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23824-2021</t>
        </is>
      </c>
      <c r="B202" s="1" t="n">
        <v>44335</v>
      </c>
      <c r="C202" s="1" t="n">
        <v>45834</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45834</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24479-2021</t>
        </is>
      </c>
      <c r="B204" s="1" t="n">
        <v>44337</v>
      </c>
      <c r="C204" s="1" t="n">
        <v>45834</v>
      </c>
      <c r="D204" t="inlineStr">
        <is>
          <t>DALARNAS LÄN</t>
        </is>
      </c>
      <c r="E204" t="inlineStr">
        <is>
          <t>LEKSAND</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26738-2021</t>
        </is>
      </c>
      <c r="B205" s="1" t="n">
        <v>44349</v>
      </c>
      <c r="C205" s="1" t="n">
        <v>45834</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27154-2021</t>
        </is>
      </c>
      <c r="B206" s="1" t="n">
        <v>44350</v>
      </c>
      <c r="C206" s="1" t="n">
        <v>45834</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45834</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32152-2021</t>
        </is>
      </c>
      <c r="B208" s="1" t="n">
        <v>44371</v>
      </c>
      <c r="C208" s="1" t="n">
        <v>45834</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32635-2021</t>
        </is>
      </c>
      <c r="B209" s="1" t="n">
        <v>44374</v>
      </c>
      <c r="C209" s="1" t="n">
        <v>45834</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33072-2021</t>
        </is>
      </c>
      <c r="B210" s="1" t="n">
        <v>44375</v>
      </c>
      <c r="C210" s="1" t="n">
        <v>45834</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33170-2021</t>
        </is>
      </c>
      <c r="B211" s="1" t="n">
        <v>44376</v>
      </c>
      <c r="C211" s="1" t="n">
        <v>45834</v>
      </c>
      <c r="D211" t="inlineStr">
        <is>
          <t>DALARNAS LÄN</t>
        </is>
      </c>
      <c r="E211" t="inlineStr">
        <is>
          <t>LEKSAND</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34869-2021</t>
        </is>
      </c>
      <c r="B212" s="1" t="n">
        <v>44383</v>
      </c>
      <c r="C212" s="1" t="n">
        <v>45834</v>
      </c>
      <c r="D212" t="inlineStr">
        <is>
          <t>DALARNAS LÄN</t>
        </is>
      </c>
      <c r="E212" t="inlineStr">
        <is>
          <t>LEKSAND</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34867-2021</t>
        </is>
      </c>
      <c r="B213" s="1" t="n">
        <v>44383</v>
      </c>
      <c r="C213" s="1" t="n">
        <v>45834</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34911-2021</t>
        </is>
      </c>
      <c r="B214" s="1" t="n">
        <v>44383</v>
      </c>
      <c r="C214" s="1" t="n">
        <v>45834</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36438-2021</t>
        </is>
      </c>
      <c r="B215" s="1" t="n">
        <v>44390</v>
      </c>
      <c r="C215" s="1" t="n">
        <v>45834</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36956-2021</t>
        </is>
      </c>
      <c r="B216" s="1" t="n">
        <v>44393</v>
      </c>
      <c r="C216" s="1" t="n">
        <v>45834</v>
      </c>
      <c r="D216" t="inlineStr">
        <is>
          <t>DALARNAS LÄN</t>
        </is>
      </c>
      <c r="E216" t="inlineStr">
        <is>
          <t>LEKSAND</t>
        </is>
      </c>
      <c r="G216" t="n">
        <v>4.1</v>
      </c>
      <c r="H216" t="n">
        <v>0</v>
      </c>
      <c r="I216" t="n">
        <v>0</v>
      </c>
      <c r="J216" t="n">
        <v>0</v>
      </c>
      <c r="K216" t="n">
        <v>0</v>
      </c>
      <c r="L216" t="n">
        <v>0</v>
      </c>
      <c r="M216" t="n">
        <v>0</v>
      </c>
      <c r="N216" t="n">
        <v>0</v>
      </c>
      <c r="O216" t="n">
        <v>0</v>
      </c>
      <c r="P216" t="n">
        <v>0</v>
      </c>
      <c r="Q216" t="n">
        <v>0</v>
      </c>
      <c r="R216" s="2" t="inlineStr"/>
    </row>
    <row r="217" ht="15" customHeight="1">
      <c r="A217" t="inlineStr">
        <is>
          <t>A 37073-2021</t>
        </is>
      </c>
      <c r="B217" s="1" t="n">
        <v>44394</v>
      </c>
      <c r="C217" s="1" t="n">
        <v>45834</v>
      </c>
      <c r="D217" t="inlineStr">
        <is>
          <t>DALARNAS LÄN</t>
        </is>
      </c>
      <c r="E217" t="inlineStr">
        <is>
          <t>LEKSAND</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37283-2021</t>
        </is>
      </c>
      <c r="B218" s="1" t="n">
        <v>44397</v>
      </c>
      <c r="C218" s="1" t="n">
        <v>45834</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37531-2021</t>
        </is>
      </c>
      <c r="B219" s="1" t="n">
        <v>44399</v>
      </c>
      <c r="C219" s="1" t="n">
        <v>45834</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38192-2021</t>
        </is>
      </c>
      <c r="B220" s="1" t="n">
        <v>44405</v>
      </c>
      <c r="C220" s="1" t="n">
        <v>45834</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38619-2021</t>
        </is>
      </c>
      <c r="B221" s="1" t="n">
        <v>44409</v>
      </c>
      <c r="C221" s="1" t="n">
        <v>45834</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39203-2021</t>
        </is>
      </c>
      <c r="B222" s="1" t="n">
        <v>44413</v>
      </c>
      <c r="C222" s="1" t="n">
        <v>45834</v>
      </c>
      <c r="D222" t="inlineStr">
        <is>
          <t>DALARNAS LÄN</t>
        </is>
      </c>
      <c r="E222" t="inlineStr">
        <is>
          <t>LEKSAND</t>
        </is>
      </c>
      <c r="G222" t="n">
        <v>5</v>
      </c>
      <c r="H222" t="n">
        <v>0</v>
      </c>
      <c r="I222" t="n">
        <v>0</v>
      </c>
      <c r="J222" t="n">
        <v>0</v>
      </c>
      <c r="K222" t="n">
        <v>0</v>
      </c>
      <c r="L222" t="n">
        <v>0</v>
      </c>
      <c r="M222" t="n">
        <v>0</v>
      </c>
      <c r="N222" t="n">
        <v>0</v>
      </c>
      <c r="O222" t="n">
        <v>0</v>
      </c>
      <c r="P222" t="n">
        <v>0</v>
      </c>
      <c r="Q222" t="n">
        <v>0</v>
      </c>
      <c r="R222" s="2" t="inlineStr"/>
    </row>
    <row r="223" ht="15" customHeight="1">
      <c r="A223" t="inlineStr">
        <is>
          <t>A 40584-2021</t>
        </is>
      </c>
      <c r="B223" s="1" t="n">
        <v>44420</v>
      </c>
      <c r="C223" s="1" t="n">
        <v>45834</v>
      </c>
      <c r="D223" t="inlineStr">
        <is>
          <t>DALARNAS LÄN</t>
        </is>
      </c>
      <c r="E223" t="inlineStr">
        <is>
          <t>LEKSAND</t>
        </is>
      </c>
      <c r="G223" t="n">
        <v>6</v>
      </c>
      <c r="H223" t="n">
        <v>0</v>
      </c>
      <c r="I223" t="n">
        <v>0</v>
      </c>
      <c r="J223" t="n">
        <v>0</v>
      </c>
      <c r="K223" t="n">
        <v>0</v>
      </c>
      <c r="L223" t="n">
        <v>0</v>
      </c>
      <c r="M223" t="n">
        <v>0</v>
      </c>
      <c r="N223" t="n">
        <v>0</v>
      </c>
      <c r="O223" t="n">
        <v>0</v>
      </c>
      <c r="P223" t="n">
        <v>0</v>
      </c>
      <c r="Q223" t="n">
        <v>0</v>
      </c>
      <c r="R223" s="2" t="inlineStr"/>
    </row>
    <row r="224" ht="15" customHeight="1">
      <c r="A224" t="inlineStr">
        <is>
          <t>A 42952-2021</t>
        </is>
      </c>
      <c r="B224" s="1" t="n">
        <v>44431</v>
      </c>
      <c r="C224" s="1" t="n">
        <v>45834</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43410-2021</t>
        </is>
      </c>
      <c r="B225" s="1" t="n">
        <v>44432</v>
      </c>
      <c r="C225" s="1" t="n">
        <v>45834</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44922-2021</t>
        </is>
      </c>
      <c r="B226" s="1" t="n">
        <v>44438</v>
      </c>
      <c r="C226" s="1" t="n">
        <v>45834</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45155-2021</t>
        </is>
      </c>
      <c r="B227" s="1" t="n">
        <v>44439</v>
      </c>
      <c r="C227" s="1" t="n">
        <v>45834</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45788-2021</t>
        </is>
      </c>
      <c r="B228" s="1" t="n">
        <v>44441</v>
      </c>
      <c r="C228" s="1" t="n">
        <v>45834</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47121-2021</t>
        </is>
      </c>
      <c r="B229" s="1" t="n">
        <v>44446</v>
      </c>
      <c r="C229" s="1" t="n">
        <v>45834</v>
      </c>
      <c r="D229" t="inlineStr">
        <is>
          <t>DALARNAS LÄN</t>
        </is>
      </c>
      <c r="E229" t="inlineStr">
        <is>
          <t>LEKSAND</t>
        </is>
      </c>
      <c r="G229" t="n">
        <v>3.5</v>
      </c>
      <c r="H229" t="n">
        <v>0</v>
      </c>
      <c r="I229" t="n">
        <v>0</v>
      </c>
      <c r="J229" t="n">
        <v>0</v>
      </c>
      <c r="K229" t="n">
        <v>0</v>
      </c>
      <c r="L229" t="n">
        <v>0</v>
      </c>
      <c r="M229" t="n">
        <v>0</v>
      </c>
      <c r="N229" t="n">
        <v>0</v>
      </c>
      <c r="O229" t="n">
        <v>0</v>
      </c>
      <c r="P229" t="n">
        <v>0</v>
      </c>
      <c r="Q229" t="n">
        <v>0</v>
      </c>
      <c r="R229" s="2" t="inlineStr"/>
    </row>
    <row r="230" ht="15" customHeight="1">
      <c r="A230" t="inlineStr">
        <is>
          <t>A 48949-2021</t>
        </is>
      </c>
      <c r="B230" s="1" t="n">
        <v>44453</v>
      </c>
      <c r="C230" s="1" t="n">
        <v>45834</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53625-2021</t>
        </is>
      </c>
      <c r="B231" s="1" t="n">
        <v>44469</v>
      </c>
      <c r="C231" s="1" t="n">
        <v>45834</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56153-2021</t>
        </is>
      </c>
      <c r="B232" s="1" t="n">
        <v>44477</v>
      </c>
      <c r="C232" s="1" t="n">
        <v>45834</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58569-2021</t>
        </is>
      </c>
      <c r="B233" s="1" t="n">
        <v>44488</v>
      </c>
      <c r="C233" s="1" t="n">
        <v>45834</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59422-2021</t>
        </is>
      </c>
      <c r="B234" s="1" t="n">
        <v>44491</v>
      </c>
      <c r="C234" s="1" t="n">
        <v>45834</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61546-2021</t>
        </is>
      </c>
      <c r="B235" s="1" t="n">
        <v>44501</v>
      </c>
      <c r="C235" s="1" t="n">
        <v>45834</v>
      </c>
      <c r="D235" t="inlineStr">
        <is>
          <t>DALARNAS LÄN</t>
        </is>
      </c>
      <c r="E235" t="inlineStr">
        <is>
          <t>LEKSAND</t>
        </is>
      </c>
      <c r="G235" t="n">
        <v>3</v>
      </c>
      <c r="H235" t="n">
        <v>0</v>
      </c>
      <c r="I235" t="n">
        <v>0</v>
      </c>
      <c r="J235" t="n">
        <v>0</v>
      </c>
      <c r="K235" t="n">
        <v>0</v>
      </c>
      <c r="L235" t="n">
        <v>0</v>
      </c>
      <c r="M235" t="n">
        <v>0</v>
      </c>
      <c r="N235" t="n">
        <v>0</v>
      </c>
      <c r="O235" t="n">
        <v>0</v>
      </c>
      <c r="P235" t="n">
        <v>0</v>
      </c>
      <c r="Q235" t="n">
        <v>0</v>
      </c>
      <c r="R235" s="2" t="inlineStr"/>
    </row>
    <row r="236" ht="15" customHeight="1">
      <c r="A236" t="inlineStr">
        <is>
          <t>A 61669-2021</t>
        </is>
      </c>
      <c r="B236" s="1" t="n">
        <v>44501</v>
      </c>
      <c r="C236" s="1" t="n">
        <v>45834</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61676-2021</t>
        </is>
      </c>
      <c r="B237" s="1" t="n">
        <v>44501</v>
      </c>
      <c r="C237" s="1" t="n">
        <v>45834</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62279-2021</t>
        </is>
      </c>
      <c r="B238" s="1" t="n">
        <v>44503</v>
      </c>
      <c r="C238" s="1" t="n">
        <v>45834</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64718-2021</t>
        </is>
      </c>
      <c r="B239" s="1" t="n">
        <v>44512</v>
      </c>
      <c r="C239" s="1" t="n">
        <v>45834</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68573-2021</t>
        </is>
      </c>
      <c r="B240" s="1" t="n">
        <v>44529</v>
      </c>
      <c r="C240" s="1" t="n">
        <v>45834</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68617-2021</t>
        </is>
      </c>
      <c r="B241" s="1" t="n">
        <v>44529</v>
      </c>
      <c r="C241" s="1" t="n">
        <v>45834</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69525-2021</t>
        </is>
      </c>
      <c r="B242" s="1" t="n">
        <v>44531</v>
      </c>
      <c r="C242" s="1" t="n">
        <v>45834</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70098-2021</t>
        </is>
      </c>
      <c r="B243" s="1" t="n">
        <v>44533</v>
      </c>
      <c r="C243" s="1" t="n">
        <v>45834</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70099-2021</t>
        </is>
      </c>
      <c r="B244" s="1" t="n">
        <v>44533</v>
      </c>
      <c r="C244" s="1" t="n">
        <v>45834</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70026-2021</t>
        </is>
      </c>
      <c r="B245" s="1" t="n">
        <v>44533</v>
      </c>
      <c r="C245" s="1" t="n">
        <v>45834</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70296-2021</t>
        </is>
      </c>
      <c r="B246" s="1" t="n">
        <v>44536</v>
      </c>
      <c r="C246" s="1" t="n">
        <v>45834</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70451-2021</t>
        </is>
      </c>
      <c r="B247" s="1" t="n">
        <v>44536</v>
      </c>
      <c r="C247" s="1" t="n">
        <v>45834</v>
      </c>
      <c r="D247" t="inlineStr">
        <is>
          <t>DALARNAS LÄN</t>
        </is>
      </c>
      <c r="E247" t="inlineStr">
        <is>
          <t>LEKSAND</t>
        </is>
      </c>
      <c r="G247" t="n">
        <v>3.7</v>
      </c>
      <c r="H247" t="n">
        <v>0</v>
      </c>
      <c r="I247" t="n">
        <v>0</v>
      </c>
      <c r="J247" t="n">
        <v>0</v>
      </c>
      <c r="K247" t="n">
        <v>0</v>
      </c>
      <c r="L247" t="n">
        <v>0</v>
      </c>
      <c r="M247" t="n">
        <v>0</v>
      </c>
      <c r="N247" t="n">
        <v>0</v>
      </c>
      <c r="O247" t="n">
        <v>0</v>
      </c>
      <c r="P247" t="n">
        <v>0</v>
      </c>
      <c r="Q247" t="n">
        <v>0</v>
      </c>
      <c r="R247" s="2" t="inlineStr"/>
    </row>
    <row r="248" ht="15" customHeight="1">
      <c r="A248" t="inlineStr">
        <is>
          <t>A 71311-2021</t>
        </is>
      </c>
      <c r="B248" s="1" t="n">
        <v>44539</v>
      </c>
      <c r="C248" s="1" t="n">
        <v>45834</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71754-2021</t>
        </is>
      </c>
      <c r="B249" s="1" t="n">
        <v>44543</v>
      </c>
      <c r="C249" s="1" t="n">
        <v>45834</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71817-2021</t>
        </is>
      </c>
      <c r="B250" s="1" t="n">
        <v>44543</v>
      </c>
      <c r="C250" s="1" t="n">
        <v>45834</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72155-2021</t>
        </is>
      </c>
      <c r="B251" s="1" t="n">
        <v>44543</v>
      </c>
      <c r="C251" s="1" t="n">
        <v>45834</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72000-2021</t>
        </is>
      </c>
      <c r="B252" s="1" t="n">
        <v>44544</v>
      </c>
      <c r="C252" s="1" t="n">
        <v>45834</v>
      </c>
      <c r="D252" t="inlineStr">
        <is>
          <t>DALARNAS LÄN</t>
        </is>
      </c>
      <c r="E252" t="inlineStr">
        <is>
          <t>LEKSAND</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72001-2021</t>
        </is>
      </c>
      <c r="B253" s="1" t="n">
        <v>44544</v>
      </c>
      <c r="C253" s="1" t="n">
        <v>45834</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72581-2021</t>
        </is>
      </c>
      <c r="B254" s="1" t="n">
        <v>44546</v>
      </c>
      <c r="C254" s="1" t="n">
        <v>45834</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72531-2021</t>
        </is>
      </c>
      <c r="B255" s="1" t="n">
        <v>44546</v>
      </c>
      <c r="C255" s="1" t="n">
        <v>45834</v>
      </c>
      <c r="D255" t="inlineStr">
        <is>
          <t>DALARNAS LÄN</t>
        </is>
      </c>
      <c r="E255" t="inlineStr">
        <is>
          <t>LEKSAND</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72575-2021</t>
        </is>
      </c>
      <c r="B256" s="1" t="n">
        <v>44546</v>
      </c>
      <c r="C256" s="1" t="n">
        <v>45834</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74067-2021</t>
        </is>
      </c>
      <c r="B257" s="1" t="n">
        <v>44553</v>
      </c>
      <c r="C257" s="1" t="n">
        <v>45834</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791-2022</t>
        </is>
      </c>
      <c r="B258" s="1" t="n">
        <v>44570</v>
      </c>
      <c r="C258" s="1" t="n">
        <v>45834</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1775-2022</t>
        </is>
      </c>
      <c r="B259" s="1" t="n">
        <v>44574</v>
      </c>
      <c r="C259" s="1" t="n">
        <v>45834</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2579-2022</t>
        </is>
      </c>
      <c r="B260" s="1" t="n">
        <v>44580</v>
      </c>
      <c r="C260" s="1" t="n">
        <v>45834</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4257-2022</t>
        </is>
      </c>
      <c r="B261" s="1" t="n">
        <v>44588</v>
      </c>
      <c r="C261" s="1" t="n">
        <v>45834</v>
      </c>
      <c r="D261" t="inlineStr">
        <is>
          <t>DALARNAS LÄN</t>
        </is>
      </c>
      <c r="E261" t="inlineStr">
        <is>
          <t>LEKSAND</t>
        </is>
      </c>
      <c r="G261" t="n">
        <v>6.8</v>
      </c>
      <c r="H261" t="n">
        <v>0</v>
      </c>
      <c r="I261" t="n">
        <v>0</v>
      </c>
      <c r="J261" t="n">
        <v>0</v>
      </c>
      <c r="K261" t="n">
        <v>0</v>
      </c>
      <c r="L261" t="n">
        <v>0</v>
      </c>
      <c r="M261" t="n">
        <v>0</v>
      </c>
      <c r="N261" t="n">
        <v>0</v>
      </c>
      <c r="O261" t="n">
        <v>0</v>
      </c>
      <c r="P261" t="n">
        <v>0</v>
      </c>
      <c r="Q261" t="n">
        <v>0</v>
      </c>
      <c r="R261" s="2" t="inlineStr"/>
    </row>
    <row r="262" ht="15" customHeight="1">
      <c r="A262" t="inlineStr">
        <is>
          <t>A 4609-2022</t>
        </is>
      </c>
      <c r="B262" s="1" t="n">
        <v>44592</v>
      </c>
      <c r="C262" s="1" t="n">
        <v>45834</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8501-2022</t>
        </is>
      </c>
      <c r="B263" s="1" t="n">
        <v>44613</v>
      </c>
      <c r="C263" s="1" t="n">
        <v>45834</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v>
      </c>
      <c r="C264" s="1" t="n">
        <v>45834</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11412-2022</t>
        </is>
      </c>
      <c r="B265" s="1" t="n">
        <v>44630</v>
      </c>
      <c r="C265" s="1" t="n">
        <v>45834</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12992-2022</t>
        </is>
      </c>
      <c r="B266" s="1" t="n">
        <v>44643</v>
      </c>
      <c r="C266" s="1" t="n">
        <v>45834</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14140-2022</t>
        </is>
      </c>
      <c r="B267" s="1" t="n">
        <v>44651</v>
      </c>
      <c r="C267" s="1" t="n">
        <v>45834</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14806-2022</t>
        </is>
      </c>
      <c r="B268" s="1" t="n">
        <v>44656</v>
      </c>
      <c r="C268" s="1" t="n">
        <v>45834</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16353-2022</t>
        </is>
      </c>
      <c r="B269" s="1" t="n">
        <v>44670</v>
      </c>
      <c r="C269" s="1" t="n">
        <v>45834</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16375-2022</t>
        </is>
      </c>
      <c r="B270" s="1" t="n">
        <v>44671</v>
      </c>
      <c r="C270" s="1" t="n">
        <v>45834</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16976-2022</t>
        </is>
      </c>
      <c r="B271" s="1" t="n">
        <v>44676</v>
      </c>
      <c r="C271" s="1" t="n">
        <v>45834</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45834</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18140-2022</t>
        </is>
      </c>
      <c r="B273" s="1" t="n">
        <v>44684</v>
      </c>
      <c r="C273" s="1" t="n">
        <v>45834</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18866-2022</t>
        </is>
      </c>
      <c r="B274" s="1" t="n">
        <v>44690</v>
      </c>
      <c r="C274" s="1" t="n">
        <v>45834</v>
      </c>
      <c r="D274" t="inlineStr">
        <is>
          <t>DALARNAS LÄN</t>
        </is>
      </c>
      <c r="E274" t="inlineStr">
        <is>
          <t>LEKSAND</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18870-2022</t>
        </is>
      </c>
      <c r="B275" s="1" t="n">
        <v>44690</v>
      </c>
      <c r="C275" s="1" t="n">
        <v>45834</v>
      </c>
      <c r="D275" t="inlineStr">
        <is>
          <t>DALARNAS LÄN</t>
        </is>
      </c>
      <c r="E275" t="inlineStr">
        <is>
          <t>LEKSAND</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19467-2022</t>
        </is>
      </c>
      <c r="B276" s="1" t="n">
        <v>44693</v>
      </c>
      <c r="C276" s="1" t="n">
        <v>45834</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19480-2022</t>
        </is>
      </c>
      <c r="B277" s="1" t="n">
        <v>44693</v>
      </c>
      <c r="C277" s="1" t="n">
        <v>45834</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19993-2022</t>
        </is>
      </c>
      <c r="B278" s="1" t="n">
        <v>44697</v>
      </c>
      <c r="C278" s="1" t="n">
        <v>45834</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20274-2022</t>
        </is>
      </c>
      <c r="B279" s="1" t="n">
        <v>44698</v>
      </c>
      <c r="C279" s="1" t="n">
        <v>45834</v>
      </c>
      <c r="D279" t="inlineStr">
        <is>
          <t>DALARNAS LÄN</t>
        </is>
      </c>
      <c r="E279" t="inlineStr">
        <is>
          <t>LEKSAND</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21565-2022</t>
        </is>
      </c>
      <c r="B280" s="1" t="n">
        <v>44704</v>
      </c>
      <c r="C280" s="1" t="n">
        <v>45834</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21841-2022</t>
        </is>
      </c>
      <c r="B281" s="1" t="n">
        <v>44711</v>
      </c>
      <c r="C281" s="1" t="n">
        <v>45834</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45834</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21840-2022</t>
        </is>
      </c>
      <c r="B283" s="1" t="n">
        <v>44711</v>
      </c>
      <c r="C283" s="1" t="n">
        <v>45834</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22683-2022</t>
        </is>
      </c>
      <c r="B284" s="1" t="n">
        <v>44714</v>
      </c>
      <c r="C284" s="1" t="n">
        <v>45834</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22681-2022</t>
        </is>
      </c>
      <c r="B285" s="1" t="n">
        <v>44714</v>
      </c>
      <c r="C285" s="1" t="n">
        <v>45834</v>
      </c>
      <c r="D285" t="inlineStr">
        <is>
          <t>DALARNAS LÄN</t>
        </is>
      </c>
      <c r="E285" t="inlineStr">
        <is>
          <t>LEKSAND</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22684-2022</t>
        </is>
      </c>
      <c r="B286" s="1" t="n">
        <v>44714</v>
      </c>
      <c r="C286" s="1" t="n">
        <v>45834</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25329-2022</t>
        </is>
      </c>
      <c r="B287" s="1" t="n">
        <v>44731</v>
      </c>
      <c r="C287" s="1" t="n">
        <v>45834</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26289-2022</t>
        </is>
      </c>
      <c r="B288" s="1" t="n">
        <v>44735</v>
      </c>
      <c r="C288" s="1" t="n">
        <v>45834</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26882-2022</t>
        </is>
      </c>
      <c r="B289" s="1" t="n">
        <v>44740</v>
      </c>
      <c r="C289" s="1" t="n">
        <v>45834</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28128-2022</t>
        </is>
      </c>
      <c r="B290" s="1" t="n">
        <v>44746</v>
      </c>
      <c r="C290" s="1" t="n">
        <v>45834</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28911-2022</t>
        </is>
      </c>
      <c r="B291" s="1" t="n">
        <v>44749</v>
      </c>
      <c r="C291" s="1" t="n">
        <v>45834</v>
      </c>
      <c r="D291" t="inlineStr">
        <is>
          <t>DALARNAS LÄN</t>
        </is>
      </c>
      <c r="E291" t="inlineStr">
        <is>
          <t>LEKSAND</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45834</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28912-2022</t>
        </is>
      </c>
      <c r="B293" s="1" t="n">
        <v>44749</v>
      </c>
      <c r="C293" s="1" t="n">
        <v>45834</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29205-2022</t>
        </is>
      </c>
      <c r="B294" s="1" t="n">
        <v>44750</v>
      </c>
      <c r="C294" s="1" t="n">
        <v>45834</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29157-2022</t>
        </is>
      </c>
      <c r="B295" s="1" t="n">
        <v>44750</v>
      </c>
      <c r="C295" s="1" t="n">
        <v>45834</v>
      </c>
      <c r="D295" t="inlineStr">
        <is>
          <t>DALARNAS LÄN</t>
        </is>
      </c>
      <c r="E295" t="inlineStr">
        <is>
          <t>LEKSAND</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30449-2022</t>
        </is>
      </c>
      <c r="B296" s="1" t="n">
        <v>44761</v>
      </c>
      <c r="C296" s="1" t="n">
        <v>45834</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31746-2022</t>
        </is>
      </c>
      <c r="B297" s="1" t="n">
        <v>44776</v>
      </c>
      <c r="C297" s="1" t="n">
        <v>45834</v>
      </c>
      <c r="D297" t="inlineStr">
        <is>
          <t>DALARNAS LÄN</t>
        </is>
      </c>
      <c r="E297" t="inlineStr">
        <is>
          <t>LEKSAND</t>
        </is>
      </c>
      <c r="G297" t="n">
        <v>3.3</v>
      </c>
      <c r="H297" t="n">
        <v>0</v>
      </c>
      <c r="I297" t="n">
        <v>0</v>
      </c>
      <c r="J297" t="n">
        <v>0</v>
      </c>
      <c r="K297" t="n">
        <v>0</v>
      </c>
      <c r="L297" t="n">
        <v>0</v>
      </c>
      <c r="M297" t="n">
        <v>0</v>
      </c>
      <c r="N297" t="n">
        <v>0</v>
      </c>
      <c r="O297" t="n">
        <v>0</v>
      </c>
      <c r="P297" t="n">
        <v>0</v>
      </c>
      <c r="Q297" t="n">
        <v>0</v>
      </c>
      <c r="R297" s="2" t="inlineStr"/>
    </row>
    <row r="298" ht="15" customHeight="1">
      <c r="A298" t="inlineStr">
        <is>
          <t>A 31871-2022</t>
        </is>
      </c>
      <c r="B298" s="1" t="n">
        <v>44777</v>
      </c>
      <c r="C298" s="1" t="n">
        <v>45834</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32225-2022</t>
        </is>
      </c>
      <c r="B299" s="1" t="n">
        <v>44781</v>
      </c>
      <c r="C299" s="1" t="n">
        <v>45834</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32476-2022</t>
        </is>
      </c>
      <c r="B300" s="1" t="n">
        <v>44782</v>
      </c>
      <c r="C300" s="1" t="n">
        <v>45834</v>
      </c>
      <c r="D300" t="inlineStr">
        <is>
          <t>DALARNAS LÄN</t>
        </is>
      </c>
      <c r="E300" t="inlineStr">
        <is>
          <t>LEKSAND</t>
        </is>
      </c>
      <c r="G300" t="n">
        <v>5.6</v>
      </c>
      <c r="H300" t="n">
        <v>0</v>
      </c>
      <c r="I300" t="n">
        <v>0</v>
      </c>
      <c r="J300" t="n">
        <v>0</v>
      </c>
      <c r="K300" t="n">
        <v>0</v>
      </c>
      <c r="L300" t="n">
        <v>0</v>
      </c>
      <c r="M300" t="n">
        <v>0</v>
      </c>
      <c r="N300" t="n">
        <v>0</v>
      </c>
      <c r="O300" t="n">
        <v>0</v>
      </c>
      <c r="P300" t="n">
        <v>0</v>
      </c>
      <c r="Q300" t="n">
        <v>0</v>
      </c>
      <c r="R300" s="2" t="inlineStr"/>
    </row>
    <row r="301" ht="15" customHeight="1">
      <c r="A301" t="inlineStr">
        <is>
          <t>A 32791-2022</t>
        </is>
      </c>
      <c r="B301" s="1" t="n">
        <v>44784</v>
      </c>
      <c r="C301" s="1" t="n">
        <v>45834</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33198-2022</t>
        </is>
      </c>
      <c r="B302" s="1" t="n">
        <v>44785</v>
      </c>
      <c r="C302" s="1" t="n">
        <v>45834</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34317-2022</t>
        </is>
      </c>
      <c r="B303" s="1" t="n">
        <v>44792</v>
      </c>
      <c r="C303" s="1" t="n">
        <v>45834</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34482-2022</t>
        </is>
      </c>
      <c r="B304" s="1" t="n">
        <v>44792</v>
      </c>
      <c r="C304" s="1" t="n">
        <v>45834</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35080-2022</t>
        </is>
      </c>
      <c r="B305" s="1" t="n">
        <v>44797</v>
      </c>
      <c r="C305" s="1" t="n">
        <v>45834</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35087-2022</t>
        </is>
      </c>
      <c r="B306" s="1" t="n">
        <v>44797</v>
      </c>
      <c r="C306" s="1" t="n">
        <v>45834</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35801-2022</t>
        </is>
      </c>
      <c r="B307" s="1" t="n">
        <v>44802</v>
      </c>
      <c r="C307" s="1" t="n">
        <v>45834</v>
      </c>
      <c r="D307" t="inlineStr">
        <is>
          <t>DALARNAS LÄN</t>
        </is>
      </c>
      <c r="E307" t="inlineStr">
        <is>
          <t>LEKSAND</t>
        </is>
      </c>
      <c r="F307" t="inlineStr">
        <is>
          <t>Bergvik skog väst AB</t>
        </is>
      </c>
      <c r="G307" t="n">
        <v>6.4</v>
      </c>
      <c r="H307" t="n">
        <v>0</v>
      </c>
      <c r="I307" t="n">
        <v>0</v>
      </c>
      <c r="J307" t="n">
        <v>0</v>
      </c>
      <c r="K307" t="n">
        <v>0</v>
      </c>
      <c r="L307" t="n">
        <v>0</v>
      </c>
      <c r="M307" t="n">
        <v>0</v>
      </c>
      <c r="N307" t="n">
        <v>0</v>
      </c>
      <c r="O307" t="n">
        <v>0</v>
      </c>
      <c r="P307" t="n">
        <v>0</v>
      </c>
      <c r="Q307" t="n">
        <v>0</v>
      </c>
      <c r="R307" s="2" t="inlineStr"/>
    </row>
    <row r="308" ht="15" customHeight="1">
      <c r="A308" t="inlineStr">
        <is>
          <t>A 35952-2022</t>
        </is>
      </c>
      <c r="B308" s="1" t="n">
        <v>44802</v>
      </c>
      <c r="C308" s="1" t="n">
        <v>45834</v>
      </c>
      <c r="D308" t="inlineStr">
        <is>
          <t>DALARNAS LÄN</t>
        </is>
      </c>
      <c r="E308" t="inlineStr">
        <is>
          <t>LEKSAND</t>
        </is>
      </c>
      <c r="G308" t="n">
        <v>4.6</v>
      </c>
      <c r="H308" t="n">
        <v>0</v>
      </c>
      <c r="I308" t="n">
        <v>0</v>
      </c>
      <c r="J308" t="n">
        <v>0</v>
      </c>
      <c r="K308" t="n">
        <v>0</v>
      </c>
      <c r="L308" t="n">
        <v>0</v>
      </c>
      <c r="M308" t="n">
        <v>0</v>
      </c>
      <c r="N308" t="n">
        <v>0</v>
      </c>
      <c r="O308" t="n">
        <v>0</v>
      </c>
      <c r="P308" t="n">
        <v>0</v>
      </c>
      <c r="Q308" t="n">
        <v>0</v>
      </c>
      <c r="R308" s="2" t="inlineStr"/>
    </row>
    <row r="309" ht="15" customHeight="1">
      <c r="A309" t="inlineStr">
        <is>
          <t>A 37300-2022</t>
        </is>
      </c>
      <c r="B309" s="1" t="n">
        <v>44808</v>
      </c>
      <c r="C309" s="1" t="n">
        <v>45834</v>
      </c>
      <c r="D309" t="inlineStr">
        <is>
          <t>DALARNAS LÄN</t>
        </is>
      </c>
      <c r="E309" t="inlineStr">
        <is>
          <t>LEKSAND</t>
        </is>
      </c>
      <c r="G309" t="n">
        <v>6.3</v>
      </c>
      <c r="H309" t="n">
        <v>0</v>
      </c>
      <c r="I309" t="n">
        <v>0</v>
      </c>
      <c r="J309" t="n">
        <v>0</v>
      </c>
      <c r="K309" t="n">
        <v>0</v>
      </c>
      <c r="L309" t="n">
        <v>0</v>
      </c>
      <c r="M309" t="n">
        <v>0</v>
      </c>
      <c r="N309" t="n">
        <v>0</v>
      </c>
      <c r="O309" t="n">
        <v>0</v>
      </c>
      <c r="P309" t="n">
        <v>0</v>
      </c>
      <c r="Q309" t="n">
        <v>0</v>
      </c>
      <c r="R309" s="2" t="inlineStr"/>
    </row>
    <row r="310" ht="15" customHeight="1">
      <c r="A310" t="inlineStr">
        <is>
          <t>A 37928-2022</t>
        </is>
      </c>
      <c r="B310" s="1" t="n">
        <v>44811</v>
      </c>
      <c r="C310" s="1" t="n">
        <v>45834</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38236-2022</t>
        </is>
      </c>
      <c r="B311" s="1" t="n">
        <v>44812</v>
      </c>
      <c r="C311" s="1" t="n">
        <v>45834</v>
      </c>
      <c r="D311" t="inlineStr">
        <is>
          <t>DALARNAS LÄN</t>
        </is>
      </c>
      <c r="E311" t="inlineStr">
        <is>
          <t>LEKSAND</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38258-2022</t>
        </is>
      </c>
      <c r="B312" s="1" t="n">
        <v>44812</v>
      </c>
      <c r="C312" s="1" t="n">
        <v>45834</v>
      </c>
      <c r="D312" t="inlineStr">
        <is>
          <t>DALARNAS LÄN</t>
        </is>
      </c>
      <c r="E312" t="inlineStr">
        <is>
          <t>LEKSAND</t>
        </is>
      </c>
      <c r="G312" t="n">
        <v>3.9</v>
      </c>
      <c r="H312" t="n">
        <v>0</v>
      </c>
      <c r="I312" t="n">
        <v>0</v>
      </c>
      <c r="J312" t="n">
        <v>0</v>
      </c>
      <c r="K312" t="n">
        <v>0</v>
      </c>
      <c r="L312" t="n">
        <v>0</v>
      </c>
      <c r="M312" t="n">
        <v>0</v>
      </c>
      <c r="N312" t="n">
        <v>0</v>
      </c>
      <c r="O312" t="n">
        <v>0</v>
      </c>
      <c r="P312" t="n">
        <v>0</v>
      </c>
      <c r="Q312" t="n">
        <v>0</v>
      </c>
      <c r="R312" s="2" t="inlineStr"/>
    </row>
    <row r="313" ht="15" customHeight="1">
      <c r="A313" t="inlineStr">
        <is>
          <t>A 38764-2022</t>
        </is>
      </c>
      <c r="B313" s="1" t="n">
        <v>44816</v>
      </c>
      <c r="C313" s="1" t="n">
        <v>45834</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39658-2022</t>
        </is>
      </c>
      <c r="B314" s="1" t="n">
        <v>44818</v>
      </c>
      <c r="C314" s="1" t="n">
        <v>45834</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40165-2022</t>
        </is>
      </c>
      <c r="B315" s="1" t="n">
        <v>44820</v>
      </c>
      <c r="C315" s="1" t="n">
        <v>45834</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41351-2022</t>
        </is>
      </c>
      <c r="B316" s="1" t="n">
        <v>44824</v>
      </c>
      <c r="C316" s="1" t="n">
        <v>45834</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43275-2022</t>
        </is>
      </c>
      <c r="B317" s="1" t="n">
        <v>44824</v>
      </c>
      <c r="C317" s="1" t="n">
        <v>45834</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41869-2022</t>
        </is>
      </c>
      <c r="B318" s="1" t="n">
        <v>44829</v>
      </c>
      <c r="C318" s="1" t="n">
        <v>45834</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43300-2022</t>
        </is>
      </c>
      <c r="B319" s="1" t="n">
        <v>44834</v>
      </c>
      <c r="C319" s="1" t="n">
        <v>45834</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43304-2022</t>
        </is>
      </c>
      <c r="B320" s="1" t="n">
        <v>44834</v>
      </c>
      <c r="C320" s="1" t="n">
        <v>45834</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43604-2022</t>
        </is>
      </c>
      <c r="B321" s="1" t="n">
        <v>44837</v>
      </c>
      <c r="C321" s="1" t="n">
        <v>45834</v>
      </c>
      <c r="D321" t="inlineStr">
        <is>
          <t>DALARNAS LÄN</t>
        </is>
      </c>
      <c r="E321" t="inlineStr">
        <is>
          <t>LEKSAND</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43693-2022</t>
        </is>
      </c>
      <c r="B322" s="1" t="n">
        <v>44837</v>
      </c>
      <c r="C322" s="1" t="n">
        <v>45834</v>
      </c>
      <c r="D322" t="inlineStr">
        <is>
          <t>DALARNAS LÄN</t>
        </is>
      </c>
      <c r="E322" t="inlineStr">
        <is>
          <t>LEKSAND</t>
        </is>
      </c>
      <c r="G322" t="n">
        <v>2.7</v>
      </c>
      <c r="H322" t="n">
        <v>0</v>
      </c>
      <c r="I322" t="n">
        <v>0</v>
      </c>
      <c r="J322" t="n">
        <v>0</v>
      </c>
      <c r="K322" t="n">
        <v>0</v>
      </c>
      <c r="L322" t="n">
        <v>0</v>
      </c>
      <c r="M322" t="n">
        <v>0</v>
      </c>
      <c r="N322" t="n">
        <v>0</v>
      </c>
      <c r="O322" t="n">
        <v>0</v>
      </c>
      <c r="P322" t="n">
        <v>0</v>
      </c>
      <c r="Q322" t="n">
        <v>0</v>
      </c>
      <c r="R322" s="2" t="inlineStr"/>
    </row>
    <row r="323" ht="15" customHeight="1">
      <c r="A323" t="inlineStr">
        <is>
          <t>A 43735-2022</t>
        </is>
      </c>
      <c r="B323" s="1" t="n">
        <v>44837</v>
      </c>
      <c r="C323" s="1" t="n">
        <v>45834</v>
      </c>
      <c r="D323" t="inlineStr">
        <is>
          <t>DALARNAS LÄN</t>
        </is>
      </c>
      <c r="E323" t="inlineStr">
        <is>
          <t>LEKSAND</t>
        </is>
      </c>
      <c r="G323" t="n">
        <v>2.9</v>
      </c>
      <c r="H323" t="n">
        <v>0</v>
      </c>
      <c r="I323" t="n">
        <v>0</v>
      </c>
      <c r="J323" t="n">
        <v>0</v>
      </c>
      <c r="K323" t="n">
        <v>0</v>
      </c>
      <c r="L323" t="n">
        <v>0</v>
      </c>
      <c r="M323" t="n">
        <v>0</v>
      </c>
      <c r="N323" t="n">
        <v>0</v>
      </c>
      <c r="O323" t="n">
        <v>0</v>
      </c>
      <c r="P323" t="n">
        <v>0</v>
      </c>
      <c r="Q323" t="n">
        <v>0</v>
      </c>
      <c r="R323" s="2" t="inlineStr"/>
    </row>
    <row r="324" ht="15" customHeight="1">
      <c r="A324" t="inlineStr">
        <is>
          <t>A 44124-2022</t>
        </is>
      </c>
      <c r="B324" s="1" t="n">
        <v>44839</v>
      </c>
      <c r="C324" s="1" t="n">
        <v>45834</v>
      </c>
      <c r="D324" t="inlineStr">
        <is>
          <t>DALARNAS LÄN</t>
        </is>
      </c>
      <c r="E324" t="inlineStr">
        <is>
          <t>LEKSAND</t>
        </is>
      </c>
      <c r="G324" t="n">
        <v>8</v>
      </c>
      <c r="H324" t="n">
        <v>0</v>
      </c>
      <c r="I324" t="n">
        <v>0</v>
      </c>
      <c r="J324" t="n">
        <v>0</v>
      </c>
      <c r="K324" t="n">
        <v>0</v>
      </c>
      <c r="L324" t="n">
        <v>0</v>
      </c>
      <c r="M324" t="n">
        <v>0</v>
      </c>
      <c r="N324" t="n">
        <v>0</v>
      </c>
      <c r="O324" t="n">
        <v>0</v>
      </c>
      <c r="P324" t="n">
        <v>0</v>
      </c>
      <c r="Q324" t="n">
        <v>0</v>
      </c>
      <c r="R324" s="2" t="inlineStr"/>
    </row>
    <row r="325" ht="15" customHeight="1">
      <c r="A325" t="inlineStr">
        <is>
          <t>A 44700-2022</t>
        </is>
      </c>
      <c r="B325" s="1" t="n">
        <v>44840</v>
      </c>
      <c r="C325" s="1" t="n">
        <v>45834</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45943-2022</t>
        </is>
      </c>
      <c r="B326" s="1" t="n">
        <v>44846</v>
      </c>
      <c r="C326" s="1" t="n">
        <v>45834</v>
      </c>
      <c r="D326" t="inlineStr">
        <is>
          <t>DALARNAS LÄN</t>
        </is>
      </c>
      <c r="E326" t="inlineStr">
        <is>
          <t>LEKSAND</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46141-2022</t>
        </is>
      </c>
      <c r="B327" s="1" t="n">
        <v>44846</v>
      </c>
      <c r="C327" s="1" t="n">
        <v>45834</v>
      </c>
      <c r="D327" t="inlineStr">
        <is>
          <t>DALARNAS LÄN</t>
        </is>
      </c>
      <c r="E327" t="inlineStr">
        <is>
          <t>LEKSAND</t>
        </is>
      </c>
      <c r="G327" t="n">
        <v>2.8</v>
      </c>
      <c r="H327" t="n">
        <v>0</v>
      </c>
      <c r="I327" t="n">
        <v>0</v>
      </c>
      <c r="J327" t="n">
        <v>0</v>
      </c>
      <c r="K327" t="n">
        <v>0</v>
      </c>
      <c r="L327" t="n">
        <v>0</v>
      </c>
      <c r="M327" t="n">
        <v>0</v>
      </c>
      <c r="N327" t="n">
        <v>0</v>
      </c>
      <c r="O327" t="n">
        <v>0</v>
      </c>
      <c r="P327" t="n">
        <v>0</v>
      </c>
      <c r="Q327" t="n">
        <v>0</v>
      </c>
      <c r="R327" s="2" t="inlineStr"/>
    </row>
    <row r="328" ht="15" customHeight="1">
      <c r="A328" t="inlineStr">
        <is>
          <t>A 46672-2022</t>
        </is>
      </c>
      <c r="B328" s="1" t="n">
        <v>44851</v>
      </c>
      <c r="C328" s="1" t="n">
        <v>45834</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46916-2022</t>
        </is>
      </c>
      <c r="B329" s="1" t="n">
        <v>44851</v>
      </c>
      <c r="C329" s="1" t="n">
        <v>45834</v>
      </c>
      <c r="D329" t="inlineStr">
        <is>
          <t>DALARNAS LÄN</t>
        </is>
      </c>
      <c r="E329" t="inlineStr">
        <is>
          <t>LEKSAND</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47441-2022</t>
        </is>
      </c>
      <c r="B330" s="1" t="n">
        <v>44853</v>
      </c>
      <c r="C330" s="1" t="n">
        <v>45834</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49342-2022</t>
        </is>
      </c>
      <c r="B331" s="1" t="n">
        <v>44861</v>
      </c>
      <c r="C331" s="1" t="n">
        <v>45834</v>
      </c>
      <c r="D331" t="inlineStr">
        <is>
          <t>DALARNAS LÄN</t>
        </is>
      </c>
      <c r="E331" t="inlineStr">
        <is>
          <t>LEKSAND</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49345-2022</t>
        </is>
      </c>
      <c r="B332" s="1" t="n">
        <v>44861</v>
      </c>
      <c r="C332" s="1" t="n">
        <v>45834</v>
      </c>
      <c r="D332" t="inlineStr">
        <is>
          <t>DALARNAS LÄN</t>
        </is>
      </c>
      <c r="E332" t="inlineStr">
        <is>
          <t>LEKSAND</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49581-2022</t>
        </is>
      </c>
      <c r="B333" s="1" t="n">
        <v>44862</v>
      </c>
      <c r="C333" s="1" t="n">
        <v>45834</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50219-2022</t>
        </is>
      </c>
      <c r="B334" s="1" t="n">
        <v>44865</v>
      </c>
      <c r="C334" s="1" t="n">
        <v>45834</v>
      </c>
      <c r="D334" t="inlineStr">
        <is>
          <t>DALARNAS LÄN</t>
        </is>
      </c>
      <c r="E334" t="inlineStr">
        <is>
          <t>LEKSAND</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50353-2022</t>
        </is>
      </c>
      <c r="B335" s="1" t="n">
        <v>44866</v>
      </c>
      <c r="C335" s="1" t="n">
        <v>45834</v>
      </c>
      <c r="D335" t="inlineStr">
        <is>
          <t>DALARNAS LÄN</t>
        </is>
      </c>
      <c r="E335" t="inlineStr">
        <is>
          <t>LEKSAND</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50352-2022</t>
        </is>
      </c>
      <c r="B336" s="1" t="n">
        <v>44866</v>
      </c>
      <c r="C336" s="1" t="n">
        <v>45834</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50354-2022</t>
        </is>
      </c>
      <c r="B337" s="1" t="n">
        <v>44866</v>
      </c>
      <c r="C337" s="1" t="n">
        <v>45834</v>
      </c>
      <c r="D337" t="inlineStr">
        <is>
          <t>DALARNAS LÄN</t>
        </is>
      </c>
      <c r="E337" t="inlineStr">
        <is>
          <t>LEKSAND</t>
        </is>
      </c>
      <c r="F337" t="inlineStr">
        <is>
          <t>Bergvik skog väst AB</t>
        </is>
      </c>
      <c r="G337" t="n">
        <v>7.4</v>
      </c>
      <c r="H337" t="n">
        <v>0</v>
      </c>
      <c r="I337" t="n">
        <v>0</v>
      </c>
      <c r="J337" t="n">
        <v>0</v>
      </c>
      <c r="K337" t="n">
        <v>0</v>
      </c>
      <c r="L337" t="n">
        <v>0</v>
      </c>
      <c r="M337" t="n">
        <v>0</v>
      </c>
      <c r="N337" t="n">
        <v>0</v>
      </c>
      <c r="O337" t="n">
        <v>0</v>
      </c>
      <c r="P337" t="n">
        <v>0</v>
      </c>
      <c r="Q337" t="n">
        <v>0</v>
      </c>
      <c r="R337" s="2" t="inlineStr"/>
    </row>
    <row r="338" ht="15" customHeight="1">
      <c r="A338" t="inlineStr">
        <is>
          <t>A 51857-2022</t>
        </is>
      </c>
      <c r="B338" s="1" t="n">
        <v>44867</v>
      </c>
      <c r="C338" s="1" t="n">
        <v>45834</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51449-2022</t>
        </is>
      </c>
      <c r="B339" s="1" t="n">
        <v>44869</v>
      </c>
      <c r="C339" s="1" t="n">
        <v>45834</v>
      </c>
      <c r="D339" t="inlineStr">
        <is>
          <t>DALARNAS LÄN</t>
        </is>
      </c>
      <c r="E339" t="inlineStr">
        <is>
          <t>LEKSAND</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51480-2022</t>
        </is>
      </c>
      <c r="B340" s="1" t="n">
        <v>44869</v>
      </c>
      <c r="C340" s="1" t="n">
        <v>45834</v>
      </c>
      <c r="D340" t="inlineStr">
        <is>
          <t>DALARNAS LÄN</t>
        </is>
      </c>
      <c r="E340" t="inlineStr">
        <is>
          <t>LEKSAND</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51502-2022</t>
        </is>
      </c>
      <c r="B341" s="1" t="n">
        <v>44869</v>
      </c>
      <c r="C341" s="1" t="n">
        <v>45834</v>
      </c>
      <c r="D341" t="inlineStr">
        <is>
          <t>DALARNAS LÄN</t>
        </is>
      </c>
      <c r="E341" t="inlineStr">
        <is>
          <t>LEKSAND</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51498-2022</t>
        </is>
      </c>
      <c r="B342" s="1" t="n">
        <v>44869</v>
      </c>
      <c r="C342" s="1" t="n">
        <v>45834</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51842-2022</t>
        </is>
      </c>
      <c r="B343" s="1" t="n">
        <v>44872</v>
      </c>
      <c r="C343" s="1" t="n">
        <v>45834</v>
      </c>
      <c r="D343" t="inlineStr">
        <is>
          <t>DALARNAS LÄN</t>
        </is>
      </c>
      <c r="E343" t="inlineStr">
        <is>
          <t>LEKSAND</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52977-2022</t>
        </is>
      </c>
      <c r="B344" s="1" t="n">
        <v>44875</v>
      </c>
      <c r="C344" s="1" t="n">
        <v>45834</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53293-2022</t>
        </is>
      </c>
      <c r="B345" s="1" t="n">
        <v>44877</v>
      </c>
      <c r="C345" s="1" t="n">
        <v>45834</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53787-2022</t>
        </is>
      </c>
      <c r="B346" s="1" t="n">
        <v>44880</v>
      </c>
      <c r="C346" s="1" t="n">
        <v>45834</v>
      </c>
      <c r="D346" t="inlineStr">
        <is>
          <t>DALARNAS LÄN</t>
        </is>
      </c>
      <c r="E346" t="inlineStr">
        <is>
          <t>LEKSAND</t>
        </is>
      </c>
      <c r="G346" t="n">
        <v>7.6</v>
      </c>
      <c r="H346" t="n">
        <v>0</v>
      </c>
      <c r="I346" t="n">
        <v>0</v>
      </c>
      <c r="J346" t="n">
        <v>0</v>
      </c>
      <c r="K346" t="n">
        <v>0</v>
      </c>
      <c r="L346" t="n">
        <v>0</v>
      </c>
      <c r="M346" t="n">
        <v>0</v>
      </c>
      <c r="N346" t="n">
        <v>0</v>
      </c>
      <c r="O346" t="n">
        <v>0</v>
      </c>
      <c r="P346" t="n">
        <v>0</v>
      </c>
      <c r="Q346" t="n">
        <v>0</v>
      </c>
      <c r="R346" s="2" t="inlineStr"/>
    </row>
    <row r="347" ht="15" customHeight="1">
      <c r="A347" t="inlineStr">
        <is>
          <t>A 54070-2022</t>
        </is>
      </c>
      <c r="B347" s="1" t="n">
        <v>44881</v>
      </c>
      <c r="C347" s="1" t="n">
        <v>45834</v>
      </c>
      <c r="D347" t="inlineStr">
        <is>
          <t>DALARNAS LÄN</t>
        </is>
      </c>
      <c r="E347" t="inlineStr">
        <is>
          <t>LEKSAND</t>
        </is>
      </c>
      <c r="G347" t="n">
        <v>4.7</v>
      </c>
      <c r="H347" t="n">
        <v>0</v>
      </c>
      <c r="I347" t="n">
        <v>0</v>
      </c>
      <c r="J347" t="n">
        <v>0</v>
      </c>
      <c r="K347" t="n">
        <v>0</v>
      </c>
      <c r="L347" t="n">
        <v>0</v>
      </c>
      <c r="M347" t="n">
        <v>0</v>
      </c>
      <c r="N347" t="n">
        <v>0</v>
      </c>
      <c r="O347" t="n">
        <v>0</v>
      </c>
      <c r="P347" t="n">
        <v>0</v>
      </c>
      <c r="Q347" t="n">
        <v>0</v>
      </c>
      <c r="R347" s="2" t="inlineStr"/>
    </row>
    <row r="348" ht="15" customHeight="1">
      <c r="A348" t="inlineStr">
        <is>
          <t>A 56330-2022</t>
        </is>
      </c>
      <c r="B348" s="1" t="n">
        <v>44890</v>
      </c>
      <c r="C348" s="1" t="n">
        <v>45834</v>
      </c>
      <c r="D348" t="inlineStr">
        <is>
          <t>DALARNAS LÄN</t>
        </is>
      </c>
      <c r="E348" t="inlineStr">
        <is>
          <t>LEKSAND</t>
        </is>
      </c>
      <c r="G348" t="n">
        <v>4.9</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45834</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45834</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45834</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45834</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45834</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45834</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45834</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45834</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45834</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45834</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45834</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45834</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45834</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45834</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45834</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45834</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45834</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45834</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45834</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45834</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45834</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45834</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45834</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45834</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45834</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45834</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45834</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45834</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45834</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45834</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45834</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45834</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45834</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45834</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45834</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45834</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45834</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45834</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45834</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45834</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45834</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45834</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45834</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45834</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45834</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45834</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45834</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45834</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45834</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45834</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45834</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45834</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45834</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45834</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45834</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45834</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45834</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45834</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45834</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45834</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45834</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45834</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45834</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45834</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45834</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45834</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45834</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45834</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45834</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45834</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45834</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45834</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45834</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45834</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45834</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45834</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45834</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45834</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45834</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45834</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45834</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45834</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45834</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45834</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45834</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45834</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45834</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45834</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45834</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45834</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45834</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45834</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45834</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45834</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45834</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45834</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45834</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45834</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45834</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45834</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45834</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45834</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45834</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45834</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45834</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45834</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45834</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45834</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45834</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45834</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45834</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45834</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45834</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45834</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45834</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45834</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45834</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45834</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45834</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45834</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45834</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45834</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45834</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45834</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45834</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45834</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45834</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45834</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45834</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45834</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45834</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45834</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45834</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45834</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45834</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45834</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45834</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45834</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45834</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45834</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45834</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45834</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45834</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45834</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45834</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45834</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45834</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45834</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45834</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45834</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45834</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45834</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45834</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45834</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45834</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45834</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45834</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45834</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45834</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45834</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45834</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45834</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45834</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45834</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45834</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45834</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45834</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45834</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45834</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45834</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45834</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45834</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45834</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45834</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45834</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45834</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45834</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45834</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45834</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45834</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45834</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45834</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45834</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45834</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45834</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45834</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45834</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45834</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45834</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45834</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45834</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45834</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45834</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45834</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45834</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45834</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45834</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45834</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45834</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45834</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45834</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45834</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45834</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45834</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45834</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45834</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45834</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45834</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45834</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45834</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45834</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45834</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45834</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45834</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45834</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45834</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45834</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45834</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45834</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45834</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45834</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45834</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45834</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45834</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45834</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45834</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45834</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45834</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45834</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45834</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45834</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45834</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45834</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45834</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45834</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45834</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45834</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45834</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45834</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45834</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45834</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45834</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45834</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45834</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45834</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45834</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45834</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45834</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45834</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45834</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45834</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45834</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45834</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45834</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45834</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45834</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45834</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45834</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45834</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45834</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45834</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45834</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45834</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45834</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45834</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45834</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45834</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45834</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45834</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45834</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45834</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45834</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45834</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45834</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45834</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45834</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45834</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45834</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45834</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45834</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45834</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45834</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45834</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45834</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45834</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45834</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45834</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45834</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45834</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45834</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45834</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45834</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45834</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45834</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45834</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45834</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45834</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45834</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45834</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45834</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45834</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45834</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45834</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45834</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45834</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45834</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45834</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45834</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45834</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45834</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45834</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45834</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45834</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45834</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45834</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45834</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45834</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45834</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45834</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45834</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45834</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45834</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45834</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45834</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45834</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45834</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45834</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45834</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45834</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45834</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45834</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45834</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45834</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45834</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45834</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45834</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45834</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45834</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45834</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45834</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45834</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45834</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45834</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45834</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45834</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45834</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45834</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45834</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45834</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45834</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45834</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45834</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45834</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45834</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45834</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45834</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45834</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45834</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45834</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45834</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45834</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45834</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45834</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45834</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45834</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45834</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45834</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45834</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45834</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45834</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45834</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45834</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45834</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45834</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45834</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45834</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45834</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45834</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45834</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45834</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45834</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45834</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45834</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45834</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45834</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45834</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45834</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45834</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45834</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45834</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45834</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45834</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45834</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45834</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45834</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45834</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45834</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45834</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45834</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45834</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45834</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45834</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45834</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45834</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45834</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45834</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45834</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45834</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45834</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45834</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45834</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45834</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45834</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45834</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45834</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45834</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45834</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45834</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45834</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45834</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45834</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45834</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45834</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45834</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45834</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45834</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45834</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45834</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45834</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45834</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45834</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45834</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45834</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45834</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45834</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45834</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45834</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45834</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45834</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45834</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45834</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45834</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45834</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45834</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45834</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45834</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45834</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45834</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45834</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45834</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45834</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45834</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45834</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45834</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45834</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45834</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45834</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45834</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45834</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45834</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45834</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45834</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45834</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45834</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45834</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45834</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45834</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45834</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45834</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45834</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45834</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45834</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45834</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45834</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45834</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45834</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45834</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45834</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45834</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45834</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45834</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45834</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45834</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45834</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45834</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45834</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45834</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45834</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45834</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45834</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45834</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45834</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45834</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45834</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45834</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45834</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45834</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45834</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45834</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45834</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45834</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45834</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45834</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45834</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45834</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45834</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45834</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45834</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45834</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45834</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45834</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45834</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45834</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45834</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45834</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45834</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45834</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45834</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45834</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45834</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45834</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45834</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45834</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45834</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45834</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45834</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45834</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45834</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45834</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45834</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45834</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45834</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45834</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45834</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45834</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45834</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45834</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45834</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45834</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45834</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45834</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45834</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45834</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45834</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45834</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45834</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45834</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45834</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45834</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45834</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45834</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45834</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45834</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45834</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45834</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45834</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45834</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45834</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45834</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45834</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45834</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45834</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45834</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45834</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45834</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45834</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45834</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45834</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45834</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45834</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45834</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45834</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45834</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45834</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45834</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45834</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45834</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45834</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45834</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45834</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45834</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45834</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45834</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45834</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45834</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45834</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45834</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45834</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45834</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45834</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45834</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45834</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45834</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45834</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45834</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45834</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45834</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45834</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45834</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45834</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45834</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45834</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45834</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45834</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45834</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45834</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45834</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45834</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45834</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45834</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45834</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45834</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45834</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45834</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45834</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45834</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45834</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45834</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45834</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45834</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45834</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45834</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45834</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45834</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45834</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45834</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45834</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45834</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45834</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45834</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45834</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45834</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45834</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45834</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45834</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45834</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45834</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45834</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45834</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45834</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45834</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45834</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45834</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45834</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45834</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45834</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45834</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45834</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45834</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45834</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45834</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45834</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45834</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45834</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45834</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45834</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45834</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45834</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45834</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45834</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45834</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45834</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45834</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45834</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45834</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45834</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45834</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45834</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45834</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45834</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45834</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45834</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45834</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45834</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45834</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45834</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45834</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45834</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45834</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45834</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45834</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45834</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45834</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45834</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45834</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45834</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45834</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45834</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45834</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45834</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45834</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45834</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45834</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45834</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45834</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45834</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45834</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45834</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45834</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45834</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45834</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45834</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45834</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45834</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45834</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45834</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45834</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45834</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45834</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45834</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45834</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45834</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45834</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45834</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45834</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45834</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45834</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45834</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45834</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45834</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45834</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45834</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45834</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45834</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45834</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45834</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45834</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45834</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45834</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45834</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45834</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45834</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45834</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45834</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45834</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45834</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45834</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45834</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45834</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45834</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45834</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45834</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45834</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45834</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45834</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45834</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45834</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45834</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45834</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45834</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45834</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45834</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45834</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45834</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45834</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45834</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45834</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45834</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45834</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45834</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45834</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45834</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45834</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45834</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45834</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45834</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45834</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45834</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45834</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45834</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45834</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45834</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45834</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45834</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45834</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45834</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45834</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45834</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45834</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45834</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45834</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45834</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45834</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45834</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45834</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45834</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45834</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45834</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45834</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45834</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45834</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45834</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45834</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45834</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45834</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45834</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45834</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45834</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45834</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45834</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45834</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45834</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45834</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45834</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45834</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45834</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45834</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45834</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45834</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45834</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45834</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45834</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45834</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45834</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45834</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45834</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45834</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45834</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45834</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45834</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45834</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45834</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45834</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45834</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45834</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45834</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45834</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45834</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45834</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45834</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45834</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45834</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45834</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45834</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45834</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45834</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45834</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45834</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45834</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45834</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45834</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45834</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45834</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45834</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45834</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45834</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45834</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45834</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45834</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45834</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45834</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45834</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45834</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45834</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45834</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45834</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45834</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45834</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45834</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45834</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45834</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45834</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45834</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45834</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45834</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45834</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45834</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45834</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45834</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45834</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45834</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45834</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45834</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45834</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45834</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45834</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45834</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45834</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45834</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45834</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45834</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45834</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45834</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45834</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45834</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45834</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45834</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45834</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45834</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45834</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45834</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45834</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45834</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45834</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45834</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45834</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45834</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45834</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45834</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45834</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45834</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45834</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45834</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45834</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45834</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45834</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45834</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45834</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45834</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45834</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45834</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45834</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45834</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45834</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45834</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45834</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45834</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45834</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45834</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45834</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45834</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45834</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45834</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45834</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45834</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45834</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45834</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45834</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45834</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45834</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45834</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45834</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45834</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45834</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45834</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45834</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45834</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45834</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45834</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45834</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45834</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45834</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45834</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45834</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45834</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45834</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45834</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45834</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45834</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45834</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45834</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45834</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45834</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45834</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45834</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45834</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45834</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45834</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45834</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45834</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45834</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45834</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45834</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45834</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45834</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45834</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45834</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45834</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45834</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45834</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45834</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45834</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45834</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45834</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45834</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45834</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45834</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45834</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45834</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45834</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45834</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45834</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27329-2025</t>
        </is>
      </c>
      <c r="B1331" s="1" t="n">
        <v>45812</v>
      </c>
      <c r="C1331" s="1" t="n">
        <v>45834</v>
      </c>
      <c r="D1331" t="inlineStr">
        <is>
          <t>DALARNAS LÄN</t>
        </is>
      </c>
      <c r="E1331" t="inlineStr">
        <is>
          <t>LEKSAND</t>
        </is>
      </c>
      <c r="F1331" t="inlineStr">
        <is>
          <t>Bergvik skog väst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27332-2025</t>
        </is>
      </c>
      <c r="B1332" s="1" t="n">
        <v>45812</v>
      </c>
      <c r="C1332" s="1" t="n">
        <v>45834</v>
      </c>
      <c r="D1332" t="inlineStr">
        <is>
          <t>DALARNAS LÄN</t>
        </is>
      </c>
      <c r="E1332" t="inlineStr">
        <is>
          <t>LEKSAND</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45834</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45834</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45834</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45834</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45834</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45834</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45834</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45834</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45834</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45834</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45834</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45834</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29553-2025</t>
        </is>
      </c>
      <c r="B1345" s="1" t="n">
        <v>45825</v>
      </c>
      <c r="C1345" s="1" t="n">
        <v>45834</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45834</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30254-2025</t>
        </is>
      </c>
      <c r="B1347" s="1" t="n">
        <v>45827</v>
      </c>
      <c r="C1347" s="1" t="n">
        <v>45834</v>
      </c>
      <c r="D1347" t="inlineStr">
        <is>
          <t>DALARNAS LÄN</t>
        </is>
      </c>
      <c r="E1347" t="inlineStr">
        <is>
          <t>LEKSAND</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30224-2025</t>
        </is>
      </c>
      <c r="B1348" s="1" t="n">
        <v>45827</v>
      </c>
      <c r="C1348" s="1" t="n">
        <v>45834</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30911-2025</t>
        </is>
      </c>
      <c r="B1349" s="1" t="n">
        <v>45832</v>
      </c>
      <c r="C1349" s="1" t="n">
        <v>45834</v>
      </c>
      <c r="D1349" t="inlineStr">
        <is>
          <t>DALARNAS LÄN</t>
        </is>
      </c>
      <c r="E1349" t="inlineStr">
        <is>
          <t>LEKSAND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30917-2025</t>
        </is>
      </c>
      <c r="B1350" s="1" t="n">
        <v>45832</v>
      </c>
      <c r="C1350" s="1" t="n">
        <v>45834</v>
      </c>
      <c r="D1350" t="inlineStr">
        <is>
          <t>DALARNAS LÄN</t>
        </is>
      </c>
      <c r="E1350" t="inlineStr">
        <is>
          <t>LEKSAND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30969-2025</t>
        </is>
      </c>
      <c r="B1351" s="1" t="n">
        <v>45832</v>
      </c>
      <c r="C1351" s="1" t="n">
        <v>45834</v>
      </c>
      <c r="D1351" t="inlineStr">
        <is>
          <t>DALARNAS LÄN</t>
        </is>
      </c>
      <c r="E1351" t="inlineStr">
        <is>
          <t>LEKSAND</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30973-2025</t>
        </is>
      </c>
      <c r="B1352" s="1" t="n">
        <v>45832</v>
      </c>
      <c r="C1352" s="1" t="n">
        <v>45834</v>
      </c>
      <c r="D1352" t="inlineStr">
        <is>
          <t>DALARNAS LÄN</t>
        </is>
      </c>
      <c r="E1352" t="inlineStr">
        <is>
          <t>LEKSAND</t>
        </is>
      </c>
      <c r="F1352" t="inlineStr">
        <is>
          <t>Bergvik skog väst AB</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30920-2025</t>
        </is>
      </c>
      <c r="B1353" s="1" t="n">
        <v>45832</v>
      </c>
      <c r="C1353" s="1" t="n">
        <v>45834</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30916-2025</t>
        </is>
      </c>
      <c r="B1354" s="1" t="n">
        <v>45832</v>
      </c>
      <c r="C1354" s="1" t="n">
        <v>45834</v>
      </c>
      <c r="D1354" t="inlineStr">
        <is>
          <t>DALARNAS LÄN</t>
        </is>
      </c>
      <c r="E1354" t="inlineStr">
        <is>
          <t>LEKSAND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31179-2025</t>
        </is>
      </c>
      <c r="B1355" s="1" t="n">
        <v>45832</v>
      </c>
      <c r="C1355" s="1" t="n">
        <v>45834</v>
      </c>
      <c r="D1355" t="inlineStr">
        <is>
          <t>DALARNAS LÄN</t>
        </is>
      </c>
      <c r="E1355" t="inlineStr">
        <is>
          <t>LEKSAND</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31189-2025</t>
        </is>
      </c>
      <c r="B1356" s="1" t="n">
        <v>45832</v>
      </c>
      <c r="C1356" s="1" t="n">
        <v>45834</v>
      </c>
      <c r="D1356" t="inlineStr">
        <is>
          <t>DALARNAS LÄN</t>
        </is>
      </c>
      <c r="E1356" t="inlineStr">
        <is>
          <t>LEKSAND</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31446-2025</t>
        </is>
      </c>
      <c r="B1357" s="1" t="n">
        <v>45833</v>
      </c>
      <c r="C1357" s="1" t="n">
        <v>45834</v>
      </c>
      <c r="D1357" t="inlineStr">
        <is>
          <t>DALARNAS LÄN</t>
        </is>
      </c>
      <c r="E1357" t="inlineStr">
        <is>
          <t>LEKSAND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31493-2025</t>
        </is>
      </c>
      <c r="B1358" s="1" t="n">
        <v>45833</v>
      </c>
      <c r="C1358" s="1" t="n">
        <v>45834</v>
      </c>
      <c r="D1358" t="inlineStr">
        <is>
          <t>DALARNAS LÄN</t>
        </is>
      </c>
      <c r="E1358" t="inlineStr">
        <is>
          <t>LEKSAND</t>
        </is>
      </c>
      <c r="G1358" t="n">
        <v>0.9</v>
      </c>
      <c r="H1358" t="n">
        <v>0</v>
      </c>
      <c r="I1358" t="n">
        <v>0</v>
      </c>
      <c r="J1358" t="n">
        <v>0</v>
      </c>
      <c r="K1358" t="n">
        <v>0</v>
      </c>
      <c r="L1358" t="n">
        <v>0</v>
      </c>
      <c r="M1358" t="n">
        <v>0</v>
      </c>
      <c r="N1358" t="n">
        <v>0</v>
      </c>
      <c r="O1358" t="n">
        <v>0</v>
      </c>
      <c r="P1358" t="n">
        <v>0</v>
      </c>
      <c r="Q1358" t="n">
        <v>0</v>
      </c>
      <c r="R1358" s="2" t="inlineStr"/>
    </row>
    <row r="1359">
      <c r="A1359" t="inlineStr">
        <is>
          <t>A 31619-2025</t>
        </is>
      </c>
      <c r="B1359" s="1" t="n">
        <v>45833</v>
      </c>
      <c r="C1359" s="1" t="n">
        <v>45834</v>
      </c>
      <c r="D1359" t="inlineStr">
        <is>
          <t>DALARNAS LÄN</t>
        </is>
      </c>
      <c r="E1359" t="inlineStr">
        <is>
          <t>LEKSAND</t>
        </is>
      </c>
      <c r="G1359" t="n">
        <v>2.5</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2025-06-26T19:17:17Z</dcterms:created>
  <dcterms:modified xmlns:dcterms="http://purl.org/dc/terms/" xmlns:xsi="http://www.w3.org/2001/XMLSchema-instance" xsi:type="dcterms:W3CDTF">2025-06-26T19:17:18Z</dcterms:modified>
</cp:coreProperties>
</file>