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45804</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45804</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45804</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45804</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45804</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45804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45804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45804</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45804</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45804</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45804</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45804</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45804</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45804</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45804</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45804</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45804</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45804</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45804</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45804</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45804</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45804</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45804</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45804</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45804</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45804</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45804</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45804</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45804</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45804</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45804</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45804</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45804</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45804</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45804</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45804</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45804</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45804</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45804</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45804</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45804</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45804</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45804</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45804</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45804</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6977-2023</t>
        </is>
      </c>
      <c r="B47" s="1" t="n">
        <v>44967</v>
      </c>
      <c r="C47" s="1" t="n">
        <v>45804</v>
      </c>
      <c r="D47" t="inlineStr">
        <is>
          <t>DALARNAS LÄN</t>
        </is>
      </c>
      <c r="E47" t="inlineStr">
        <is>
          <t>LEKSAND</t>
        </is>
      </c>
      <c r="G47" t="n">
        <v>5</v>
      </c>
      <c r="H47" t="n">
        <v>0</v>
      </c>
      <c r="I47" t="n">
        <v>0</v>
      </c>
      <c r="J47" t="n">
        <v>1</v>
      </c>
      <c r="K47" t="n">
        <v>0</v>
      </c>
      <c r="L47" t="n">
        <v>0</v>
      </c>
      <c r="M47" t="n">
        <v>0</v>
      </c>
      <c r="N47" t="n">
        <v>0</v>
      </c>
      <c r="O47" t="n">
        <v>1</v>
      </c>
      <c r="P47" t="n">
        <v>0</v>
      </c>
      <c r="Q47" t="n">
        <v>1</v>
      </c>
      <c r="R47" s="2" t="inlineStr">
        <is>
          <t>Backstarr</t>
        </is>
      </c>
      <c r="S47">
        <f>HYPERLINK("https://klasma.github.io/Logging_2029/artfynd/A 6977-2023 artfynd.xlsx", "A 6977-2023")</f>
        <v/>
      </c>
      <c r="T47">
        <f>HYPERLINK("https://klasma.github.io/Logging_2029/kartor/A 6977-2023 karta.png", "A 6977-2023")</f>
        <v/>
      </c>
      <c r="V47">
        <f>HYPERLINK("https://klasma.github.io/Logging_2029/klagomål/A 6977-2023 FSC-klagomål.docx", "A 6977-2023")</f>
        <v/>
      </c>
      <c r="W47">
        <f>HYPERLINK("https://klasma.github.io/Logging_2029/klagomålsmail/A 6977-2023 FSC-klagomål mail.docx", "A 6977-2023")</f>
        <v/>
      </c>
      <c r="X47">
        <f>HYPERLINK("https://klasma.github.io/Logging_2029/tillsyn/A 6977-2023 tillsynsbegäran.docx", "A 6977-2023")</f>
        <v/>
      </c>
      <c r="Y47">
        <f>HYPERLINK("https://klasma.github.io/Logging_2029/tillsynsmail/A 6977-2023 tillsynsbegäran mail.docx", "A 6977-2023")</f>
        <v/>
      </c>
    </row>
    <row r="48" ht="15" customHeight="1">
      <c r="A48" t="inlineStr">
        <is>
          <t>A 8529-2023</t>
        </is>
      </c>
      <c r="B48" s="1" t="n">
        <v>44977</v>
      </c>
      <c r="C48" s="1" t="n">
        <v>45804</v>
      </c>
      <c r="D48" t="inlineStr">
        <is>
          <t>DALARNAS LÄN</t>
        </is>
      </c>
      <c r="E48" t="inlineStr">
        <is>
          <t>LEKSAND</t>
        </is>
      </c>
      <c r="G48" t="n">
        <v>2.7</v>
      </c>
      <c r="H48" t="n">
        <v>1</v>
      </c>
      <c r="I48" t="n">
        <v>0</v>
      </c>
      <c r="J48" t="n">
        <v>0</v>
      </c>
      <c r="K48" t="n">
        <v>1</v>
      </c>
      <c r="L48" t="n">
        <v>0</v>
      </c>
      <c r="M48" t="n">
        <v>0</v>
      </c>
      <c r="N48" t="n">
        <v>0</v>
      </c>
      <c r="O48" t="n">
        <v>1</v>
      </c>
      <c r="P48" t="n">
        <v>1</v>
      </c>
      <c r="Q48" t="n">
        <v>1</v>
      </c>
      <c r="R48" s="2" t="inlineStr">
        <is>
          <t>Knärot</t>
        </is>
      </c>
      <c r="S48">
        <f>HYPERLINK("https://klasma.github.io/Logging_2029/artfynd/A 8529-2023 artfynd.xlsx", "A 8529-2023")</f>
        <v/>
      </c>
      <c r="T48">
        <f>HYPERLINK("https://klasma.github.io/Logging_2029/kartor/A 8529-2023 karta.png", "A 8529-2023")</f>
        <v/>
      </c>
      <c r="U48">
        <f>HYPERLINK("https://klasma.github.io/Logging_2029/knärot/A 8529-2023 karta knärot.png", "A 8529-2023")</f>
        <v/>
      </c>
      <c r="V48">
        <f>HYPERLINK("https://klasma.github.io/Logging_2029/klagomål/A 8529-2023 FSC-klagomål.docx", "A 8529-2023")</f>
        <v/>
      </c>
      <c r="W48">
        <f>HYPERLINK("https://klasma.github.io/Logging_2029/klagomålsmail/A 8529-2023 FSC-klagomål mail.docx", "A 8529-2023")</f>
        <v/>
      </c>
      <c r="X48">
        <f>HYPERLINK("https://klasma.github.io/Logging_2029/tillsyn/A 8529-2023 tillsynsbegäran.docx", "A 8529-2023")</f>
        <v/>
      </c>
      <c r="Y48">
        <f>HYPERLINK("https://klasma.github.io/Logging_2029/tillsynsmail/A 8529-2023 tillsynsbegäran mail.docx", "A 8529-2023")</f>
        <v/>
      </c>
    </row>
    <row r="49" ht="15" customHeight="1">
      <c r="A49" t="inlineStr">
        <is>
          <t>A 11754-2023</t>
        </is>
      </c>
      <c r="B49" s="1" t="n">
        <v>44993</v>
      </c>
      <c r="C49" s="1" t="n">
        <v>45804</v>
      </c>
      <c r="D49" t="inlineStr">
        <is>
          <t>DALARNAS LÄN</t>
        </is>
      </c>
      <c r="E49" t="inlineStr">
        <is>
          <t>LEKSAND</t>
        </is>
      </c>
      <c r="G49" t="n">
        <v>4.7</v>
      </c>
      <c r="H49" t="n">
        <v>1</v>
      </c>
      <c r="I49" t="n">
        <v>0</v>
      </c>
      <c r="J49" t="n">
        <v>0</v>
      </c>
      <c r="K49" t="n">
        <v>1</v>
      </c>
      <c r="L49" t="n">
        <v>0</v>
      </c>
      <c r="M49" t="n">
        <v>0</v>
      </c>
      <c r="N49" t="n">
        <v>0</v>
      </c>
      <c r="O49" t="n">
        <v>1</v>
      </c>
      <c r="P49" t="n">
        <v>1</v>
      </c>
      <c r="Q49" t="n">
        <v>1</v>
      </c>
      <c r="R49" s="2" t="inlineStr">
        <is>
          <t>Knärot</t>
        </is>
      </c>
      <c r="S49">
        <f>HYPERLINK("https://klasma.github.io/Logging_2029/artfynd/A 11754-2023 artfynd.xlsx", "A 11754-2023")</f>
        <v/>
      </c>
      <c r="T49">
        <f>HYPERLINK("https://klasma.github.io/Logging_2029/kartor/A 11754-2023 karta.png", "A 11754-2023")</f>
        <v/>
      </c>
      <c r="U49">
        <f>HYPERLINK("https://klasma.github.io/Logging_2029/knärot/A 11754-2023 karta knärot.png", "A 11754-2023")</f>
        <v/>
      </c>
      <c r="V49">
        <f>HYPERLINK("https://klasma.github.io/Logging_2029/klagomål/A 11754-2023 FSC-klagomål.docx", "A 11754-2023")</f>
        <v/>
      </c>
      <c r="W49">
        <f>HYPERLINK("https://klasma.github.io/Logging_2029/klagomålsmail/A 11754-2023 FSC-klagomål mail.docx", "A 11754-2023")</f>
        <v/>
      </c>
      <c r="X49">
        <f>HYPERLINK("https://klasma.github.io/Logging_2029/tillsyn/A 11754-2023 tillsynsbegäran.docx", "A 11754-2023")</f>
        <v/>
      </c>
      <c r="Y49">
        <f>HYPERLINK("https://klasma.github.io/Logging_2029/tillsynsmail/A 11754-2023 tillsynsbegäran mail.docx", "A 11754-2023")</f>
        <v/>
      </c>
    </row>
    <row r="50" ht="15" customHeight="1">
      <c r="A50" t="inlineStr">
        <is>
          <t>A 15432-2023</t>
        </is>
      </c>
      <c r="B50" s="1" t="n">
        <v>45020</v>
      </c>
      <c r="C50" s="1" t="n">
        <v>45804</v>
      </c>
      <c r="D50" t="inlineStr">
        <is>
          <t>DALARNAS LÄN</t>
        </is>
      </c>
      <c r="E50" t="inlineStr">
        <is>
          <t>LEKSAND</t>
        </is>
      </c>
      <c r="G50" t="n">
        <v>2.5</v>
      </c>
      <c r="H50" t="n">
        <v>0</v>
      </c>
      <c r="I50" t="n">
        <v>1</v>
      </c>
      <c r="J50" t="n">
        <v>0</v>
      </c>
      <c r="K50" t="n">
        <v>0</v>
      </c>
      <c r="L50" t="n">
        <v>0</v>
      </c>
      <c r="M50" t="n">
        <v>0</v>
      </c>
      <c r="N50" t="n">
        <v>0</v>
      </c>
      <c r="O50" t="n">
        <v>0</v>
      </c>
      <c r="P50" t="n">
        <v>0</v>
      </c>
      <c r="Q50" t="n">
        <v>1</v>
      </c>
      <c r="R50" s="2" t="inlineStr">
        <is>
          <t>Mindre märgborre</t>
        </is>
      </c>
      <c r="S50">
        <f>HYPERLINK("https://klasma.github.io/Logging_2029/artfynd/A 15432-2023 artfynd.xlsx", "A 15432-2023")</f>
        <v/>
      </c>
      <c r="T50">
        <f>HYPERLINK("https://klasma.github.io/Logging_2029/kartor/A 15432-2023 karta.png", "A 15432-2023")</f>
        <v/>
      </c>
      <c r="V50">
        <f>HYPERLINK("https://klasma.github.io/Logging_2029/klagomål/A 15432-2023 FSC-klagomål.docx", "A 15432-2023")</f>
        <v/>
      </c>
      <c r="W50">
        <f>HYPERLINK("https://klasma.github.io/Logging_2029/klagomålsmail/A 15432-2023 FSC-klagomål mail.docx", "A 15432-2023")</f>
        <v/>
      </c>
      <c r="X50">
        <f>HYPERLINK("https://klasma.github.io/Logging_2029/tillsyn/A 15432-2023 tillsynsbegäran.docx", "A 15432-2023")</f>
        <v/>
      </c>
      <c r="Y50">
        <f>HYPERLINK("https://klasma.github.io/Logging_2029/tillsynsmail/A 15432-2023 tillsynsbegäran mail.docx", "A 15432-2023")</f>
        <v/>
      </c>
    </row>
    <row r="51" ht="15" customHeight="1">
      <c r="A51" t="inlineStr">
        <is>
          <t>A 15908-2023</t>
        </is>
      </c>
      <c r="B51" s="1" t="n">
        <v>45022</v>
      </c>
      <c r="C51" s="1" t="n">
        <v>45804</v>
      </c>
      <c r="D51" t="inlineStr">
        <is>
          <t>DALARNAS LÄN</t>
        </is>
      </c>
      <c r="E51" t="inlineStr">
        <is>
          <t>LEKSAND</t>
        </is>
      </c>
      <c r="G51" t="n">
        <v>2.4</v>
      </c>
      <c r="H51" t="n">
        <v>1</v>
      </c>
      <c r="I51" t="n">
        <v>0</v>
      </c>
      <c r="J51" t="n">
        <v>0</v>
      </c>
      <c r="K51" t="n">
        <v>0</v>
      </c>
      <c r="L51" t="n">
        <v>0</v>
      </c>
      <c r="M51" t="n">
        <v>0</v>
      </c>
      <c r="N51" t="n">
        <v>0</v>
      </c>
      <c r="O51" t="n">
        <v>0</v>
      </c>
      <c r="P51" t="n">
        <v>0</v>
      </c>
      <c r="Q51" t="n">
        <v>1</v>
      </c>
      <c r="R51" s="2" t="inlineStr">
        <is>
          <t>Blåsippa</t>
        </is>
      </c>
      <c r="S51">
        <f>HYPERLINK("https://klasma.github.io/Logging_2029/artfynd/A 15908-2023 artfynd.xlsx", "A 15908-2023")</f>
        <v/>
      </c>
      <c r="T51">
        <f>HYPERLINK("https://klasma.github.io/Logging_2029/kartor/A 15908-2023 karta.png", "A 15908-2023")</f>
        <v/>
      </c>
      <c r="V51">
        <f>HYPERLINK("https://klasma.github.io/Logging_2029/klagomål/A 15908-2023 FSC-klagomål.docx", "A 15908-2023")</f>
        <v/>
      </c>
      <c r="W51">
        <f>HYPERLINK("https://klasma.github.io/Logging_2029/klagomålsmail/A 15908-2023 FSC-klagomål mail.docx", "A 15908-2023")</f>
        <v/>
      </c>
      <c r="X51">
        <f>HYPERLINK("https://klasma.github.io/Logging_2029/tillsyn/A 15908-2023 tillsynsbegäran.docx", "A 15908-2023")</f>
        <v/>
      </c>
      <c r="Y51">
        <f>HYPERLINK("https://klasma.github.io/Logging_2029/tillsynsmail/A 15908-2023 tillsynsbegäran mail.docx", "A 15908-2023")</f>
        <v/>
      </c>
    </row>
    <row r="52" ht="15" customHeight="1">
      <c r="A52" t="inlineStr">
        <is>
          <t>A 16333-2023</t>
        </is>
      </c>
      <c r="B52" s="1" t="n">
        <v>45028</v>
      </c>
      <c r="C52" s="1" t="n">
        <v>45804</v>
      </c>
      <c r="D52" t="inlineStr">
        <is>
          <t>DALARNAS LÄN</t>
        </is>
      </c>
      <c r="E52" t="inlineStr">
        <is>
          <t>LEKSAND</t>
        </is>
      </c>
      <c r="G52" t="n">
        <v>1.5</v>
      </c>
      <c r="H52" t="n">
        <v>0</v>
      </c>
      <c r="I52" t="n">
        <v>1</v>
      </c>
      <c r="J52" t="n">
        <v>0</v>
      </c>
      <c r="K52" t="n">
        <v>0</v>
      </c>
      <c r="L52" t="n">
        <v>0</v>
      </c>
      <c r="M52" t="n">
        <v>0</v>
      </c>
      <c r="N52" t="n">
        <v>0</v>
      </c>
      <c r="O52" t="n">
        <v>0</v>
      </c>
      <c r="P52" t="n">
        <v>0</v>
      </c>
      <c r="Q52" t="n">
        <v>1</v>
      </c>
      <c r="R52" s="2" t="inlineStr">
        <is>
          <t>Läderskål</t>
        </is>
      </c>
      <c r="S52">
        <f>HYPERLINK("https://klasma.github.io/Logging_2029/artfynd/A 16333-2023 artfynd.xlsx", "A 16333-2023")</f>
        <v/>
      </c>
      <c r="T52">
        <f>HYPERLINK("https://klasma.github.io/Logging_2029/kartor/A 16333-2023 karta.png", "A 16333-2023")</f>
        <v/>
      </c>
      <c r="V52">
        <f>HYPERLINK("https://klasma.github.io/Logging_2029/klagomål/A 16333-2023 FSC-klagomål.docx", "A 16333-2023")</f>
        <v/>
      </c>
      <c r="W52">
        <f>HYPERLINK("https://klasma.github.io/Logging_2029/klagomålsmail/A 16333-2023 FSC-klagomål mail.docx", "A 16333-2023")</f>
        <v/>
      </c>
      <c r="X52">
        <f>HYPERLINK("https://klasma.github.io/Logging_2029/tillsyn/A 16333-2023 tillsynsbegäran.docx", "A 16333-2023")</f>
        <v/>
      </c>
      <c r="Y52">
        <f>HYPERLINK("https://klasma.github.io/Logging_2029/tillsynsmail/A 16333-2023 tillsynsbegäran mail.docx", "A 16333-2023")</f>
        <v/>
      </c>
    </row>
    <row r="53" ht="15" customHeight="1">
      <c r="A53" t="inlineStr">
        <is>
          <t>A 17899-2023</t>
        </is>
      </c>
      <c r="B53" s="1" t="n">
        <v>45039</v>
      </c>
      <c r="C53" s="1" t="n">
        <v>45804</v>
      </c>
      <c r="D53" t="inlineStr">
        <is>
          <t>DALARNAS LÄN</t>
        </is>
      </c>
      <c r="E53" t="inlineStr">
        <is>
          <t>LEKSAND</t>
        </is>
      </c>
      <c r="G53" t="n">
        <v>1.9</v>
      </c>
      <c r="H53" t="n">
        <v>0</v>
      </c>
      <c r="I53" t="n">
        <v>0</v>
      </c>
      <c r="J53" t="n">
        <v>1</v>
      </c>
      <c r="K53" t="n">
        <v>0</v>
      </c>
      <c r="L53" t="n">
        <v>0</v>
      </c>
      <c r="M53" t="n">
        <v>0</v>
      </c>
      <c r="N53" t="n">
        <v>0</v>
      </c>
      <c r="O53" t="n">
        <v>1</v>
      </c>
      <c r="P53" t="n">
        <v>0</v>
      </c>
      <c r="Q53" t="n">
        <v>1</v>
      </c>
      <c r="R53" s="2" t="inlineStr">
        <is>
          <t>Grantaggsvamp</t>
        </is>
      </c>
      <c r="S53">
        <f>HYPERLINK("https://klasma.github.io/Logging_2029/artfynd/A 17899-2023 artfynd.xlsx", "A 17899-2023")</f>
        <v/>
      </c>
      <c r="T53">
        <f>HYPERLINK("https://klasma.github.io/Logging_2029/kartor/A 17899-2023 karta.png", "A 17899-2023")</f>
        <v/>
      </c>
      <c r="V53">
        <f>HYPERLINK("https://klasma.github.io/Logging_2029/klagomål/A 17899-2023 FSC-klagomål.docx", "A 17899-2023")</f>
        <v/>
      </c>
      <c r="W53">
        <f>HYPERLINK("https://klasma.github.io/Logging_2029/klagomålsmail/A 17899-2023 FSC-klagomål mail.docx", "A 17899-2023")</f>
        <v/>
      </c>
      <c r="X53">
        <f>HYPERLINK("https://klasma.github.io/Logging_2029/tillsyn/A 17899-2023 tillsynsbegäran.docx", "A 17899-2023")</f>
        <v/>
      </c>
      <c r="Y53">
        <f>HYPERLINK("https://klasma.github.io/Logging_2029/tillsynsmail/A 17899-2023 tillsynsbegäran mail.docx", "A 17899-2023")</f>
        <v/>
      </c>
    </row>
    <row r="54" ht="15" customHeight="1">
      <c r="A54" t="inlineStr">
        <is>
          <t>A 21419-2023</t>
        </is>
      </c>
      <c r="B54" s="1" t="n">
        <v>45061</v>
      </c>
      <c r="C54" s="1" t="n">
        <v>45804</v>
      </c>
      <c r="D54" t="inlineStr">
        <is>
          <t>DALARNAS LÄN</t>
        </is>
      </c>
      <c r="E54" t="inlineStr">
        <is>
          <t>LEKSAND</t>
        </is>
      </c>
      <c r="G54" t="n">
        <v>5.5</v>
      </c>
      <c r="H54" t="n">
        <v>1</v>
      </c>
      <c r="I54" t="n">
        <v>0</v>
      </c>
      <c r="J54" t="n">
        <v>0</v>
      </c>
      <c r="K54" t="n">
        <v>0</v>
      </c>
      <c r="L54" t="n">
        <v>0</v>
      </c>
      <c r="M54" t="n">
        <v>0</v>
      </c>
      <c r="N54" t="n">
        <v>0</v>
      </c>
      <c r="O54" t="n">
        <v>0</v>
      </c>
      <c r="P54" t="n">
        <v>0</v>
      </c>
      <c r="Q54" t="n">
        <v>1</v>
      </c>
      <c r="R54" s="2" t="inlineStr">
        <is>
          <t>Nattviol</t>
        </is>
      </c>
      <c r="S54">
        <f>HYPERLINK("https://klasma.github.io/Logging_2029/artfynd/A 21419-2023 artfynd.xlsx", "A 21419-2023")</f>
        <v/>
      </c>
      <c r="T54">
        <f>HYPERLINK("https://klasma.github.io/Logging_2029/kartor/A 21419-2023 karta.png", "A 21419-2023")</f>
        <v/>
      </c>
      <c r="V54">
        <f>HYPERLINK("https://klasma.github.io/Logging_2029/klagomål/A 21419-2023 FSC-klagomål.docx", "A 21419-2023")</f>
        <v/>
      </c>
      <c r="W54">
        <f>HYPERLINK("https://klasma.github.io/Logging_2029/klagomålsmail/A 21419-2023 FSC-klagomål mail.docx", "A 21419-2023")</f>
        <v/>
      </c>
      <c r="X54">
        <f>HYPERLINK("https://klasma.github.io/Logging_2029/tillsyn/A 21419-2023 tillsynsbegäran.docx", "A 21419-2023")</f>
        <v/>
      </c>
      <c r="Y54">
        <f>HYPERLINK("https://klasma.github.io/Logging_2029/tillsynsmail/A 21419-2023 tillsynsbegäran mail.docx", "A 21419-2023")</f>
        <v/>
      </c>
    </row>
    <row r="55" ht="15" customHeight="1">
      <c r="A55" t="inlineStr">
        <is>
          <t>A 26287-2023</t>
        </is>
      </c>
      <c r="B55" s="1" t="n">
        <v>45091</v>
      </c>
      <c r="C55" s="1" t="n">
        <v>45804</v>
      </c>
      <c r="D55" t="inlineStr">
        <is>
          <t>DALARNAS LÄN</t>
        </is>
      </c>
      <c r="E55" t="inlineStr">
        <is>
          <t>LEKSAND</t>
        </is>
      </c>
      <c r="G55" t="n">
        <v>2.4</v>
      </c>
      <c r="H55" t="n">
        <v>0</v>
      </c>
      <c r="I55" t="n">
        <v>1</v>
      </c>
      <c r="J55" t="n">
        <v>0</v>
      </c>
      <c r="K55" t="n">
        <v>0</v>
      </c>
      <c r="L55" t="n">
        <v>0</v>
      </c>
      <c r="M55" t="n">
        <v>0</v>
      </c>
      <c r="N55" t="n">
        <v>0</v>
      </c>
      <c r="O55" t="n">
        <v>0</v>
      </c>
      <c r="P55" t="n">
        <v>0</v>
      </c>
      <c r="Q55" t="n">
        <v>1</v>
      </c>
      <c r="R55" s="2" t="inlineStr">
        <is>
          <t>Mindre märgborre</t>
        </is>
      </c>
      <c r="S55">
        <f>HYPERLINK("https://klasma.github.io/Logging_2029/artfynd/A 26287-2023 artfynd.xlsx", "A 26287-2023")</f>
        <v/>
      </c>
      <c r="T55">
        <f>HYPERLINK("https://klasma.github.io/Logging_2029/kartor/A 26287-2023 karta.png", "A 26287-2023")</f>
        <v/>
      </c>
      <c r="V55">
        <f>HYPERLINK("https://klasma.github.io/Logging_2029/klagomål/A 26287-2023 FSC-klagomål.docx", "A 26287-2023")</f>
        <v/>
      </c>
      <c r="W55">
        <f>HYPERLINK("https://klasma.github.io/Logging_2029/klagomålsmail/A 26287-2023 FSC-klagomål mail.docx", "A 26287-2023")</f>
        <v/>
      </c>
      <c r="X55">
        <f>HYPERLINK("https://klasma.github.io/Logging_2029/tillsyn/A 26287-2023 tillsynsbegäran.docx", "A 26287-2023")</f>
        <v/>
      </c>
      <c r="Y55">
        <f>HYPERLINK("https://klasma.github.io/Logging_2029/tillsynsmail/A 26287-2023 tillsynsbegäran mail.docx", "A 26287-2023")</f>
        <v/>
      </c>
    </row>
    <row r="56" ht="15" customHeight="1">
      <c r="A56" t="inlineStr">
        <is>
          <t>A 47803-2023</t>
        </is>
      </c>
      <c r="B56" s="1" t="n">
        <v>45204</v>
      </c>
      <c r="C56" s="1" t="n">
        <v>45804</v>
      </c>
      <c r="D56" t="inlineStr">
        <is>
          <t>DALARNAS LÄN</t>
        </is>
      </c>
      <c r="E56" t="inlineStr">
        <is>
          <t>LEKSAND</t>
        </is>
      </c>
      <c r="G56" t="n">
        <v>2</v>
      </c>
      <c r="H56" t="n">
        <v>1</v>
      </c>
      <c r="I56" t="n">
        <v>0</v>
      </c>
      <c r="J56" t="n">
        <v>0</v>
      </c>
      <c r="K56" t="n">
        <v>1</v>
      </c>
      <c r="L56" t="n">
        <v>0</v>
      </c>
      <c r="M56" t="n">
        <v>0</v>
      </c>
      <c r="N56" t="n">
        <v>0</v>
      </c>
      <c r="O56" t="n">
        <v>1</v>
      </c>
      <c r="P56" t="n">
        <v>1</v>
      </c>
      <c r="Q56" t="n">
        <v>1</v>
      </c>
      <c r="R56" s="2" t="inlineStr">
        <is>
          <t>Lappuggla</t>
        </is>
      </c>
      <c r="S56">
        <f>HYPERLINK("https://klasma.github.io/Logging_2029/artfynd/A 47803-2023 artfynd.xlsx", "A 47803-2023")</f>
        <v/>
      </c>
      <c r="T56">
        <f>HYPERLINK("https://klasma.github.io/Logging_2029/kartor/A 47803-2023 karta.png", "A 47803-2023")</f>
        <v/>
      </c>
      <c r="V56">
        <f>HYPERLINK("https://klasma.github.io/Logging_2029/klagomål/A 47803-2023 FSC-klagomål.docx", "A 47803-2023")</f>
        <v/>
      </c>
      <c r="W56">
        <f>HYPERLINK("https://klasma.github.io/Logging_2029/klagomålsmail/A 47803-2023 FSC-klagomål mail.docx", "A 47803-2023")</f>
        <v/>
      </c>
      <c r="X56">
        <f>HYPERLINK("https://klasma.github.io/Logging_2029/tillsyn/A 47803-2023 tillsynsbegäran.docx", "A 47803-2023")</f>
        <v/>
      </c>
      <c r="Y56">
        <f>HYPERLINK("https://klasma.github.io/Logging_2029/tillsynsmail/A 47803-2023 tillsynsbegäran mail.docx", "A 47803-2023")</f>
        <v/>
      </c>
      <c r="Z56">
        <f>HYPERLINK("https://klasma.github.io/Logging_2029/fåglar/A 47803-2023 prioriterade fågelarter.docx", "A 47803-2023")</f>
        <v/>
      </c>
    </row>
    <row r="57" ht="15" customHeight="1">
      <c r="A57" t="inlineStr">
        <is>
          <t>A 53262-2023</t>
        </is>
      </c>
      <c r="B57" s="1" t="n">
        <v>45229</v>
      </c>
      <c r="C57" s="1" t="n">
        <v>45804</v>
      </c>
      <c r="D57" t="inlineStr">
        <is>
          <t>DALARNAS LÄN</t>
        </is>
      </c>
      <c r="E57" t="inlineStr">
        <is>
          <t>LEKSAND</t>
        </is>
      </c>
      <c r="G57" t="n">
        <v>6.1</v>
      </c>
      <c r="H57" t="n">
        <v>1</v>
      </c>
      <c r="I57" t="n">
        <v>0</v>
      </c>
      <c r="J57" t="n">
        <v>0</v>
      </c>
      <c r="K57" t="n">
        <v>0</v>
      </c>
      <c r="L57" t="n">
        <v>1</v>
      </c>
      <c r="M57" t="n">
        <v>0</v>
      </c>
      <c r="N57" t="n">
        <v>0</v>
      </c>
      <c r="O57" t="n">
        <v>1</v>
      </c>
      <c r="P57" t="n">
        <v>1</v>
      </c>
      <c r="Q57" t="n">
        <v>1</v>
      </c>
      <c r="R57" s="2" t="inlineStr">
        <is>
          <t>Mosippa</t>
        </is>
      </c>
      <c r="S57">
        <f>HYPERLINK("https://klasma.github.io/Logging_2029/artfynd/A 53262-2023 artfynd.xlsx", "A 53262-2023")</f>
        <v/>
      </c>
      <c r="T57">
        <f>HYPERLINK("https://klasma.github.io/Logging_2029/kartor/A 53262-2023 karta.png", "A 53262-2023")</f>
        <v/>
      </c>
      <c r="V57">
        <f>HYPERLINK("https://klasma.github.io/Logging_2029/klagomål/A 53262-2023 FSC-klagomål.docx", "A 53262-2023")</f>
        <v/>
      </c>
      <c r="W57">
        <f>HYPERLINK("https://klasma.github.io/Logging_2029/klagomålsmail/A 53262-2023 FSC-klagomål mail.docx", "A 53262-2023")</f>
        <v/>
      </c>
      <c r="X57">
        <f>HYPERLINK("https://klasma.github.io/Logging_2029/tillsyn/A 53262-2023 tillsynsbegäran.docx", "A 53262-2023")</f>
        <v/>
      </c>
      <c r="Y57">
        <f>HYPERLINK("https://klasma.github.io/Logging_2029/tillsynsmail/A 53262-2023 tillsynsbegäran mail.docx", "A 53262-2023")</f>
        <v/>
      </c>
    </row>
    <row r="58" ht="15" customHeight="1">
      <c r="A58" t="inlineStr">
        <is>
          <t>A 59205-2023</t>
        </is>
      </c>
      <c r="B58" s="1" t="n">
        <v>45251</v>
      </c>
      <c r="C58" s="1" t="n">
        <v>45804</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60238-2023</t>
        </is>
      </c>
      <c r="B59" s="1" t="n">
        <v>45258</v>
      </c>
      <c r="C59" s="1" t="n">
        <v>45804</v>
      </c>
      <c r="D59" t="inlineStr">
        <is>
          <t>DALARNAS LÄN</t>
        </is>
      </c>
      <c r="E59" t="inlineStr">
        <is>
          <t>LEKSAND</t>
        </is>
      </c>
      <c r="G59" t="n">
        <v>3.2</v>
      </c>
      <c r="H59" t="n">
        <v>1</v>
      </c>
      <c r="I59" t="n">
        <v>0</v>
      </c>
      <c r="J59" t="n">
        <v>0</v>
      </c>
      <c r="K59" t="n">
        <v>0</v>
      </c>
      <c r="L59" t="n">
        <v>0</v>
      </c>
      <c r="M59" t="n">
        <v>0</v>
      </c>
      <c r="N59" t="n">
        <v>0</v>
      </c>
      <c r="O59" t="n">
        <v>0</v>
      </c>
      <c r="P59" t="n">
        <v>0</v>
      </c>
      <c r="Q59" t="n">
        <v>1</v>
      </c>
      <c r="R59" s="2" t="inlineStr">
        <is>
          <t>Blåsippa</t>
        </is>
      </c>
      <c r="S59">
        <f>HYPERLINK("https://klasma.github.io/Logging_2029/artfynd/A 60238-2023 artfynd.xlsx", "A 60238-2023")</f>
        <v/>
      </c>
      <c r="T59">
        <f>HYPERLINK("https://klasma.github.io/Logging_2029/kartor/A 60238-2023 karta.png", "A 60238-2023")</f>
        <v/>
      </c>
      <c r="V59">
        <f>HYPERLINK("https://klasma.github.io/Logging_2029/klagomål/A 60238-2023 FSC-klagomål.docx", "A 60238-2023")</f>
        <v/>
      </c>
      <c r="W59">
        <f>HYPERLINK("https://klasma.github.io/Logging_2029/klagomålsmail/A 60238-2023 FSC-klagomål mail.docx", "A 60238-2023")</f>
        <v/>
      </c>
      <c r="X59">
        <f>HYPERLINK("https://klasma.github.io/Logging_2029/tillsyn/A 60238-2023 tillsynsbegäran.docx", "A 60238-2023")</f>
        <v/>
      </c>
      <c r="Y59">
        <f>HYPERLINK("https://klasma.github.io/Logging_2029/tillsynsmail/A 60238-2023 tillsynsbegäran mail.docx", "A 60238-2023")</f>
        <v/>
      </c>
    </row>
    <row r="60" ht="15" customHeight="1">
      <c r="A60" t="inlineStr">
        <is>
          <t>A 164-2024</t>
        </is>
      </c>
      <c r="B60" s="1" t="n">
        <v>45294</v>
      </c>
      <c r="C60" s="1" t="n">
        <v>45804</v>
      </c>
      <c r="D60" t="inlineStr">
        <is>
          <t>DALARNAS LÄN</t>
        </is>
      </c>
      <c r="E60" t="inlineStr">
        <is>
          <t>LEKSAND</t>
        </is>
      </c>
      <c r="G60" t="n">
        <v>3.7</v>
      </c>
      <c r="H60" t="n">
        <v>1</v>
      </c>
      <c r="I60" t="n">
        <v>0</v>
      </c>
      <c r="J60" t="n">
        <v>1</v>
      </c>
      <c r="K60" t="n">
        <v>0</v>
      </c>
      <c r="L60" t="n">
        <v>0</v>
      </c>
      <c r="M60" t="n">
        <v>0</v>
      </c>
      <c r="N60" t="n">
        <v>0</v>
      </c>
      <c r="O60" t="n">
        <v>1</v>
      </c>
      <c r="P60" t="n">
        <v>0</v>
      </c>
      <c r="Q60" t="n">
        <v>1</v>
      </c>
      <c r="R60" s="2" t="inlineStr">
        <is>
          <t>Järpe</t>
        </is>
      </c>
      <c r="S60">
        <f>HYPERLINK("https://klasma.github.io/Logging_2029/artfynd/A 164-2024 artfynd.xlsx", "A 164-2024")</f>
        <v/>
      </c>
      <c r="T60">
        <f>HYPERLINK("https://klasma.github.io/Logging_2029/kartor/A 164-2024 karta.png", "A 164-2024")</f>
        <v/>
      </c>
      <c r="V60">
        <f>HYPERLINK("https://klasma.github.io/Logging_2029/klagomål/A 164-2024 FSC-klagomål.docx", "A 164-2024")</f>
        <v/>
      </c>
      <c r="W60">
        <f>HYPERLINK("https://klasma.github.io/Logging_2029/klagomålsmail/A 164-2024 FSC-klagomål mail.docx", "A 164-2024")</f>
        <v/>
      </c>
      <c r="X60">
        <f>HYPERLINK("https://klasma.github.io/Logging_2029/tillsyn/A 164-2024 tillsynsbegäran.docx", "A 164-2024")</f>
        <v/>
      </c>
      <c r="Y60">
        <f>HYPERLINK("https://klasma.github.io/Logging_2029/tillsynsmail/A 164-2024 tillsynsbegäran mail.docx", "A 164-2024")</f>
        <v/>
      </c>
      <c r="Z60">
        <f>HYPERLINK("https://klasma.github.io/Logging_2029/fåglar/A 164-2024 prioriterade fågelarter.docx", "A 164-2024")</f>
        <v/>
      </c>
    </row>
    <row r="61" ht="15" customHeight="1">
      <c r="A61" t="inlineStr">
        <is>
          <t>A 988-2024</t>
        </is>
      </c>
      <c r="B61" s="1" t="n">
        <v>45301</v>
      </c>
      <c r="C61" s="1" t="n">
        <v>45804</v>
      </c>
      <c r="D61" t="inlineStr">
        <is>
          <t>DALARNAS LÄN</t>
        </is>
      </c>
      <c r="E61" t="inlineStr">
        <is>
          <t>LEKSAND</t>
        </is>
      </c>
      <c r="G61" t="n">
        <v>2.2</v>
      </c>
      <c r="H61" t="n">
        <v>1</v>
      </c>
      <c r="I61" t="n">
        <v>0</v>
      </c>
      <c r="J61" t="n">
        <v>0</v>
      </c>
      <c r="K61" t="n">
        <v>0</v>
      </c>
      <c r="L61" t="n">
        <v>0</v>
      </c>
      <c r="M61" t="n">
        <v>0</v>
      </c>
      <c r="N61" t="n">
        <v>0</v>
      </c>
      <c r="O61" t="n">
        <v>0</v>
      </c>
      <c r="P61" t="n">
        <v>0</v>
      </c>
      <c r="Q61" t="n">
        <v>1</v>
      </c>
      <c r="R61" s="2" t="inlineStr">
        <is>
          <t>Nattviol</t>
        </is>
      </c>
      <c r="S61">
        <f>HYPERLINK("https://klasma.github.io/Logging_2029/artfynd/A 988-2024 artfynd.xlsx", "A 988-2024")</f>
        <v/>
      </c>
      <c r="T61">
        <f>HYPERLINK("https://klasma.github.io/Logging_2029/kartor/A 988-2024 karta.png", "A 988-2024")</f>
        <v/>
      </c>
      <c r="V61">
        <f>HYPERLINK("https://klasma.github.io/Logging_2029/klagomål/A 988-2024 FSC-klagomål.docx", "A 988-2024")</f>
        <v/>
      </c>
      <c r="W61">
        <f>HYPERLINK("https://klasma.github.io/Logging_2029/klagomålsmail/A 988-2024 FSC-klagomål mail.docx", "A 988-2024")</f>
        <v/>
      </c>
      <c r="X61">
        <f>HYPERLINK("https://klasma.github.io/Logging_2029/tillsyn/A 988-2024 tillsynsbegäran.docx", "A 988-2024")</f>
        <v/>
      </c>
      <c r="Y61">
        <f>HYPERLINK("https://klasma.github.io/Logging_2029/tillsynsmail/A 988-2024 tillsynsbegäran mail.docx", "A 988-2024")</f>
        <v/>
      </c>
    </row>
    <row r="62" ht="15" customHeight="1">
      <c r="A62" t="inlineStr">
        <is>
          <t>A 20794-2024</t>
        </is>
      </c>
      <c r="B62" s="1" t="n">
        <v>45438</v>
      </c>
      <c r="C62" s="1" t="n">
        <v>45804</v>
      </c>
      <c r="D62" t="inlineStr">
        <is>
          <t>DALARNAS LÄN</t>
        </is>
      </c>
      <c r="E62" t="inlineStr">
        <is>
          <t>LEKSAND</t>
        </is>
      </c>
      <c r="G62" t="n">
        <v>6.1</v>
      </c>
      <c r="H62" t="n">
        <v>1</v>
      </c>
      <c r="I62" t="n">
        <v>0</v>
      </c>
      <c r="J62" t="n">
        <v>1</v>
      </c>
      <c r="K62" t="n">
        <v>0</v>
      </c>
      <c r="L62" t="n">
        <v>0</v>
      </c>
      <c r="M62" t="n">
        <v>0</v>
      </c>
      <c r="N62" t="n">
        <v>0</v>
      </c>
      <c r="O62" t="n">
        <v>1</v>
      </c>
      <c r="P62" t="n">
        <v>0</v>
      </c>
      <c r="Q62" t="n">
        <v>1</v>
      </c>
      <c r="R62" s="2" t="inlineStr">
        <is>
          <t>Utter</t>
        </is>
      </c>
      <c r="S62">
        <f>HYPERLINK("https://klasma.github.io/Logging_2029/artfynd/A 20794-2024 artfynd.xlsx", "A 20794-2024")</f>
        <v/>
      </c>
      <c r="T62">
        <f>HYPERLINK("https://klasma.github.io/Logging_2029/kartor/A 20794-2024 karta.png", "A 20794-2024")</f>
        <v/>
      </c>
      <c r="V62">
        <f>HYPERLINK("https://klasma.github.io/Logging_2029/klagomål/A 20794-2024 FSC-klagomål.docx", "A 20794-2024")</f>
        <v/>
      </c>
      <c r="W62">
        <f>HYPERLINK("https://klasma.github.io/Logging_2029/klagomålsmail/A 20794-2024 FSC-klagomål mail.docx", "A 20794-2024")</f>
        <v/>
      </c>
      <c r="X62">
        <f>HYPERLINK("https://klasma.github.io/Logging_2029/tillsyn/A 20794-2024 tillsynsbegäran.docx", "A 20794-2024")</f>
        <v/>
      </c>
      <c r="Y62">
        <f>HYPERLINK("https://klasma.github.io/Logging_2029/tillsynsmail/A 20794-2024 tillsynsbegäran mail.docx", "A 20794-2024")</f>
        <v/>
      </c>
    </row>
    <row r="63" ht="15" customHeight="1">
      <c r="A63" t="inlineStr">
        <is>
          <t>A 23417-2024</t>
        </is>
      </c>
      <c r="B63" s="1" t="n">
        <v>45453</v>
      </c>
      <c r="C63" s="1" t="n">
        <v>45804</v>
      </c>
      <c r="D63" t="inlineStr">
        <is>
          <t>DALARNAS LÄN</t>
        </is>
      </c>
      <c r="E63" t="inlineStr">
        <is>
          <t>LEKSAND</t>
        </is>
      </c>
      <c r="F63" t="inlineStr">
        <is>
          <t>Bergvik skog väst AB</t>
        </is>
      </c>
      <c r="G63" t="n">
        <v>39.9</v>
      </c>
      <c r="H63" t="n">
        <v>0</v>
      </c>
      <c r="I63" t="n">
        <v>0</v>
      </c>
      <c r="J63" t="n">
        <v>1</v>
      </c>
      <c r="K63" t="n">
        <v>0</v>
      </c>
      <c r="L63" t="n">
        <v>0</v>
      </c>
      <c r="M63" t="n">
        <v>0</v>
      </c>
      <c r="N63" t="n">
        <v>0</v>
      </c>
      <c r="O63" t="n">
        <v>1</v>
      </c>
      <c r="P63" t="n">
        <v>0</v>
      </c>
      <c r="Q63" t="n">
        <v>1</v>
      </c>
      <c r="R63" s="2" t="inlineStr">
        <is>
          <t>Tallticka</t>
        </is>
      </c>
      <c r="S63">
        <f>HYPERLINK("https://klasma.github.io/Logging_2029/artfynd/A 23417-2024 artfynd.xlsx", "A 23417-2024")</f>
        <v/>
      </c>
      <c r="T63">
        <f>HYPERLINK("https://klasma.github.io/Logging_2029/kartor/A 23417-2024 karta.png", "A 23417-2024")</f>
        <v/>
      </c>
      <c r="V63">
        <f>HYPERLINK("https://klasma.github.io/Logging_2029/klagomål/A 23417-2024 FSC-klagomål.docx", "A 23417-2024")</f>
        <v/>
      </c>
      <c r="W63">
        <f>HYPERLINK("https://klasma.github.io/Logging_2029/klagomålsmail/A 23417-2024 FSC-klagomål mail.docx", "A 23417-2024")</f>
        <v/>
      </c>
      <c r="X63">
        <f>HYPERLINK("https://klasma.github.io/Logging_2029/tillsyn/A 23417-2024 tillsynsbegäran.docx", "A 23417-2024")</f>
        <v/>
      </c>
      <c r="Y63">
        <f>HYPERLINK("https://klasma.github.io/Logging_2029/tillsynsmail/A 23417-2024 tillsynsbegäran mail.docx", "A 23417-2024")</f>
        <v/>
      </c>
    </row>
    <row r="64" ht="15" customHeight="1">
      <c r="A64" t="inlineStr">
        <is>
          <t>A 31124-2024</t>
        </is>
      </c>
      <c r="B64" s="1" t="n">
        <v>45502</v>
      </c>
      <c r="C64" s="1" t="n">
        <v>45804</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31794-2024</t>
        </is>
      </c>
      <c r="B65" s="1" t="n">
        <v>45509</v>
      </c>
      <c r="C65" s="1" t="n">
        <v>45804</v>
      </c>
      <c r="D65" t="inlineStr">
        <is>
          <t>DALARNAS LÄN</t>
        </is>
      </c>
      <c r="E65" t="inlineStr">
        <is>
          <t>LEKSAND</t>
        </is>
      </c>
      <c r="F65" t="inlineStr">
        <is>
          <t>Bergvik skog väst AB</t>
        </is>
      </c>
      <c r="G65" t="n">
        <v>6.7</v>
      </c>
      <c r="H65" t="n">
        <v>1</v>
      </c>
      <c r="I65" t="n">
        <v>0</v>
      </c>
      <c r="J65" t="n">
        <v>0</v>
      </c>
      <c r="K65" t="n">
        <v>0</v>
      </c>
      <c r="L65" t="n">
        <v>0</v>
      </c>
      <c r="M65" t="n">
        <v>0</v>
      </c>
      <c r="N65" t="n">
        <v>0</v>
      </c>
      <c r="O65" t="n">
        <v>0</v>
      </c>
      <c r="P65" t="n">
        <v>0</v>
      </c>
      <c r="Q65" t="n">
        <v>1</v>
      </c>
      <c r="R65" s="2" t="inlineStr">
        <is>
          <t>Revlummer</t>
        </is>
      </c>
      <c r="S65">
        <f>HYPERLINK("https://klasma.github.io/Logging_2029/artfynd/A 31794-2024 artfynd.xlsx", "A 31794-2024")</f>
        <v/>
      </c>
      <c r="T65">
        <f>HYPERLINK("https://klasma.github.io/Logging_2029/kartor/A 31794-2024 karta.png", "A 31794-2024")</f>
        <v/>
      </c>
      <c r="V65">
        <f>HYPERLINK("https://klasma.github.io/Logging_2029/klagomål/A 31794-2024 FSC-klagomål.docx", "A 31794-2024")</f>
        <v/>
      </c>
      <c r="W65">
        <f>HYPERLINK("https://klasma.github.io/Logging_2029/klagomålsmail/A 31794-2024 FSC-klagomål mail.docx", "A 31794-2024")</f>
        <v/>
      </c>
      <c r="X65">
        <f>HYPERLINK("https://klasma.github.io/Logging_2029/tillsyn/A 31794-2024 tillsynsbegäran.docx", "A 31794-2024")</f>
        <v/>
      </c>
      <c r="Y65">
        <f>HYPERLINK("https://klasma.github.io/Logging_2029/tillsynsmail/A 31794-2024 tillsynsbegäran mail.docx", "A 31794-2024")</f>
        <v/>
      </c>
    </row>
    <row r="66" ht="15" customHeight="1">
      <c r="A66" t="inlineStr">
        <is>
          <t>A 33554-2024</t>
        </is>
      </c>
      <c r="B66" s="1" t="n">
        <v>45519</v>
      </c>
      <c r="C66" s="1" t="n">
        <v>45804</v>
      </c>
      <c r="D66" t="inlineStr">
        <is>
          <t>DALARNAS LÄN</t>
        </is>
      </c>
      <c r="E66" t="inlineStr">
        <is>
          <t>LEKSAND</t>
        </is>
      </c>
      <c r="G66" t="n">
        <v>11.1</v>
      </c>
      <c r="H66" t="n">
        <v>0</v>
      </c>
      <c r="I66" t="n">
        <v>1</v>
      </c>
      <c r="J66" t="n">
        <v>0</v>
      </c>
      <c r="K66" t="n">
        <v>0</v>
      </c>
      <c r="L66" t="n">
        <v>0</v>
      </c>
      <c r="M66" t="n">
        <v>0</v>
      </c>
      <c r="N66" t="n">
        <v>0</v>
      </c>
      <c r="O66" t="n">
        <v>0</v>
      </c>
      <c r="P66" t="n">
        <v>0</v>
      </c>
      <c r="Q66" t="n">
        <v>1</v>
      </c>
      <c r="R66" s="2" t="inlineStr">
        <is>
          <t>Mindre märgborre</t>
        </is>
      </c>
      <c r="S66">
        <f>HYPERLINK("https://klasma.github.io/Logging_2029/artfynd/A 33554-2024 artfynd.xlsx", "A 33554-2024")</f>
        <v/>
      </c>
      <c r="T66">
        <f>HYPERLINK("https://klasma.github.io/Logging_2029/kartor/A 33554-2024 karta.png", "A 33554-2024")</f>
        <v/>
      </c>
      <c r="V66">
        <f>HYPERLINK("https://klasma.github.io/Logging_2029/klagomål/A 33554-2024 FSC-klagomål.docx", "A 33554-2024")</f>
        <v/>
      </c>
      <c r="W66">
        <f>HYPERLINK("https://klasma.github.io/Logging_2029/klagomålsmail/A 33554-2024 FSC-klagomål mail.docx", "A 33554-2024")</f>
        <v/>
      </c>
      <c r="X66">
        <f>HYPERLINK("https://klasma.github.io/Logging_2029/tillsyn/A 33554-2024 tillsynsbegäran.docx", "A 33554-2024")</f>
        <v/>
      </c>
      <c r="Y66">
        <f>HYPERLINK("https://klasma.github.io/Logging_2029/tillsynsmail/A 33554-2024 tillsynsbegäran mail.docx", "A 33554-2024")</f>
        <v/>
      </c>
    </row>
    <row r="67" ht="15" customHeight="1">
      <c r="A67" t="inlineStr">
        <is>
          <t>A 44138-2024</t>
        </is>
      </c>
      <c r="B67" s="1" t="n">
        <v>45572</v>
      </c>
      <c r="C67" s="1" t="n">
        <v>45804</v>
      </c>
      <c r="D67" t="inlineStr">
        <is>
          <t>DALARNAS LÄN</t>
        </is>
      </c>
      <c r="E67" t="inlineStr">
        <is>
          <t>LEKSAND</t>
        </is>
      </c>
      <c r="G67" t="n">
        <v>2.5</v>
      </c>
      <c r="H67" t="n">
        <v>0</v>
      </c>
      <c r="I67" t="n">
        <v>0</v>
      </c>
      <c r="J67" t="n">
        <v>1</v>
      </c>
      <c r="K67" t="n">
        <v>0</v>
      </c>
      <c r="L67" t="n">
        <v>0</v>
      </c>
      <c r="M67" t="n">
        <v>0</v>
      </c>
      <c r="N67" t="n">
        <v>0</v>
      </c>
      <c r="O67" t="n">
        <v>1</v>
      </c>
      <c r="P67" t="n">
        <v>0</v>
      </c>
      <c r="Q67" t="n">
        <v>1</v>
      </c>
      <c r="R67" s="2" t="inlineStr">
        <is>
          <t>Garnlav</t>
        </is>
      </c>
      <c r="S67">
        <f>HYPERLINK("https://klasma.github.io/Logging_2029/artfynd/A 44138-2024 artfynd.xlsx", "A 44138-2024")</f>
        <v/>
      </c>
      <c r="T67">
        <f>HYPERLINK("https://klasma.github.io/Logging_2029/kartor/A 44138-2024 karta.png", "A 44138-2024")</f>
        <v/>
      </c>
      <c r="V67">
        <f>HYPERLINK("https://klasma.github.io/Logging_2029/klagomål/A 44138-2024 FSC-klagomål.docx", "A 44138-2024")</f>
        <v/>
      </c>
      <c r="W67">
        <f>HYPERLINK("https://klasma.github.io/Logging_2029/klagomålsmail/A 44138-2024 FSC-klagomål mail.docx", "A 44138-2024")</f>
        <v/>
      </c>
      <c r="X67">
        <f>HYPERLINK("https://klasma.github.io/Logging_2029/tillsyn/A 44138-2024 tillsynsbegäran.docx", "A 44138-2024")</f>
        <v/>
      </c>
      <c r="Y67">
        <f>HYPERLINK("https://klasma.github.io/Logging_2029/tillsynsmail/A 44138-2024 tillsynsbegäran mail.docx", "A 44138-2024")</f>
        <v/>
      </c>
    </row>
    <row r="68" ht="15" customHeight="1">
      <c r="A68" t="inlineStr">
        <is>
          <t>A 52600-2024</t>
        </is>
      </c>
      <c r="B68" s="1" t="n">
        <v>45609</v>
      </c>
      <c r="C68" s="1" t="n">
        <v>45804</v>
      </c>
      <c r="D68" t="inlineStr">
        <is>
          <t>DALARNAS LÄN</t>
        </is>
      </c>
      <c r="E68" t="inlineStr">
        <is>
          <t>LEKSAND</t>
        </is>
      </c>
      <c r="G68" t="n">
        <v>3.4</v>
      </c>
      <c r="H68" t="n">
        <v>1</v>
      </c>
      <c r="I68" t="n">
        <v>0</v>
      </c>
      <c r="J68" t="n">
        <v>0</v>
      </c>
      <c r="K68" t="n">
        <v>0</v>
      </c>
      <c r="L68" t="n">
        <v>0</v>
      </c>
      <c r="M68" t="n">
        <v>0</v>
      </c>
      <c r="N68" t="n">
        <v>0</v>
      </c>
      <c r="O68" t="n">
        <v>0</v>
      </c>
      <c r="P68" t="n">
        <v>0</v>
      </c>
      <c r="Q68" t="n">
        <v>1</v>
      </c>
      <c r="R68" s="2" t="inlineStr">
        <is>
          <t>Fläcknycklar</t>
        </is>
      </c>
      <c r="S68">
        <f>HYPERLINK("https://klasma.github.io/Logging_2029/artfynd/A 52600-2024 artfynd.xlsx", "A 52600-2024")</f>
        <v/>
      </c>
      <c r="T68">
        <f>HYPERLINK("https://klasma.github.io/Logging_2029/kartor/A 52600-2024 karta.png", "A 52600-2024")</f>
        <v/>
      </c>
      <c r="V68">
        <f>HYPERLINK("https://klasma.github.io/Logging_2029/klagomål/A 52600-2024 FSC-klagomål.docx", "A 52600-2024")</f>
        <v/>
      </c>
      <c r="W68">
        <f>HYPERLINK("https://klasma.github.io/Logging_2029/klagomålsmail/A 52600-2024 FSC-klagomål mail.docx", "A 52600-2024")</f>
        <v/>
      </c>
      <c r="X68">
        <f>HYPERLINK("https://klasma.github.io/Logging_2029/tillsyn/A 52600-2024 tillsynsbegäran.docx", "A 52600-2024")</f>
        <v/>
      </c>
      <c r="Y68">
        <f>HYPERLINK("https://klasma.github.io/Logging_2029/tillsynsmail/A 52600-2024 tillsynsbegäran mail.docx", "A 52600-2024")</f>
        <v/>
      </c>
    </row>
    <row r="69" ht="15" customHeight="1">
      <c r="A69" t="inlineStr">
        <is>
          <t>A 55633-2024</t>
        </is>
      </c>
      <c r="B69" s="1" t="n">
        <v>45621</v>
      </c>
      <c r="C69" s="1" t="n">
        <v>45804</v>
      </c>
      <c r="D69" t="inlineStr">
        <is>
          <t>DALARNAS LÄN</t>
        </is>
      </c>
      <c r="E69" t="inlineStr">
        <is>
          <t>LEKSAND</t>
        </is>
      </c>
      <c r="G69" t="n">
        <v>7.8</v>
      </c>
      <c r="H69" t="n">
        <v>0</v>
      </c>
      <c r="I69" t="n">
        <v>0</v>
      </c>
      <c r="J69" t="n">
        <v>1</v>
      </c>
      <c r="K69" t="n">
        <v>0</v>
      </c>
      <c r="L69" t="n">
        <v>0</v>
      </c>
      <c r="M69" t="n">
        <v>0</v>
      </c>
      <c r="N69" t="n">
        <v>0</v>
      </c>
      <c r="O69" t="n">
        <v>1</v>
      </c>
      <c r="P69" t="n">
        <v>0</v>
      </c>
      <c r="Q69" t="n">
        <v>1</v>
      </c>
      <c r="R69" s="2" t="inlineStr">
        <is>
          <t>Ullticka</t>
        </is>
      </c>
      <c r="S69">
        <f>HYPERLINK("https://klasma.github.io/Logging_2029/artfynd/A 55633-2024 artfynd.xlsx", "A 55633-2024")</f>
        <v/>
      </c>
      <c r="T69">
        <f>HYPERLINK("https://klasma.github.io/Logging_2029/kartor/A 55633-2024 karta.png", "A 55633-2024")</f>
        <v/>
      </c>
      <c r="V69">
        <f>HYPERLINK("https://klasma.github.io/Logging_2029/klagomål/A 55633-2024 FSC-klagomål.docx", "A 55633-2024")</f>
        <v/>
      </c>
      <c r="W69">
        <f>HYPERLINK("https://klasma.github.io/Logging_2029/klagomålsmail/A 55633-2024 FSC-klagomål mail.docx", "A 55633-2024")</f>
        <v/>
      </c>
      <c r="X69">
        <f>HYPERLINK("https://klasma.github.io/Logging_2029/tillsyn/A 55633-2024 tillsynsbegäran.docx", "A 55633-2024")</f>
        <v/>
      </c>
      <c r="Y69">
        <f>HYPERLINK("https://klasma.github.io/Logging_2029/tillsynsmail/A 55633-2024 tillsynsbegäran mail.docx", "A 55633-2024")</f>
        <v/>
      </c>
    </row>
    <row r="70" ht="15" customHeight="1">
      <c r="A70" t="inlineStr">
        <is>
          <t>A 6029-2025</t>
        </is>
      </c>
      <c r="B70" s="1" t="n">
        <v>45695</v>
      </c>
      <c r="C70" s="1" t="n">
        <v>45804</v>
      </c>
      <c r="D70" t="inlineStr">
        <is>
          <t>DALARNAS LÄN</t>
        </is>
      </c>
      <c r="E70" t="inlineStr">
        <is>
          <t>LEKSAND</t>
        </is>
      </c>
      <c r="G70" t="n">
        <v>3.5</v>
      </c>
      <c r="H70" t="n">
        <v>1</v>
      </c>
      <c r="I70" t="n">
        <v>0</v>
      </c>
      <c r="J70" t="n">
        <v>1</v>
      </c>
      <c r="K70" t="n">
        <v>0</v>
      </c>
      <c r="L70" t="n">
        <v>0</v>
      </c>
      <c r="M70" t="n">
        <v>0</v>
      </c>
      <c r="N70" t="n">
        <v>0</v>
      </c>
      <c r="O70" t="n">
        <v>1</v>
      </c>
      <c r="P70" t="n">
        <v>0</v>
      </c>
      <c r="Q70" t="n">
        <v>1</v>
      </c>
      <c r="R70" s="2" t="inlineStr">
        <is>
          <t>Spillkråka</t>
        </is>
      </c>
      <c r="S70">
        <f>HYPERLINK("https://klasma.github.io/Logging_2029/artfynd/A 6029-2025 artfynd.xlsx", "A 6029-2025")</f>
        <v/>
      </c>
      <c r="T70">
        <f>HYPERLINK("https://klasma.github.io/Logging_2029/kartor/A 6029-2025 karta.png", "A 6029-2025")</f>
        <v/>
      </c>
      <c r="V70">
        <f>HYPERLINK("https://klasma.github.io/Logging_2029/klagomål/A 6029-2025 FSC-klagomål.docx", "A 6029-2025")</f>
        <v/>
      </c>
      <c r="W70">
        <f>HYPERLINK("https://klasma.github.io/Logging_2029/klagomålsmail/A 6029-2025 FSC-klagomål mail.docx", "A 6029-2025")</f>
        <v/>
      </c>
      <c r="X70">
        <f>HYPERLINK("https://klasma.github.io/Logging_2029/tillsyn/A 6029-2025 tillsynsbegäran.docx", "A 6029-2025")</f>
        <v/>
      </c>
      <c r="Y70">
        <f>HYPERLINK("https://klasma.github.io/Logging_2029/tillsynsmail/A 6029-2025 tillsynsbegäran mail.docx", "A 6029-2025")</f>
        <v/>
      </c>
      <c r="Z70">
        <f>HYPERLINK("https://klasma.github.io/Logging_2029/fåglar/A 6029-2025 prioriterade fågelarter.docx", "A 6029-2025")</f>
        <v/>
      </c>
    </row>
    <row r="71" ht="15" customHeight="1">
      <c r="A71" t="inlineStr">
        <is>
          <t>A 16735-2025</t>
        </is>
      </c>
      <c r="B71" s="1" t="n">
        <v>45754</v>
      </c>
      <c r="C71" s="1" t="n">
        <v>45804</v>
      </c>
      <c r="D71" t="inlineStr">
        <is>
          <t>DALARNAS LÄN</t>
        </is>
      </c>
      <c r="E71" t="inlineStr">
        <is>
          <t>LEKSAND</t>
        </is>
      </c>
      <c r="G71" t="n">
        <v>1.8</v>
      </c>
      <c r="H71" t="n">
        <v>1</v>
      </c>
      <c r="I71" t="n">
        <v>0</v>
      </c>
      <c r="J71" t="n">
        <v>0</v>
      </c>
      <c r="K71" t="n">
        <v>0</v>
      </c>
      <c r="L71" t="n">
        <v>0</v>
      </c>
      <c r="M71" t="n">
        <v>0</v>
      </c>
      <c r="N71" t="n">
        <v>0</v>
      </c>
      <c r="O71" t="n">
        <v>0</v>
      </c>
      <c r="P71" t="n">
        <v>0</v>
      </c>
      <c r="Q71" t="n">
        <v>1</v>
      </c>
      <c r="R71" s="2" t="inlineStr">
        <is>
          <t>Gröngöling</t>
        </is>
      </c>
      <c r="S71">
        <f>HYPERLINK("https://klasma.github.io/Logging_202029/artfynd/A 16735-2025 artfynd.xlsx", "A 16735-2025")</f>
        <v/>
      </c>
      <c r="T71">
        <f>HYPERLINK("https://klasma.github.io/Logging_202029/kartor/A 16735-2025 karta.png", "A 16735-2025")</f>
        <v/>
      </c>
      <c r="V71">
        <f>HYPERLINK("https://klasma.github.io/Logging_202029/klagomål/A 16735-2025 FSC-klagomål.docx", "A 16735-2025")</f>
        <v/>
      </c>
      <c r="W71">
        <f>HYPERLINK("https://klasma.github.io/Logging_202029/klagomålsmail/A 16735-2025 FSC-klagomål mail.docx", "A 16735-2025")</f>
        <v/>
      </c>
      <c r="X71">
        <f>HYPERLINK("https://klasma.github.io/Logging_202029/tillsyn/A 16735-2025 tillsynsbegäran.docx", "A 16735-2025")</f>
        <v/>
      </c>
      <c r="Y71">
        <f>HYPERLINK("https://klasma.github.io/Logging_202029/tillsynsmail/A 16735-2025 tillsynsbegäran mail.docx", "A 16735-2025")</f>
        <v/>
      </c>
      <c r="Z71">
        <f>HYPERLINK("https://klasma.github.io/Logging_202029/fåglar/A 16735-2025 prioriterade fågelarter.docx", "A 16735-2025")</f>
        <v/>
      </c>
    </row>
    <row r="72" ht="15" customHeight="1">
      <c r="A72" t="inlineStr">
        <is>
          <t>A 17822-2019</t>
        </is>
      </c>
      <c r="B72" s="1" t="n">
        <v>43556</v>
      </c>
      <c r="C72" s="1" t="n">
        <v>45804</v>
      </c>
      <c r="D72" t="inlineStr">
        <is>
          <t>DALARNAS LÄN</t>
        </is>
      </c>
      <c r="E72" t="inlineStr">
        <is>
          <t>LEKSAND</t>
        </is>
      </c>
      <c r="G72" t="n">
        <v>0.8</v>
      </c>
      <c r="H72" t="n">
        <v>0</v>
      </c>
      <c r="I72" t="n">
        <v>0</v>
      </c>
      <c r="J72" t="n">
        <v>0</v>
      </c>
      <c r="K72" t="n">
        <v>0</v>
      </c>
      <c r="L72" t="n">
        <v>0</v>
      </c>
      <c r="M72" t="n">
        <v>0</v>
      </c>
      <c r="N72" t="n">
        <v>0</v>
      </c>
      <c r="O72" t="n">
        <v>0</v>
      </c>
      <c r="P72" t="n">
        <v>0</v>
      </c>
      <c r="Q72" t="n">
        <v>0</v>
      </c>
      <c r="R72" s="2" t="inlineStr"/>
    </row>
    <row r="73" ht="15" customHeight="1">
      <c r="A73" t="inlineStr">
        <is>
          <t>A 17967-2019</t>
        </is>
      </c>
      <c r="B73" s="1" t="n">
        <v>43557</v>
      </c>
      <c r="C73" s="1" t="n">
        <v>45804</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17970-2019</t>
        </is>
      </c>
      <c r="B74" s="1" t="n">
        <v>43557</v>
      </c>
      <c r="C74" s="1" t="n">
        <v>45804</v>
      </c>
      <c r="D74" t="inlineStr">
        <is>
          <t>DALARNAS LÄN</t>
        </is>
      </c>
      <c r="E74" t="inlineStr">
        <is>
          <t>LEKSAND</t>
        </is>
      </c>
      <c r="G74" t="n">
        <v>2.5</v>
      </c>
      <c r="H74" t="n">
        <v>0</v>
      </c>
      <c r="I74" t="n">
        <v>0</v>
      </c>
      <c r="J74" t="n">
        <v>0</v>
      </c>
      <c r="K74" t="n">
        <v>0</v>
      </c>
      <c r="L74" t="n">
        <v>0</v>
      </c>
      <c r="M74" t="n">
        <v>0</v>
      </c>
      <c r="N74" t="n">
        <v>0</v>
      </c>
      <c r="O74" t="n">
        <v>0</v>
      </c>
      <c r="P74" t="n">
        <v>0</v>
      </c>
      <c r="Q74" t="n">
        <v>0</v>
      </c>
      <c r="R74" s="2" t="inlineStr"/>
    </row>
    <row r="75" ht="15" customHeight="1">
      <c r="A75" t="inlineStr">
        <is>
          <t>A 18238-2019</t>
        </is>
      </c>
      <c r="B75" s="1" t="n">
        <v>43558</v>
      </c>
      <c r="C75" s="1" t="n">
        <v>45804</v>
      </c>
      <c r="D75" t="inlineStr">
        <is>
          <t>DALARNAS LÄN</t>
        </is>
      </c>
      <c r="E75" t="inlineStr">
        <is>
          <t>LEKSAND</t>
        </is>
      </c>
      <c r="G75" t="n">
        <v>3.3</v>
      </c>
      <c r="H75" t="n">
        <v>0</v>
      </c>
      <c r="I75" t="n">
        <v>0</v>
      </c>
      <c r="J75" t="n">
        <v>0</v>
      </c>
      <c r="K75" t="n">
        <v>0</v>
      </c>
      <c r="L75" t="n">
        <v>0</v>
      </c>
      <c r="M75" t="n">
        <v>0</v>
      </c>
      <c r="N75" t="n">
        <v>0</v>
      </c>
      <c r="O75" t="n">
        <v>0</v>
      </c>
      <c r="P75" t="n">
        <v>0</v>
      </c>
      <c r="Q75" t="n">
        <v>0</v>
      </c>
      <c r="R75" s="2" t="inlineStr"/>
    </row>
    <row r="76" ht="15" customHeight="1">
      <c r="A76" t="inlineStr">
        <is>
          <t>A 19703-2019</t>
        </is>
      </c>
      <c r="B76" s="1" t="n">
        <v>43566</v>
      </c>
      <c r="C76" s="1" t="n">
        <v>45804</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19790-2019</t>
        </is>
      </c>
      <c r="B77" s="1" t="n">
        <v>43566</v>
      </c>
      <c r="C77" s="1" t="n">
        <v>45804</v>
      </c>
      <c r="D77" t="inlineStr">
        <is>
          <t>DALARNAS LÄN</t>
        </is>
      </c>
      <c r="E77" t="inlineStr">
        <is>
          <t>LEKSAND</t>
        </is>
      </c>
      <c r="G77" t="n">
        <v>11.4</v>
      </c>
      <c r="H77" t="n">
        <v>0</v>
      </c>
      <c r="I77" t="n">
        <v>0</v>
      </c>
      <c r="J77" t="n">
        <v>0</v>
      </c>
      <c r="K77" t="n">
        <v>0</v>
      </c>
      <c r="L77" t="n">
        <v>0</v>
      </c>
      <c r="M77" t="n">
        <v>0</v>
      </c>
      <c r="N77" t="n">
        <v>0</v>
      </c>
      <c r="O77" t="n">
        <v>0</v>
      </c>
      <c r="P77" t="n">
        <v>0</v>
      </c>
      <c r="Q77" t="n">
        <v>0</v>
      </c>
      <c r="R77" s="2" t="inlineStr"/>
    </row>
    <row r="78" ht="15" customHeight="1">
      <c r="A78" t="inlineStr">
        <is>
          <t>A 22975-2019</t>
        </is>
      </c>
      <c r="B78" s="1" t="n">
        <v>43591</v>
      </c>
      <c r="C78" s="1" t="n">
        <v>45804</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24300-2019</t>
        </is>
      </c>
      <c r="B79" s="1" t="n">
        <v>43598</v>
      </c>
      <c r="C79" s="1" t="n">
        <v>45804</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24051-2019</t>
        </is>
      </c>
      <c r="B80" s="1" t="n">
        <v>43598</v>
      </c>
      <c r="C80" s="1" t="n">
        <v>45804</v>
      </c>
      <c r="D80" t="inlineStr">
        <is>
          <t>DALARNAS LÄN</t>
        </is>
      </c>
      <c r="E80" t="inlineStr">
        <is>
          <t>LEKSAND</t>
        </is>
      </c>
      <c r="G80" t="n">
        <v>5.4</v>
      </c>
      <c r="H80" t="n">
        <v>0</v>
      </c>
      <c r="I80" t="n">
        <v>0</v>
      </c>
      <c r="J80" t="n">
        <v>0</v>
      </c>
      <c r="K80" t="n">
        <v>0</v>
      </c>
      <c r="L80" t="n">
        <v>0</v>
      </c>
      <c r="M80" t="n">
        <v>0</v>
      </c>
      <c r="N80" t="n">
        <v>0</v>
      </c>
      <c r="O80" t="n">
        <v>0</v>
      </c>
      <c r="P80" t="n">
        <v>0</v>
      </c>
      <c r="Q80" t="n">
        <v>0</v>
      </c>
      <c r="R80" s="2" t="inlineStr"/>
    </row>
    <row r="81" ht="15" customHeight="1">
      <c r="A81" t="inlineStr">
        <is>
          <t>A 24542-2019</t>
        </is>
      </c>
      <c r="B81" s="1" t="n">
        <v>43600</v>
      </c>
      <c r="C81" s="1" t="n">
        <v>45804</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32532-2019</t>
        </is>
      </c>
      <c r="B82" s="1" t="n">
        <v>43646</v>
      </c>
      <c r="C82" s="1" t="n">
        <v>45804</v>
      </c>
      <c r="D82" t="inlineStr">
        <is>
          <t>DALARNAS LÄN</t>
        </is>
      </c>
      <c r="E82" t="inlineStr">
        <is>
          <t>LEKSAND</t>
        </is>
      </c>
      <c r="G82" t="n">
        <v>3.1</v>
      </c>
      <c r="H82" t="n">
        <v>0</v>
      </c>
      <c r="I82" t="n">
        <v>0</v>
      </c>
      <c r="J82" t="n">
        <v>0</v>
      </c>
      <c r="K82" t="n">
        <v>0</v>
      </c>
      <c r="L82" t="n">
        <v>0</v>
      </c>
      <c r="M82" t="n">
        <v>0</v>
      </c>
      <c r="N82" t="n">
        <v>0</v>
      </c>
      <c r="O82" t="n">
        <v>0</v>
      </c>
      <c r="P82" t="n">
        <v>0</v>
      </c>
      <c r="Q82" t="n">
        <v>0</v>
      </c>
      <c r="R82" s="2" t="inlineStr"/>
    </row>
    <row r="83" ht="15" customHeight="1">
      <c r="A83" t="inlineStr">
        <is>
          <t>A 33903-2019</t>
        </is>
      </c>
      <c r="B83" s="1" t="n">
        <v>43654</v>
      </c>
      <c r="C83" s="1" t="n">
        <v>45804</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36014-2019</t>
        </is>
      </c>
      <c r="B84" s="1" t="n">
        <v>43657</v>
      </c>
      <c r="C84" s="1" t="n">
        <v>45804</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36023-2019</t>
        </is>
      </c>
      <c r="B85" s="1" t="n">
        <v>43657</v>
      </c>
      <c r="C85" s="1" t="n">
        <v>45804</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36287-2019</t>
        </is>
      </c>
      <c r="B86" s="1" t="n">
        <v>43669</v>
      </c>
      <c r="C86" s="1" t="n">
        <v>45804</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37733-2019</t>
        </is>
      </c>
      <c r="B87" s="1" t="n">
        <v>43682</v>
      </c>
      <c r="C87" s="1" t="n">
        <v>45804</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37822-2019</t>
        </is>
      </c>
      <c r="B88" s="1" t="n">
        <v>43682</v>
      </c>
      <c r="C88" s="1" t="n">
        <v>45804</v>
      </c>
      <c r="D88" t="inlineStr">
        <is>
          <t>DALARNAS LÄN</t>
        </is>
      </c>
      <c r="E88" t="inlineStr">
        <is>
          <t>LEKSAND</t>
        </is>
      </c>
      <c r="G88" t="n">
        <v>8.9</v>
      </c>
      <c r="H88" t="n">
        <v>0</v>
      </c>
      <c r="I88" t="n">
        <v>0</v>
      </c>
      <c r="J88" t="n">
        <v>0</v>
      </c>
      <c r="K88" t="n">
        <v>0</v>
      </c>
      <c r="L88" t="n">
        <v>0</v>
      </c>
      <c r="M88" t="n">
        <v>0</v>
      </c>
      <c r="N88" t="n">
        <v>0</v>
      </c>
      <c r="O88" t="n">
        <v>0</v>
      </c>
      <c r="P88" t="n">
        <v>0</v>
      </c>
      <c r="Q88" t="n">
        <v>0</v>
      </c>
      <c r="R88" s="2" t="inlineStr"/>
    </row>
    <row r="89" ht="15" customHeight="1">
      <c r="A89" t="inlineStr">
        <is>
          <t>A 38350-2019</t>
        </is>
      </c>
      <c r="B89" s="1" t="n">
        <v>43685</v>
      </c>
      <c r="C89" s="1" t="n">
        <v>45804</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39025-2019</t>
        </is>
      </c>
      <c r="B90" s="1" t="n">
        <v>43689</v>
      </c>
      <c r="C90" s="1" t="n">
        <v>45804</v>
      </c>
      <c r="D90" t="inlineStr">
        <is>
          <t>DALARNAS LÄN</t>
        </is>
      </c>
      <c r="E90" t="inlineStr">
        <is>
          <t>LEKSAND</t>
        </is>
      </c>
      <c r="F90" t="inlineStr">
        <is>
          <t>Bergvik skog väst AB</t>
        </is>
      </c>
      <c r="G90" t="n">
        <v>10.1</v>
      </c>
      <c r="H90" t="n">
        <v>0</v>
      </c>
      <c r="I90" t="n">
        <v>0</v>
      </c>
      <c r="J90" t="n">
        <v>0</v>
      </c>
      <c r="K90" t="n">
        <v>0</v>
      </c>
      <c r="L90" t="n">
        <v>0</v>
      </c>
      <c r="M90" t="n">
        <v>0</v>
      </c>
      <c r="N90" t="n">
        <v>0</v>
      </c>
      <c r="O90" t="n">
        <v>0</v>
      </c>
      <c r="P90" t="n">
        <v>0</v>
      </c>
      <c r="Q90" t="n">
        <v>0</v>
      </c>
      <c r="R90" s="2" t="inlineStr"/>
    </row>
    <row r="91" ht="15" customHeight="1">
      <c r="A91" t="inlineStr">
        <is>
          <t>A 41329-2019</t>
        </is>
      </c>
      <c r="B91" s="1" t="n">
        <v>43698</v>
      </c>
      <c r="C91" s="1" t="n">
        <v>45804</v>
      </c>
      <c r="D91" t="inlineStr">
        <is>
          <t>DALARNAS LÄN</t>
        </is>
      </c>
      <c r="E91" t="inlineStr">
        <is>
          <t>LEKSAND</t>
        </is>
      </c>
      <c r="G91" t="n">
        <v>2</v>
      </c>
      <c r="H91" t="n">
        <v>0</v>
      </c>
      <c r="I91" t="n">
        <v>0</v>
      </c>
      <c r="J91" t="n">
        <v>0</v>
      </c>
      <c r="K91" t="n">
        <v>0</v>
      </c>
      <c r="L91" t="n">
        <v>0</v>
      </c>
      <c r="M91" t="n">
        <v>0</v>
      </c>
      <c r="N91" t="n">
        <v>0</v>
      </c>
      <c r="O91" t="n">
        <v>0</v>
      </c>
      <c r="P91" t="n">
        <v>0</v>
      </c>
      <c r="Q91" t="n">
        <v>0</v>
      </c>
      <c r="R91" s="2" t="inlineStr"/>
    </row>
    <row r="92" ht="15" customHeight="1">
      <c r="A92" t="inlineStr">
        <is>
          <t>A 43082-2019</t>
        </is>
      </c>
      <c r="B92" s="1" t="n">
        <v>43705</v>
      </c>
      <c r="C92" s="1" t="n">
        <v>45804</v>
      </c>
      <c r="D92" t="inlineStr">
        <is>
          <t>DALARNAS LÄN</t>
        </is>
      </c>
      <c r="E92" t="inlineStr">
        <is>
          <t>LEKSAND</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43887-2019</t>
        </is>
      </c>
      <c r="B93" s="1" t="n">
        <v>43707</v>
      </c>
      <c r="C93" s="1" t="n">
        <v>45804</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43884-2019</t>
        </is>
      </c>
      <c r="B94" s="1" t="n">
        <v>43707</v>
      </c>
      <c r="C94" s="1" t="n">
        <v>45804</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44058-2019</t>
        </is>
      </c>
      <c r="B95" s="1" t="n">
        <v>43710</v>
      </c>
      <c r="C95" s="1" t="n">
        <v>45804</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45526-2019</t>
        </is>
      </c>
      <c r="B96" s="1" t="n">
        <v>43714</v>
      </c>
      <c r="C96" s="1" t="n">
        <v>45804</v>
      </c>
      <c r="D96" t="inlineStr">
        <is>
          <t>DALARNAS LÄN</t>
        </is>
      </c>
      <c r="E96" t="inlineStr">
        <is>
          <t>LEKSAND</t>
        </is>
      </c>
      <c r="F96" t="inlineStr">
        <is>
          <t>Bergvik skog väst AB</t>
        </is>
      </c>
      <c r="G96" t="n">
        <v>5.9</v>
      </c>
      <c r="H96" t="n">
        <v>0</v>
      </c>
      <c r="I96" t="n">
        <v>0</v>
      </c>
      <c r="J96" t="n">
        <v>0</v>
      </c>
      <c r="K96" t="n">
        <v>0</v>
      </c>
      <c r="L96" t="n">
        <v>0</v>
      </c>
      <c r="M96" t="n">
        <v>0</v>
      </c>
      <c r="N96" t="n">
        <v>0</v>
      </c>
      <c r="O96" t="n">
        <v>0</v>
      </c>
      <c r="P96" t="n">
        <v>0</v>
      </c>
      <c r="Q96" t="n">
        <v>0</v>
      </c>
      <c r="R96" s="2" t="inlineStr"/>
    </row>
    <row r="97" ht="15" customHeight="1">
      <c r="A97" t="inlineStr">
        <is>
          <t>A 45572-2019</t>
        </is>
      </c>
      <c r="B97" s="1" t="n">
        <v>43716</v>
      </c>
      <c r="C97" s="1" t="n">
        <v>45804</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46739-2019</t>
        </is>
      </c>
      <c r="B98" s="1" t="n">
        <v>43719</v>
      </c>
      <c r="C98" s="1" t="n">
        <v>45804</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46740-2019</t>
        </is>
      </c>
      <c r="B99" s="1" t="n">
        <v>43719</v>
      </c>
      <c r="C99" s="1" t="n">
        <v>45804</v>
      </c>
      <c r="D99" t="inlineStr">
        <is>
          <t>DALARNAS LÄN</t>
        </is>
      </c>
      <c r="E99" t="inlineStr">
        <is>
          <t>LEKSAND</t>
        </is>
      </c>
      <c r="G99" t="n">
        <v>0.3</v>
      </c>
      <c r="H99" t="n">
        <v>0</v>
      </c>
      <c r="I99" t="n">
        <v>0</v>
      </c>
      <c r="J99" t="n">
        <v>0</v>
      </c>
      <c r="K99" t="n">
        <v>0</v>
      </c>
      <c r="L99" t="n">
        <v>0</v>
      </c>
      <c r="M99" t="n">
        <v>0</v>
      </c>
      <c r="N99" t="n">
        <v>0</v>
      </c>
      <c r="O99" t="n">
        <v>0</v>
      </c>
      <c r="P99" t="n">
        <v>0</v>
      </c>
      <c r="Q99" t="n">
        <v>0</v>
      </c>
      <c r="R99" s="2" t="inlineStr"/>
    </row>
    <row r="100" ht="15" customHeight="1">
      <c r="A100" t="inlineStr">
        <is>
          <t>A 47532-2019</t>
        </is>
      </c>
      <c r="B100" s="1" t="n">
        <v>43724</v>
      </c>
      <c r="C100" s="1" t="n">
        <v>45804</v>
      </c>
      <c r="D100" t="inlineStr">
        <is>
          <t>DALARNAS LÄN</t>
        </is>
      </c>
      <c r="E100" t="inlineStr">
        <is>
          <t>LEKSAND</t>
        </is>
      </c>
      <c r="G100" t="n">
        <v>2.3</v>
      </c>
      <c r="H100" t="n">
        <v>0</v>
      </c>
      <c r="I100" t="n">
        <v>0</v>
      </c>
      <c r="J100" t="n">
        <v>0</v>
      </c>
      <c r="K100" t="n">
        <v>0</v>
      </c>
      <c r="L100" t="n">
        <v>0</v>
      </c>
      <c r="M100" t="n">
        <v>0</v>
      </c>
      <c r="N100" t="n">
        <v>0</v>
      </c>
      <c r="O100" t="n">
        <v>0</v>
      </c>
      <c r="P100" t="n">
        <v>0</v>
      </c>
      <c r="Q100" t="n">
        <v>0</v>
      </c>
      <c r="R100" s="2" t="inlineStr"/>
    </row>
    <row r="101" ht="15" customHeight="1">
      <c r="A101" t="inlineStr">
        <is>
          <t>A 49132-2019</t>
        </is>
      </c>
      <c r="B101" s="1" t="n">
        <v>43728</v>
      </c>
      <c r="C101" s="1" t="n">
        <v>45804</v>
      </c>
      <c r="D101" t="inlineStr">
        <is>
          <t>DALARNAS LÄN</t>
        </is>
      </c>
      <c r="E101" t="inlineStr">
        <is>
          <t>LEKSAND</t>
        </is>
      </c>
      <c r="G101" t="n">
        <v>1.9</v>
      </c>
      <c r="H101" t="n">
        <v>0</v>
      </c>
      <c r="I101" t="n">
        <v>0</v>
      </c>
      <c r="J101" t="n">
        <v>0</v>
      </c>
      <c r="K101" t="n">
        <v>0</v>
      </c>
      <c r="L101" t="n">
        <v>0</v>
      </c>
      <c r="M101" t="n">
        <v>0</v>
      </c>
      <c r="N101" t="n">
        <v>0</v>
      </c>
      <c r="O101" t="n">
        <v>0</v>
      </c>
      <c r="P101" t="n">
        <v>0</v>
      </c>
      <c r="Q101" t="n">
        <v>0</v>
      </c>
      <c r="R101" s="2" t="inlineStr"/>
    </row>
    <row r="102" ht="15" customHeight="1">
      <c r="A102" t="inlineStr">
        <is>
          <t>A 51390-2019</t>
        </is>
      </c>
      <c r="B102" s="1" t="n">
        <v>43733</v>
      </c>
      <c r="C102" s="1" t="n">
        <v>45804</v>
      </c>
      <c r="D102" t="inlineStr">
        <is>
          <t>DALARNAS LÄN</t>
        </is>
      </c>
      <c r="E102" t="inlineStr">
        <is>
          <t>LEKSAND</t>
        </is>
      </c>
      <c r="G102" t="n">
        <v>4.7</v>
      </c>
      <c r="H102" t="n">
        <v>0</v>
      </c>
      <c r="I102" t="n">
        <v>0</v>
      </c>
      <c r="J102" t="n">
        <v>0</v>
      </c>
      <c r="K102" t="n">
        <v>0</v>
      </c>
      <c r="L102" t="n">
        <v>0</v>
      </c>
      <c r="M102" t="n">
        <v>0</v>
      </c>
      <c r="N102" t="n">
        <v>0</v>
      </c>
      <c r="O102" t="n">
        <v>0</v>
      </c>
      <c r="P102" t="n">
        <v>0</v>
      </c>
      <c r="Q102" t="n">
        <v>0</v>
      </c>
      <c r="R102" s="2" t="inlineStr"/>
    </row>
    <row r="103" ht="15" customHeight="1">
      <c r="A103" t="inlineStr">
        <is>
          <t>A 50532-2019</t>
        </is>
      </c>
      <c r="B103" s="1" t="n">
        <v>43735</v>
      </c>
      <c r="C103" s="1" t="n">
        <v>45804</v>
      </c>
      <c r="D103" t="inlineStr">
        <is>
          <t>DALARNAS LÄN</t>
        </is>
      </c>
      <c r="E103" t="inlineStr">
        <is>
          <t>LEKSAND</t>
        </is>
      </c>
      <c r="F103" t="inlineStr">
        <is>
          <t>Kyrkan</t>
        </is>
      </c>
      <c r="G103" t="n">
        <v>1.3</v>
      </c>
      <c r="H103" t="n">
        <v>0</v>
      </c>
      <c r="I103" t="n">
        <v>0</v>
      </c>
      <c r="J103" t="n">
        <v>0</v>
      </c>
      <c r="K103" t="n">
        <v>0</v>
      </c>
      <c r="L103" t="n">
        <v>0</v>
      </c>
      <c r="M103" t="n">
        <v>0</v>
      </c>
      <c r="N103" t="n">
        <v>0</v>
      </c>
      <c r="O103" t="n">
        <v>0</v>
      </c>
      <c r="P103" t="n">
        <v>0</v>
      </c>
      <c r="Q103" t="n">
        <v>0</v>
      </c>
      <c r="R103" s="2" t="inlineStr"/>
    </row>
    <row r="104" ht="15" customHeight="1">
      <c r="A104" t="inlineStr">
        <is>
          <t>A 52130-2019</t>
        </is>
      </c>
      <c r="B104" s="1" t="n">
        <v>43735</v>
      </c>
      <c r="C104" s="1" t="n">
        <v>45804</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52827-2019</t>
        </is>
      </c>
      <c r="B105" s="1" t="n">
        <v>43746</v>
      </c>
      <c r="C105" s="1" t="n">
        <v>45804</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52957-2019</t>
        </is>
      </c>
      <c r="B106" s="1" t="n">
        <v>43747</v>
      </c>
      <c r="C106" s="1" t="n">
        <v>45804</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53553-2019</t>
        </is>
      </c>
      <c r="B107" s="1" t="n">
        <v>43749</v>
      </c>
      <c r="C107" s="1" t="n">
        <v>45804</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56844-2019</t>
        </is>
      </c>
      <c r="B108" s="1" t="n">
        <v>43765</v>
      </c>
      <c r="C108" s="1" t="n">
        <v>45804</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57221-2019</t>
        </is>
      </c>
      <c r="B109" s="1" t="n">
        <v>43767</v>
      </c>
      <c r="C109" s="1" t="n">
        <v>45804</v>
      </c>
      <c r="D109" t="inlineStr">
        <is>
          <t>DALARNAS LÄN</t>
        </is>
      </c>
      <c r="E109" t="inlineStr">
        <is>
          <t>LEKSAND</t>
        </is>
      </c>
      <c r="G109" t="n">
        <v>1</v>
      </c>
      <c r="H109" t="n">
        <v>0</v>
      </c>
      <c r="I109" t="n">
        <v>0</v>
      </c>
      <c r="J109" t="n">
        <v>0</v>
      </c>
      <c r="K109" t="n">
        <v>0</v>
      </c>
      <c r="L109" t="n">
        <v>0</v>
      </c>
      <c r="M109" t="n">
        <v>0</v>
      </c>
      <c r="N109" t="n">
        <v>0</v>
      </c>
      <c r="O109" t="n">
        <v>0</v>
      </c>
      <c r="P109" t="n">
        <v>0</v>
      </c>
      <c r="Q109" t="n">
        <v>0</v>
      </c>
      <c r="R109" s="2" t="inlineStr"/>
    </row>
    <row r="110" ht="15" customHeight="1">
      <c r="A110" t="inlineStr">
        <is>
          <t>A 58237-2019</t>
        </is>
      </c>
      <c r="B110" s="1" t="n">
        <v>43770</v>
      </c>
      <c r="C110" s="1" t="n">
        <v>45804</v>
      </c>
      <c r="D110" t="inlineStr">
        <is>
          <t>DALARNAS LÄN</t>
        </is>
      </c>
      <c r="E110" t="inlineStr">
        <is>
          <t>LEKSAND</t>
        </is>
      </c>
      <c r="G110" t="n">
        <v>2.5</v>
      </c>
      <c r="H110" t="n">
        <v>0</v>
      </c>
      <c r="I110" t="n">
        <v>0</v>
      </c>
      <c r="J110" t="n">
        <v>0</v>
      </c>
      <c r="K110" t="n">
        <v>0</v>
      </c>
      <c r="L110" t="n">
        <v>0</v>
      </c>
      <c r="M110" t="n">
        <v>0</v>
      </c>
      <c r="N110" t="n">
        <v>0</v>
      </c>
      <c r="O110" t="n">
        <v>0</v>
      </c>
      <c r="P110" t="n">
        <v>0</v>
      </c>
      <c r="Q110" t="n">
        <v>0</v>
      </c>
      <c r="R110" s="2" t="inlineStr"/>
    </row>
    <row r="111" ht="15" customHeight="1">
      <c r="A111" t="inlineStr">
        <is>
          <t>A 59714-2019</t>
        </is>
      </c>
      <c r="B111" s="1" t="n">
        <v>43776</v>
      </c>
      <c r="C111" s="1" t="n">
        <v>45804</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59721-2019</t>
        </is>
      </c>
      <c r="B112" s="1" t="n">
        <v>43776</v>
      </c>
      <c r="C112" s="1" t="n">
        <v>45804</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60809-2019</t>
        </is>
      </c>
      <c r="B113" s="1" t="n">
        <v>43780</v>
      </c>
      <c r="C113" s="1" t="n">
        <v>45804</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61111-2019</t>
        </is>
      </c>
      <c r="B114" s="1" t="n">
        <v>43782</v>
      </c>
      <c r="C114" s="1" t="n">
        <v>45804</v>
      </c>
      <c r="D114" t="inlineStr">
        <is>
          <t>DALARNAS LÄN</t>
        </is>
      </c>
      <c r="E114" t="inlineStr">
        <is>
          <t>LEKSAND</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61113-2019</t>
        </is>
      </c>
      <c r="B115" s="1" t="n">
        <v>43782</v>
      </c>
      <c r="C115" s="1" t="n">
        <v>45804</v>
      </c>
      <c r="D115" t="inlineStr">
        <is>
          <t>DALARNAS LÄN</t>
        </is>
      </c>
      <c r="E115" t="inlineStr">
        <is>
          <t>LEKSAND</t>
        </is>
      </c>
      <c r="F115" t="inlineStr">
        <is>
          <t>Bergvik skog väst AB</t>
        </is>
      </c>
      <c r="G115" t="n">
        <v>0.2</v>
      </c>
      <c r="H115" t="n">
        <v>0</v>
      </c>
      <c r="I115" t="n">
        <v>0</v>
      </c>
      <c r="J115" t="n">
        <v>0</v>
      </c>
      <c r="K115" t="n">
        <v>0</v>
      </c>
      <c r="L115" t="n">
        <v>0</v>
      </c>
      <c r="M115" t="n">
        <v>0</v>
      </c>
      <c r="N115" t="n">
        <v>0</v>
      </c>
      <c r="O115" t="n">
        <v>0</v>
      </c>
      <c r="P115" t="n">
        <v>0</v>
      </c>
      <c r="Q115" t="n">
        <v>0</v>
      </c>
      <c r="R115" s="2" t="inlineStr"/>
    </row>
    <row r="116" ht="15" customHeight="1">
      <c r="A116" t="inlineStr">
        <is>
          <t>A 64635-2019</t>
        </is>
      </c>
      <c r="B116" s="1" t="n">
        <v>43794</v>
      </c>
      <c r="C116" s="1" t="n">
        <v>45804</v>
      </c>
      <c r="D116" t="inlineStr">
        <is>
          <t>DALARNAS LÄN</t>
        </is>
      </c>
      <c r="E116" t="inlineStr">
        <is>
          <t>LEKSAND</t>
        </is>
      </c>
      <c r="G116" t="n">
        <v>5.4</v>
      </c>
      <c r="H116" t="n">
        <v>0</v>
      </c>
      <c r="I116" t="n">
        <v>0</v>
      </c>
      <c r="J116" t="n">
        <v>0</v>
      </c>
      <c r="K116" t="n">
        <v>0</v>
      </c>
      <c r="L116" t="n">
        <v>0</v>
      </c>
      <c r="M116" t="n">
        <v>0</v>
      </c>
      <c r="N116" t="n">
        <v>0</v>
      </c>
      <c r="O116" t="n">
        <v>0</v>
      </c>
      <c r="P116" t="n">
        <v>0</v>
      </c>
      <c r="Q116" t="n">
        <v>0</v>
      </c>
      <c r="R116" s="2" t="inlineStr"/>
    </row>
    <row r="117" ht="15" customHeight="1">
      <c r="A117" t="inlineStr">
        <is>
          <t>A 66288-2019</t>
        </is>
      </c>
      <c r="B117" s="1" t="n">
        <v>43808</v>
      </c>
      <c r="C117" s="1" t="n">
        <v>45804</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66822-2019</t>
        </is>
      </c>
      <c r="B118" s="1" t="n">
        <v>43810</v>
      </c>
      <c r="C118" s="1" t="n">
        <v>45804</v>
      </c>
      <c r="D118" t="inlineStr">
        <is>
          <t>DALARNAS LÄN</t>
        </is>
      </c>
      <c r="E118" t="inlineStr">
        <is>
          <t>LEKSAND</t>
        </is>
      </c>
      <c r="G118" t="n">
        <v>5.2</v>
      </c>
      <c r="H118" t="n">
        <v>0</v>
      </c>
      <c r="I118" t="n">
        <v>0</v>
      </c>
      <c r="J118" t="n">
        <v>0</v>
      </c>
      <c r="K118" t="n">
        <v>0</v>
      </c>
      <c r="L118" t="n">
        <v>0</v>
      </c>
      <c r="M118" t="n">
        <v>0</v>
      </c>
      <c r="N118" t="n">
        <v>0</v>
      </c>
      <c r="O118" t="n">
        <v>0</v>
      </c>
      <c r="P118" t="n">
        <v>0</v>
      </c>
      <c r="Q118" t="n">
        <v>0</v>
      </c>
      <c r="R118" s="2" t="inlineStr"/>
    </row>
    <row r="119" ht="15" customHeight="1">
      <c r="A119" t="inlineStr">
        <is>
          <t>A 67123-2019</t>
        </is>
      </c>
      <c r="B119" s="1" t="n">
        <v>43811</v>
      </c>
      <c r="C119" s="1" t="n">
        <v>45804</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68808-2019</t>
        </is>
      </c>
      <c r="B120" s="1" t="n">
        <v>43815</v>
      </c>
      <c r="C120" s="1" t="n">
        <v>45804</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1604-2020</t>
        </is>
      </c>
      <c r="B121" s="1" t="n">
        <v>43829</v>
      </c>
      <c r="C121" s="1" t="n">
        <v>45804</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1915-2020</t>
        </is>
      </c>
      <c r="B122" s="1" t="n">
        <v>43837</v>
      </c>
      <c r="C122" s="1" t="n">
        <v>45804</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1778-2020</t>
        </is>
      </c>
      <c r="B123" s="1" t="n">
        <v>43844</v>
      </c>
      <c r="C123" s="1" t="n">
        <v>45804</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2670-2020</t>
        </is>
      </c>
      <c r="B124" s="1" t="n">
        <v>43849</v>
      </c>
      <c r="C124" s="1" t="n">
        <v>45804</v>
      </c>
      <c r="D124" t="inlineStr">
        <is>
          <t>DALARNAS LÄN</t>
        </is>
      </c>
      <c r="E124" t="inlineStr">
        <is>
          <t>LEKSAND</t>
        </is>
      </c>
      <c r="G124" t="n">
        <v>2.4</v>
      </c>
      <c r="H124" t="n">
        <v>0</v>
      </c>
      <c r="I124" t="n">
        <v>0</v>
      </c>
      <c r="J124" t="n">
        <v>0</v>
      </c>
      <c r="K124" t="n">
        <v>0</v>
      </c>
      <c r="L124" t="n">
        <v>0</v>
      </c>
      <c r="M124" t="n">
        <v>0</v>
      </c>
      <c r="N124" t="n">
        <v>0</v>
      </c>
      <c r="O124" t="n">
        <v>0</v>
      </c>
      <c r="P124" t="n">
        <v>0</v>
      </c>
      <c r="Q124" t="n">
        <v>0</v>
      </c>
      <c r="R124" s="2" t="inlineStr"/>
    </row>
    <row r="125" ht="15" customHeight="1">
      <c r="A125" t="inlineStr">
        <is>
          <t>A 4479-2020</t>
        </is>
      </c>
      <c r="B125" s="1" t="n">
        <v>43850</v>
      </c>
      <c r="C125" s="1" t="n">
        <v>45804</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4004-2020</t>
        </is>
      </c>
      <c r="B126" s="1" t="n">
        <v>43856</v>
      </c>
      <c r="C126" s="1" t="n">
        <v>45804</v>
      </c>
      <c r="D126" t="inlineStr">
        <is>
          <t>DALARNAS LÄN</t>
        </is>
      </c>
      <c r="E126" t="inlineStr">
        <is>
          <t>LEKSAND</t>
        </is>
      </c>
      <c r="G126" t="n">
        <v>6</v>
      </c>
      <c r="H126" t="n">
        <v>0</v>
      </c>
      <c r="I126" t="n">
        <v>0</v>
      </c>
      <c r="J126" t="n">
        <v>0</v>
      </c>
      <c r="K126" t="n">
        <v>0</v>
      </c>
      <c r="L126" t="n">
        <v>0</v>
      </c>
      <c r="M126" t="n">
        <v>0</v>
      </c>
      <c r="N126" t="n">
        <v>0</v>
      </c>
      <c r="O126" t="n">
        <v>0</v>
      </c>
      <c r="P126" t="n">
        <v>0</v>
      </c>
      <c r="Q126" t="n">
        <v>0</v>
      </c>
      <c r="R126" s="2" t="inlineStr"/>
    </row>
    <row r="127" ht="15" customHeight="1">
      <c r="A127" t="inlineStr">
        <is>
          <t>A 6002-2020</t>
        </is>
      </c>
      <c r="B127" s="1" t="n">
        <v>43864</v>
      </c>
      <c r="C127" s="1" t="n">
        <v>45804</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6017-2020</t>
        </is>
      </c>
      <c r="B128" s="1" t="n">
        <v>43864</v>
      </c>
      <c r="C128" s="1" t="n">
        <v>45804</v>
      </c>
      <c r="D128" t="inlineStr">
        <is>
          <t>DALARNAS LÄN</t>
        </is>
      </c>
      <c r="E128" t="inlineStr">
        <is>
          <t>LEKSAND</t>
        </is>
      </c>
      <c r="G128" t="n">
        <v>2.6</v>
      </c>
      <c r="H128" t="n">
        <v>0</v>
      </c>
      <c r="I128" t="n">
        <v>0</v>
      </c>
      <c r="J128" t="n">
        <v>0</v>
      </c>
      <c r="K128" t="n">
        <v>0</v>
      </c>
      <c r="L128" t="n">
        <v>0</v>
      </c>
      <c r="M128" t="n">
        <v>0</v>
      </c>
      <c r="N128" t="n">
        <v>0</v>
      </c>
      <c r="O128" t="n">
        <v>0</v>
      </c>
      <c r="P128" t="n">
        <v>0</v>
      </c>
      <c r="Q128" t="n">
        <v>0</v>
      </c>
      <c r="R128" s="2" t="inlineStr"/>
    </row>
    <row r="129" ht="15" customHeight="1">
      <c r="A129" t="inlineStr">
        <is>
          <t>A 6751-2020</t>
        </is>
      </c>
      <c r="B129" s="1" t="n">
        <v>43866</v>
      </c>
      <c r="C129" s="1" t="n">
        <v>45804</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7351-2020</t>
        </is>
      </c>
      <c r="B130" s="1" t="n">
        <v>43871</v>
      </c>
      <c r="C130" s="1" t="n">
        <v>45804</v>
      </c>
      <c r="D130" t="inlineStr">
        <is>
          <t>DALARNAS LÄN</t>
        </is>
      </c>
      <c r="E130" t="inlineStr">
        <is>
          <t>LEKSAND</t>
        </is>
      </c>
      <c r="F130" t="inlineStr">
        <is>
          <t>Bergvik skog väst AB</t>
        </is>
      </c>
      <c r="G130" t="n">
        <v>5.4</v>
      </c>
      <c r="H130" t="n">
        <v>0</v>
      </c>
      <c r="I130" t="n">
        <v>0</v>
      </c>
      <c r="J130" t="n">
        <v>0</v>
      </c>
      <c r="K130" t="n">
        <v>0</v>
      </c>
      <c r="L130" t="n">
        <v>0</v>
      </c>
      <c r="M130" t="n">
        <v>0</v>
      </c>
      <c r="N130" t="n">
        <v>0</v>
      </c>
      <c r="O130" t="n">
        <v>0</v>
      </c>
      <c r="P130" t="n">
        <v>0</v>
      </c>
      <c r="Q130" t="n">
        <v>0</v>
      </c>
      <c r="R130" s="2" t="inlineStr"/>
    </row>
    <row r="131" ht="15" customHeight="1">
      <c r="A131" t="inlineStr">
        <is>
          <t>A 7868-2020</t>
        </is>
      </c>
      <c r="B131" s="1" t="n">
        <v>43873</v>
      </c>
      <c r="C131" s="1" t="n">
        <v>45804</v>
      </c>
      <c r="D131" t="inlineStr">
        <is>
          <t>DALARNAS LÄN</t>
        </is>
      </c>
      <c r="E131" t="inlineStr">
        <is>
          <t>LEKSAND</t>
        </is>
      </c>
      <c r="G131" t="n">
        <v>1.7</v>
      </c>
      <c r="H131" t="n">
        <v>0</v>
      </c>
      <c r="I131" t="n">
        <v>0</v>
      </c>
      <c r="J131" t="n">
        <v>0</v>
      </c>
      <c r="K131" t="n">
        <v>0</v>
      </c>
      <c r="L131" t="n">
        <v>0</v>
      </c>
      <c r="M131" t="n">
        <v>0</v>
      </c>
      <c r="N131" t="n">
        <v>0</v>
      </c>
      <c r="O131" t="n">
        <v>0</v>
      </c>
      <c r="P131" t="n">
        <v>0</v>
      </c>
      <c r="Q131" t="n">
        <v>0</v>
      </c>
      <c r="R131" s="2" t="inlineStr"/>
    </row>
    <row r="132" ht="15" customHeight="1">
      <c r="A132" t="inlineStr">
        <is>
          <t>A 9710-2020</t>
        </is>
      </c>
      <c r="B132" s="1" t="n">
        <v>43881</v>
      </c>
      <c r="C132" s="1" t="n">
        <v>45804</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11372-2020</t>
        </is>
      </c>
      <c r="B133" s="1" t="n">
        <v>43892</v>
      </c>
      <c r="C133" s="1" t="n">
        <v>45804</v>
      </c>
      <c r="D133" t="inlineStr">
        <is>
          <t>DALARNAS LÄN</t>
        </is>
      </c>
      <c r="E133" t="inlineStr">
        <is>
          <t>LEKSAND</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12176-2020</t>
        </is>
      </c>
      <c r="B134" s="1" t="n">
        <v>43895</v>
      </c>
      <c r="C134" s="1" t="n">
        <v>45804</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12247-2020</t>
        </is>
      </c>
      <c r="B135" s="1" t="n">
        <v>43895</v>
      </c>
      <c r="C135" s="1" t="n">
        <v>45804</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13340-2020</t>
        </is>
      </c>
      <c r="B136" s="1" t="n">
        <v>43902</v>
      </c>
      <c r="C136" s="1" t="n">
        <v>45804</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13356-2020</t>
        </is>
      </c>
      <c r="B137" s="1" t="n">
        <v>43902</v>
      </c>
      <c r="C137" s="1" t="n">
        <v>45804</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13352-2020</t>
        </is>
      </c>
      <c r="B138" s="1" t="n">
        <v>43902</v>
      </c>
      <c r="C138" s="1" t="n">
        <v>45804</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15165-2020</t>
        </is>
      </c>
      <c r="B139" s="1" t="n">
        <v>43912</v>
      </c>
      <c r="C139" s="1" t="n">
        <v>45804</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16288-2020</t>
        </is>
      </c>
      <c r="B140" s="1" t="n">
        <v>43917</v>
      </c>
      <c r="C140" s="1" t="n">
        <v>45804</v>
      </c>
      <c r="D140" t="inlineStr">
        <is>
          <t>DALARNAS LÄN</t>
        </is>
      </c>
      <c r="E140" t="inlineStr">
        <is>
          <t>LEKSAND</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18803-2020</t>
        </is>
      </c>
      <c r="B141" s="1" t="n">
        <v>43933</v>
      </c>
      <c r="C141" s="1" t="n">
        <v>45804</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19361-2020</t>
        </is>
      </c>
      <c r="B142" s="1" t="n">
        <v>43938</v>
      </c>
      <c r="C142" s="1" t="n">
        <v>45804</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21141-2020</t>
        </is>
      </c>
      <c r="B143" s="1" t="n">
        <v>43951</v>
      </c>
      <c r="C143" s="1" t="n">
        <v>45804</v>
      </c>
      <c r="D143" t="inlineStr">
        <is>
          <t>DALARNAS LÄN</t>
        </is>
      </c>
      <c r="E143" t="inlineStr">
        <is>
          <t>LEKSAND</t>
        </is>
      </c>
      <c r="F143" t="inlineStr">
        <is>
          <t>Bergvik skog väst AB</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22718-2020</t>
        </is>
      </c>
      <c r="B144" s="1" t="n">
        <v>43964</v>
      </c>
      <c r="C144" s="1" t="n">
        <v>45804</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24207-2020</t>
        </is>
      </c>
      <c r="B145" s="1" t="n">
        <v>43973</v>
      </c>
      <c r="C145" s="1" t="n">
        <v>45804</v>
      </c>
      <c r="D145" t="inlineStr">
        <is>
          <t>DALARNAS LÄN</t>
        </is>
      </c>
      <c r="E145" t="inlineStr">
        <is>
          <t>LEKSAND</t>
        </is>
      </c>
      <c r="G145" t="n">
        <v>2.2</v>
      </c>
      <c r="H145" t="n">
        <v>0</v>
      </c>
      <c r="I145" t="n">
        <v>0</v>
      </c>
      <c r="J145" t="n">
        <v>0</v>
      </c>
      <c r="K145" t="n">
        <v>0</v>
      </c>
      <c r="L145" t="n">
        <v>0</v>
      </c>
      <c r="M145" t="n">
        <v>0</v>
      </c>
      <c r="N145" t="n">
        <v>0</v>
      </c>
      <c r="O145" t="n">
        <v>0</v>
      </c>
      <c r="P145" t="n">
        <v>0</v>
      </c>
      <c r="Q145" t="n">
        <v>0</v>
      </c>
      <c r="R145" s="2" t="inlineStr"/>
    </row>
    <row r="146" ht="15" customHeight="1">
      <c r="A146" t="inlineStr">
        <is>
          <t>A 25156-2020</t>
        </is>
      </c>
      <c r="B146" s="1" t="n">
        <v>43978</v>
      </c>
      <c r="C146" s="1" t="n">
        <v>45804</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25720-2020</t>
        </is>
      </c>
      <c r="B147" s="1" t="n">
        <v>43984</v>
      </c>
      <c r="C147" s="1" t="n">
        <v>45804</v>
      </c>
      <c r="D147" t="inlineStr">
        <is>
          <t>DALARNAS LÄN</t>
        </is>
      </c>
      <c r="E147" t="inlineStr">
        <is>
          <t>LEKSAND</t>
        </is>
      </c>
      <c r="G147" t="n">
        <v>3.5</v>
      </c>
      <c r="H147" t="n">
        <v>0</v>
      </c>
      <c r="I147" t="n">
        <v>0</v>
      </c>
      <c r="J147" t="n">
        <v>0</v>
      </c>
      <c r="K147" t="n">
        <v>0</v>
      </c>
      <c r="L147" t="n">
        <v>0</v>
      </c>
      <c r="M147" t="n">
        <v>0</v>
      </c>
      <c r="N147" t="n">
        <v>0</v>
      </c>
      <c r="O147" t="n">
        <v>0</v>
      </c>
      <c r="P147" t="n">
        <v>0</v>
      </c>
      <c r="Q147" t="n">
        <v>0</v>
      </c>
      <c r="R147" s="2" t="inlineStr"/>
    </row>
    <row r="148" ht="15" customHeight="1">
      <c r="A148" t="inlineStr">
        <is>
          <t>A 25989-2020</t>
        </is>
      </c>
      <c r="B148" s="1" t="n">
        <v>43985</v>
      </c>
      <c r="C148" s="1" t="n">
        <v>45804</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26456-2020</t>
        </is>
      </c>
      <c r="B149" s="1" t="n">
        <v>43986</v>
      </c>
      <c r="C149" s="1" t="n">
        <v>45804</v>
      </c>
      <c r="D149" t="inlineStr">
        <is>
          <t>DALARNAS LÄN</t>
        </is>
      </c>
      <c r="E149" t="inlineStr">
        <is>
          <t>LEKSAND</t>
        </is>
      </c>
      <c r="G149" t="n">
        <v>2.9</v>
      </c>
      <c r="H149" t="n">
        <v>0</v>
      </c>
      <c r="I149" t="n">
        <v>0</v>
      </c>
      <c r="J149" t="n">
        <v>0</v>
      </c>
      <c r="K149" t="n">
        <v>0</v>
      </c>
      <c r="L149" t="n">
        <v>0</v>
      </c>
      <c r="M149" t="n">
        <v>0</v>
      </c>
      <c r="N149" t="n">
        <v>0</v>
      </c>
      <c r="O149" t="n">
        <v>0</v>
      </c>
      <c r="P149" t="n">
        <v>0</v>
      </c>
      <c r="Q149" t="n">
        <v>0</v>
      </c>
      <c r="R149" s="2" t="inlineStr"/>
    </row>
    <row r="150" ht="15" customHeight="1">
      <c r="A150" t="inlineStr">
        <is>
          <t>A 26560-2020</t>
        </is>
      </c>
      <c r="B150" s="1" t="n">
        <v>43987</v>
      </c>
      <c r="C150" s="1" t="n">
        <v>45804</v>
      </c>
      <c r="D150" t="inlineStr">
        <is>
          <t>DALARNAS LÄN</t>
        </is>
      </c>
      <c r="E150" t="inlineStr">
        <is>
          <t>LEKSAND</t>
        </is>
      </c>
      <c r="G150" t="n">
        <v>0.8</v>
      </c>
      <c r="H150" t="n">
        <v>0</v>
      </c>
      <c r="I150" t="n">
        <v>0</v>
      </c>
      <c r="J150" t="n">
        <v>0</v>
      </c>
      <c r="K150" t="n">
        <v>0</v>
      </c>
      <c r="L150" t="n">
        <v>0</v>
      </c>
      <c r="M150" t="n">
        <v>0</v>
      </c>
      <c r="N150" t="n">
        <v>0</v>
      </c>
      <c r="O150" t="n">
        <v>0</v>
      </c>
      <c r="P150" t="n">
        <v>0</v>
      </c>
      <c r="Q150" t="n">
        <v>0</v>
      </c>
      <c r="R150" s="2" t="inlineStr"/>
    </row>
    <row r="151" ht="15" customHeight="1">
      <c r="A151" t="inlineStr">
        <is>
          <t>A 28161-2020</t>
        </is>
      </c>
      <c r="B151" s="1" t="n">
        <v>43997</v>
      </c>
      <c r="C151" s="1" t="n">
        <v>45804</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28796-2020</t>
        </is>
      </c>
      <c r="B152" s="1" t="n">
        <v>44000</v>
      </c>
      <c r="C152" s="1" t="n">
        <v>45804</v>
      </c>
      <c r="D152" t="inlineStr">
        <is>
          <t>DALARNAS LÄN</t>
        </is>
      </c>
      <c r="E152" t="inlineStr">
        <is>
          <t>LEKSAND</t>
        </is>
      </c>
      <c r="F152" t="inlineStr">
        <is>
          <t>Bergvik skog väst AB</t>
        </is>
      </c>
      <c r="G152" t="n">
        <v>4.7</v>
      </c>
      <c r="H152" t="n">
        <v>0</v>
      </c>
      <c r="I152" t="n">
        <v>0</v>
      </c>
      <c r="J152" t="n">
        <v>0</v>
      </c>
      <c r="K152" t="n">
        <v>0</v>
      </c>
      <c r="L152" t="n">
        <v>0</v>
      </c>
      <c r="M152" t="n">
        <v>0</v>
      </c>
      <c r="N152" t="n">
        <v>0</v>
      </c>
      <c r="O152" t="n">
        <v>0</v>
      </c>
      <c r="P152" t="n">
        <v>0</v>
      </c>
      <c r="Q152" t="n">
        <v>0</v>
      </c>
      <c r="R152" s="2" t="inlineStr"/>
    </row>
    <row r="153" ht="15" customHeight="1">
      <c r="A153" t="inlineStr">
        <is>
          <t>A 29089-2020</t>
        </is>
      </c>
      <c r="B153" s="1" t="n">
        <v>44002</v>
      </c>
      <c r="C153" s="1" t="n">
        <v>45804</v>
      </c>
      <c r="D153" t="inlineStr">
        <is>
          <t>DALARNAS LÄN</t>
        </is>
      </c>
      <c r="E153" t="inlineStr">
        <is>
          <t>LEKSAND</t>
        </is>
      </c>
      <c r="G153" t="n">
        <v>1.8</v>
      </c>
      <c r="H153" t="n">
        <v>0</v>
      </c>
      <c r="I153" t="n">
        <v>0</v>
      </c>
      <c r="J153" t="n">
        <v>0</v>
      </c>
      <c r="K153" t="n">
        <v>0</v>
      </c>
      <c r="L153" t="n">
        <v>0</v>
      </c>
      <c r="M153" t="n">
        <v>0</v>
      </c>
      <c r="N153" t="n">
        <v>0</v>
      </c>
      <c r="O153" t="n">
        <v>0</v>
      </c>
      <c r="P153" t="n">
        <v>0</v>
      </c>
      <c r="Q153" t="n">
        <v>0</v>
      </c>
      <c r="R153" s="2" t="inlineStr"/>
    </row>
    <row r="154" ht="15" customHeight="1">
      <c r="A154" t="inlineStr">
        <is>
          <t>A 29088-2020</t>
        </is>
      </c>
      <c r="B154" s="1" t="n">
        <v>44002</v>
      </c>
      <c r="C154" s="1" t="n">
        <v>45804</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29672-2020</t>
        </is>
      </c>
      <c r="B155" s="1" t="n">
        <v>44005</v>
      </c>
      <c r="C155" s="1" t="n">
        <v>45804</v>
      </c>
      <c r="D155" t="inlineStr">
        <is>
          <t>DALARNAS LÄN</t>
        </is>
      </c>
      <c r="E155" t="inlineStr">
        <is>
          <t>LEKSAND</t>
        </is>
      </c>
      <c r="G155" t="n">
        <v>0.4</v>
      </c>
      <c r="H155" t="n">
        <v>0</v>
      </c>
      <c r="I155" t="n">
        <v>0</v>
      </c>
      <c r="J155" t="n">
        <v>0</v>
      </c>
      <c r="K155" t="n">
        <v>0</v>
      </c>
      <c r="L155" t="n">
        <v>0</v>
      </c>
      <c r="M155" t="n">
        <v>0</v>
      </c>
      <c r="N155" t="n">
        <v>0</v>
      </c>
      <c r="O155" t="n">
        <v>0</v>
      </c>
      <c r="P155" t="n">
        <v>0</v>
      </c>
      <c r="Q155" t="n">
        <v>0</v>
      </c>
      <c r="R155" s="2" t="inlineStr"/>
    </row>
    <row r="156" ht="15" customHeight="1">
      <c r="A156" t="inlineStr">
        <is>
          <t>A 31629-2020</t>
        </is>
      </c>
      <c r="B156" s="1" t="n">
        <v>44013</v>
      </c>
      <c r="C156" s="1" t="n">
        <v>45804</v>
      </c>
      <c r="D156" t="inlineStr">
        <is>
          <t>DALARNAS LÄN</t>
        </is>
      </c>
      <c r="E156" t="inlineStr">
        <is>
          <t>LEKSAND</t>
        </is>
      </c>
      <c r="G156" t="n">
        <v>5.4</v>
      </c>
      <c r="H156" t="n">
        <v>0</v>
      </c>
      <c r="I156" t="n">
        <v>0</v>
      </c>
      <c r="J156" t="n">
        <v>0</v>
      </c>
      <c r="K156" t="n">
        <v>0</v>
      </c>
      <c r="L156" t="n">
        <v>0</v>
      </c>
      <c r="M156" t="n">
        <v>0</v>
      </c>
      <c r="N156" t="n">
        <v>0</v>
      </c>
      <c r="O156" t="n">
        <v>0</v>
      </c>
      <c r="P156" t="n">
        <v>0</v>
      </c>
      <c r="Q156" t="n">
        <v>0</v>
      </c>
      <c r="R156" s="2" t="inlineStr"/>
    </row>
    <row r="157" ht="15" customHeight="1">
      <c r="A157" t="inlineStr">
        <is>
          <t>A 37568-2020</t>
        </is>
      </c>
      <c r="B157" s="1" t="n">
        <v>44056</v>
      </c>
      <c r="C157" s="1" t="n">
        <v>45804</v>
      </c>
      <c r="D157" t="inlineStr">
        <is>
          <t>DALARNAS LÄN</t>
        </is>
      </c>
      <c r="E157" t="inlineStr">
        <is>
          <t>LEKSAND</t>
        </is>
      </c>
      <c r="G157" t="n">
        <v>3.4</v>
      </c>
      <c r="H157" t="n">
        <v>0</v>
      </c>
      <c r="I157" t="n">
        <v>0</v>
      </c>
      <c r="J157" t="n">
        <v>0</v>
      </c>
      <c r="K157" t="n">
        <v>0</v>
      </c>
      <c r="L157" t="n">
        <v>0</v>
      </c>
      <c r="M157" t="n">
        <v>0</v>
      </c>
      <c r="N157" t="n">
        <v>0</v>
      </c>
      <c r="O157" t="n">
        <v>0</v>
      </c>
      <c r="P157" t="n">
        <v>0</v>
      </c>
      <c r="Q157" t="n">
        <v>0</v>
      </c>
      <c r="R157" s="2" t="inlineStr"/>
    </row>
    <row r="158" ht="15" customHeight="1">
      <c r="A158" t="inlineStr">
        <is>
          <t>A 41093-2020</t>
        </is>
      </c>
      <c r="B158" s="1" t="n">
        <v>44071</v>
      </c>
      <c r="C158" s="1" t="n">
        <v>45804</v>
      </c>
      <c r="D158" t="inlineStr">
        <is>
          <t>DALARNAS LÄN</t>
        </is>
      </c>
      <c r="E158" t="inlineStr">
        <is>
          <t>LEKSAND</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41200-2020</t>
        </is>
      </c>
      <c r="B159" s="1" t="n">
        <v>44071</v>
      </c>
      <c r="C159" s="1" t="n">
        <v>45804</v>
      </c>
      <c r="D159" t="inlineStr">
        <is>
          <t>DALARNAS LÄN</t>
        </is>
      </c>
      <c r="E159" t="inlineStr">
        <is>
          <t>LEKSAND</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41432-2020</t>
        </is>
      </c>
      <c r="B160" s="1" t="n">
        <v>44073</v>
      </c>
      <c r="C160" s="1" t="n">
        <v>45804</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42890-2020</t>
        </is>
      </c>
      <c r="B161" s="1" t="n">
        <v>44078</v>
      </c>
      <c r="C161" s="1" t="n">
        <v>45804</v>
      </c>
      <c r="D161" t="inlineStr">
        <is>
          <t>DALARNAS LÄN</t>
        </is>
      </c>
      <c r="E161" t="inlineStr">
        <is>
          <t>LEKSAND</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44665-2020</t>
        </is>
      </c>
      <c r="B162" s="1" t="n">
        <v>44085</v>
      </c>
      <c r="C162" s="1" t="n">
        <v>45804</v>
      </c>
      <c r="D162" t="inlineStr">
        <is>
          <t>DALARNAS LÄN</t>
        </is>
      </c>
      <c r="E162" t="inlineStr">
        <is>
          <t>LEKSAND</t>
        </is>
      </c>
      <c r="F162" t="inlineStr">
        <is>
          <t>Bergvik skog väst AB</t>
        </is>
      </c>
      <c r="G162" t="n">
        <v>5.1</v>
      </c>
      <c r="H162" t="n">
        <v>0</v>
      </c>
      <c r="I162" t="n">
        <v>0</v>
      </c>
      <c r="J162" t="n">
        <v>0</v>
      </c>
      <c r="K162" t="n">
        <v>0</v>
      </c>
      <c r="L162" t="n">
        <v>0</v>
      </c>
      <c r="M162" t="n">
        <v>0</v>
      </c>
      <c r="N162" t="n">
        <v>0</v>
      </c>
      <c r="O162" t="n">
        <v>0</v>
      </c>
      <c r="P162" t="n">
        <v>0</v>
      </c>
      <c r="Q162" t="n">
        <v>0</v>
      </c>
      <c r="R162" s="2" t="inlineStr"/>
    </row>
    <row r="163" ht="15" customHeight="1">
      <c r="A163" t="inlineStr">
        <is>
          <t>A 45995-2020</t>
        </is>
      </c>
      <c r="B163" s="1" t="n">
        <v>44088</v>
      </c>
      <c r="C163" s="1" t="n">
        <v>45804</v>
      </c>
      <c r="D163" t="inlineStr">
        <is>
          <t>DALARNAS LÄN</t>
        </is>
      </c>
      <c r="E163" t="inlineStr">
        <is>
          <t>LEKSAND</t>
        </is>
      </c>
      <c r="G163" t="n">
        <v>7.8</v>
      </c>
      <c r="H163" t="n">
        <v>0</v>
      </c>
      <c r="I163" t="n">
        <v>0</v>
      </c>
      <c r="J163" t="n">
        <v>0</v>
      </c>
      <c r="K163" t="n">
        <v>0</v>
      </c>
      <c r="L163" t="n">
        <v>0</v>
      </c>
      <c r="M163" t="n">
        <v>0</v>
      </c>
      <c r="N163" t="n">
        <v>0</v>
      </c>
      <c r="O163" t="n">
        <v>0</v>
      </c>
      <c r="P163" t="n">
        <v>0</v>
      </c>
      <c r="Q163" t="n">
        <v>0</v>
      </c>
      <c r="R163" s="2" t="inlineStr"/>
    </row>
    <row r="164" ht="15" customHeight="1">
      <c r="A164" t="inlineStr">
        <is>
          <t>A 45950-2020</t>
        </is>
      </c>
      <c r="B164" s="1" t="n">
        <v>44088</v>
      </c>
      <c r="C164" s="1" t="n">
        <v>45804</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45991-2020</t>
        </is>
      </c>
      <c r="B165" s="1" t="n">
        <v>44088</v>
      </c>
      <c r="C165" s="1" t="n">
        <v>45804</v>
      </c>
      <c r="D165" t="inlineStr">
        <is>
          <t>DALARNAS LÄN</t>
        </is>
      </c>
      <c r="E165" t="inlineStr">
        <is>
          <t>LEKSAND</t>
        </is>
      </c>
      <c r="G165" t="n">
        <v>9.9</v>
      </c>
      <c r="H165" t="n">
        <v>0</v>
      </c>
      <c r="I165" t="n">
        <v>0</v>
      </c>
      <c r="J165" t="n">
        <v>0</v>
      </c>
      <c r="K165" t="n">
        <v>0</v>
      </c>
      <c r="L165" t="n">
        <v>0</v>
      </c>
      <c r="M165" t="n">
        <v>0</v>
      </c>
      <c r="N165" t="n">
        <v>0</v>
      </c>
      <c r="O165" t="n">
        <v>0</v>
      </c>
      <c r="P165" t="n">
        <v>0</v>
      </c>
      <c r="Q165" t="n">
        <v>0</v>
      </c>
      <c r="R165" s="2" t="inlineStr"/>
    </row>
    <row r="166" ht="15" customHeight="1">
      <c r="A166" t="inlineStr">
        <is>
          <t>A 46854-2020</t>
        </is>
      </c>
      <c r="B166" s="1" t="n">
        <v>44090</v>
      </c>
      <c r="C166" s="1" t="n">
        <v>45804</v>
      </c>
      <c r="D166" t="inlineStr">
        <is>
          <t>DALARNAS LÄN</t>
        </is>
      </c>
      <c r="E166" t="inlineStr">
        <is>
          <t>LEKSAND</t>
        </is>
      </c>
      <c r="G166" t="n">
        <v>1.6</v>
      </c>
      <c r="H166" t="n">
        <v>0</v>
      </c>
      <c r="I166" t="n">
        <v>0</v>
      </c>
      <c r="J166" t="n">
        <v>0</v>
      </c>
      <c r="K166" t="n">
        <v>0</v>
      </c>
      <c r="L166" t="n">
        <v>0</v>
      </c>
      <c r="M166" t="n">
        <v>0</v>
      </c>
      <c r="N166" t="n">
        <v>0</v>
      </c>
      <c r="O166" t="n">
        <v>0</v>
      </c>
      <c r="P166" t="n">
        <v>0</v>
      </c>
      <c r="Q166" t="n">
        <v>0</v>
      </c>
      <c r="R166" s="2" t="inlineStr"/>
    </row>
    <row r="167" ht="15" customHeight="1">
      <c r="A167" t="inlineStr">
        <is>
          <t>A 47004-2020</t>
        </is>
      </c>
      <c r="B167" s="1" t="n">
        <v>44091</v>
      </c>
      <c r="C167" s="1" t="n">
        <v>45804</v>
      </c>
      <c r="D167" t="inlineStr">
        <is>
          <t>DALARNAS LÄN</t>
        </is>
      </c>
      <c r="E167" t="inlineStr">
        <is>
          <t>LEKSAND</t>
        </is>
      </c>
      <c r="G167" t="n">
        <v>3.2</v>
      </c>
      <c r="H167" t="n">
        <v>0</v>
      </c>
      <c r="I167" t="n">
        <v>0</v>
      </c>
      <c r="J167" t="n">
        <v>0</v>
      </c>
      <c r="K167" t="n">
        <v>0</v>
      </c>
      <c r="L167" t="n">
        <v>0</v>
      </c>
      <c r="M167" t="n">
        <v>0</v>
      </c>
      <c r="N167" t="n">
        <v>0</v>
      </c>
      <c r="O167" t="n">
        <v>0</v>
      </c>
      <c r="P167" t="n">
        <v>0</v>
      </c>
      <c r="Q167" t="n">
        <v>0</v>
      </c>
      <c r="R167" s="2" t="inlineStr"/>
    </row>
    <row r="168" ht="15" customHeight="1">
      <c r="A168" t="inlineStr">
        <is>
          <t>A 47069-2020</t>
        </is>
      </c>
      <c r="B168" s="1" t="n">
        <v>44096</v>
      </c>
      <c r="C168" s="1" t="n">
        <v>45804</v>
      </c>
      <c r="D168" t="inlineStr">
        <is>
          <t>DALARNAS LÄN</t>
        </is>
      </c>
      <c r="E168" t="inlineStr">
        <is>
          <t>LEKSAND</t>
        </is>
      </c>
      <c r="G168" t="n">
        <v>5.5</v>
      </c>
      <c r="H168" t="n">
        <v>0</v>
      </c>
      <c r="I168" t="n">
        <v>0</v>
      </c>
      <c r="J168" t="n">
        <v>0</v>
      </c>
      <c r="K168" t="n">
        <v>0</v>
      </c>
      <c r="L168" t="n">
        <v>0</v>
      </c>
      <c r="M168" t="n">
        <v>0</v>
      </c>
      <c r="N168" t="n">
        <v>0</v>
      </c>
      <c r="O168" t="n">
        <v>0</v>
      </c>
      <c r="P168" t="n">
        <v>0</v>
      </c>
      <c r="Q168" t="n">
        <v>0</v>
      </c>
      <c r="R168" s="2" t="inlineStr"/>
    </row>
    <row r="169" ht="15" customHeight="1">
      <c r="A169" t="inlineStr">
        <is>
          <t>A 50123-2020</t>
        </is>
      </c>
      <c r="B169" s="1" t="n">
        <v>44104</v>
      </c>
      <c r="C169" s="1" t="n">
        <v>45804</v>
      </c>
      <c r="D169" t="inlineStr">
        <is>
          <t>DALARNAS LÄN</t>
        </is>
      </c>
      <c r="E169" t="inlineStr">
        <is>
          <t>LEKSAND</t>
        </is>
      </c>
      <c r="F169" t="inlineStr">
        <is>
          <t>Övriga Aktiebolag</t>
        </is>
      </c>
      <c r="G169" t="n">
        <v>2.7</v>
      </c>
      <c r="H169" t="n">
        <v>0</v>
      </c>
      <c r="I169" t="n">
        <v>0</v>
      </c>
      <c r="J169" t="n">
        <v>0</v>
      </c>
      <c r="K169" t="n">
        <v>0</v>
      </c>
      <c r="L169" t="n">
        <v>0</v>
      </c>
      <c r="M169" t="n">
        <v>0</v>
      </c>
      <c r="N169" t="n">
        <v>0</v>
      </c>
      <c r="O169" t="n">
        <v>0</v>
      </c>
      <c r="P169" t="n">
        <v>0</v>
      </c>
      <c r="Q169" t="n">
        <v>0</v>
      </c>
      <c r="R169" s="2" t="inlineStr"/>
    </row>
    <row r="170" ht="15" customHeight="1">
      <c r="A170" t="inlineStr">
        <is>
          <t>A 50102-2020</t>
        </is>
      </c>
      <c r="B170" s="1" t="n">
        <v>44104</v>
      </c>
      <c r="C170" s="1" t="n">
        <v>45804</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60920-2020</t>
        </is>
      </c>
      <c r="B171" s="1" t="n">
        <v>44153</v>
      </c>
      <c r="C171" s="1" t="n">
        <v>45804</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60963-2020</t>
        </is>
      </c>
      <c r="B172" s="1" t="n">
        <v>44154</v>
      </c>
      <c r="C172" s="1" t="n">
        <v>45804</v>
      </c>
      <c r="D172" t="inlineStr">
        <is>
          <t>DALARNAS LÄN</t>
        </is>
      </c>
      <c r="E172" t="inlineStr">
        <is>
          <t>LEKSAND</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62118-2020</t>
        </is>
      </c>
      <c r="B173" s="1" t="n">
        <v>44159</v>
      </c>
      <c r="C173" s="1" t="n">
        <v>45804</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63481-2020</t>
        </is>
      </c>
      <c r="B174" s="1" t="n">
        <v>44161</v>
      </c>
      <c r="C174" s="1" t="n">
        <v>45804</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64109-2020</t>
        </is>
      </c>
      <c r="B175" s="1" t="n">
        <v>44167</v>
      </c>
      <c r="C175" s="1" t="n">
        <v>45804</v>
      </c>
      <c r="D175" t="inlineStr">
        <is>
          <t>DALARNAS LÄN</t>
        </is>
      </c>
      <c r="E175" t="inlineStr">
        <is>
          <t>LEKSAND</t>
        </is>
      </c>
      <c r="G175" t="n">
        <v>2.7</v>
      </c>
      <c r="H175" t="n">
        <v>0</v>
      </c>
      <c r="I175" t="n">
        <v>0</v>
      </c>
      <c r="J175" t="n">
        <v>0</v>
      </c>
      <c r="K175" t="n">
        <v>0</v>
      </c>
      <c r="L175" t="n">
        <v>0</v>
      </c>
      <c r="M175" t="n">
        <v>0</v>
      </c>
      <c r="N175" t="n">
        <v>0</v>
      </c>
      <c r="O175" t="n">
        <v>0</v>
      </c>
      <c r="P175" t="n">
        <v>0</v>
      </c>
      <c r="Q175" t="n">
        <v>0</v>
      </c>
      <c r="R175" s="2" t="inlineStr"/>
    </row>
    <row r="176" ht="15" customHeight="1">
      <c r="A176" t="inlineStr">
        <is>
          <t>A 64449-2020</t>
        </is>
      </c>
      <c r="B176" s="1" t="n">
        <v>44168</v>
      </c>
      <c r="C176" s="1" t="n">
        <v>45804</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64876-2020</t>
        </is>
      </c>
      <c r="B177" s="1" t="n">
        <v>44171</v>
      </c>
      <c r="C177" s="1" t="n">
        <v>45804</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65058-2020</t>
        </is>
      </c>
      <c r="B178" s="1" t="n">
        <v>44172</v>
      </c>
      <c r="C178" s="1" t="n">
        <v>45804</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66169-2020</t>
        </is>
      </c>
      <c r="B179" s="1" t="n">
        <v>44174</v>
      </c>
      <c r="C179" s="1" t="n">
        <v>45804</v>
      </c>
      <c r="D179" t="inlineStr">
        <is>
          <t>DALARNAS LÄN</t>
        </is>
      </c>
      <c r="E179" t="inlineStr">
        <is>
          <t>LEKSAND</t>
        </is>
      </c>
      <c r="G179" t="n">
        <v>5.3</v>
      </c>
      <c r="H179" t="n">
        <v>0</v>
      </c>
      <c r="I179" t="n">
        <v>0</v>
      </c>
      <c r="J179" t="n">
        <v>0</v>
      </c>
      <c r="K179" t="n">
        <v>0</v>
      </c>
      <c r="L179" t="n">
        <v>0</v>
      </c>
      <c r="M179" t="n">
        <v>0</v>
      </c>
      <c r="N179" t="n">
        <v>0</v>
      </c>
      <c r="O179" t="n">
        <v>0</v>
      </c>
      <c r="P179" t="n">
        <v>0</v>
      </c>
      <c r="Q179" t="n">
        <v>0</v>
      </c>
      <c r="R179" s="2" t="inlineStr"/>
    </row>
    <row r="180" ht="15" customHeight="1">
      <c r="A180" t="inlineStr">
        <is>
          <t>A 67100-2020</t>
        </is>
      </c>
      <c r="B180" s="1" t="n">
        <v>44179</v>
      </c>
      <c r="C180" s="1" t="n">
        <v>45804</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67307-2020</t>
        </is>
      </c>
      <c r="B181" s="1" t="n">
        <v>44181</v>
      </c>
      <c r="C181" s="1" t="n">
        <v>45804</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68058-2020</t>
        </is>
      </c>
      <c r="B182" s="1" t="n">
        <v>44183</v>
      </c>
      <c r="C182" s="1" t="n">
        <v>45804</v>
      </c>
      <c r="D182" t="inlineStr">
        <is>
          <t>DALARNAS LÄN</t>
        </is>
      </c>
      <c r="E182" t="inlineStr">
        <is>
          <t>LEKSAND</t>
        </is>
      </c>
      <c r="F182" t="inlineStr">
        <is>
          <t>Bergvik skog väst AB</t>
        </is>
      </c>
      <c r="G182" t="n">
        <v>4.9</v>
      </c>
      <c r="H182" t="n">
        <v>0</v>
      </c>
      <c r="I182" t="n">
        <v>0</v>
      </c>
      <c r="J182" t="n">
        <v>0</v>
      </c>
      <c r="K182" t="n">
        <v>0</v>
      </c>
      <c r="L182" t="n">
        <v>0</v>
      </c>
      <c r="M182" t="n">
        <v>0</v>
      </c>
      <c r="N182" t="n">
        <v>0</v>
      </c>
      <c r="O182" t="n">
        <v>0</v>
      </c>
      <c r="P182" t="n">
        <v>0</v>
      </c>
      <c r="Q182" t="n">
        <v>0</v>
      </c>
      <c r="R182" s="2" t="inlineStr"/>
    </row>
    <row r="183" ht="15" customHeight="1">
      <c r="A183" t="inlineStr">
        <is>
          <t>A 776-2021</t>
        </is>
      </c>
      <c r="B183" s="1" t="n">
        <v>44203</v>
      </c>
      <c r="C183" s="1" t="n">
        <v>45804</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1078-2021</t>
        </is>
      </c>
      <c r="B184" s="1" t="n">
        <v>44207</v>
      </c>
      <c r="C184" s="1" t="n">
        <v>45804</v>
      </c>
      <c r="D184" t="inlineStr">
        <is>
          <t>DALARNAS LÄN</t>
        </is>
      </c>
      <c r="E184" t="inlineStr">
        <is>
          <t>LEKSAND</t>
        </is>
      </c>
      <c r="G184" t="n">
        <v>4.9</v>
      </c>
      <c r="H184" t="n">
        <v>0</v>
      </c>
      <c r="I184" t="n">
        <v>0</v>
      </c>
      <c r="J184" t="n">
        <v>0</v>
      </c>
      <c r="K184" t="n">
        <v>0</v>
      </c>
      <c r="L184" t="n">
        <v>0</v>
      </c>
      <c r="M184" t="n">
        <v>0</v>
      </c>
      <c r="N184" t="n">
        <v>0</v>
      </c>
      <c r="O184" t="n">
        <v>0</v>
      </c>
      <c r="P184" t="n">
        <v>0</v>
      </c>
      <c r="Q184" t="n">
        <v>0</v>
      </c>
      <c r="R184" s="2" t="inlineStr"/>
    </row>
    <row r="185" ht="15" customHeight="1">
      <c r="A185" t="inlineStr">
        <is>
          <t>A 2311-2021</t>
        </is>
      </c>
      <c r="B185" s="1" t="n">
        <v>44213</v>
      </c>
      <c r="C185" s="1" t="n">
        <v>45804</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9131-2021</t>
        </is>
      </c>
      <c r="B186" s="1" t="n">
        <v>44249</v>
      </c>
      <c r="C186" s="1" t="n">
        <v>45804</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9133-2021</t>
        </is>
      </c>
      <c r="B187" s="1" t="n">
        <v>44249</v>
      </c>
      <c r="C187" s="1" t="n">
        <v>45804</v>
      </c>
      <c r="D187" t="inlineStr">
        <is>
          <t>DALARNAS LÄN</t>
        </is>
      </c>
      <c r="E187" t="inlineStr">
        <is>
          <t>LEKSAND</t>
        </is>
      </c>
      <c r="G187" t="n">
        <v>2.5</v>
      </c>
      <c r="H187" t="n">
        <v>0</v>
      </c>
      <c r="I187" t="n">
        <v>0</v>
      </c>
      <c r="J187" t="n">
        <v>0</v>
      </c>
      <c r="K187" t="n">
        <v>0</v>
      </c>
      <c r="L187" t="n">
        <v>0</v>
      </c>
      <c r="M187" t="n">
        <v>0</v>
      </c>
      <c r="N187" t="n">
        <v>0</v>
      </c>
      <c r="O187" t="n">
        <v>0</v>
      </c>
      <c r="P187" t="n">
        <v>0</v>
      </c>
      <c r="Q187" t="n">
        <v>0</v>
      </c>
      <c r="R187" s="2" t="inlineStr"/>
    </row>
    <row r="188" ht="15" customHeight="1">
      <c r="A188" t="inlineStr">
        <is>
          <t>A 13705-2021</t>
        </is>
      </c>
      <c r="B188" s="1" t="n">
        <v>44274</v>
      </c>
      <c r="C188" s="1" t="n">
        <v>45804</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16231-2021</t>
        </is>
      </c>
      <c r="B189" s="1" t="n">
        <v>44292</v>
      </c>
      <c r="C189" s="1" t="n">
        <v>45804</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17615-2021</t>
        </is>
      </c>
      <c r="B190" s="1" t="n">
        <v>44299</v>
      </c>
      <c r="C190" s="1" t="n">
        <v>45804</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18267-2021</t>
        </is>
      </c>
      <c r="B191" s="1" t="n">
        <v>44305</v>
      </c>
      <c r="C191" s="1" t="n">
        <v>45804</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18706-2021</t>
        </is>
      </c>
      <c r="B192" s="1" t="n">
        <v>44307</v>
      </c>
      <c r="C192" s="1" t="n">
        <v>45804</v>
      </c>
      <c r="D192" t="inlineStr">
        <is>
          <t>DALARNAS LÄN</t>
        </is>
      </c>
      <c r="E192" t="inlineStr">
        <is>
          <t>LEKSAND</t>
        </is>
      </c>
      <c r="G192" t="n">
        <v>3.4</v>
      </c>
      <c r="H192" t="n">
        <v>0</v>
      </c>
      <c r="I192" t="n">
        <v>0</v>
      </c>
      <c r="J192" t="n">
        <v>0</v>
      </c>
      <c r="K192" t="n">
        <v>0</v>
      </c>
      <c r="L192" t="n">
        <v>0</v>
      </c>
      <c r="M192" t="n">
        <v>0</v>
      </c>
      <c r="N192" t="n">
        <v>0</v>
      </c>
      <c r="O192" t="n">
        <v>0</v>
      </c>
      <c r="P192" t="n">
        <v>0</v>
      </c>
      <c r="Q192" t="n">
        <v>0</v>
      </c>
      <c r="R192" s="2" t="inlineStr"/>
    </row>
    <row r="193" ht="15" customHeight="1">
      <c r="A193" t="inlineStr">
        <is>
          <t>A 19677-2021</t>
        </is>
      </c>
      <c r="B193" s="1" t="n">
        <v>44312</v>
      </c>
      <c r="C193" s="1" t="n">
        <v>45804</v>
      </c>
      <c r="D193" t="inlineStr">
        <is>
          <t>DALARNAS LÄN</t>
        </is>
      </c>
      <c r="E193" t="inlineStr">
        <is>
          <t>LEKSAND</t>
        </is>
      </c>
      <c r="F193" t="inlineStr">
        <is>
          <t>Bergvik skog väst AB</t>
        </is>
      </c>
      <c r="G193" t="n">
        <v>3.1</v>
      </c>
      <c r="H193" t="n">
        <v>0</v>
      </c>
      <c r="I193" t="n">
        <v>0</v>
      </c>
      <c r="J193" t="n">
        <v>0</v>
      </c>
      <c r="K193" t="n">
        <v>0</v>
      </c>
      <c r="L193" t="n">
        <v>0</v>
      </c>
      <c r="M193" t="n">
        <v>0</v>
      </c>
      <c r="N193" t="n">
        <v>0</v>
      </c>
      <c r="O193" t="n">
        <v>0</v>
      </c>
      <c r="P193" t="n">
        <v>0</v>
      </c>
      <c r="Q193" t="n">
        <v>0</v>
      </c>
      <c r="R193" s="2" t="inlineStr"/>
    </row>
    <row r="194" ht="15" customHeight="1">
      <c r="A194" t="inlineStr">
        <is>
          <t>A 21132-2021</t>
        </is>
      </c>
      <c r="B194" s="1" t="n">
        <v>44319</v>
      </c>
      <c r="C194" s="1" t="n">
        <v>45804</v>
      </c>
      <c r="D194" t="inlineStr">
        <is>
          <t>DALARNAS LÄN</t>
        </is>
      </c>
      <c r="E194" t="inlineStr">
        <is>
          <t>LEKSAND</t>
        </is>
      </c>
      <c r="G194" t="n">
        <v>6.8</v>
      </c>
      <c r="H194" t="n">
        <v>0</v>
      </c>
      <c r="I194" t="n">
        <v>0</v>
      </c>
      <c r="J194" t="n">
        <v>0</v>
      </c>
      <c r="K194" t="n">
        <v>0</v>
      </c>
      <c r="L194" t="n">
        <v>0</v>
      </c>
      <c r="M194" t="n">
        <v>0</v>
      </c>
      <c r="N194" t="n">
        <v>0</v>
      </c>
      <c r="O194" t="n">
        <v>0</v>
      </c>
      <c r="P194" t="n">
        <v>0</v>
      </c>
      <c r="Q194" t="n">
        <v>0</v>
      </c>
      <c r="R194" s="2" t="inlineStr"/>
    </row>
    <row r="195" ht="15" customHeight="1">
      <c r="A195" t="inlineStr">
        <is>
          <t>A 21968-2021</t>
        </is>
      </c>
      <c r="B195" s="1" t="n">
        <v>44323</v>
      </c>
      <c r="C195" s="1" t="n">
        <v>45804</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21969-2021</t>
        </is>
      </c>
      <c r="B196" s="1" t="n">
        <v>44323</v>
      </c>
      <c r="C196" s="1" t="n">
        <v>45804</v>
      </c>
      <c r="D196" t="inlineStr">
        <is>
          <t>DALARNAS LÄN</t>
        </is>
      </c>
      <c r="E196" t="inlineStr">
        <is>
          <t>LEKSAND</t>
        </is>
      </c>
      <c r="G196" t="n">
        <v>3.8</v>
      </c>
      <c r="H196" t="n">
        <v>0</v>
      </c>
      <c r="I196" t="n">
        <v>0</v>
      </c>
      <c r="J196" t="n">
        <v>0</v>
      </c>
      <c r="K196" t="n">
        <v>0</v>
      </c>
      <c r="L196" t="n">
        <v>0</v>
      </c>
      <c r="M196" t="n">
        <v>0</v>
      </c>
      <c r="N196" t="n">
        <v>0</v>
      </c>
      <c r="O196" t="n">
        <v>0</v>
      </c>
      <c r="P196" t="n">
        <v>0</v>
      </c>
      <c r="Q196" t="n">
        <v>0</v>
      </c>
      <c r="R196" s="2" t="inlineStr"/>
    </row>
    <row r="197" ht="15" customHeight="1">
      <c r="A197" t="inlineStr">
        <is>
          <t>A 21965-2021</t>
        </is>
      </c>
      <c r="B197" s="1" t="n">
        <v>44323</v>
      </c>
      <c r="C197" s="1" t="n">
        <v>45804</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22431-2021</t>
        </is>
      </c>
      <c r="B198" s="1" t="n">
        <v>44326</v>
      </c>
      <c r="C198" s="1" t="n">
        <v>45804</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22684-2021</t>
        </is>
      </c>
      <c r="B199" s="1" t="n">
        <v>44327</v>
      </c>
      <c r="C199" s="1" t="n">
        <v>45804</v>
      </c>
      <c r="D199" t="inlineStr">
        <is>
          <t>DALARNAS LÄN</t>
        </is>
      </c>
      <c r="E199" t="inlineStr">
        <is>
          <t>LEKSAND</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22999-2021</t>
        </is>
      </c>
      <c r="B200" s="1" t="n">
        <v>44328</v>
      </c>
      <c r="C200" s="1" t="n">
        <v>45804</v>
      </c>
      <c r="D200" t="inlineStr">
        <is>
          <t>DALARNAS LÄN</t>
        </is>
      </c>
      <c r="E200" t="inlineStr">
        <is>
          <t>LEKSAND</t>
        </is>
      </c>
      <c r="F200" t="inlineStr">
        <is>
          <t>Bergvik skog väst AB</t>
        </is>
      </c>
      <c r="G200" t="n">
        <v>8.5</v>
      </c>
      <c r="H200" t="n">
        <v>0</v>
      </c>
      <c r="I200" t="n">
        <v>0</v>
      </c>
      <c r="J200" t="n">
        <v>0</v>
      </c>
      <c r="K200" t="n">
        <v>0</v>
      </c>
      <c r="L200" t="n">
        <v>0</v>
      </c>
      <c r="M200" t="n">
        <v>0</v>
      </c>
      <c r="N200" t="n">
        <v>0</v>
      </c>
      <c r="O200" t="n">
        <v>0</v>
      </c>
      <c r="P200" t="n">
        <v>0</v>
      </c>
      <c r="Q200" t="n">
        <v>0</v>
      </c>
      <c r="R200" s="2" t="inlineStr"/>
    </row>
    <row r="201" ht="15" customHeight="1">
      <c r="A201" t="inlineStr">
        <is>
          <t>A 23824-2021</t>
        </is>
      </c>
      <c r="B201" s="1" t="n">
        <v>44335</v>
      </c>
      <c r="C201" s="1" t="n">
        <v>45804</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24142-2021</t>
        </is>
      </c>
      <c r="B202" s="1" t="n">
        <v>44336</v>
      </c>
      <c r="C202" s="1" t="n">
        <v>45804</v>
      </c>
      <c r="D202" t="inlineStr">
        <is>
          <t>DALARNAS LÄN</t>
        </is>
      </c>
      <c r="E202" t="inlineStr">
        <is>
          <t>LEKSAND</t>
        </is>
      </c>
      <c r="F202" t="inlineStr">
        <is>
          <t>Bergvik skog väst AB</t>
        </is>
      </c>
      <c r="G202" t="n">
        <v>18.9</v>
      </c>
      <c r="H202" t="n">
        <v>0</v>
      </c>
      <c r="I202" t="n">
        <v>0</v>
      </c>
      <c r="J202" t="n">
        <v>0</v>
      </c>
      <c r="K202" t="n">
        <v>0</v>
      </c>
      <c r="L202" t="n">
        <v>0</v>
      </c>
      <c r="M202" t="n">
        <v>0</v>
      </c>
      <c r="N202" t="n">
        <v>0</v>
      </c>
      <c r="O202" t="n">
        <v>0</v>
      </c>
      <c r="P202" t="n">
        <v>0</v>
      </c>
      <c r="Q202" t="n">
        <v>0</v>
      </c>
      <c r="R202" s="2" t="inlineStr"/>
    </row>
    <row r="203" ht="15" customHeight="1">
      <c r="A203" t="inlineStr">
        <is>
          <t>A 24479-2021</t>
        </is>
      </c>
      <c r="B203" s="1" t="n">
        <v>44337</v>
      </c>
      <c r="C203" s="1" t="n">
        <v>45804</v>
      </c>
      <c r="D203" t="inlineStr">
        <is>
          <t>DALARNAS LÄN</t>
        </is>
      </c>
      <c r="E203" t="inlineStr">
        <is>
          <t>LEKSAND</t>
        </is>
      </c>
      <c r="F203" t="inlineStr">
        <is>
          <t>Bergvik skog väst AB</t>
        </is>
      </c>
      <c r="G203" t="n">
        <v>6.6</v>
      </c>
      <c r="H203" t="n">
        <v>0</v>
      </c>
      <c r="I203" t="n">
        <v>0</v>
      </c>
      <c r="J203" t="n">
        <v>0</v>
      </c>
      <c r="K203" t="n">
        <v>0</v>
      </c>
      <c r="L203" t="n">
        <v>0</v>
      </c>
      <c r="M203" t="n">
        <v>0</v>
      </c>
      <c r="N203" t="n">
        <v>0</v>
      </c>
      <c r="O203" t="n">
        <v>0</v>
      </c>
      <c r="P203" t="n">
        <v>0</v>
      </c>
      <c r="Q203" t="n">
        <v>0</v>
      </c>
      <c r="R203" s="2" t="inlineStr"/>
    </row>
    <row r="204" ht="15" customHeight="1">
      <c r="A204" t="inlineStr">
        <is>
          <t>A 26738-2021</t>
        </is>
      </c>
      <c r="B204" s="1" t="n">
        <v>44349</v>
      </c>
      <c r="C204" s="1" t="n">
        <v>45804</v>
      </c>
      <c r="D204" t="inlineStr">
        <is>
          <t>DALARNAS LÄN</t>
        </is>
      </c>
      <c r="E204" t="inlineStr">
        <is>
          <t>LEKSAND</t>
        </is>
      </c>
      <c r="G204" t="n">
        <v>0.8</v>
      </c>
      <c r="H204" t="n">
        <v>0</v>
      </c>
      <c r="I204" t="n">
        <v>0</v>
      </c>
      <c r="J204" t="n">
        <v>0</v>
      </c>
      <c r="K204" t="n">
        <v>0</v>
      </c>
      <c r="L204" t="n">
        <v>0</v>
      </c>
      <c r="M204" t="n">
        <v>0</v>
      </c>
      <c r="N204" t="n">
        <v>0</v>
      </c>
      <c r="O204" t="n">
        <v>0</v>
      </c>
      <c r="P204" t="n">
        <v>0</v>
      </c>
      <c r="Q204" t="n">
        <v>0</v>
      </c>
      <c r="R204" s="2" t="inlineStr"/>
    </row>
    <row r="205" ht="15" customHeight="1">
      <c r="A205" t="inlineStr">
        <is>
          <t>A 27154-2021</t>
        </is>
      </c>
      <c r="B205" s="1" t="n">
        <v>44350</v>
      </c>
      <c r="C205" s="1" t="n">
        <v>45804</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27317-2021</t>
        </is>
      </c>
      <c r="B206" s="1" t="n">
        <v>44351</v>
      </c>
      <c r="C206" s="1" t="n">
        <v>45804</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32152-2021</t>
        </is>
      </c>
      <c r="B207" s="1" t="n">
        <v>44371</v>
      </c>
      <c r="C207" s="1" t="n">
        <v>45804</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32635-2021</t>
        </is>
      </c>
      <c r="B208" s="1" t="n">
        <v>44374</v>
      </c>
      <c r="C208" s="1" t="n">
        <v>45804</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33072-2021</t>
        </is>
      </c>
      <c r="B209" s="1" t="n">
        <v>44375</v>
      </c>
      <c r="C209" s="1" t="n">
        <v>45804</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33170-2021</t>
        </is>
      </c>
      <c r="B210" s="1" t="n">
        <v>44376</v>
      </c>
      <c r="C210" s="1" t="n">
        <v>45804</v>
      </c>
      <c r="D210" t="inlineStr">
        <is>
          <t>DALARNAS LÄN</t>
        </is>
      </c>
      <c r="E210" t="inlineStr">
        <is>
          <t>LEKSAND</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34869-2021</t>
        </is>
      </c>
      <c r="B211" s="1" t="n">
        <v>44383</v>
      </c>
      <c r="C211" s="1" t="n">
        <v>45804</v>
      </c>
      <c r="D211" t="inlineStr">
        <is>
          <t>DALARNAS LÄN</t>
        </is>
      </c>
      <c r="E211" t="inlineStr">
        <is>
          <t>LEKSAND</t>
        </is>
      </c>
      <c r="F211" t="inlineStr">
        <is>
          <t>Bergvik skog väst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34867-2021</t>
        </is>
      </c>
      <c r="B212" s="1" t="n">
        <v>44383</v>
      </c>
      <c r="C212" s="1" t="n">
        <v>45804</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34911-2021</t>
        </is>
      </c>
      <c r="B213" s="1" t="n">
        <v>44383</v>
      </c>
      <c r="C213" s="1" t="n">
        <v>45804</v>
      </c>
      <c r="D213" t="inlineStr">
        <is>
          <t>DALARNAS LÄN</t>
        </is>
      </c>
      <c r="E213" t="inlineStr">
        <is>
          <t>LEKSAND</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36438-2021</t>
        </is>
      </c>
      <c r="B214" s="1" t="n">
        <v>44390</v>
      </c>
      <c r="C214" s="1" t="n">
        <v>45804</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36956-2021</t>
        </is>
      </c>
      <c r="B215" s="1" t="n">
        <v>44393</v>
      </c>
      <c r="C215" s="1" t="n">
        <v>45804</v>
      </c>
      <c r="D215" t="inlineStr">
        <is>
          <t>DALARNAS LÄN</t>
        </is>
      </c>
      <c r="E215" t="inlineStr">
        <is>
          <t>LEKSAND</t>
        </is>
      </c>
      <c r="G215" t="n">
        <v>4.1</v>
      </c>
      <c r="H215" t="n">
        <v>0</v>
      </c>
      <c r="I215" t="n">
        <v>0</v>
      </c>
      <c r="J215" t="n">
        <v>0</v>
      </c>
      <c r="K215" t="n">
        <v>0</v>
      </c>
      <c r="L215" t="n">
        <v>0</v>
      </c>
      <c r="M215" t="n">
        <v>0</v>
      </c>
      <c r="N215" t="n">
        <v>0</v>
      </c>
      <c r="O215" t="n">
        <v>0</v>
      </c>
      <c r="P215" t="n">
        <v>0</v>
      </c>
      <c r="Q215" t="n">
        <v>0</v>
      </c>
      <c r="R215" s="2" t="inlineStr"/>
    </row>
    <row r="216" ht="15" customHeight="1">
      <c r="A216" t="inlineStr">
        <is>
          <t>A 37073-2021</t>
        </is>
      </c>
      <c r="B216" s="1" t="n">
        <v>44394</v>
      </c>
      <c r="C216" s="1" t="n">
        <v>45804</v>
      </c>
      <c r="D216" t="inlineStr">
        <is>
          <t>DALARNAS LÄN</t>
        </is>
      </c>
      <c r="E216" t="inlineStr">
        <is>
          <t>LEKSAND</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37283-2021</t>
        </is>
      </c>
      <c r="B217" s="1" t="n">
        <v>44397</v>
      </c>
      <c r="C217" s="1" t="n">
        <v>45804</v>
      </c>
      <c r="D217" t="inlineStr">
        <is>
          <t>DALARNAS LÄN</t>
        </is>
      </c>
      <c r="E217" t="inlineStr">
        <is>
          <t>LEKSAND</t>
        </is>
      </c>
      <c r="G217" t="n">
        <v>2.9</v>
      </c>
      <c r="H217" t="n">
        <v>0</v>
      </c>
      <c r="I217" t="n">
        <v>0</v>
      </c>
      <c r="J217" t="n">
        <v>0</v>
      </c>
      <c r="K217" t="n">
        <v>0</v>
      </c>
      <c r="L217" t="n">
        <v>0</v>
      </c>
      <c r="M217" t="n">
        <v>0</v>
      </c>
      <c r="N217" t="n">
        <v>0</v>
      </c>
      <c r="O217" t="n">
        <v>0</v>
      </c>
      <c r="P217" t="n">
        <v>0</v>
      </c>
      <c r="Q217" t="n">
        <v>0</v>
      </c>
      <c r="R217" s="2" t="inlineStr"/>
    </row>
    <row r="218" ht="15" customHeight="1">
      <c r="A218" t="inlineStr">
        <is>
          <t>A 37531-2021</t>
        </is>
      </c>
      <c r="B218" s="1" t="n">
        <v>44399</v>
      </c>
      <c r="C218" s="1" t="n">
        <v>45804</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38192-2021</t>
        </is>
      </c>
      <c r="B219" s="1" t="n">
        <v>44405</v>
      </c>
      <c r="C219" s="1" t="n">
        <v>45804</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38619-2021</t>
        </is>
      </c>
      <c r="B220" s="1" t="n">
        <v>44409</v>
      </c>
      <c r="C220" s="1" t="n">
        <v>45804</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39203-2021</t>
        </is>
      </c>
      <c r="B221" s="1" t="n">
        <v>44413</v>
      </c>
      <c r="C221" s="1" t="n">
        <v>45804</v>
      </c>
      <c r="D221" t="inlineStr">
        <is>
          <t>DALARNAS LÄN</t>
        </is>
      </c>
      <c r="E221" t="inlineStr">
        <is>
          <t>LEKSAND</t>
        </is>
      </c>
      <c r="G221" t="n">
        <v>5</v>
      </c>
      <c r="H221" t="n">
        <v>0</v>
      </c>
      <c r="I221" t="n">
        <v>0</v>
      </c>
      <c r="J221" t="n">
        <v>0</v>
      </c>
      <c r="K221" t="n">
        <v>0</v>
      </c>
      <c r="L221" t="n">
        <v>0</v>
      </c>
      <c r="M221" t="n">
        <v>0</v>
      </c>
      <c r="N221" t="n">
        <v>0</v>
      </c>
      <c r="O221" t="n">
        <v>0</v>
      </c>
      <c r="P221" t="n">
        <v>0</v>
      </c>
      <c r="Q221" t="n">
        <v>0</v>
      </c>
      <c r="R221" s="2" t="inlineStr"/>
    </row>
    <row r="222" ht="15" customHeight="1">
      <c r="A222" t="inlineStr">
        <is>
          <t>A 40584-2021</t>
        </is>
      </c>
      <c r="B222" s="1" t="n">
        <v>44420</v>
      </c>
      <c r="C222" s="1" t="n">
        <v>45804</v>
      </c>
      <c r="D222" t="inlineStr">
        <is>
          <t>DALARNAS LÄN</t>
        </is>
      </c>
      <c r="E222" t="inlineStr">
        <is>
          <t>LEKSAND</t>
        </is>
      </c>
      <c r="G222" t="n">
        <v>6</v>
      </c>
      <c r="H222" t="n">
        <v>0</v>
      </c>
      <c r="I222" t="n">
        <v>0</v>
      </c>
      <c r="J222" t="n">
        <v>0</v>
      </c>
      <c r="K222" t="n">
        <v>0</v>
      </c>
      <c r="L222" t="n">
        <v>0</v>
      </c>
      <c r="M222" t="n">
        <v>0</v>
      </c>
      <c r="N222" t="n">
        <v>0</v>
      </c>
      <c r="O222" t="n">
        <v>0</v>
      </c>
      <c r="P222" t="n">
        <v>0</v>
      </c>
      <c r="Q222" t="n">
        <v>0</v>
      </c>
      <c r="R222" s="2" t="inlineStr"/>
    </row>
    <row r="223" ht="15" customHeight="1">
      <c r="A223" t="inlineStr">
        <is>
          <t>A 42952-2021</t>
        </is>
      </c>
      <c r="B223" s="1" t="n">
        <v>44431</v>
      </c>
      <c r="C223" s="1" t="n">
        <v>45804</v>
      </c>
      <c r="D223" t="inlineStr">
        <is>
          <t>DALARNAS LÄN</t>
        </is>
      </c>
      <c r="E223" t="inlineStr">
        <is>
          <t>LEKSAND</t>
        </is>
      </c>
      <c r="G223" t="n">
        <v>5.4</v>
      </c>
      <c r="H223" t="n">
        <v>0</v>
      </c>
      <c r="I223" t="n">
        <v>0</v>
      </c>
      <c r="J223" t="n">
        <v>0</v>
      </c>
      <c r="K223" t="n">
        <v>0</v>
      </c>
      <c r="L223" t="n">
        <v>0</v>
      </c>
      <c r="M223" t="n">
        <v>0</v>
      </c>
      <c r="N223" t="n">
        <v>0</v>
      </c>
      <c r="O223" t="n">
        <v>0</v>
      </c>
      <c r="P223" t="n">
        <v>0</v>
      </c>
      <c r="Q223" t="n">
        <v>0</v>
      </c>
      <c r="R223" s="2" t="inlineStr"/>
    </row>
    <row r="224" ht="15" customHeight="1">
      <c r="A224" t="inlineStr">
        <is>
          <t>A 43410-2021</t>
        </is>
      </c>
      <c r="B224" s="1" t="n">
        <v>44432</v>
      </c>
      <c r="C224" s="1" t="n">
        <v>45804</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44922-2021</t>
        </is>
      </c>
      <c r="B225" s="1" t="n">
        <v>44438</v>
      </c>
      <c r="C225" s="1" t="n">
        <v>45804</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45155-2021</t>
        </is>
      </c>
      <c r="B226" s="1" t="n">
        <v>44439</v>
      </c>
      <c r="C226" s="1" t="n">
        <v>45804</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45788-2021</t>
        </is>
      </c>
      <c r="B227" s="1" t="n">
        <v>44441</v>
      </c>
      <c r="C227" s="1" t="n">
        <v>45804</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47121-2021</t>
        </is>
      </c>
      <c r="B228" s="1" t="n">
        <v>44446</v>
      </c>
      <c r="C228" s="1" t="n">
        <v>45804</v>
      </c>
      <c r="D228" t="inlineStr">
        <is>
          <t>DALARNAS LÄN</t>
        </is>
      </c>
      <c r="E228" t="inlineStr">
        <is>
          <t>LEKSAND</t>
        </is>
      </c>
      <c r="G228" t="n">
        <v>3.5</v>
      </c>
      <c r="H228" t="n">
        <v>0</v>
      </c>
      <c r="I228" t="n">
        <v>0</v>
      </c>
      <c r="J228" t="n">
        <v>0</v>
      </c>
      <c r="K228" t="n">
        <v>0</v>
      </c>
      <c r="L228" t="n">
        <v>0</v>
      </c>
      <c r="M228" t="n">
        <v>0</v>
      </c>
      <c r="N228" t="n">
        <v>0</v>
      </c>
      <c r="O228" t="n">
        <v>0</v>
      </c>
      <c r="P228" t="n">
        <v>0</v>
      </c>
      <c r="Q228" t="n">
        <v>0</v>
      </c>
      <c r="R228" s="2" t="inlineStr"/>
    </row>
    <row r="229" ht="15" customHeight="1">
      <c r="A229" t="inlineStr">
        <is>
          <t>A 48949-2021</t>
        </is>
      </c>
      <c r="B229" s="1" t="n">
        <v>44453</v>
      </c>
      <c r="C229" s="1" t="n">
        <v>45804</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53625-2021</t>
        </is>
      </c>
      <c r="B230" s="1" t="n">
        <v>44469</v>
      </c>
      <c r="C230" s="1" t="n">
        <v>45804</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56153-2021</t>
        </is>
      </c>
      <c r="B231" s="1" t="n">
        <v>44477</v>
      </c>
      <c r="C231" s="1" t="n">
        <v>45804</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58569-2021</t>
        </is>
      </c>
      <c r="B232" s="1" t="n">
        <v>44488</v>
      </c>
      <c r="C232" s="1" t="n">
        <v>45804</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59422-2021</t>
        </is>
      </c>
      <c r="B233" s="1" t="n">
        <v>44491</v>
      </c>
      <c r="C233" s="1" t="n">
        <v>45804</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61546-2021</t>
        </is>
      </c>
      <c r="B234" s="1" t="n">
        <v>44501</v>
      </c>
      <c r="C234" s="1" t="n">
        <v>45804</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61669-2021</t>
        </is>
      </c>
      <c r="B235" s="1" t="n">
        <v>44501</v>
      </c>
      <c r="C235" s="1" t="n">
        <v>45804</v>
      </c>
      <c r="D235" t="inlineStr">
        <is>
          <t>DALARNAS LÄN</t>
        </is>
      </c>
      <c r="E235" t="inlineStr">
        <is>
          <t>LEKSAND</t>
        </is>
      </c>
      <c r="G235" t="n">
        <v>3.6</v>
      </c>
      <c r="H235" t="n">
        <v>0</v>
      </c>
      <c r="I235" t="n">
        <v>0</v>
      </c>
      <c r="J235" t="n">
        <v>0</v>
      </c>
      <c r="K235" t="n">
        <v>0</v>
      </c>
      <c r="L235" t="n">
        <v>0</v>
      </c>
      <c r="M235" t="n">
        <v>0</v>
      </c>
      <c r="N235" t="n">
        <v>0</v>
      </c>
      <c r="O235" t="n">
        <v>0</v>
      </c>
      <c r="P235" t="n">
        <v>0</v>
      </c>
      <c r="Q235" t="n">
        <v>0</v>
      </c>
      <c r="R235" s="2" t="inlineStr"/>
    </row>
    <row r="236" ht="15" customHeight="1">
      <c r="A236" t="inlineStr">
        <is>
          <t>A 61676-2021</t>
        </is>
      </c>
      <c r="B236" s="1" t="n">
        <v>44501</v>
      </c>
      <c r="C236" s="1" t="n">
        <v>45804</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62279-2021</t>
        </is>
      </c>
      <c r="B237" s="1" t="n">
        <v>44503</v>
      </c>
      <c r="C237" s="1" t="n">
        <v>45804</v>
      </c>
      <c r="D237" t="inlineStr">
        <is>
          <t>DALARNAS LÄN</t>
        </is>
      </c>
      <c r="E237" t="inlineStr">
        <is>
          <t>LEKSAND</t>
        </is>
      </c>
      <c r="G237" t="n">
        <v>1.8</v>
      </c>
      <c r="H237" t="n">
        <v>0</v>
      </c>
      <c r="I237" t="n">
        <v>0</v>
      </c>
      <c r="J237" t="n">
        <v>0</v>
      </c>
      <c r="K237" t="n">
        <v>0</v>
      </c>
      <c r="L237" t="n">
        <v>0</v>
      </c>
      <c r="M237" t="n">
        <v>0</v>
      </c>
      <c r="N237" t="n">
        <v>0</v>
      </c>
      <c r="O237" t="n">
        <v>0</v>
      </c>
      <c r="P237" t="n">
        <v>0</v>
      </c>
      <c r="Q237" t="n">
        <v>0</v>
      </c>
      <c r="R237" s="2" t="inlineStr"/>
    </row>
    <row r="238" ht="15" customHeight="1">
      <c r="A238" t="inlineStr">
        <is>
          <t>A 64718-2021</t>
        </is>
      </c>
      <c r="B238" s="1" t="n">
        <v>44512</v>
      </c>
      <c r="C238" s="1" t="n">
        <v>45804</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68573-2021</t>
        </is>
      </c>
      <c r="B239" s="1" t="n">
        <v>44529</v>
      </c>
      <c r="C239" s="1" t="n">
        <v>45804</v>
      </c>
      <c r="D239" t="inlineStr">
        <is>
          <t>DALARNAS LÄN</t>
        </is>
      </c>
      <c r="E239" t="inlineStr">
        <is>
          <t>LEKSAND</t>
        </is>
      </c>
      <c r="G239" t="n">
        <v>1.6</v>
      </c>
      <c r="H239" t="n">
        <v>0</v>
      </c>
      <c r="I239" t="n">
        <v>0</v>
      </c>
      <c r="J239" t="n">
        <v>0</v>
      </c>
      <c r="K239" t="n">
        <v>0</v>
      </c>
      <c r="L239" t="n">
        <v>0</v>
      </c>
      <c r="M239" t="n">
        <v>0</v>
      </c>
      <c r="N239" t="n">
        <v>0</v>
      </c>
      <c r="O239" t="n">
        <v>0</v>
      </c>
      <c r="P239" t="n">
        <v>0</v>
      </c>
      <c r="Q239" t="n">
        <v>0</v>
      </c>
      <c r="R239" s="2" t="inlineStr"/>
    </row>
    <row r="240" ht="15" customHeight="1">
      <c r="A240" t="inlineStr">
        <is>
          <t>A 68617-2021</t>
        </is>
      </c>
      <c r="B240" s="1" t="n">
        <v>44529</v>
      </c>
      <c r="C240" s="1" t="n">
        <v>45804</v>
      </c>
      <c r="D240" t="inlineStr">
        <is>
          <t>DALARNAS LÄN</t>
        </is>
      </c>
      <c r="E240" t="inlineStr">
        <is>
          <t>LEKSAND</t>
        </is>
      </c>
      <c r="G240" t="n">
        <v>0.4</v>
      </c>
      <c r="H240" t="n">
        <v>0</v>
      </c>
      <c r="I240" t="n">
        <v>0</v>
      </c>
      <c r="J240" t="n">
        <v>0</v>
      </c>
      <c r="K240" t="n">
        <v>0</v>
      </c>
      <c r="L240" t="n">
        <v>0</v>
      </c>
      <c r="M240" t="n">
        <v>0</v>
      </c>
      <c r="N240" t="n">
        <v>0</v>
      </c>
      <c r="O240" t="n">
        <v>0</v>
      </c>
      <c r="P240" t="n">
        <v>0</v>
      </c>
      <c r="Q240" t="n">
        <v>0</v>
      </c>
      <c r="R240" s="2" t="inlineStr"/>
    </row>
    <row r="241" ht="15" customHeight="1">
      <c r="A241" t="inlineStr">
        <is>
          <t>A 69525-2021</t>
        </is>
      </c>
      <c r="B241" s="1" t="n">
        <v>44531</v>
      </c>
      <c r="C241" s="1" t="n">
        <v>45804</v>
      </c>
      <c r="D241" t="inlineStr">
        <is>
          <t>DALARNAS LÄN</t>
        </is>
      </c>
      <c r="E241" t="inlineStr">
        <is>
          <t>LEKSAND</t>
        </is>
      </c>
      <c r="G241" t="n">
        <v>2.9</v>
      </c>
      <c r="H241" t="n">
        <v>0</v>
      </c>
      <c r="I241" t="n">
        <v>0</v>
      </c>
      <c r="J241" t="n">
        <v>0</v>
      </c>
      <c r="K241" t="n">
        <v>0</v>
      </c>
      <c r="L241" t="n">
        <v>0</v>
      </c>
      <c r="M241" t="n">
        <v>0</v>
      </c>
      <c r="N241" t="n">
        <v>0</v>
      </c>
      <c r="O241" t="n">
        <v>0</v>
      </c>
      <c r="P241" t="n">
        <v>0</v>
      </c>
      <c r="Q241" t="n">
        <v>0</v>
      </c>
      <c r="R241" s="2" t="inlineStr"/>
    </row>
    <row r="242" ht="15" customHeight="1">
      <c r="A242" t="inlineStr">
        <is>
          <t>A 70098-2021</t>
        </is>
      </c>
      <c r="B242" s="1" t="n">
        <v>44533</v>
      </c>
      <c r="C242" s="1" t="n">
        <v>45804</v>
      </c>
      <c r="D242" t="inlineStr">
        <is>
          <t>DALARNAS LÄN</t>
        </is>
      </c>
      <c r="E242" t="inlineStr">
        <is>
          <t>LEKSAND</t>
        </is>
      </c>
      <c r="G242" t="n">
        <v>0.8</v>
      </c>
      <c r="H242" t="n">
        <v>0</v>
      </c>
      <c r="I242" t="n">
        <v>0</v>
      </c>
      <c r="J242" t="n">
        <v>0</v>
      </c>
      <c r="K242" t="n">
        <v>0</v>
      </c>
      <c r="L242" t="n">
        <v>0</v>
      </c>
      <c r="M242" t="n">
        <v>0</v>
      </c>
      <c r="N242" t="n">
        <v>0</v>
      </c>
      <c r="O242" t="n">
        <v>0</v>
      </c>
      <c r="P242" t="n">
        <v>0</v>
      </c>
      <c r="Q242" t="n">
        <v>0</v>
      </c>
      <c r="R242" s="2" t="inlineStr"/>
    </row>
    <row r="243" ht="15" customHeight="1">
      <c r="A243" t="inlineStr">
        <is>
          <t>A 70099-2021</t>
        </is>
      </c>
      <c r="B243" s="1" t="n">
        <v>44533</v>
      </c>
      <c r="C243" s="1" t="n">
        <v>45804</v>
      </c>
      <c r="D243" t="inlineStr">
        <is>
          <t>DALARNAS LÄN</t>
        </is>
      </c>
      <c r="E243" t="inlineStr">
        <is>
          <t>LEKSAND</t>
        </is>
      </c>
      <c r="G243" t="n">
        <v>2.8</v>
      </c>
      <c r="H243" t="n">
        <v>0</v>
      </c>
      <c r="I243" t="n">
        <v>0</v>
      </c>
      <c r="J243" t="n">
        <v>0</v>
      </c>
      <c r="K243" t="n">
        <v>0</v>
      </c>
      <c r="L243" t="n">
        <v>0</v>
      </c>
      <c r="M243" t="n">
        <v>0</v>
      </c>
      <c r="N243" t="n">
        <v>0</v>
      </c>
      <c r="O243" t="n">
        <v>0</v>
      </c>
      <c r="P243" t="n">
        <v>0</v>
      </c>
      <c r="Q243" t="n">
        <v>0</v>
      </c>
      <c r="R243" s="2" t="inlineStr"/>
    </row>
    <row r="244" ht="15" customHeight="1">
      <c r="A244" t="inlineStr">
        <is>
          <t>A 70026-2021</t>
        </is>
      </c>
      <c r="B244" s="1" t="n">
        <v>44533</v>
      </c>
      <c r="C244" s="1" t="n">
        <v>45804</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70296-2021</t>
        </is>
      </c>
      <c r="B245" s="1" t="n">
        <v>44536</v>
      </c>
      <c r="C245" s="1" t="n">
        <v>45804</v>
      </c>
      <c r="D245" t="inlineStr">
        <is>
          <t>DALARNAS LÄN</t>
        </is>
      </c>
      <c r="E245" t="inlineStr">
        <is>
          <t>LEKSAND</t>
        </is>
      </c>
      <c r="G245" t="n">
        <v>2.7</v>
      </c>
      <c r="H245" t="n">
        <v>0</v>
      </c>
      <c r="I245" t="n">
        <v>0</v>
      </c>
      <c r="J245" t="n">
        <v>0</v>
      </c>
      <c r="K245" t="n">
        <v>0</v>
      </c>
      <c r="L245" t="n">
        <v>0</v>
      </c>
      <c r="M245" t="n">
        <v>0</v>
      </c>
      <c r="N245" t="n">
        <v>0</v>
      </c>
      <c r="O245" t="n">
        <v>0</v>
      </c>
      <c r="P245" t="n">
        <v>0</v>
      </c>
      <c r="Q245" t="n">
        <v>0</v>
      </c>
      <c r="R245" s="2" t="inlineStr"/>
    </row>
    <row r="246" ht="15" customHeight="1">
      <c r="A246" t="inlineStr">
        <is>
          <t>A 70451-2021</t>
        </is>
      </c>
      <c r="B246" s="1" t="n">
        <v>44536</v>
      </c>
      <c r="C246" s="1" t="n">
        <v>45804</v>
      </c>
      <c r="D246" t="inlineStr">
        <is>
          <t>DALARNAS LÄN</t>
        </is>
      </c>
      <c r="E246" t="inlineStr">
        <is>
          <t>LEKSAND</t>
        </is>
      </c>
      <c r="G246" t="n">
        <v>3.7</v>
      </c>
      <c r="H246" t="n">
        <v>0</v>
      </c>
      <c r="I246" t="n">
        <v>0</v>
      </c>
      <c r="J246" t="n">
        <v>0</v>
      </c>
      <c r="K246" t="n">
        <v>0</v>
      </c>
      <c r="L246" t="n">
        <v>0</v>
      </c>
      <c r="M246" t="n">
        <v>0</v>
      </c>
      <c r="N246" t="n">
        <v>0</v>
      </c>
      <c r="O246" t="n">
        <v>0</v>
      </c>
      <c r="P246" t="n">
        <v>0</v>
      </c>
      <c r="Q246" t="n">
        <v>0</v>
      </c>
      <c r="R246" s="2" t="inlineStr"/>
    </row>
    <row r="247" ht="15" customHeight="1">
      <c r="A247" t="inlineStr">
        <is>
          <t>A 71311-2021</t>
        </is>
      </c>
      <c r="B247" s="1" t="n">
        <v>44539</v>
      </c>
      <c r="C247" s="1" t="n">
        <v>45804</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71754-2021</t>
        </is>
      </c>
      <c r="B248" s="1" t="n">
        <v>44543</v>
      </c>
      <c r="C248" s="1" t="n">
        <v>45804</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71817-2021</t>
        </is>
      </c>
      <c r="B249" s="1" t="n">
        <v>44543</v>
      </c>
      <c r="C249" s="1" t="n">
        <v>45804</v>
      </c>
      <c r="D249" t="inlineStr">
        <is>
          <t>DALARNAS LÄN</t>
        </is>
      </c>
      <c r="E249" t="inlineStr">
        <is>
          <t>LEKSAND</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72155-2021</t>
        </is>
      </c>
      <c r="B250" s="1" t="n">
        <v>44543</v>
      </c>
      <c r="C250" s="1" t="n">
        <v>45804</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72000-2021</t>
        </is>
      </c>
      <c r="B251" s="1" t="n">
        <v>44544</v>
      </c>
      <c r="C251" s="1" t="n">
        <v>45804</v>
      </c>
      <c r="D251" t="inlineStr">
        <is>
          <t>DALARNAS LÄN</t>
        </is>
      </c>
      <c r="E251" t="inlineStr">
        <is>
          <t>LEKSAND</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72001-2021</t>
        </is>
      </c>
      <c r="B252" s="1" t="n">
        <v>44544</v>
      </c>
      <c r="C252" s="1" t="n">
        <v>45804</v>
      </c>
      <c r="D252" t="inlineStr">
        <is>
          <t>DALARNAS LÄN</t>
        </is>
      </c>
      <c r="E252" t="inlineStr">
        <is>
          <t>LEKSAND</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72581-2021</t>
        </is>
      </c>
      <c r="B253" s="1" t="n">
        <v>44546</v>
      </c>
      <c r="C253" s="1" t="n">
        <v>45804</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72531-2021</t>
        </is>
      </c>
      <c r="B254" s="1" t="n">
        <v>44546</v>
      </c>
      <c r="C254" s="1" t="n">
        <v>45804</v>
      </c>
      <c r="D254" t="inlineStr">
        <is>
          <t>DALARNAS LÄN</t>
        </is>
      </c>
      <c r="E254" t="inlineStr">
        <is>
          <t>LEKSAND</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72575-2021</t>
        </is>
      </c>
      <c r="B255" s="1" t="n">
        <v>44546</v>
      </c>
      <c r="C255" s="1" t="n">
        <v>45804</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74067-2021</t>
        </is>
      </c>
      <c r="B256" s="1" t="n">
        <v>44553</v>
      </c>
      <c r="C256" s="1" t="n">
        <v>45804</v>
      </c>
      <c r="D256" t="inlineStr">
        <is>
          <t>DALARNAS LÄN</t>
        </is>
      </c>
      <c r="E256" t="inlineStr">
        <is>
          <t>LEKSAND</t>
        </is>
      </c>
      <c r="G256" t="n">
        <v>1.8</v>
      </c>
      <c r="H256" t="n">
        <v>0</v>
      </c>
      <c r="I256" t="n">
        <v>0</v>
      </c>
      <c r="J256" t="n">
        <v>0</v>
      </c>
      <c r="K256" t="n">
        <v>0</v>
      </c>
      <c r="L256" t="n">
        <v>0</v>
      </c>
      <c r="M256" t="n">
        <v>0</v>
      </c>
      <c r="N256" t="n">
        <v>0</v>
      </c>
      <c r="O256" t="n">
        <v>0</v>
      </c>
      <c r="P256" t="n">
        <v>0</v>
      </c>
      <c r="Q256" t="n">
        <v>0</v>
      </c>
      <c r="R256" s="2" t="inlineStr"/>
    </row>
    <row r="257" ht="15" customHeight="1">
      <c r="A257" t="inlineStr">
        <is>
          <t>A 791-2022</t>
        </is>
      </c>
      <c r="B257" s="1" t="n">
        <v>44570</v>
      </c>
      <c r="C257" s="1" t="n">
        <v>45804</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1775-2022</t>
        </is>
      </c>
      <c r="B258" s="1" t="n">
        <v>44574</v>
      </c>
      <c r="C258" s="1" t="n">
        <v>45804</v>
      </c>
      <c r="D258" t="inlineStr">
        <is>
          <t>DALARNAS LÄN</t>
        </is>
      </c>
      <c r="E258" t="inlineStr">
        <is>
          <t>LEKSAND</t>
        </is>
      </c>
      <c r="G258" t="n">
        <v>2</v>
      </c>
      <c r="H258" t="n">
        <v>0</v>
      </c>
      <c r="I258" t="n">
        <v>0</v>
      </c>
      <c r="J258" t="n">
        <v>0</v>
      </c>
      <c r="K258" t="n">
        <v>0</v>
      </c>
      <c r="L258" t="n">
        <v>0</v>
      </c>
      <c r="M258" t="n">
        <v>0</v>
      </c>
      <c r="N258" t="n">
        <v>0</v>
      </c>
      <c r="O258" t="n">
        <v>0</v>
      </c>
      <c r="P258" t="n">
        <v>0</v>
      </c>
      <c r="Q258" t="n">
        <v>0</v>
      </c>
      <c r="R258" s="2" t="inlineStr"/>
    </row>
    <row r="259" ht="15" customHeight="1">
      <c r="A259" t="inlineStr">
        <is>
          <t>A 2579-2022</t>
        </is>
      </c>
      <c r="B259" s="1" t="n">
        <v>44580</v>
      </c>
      <c r="C259" s="1" t="n">
        <v>45804</v>
      </c>
      <c r="D259" t="inlineStr">
        <is>
          <t>DALARNAS LÄN</t>
        </is>
      </c>
      <c r="E259" t="inlineStr">
        <is>
          <t>LEKSAND</t>
        </is>
      </c>
      <c r="G259" t="n">
        <v>0.3</v>
      </c>
      <c r="H259" t="n">
        <v>0</v>
      </c>
      <c r="I259" t="n">
        <v>0</v>
      </c>
      <c r="J259" t="n">
        <v>0</v>
      </c>
      <c r="K259" t="n">
        <v>0</v>
      </c>
      <c r="L259" t="n">
        <v>0</v>
      </c>
      <c r="M259" t="n">
        <v>0</v>
      </c>
      <c r="N259" t="n">
        <v>0</v>
      </c>
      <c r="O259" t="n">
        <v>0</v>
      </c>
      <c r="P259" t="n">
        <v>0</v>
      </c>
      <c r="Q259" t="n">
        <v>0</v>
      </c>
      <c r="R259" s="2" t="inlineStr"/>
    </row>
    <row r="260" ht="15" customHeight="1">
      <c r="A260" t="inlineStr">
        <is>
          <t>A 4257-2022</t>
        </is>
      </c>
      <c r="B260" s="1" t="n">
        <v>44588</v>
      </c>
      <c r="C260" s="1" t="n">
        <v>45804</v>
      </c>
      <c r="D260" t="inlineStr">
        <is>
          <t>DALARNAS LÄN</t>
        </is>
      </c>
      <c r="E260" t="inlineStr">
        <is>
          <t>LEKSAND</t>
        </is>
      </c>
      <c r="G260" t="n">
        <v>6.8</v>
      </c>
      <c r="H260" t="n">
        <v>0</v>
      </c>
      <c r="I260" t="n">
        <v>0</v>
      </c>
      <c r="J260" t="n">
        <v>0</v>
      </c>
      <c r="K260" t="n">
        <v>0</v>
      </c>
      <c r="L260" t="n">
        <v>0</v>
      </c>
      <c r="M260" t="n">
        <v>0</v>
      </c>
      <c r="N260" t="n">
        <v>0</v>
      </c>
      <c r="O260" t="n">
        <v>0</v>
      </c>
      <c r="P260" t="n">
        <v>0</v>
      </c>
      <c r="Q260" t="n">
        <v>0</v>
      </c>
      <c r="R260" s="2" t="inlineStr"/>
    </row>
    <row r="261" ht="15" customHeight="1">
      <c r="A261" t="inlineStr">
        <is>
          <t>A 4609-2022</t>
        </is>
      </c>
      <c r="B261" s="1" t="n">
        <v>44592</v>
      </c>
      <c r="C261" s="1" t="n">
        <v>45804</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8501-2022</t>
        </is>
      </c>
      <c r="B262" s="1" t="n">
        <v>44613</v>
      </c>
      <c r="C262" s="1" t="n">
        <v>45804</v>
      </c>
      <c r="D262" t="inlineStr">
        <is>
          <t>DALARNAS LÄN</t>
        </is>
      </c>
      <c r="E262" t="inlineStr">
        <is>
          <t>LEKSAND</t>
        </is>
      </c>
      <c r="G262" t="n">
        <v>3</v>
      </c>
      <c r="H262" t="n">
        <v>0</v>
      </c>
      <c r="I262" t="n">
        <v>0</v>
      </c>
      <c r="J262" t="n">
        <v>0</v>
      </c>
      <c r="K262" t="n">
        <v>0</v>
      </c>
      <c r="L262" t="n">
        <v>0</v>
      </c>
      <c r="M262" t="n">
        <v>0</v>
      </c>
      <c r="N262" t="n">
        <v>0</v>
      </c>
      <c r="O262" t="n">
        <v>0</v>
      </c>
      <c r="P262" t="n">
        <v>0</v>
      </c>
      <c r="Q262" t="n">
        <v>0</v>
      </c>
      <c r="R262" s="2" t="inlineStr"/>
    </row>
    <row r="263" ht="15" customHeight="1">
      <c r="A263" t="inlineStr">
        <is>
          <t>A 11015-2022</t>
        </is>
      </c>
      <c r="B263" s="1" t="n">
        <v>44628</v>
      </c>
      <c r="C263" s="1" t="n">
        <v>45804</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11412-2022</t>
        </is>
      </c>
      <c r="B264" s="1" t="n">
        <v>44630</v>
      </c>
      <c r="C264" s="1" t="n">
        <v>45804</v>
      </c>
      <c r="D264" t="inlineStr">
        <is>
          <t>DALARNAS LÄN</t>
        </is>
      </c>
      <c r="E264" t="inlineStr">
        <is>
          <t>LEKSAND</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12992-2022</t>
        </is>
      </c>
      <c r="B265" s="1" t="n">
        <v>44643</v>
      </c>
      <c r="C265" s="1" t="n">
        <v>45804</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14140-2022</t>
        </is>
      </c>
      <c r="B266" s="1" t="n">
        <v>44651</v>
      </c>
      <c r="C266" s="1" t="n">
        <v>45804</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14806-2022</t>
        </is>
      </c>
      <c r="B267" s="1" t="n">
        <v>44656</v>
      </c>
      <c r="C267" s="1" t="n">
        <v>45804</v>
      </c>
      <c r="D267" t="inlineStr">
        <is>
          <t>DALARNAS LÄN</t>
        </is>
      </c>
      <c r="E267" t="inlineStr">
        <is>
          <t>LEKSAND</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16353-2022</t>
        </is>
      </c>
      <c r="B268" s="1" t="n">
        <v>44670</v>
      </c>
      <c r="C268" s="1" t="n">
        <v>45804</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16375-2022</t>
        </is>
      </c>
      <c r="B269" s="1" t="n">
        <v>44671</v>
      </c>
      <c r="C269" s="1" t="n">
        <v>45804</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16976-2022</t>
        </is>
      </c>
      <c r="B270" s="1" t="n">
        <v>44676</v>
      </c>
      <c r="C270" s="1" t="n">
        <v>45804</v>
      </c>
      <c r="D270" t="inlineStr">
        <is>
          <t>DALARNAS LÄN</t>
        </is>
      </c>
      <c r="E270" t="inlineStr">
        <is>
          <t>LEKSAND</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17455-2022</t>
        </is>
      </c>
      <c r="B271" s="1" t="n">
        <v>44679</v>
      </c>
      <c r="C271" s="1" t="n">
        <v>45804</v>
      </c>
      <c r="D271" t="inlineStr">
        <is>
          <t>DALARNAS LÄN</t>
        </is>
      </c>
      <c r="E271" t="inlineStr">
        <is>
          <t>LEKSAND</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18140-2022</t>
        </is>
      </c>
      <c r="B272" s="1" t="n">
        <v>44684</v>
      </c>
      <c r="C272" s="1" t="n">
        <v>45804</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18866-2022</t>
        </is>
      </c>
      <c r="B273" s="1" t="n">
        <v>44690</v>
      </c>
      <c r="C273" s="1" t="n">
        <v>45804</v>
      </c>
      <c r="D273" t="inlineStr">
        <is>
          <t>DALARNAS LÄN</t>
        </is>
      </c>
      <c r="E273" t="inlineStr">
        <is>
          <t>LEKSAND</t>
        </is>
      </c>
      <c r="F273" t="inlineStr">
        <is>
          <t>Övriga Aktiebolag</t>
        </is>
      </c>
      <c r="G273" t="n">
        <v>5.1</v>
      </c>
      <c r="H273" t="n">
        <v>0</v>
      </c>
      <c r="I273" t="n">
        <v>0</v>
      </c>
      <c r="J273" t="n">
        <v>0</v>
      </c>
      <c r="K273" t="n">
        <v>0</v>
      </c>
      <c r="L273" t="n">
        <v>0</v>
      </c>
      <c r="M273" t="n">
        <v>0</v>
      </c>
      <c r="N273" t="n">
        <v>0</v>
      </c>
      <c r="O273" t="n">
        <v>0</v>
      </c>
      <c r="P273" t="n">
        <v>0</v>
      </c>
      <c r="Q273" t="n">
        <v>0</v>
      </c>
      <c r="R273" s="2" t="inlineStr"/>
    </row>
    <row r="274" ht="15" customHeight="1">
      <c r="A274" t="inlineStr">
        <is>
          <t>A 18870-2022</t>
        </is>
      </c>
      <c r="B274" s="1" t="n">
        <v>44690</v>
      </c>
      <c r="C274" s="1" t="n">
        <v>45804</v>
      </c>
      <c r="D274" t="inlineStr">
        <is>
          <t>DALARNAS LÄN</t>
        </is>
      </c>
      <c r="E274" t="inlineStr">
        <is>
          <t>LEKSAND</t>
        </is>
      </c>
      <c r="F274" t="inlineStr">
        <is>
          <t>Övriga Aktiebolag</t>
        </is>
      </c>
      <c r="G274" t="n">
        <v>3.1</v>
      </c>
      <c r="H274" t="n">
        <v>0</v>
      </c>
      <c r="I274" t="n">
        <v>0</v>
      </c>
      <c r="J274" t="n">
        <v>0</v>
      </c>
      <c r="K274" t="n">
        <v>0</v>
      </c>
      <c r="L274" t="n">
        <v>0</v>
      </c>
      <c r="M274" t="n">
        <v>0</v>
      </c>
      <c r="N274" t="n">
        <v>0</v>
      </c>
      <c r="O274" t="n">
        <v>0</v>
      </c>
      <c r="P274" t="n">
        <v>0</v>
      </c>
      <c r="Q274" t="n">
        <v>0</v>
      </c>
      <c r="R274" s="2" t="inlineStr"/>
    </row>
    <row r="275" ht="15" customHeight="1">
      <c r="A275" t="inlineStr">
        <is>
          <t>A 19467-2022</t>
        </is>
      </c>
      <c r="B275" s="1" t="n">
        <v>44693</v>
      </c>
      <c r="C275" s="1" t="n">
        <v>45804</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19480-2022</t>
        </is>
      </c>
      <c r="B276" s="1" t="n">
        <v>44693</v>
      </c>
      <c r="C276" s="1" t="n">
        <v>45804</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19993-2022</t>
        </is>
      </c>
      <c r="B277" s="1" t="n">
        <v>44697</v>
      </c>
      <c r="C277" s="1" t="n">
        <v>45804</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20274-2022</t>
        </is>
      </c>
      <c r="B278" s="1" t="n">
        <v>44698</v>
      </c>
      <c r="C278" s="1" t="n">
        <v>45804</v>
      </c>
      <c r="D278" t="inlineStr">
        <is>
          <t>DALARNAS LÄN</t>
        </is>
      </c>
      <c r="E278" t="inlineStr">
        <is>
          <t>LEKSAND</t>
        </is>
      </c>
      <c r="F278" t="inlineStr">
        <is>
          <t>Bergvik skog väst AB</t>
        </is>
      </c>
      <c r="G278" t="n">
        <v>1.4</v>
      </c>
      <c r="H278" t="n">
        <v>0</v>
      </c>
      <c r="I278" t="n">
        <v>0</v>
      </c>
      <c r="J278" t="n">
        <v>0</v>
      </c>
      <c r="K278" t="n">
        <v>0</v>
      </c>
      <c r="L278" t="n">
        <v>0</v>
      </c>
      <c r="M278" t="n">
        <v>0</v>
      </c>
      <c r="N278" t="n">
        <v>0</v>
      </c>
      <c r="O278" t="n">
        <v>0</v>
      </c>
      <c r="P278" t="n">
        <v>0</v>
      </c>
      <c r="Q278" t="n">
        <v>0</v>
      </c>
      <c r="R278" s="2" t="inlineStr"/>
    </row>
    <row r="279" ht="15" customHeight="1">
      <c r="A279" t="inlineStr">
        <is>
          <t>A 21565-2022</t>
        </is>
      </c>
      <c r="B279" s="1" t="n">
        <v>44704</v>
      </c>
      <c r="C279" s="1" t="n">
        <v>45804</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21841-2022</t>
        </is>
      </c>
      <c r="B280" s="1" t="n">
        <v>44711</v>
      </c>
      <c r="C280" s="1" t="n">
        <v>45804</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21839-2022</t>
        </is>
      </c>
      <c r="B281" s="1" t="n">
        <v>44711</v>
      </c>
      <c r="C281" s="1" t="n">
        <v>45804</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21840-2022</t>
        </is>
      </c>
      <c r="B282" s="1" t="n">
        <v>44711</v>
      </c>
      <c r="C282" s="1" t="n">
        <v>45804</v>
      </c>
      <c r="D282" t="inlineStr">
        <is>
          <t>DALARNAS LÄN</t>
        </is>
      </c>
      <c r="E282" t="inlineStr">
        <is>
          <t>LEKSAND</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22683-2022</t>
        </is>
      </c>
      <c r="B283" s="1" t="n">
        <v>44714</v>
      </c>
      <c r="C283" s="1" t="n">
        <v>45804</v>
      </c>
      <c r="D283" t="inlineStr">
        <is>
          <t>DALARNAS LÄN</t>
        </is>
      </c>
      <c r="E283" t="inlineStr">
        <is>
          <t>LEKSAND</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22681-2022</t>
        </is>
      </c>
      <c r="B284" s="1" t="n">
        <v>44714</v>
      </c>
      <c r="C284" s="1" t="n">
        <v>45804</v>
      </c>
      <c r="D284" t="inlineStr">
        <is>
          <t>DALARNAS LÄN</t>
        </is>
      </c>
      <c r="E284" t="inlineStr">
        <is>
          <t>LEKSAND</t>
        </is>
      </c>
      <c r="F284" t="inlineStr">
        <is>
          <t>Bergvik skog väst AB</t>
        </is>
      </c>
      <c r="G284" t="n">
        <v>2.8</v>
      </c>
      <c r="H284" t="n">
        <v>0</v>
      </c>
      <c r="I284" t="n">
        <v>0</v>
      </c>
      <c r="J284" t="n">
        <v>0</v>
      </c>
      <c r="K284" t="n">
        <v>0</v>
      </c>
      <c r="L284" t="n">
        <v>0</v>
      </c>
      <c r="M284" t="n">
        <v>0</v>
      </c>
      <c r="N284" t="n">
        <v>0</v>
      </c>
      <c r="O284" t="n">
        <v>0</v>
      </c>
      <c r="P284" t="n">
        <v>0</v>
      </c>
      <c r="Q284" t="n">
        <v>0</v>
      </c>
      <c r="R284" s="2" t="inlineStr"/>
    </row>
    <row r="285" ht="15" customHeight="1">
      <c r="A285" t="inlineStr">
        <is>
          <t>A 22684-2022</t>
        </is>
      </c>
      <c r="B285" s="1" t="n">
        <v>44714</v>
      </c>
      <c r="C285" s="1" t="n">
        <v>45804</v>
      </c>
      <c r="D285" t="inlineStr">
        <is>
          <t>DALARNAS LÄN</t>
        </is>
      </c>
      <c r="E285" t="inlineStr">
        <is>
          <t>LEKSAND</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25329-2022</t>
        </is>
      </c>
      <c r="B286" s="1" t="n">
        <v>44731</v>
      </c>
      <c r="C286" s="1" t="n">
        <v>45804</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26289-2022</t>
        </is>
      </c>
      <c r="B287" s="1" t="n">
        <v>44735</v>
      </c>
      <c r="C287" s="1" t="n">
        <v>45804</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26882-2022</t>
        </is>
      </c>
      <c r="B288" s="1" t="n">
        <v>44740</v>
      </c>
      <c r="C288" s="1" t="n">
        <v>45804</v>
      </c>
      <c r="D288" t="inlineStr">
        <is>
          <t>DALARNAS LÄN</t>
        </is>
      </c>
      <c r="E288" t="inlineStr">
        <is>
          <t>LEKSAND</t>
        </is>
      </c>
      <c r="G288" t="n">
        <v>2.2</v>
      </c>
      <c r="H288" t="n">
        <v>0</v>
      </c>
      <c r="I288" t="n">
        <v>0</v>
      </c>
      <c r="J288" t="n">
        <v>0</v>
      </c>
      <c r="K288" t="n">
        <v>0</v>
      </c>
      <c r="L288" t="n">
        <v>0</v>
      </c>
      <c r="M288" t="n">
        <v>0</v>
      </c>
      <c r="N288" t="n">
        <v>0</v>
      </c>
      <c r="O288" t="n">
        <v>0</v>
      </c>
      <c r="P288" t="n">
        <v>0</v>
      </c>
      <c r="Q288" t="n">
        <v>0</v>
      </c>
      <c r="R288" s="2" t="inlineStr"/>
    </row>
    <row r="289" ht="15" customHeight="1">
      <c r="A289" t="inlineStr">
        <is>
          <t>A 28128-2022</t>
        </is>
      </c>
      <c r="B289" s="1" t="n">
        <v>44746</v>
      </c>
      <c r="C289" s="1" t="n">
        <v>45804</v>
      </c>
      <c r="D289" t="inlineStr">
        <is>
          <t>DALARNAS LÄN</t>
        </is>
      </c>
      <c r="E289" t="inlineStr">
        <is>
          <t>LEKSAND</t>
        </is>
      </c>
      <c r="G289" t="n">
        <v>3.5</v>
      </c>
      <c r="H289" t="n">
        <v>0</v>
      </c>
      <c r="I289" t="n">
        <v>0</v>
      </c>
      <c r="J289" t="n">
        <v>0</v>
      </c>
      <c r="K289" t="n">
        <v>0</v>
      </c>
      <c r="L289" t="n">
        <v>0</v>
      </c>
      <c r="M289" t="n">
        <v>0</v>
      </c>
      <c r="N289" t="n">
        <v>0</v>
      </c>
      <c r="O289" t="n">
        <v>0</v>
      </c>
      <c r="P289" t="n">
        <v>0</v>
      </c>
      <c r="Q289" t="n">
        <v>0</v>
      </c>
      <c r="R289" s="2" t="inlineStr"/>
    </row>
    <row r="290" ht="15" customHeight="1">
      <c r="A290" t="inlineStr">
        <is>
          <t>A 28911-2022</t>
        </is>
      </c>
      <c r="B290" s="1" t="n">
        <v>44749</v>
      </c>
      <c r="C290" s="1" t="n">
        <v>45804</v>
      </c>
      <c r="D290" t="inlineStr">
        <is>
          <t>DALARNAS LÄN</t>
        </is>
      </c>
      <c r="E290" t="inlineStr">
        <is>
          <t>LEKSAND</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28892-2022</t>
        </is>
      </c>
      <c r="B291" s="1" t="n">
        <v>44749</v>
      </c>
      <c r="C291" s="1" t="n">
        <v>45804</v>
      </c>
      <c r="D291" t="inlineStr">
        <is>
          <t>DALARNAS LÄN</t>
        </is>
      </c>
      <c r="E291" t="inlineStr">
        <is>
          <t>LEKSAND</t>
        </is>
      </c>
      <c r="F291" t="inlineStr">
        <is>
          <t>Bergvik skog väst AB</t>
        </is>
      </c>
      <c r="G291" t="n">
        <v>9.1</v>
      </c>
      <c r="H291" t="n">
        <v>0</v>
      </c>
      <c r="I291" t="n">
        <v>0</v>
      </c>
      <c r="J291" t="n">
        <v>0</v>
      </c>
      <c r="K291" t="n">
        <v>0</v>
      </c>
      <c r="L291" t="n">
        <v>0</v>
      </c>
      <c r="M291" t="n">
        <v>0</v>
      </c>
      <c r="N291" t="n">
        <v>0</v>
      </c>
      <c r="O291" t="n">
        <v>0</v>
      </c>
      <c r="P291" t="n">
        <v>0</v>
      </c>
      <c r="Q291" t="n">
        <v>0</v>
      </c>
      <c r="R291" s="2" t="inlineStr"/>
    </row>
    <row r="292" ht="15" customHeight="1">
      <c r="A292" t="inlineStr">
        <is>
          <t>A 28912-2022</t>
        </is>
      </c>
      <c r="B292" s="1" t="n">
        <v>44749</v>
      </c>
      <c r="C292" s="1" t="n">
        <v>45804</v>
      </c>
      <c r="D292" t="inlineStr">
        <is>
          <t>DALARNAS LÄN</t>
        </is>
      </c>
      <c r="E292" t="inlineStr">
        <is>
          <t>LEKSAND</t>
        </is>
      </c>
      <c r="G292" t="n">
        <v>2.5</v>
      </c>
      <c r="H292" t="n">
        <v>0</v>
      </c>
      <c r="I292" t="n">
        <v>0</v>
      </c>
      <c r="J292" t="n">
        <v>0</v>
      </c>
      <c r="K292" t="n">
        <v>0</v>
      </c>
      <c r="L292" t="n">
        <v>0</v>
      </c>
      <c r="M292" t="n">
        <v>0</v>
      </c>
      <c r="N292" t="n">
        <v>0</v>
      </c>
      <c r="O292" t="n">
        <v>0</v>
      </c>
      <c r="P292" t="n">
        <v>0</v>
      </c>
      <c r="Q292" t="n">
        <v>0</v>
      </c>
      <c r="R292" s="2" t="inlineStr"/>
    </row>
    <row r="293" ht="15" customHeight="1">
      <c r="A293" t="inlineStr">
        <is>
          <t>A 29205-2022</t>
        </is>
      </c>
      <c r="B293" s="1" t="n">
        <v>44750</v>
      </c>
      <c r="C293" s="1" t="n">
        <v>45804</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29157-2022</t>
        </is>
      </c>
      <c r="B294" s="1" t="n">
        <v>44750</v>
      </c>
      <c r="C294" s="1" t="n">
        <v>45804</v>
      </c>
      <c r="D294" t="inlineStr">
        <is>
          <t>DALARNAS LÄN</t>
        </is>
      </c>
      <c r="E294" t="inlineStr">
        <is>
          <t>LEKSAND</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30449-2022</t>
        </is>
      </c>
      <c r="B295" s="1" t="n">
        <v>44761</v>
      </c>
      <c r="C295" s="1" t="n">
        <v>45804</v>
      </c>
      <c r="D295" t="inlineStr">
        <is>
          <t>DALARNAS LÄN</t>
        </is>
      </c>
      <c r="E295" t="inlineStr">
        <is>
          <t>LEKSAND</t>
        </is>
      </c>
      <c r="G295" t="n">
        <v>5.7</v>
      </c>
      <c r="H295" t="n">
        <v>0</v>
      </c>
      <c r="I295" t="n">
        <v>0</v>
      </c>
      <c r="J295" t="n">
        <v>0</v>
      </c>
      <c r="K295" t="n">
        <v>0</v>
      </c>
      <c r="L295" t="n">
        <v>0</v>
      </c>
      <c r="M295" t="n">
        <v>0</v>
      </c>
      <c r="N295" t="n">
        <v>0</v>
      </c>
      <c r="O295" t="n">
        <v>0</v>
      </c>
      <c r="P295" t="n">
        <v>0</v>
      </c>
      <c r="Q295" t="n">
        <v>0</v>
      </c>
      <c r="R295" s="2" t="inlineStr"/>
    </row>
    <row r="296" ht="15" customHeight="1">
      <c r="A296" t="inlineStr">
        <is>
          <t>A 31746-2022</t>
        </is>
      </c>
      <c r="B296" s="1" t="n">
        <v>44776</v>
      </c>
      <c r="C296" s="1" t="n">
        <v>45804</v>
      </c>
      <c r="D296" t="inlineStr">
        <is>
          <t>DALARNAS LÄN</t>
        </is>
      </c>
      <c r="E296" t="inlineStr">
        <is>
          <t>LEKSAND</t>
        </is>
      </c>
      <c r="G296" t="n">
        <v>3.3</v>
      </c>
      <c r="H296" t="n">
        <v>0</v>
      </c>
      <c r="I296" t="n">
        <v>0</v>
      </c>
      <c r="J296" t="n">
        <v>0</v>
      </c>
      <c r="K296" t="n">
        <v>0</v>
      </c>
      <c r="L296" t="n">
        <v>0</v>
      </c>
      <c r="M296" t="n">
        <v>0</v>
      </c>
      <c r="N296" t="n">
        <v>0</v>
      </c>
      <c r="O296" t="n">
        <v>0</v>
      </c>
      <c r="P296" t="n">
        <v>0</v>
      </c>
      <c r="Q296" t="n">
        <v>0</v>
      </c>
      <c r="R296" s="2" t="inlineStr"/>
    </row>
    <row r="297" ht="15" customHeight="1">
      <c r="A297" t="inlineStr">
        <is>
          <t>A 31871-2022</t>
        </is>
      </c>
      <c r="B297" s="1" t="n">
        <v>44777</v>
      </c>
      <c r="C297" s="1" t="n">
        <v>45804</v>
      </c>
      <c r="D297" t="inlineStr">
        <is>
          <t>DALARNAS LÄN</t>
        </is>
      </c>
      <c r="E297" t="inlineStr">
        <is>
          <t>LEKSAND</t>
        </is>
      </c>
      <c r="G297" t="n">
        <v>4.1</v>
      </c>
      <c r="H297" t="n">
        <v>0</v>
      </c>
      <c r="I297" t="n">
        <v>0</v>
      </c>
      <c r="J297" t="n">
        <v>0</v>
      </c>
      <c r="K297" t="n">
        <v>0</v>
      </c>
      <c r="L297" t="n">
        <v>0</v>
      </c>
      <c r="M297" t="n">
        <v>0</v>
      </c>
      <c r="N297" t="n">
        <v>0</v>
      </c>
      <c r="O297" t="n">
        <v>0</v>
      </c>
      <c r="P297" t="n">
        <v>0</v>
      </c>
      <c r="Q297" t="n">
        <v>0</v>
      </c>
      <c r="R297" s="2" t="inlineStr"/>
    </row>
    <row r="298" ht="15" customHeight="1">
      <c r="A298" t="inlineStr">
        <is>
          <t>A 32225-2022</t>
        </is>
      </c>
      <c r="B298" s="1" t="n">
        <v>44781</v>
      </c>
      <c r="C298" s="1" t="n">
        <v>45804</v>
      </c>
      <c r="D298" t="inlineStr">
        <is>
          <t>DALARNAS LÄN</t>
        </is>
      </c>
      <c r="E298" t="inlineStr">
        <is>
          <t>LEKSAND</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32476-2022</t>
        </is>
      </c>
      <c r="B299" s="1" t="n">
        <v>44782</v>
      </c>
      <c r="C299" s="1" t="n">
        <v>45804</v>
      </c>
      <c r="D299" t="inlineStr">
        <is>
          <t>DALARNAS LÄN</t>
        </is>
      </c>
      <c r="E299" t="inlineStr">
        <is>
          <t>LEKSAND</t>
        </is>
      </c>
      <c r="G299" t="n">
        <v>5.6</v>
      </c>
      <c r="H299" t="n">
        <v>0</v>
      </c>
      <c r="I299" t="n">
        <v>0</v>
      </c>
      <c r="J299" t="n">
        <v>0</v>
      </c>
      <c r="K299" t="n">
        <v>0</v>
      </c>
      <c r="L299" t="n">
        <v>0</v>
      </c>
      <c r="M299" t="n">
        <v>0</v>
      </c>
      <c r="N299" t="n">
        <v>0</v>
      </c>
      <c r="O299" t="n">
        <v>0</v>
      </c>
      <c r="P299" t="n">
        <v>0</v>
      </c>
      <c r="Q299" t="n">
        <v>0</v>
      </c>
      <c r="R299" s="2" t="inlineStr"/>
    </row>
    <row r="300" ht="15" customHeight="1">
      <c r="A300" t="inlineStr">
        <is>
          <t>A 32791-2022</t>
        </is>
      </c>
      <c r="B300" s="1" t="n">
        <v>44784</v>
      </c>
      <c r="C300" s="1" t="n">
        <v>45804</v>
      </c>
      <c r="D300" t="inlineStr">
        <is>
          <t>DALARNAS LÄN</t>
        </is>
      </c>
      <c r="E300" t="inlineStr">
        <is>
          <t>LEKSAND</t>
        </is>
      </c>
      <c r="G300" t="n">
        <v>1.1</v>
      </c>
      <c r="H300" t="n">
        <v>0</v>
      </c>
      <c r="I300" t="n">
        <v>0</v>
      </c>
      <c r="J300" t="n">
        <v>0</v>
      </c>
      <c r="K300" t="n">
        <v>0</v>
      </c>
      <c r="L300" t="n">
        <v>0</v>
      </c>
      <c r="M300" t="n">
        <v>0</v>
      </c>
      <c r="N300" t="n">
        <v>0</v>
      </c>
      <c r="O300" t="n">
        <v>0</v>
      </c>
      <c r="P300" t="n">
        <v>0</v>
      </c>
      <c r="Q300" t="n">
        <v>0</v>
      </c>
      <c r="R300" s="2" t="inlineStr"/>
    </row>
    <row r="301" ht="15" customHeight="1">
      <c r="A301" t="inlineStr">
        <is>
          <t>A 33198-2022</t>
        </is>
      </c>
      <c r="B301" s="1" t="n">
        <v>44785</v>
      </c>
      <c r="C301" s="1" t="n">
        <v>45804</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34317-2022</t>
        </is>
      </c>
      <c r="B302" s="1" t="n">
        <v>44792</v>
      </c>
      <c r="C302" s="1" t="n">
        <v>45804</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34482-2022</t>
        </is>
      </c>
      <c r="B303" s="1" t="n">
        <v>44792</v>
      </c>
      <c r="C303" s="1" t="n">
        <v>45804</v>
      </c>
      <c r="D303" t="inlineStr">
        <is>
          <t>DALARNAS LÄN</t>
        </is>
      </c>
      <c r="E303" t="inlineStr">
        <is>
          <t>LEKSAND</t>
        </is>
      </c>
      <c r="G303" t="n">
        <v>2.6</v>
      </c>
      <c r="H303" t="n">
        <v>0</v>
      </c>
      <c r="I303" t="n">
        <v>0</v>
      </c>
      <c r="J303" t="n">
        <v>0</v>
      </c>
      <c r="K303" t="n">
        <v>0</v>
      </c>
      <c r="L303" t="n">
        <v>0</v>
      </c>
      <c r="M303" t="n">
        <v>0</v>
      </c>
      <c r="N303" t="n">
        <v>0</v>
      </c>
      <c r="O303" t="n">
        <v>0</v>
      </c>
      <c r="P303" t="n">
        <v>0</v>
      </c>
      <c r="Q303" t="n">
        <v>0</v>
      </c>
      <c r="R303" s="2" t="inlineStr"/>
    </row>
    <row r="304" ht="15" customHeight="1">
      <c r="A304" t="inlineStr">
        <is>
          <t>A 35080-2022</t>
        </is>
      </c>
      <c r="B304" s="1" t="n">
        <v>44797</v>
      </c>
      <c r="C304" s="1" t="n">
        <v>45804</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35087-2022</t>
        </is>
      </c>
      <c r="B305" s="1" t="n">
        <v>44797</v>
      </c>
      <c r="C305" s="1" t="n">
        <v>45804</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35801-2022</t>
        </is>
      </c>
      <c r="B306" s="1" t="n">
        <v>44802</v>
      </c>
      <c r="C306" s="1" t="n">
        <v>45804</v>
      </c>
      <c r="D306" t="inlineStr">
        <is>
          <t>DALARNAS LÄN</t>
        </is>
      </c>
      <c r="E306" t="inlineStr">
        <is>
          <t>LEKSAND</t>
        </is>
      </c>
      <c r="F306" t="inlineStr">
        <is>
          <t>Bergvik skog väst AB</t>
        </is>
      </c>
      <c r="G306" t="n">
        <v>6.4</v>
      </c>
      <c r="H306" t="n">
        <v>0</v>
      </c>
      <c r="I306" t="n">
        <v>0</v>
      </c>
      <c r="J306" t="n">
        <v>0</v>
      </c>
      <c r="K306" t="n">
        <v>0</v>
      </c>
      <c r="L306" t="n">
        <v>0</v>
      </c>
      <c r="M306" t="n">
        <v>0</v>
      </c>
      <c r="N306" t="n">
        <v>0</v>
      </c>
      <c r="O306" t="n">
        <v>0</v>
      </c>
      <c r="P306" t="n">
        <v>0</v>
      </c>
      <c r="Q306" t="n">
        <v>0</v>
      </c>
      <c r="R306" s="2" t="inlineStr"/>
    </row>
    <row r="307" ht="15" customHeight="1">
      <c r="A307" t="inlineStr">
        <is>
          <t>A 35952-2022</t>
        </is>
      </c>
      <c r="B307" s="1" t="n">
        <v>44802</v>
      </c>
      <c r="C307" s="1" t="n">
        <v>45804</v>
      </c>
      <c r="D307" t="inlineStr">
        <is>
          <t>DALARNAS LÄN</t>
        </is>
      </c>
      <c r="E307" t="inlineStr">
        <is>
          <t>LEKSAND</t>
        </is>
      </c>
      <c r="G307" t="n">
        <v>4.6</v>
      </c>
      <c r="H307" t="n">
        <v>0</v>
      </c>
      <c r="I307" t="n">
        <v>0</v>
      </c>
      <c r="J307" t="n">
        <v>0</v>
      </c>
      <c r="K307" t="n">
        <v>0</v>
      </c>
      <c r="L307" t="n">
        <v>0</v>
      </c>
      <c r="M307" t="n">
        <v>0</v>
      </c>
      <c r="N307" t="n">
        <v>0</v>
      </c>
      <c r="O307" t="n">
        <v>0</v>
      </c>
      <c r="P307" t="n">
        <v>0</v>
      </c>
      <c r="Q307" t="n">
        <v>0</v>
      </c>
      <c r="R307" s="2" t="inlineStr"/>
    </row>
    <row r="308" ht="15" customHeight="1">
      <c r="A308" t="inlineStr">
        <is>
          <t>A 37300-2022</t>
        </is>
      </c>
      <c r="B308" s="1" t="n">
        <v>44808</v>
      </c>
      <c r="C308" s="1" t="n">
        <v>45804</v>
      </c>
      <c r="D308" t="inlineStr">
        <is>
          <t>DALARNAS LÄN</t>
        </is>
      </c>
      <c r="E308" t="inlineStr">
        <is>
          <t>LEKSAND</t>
        </is>
      </c>
      <c r="G308" t="n">
        <v>6.3</v>
      </c>
      <c r="H308" t="n">
        <v>0</v>
      </c>
      <c r="I308" t="n">
        <v>0</v>
      </c>
      <c r="J308" t="n">
        <v>0</v>
      </c>
      <c r="K308" t="n">
        <v>0</v>
      </c>
      <c r="L308" t="n">
        <v>0</v>
      </c>
      <c r="M308" t="n">
        <v>0</v>
      </c>
      <c r="N308" t="n">
        <v>0</v>
      </c>
      <c r="O308" t="n">
        <v>0</v>
      </c>
      <c r="P308" t="n">
        <v>0</v>
      </c>
      <c r="Q308" t="n">
        <v>0</v>
      </c>
      <c r="R308" s="2" t="inlineStr"/>
    </row>
    <row r="309" ht="15" customHeight="1">
      <c r="A309" t="inlineStr">
        <is>
          <t>A 37928-2022</t>
        </is>
      </c>
      <c r="B309" s="1" t="n">
        <v>44811</v>
      </c>
      <c r="C309" s="1" t="n">
        <v>45804</v>
      </c>
      <c r="D309" t="inlineStr">
        <is>
          <t>DALARNAS LÄN</t>
        </is>
      </c>
      <c r="E309" t="inlineStr">
        <is>
          <t>LEKSAND</t>
        </is>
      </c>
      <c r="G309" t="n">
        <v>1.8</v>
      </c>
      <c r="H309" t="n">
        <v>0</v>
      </c>
      <c r="I309" t="n">
        <v>0</v>
      </c>
      <c r="J309" t="n">
        <v>0</v>
      </c>
      <c r="K309" t="n">
        <v>0</v>
      </c>
      <c r="L309" t="n">
        <v>0</v>
      </c>
      <c r="M309" t="n">
        <v>0</v>
      </c>
      <c r="N309" t="n">
        <v>0</v>
      </c>
      <c r="O309" t="n">
        <v>0</v>
      </c>
      <c r="P309" t="n">
        <v>0</v>
      </c>
      <c r="Q309" t="n">
        <v>0</v>
      </c>
      <c r="R309" s="2" t="inlineStr"/>
    </row>
    <row r="310" ht="15" customHeight="1">
      <c r="A310" t="inlineStr">
        <is>
          <t>A 38236-2022</t>
        </is>
      </c>
      <c r="B310" s="1" t="n">
        <v>44812</v>
      </c>
      <c r="C310" s="1" t="n">
        <v>45804</v>
      </c>
      <c r="D310" t="inlineStr">
        <is>
          <t>DALARNAS LÄN</t>
        </is>
      </c>
      <c r="E310" t="inlineStr">
        <is>
          <t>LEKSAND</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38258-2022</t>
        </is>
      </c>
      <c r="B311" s="1" t="n">
        <v>44812</v>
      </c>
      <c r="C311" s="1" t="n">
        <v>45804</v>
      </c>
      <c r="D311" t="inlineStr">
        <is>
          <t>DALARNAS LÄN</t>
        </is>
      </c>
      <c r="E311" t="inlineStr">
        <is>
          <t>LEKSAND</t>
        </is>
      </c>
      <c r="G311" t="n">
        <v>3.9</v>
      </c>
      <c r="H311" t="n">
        <v>0</v>
      </c>
      <c r="I311" t="n">
        <v>0</v>
      </c>
      <c r="J311" t="n">
        <v>0</v>
      </c>
      <c r="K311" t="n">
        <v>0</v>
      </c>
      <c r="L311" t="n">
        <v>0</v>
      </c>
      <c r="M311" t="n">
        <v>0</v>
      </c>
      <c r="N311" t="n">
        <v>0</v>
      </c>
      <c r="O311" t="n">
        <v>0</v>
      </c>
      <c r="P311" t="n">
        <v>0</v>
      </c>
      <c r="Q311" t="n">
        <v>0</v>
      </c>
      <c r="R311" s="2" t="inlineStr"/>
    </row>
    <row r="312" ht="15" customHeight="1">
      <c r="A312" t="inlineStr">
        <is>
          <t>A 38764-2022</t>
        </is>
      </c>
      <c r="B312" s="1" t="n">
        <v>44816</v>
      </c>
      <c r="C312" s="1" t="n">
        <v>45804</v>
      </c>
      <c r="D312" t="inlineStr">
        <is>
          <t>DALARNAS LÄN</t>
        </is>
      </c>
      <c r="E312" t="inlineStr">
        <is>
          <t>LEKSAND</t>
        </is>
      </c>
      <c r="G312" t="n">
        <v>0.6</v>
      </c>
      <c r="H312" t="n">
        <v>0</v>
      </c>
      <c r="I312" t="n">
        <v>0</v>
      </c>
      <c r="J312" t="n">
        <v>0</v>
      </c>
      <c r="K312" t="n">
        <v>0</v>
      </c>
      <c r="L312" t="n">
        <v>0</v>
      </c>
      <c r="M312" t="n">
        <v>0</v>
      </c>
      <c r="N312" t="n">
        <v>0</v>
      </c>
      <c r="O312" t="n">
        <v>0</v>
      </c>
      <c r="P312" t="n">
        <v>0</v>
      </c>
      <c r="Q312" t="n">
        <v>0</v>
      </c>
      <c r="R312" s="2" t="inlineStr"/>
    </row>
    <row r="313" ht="15" customHeight="1">
      <c r="A313" t="inlineStr">
        <is>
          <t>A 39658-2022</t>
        </is>
      </c>
      <c r="B313" s="1" t="n">
        <v>44818</v>
      </c>
      <c r="C313" s="1" t="n">
        <v>45804</v>
      </c>
      <c r="D313" t="inlineStr">
        <is>
          <t>DALARNAS LÄN</t>
        </is>
      </c>
      <c r="E313" t="inlineStr">
        <is>
          <t>LEKSAND</t>
        </is>
      </c>
      <c r="G313" t="n">
        <v>5.4</v>
      </c>
      <c r="H313" t="n">
        <v>0</v>
      </c>
      <c r="I313" t="n">
        <v>0</v>
      </c>
      <c r="J313" t="n">
        <v>0</v>
      </c>
      <c r="K313" t="n">
        <v>0</v>
      </c>
      <c r="L313" t="n">
        <v>0</v>
      </c>
      <c r="M313" t="n">
        <v>0</v>
      </c>
      <c r="N313" t="n">
        <v>0</v>
      </c>
      <c r="O313" t="n">
        <v>0</v>
      </c>
      <c r="P313" t="n">
        <v>0</v>
      </c>
      <c r="Q313" t="n">
        <v>0</v>
      </c>
      <c r="R313" s="2" t="inlineStr"/>
    </row>
    <row r="314" ht="15" customHeight="1">
      <c r="A314" t="inlineStr">
        <is>
          <t>A 40165-2022</t>
        </is>
      </c>
      <c r="B314" s="1" t="n">
        <v>44820</v>
      </c>
      <c r="C314" s="1" t="n">
        <v>45804</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41351-2022</t>
        </is>
      </c>
      <c r="B315" s="1" t="n">
        <v>44824</v>
      </c>
      <c r="C315" s="1" t="n">
        <v>45804</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43275-2022</t>
        </is>
      </c>
      <c r="B316" s="1" t="n">
        <v>44824</v>
      </c>
      <c r="C316" s="1" t="n">
        <v>45804</v>
      </c>
      <c r="D316" t="inlineStr">
        <is>
          <t>DALARNAS LÄN</t>
        </is>
      </c>
      <c r="E316" t="inlineStr">
        <is>
          <t>LEKSAND</t>
        </is>
      </c>
      <c r="G316" t="n">
        <v>2.1</v>
      </c>
      <c r="H316" t="n">
        <v>0</v>
      </c>
      <c r="I316" t="n">
        <v>0</v>
      </c>
      <c r="J316" t="n">
        <v>0</v>
      </c>
      <c r="K316" t="n">
        <v>0</v>
      </c>
      <c r="L316" t="n">
        <v>0</v>
      </c>
      <c r="M316" t="n">
        <v>0</v>
      </c>
      <c r="N316" t="n">
        <v>0</v>
      </c>
      <c r="O316" t="n">
        <v>0</v>
      </c>
      <c r="P316" t="n">
        <v>0</v>
      </c>
      <c r="Q316" t="n">
        <v>0</v>
      </c>
      <c r="R316" s="2" t="inlineStr"/>
    </row>
    <row r="317" ht="15" customHeight="1">
      <c r="A317" t="inlineStr">
        <is>
          <t>A 41869-2022</t>
        </is>
      </c>
      <c r="B317" s="1" t="n">
        <v>44829</v>
      </c>
      <c r="C317" s="1" t="n">
        <v>45804</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43300-2022</t>
        </is>
      </c>
      <c r="B318" s="1" t="n">
        <v>44834</v>
      </c>
      <c r="C318" s="1" t="n">
        <v>45804</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43304-2022</t>
        </is>
      </c>
      <c r="B319" s="1" t="n">
        <v>44834</v>
      </c>
      <c r="C319" s="1" t="n">
        <v>45804</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43604-2022</t>
        </is>
      </c>
      <c r="B320" s="1" t="n">
        <v>44837</v>
      </c>
      <c r="C320" s="1" t="n">
        <v>45804</v>
      </c>
      <c r="D320" t="inlineStr">
        <is>
          <t>DALARNAS LÄN</t>
        </is>
      </c>
      <c r="E320" t="inlineStr">
        <is>
          <t>LEKSAND</t>
        </is>
      </c>
      <c r="F320" t="inlineStr">
        <is>
          <t>Bergvik skog väst AB</t>
        </is>
      </c>
      <c r="G320" t="n">
        <v>8</v>
      </c>
      <c r="H320" t="n">
        <v>0</v>
      </c>
      <c r="I320" t="n">
        <v>0</v>
      </c>
      <c r="J320" t="n">
        <v>0</v>
      </c>
      <c r="K320" t="n">
        <v>0</v>
      </c>
      <c r="L320" t="n">
        <v>0</v>
      </c>
      <c r="M320" t="n">
        <v>0</v>
      </c>
      <c r="N320" t="n">
        <v>0</v>
      </c>
      <c r="O320" t="n">
        <v>0</v>
      </c>
      <c r="P320" t="n">
        <v>0</v>
      </c>
      <c r="Q320" t="n">
        <v>0</v>
      </c>
      <c r="R320" s="2" t="inlineStr"/>
    </row>
    <row r="321" ht="15" customHeight="1">
      <c r="A321" t="inlineStr">
        <is>
          <t>A 43693-2022</t>
        </is>
      </c>
      <c r="B321" s="1" t="n">
        <v>44837</v>
      </c>
      <c r="C321" s="1" t="n">
        <v>45804</v>
      </c>
      <c r="D321" t="inlineStr">
        <is>
          <t>DALARNAS LÄN</t>
        </is>
      </c>
      <c r="E321" t="inlineStr">
        <is>
          <t>LEKSAND</t>
        </is>
      </c>
      <c r="G321" t="n">
        <v>2.7</v>
      </c>
      <c r="H321" t="n">
        <v>0</v>
      </c>
      <c r="I321" t="n">
        <v>0</v>
      </c>
      <c r="J321" t="n">
        <v>0</v>
      </c>
      <c r="K321" t="n">
        <v>0</v>
      </c>
      <c r="L321" t="n">
        <v>0</v>
      </c>
      <c r="M321" t="n">
        <v>0</v>
      </c>
      <c r="N321" t="n">
        <v>0</v>
      </c>
      <c r="O321" t="n">
        <v>0</v>
      </c>
      <c r="P321" t="n">
        <v>0</v>
      </c>
      <c r="Q321" t="n">
        <v>0</v>
      </c>
      <c r="R321" s="2" t="inlineStr"/>
    </row>
    <row r="322" ht="15" customHeight="1">
      <c r="A322" t="inlineStr">
        <is>
          <t>A 43735-2022</t>
        </is>
      </c>
      <c r="B322" s="1" t="n">
        <v>44837</v>
      </c>
      <c r="C322" s="1" t="n">
        <v>45804</v>
      </c>
      <c r="D322" t="inlineStr">
        <is>
          <t>DALARNAS LÄN</t>
        </is>
      </c>
      <c r="E322" t="inlineStr">
        <is>
          <t>LEKSAND</t>
        </is>
      </c>
      <c r="G322" t="n">
        <v>2.9</v>
      </c>
      <c r="H322" t="n">
        <v>0</v>
      </c>
      <c r="I322" t="n">
        <v>0</v>
      </c>
      <c r="J322" t="n">
        <v>0</v>
      </c>
      <c r="K322" t="n">
        <v>0</v>
      </c>
      <c r="L322" t="n">
        <v>0</v>
      </c>
      <c r="M322" t="n">
        <v>0</v>
      </c>
      <c r="N322" t="n">
        <v>0</v>
      </c>
      <c r="O322" t="n">
        <v>0</v>
      </c>
      <c r="P322" t="n">
        <v>0</v>
      </c>
      <c r="Q322" t="n">
        <v>0</v>
      </c>
      <c r="R322" s="2" t="inlineStr"/>
    </row>
    <row r="323" ht="15" customHeight="1">
      <c r="A323" t="inlineStr">
        <is>
          <t>A 44124-2022</t>
        </is>
      </c>
      <c r="B323" s="1" t="n">
        <v>44839</v>
      </c>
      <c r="C323" s="1" t="n">
        <v>45804</v>
      </c>
      <c r="D323" t="inlineStr">
        <is>
          <t>DALARNAS LÄN</t>
        </is>
      </c>
      <c r="E323" t="inlineStr">
        <is>
          <t>LEKSAND</t>
        </is>
      </c>
      <c r="G323" t="n">
        <v>8</v>
      </c>
      <c r="H323" t="n">
        <v>0</v>
      </c>
      <c r="I323" t="n">
        <v>0</v>
      </c>
      <c r="J323" t="n">
        <v>0</v>
      </c>
      <c r="K323" t="n">
        <v>0</v>
      </c>
      <c r="L323" t="n">
        <v>0</v>
      </c>
      <c r="M323" t="n">
        <v>0</v>
      </c>
      <c r="N323" t="n">
        <v>0</v>
      </c>
      <c r="O323" t="n">
        <v>0</v>
      </c>
      <c r="P323" t="n">
        <v>0</v>
      </c>
      <c r="Q323" t="n">
        <v>0</v>
      </c>
      <c r="R323" s="2" t="inlineStr"/>
    </row>
    <row r="324" ht="15" customHeight="1">
      <c r="A324" t="inlineStr">
        <is>
          <t>A 44700-2022</t>
        </is>
      </c>
      <c r="B324" s="1" t="n">
        <v>44840</v>
      </c>
      <c r="C324" s="1" t="n">
        <v>45804</v>
      </c>
      <c r="D324" t="inlineStr">
        <is>
          <t>DALARNAS LÄN</t>
        </is>
      </c>
      <c r="E324" t="inlineStr">
        <is>
          <t>LEKSAND</t>
        </is>
      </c>
      <c r="G324" t="n">
        <v>3.1</v>
      </c>
      <c r="H324" t="n">
        <v>0</v>
      </c>
      <c r="I324" t="n">
        <v>0</v>
      </c>
      <c r="J324" t="n">
        <v>0</v>
      </c>
      <c r="K324" t="n">
        <v>0</v>
      </c>
      <c r="L324" t="n">
        <v>0</v>
      </c>
      <c r="M324" t="n">
        <v>0</v>
      </c>
      <c r="N324" t="n">
        <v>0</v>
      </c>
      <c r="O324" t="n">
        <v>0</v>
      </c>
      <c r="P324" t="n">
        <v>0</v>
      </c>
      <c r="Q324" t="n">
        <v>0</v>
      </c>
      <c r="R324" s="2" t="inlineStr"/>
    </row>
    <row r="325" ht="15" customHeight="1">
      <c r="A325" t="inlineStr">
        <is>
          <t>A 45943-2022</t>
        </is>
      </c>
      <c r="B325" s="1" t="n">
        <v>44846</v>
      </c>
      <c r="C325" s="1" t="n">
        <v>45804</v>
      </c>
      <c r="D325" t="inlineStr">
        <is>
          <t>DALARNAS LÄN</t>
        </is>
      </c>
      <c r="E325" t="inlineStr">
        <is>
          <t>LEKSAND</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46141-2022</t>
        </is>
      </c>
      <c r="B326" s="1" t="n">
        <v>44846</v>
      </c>
      <c r="C326" s="1" t="n">
        <v>45804</v>
      </c>
      <c r="D326" t="inlineStr">
        <is>
          <t>DALARNAS LÄN</t>
        </is>
      </c>
      <c r="E326" t="inlineStr">
        <is>
          <t>LEKSAND</t>
        </is>
      </c>
      <c r="G326" t="n">
        <v>2.8</v>
      </c>
      <c r="H326" t="n">
        <v>0</v>
      </c>
      <c r="I326" t="n">
        <v>0</v>
      </c>
      <c r="J326" t="n">
        <v>0</v>
      </c>
      <c r="K326" t="n">
        <v>0</v>
      </c>
      <c r="L326" t="n">
        <v>0</v>
      </c>
      <c r="M326" t="n">
        <v>0</v>
      </c>
      <c r="N326" t="n">
        <v>0</v>
      </c>
      <c r="O326" t="n">
        <v>0</v>
      </c>
      <c r="P326" t="n">
        <v>0</v>
      </c>
      <c r="Q326" t="n">
        <v>0</v>
      </c>
      <c r="R326" s="2" t="inlineStr"/>
    </row>
    <row r="327" ht="15" customHeight="1">
      <c r="A327" t="inlineStr">
        <is>
          <t>A 46672-2022</t>
        </is>
      </c>
      <c r="B327" s="1" t="n">
        <v>44851</v>
      </c>
      <c r="C327" s="1" t="n">
        <v>45804</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46916-2022</t>
        </is>
      </c>
      <c r="B328" s="1" t="n">
        <v>44851</v>
      </c>
      <c r="C328" s="1" t="n">
        <v>45804</v>
      </c>
      <c r="D328" t="inlineStr">
        <is>
          <t>DALARNAS LÄN</t>
        </is>
      </c>
      <c r="E328" t="inlineStr">
        <is>
          <t>LEKSAND</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47441-2022</t>
        </is>
      </c>
      <c r="B329" s="1" t="n">
        <v>44853</v>
      </c>
      <c r="C329" s="1" t="n">
        <v>45804</v>
      </c>
      <c r="D329" t="inlineStr">
        <is>
          <t>DALARNAS LÄN</t>
        </is>
      </c>
      <c r="E329" t="inlineStr">
        <is>
          <t>LEKSAND</t>
        </is>
      </c>
      <c r="G329" t="n">
        <v>1.7</v>
      </c>
      <c r="H329" t="n">
        <v>0</v>
      </c>
      <c r="I329" t="n">
        <v>0</v>
      </c>
      <c r="J329" t="n">
        <v>0</v>
      </c>
      <c r="K329" t="n">
        <v>0</v>
      </c>
      <c r="L329" t="n">
        <v>0</v>
      </c>
      <c r="M329" t="n">
        <v>0</v>
      </c>
      <c r="N329" t="n">
        <v>0</v>
      </c>
      <c r="O329" t="n">
        <v>0</v>
      </c>
      <c r="P329" t="n">
        <v>0</v>
      </c>
      <c r="Q329" t="n">
        <v>0</v>
      </c>
      <c r="R329" s="2" t="inlineStr"/>
    </row>
    <row r="330" ht="15" customHeight="1">
      <c r="A330" t="inlineStr">
        <is>
          <t>A 49342-2022</t>
        </is>
      </c>
      <c r="B330" s="1" t="n">
        <v>44861</v>
      </c>
      <c r="C330" s="1" t="n">
        <v>45804</v>
      </c>
      <c r="D330" t="inlineStr">
        <is>
          <t>DALARNAS LÄN</t>
        </is>
      </c>
      <c r="E330" t="inlineStr">
        <is>
          <t>LEKSAND</t>
        </is>
      </c>
      <c r="F330" t="inlineStr">
        <is>
          <t>Bergvik skog väst AB</t>
        </is>
      </c>
      <c r="G330" t="n">
        <v>4.2</v>
      </c>
      <c r="H330" t="n">
        <v>0</v>
      </c>
      <c r="I330" t="n">
        <v>0</v>
      </c>
      <c r="J330" t="n">
        <v>0</v>
      </c>
      <c r="K330" t="n">
        <v>0</v>
      </c>
      <c r="L330" t="n">
        <v>0</v>
      </c>
      <c r="M330" t="n">
        <v>0</v>
      </c>
      <c r="N330" t="n">
        <v>0</v>
      </c>
      <c r="O330" t="n">
        <v>0</v>
      </c>
      <c r="P330" t="n">
        <v>0</v>
      </c>
      <c r="Q330" t="n">
        <v>0</v>
      </c>
      <c r="R330" s="2" t="inlineStr"/>
    </row>
    <row r="331" ht="15" customHeight="1">
      <c r="A331" t="inlineStr">
        <is>
          <t>A 49345-2022</t>
        </is>
      </c>
      <c r="B331" s="1" t="n">
        <v>44861</v>
      </c>
      <c r="C331" s="1" t="n">
        <v>45804</v>
      </c>
      <c r="D331" t="inlineStr">
        <is>
          <t>DALARNAS LÄN</t>
        </is>
      </c>
      <c r="E331" t="inlineStr">
        <is>
          <t>LEKSAND</t>
        </is>
      </c>
      <c r="F331" t="inlineStr">
        <is>
          <t>Bergvik skog väst AB</t>
        </is>
      </c>
      <c r="G331" t="n">
        <v>4.8</v>
      </c>
      <c r="H331" t="n">
        <v>0</v>
      </c>
      <c r="I331" t="n">
        <v>0</v>
      </c>
      <c r="J331" t="n">
        <v>0</v>
      </c>
      <c r="K331" t="n">
        <v>0</v>
      </c>
      <c r="L331" t="n">
        <v>0</v>
      </c>
      <c r="M331" t="n">
        <v>0</v>
      </c>
      <c r="N331" t="n">
        <v>0</v>
      </c>
      <c r="O331" t="n">
        <v>0</v>
      </c>
      <c r="P331" t="n">
        <v>0</v>
      </c>
      <c r="Q331" t="n">
        <v>0</v>
      </c>
      <c r="R331" s="2" t="inlineStr"/>
    </row>
    <row r="332" ht="15" customHeight="1">
      <c r="A332" t="inlineStr">
        <is>
          <t>A 49581-2022</t>
        </is>
      </c>
      <c r="B332" s="1" t="n">
        <v>44862</v>
      </c>
      <c r="C332" s="1" t="n">
        <v>45804</v>
      </c>
      <c r="D332" t="inlineStr">
        <is>
          <t>DALARNAS LÄN</t>
        </is>
      </c>
      <c r="E332" t="inlineStr">
        <is>
          <t>LEKSAND</t>
        </is>
      </c>
      <c r="G332" t="n">
        <v>1.8</v>
      </c>
      <c r="H332" t="n">
        <v>0</v>
      </c>
      <c r="I332" t="n">
        <v>0</v>
      </c>
      <c r="J332" t="n">
        <v>0</v>
      </c>
      <c r="K332" t="n">
        <v>0</v>
      </c>
      <c r="L332" t="n">
        <v>0</v>
      </c>
      <c r="M332" t="n">
        <v>0</v>
      </c>
      <c r="N332" t="n">
        <v>0</v>
      </c>
      <c r="O332" t="n">
        <v>0</v>
      </c>
      <c r="P332" t="n">
        <v>0</v>
      </c>
      <c r="Q332" t="n">
        <v>0</v>
      </c>
      <c r="R332" s="2" t="inlineStr"/>
    </row>
    <row r="333" ht="15" customHeight="1">
      <c r="A333" t="inlineStr">
        <is>
          <t>A 50219-2022</t>
        </is>
      </c>
      <c r="B333" s="1" t="n">
        <v>44865</v>
      </c>
      <c r="C333" s="1" t="n">
        <v>45804</v>
      </c>
      <c r="D333" t="inlineStr">
        <is>
          <t>DALARNAS LÄN</t>
        </is>
      </c>
      <c r="E333" t="inlineStr">
        <is>
          <t>LEKSAND</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50353-2022</t>
        </is>
      </c>
      <c r="B334" s="1" t="n">
        <v>44866</v>
      </c>
      <c r="C334" s="1" t="n">
        <v>45804</v>
      </c>
      <c r="D334" t="inlineStr">
        <is>
          <t>DALARNAS LÄN</t>
        </is>
      </c>
      <c r="E334" t="inlineStr">
        <is>
          <t>LEKSAND</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50352-2022</t>
        </is>
      </c>
      <c r="B335" s="1" t="n">
        <v>44866</v>
      </c>
      <c r="C335" s="1" t="n">
        <v>45804</v>
      </c>
      <c r="D335" t="inlineStr">
        <is>
          <t>DALARNAS LÄN</t>
        </is>
      </c>
      <c r="E335" t="inlineStr">
        <is>
          <t>LEKSAND</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50354-2022</t>
        </is>
      </c>
      <c r="B336" s="1" t="n">
        <v>44866</v>
      </c>
      <c r="C336" s="1" t="n">
        <v>45804</v>
      </c>
      <c r="D336" t="inlineStr">
        <is>
          <t>DALARNAS LÄN</t>
        </is>
      </c>
      <c r="E336" t="inlineStr">
        <is>
          <t>LEKSAND</t>
        </is>
      </c>
      <c r="F336" t="inlineStr">
        <is>
          <t>Bergvik skog väst AB</t>
        </is>
      </c>
      <c r="G336" t="n">
        <v>7.4</v>
      </c>
      <c r="H336" t="n">
        <v>0</v>
      </c>
      <c r="I336" t="n">
        <v>0</v>
      </c>
      <c r="J336" t="n">
        <v>0</v>
      </c>
      <c r="K336" t="n">
        <v>0</v>
      </c>
      <c r="L336" t="n">
        <v>0</v>
      </c>
      <c r="M336" t="n">
        <v>0</v>
      </c>
      <c r="N336" t="n">
        <v>0</v>
      </c>
      <c r="O336" t="n">
        <v>0</v>
      </c>
      <c r="P336" t="n">
        <v>0</v>
      </c>
      <c r="Q336" t="n">
        <v>0</v>
      </c>
      <c r="R336" s="2" t="inlineStr"/>
    </row>
    <row r="337" ht="15" customHeight="1">
      <c r="A337" t="inlineStr">
        <is>
          <t>A 51857-2022</t>
        </is>
      </c>
      <c r="B337" s="1" t="n">
        <v>44867</v>
      </c>
      <c r="C337" s="1" t="n">
        <v>45804</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51449-2022</t>
        </is>
      </c>
      <c r="B338" s="1" t="n">
        <v>44869</v>
      </c>
      <c r="C338" s="1" t="n">
        <v>45804</v>
      </c>
      <c r="D338" t="inlineStr">
        <is>
          <t>DALARNAS LÄN</t>
        </is>
      </c>
      <c r="E338" t="inlineStr">
        <is>
          <t>LEKSAND</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51480-2022</t>
        </is>
      </c>
      <c r="B339" s="1" t="n">
        <v>44869</v>
      </c>
      <c r="C339" s="1" t="n">
        <v>45804</v>
      </c>
      <c r="D339" t="inlineStr">
        <is>
          <t>DALARNAS LÄN</t>
        </is>
      </c>
      <c r="E339" t="inlineStr">
        <is>
          <t>LEKSAND</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51502-2022</t>
        </is>
      </c>
      <c r="B340" s="1" t="n">
        <v>44869</v>
      </c>
      <c r="C340" s="1" t="n">
        <v>45804</v>
      </c>
      <c r="D340" t="inlineStr">
        <is>
          <t>DALARNAS LÄN</t>
        </is>
      </c>
      <c r="E340" t="inlineStr">
        <is>
          <t>LEKSAND</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51498-2022</t>
        </is>
      </c>
      <c r="B341" s="1" t="n">
        <v>44869</v>
      </c>
      <c r="C341" s="1" t="n">
        <v>45804</v>
      </c>
      <c r="D341" t="inlineStr">
        <is>
          <t>DALARNAS LÄN</t>
        </is>
      </c>
      <c r="E341" t="inlineStr">
        <is>
          <t>LEKSAND</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51842-2022</t>
        </is>
      </c>
      <c r="B342" s="1" t="n">
        <v>44872</v>
      </c>
      <c r="C342" s="1" t="n">
        <v>45804</v>
      </c>
      <c r="D342" t="inlineStr">
        <is>
          <t>DALARNAS LÄN</t>
        </is>
      </c>
      <c r="E342" t="inlineStr">
        <is>
          <t>LEKSAND</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52977-2022</t>
        </is>
      </c>
      <c r="B343" s="1" t="n">
        <v>44875</v>
      </c>
      <c r="C343" s="1" t="n">
        <v>45804</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53293-2022</t>
        </is>
      </c>
      <c r="B344" s="1" t="n">
        <v>44877</v>
      </c>
      <c r="C344" s="1" t="n">
        <v>45804</v>
      </c>
      <c r="D344" t="inlineStr">
        <is>
          <t>DALARNAS LÄN</t>
        </is>
      </c>
      <c r="E344" t="inlineStr">
        <is>
          <t>LEKSAND</t>
        </is>
      </c>
      <c r="G344" t="n">
        <v>0.4</v>
      </c>
      <c r="H344" t="n">
        <v>0</v>
      </c>
      <c r="I344" t="n">
        <v>0</v>
      </c>
      <c r="J344" t="n">
        <v>0</v>
      </c>
      <c r="K344" t="n">
        <v>0</v>
      </c>
      <c r="L344" t="n">
        <v>0</v>
      </c>
      <c r="M344" t="n">
        <v>0</v>
      </c>
      <c r="N344" t="n">
        <v>0</v>
      </c>
      <c r="O344" t="n">
        <v>0</v>
      </c>
      <c r="P344" t="n">
        <v>0</v>
      </c>
      <c r="Q344" t="n">
        <v>0</v>
      </c>
      <c r="R344" s="2" t="inlineStr"/>
    </row>
    <row r="345" ht="15" customHeight="1">
      <c r="A345" t="inlineStr">
        <is>
          <t>A 53787-2022</t>
        </is>
      </c>
      <c r="B345" s="1" t="n">
        <v>44880</v>
      </c>
      <c r="C345" s="1" t="n">
        <v>45804</v>
      </c>
      <c r="D345" t="inlineStr">
        <is>
          <t>DALARNAS LÄN</t>
        </is>
      </c>
      <c r="E345" t="inlineStr">
        <is>
          <t>LEKSAND</t>
        </is>
      </c>
      <c r="G345" t="n">
        <v>7.6</v>
      </c>
      <c r="H345" t="n">
        <v>0</v>
      </c>
      <c r="I345" t="n">
        <v>0</v>
      </c>
      <c r="J345" t="n">
        <v>0</v>
      </c>
      <c r="K345" t="n">
        <v>0</v>
      </c>
      <c r="L345" t="n">
        <v>0</v>
      </c>
      <c r="M345" t="n">
        <v>0</v>
      </c>
      <c r="N345" t="n">
        <v>0</v>
      </c>
      <c r="O345" t="n">
        <v>0</v>
      </c>
      <c r="P345" t="n">
        <v>0</v>
      </c>
      <c r="Q345" t="n">
        <v>0</v>
      </c>
      <c r="R345" s="2" t="inlineStr"/>
    </row>
    <row r="346" ht="15" customHeight="1">
      <c r="A346" t="inlineStr">
        <is>
          <t>A 54070-2022</t>
        </is>
      </c>
      <c r="B346" s="1" t="n">
        <v>44881</v>
      </c>
      <c r="C346" s="1" t="n">
        <v>45804</v>
      </c>
      <c r="D346" t="inlineStr">
        <is>
          <t>DALARNAS LÄN</t>
        </is>
      </c>
      <c r="E346" t="inlineStr">
        <is>
          <t>LEKSAND</t>
        </is>
      </c>
      <c r="G346" t="n">
        <v>4.7</v>
      </c>
      <c r="H346" t="n">
        <v>0</v>
      </c>
      <c r="I346" t="n">
        <v>0</v>
      </c>
      <c r="J346" t="n">
        <v>0</v>
      </c>
      <c r="K346" t="n">
        <v>0</v>
      </c>
      <c r="L346" t="n">
        <v>0</v>
      </c>
      <c r="M346" t="n">
        <v>0</v>
      </c>
      <c r="N346" t="n">
        <v>0</v>
      </c>
      <c r="O346" t="n">
        <v>0</v>
      </c>
      <c r="P346" t="n">
        <v>0</v>
      </c>
      <c r="Q346" t="n">
        <v>0</v>
      </c>
      <c r="R346" s="2" t="inlineStr"/>
    </row>
    <row r="347" ht="15" customHeight="1">
      <c r="A347" t="inlineStr">
        <is>
          <t>A 56330-2022</t>
        </is>
      </c>
      <c r="B347" s="1" t="n">
        <v>44890</v>
      </c>
      <c r="C347" s="1" t="n">
        <v>45804</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56702-2022</t>
        </is>
      </c>
      <c r="B348" s="1" t="n">
        <v>44893</v>
      </c>
      <c r="C348" s="1" t="n">
        <v>45804</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45804</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45804</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45804</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45804</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45804</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45804</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45804</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45804</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45804</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45804</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45804</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45804</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45804</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45804</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45804</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45804</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45804</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45804</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45804</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45804</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45804</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45804</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45804</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45804</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45804</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45804</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45804</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45804</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45804</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45804</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45804</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45804</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45804</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45804</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45804</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45804</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45804</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45804</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45804</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45804</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45804</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45804</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45804</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45804</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45804</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45804</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45804</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45804</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45804</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45804</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45804</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45804</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45804</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45804</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45804</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45804</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45804</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45804</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45804</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45804</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45804</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45804</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45804</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45804</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45804</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45804</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45804</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45804</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45804</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45804</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45804</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45804</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45804</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45804</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45804</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45804</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45804</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45804</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45804</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45804</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45804</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45804</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45804</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45804</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45804</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45804</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45804</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45804</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45804</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45804</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45804</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45804</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45804</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45804</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45804</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45804</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45804</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45804</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45804</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45804</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45804</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45804</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45804</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45804</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45804</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45804</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45804</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45804</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45804</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45804</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45804</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45804</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45804</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45804</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45804</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45804</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45804</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45804</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45804</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45804</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45804</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45804</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45804</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45804</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45804</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45804</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45804</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45804</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45804</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45804</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45804</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45804</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45804</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45804</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45804</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45804</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45804</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45804</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45804</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45804</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45804</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45804</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45804</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45804</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45804</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45804</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45804</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45804</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45804</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45804</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45804</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45804</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45804</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45804</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45804</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45804</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45804</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45804</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45804</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45804</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45804</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45804</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45804</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45804</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45804</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45804</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45804</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45804</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45804</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45804</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45804</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45804</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45804</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45804</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45804</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45804</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45804</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45804</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45804</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45804</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45804</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45804</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45804</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45804</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45804</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45804</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45804</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45804</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45804</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45804</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45804</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45804</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45804</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45804</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45804</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45804</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45804</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45804</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45804</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45804</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45804</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45804</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45804</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45804</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45804</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45804</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45804</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45804</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45804</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45804</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45804</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45804</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45804</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45804</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45804</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45804</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45804</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45804</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45804</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45804</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45804</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45804</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45804</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45804</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45804</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45804</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45804</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45804</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45804</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45804</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45804</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45804</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45804</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45804</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45804</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45804</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45804</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45804</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45804</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45804</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45804</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45804</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45804</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45804</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45804</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45804</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45804</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45804</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45804</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45804</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45804</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45804</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45804</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45804</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45804</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45804</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45804</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45804</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45804</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45804</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45804</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45804</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45804</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45804</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45804</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45804</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45804</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45804</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45804</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45804</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45804</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45804</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45804</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45804</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45804</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45804</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45804</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45804</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45804</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45804</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45804</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45804</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45804</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45804</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45804</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45804</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45804</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45804</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45804</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45804</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45804</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45804</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45804</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45804</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45804</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45804</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45804</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45804</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45804</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45804</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45804</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45804</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45804</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45804</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45804</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45804</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45804</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45804</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45804</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45804</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45804</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45804</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45804</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45804</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45804</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45804</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45804</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45804</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45804</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45804</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45804</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45804</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45804</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45804</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45804</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45804</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45804</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45804</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45804</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45804</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45804</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45804</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45804</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45804</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45804</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45804</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45804</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45804</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45804</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45804</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45804</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45804</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45804</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45804</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45804</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45804</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45804</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45804</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45804</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45804</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45804</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45804</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45804</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45804</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45804</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45804</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45804</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45804</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45804</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45804</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45804</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45804</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45804</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45804</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45804</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45804</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45804</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45804</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45804</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45804</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45804</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45804</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45804</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45804</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45804</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45804</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45804</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45804</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45804</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45804</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45804</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45804</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45804</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45804</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45804</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45804</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45804</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45804</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45804</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45804</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45804</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45804</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45804</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45804</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45804</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45804</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45804</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45804</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45804</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45804</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45804</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45804</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45804</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45804</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45804</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45804</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45804</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45804</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45804</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45804</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45804</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45804</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45804</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45804</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45804</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45804</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45804</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45804</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45804</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45804</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45804</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45804</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45804</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45804</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45804</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45804</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45804</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45804</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45804</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45804</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45804</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45804</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45804</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45804</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45804</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45804</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45804</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45804</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45804</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45804</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45804</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45804</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45804</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45804</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45804</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45804</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45804</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45804</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45804</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45804</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45804</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45804</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45804</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45804</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45804</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45804</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45804</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45804</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45804</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45804</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45804</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45804</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45804</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45804</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45804</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45804</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45804</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45804</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45804</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45804</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45804</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45804</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45804</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45804</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45804</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45804</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45804</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45804</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45804</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45804</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45804</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45804</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45804</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45804</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45804</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45804</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45804</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45804</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45804</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45804</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45804</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45804</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45804</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45804</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45804</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45804</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45804</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45804</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45804</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45804</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45804</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45804</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45804</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45804</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45804</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45804</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45804</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45804</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45804</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45804</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45804</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45804</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45804</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45804</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45804</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45804</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45804</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45804</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45804</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45804</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45804</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45804</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45804</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45804</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45804</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45804</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45804</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45804</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45804</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45804</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45804</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45804</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45804</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45804</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45804</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45804</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45804</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45804</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45804</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45804</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45804</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45804</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45804</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45804</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45804</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45804</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45804</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45804</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45804</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45804</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45804</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45804</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45804</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45804</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45804</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45804</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45804</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45804</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45804</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45804</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45804</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45804</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45804</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45804</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45804</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45804</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45804</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45804</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45804</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45804</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45804</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45804</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45804</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45804</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45804</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45804</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45804</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45804</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45804</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45804</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45804</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45804</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45804</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45804</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45804</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45804</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45804</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45804</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45804</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45804</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45804</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45804</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45804</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45804</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45804</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45804</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45804</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45804</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45804</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45804</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45804</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45804</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45804</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45804</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45804</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45804</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45804</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45804</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45804</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45804</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45804</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45804</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45804</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45804</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45804</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45804</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45804</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45804</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45804</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45804</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45804</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45804</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45804</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45804</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45804</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45804</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45804</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45804</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45804</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45804</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45804</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45804</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45804</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45804</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45804</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45804</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45804</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45804</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45804</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45804</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45804</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45804</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45804</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45804</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45804</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45804</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45804</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45804</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45804</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45804</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45804</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45804</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45804</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45804</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45804</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45804</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45804</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45804</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45804</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45804</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45804</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45804</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45804</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45804</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45804</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45804</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45804</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45804</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45804</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45804</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45804</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45804</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45804</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45804</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45804</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45804</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45804</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45804</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45804</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45804</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45804</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45804</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45804</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45804</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45804</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45804</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45804</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45804</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45804</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45804</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45804</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45804</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45804</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45804</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45804</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45804</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45804</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45804</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45804</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45804</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45804</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45804</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45804</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45804</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45804</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45804</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45804</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45804</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45804</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45804</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45804</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45804</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45804</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45804</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45804</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45804</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45804</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45804</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45804</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45804</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45804</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45804</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45804</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45804</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45804</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45804</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45804</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45804</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45804</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45804</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45804</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45804</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45804</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45804</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45804</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45804</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45804</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45804</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45804</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45804</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45804</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45804</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45804</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45804</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45804</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45804</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45804</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45804</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45804</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45804</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45804</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45804</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45804</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45804</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45804</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45804</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45804</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45804</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45804</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45804</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45804</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45804</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45804</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45804</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45804</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45804</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45804</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45804</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45804</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45804</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45804</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45804</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45804</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45804</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45804</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45804</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45804</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45804</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45804</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45804</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45804</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45804</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45804</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45804</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45804</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45804</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45804</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45804</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45804</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45804</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45804</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45804</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45804</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45804</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45804</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45804</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45804</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45804</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45804</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45804</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45804</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45804</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45804</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45804</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45804</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45804</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45804</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45804</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45804</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45804</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45804</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45804</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45804</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45804</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45804</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45804</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45804</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45804</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45804</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45804</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45804</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45804</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45804</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45804</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45804</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45804</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45804</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45804</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45804</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45804</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45804</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45804</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45804</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45804</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45804</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45804</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45804</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45804</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45804</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45804</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45804</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45804</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45804</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45804</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45804</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45804</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45804</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45804</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45804</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45804</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45804</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45804</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45804</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45804</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45804</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45804</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45804</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45804</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45804</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45804</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45804</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45804</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45804</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45804</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45804</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45804</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45804</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45804</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45804</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45804</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45804</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45804</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45804</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45804</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45804</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45804</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45804</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45804</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45804</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45804</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45804</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45804</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45804</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45804</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45804</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45804</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45804</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45804</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45804</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45804</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45804</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45804</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45804</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45804</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45804</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45804</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45804</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45804</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45804</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45804</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45804</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45804</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45804</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45804</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45804</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45804</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45804</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45804</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45804</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45804</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45804</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45804</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45804</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45804</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45804</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45804</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45804</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45804</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45804</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45804</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45804</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45804</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45804</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45804</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45804</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45804</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45804</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45804</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45804</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45804</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45804</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45804</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45804</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45804</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45804</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45804</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45804</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45804</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45804</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45804</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45804</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45804</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45804</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45804</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45804</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45804</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45804</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45804</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45804</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45804</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45804</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21916-2025</t>
        </is>
      </c>
      <c r="B1300" s="1" t="n">
        <v>45784</v>
      </c>
      <c r="C1300" s="1" t="n">
        <v>45804</v>
      </c>
      <c r="D1300" t="inlineStr">
        <is>
          <t>DALARNAS LÄN</t>
        </is>
      </c>
      <c r="E1300" t="inlineStr">
        <is>
          <t>LEKSAND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21881-2025</t>
        </is>
      </c>
      <c r="B1301" s="1" t="n">
        <v>45784</v>
      </c>
      <c r="C1301" s="1" t="n">
        <v>45804</v>
      </c>
      <c r="D1301" t="inlineStr">
        <is>
          <t>DALARNAS LÄN</t>
        </is>
      </c>
      <c r="E1301" t="inlineStr">
        <is>
          <t>LEKSAND</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45804</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22646-2025</t>
        </is>
      </c>
      <c r="B1303" s="1" t="n">
        <v>45786</v>
      </c>
      <c r="C1303" s="1" t="n">
        <v>45804</v>
      </c>
      <c r="D1303" t="inlineStr">
        <is>
          <t>DALARNAS LÄN</t>
        </is>
      </c>
      <c r="E1303" t="inlineStr">
        <is>
          <t>LEKSAND</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22361-2025</t>
        </is>
      </c>
      <c r="B1304" s="1" t="n">
        <v>45786</v>
      </c>
      <c r="C1304" s="1" t="n">
        <v>45804</v>
      </c>
      <c r="D1304" t="inlineStr">
        <is>
          <t>DALARNAS LÄN</t>
        </is>
      </c>
      <c r="E1304" t="inlineStr">
        <is>
          <t>LEKSAND</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45804</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22947-2025</t>
        </is>
      </c>
      <c r="B1306" s="1" t="n">
        <v>45790</v>
      </c>
      <c r="C1306" s="1" t="n">
        <v>45804</v>
      </c>
      <c r="D1306" t="inlineStr">
        <is>
          <t>DALARNAS LÄN</t>
        </is>
      </c>
      <c r="E1306" t="inlineStr">
        <is>
          <t>LEKSAND</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45804</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22876-2025</t>
        </is>
      </c>
      <c r="B1308" s="1" t="n">
        <v>45790</v>
      </c>
      <c r="C1308" s="1" t="n">
        <v>45804</v>
      </c>
      <c r="D1308" t="inlineStr">
        <is>
          <t>DALARNAS LÄN</t>
        </is>
      </c>
      <c r="E1308" t="inlineStr">
        <is>
          <t>LEKSAND</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23076-2025</t>
        </is>
      </c>
      <c r="B1309" s="1" t="n">
        <v>45790</v>
      </c>
      <c r="C1309" s="1" t="n">
        <v>45804</v>
      </c>
      <c r="D1309" t="inlineStr">
        <is>
          <t>DALARNAS LÄN</t>
        </is>
      </c>
      <c r="E1309" t="inlineStr">
        <is>
          <t>LEKSAND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45804</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23852-2025</t>
        </is>
      </c>
      <c r="B1311" s="1" t="n">
        <v>45793</v>
      </c>
      <c r="C1311" s="1" t="n">
        <v>45804</v>
      </c>
      <c r="D1311" t="inlineStr">
        <is>
          <t>DALARNAS LÄN</t>
        </is>
      </c>
      <c r="E1311" t="inlineStr">
        <is>
          <t>LEKSAND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23855-2025</t>
        </is>
      </c>
      <c r="B1312" s="1" t="n">
        <v>45793</v>
      </c>
      <c r="C1312" s="1" t="n">
        <v>45804</v>
      </c>
      <c r="D1312" t="inlineStr">
        <is>
          <t>DALARNAS LÄN</t>
        </is>
      </c>
      <c r="E1312" t="inlineStr">
        <is>
          <t>LEKSAND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23892-2025</t>
        </is>
      </c>
      <c r="B1313" s="1" t="n">
        <v>45793</v>
      </c>
      <c r="C1313" s="1" t="n">
        <v>45804</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23891-2025</t>
        </is>
      </c>
      <c r="B1314" s="1" t="n">
        <v>45793</v>
      </c>
      <c r="C1314" s="1" t="n">
        <v>45804</v>
      </c>
      <c r="D1314" t="inlineStr">
        <is>
          <t>DALARNAS LÄN</t>
        </is>
      </c>
      <c r="E1314" t="inlineStr">
        <is>
          <t>LEKSAND</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24188-2025</t>
        </is>
      </c>
      <c r="B1315" s="1" t="n">
        <v>45796</v>
      </c>
      <c r="C1315" s="1" t="n">
        <v>45804</v>
      </c>
      <c r="D1315" t="inlineStr">
        <is>
          <t>DALARNAS LÄN</t>
        </is>
      </c>
      <c r="E1315" t="inlineStr">
        <is>
          <t>LEKSAND</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24187-2025</t>
        </is>
      </c>
      <c r="B1316" s="1" t="n">
        <v>45796</v>
      </c>
      <c r="C1316" s="1" t="n">
        <v>45804</v>
      </c>
      <c r="D1316" t="inlineStr">
        <is>
          <t>DALARNAS LÄN</t>
        </is>
      </c>
      <c r="E1316" t="inlineStr">
        <is>
          <t>LEKSAND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45804</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24373-2025</t>
        </is>
      </c>
      <c r="B1318" s="1" t="n">
        <v>45797</v>
      </c>
      <c r="C1318" s="1" t="n">
        <v>45804</v>
      </c>
      <c r="D1318" t="inlineStr">
        <is>
          <t>DALARNAS LÄN</t>
        </is>
      </c>
      <c r="E1318" t="inlineStr">
        <is>
          <t>LEKSAND</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24317-2025</t>
        </is>
      </c>
      <c r="B1319" s="1" t="n">
        <v>45797</v>
      </c>
      <c r="C1319" s="1" t="n">
        <v>45804</v>
      </c>
      <c r="D1319" t="inlineStr">
        <is>
          <t>DALARNAS LÄN</t>
        </is>
      </c>
      <c r="E1319" t="inlineStr">
        <is>
          <t>LEKSAND</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24711-2025</t>
        </is>
      </c>
      <c r="B1320" s="1" t="n">
        <v>45798</v>
      </c>
      <c r="C1320" s="1" t="n">
        <v>45804</v>
      </c>
      <c r="D1320" t="inlineStr">
        <is>
          <t>DALARNAS LÄN</t>
        </is>
      </c>
      <c r="E1320" t="inlineStr">
        <is>
          <t>LEKSAND</t>
        </is>
      </c>
      <c r="F1320" t="inlineStr">
        <is>
          <t>Bergvik skog väst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24715-2025</t>
        </is>
      </c>
      <c r="B1321" s="1" t="n">
        <v>45799</v>
      </c>
      <c r="C1321" s="1" t="n">
        <v>45804</v>
      </c>
      <c r="D1321" t="inlineStr">
        <is>
          <t>DALARNAS LÄN</t>
        </is>
      </c>
      <c r="E1321" t="inlineStr">
        <is>
          <t>LEKSAND</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24714-2025</t>
        </is>
      </c>
      <c r="B1322" s="1" t="n">
        <v>45799</v>
      </c>
      <c r="C1322" s="1" t="n">
        <v>45804</v>
      </c>
      <c r="D1322" t="inlineStr">
        <is>
          <t>DALARNAS LÄN</t>
        </is>
      </c>
      <c r="E1322" t="inlineStr">
        <is>
          <t>LEKSAND</t>
        </is>
      </c>
      <c r="F1322" t="inlineStr">
        <is>
          <t>Bergvik skog väst AB</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45804</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45804</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c r="A1325" t="inlineStr">
        <is>
          <t>A 25610-2025</t>
        </is>
      </c>
      <c r="B1325" s="1" t="n">
        <v>45803</v>
      </c>
      <c r="C1325" s="1" t="n">
        <v>45804</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2025-05-27T17:56:19Z</dcterms:created>
  <dcterms:modified xmlns:dcterms="http://purl.org/dc/terms/" xmlns:xsi="http://www.w3.org/2001/XMLSchema-instance" xsi:type="dcterms:W3CDTF">2025-05-27T17:56:20Z</dcterms:modified>
</cp:coreProperties>
</file>