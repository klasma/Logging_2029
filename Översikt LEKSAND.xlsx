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46194</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46194</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46194</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46194</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46194</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46194</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46194</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46194</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46194</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46194</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46194</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46194</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46194</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25774-2026</t>
        </is>
      </c>
      <c r="B15" s="1" t="n">
        <v>46178</v>
      </c>
      <c r="C15" s="1" t="n">
        <v>46194</v>
      </c>
      <c r="D15" t="inlineStr">
        <is>
          <t>DALARNAS LÄN</t>
        </is>
      </c>
      <c r="E15" t="inlineStr">
        <is>
          <t>LEKSAND</t>
        </is>
      </c>
      <c r="F15" t="inlineStr">
        <is>
          <t>Bergvik skog väst AB</t>
        </is>
      </c>
      <c r="G15" t="n">
        <v>4.8</v>
      </c>
      <c r="H15" t="n">
        <v>2</v>
      </c>
      <c r="I15" t="n">
        <v>1</v>
      </c>
      <c r="J15" t="n">
        <v>4</v>
      </c>
      <c r="K15" t="n">
        <v>1</v>
      </c>
      <c r="L15" t="n">
        <v>0</v>
      </c>
      <c r="M15" t="n">
        <v>0</v>
      </c>
      <c r="N15" t="n">
        <v>0</v>
      </c>
      <c r="O15" t="n">
        <v>5</v>
      </c>
      <c r="P15" t="n">
        <v>1</v>
      </c>
      <c r="Q15" t="n">
        <v>7</v>
      </c>
      <c r="R15" s="2" t="inlineStr">
        <is>
          <t>Garnlav
Kolflarnlav
Mörk kolflarnlav
Tretåig hackspett
Vedskivlav
Mindre märgborre
Spillkråka</t>
        </is>
      </c>
      <c r="S15">
        <f>HYPERLINK("https://klasma.github.io/Logging_2029/artfynd/A 25774-2026 artfynd.xlsx", "A 25774-2026")</f>
        <v/>
      </c>
      <c r="T15">
        <f>HYPERLINK("https://klasma.github.io/Logging_2029/kartor/A 25774-2026 karta.png", "A 25774-2026")</f>
        <v/>
      </c>
      <c r="V15">
        <f>HYPERLINK("https://klasma.github.io/Logging_2029/klagomål/A 25774-2026 FSC-klagomål.docx", "A 25774-2026")</f>
        <v/>
      </c>
      <c r="W15">
        <f>HYPERLINK("https://klasma.github.io/Logging_2029/klagomålsmail/A 25774-2026 FSC-klagomål mail.docx", "A 25774-2026")</f>
        <v/>
      </c>
      <c r="X15">
        <f>HYPERLINK("https://klasma.github.io/Logging_2029/tillsyn/A 25774-2026 tillsynsbegäran.docx", "A 25774-2026")</f>
        <v/>
      </c>
      <c r="Y15">
        <f>HYPERLINK("https://klasma.github.io/Logging_2029/tillsynsmail/A 25774-2026 tillsynsbegäran mail.docx", "A 25774-2026")</f>
        <v/>
      </c>
      <c r="Z15">
        <f>HYPERLINK("https://klasma.github.io/Logging_2029/fåglar/A 25774-2026 prioriterade fågelarter.docx", "A 25774-2026")</f>
        <v/>
      </c>
    </row>
    <row r="16" ht="15" customHeight="1">
      <c r="A16" t="inlineStr">
        <is>
          <t>A 4553-2026</t>
        </is>
      </c>
      <c r="B16" s="1" t="n">
        <v>46047</v>
      </c>
      <c r="C16" s="1" t="n">
        <v>46194</v>
      </c>
      <c r="D16" t="inlineStr">
        <is>
          <t>DALARNAS LÄN</t>
        </is>
      </c>
      <c r="E16" t="inlineStr">
        <is>
          <t>LEKSAND</t>
        </is>
      </c>
      <c r="G16" t="n">
        <v>22.9</v>
      </c>
      <c r="H16" t="n">
        <v>0</v>
      </c>
      <c r="I16" t="n">
        <v>1</v>
      </c>
      <c r="J16" t="n">
        <v>4</v>
      </c>
      <c r="K16" t="n">
        <v>2</v>
      </c>
      <c r="L16" t="n">
        <v>0</v>
      </c>
      <c r="M16" t="n">
        <v>0</v>
      </c>
      <c r="N16" t="n">
        <v>0</v>
      </c>
      <c r="O16" t="n">
        <v>6</v>
      </c>
      <c r="P16" t="n">
        <v>2</v>
      </c>
      <c r="Q16" t="n">
        <v>7</v>
      </c>
      <c r="R16" s="2" t="inlineStr">
        <is>
          <t>Garnlav
Gränsticka
Rosenticka
Rynkskinn
Ullticka
Violmussling
Vedticka</t>
        </is>
      </c>
      <c r="S16">
        <f>HYPERLINK("https://klasma.github.io/Logging_2029/artfynd/A 4553-2026 artfynd.xlsx", "A 4553-2026")</f>
        <v/>
      </c>
      <c r="T16">
        <f>HYPERLINK("https://klasma.github.io/Logging_2029/kartor/A 4553-2026 karta.png", "A 4553-2026")</f>
        <v/>
      </c>
      <c r="V16">
        <f>HYPERLINK("https://klasma.github.io/Logging_2029/klagomål/A 4553-2026 FSC-klagomål.docx", "A 4553-2026")</f>
        <v/>
      </c>
      <c r="W16">
        <f>HYPERLINK("https://klasma.github.io/Logging_2029/klagomålsmail/A 4553-2026 FSC-klagomål mail.docx", "A 4553-2026")</f>
        <v/>
      </c>
      <c r="X16">
        <f>HYPERLINK("https://klasma.github.io/Logging_2029/tillsyn/A 4553-2026 tillsynsbegäran.docx", "A 4553-2026")</f>
        <v/>
      </c>
      <c r="Y16">
        <f>HYPERLINK("https://klasma.github.io/Logging_2029/tillsynsmail/A 4553-2026 tillsynsbegäran mail.docx", "A 4553-2026")</f>
        <v/>
      </c>
    </row>
    <row r="17" ht="15" customHeight="1">
      <c r="A17" t="inlineStr">
        <is>
          <t>A 5574-2024</t>
        </is>
      </c>
      <c r="B17" s="1" t="n">
        <v>45334</v>
      </c>
      <c r="C17" s="1" t="n">
        <v>46194</v>
      </c>
      <c r="D17" t="inlineStr">
        <is>
          <t>DALARNAS LÄN</t>
        </is>
      </c>
      <c r="E17" t="inlineStr">
        <is>
          <t>LEKSAND</t>
        </is>
      </c>
      <c r="G17" t="n">
        <v>0.4</v>
      </c>
      <c r="H17" t="n">
        <v>0</v>
      </c>
      <c r="I17" t="n">
        <v>3</v>
      </c>
      <c r="J17" t="n">
        <v>2</v>
      </c>
      <c r="K17" t="n">
        <v>1</v>
      </c>
      <c r="L17" t="n">
        <v>0</v>
      </c>
      <c r="M17" t="n">
        <v>0</v>
      </c>
      <c r="N17" t="n">
        <v>0</v>
      </c>
      <c r="O17" t="n">
        <v>3</v>
      </c>
      <c r="P17" t="n">
        <v>1</v>
      </c>
      <c r="Q17" t="n">
        <v>6</v>
      </c>
      <c r="R17" s="2" t="inlineStr">
        <is>
          <t>Slåttergubbe
Lilavaxing
Scharlakansvaxing
Blodvaxing
Broskvaxing
Papegojvaxing</t>
        </is>
      </c>
      <c r="S17">
        <f>HYPERLINK("https://klasma.github.io/Logging_2029/artfynd/A 5574-2024 artfynd.xlsx", "A 5574-2024")</f>
        <v/>
      </c>
      <c r="T17">
        <f>HYPERLINK("https://klasma.github.io/Logging_2029/kartor/A 5574-2024 karta.png", "A 5574-2024")</f>
        <v/>
      </c>
      <c r="V17">
        <f>HYPERLINK("https://klasma.github.io/Logging_2029/klagomål/A 5574-2024 FSC-klagomål.docx", "A 5574-2024")</f>
        <v/>
      </c>
      <c r="W17">
        <f>HYPERLINK("https://klasma.github.io/Logging_2029/klagomålsmail/A 5574-2024 FSC-klagomål mail.docx", "A 5574-2024")</f>
        <v/>
      </c>
      <c r="X17">
        <f>HYPERLINK("https://klasma.github.io/Logging_2029/tillsyn/A 5574-2024 tillsynsbegäran.docx", "A 5574-2024")</f>
        <v/>
      </c>
      <c r="Y17">
        <f>HYPERLINK("https://klasma.github.io/Logging_2029/tillsynsmail/A 5574-2024 tillsynsbegäran mail.docx", "A 5574-2024")</f>
        <v/>
      </c>
    </row>
    <row r="18" ht="15" customHeight="1">
      <c r="A18" t="inlineStr">
        <is>
          <t>A 30176-2024</t>
        </is>
      </c>
      <c r="B18" s="1" t="n">
        <v>45489</v>
      </c>
      <c r="C18" s="1" t="n">
        <v>46194</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40636-2025</t>
        </is>
      </c>
      <c r="B19" s="1" t="n">
        <v>45896</v>
      </c>
      <c r="C19" s="1" t="n">
        <v>46194</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46194</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46194</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46194</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46194</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16735-2025</t>
        </is>
      </c>
      <c r="B24" s="1" t="n">
        <v>45754</v>
      </c>
      <c r="C24" s="1" t="n">
        <v>46194</v>
      </c>
      <c r="D24" t="inlineStr">
        <is>
          <t>DALARNAS LÄN</t>
        </is>
      </c>
      <c r="E24" t="inlineStr">
        <is>
          <t>LEKSAND</t>
        </is>
      </c>
      <c r="G24" t="n">
        <v>1.8</v>
      </c>
      <c r="H24" t="n">
        <v>5</v>
      </c>
      <c r="I24" t="n">
        <v>0</v>
      </c>
      <c r="J24" t="n">
        <v>3</v>
      </c>
      <c r="K24" t="n">
        <v>0</v>
      </c>
      <c r="L24" t="n">
        <v>0</v>
      </c>
      <c r="M24" t="n">
        <v>0</v>
      </c>
      <c r="N24" t="n">
        <v>0</v>
      </c>
      <c r="O24" t="n">
        <v>3</v>
      </c>
      <c r="P24" t="n">
        <v>0</v>
      </c>
      <c r="Q24" t="n">
        <v>5</v>
      </c>
      <c r="R24" s="2" t="inlineStr">
        <is>
          <t>Göktyta
Järnsparv
Kricka
Gröngöling
Grönsiska</t>
        </is>
      </c>
      <c r="S24">
        <f>HYPERLINK("https://klasma.github.io/Logging_2029/artfynd/A 16735-2025 artfynd.xlsx", "A 16735-2025")</f>
        <v/>
      </c>
      <c r="T24">
        <f>HYPERLINK("https://klasma.github.io/Logging_2029/kartor/A 16735-2025 karta.png", "A 16735-2025")</f>
        <v/>
      </c>
      <c r="V24">
        <f>HYPERLINK("https://klasma.github.io/Logging_2029/klagomål/A 16735-2025 FSC-klagomål.docx", "A 16735-2025")</f>
        <v/>
      </c>
      <c r="W24">
        <f>HYPERLINK("https://klasma.github.io/Logging_2029/klagomålsmail/A 16735-2025 FSC-klagomål mail.docx", "A 16735-2025")</f>
        <v/>
      </c>
      <c r="X24">
        <f>HYPERLINK("https://klasma.github.io/Logging_2029/tillsyn/A 16735-2025 tillsynsbegäran.docx", "A 16735-2025")</f>
        <v/>
      </c>
      <c r="Y24">
        <f>HYPERLINK("https://klasma.github.io/Logging_2029/tillsynsmail/A 16735-2025 tillsynsbegäran mail.docx", "A 16735-2025")</f>
        <v/>
      </c>
      <c r="Z24">
        <f>HYPERLINK("https://klasma.github.io/Logging_2029/fåglar/A 16735-2025 prioriterade fågelarter.docx", "A 16735-2025")</f>
        <v/>
      </c>
    </row>
    <row r="25" ht="15" customHeight="1">
      <c r="A25" t="inlineStr">
        <is>
          <t>A 366-2026</t>
        </is>
      </c>
      <c r="B25" s="1" t="n">
        <v>46027</v>
      </c>
      <c r="C25" s="1" t="n">
        <v>46194</v>
      </c>
      <c r="D25" t="inlineStr">
        <is>
          <t>DALARNAS LÄN</t>
        </is>
      </c>
      <c r="E25" t="inlineStr">
        <is>
          <t>LEKSAND</t>
        </is>
      </c>
      <c r="G25" t="n">
        <v>21.7</v>
      </c>
      <c r="H25" t="n">
        <v>0</v>
      </c>
      <c r="I25" t="n">
        <v>1</v>
      </c>
      <c r="J25" t="n">
        <v>3</v>
      </c>
      <c r="K25" t="n">
        <v>1</v>
      </c>
      <c r="L25" t="n">
        <v>0</v>
      </c>
      <c r="M25" t="n">
        <v>0</v>
      </c>
      <c r="N25" t="n">
        <v>0</v>
      </c>
      <c r="O25" t="n">
        <v>4</v>
      </c>
      <c r="P25" t="n">
        <v>1</v>
      </c>
      <c r="Q25" t="n">
        <v>5</v>
      </c>
      <c r="R25" s="2" t="inlineStr">
        <is>
          <t>Garnlav
Rosenticka
Ullticka
Violettgrå tagellav
Vedticka</t>
        </is>
      </c>
      <c r="S25">
        <f>HYPERLINK("https://klasma.github.io/Logging_2029/artfynd/A 366-2026 artfynd.xlsx", "A 366-2026")</f>
        <v/>
      </c>
      <c r="T25">
        <f>HYPERLINK("https://klasma.github.io/Logging_2029/kartor/A 366-2026 karta.png", "A 366-2026")</f>
        <v/>
      </c>
      <c r="V25">
        <f>HYPERLINK("https://klasma.github.io/Logging_2029/klagomål/A 366-2026 FSC-klagomål.docx", "A 366-2026")</f>
        <v/>
      </c>
      <c r="W25">
        <f>HYPERLINK("https://klasma.github.io/Logging_2029/klagomålsmail/A 366-2026 FSC-klagomål mail.docx", "A 366-2026")</f>
        <v/>
      </c>
      <c r="X25">
        <f>HYPERLINK("https://klasma.github.io/Logging_2029/tillsyn/A 366-2026 tillsynsbegäran.docx", "A 366-2026")</f>
        <v/>
      </c>
      <c r="Y25">
        <f>HYPERLINK("https://klasma.github.io/Logging_2029/tillsynsmail/A 366-2026 tillsynsbegäran mail.docx", "A 366-2026")</f>
        <v/>
      </c>
    </row>
    <row r="26" ht="15" customHeight="1">
      <c r="A26" t="inlineStr">
        <is>
          <t>A 31957-2025</t>
        </is>
      </c>
      <c r="B26" s="1" t="n">
        <v>45835</v>
      </c>
      <c r="C26" s="1" t="n">
        <v>46194</v>
      </c>
      <c r="D26" t="inlineStr">
        <is>
          <t>DALARNAS LÄN</t>
        </is>
      </c>
      <c r="E26" t="inlineStr">
        <is>
          <t>LEKSAND</t>
        </is>
      </c>
      <c r="G26" t="n">
        <v>5.2</v>
      </c>
      <c r="H26" t="n">
        <v>2</v>
      </c>
      <c r="I26" t="n">
        <v>0</v>
      </c>
      <c r="J26" t="n">
        <v>3</v>
      </c>
      <c r="K26" t="n">
        <v>1</v>
      </c>
      <c r="L26" t="n">
        <v>0</v>
      </c>
      <c r="M26" t="n">
        <v>0</v>
      </c>
      <c r="N26" t="n">
        <v>0</v>
      </c>
      <c r="O26" t="n">
        <v>4</v>
      </c>
      <c r="P26" t="n">
        <v>1</v>
      </c>
      <c r="Q26" t="n">
        <v>5</v>
      </c>
      <c r="R26" s="2" t="inlineStr">
        <is>
          <t>Knärot
Dvärgbägarlav
Mörk kolflarnlav
Vedskivlav
Tjäder</t>
        </is>
      </c>
      <c r="S26">
        <f>HYPERLINK("https://klasma.github.io/Logging_2029/artfynd/A 31957-2025 artfynd.xlsx", "A 31957-2025")</f>
        <v/>
      </c>
      <c r="T26">
        <f>HYPERLINK("https://klasma.github.io/Logging_2029/kartor/A 31957-2025 karta.png", "A 31957-2025")</f>
        <v/>
      </c>
      <c r="U26">
        <f>HYPERLINK("https://klasma.github.io/Logging_2029/knärot/A 31957-2025 karta knärot.png", "A 31957-2025")</f>
        <v/>
      </c>
      <c r="V26">
        <f>HYPERLINK("https://klasma.github.io/Logging_2029/klagomål/A 31957-2025 FSC-klagomål.docx", "A 31957-2025")</f>
        <v/>
      </c>
      <c r="W26">
        <f>HYPERLINK("https://klasma.github.io/Logging_2029/klagomålsmail/A 31957-2025 FSC-klagomål mail.docx", "A 31957-2025")</f>
        <v/>
      </c>
      <c r="X26">
        <f>HYPERLINK("https://klasma.github.io/Logging_2029/tillsyn/A 31957-2025 tillsynsbegäran.docx", "A 31957-2025")</f>
        <v/>
      </c>
      <c r="Y26">
        <f>HYPERLINK("https://klasma.github.io/Logging_2029/tillsynsmail/A 31957-2025 tillsynsbegäran mail.docx", "A 31957-2025")</f>
        <v/>
      </c>
      <c r="Z26">
        <f>HYPERLINK("https://klasma.github.io/Logging_2029/fåglar/A 31957-2025 prioriterade fågelarter.docx", "A 31957-2025")</f>
        <v/>
      </c>
    </row>
    <row r="27" ht="15" customHeight="1">
      <c r="A27" t="inlineStr">
        <is>
          <t>A 47601-2025</t>
        </is>
      </c>
      <c r="B27" s="1" t="n">
        <v>45931</v>
      </c>
      <c r="C27" s="1" t="n">
        <v>46194</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46194</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46194</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59111-2024</t>
        </is>
      </c>
      <c r="B30" s="1" t="n">
        <v>45637</v>
      </c>
      <c r="C30" s="1" t="n">
        <v>46194</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41528-2025</t>
        </is>
      </c>
      <c r="B31" s="1" t="n">
        <v>45901</v>
      </c>
      <c r="C31" s="1" t="n">
        <v>46194</v>
      </c>
      <c r="D31" t="inlineStr">
        <is>
          <t>DALARNAS LÄN</t>
        </is>
      </c>
      <c r="E31" t="inlineStr">
        <is>
          <t>LEKSAND</t>
        </is>
      </c>
      <c r="F31" t="inlineStr">
        <is>
          <t>Bergvik skog väst AB</t>
        </is>
      </c>
      <c r="G31" t="n">
        <v>2.7</v>
      </c>
      <c r="H31" t="n">
        <v>1</v>
      </c>
      <c r="I31" t="n">
        <v>1</v>
      </c>
      <c r="J31" t="n">
        <v>1</v>
      </c>
      <c r="K31" t="n">
        <v>1</v>
      </c>
      <c r="L31" t="n">
        <v>0</v>
      </c>
      <c r="M31" t="n">
        <v>0</v>
      </c>
      <c r="N31" t="n">
        <v>0</v>
      </c>
      <c r="O31" t="n">
        <v>2</v>
      </c>
      <c r="P31" t="n">
        <v>1</v>
      </c>
      <c r="Q31" t="n">
        <v>3</v>
      </c>
      <c r="R31" s="2" t="inlineStr">
        <is>
          <t>Garnlav
Tretåig hackspett
Mindre märgborre</t>
        </is>
      </c>
      <c r="S31">
        <f>HYPERLINK("https://klasma.github.io/Logging_2029/artfynd/A 41528-2025 artfynd.xlsx", "A 41528-2025")</f>
        <v/>
      </c>
      <c r="T31">
        <f>HYPERLINK("https://klasma.github.io/Logging_2029/kartor/A 41528-2025 karta.png", "A 41528-2025")</f>
        <v/>
      </c>
      <c r="V31">
        <f>HYPERLINK("https://klasma.github.io/Logging_2029/klagomål/A 41528-2025 FSC-klagomål.docx", "A 41528-2025")</f>
        <v/>
      </c>
      <c r="W31">
        <f>HYPERLINK("https://klasma.github.io/Logging_2029/klagomålsmail/A 41528-2025 FSC-klagomål mail.docx", "A 41528-2025")</f>
        <v/>
      </c>
      <c r="X31">
        <f>HYPERLINK("https://klasma.github.io/Logging_2029/tillsyn/A 41528-2025 tillsynsbegäran.docx", "A 41528-2025")</f>
        <v/>
      </c>
      <c r="Y31">
        <f>HYPERLINK("https://klasma.github.io/Logging_2029/tillsynsmail/A 41528-2025 tillsynsbegäran mail.docx", "A 41528-2025")</f>
        <v/>
      </c>
      <c r="Z31">
        <f>HYPERLINK("https://klasma.github.io/Logging_2029/fåglar/A 41528-2025 prioriterade fågelarter.docx", "A 41528-2025")</f>
        <v/>
      </c>
    </row>
    <row r="32" ht="15" customHeight="1">
      <c r="A32" t="inlineStr">
        <is>
          <t>A 13612-2026</t>
        </is>
      </c>
      <c r="B32" s="1" t="n">
        <v>46097</v>
      </c>
      <c r="C32" s="1" t="n">
        <v>46194</v>
      </c>
      <c r="D32" t="inlineStr">
        <is>
          <t>DALARNAS LÄN</t>
        </is>
      </c>
      <c r="E32" t="inlineStr">
        <is>
          <t>LEKSAND</t>
        </is>
      </c>
      <c r="G32" t="n">
        <v>3.9</v>
      </c>
      <c r="H32" t="n">
        <v>1</v>
      </c>
      <c r="I32" t="n">
        <v>1</v>
      </c>
      <c r="J32" t="n">
        <v>1</v>
      </c>
      <c r="K32" t="n">
        <v>1</v>
      </c>
      <c r="L32" t="n">
        <v>0</v>
      </c>
      <c r="M32" t="n">
        <v>0</v>
      </c>
      <c r="N32" t="n">
        <v>0</v>
      </c>
      <c r="O32" t="n">
        <v>2</v>
      </c>
      <c r="P32" t="n">
        <v>1</v>
      </c>
      <c r="Q32" t="n">
        <v>3</v>
      </c>
      <c r="R32" s="2" t="inlineStr">
        <is>
          <t>Knärot
Vedtrappmossa
Bronshjon</t>
        </is>
      </c>
      <c r="S32">
        <f>HYPERLINK("https://klasma.github.io/Logging_2029/artfynd/A 13612-2026 artfynd.xlsx", "A 13612-2026")</f>
        <v/>
      </c>
      <c r="T32">
        <f>HYPERLINK("https://klasma.github.io/Logging_2029/kartor/A 13612-2026 karta.png", "A 13612-2026")</f>
        <v/>
      </c>
      <c r="U32">
        <f>HYPERLINK("https://klasma.github.io/Logging_2029/knärot/A 13612-2026 karta knärot.png", "A 13612-2026")</f>
        <v/>
      </c>
      <c r="V32">
        <f>HYPERLINK("https://klasma.github.io/Logging_2029/klagomål/A 13612-2026 FSC-klagomål.docx", "A 13612-2026")</f>
        <v/>
      </c>
      <c r="W32">
        <f>HYPERLINK("https://klasma.github.io/Logging_2029/klagomålsmail/A 13612-2026 FSC-klagomål mail.docx", "A 13612-2026")</f>
        <v/>
      </c>
      <c r="X32">
        <f>HYPERLINK("https://klasma.github.io/Logging_2029/tillsyn/A 13612-2026 tillsynsbegäran.docx", "A 13612-2026")</f>
        <v/>
      </c>
      <c r="Y32">
        <f>HYPERLINK("https://klasma.github.io/Logging_2029/tillsynsmail/A 13612-2026 tillsynsbegäran mail.docx", "A 13612-2026")</f>
        <v/>
      </c>
    </row>
    <row r="33" ht="15" customHeight="1">
      <c r="A33" t="inlineStr">
        <is>
          <t>A 41718-2021</t>
        </is>
      </c>
      <c r="B33" s="1" t="n">
        <v>44425</v>
      </c>
      <c r="C33" s="1" t="n">
        <v>46194</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62161-2024</t>
        </is>
      </c>
      <c r="B34" s="1" t="n">
        <v>45656</v>
      </c>
      <c r="C34" s="1" t="n">
        <v>46194</v>
      </c>
      <c r="D34" t="inlineStr">
        <is>
          <t>DALARNAS LÄN</t>
        </is>
      </c>
      <c r="E34" t="inlineStr">
        <is>
          <t>LEKSAND</t>
        </is>
      </c>
      <c r="G34" t="n">
        <v>2</v>
      </c>
      <c r="H34" t="n">
        <v>1</v>
      </c>
      <c r="I34" t="n">
        <v>2</v>
      </c>
      <c r="J34" t="n">
        <v>0</v>
      </c>
      <c r="K34" t="n">
        <v>0</v>
      </c>
      <c r="L34" t="n">
        <v>0</v>
      </c>
      <c r="M34" t="n">
        <v>0</v>
      </c>
      <c r="N34" t="n">
        <v>0</v>
      </c>
      <c r="O34" t="n">
        <v>0</v>
      </c>
      <c r="P34" t="n">
        <v>0</v>
      </c>
      <c r="Q34" t="n">
        <v>2</v>
      </c>
      <c r="R34" s="2" t="inlineStr">
        <is>
          <t>Kambräken
Korallrot</t>
        </is>
      </c>
      <c r="S34">
        <f>HYPERLINK("https://klasma.github.io/Logging_2029/artfynd/A 62161-2024 artfynd.xlsx", "A 62161-2024")</f>
        <v/>
      </c>
      <c r="T34">
        <f>HYPERLINK("https://klasma.github.io/Logging_2029/kartor/A 62161-2024 karta.png", "A 62161-2024")</f>
        <v/>
      </c>
      <c r="V34">
        <f>HYPERLINK("https://klasma.github.io/Logging_2029/klagomål/A 62161-2024 FSC-klagomål.docx", "A 62161-2024")</f>
        <v/>
      </c>
      <c r="W34">
        <f>HYPERLINK("https://klasma.github.io/Logging_2029/klagomålsmail/A 62161-2024 FSC-klagomål mail.docx", "A 62161-2024")</f>
        <v/>
      </c>
      <c r="X34">
        <f>HYPERLINK("https://klasma.github.io/Logging_2029/tillsyn/A 62161-2024 tillsynsbegäran.docx", "A 62161-2024")</f>
        <v/>
      </c>
      <c r="Y34">
        <f>HYPERLINK("https://klasma.github.io/Logging_2029/tillsynsmail/A 62161-2024 tillsynsbegäran mail.docx", "A 62161-2024")</f>
        <v/>
      </c>
    </row>
    <row r="35" ht="15" customHeight="1">
      <c r="A35" t="inlineStr">
        <is>
          <t>A 9408-2024</t>
        </is>
      </c>
      <c r="B35" s="1" t="n">
        <v>45358</v>
      </c>
      <c r="C35" s="1" t="n">
        <v>46194</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6778-2022</t>
        </is>
      </c>
      <c r="B36" s="1" t="n">
        <v>44602</v>
      </c>
      <c r="C36" s="1" t="n">
        <v>46194</v>
      </c>
      <c r="D36" t="inlineStr">
        <is>
          <t>DALARNAS LÄN</t>
        </is>
      </c>
      <c r="E36" t="inlineStr">
        <is>
          <t>LEKSAND</t>
        </is>
      </c>
      <c r="F36" t="inlineStr">
        <is>
          <t>Kyrkan</t>
        </is>
      </c>
      <c r="G36" t="n">
        <v>2</v>
      </c>
      <c r="H36" t="n">
        <v>2</v>
      </c>
      <c r="I36" t="n">
        <v>0</v>
      </c>
      <c r="J36" t="n">
        <v>1</v>
      </c>
      <c r="K36" t="n">
        <v>0</v>
      </c>
      <c r="L36" t="n">
        <v>0</v>
      </c>
      <c r="M36" t="n">
        <v>0</v>
      </c>
      <c r="N36" t="n">
        <v>0</v>
      </c>
      <c r="O36" t="n">
        <v>1</v>
      </c>
      <c r="P36" t="n">
        <v>0</v>
      </c>
      <c r="Q36" t="n">
        <v>2</v>
      </c>
      <c r="R36" s="2" t="inlineStr">
        <is>
          <t>Talltita
Orre</t>
        </is>
      </c>
      <c r="S36">
        <f>HYPERLINK("https://klasma.github.io/Logging_2029/artfynd/A 6778-2022 artfynd.xlsx", "A 6778-2022")</f>
        <v/>
      </c>
      <c r="T36">
        <f>HYPERLINK("https://klasma.github.io/Logging_2029/kartor/A 6778-2022 karta.png", "A 6778-2022")</f>
        <v/>
      </c>
      <c r="V36">
        <f>HYPERLINK("https://klasma.github.io/Logging_2029/klagomål/A 6778-2022 FSC-klagomål.docx", "A 6778-2022")</f>
        <v/>
      </c>
      <c r="W36">
        <f>HYPERLINK("https://klasma.github.io/Logging_2029/klagomålsmail/A 6778-2022 FSC-klagomål mail.docx", "A 6778-2022")</f>
        <v/>
      </c>
      <c r="X36">
        <f>HYPERLINK("https://klasma.github.io/Logging_2029/tillsyn/A 6778-2022 tillsynsbegäran.docx", "A 6778-2022")</f>
        <v/>
      </c>
      <c r="Y36">
        <f>HYPERLINK("https://klasma.github.io/Logging_2029/tillsynsmail/A 6778-2022 tillsynsbegäran mail.docx", "A 6778-2022")</f>
        <v/>
      </c>
      <c r="Z36">
        <f>HYPERLINK("https://klasma.github.io/Logging_2029/fåglar/A 6778-2022 prioriterade fågelarter.docx", "A 6778-2022")</f>
        <v/>
      </c>
    </row>
    <row r="37" ht="15" customHeight="1">
      <c r="A37" t="inlineStr">
        <is>
          <t>A 59826-2023</t>
        </is>
      </c>
      <c r="B37" s="1" t="n">
        <v>45254</v>
      </c>
      <c r="C37" s="1" t="n">
        <v>46194</v>
      </c>
      <c r="D37" t="inlineStr">
        <is>
          <t>DALARNAS LÄN</t>
        </is>
      </c>
      <c r="E37" t="inlineStr">
        <is>
          <t>LEKSAND</t>
        </is>
      </c>
      <c r="G37" t="n">
        <v>1.1</v>
      </c>
      <c r="H37" t="n">
        <v>0</v>
      </c>
      <c r="I37" t="n">
        <v>1</v>
      </c>
      <c r="J37" t="n">
        <v>1</v>
      </c>
      <c r="K37" t="n">
        <v>0</v>
      </c>
      <c r="L37" t="n">
        <v>0</v>
      </c>
      <c r="M37" t="n">
        <v>0</v>
      </c>
      <c r="N37" t="n">
        <v>0</v>
      </c>
      <c r="O37" t="n">
        <v>1</v>
      </c>
      <c r="P37" t="n">
        <v>0</v>
      </c>
      <c r="Q37" t="n">
        <v>2</v>
      </c>
      <c r="R37" s="2" t="inlineStr">
        <is>
          <t>Stiftgelélav
Skinnlav</t>
        </is>
      </c>
      <c r="S37">
        <f>HYPERLINK("https://klasma.github.io/Logging_2029/artfynd/A 59826-2023 artfynd.xlsx", "A 59826-2023")</f>
        <v/>
      </c>
      <c r="T37">
        <f>HYPERLINK("https://klasma.github.io/Logging_2029/kartor/A 59826-2023 karta.png", "A 59826-2023")</f>
        <v/>
      </c>
      <c r="V37">
        <f>HYPERLINK("https://klasma.github.io/Logging_2029/klagomål/A 59826-2023 FSC-klagomål.docx", "A 59826-2023")</f>
        <v/>
      </c>
      <c r="W37">
        <f>HYPERLINK("https://klasma.github.io/Logging_2029/klagomålsmail/A 59826-2023 FSC-klagomål mail.docx", "A 59826-2023")</f>
        <v/>
      </c>
      <c r="X37">
        <f>HYPERLINK("https://klasma.github.io/Logging_2029/tillsyn/A 59826-2023 tillsynsbegäran.docx", "A 59826-2023")</f>
        <v/>
      </c>
      <c r="Y37">
        <f>HYPERLINK("https://klasma.github.io/Logging_2029/tillsynsmail/A 59826-2023 tillsynsbegäran mail.docx", "A 59826-2023")</f>
        <v/>
      </c>
    </row>
    <row r="38" ht="15" customHeight="1">
      <c r="A38" t="inlineStr">
        <is>
          <t>A 41873-2022</t>
        </is>
      </c>
      <c r="B38" s="1" t="n">
        <v>44829</v>
      </c>
      <c r="C38" s="1" t="n">
        <v>46194</v>
      </c>
      <c r="D38" t="inlineStr">
        <is>
          <t>DALARNAS LÄN</t>
        </is>
      </c>
      <c r="E38" t="inlineStr">
        <is>
          <t>LEKSAND</t>
        </is>
      </c>
      <c r="G38" t="n">
        <v>2.1</v>
      </c>
      <c r="H38" t="n">
        <v>1</v>
      </c>
      <c r="I38" t="n">
        <v>1</v>
      </c>
      <c r="J38" t="n">
        <v>0</v>
      </c>
      <c r="K38" t="n">
        <v>0</v>
      </c>
      <c r="L38" t="n">
        <v>0</v>
      </c>
      <c r="M38" t="n">
        <v>0</v>
      </c>
      <c r="N38" t="n">
        <v>0</v>
      </c>
      <c r="O38" t="n">
        <v>0</v>
      </c>
      <c r="P38" t="n">
        <v>0</v>
      </c>
      <c r="Q38" t="n">
        <v>2</v>
      </c>
      <c r="R38" s="2" t="inlineStr">
        <is>
          <t>Underviol
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39546-2025</t>
        </is>
      </c>
      <c r="B39" s="1" t="n">
        <v>45890</v>
      </c>
      <c r="C39" s="1" t="n">
        <v>46194</v>
      </c>
      <c r="D39" t="inlineStr">
        <is>
          <t>DALARNAS LÄN</t>
        </is>
      </c>
      <c r="E39" t="inlineStr">
        <is>
          <t>LEKSAND</t>
        </is>
      </c>
      <c r="G39" t="n">
        <v>4.6</v>
      </c>
      <c r="H39" t="n">
        <v>0</v>
      </c>
      <c r="I39" t="n">
        <v>1</v>
      </c>
      <c r="J39" t="n">
        <v>0</v>
      </c>
      <c r="K39" t="n">
        <v>1</v>
      </c>
      <c r="L39" t="n">
        <v>0</v>
      </c>
      <c r="M39" t="n">
        <v>0</v>
      </c>
      <c r="N39" t="n">
        <v>0</v>
      </c>
      <c r="O39" t="n">
        <v>1</v>
      </c>
      <c r="P39" t="n">
        <v>1</v>
      </c>
      <c r="Q39" t="n">
        <v>2</v>
      </c>
      <c r="R39" s="2" t="inlineStr">
        <is>
          <t>Aspgelélav
Stuplav</t>
        </is>
      </c>
      <c r="S39">
        <f>HYPERLINK("https://klasma.github.io/Logging_2029/artfynd/A 39546-2025 artfynd.xlsx", "A 39546-2025")</f>
        <v/>
      </c>
      <c r="T39">
        <f>HYPERLINK("https://klasma.github.io/Logging_2029/kartor/A 39546-2025 karta.png", "A 39546-2025")</f>
        <v/>
      </c>
      <c r="V39">
        <f>HYPERLINK("https://klasma.github.io/Logging_2029/klagomål/A 39546-2025 FSC-klagomål.docx", "A 39546-2025")</f>
        <v/>
      </c>
      <c r="W39">
        <f>HYPERLINK("https://klasma.github.io/Logging_2029/klagomålsmail/A 39546-2025 FSC-klagomål mail.docx", "A 39546-2025")</f>
        <v/>
      </c>
      <c r="X39">
        <f>HYPERLINK("https://klasma.github.io/Logging_2029/tillsyn/A 39546-2025 tillsynsbegäran.docx", "A 39546-2025")</f>
        <v/>
      </c>
      <c r="Y39">
        <f>HYPERLINK("https://klasma.github.io/Logging_2029/tillsynsmail/A 39546-2025 tillsynsbegäran mail.docx", "A 39546-2025")</f>
        <v/>
      </c>
    </row>
    <row r="40" ht="15" customHeight="1">
      <c r="A40" t="inlineStr">
        <is>
          <t>A 63514-2023</t>
        </is>
      </c>
      <c r="B40" s="1" t="n">
        <v>45274</v>
      </c>
      <c r="C40" s="1" t="n">
        <v>46194</v>
      </c>
      <c r="D40" t="inlineStr">
        <is>
          <t>DALARNAS LÄN</t>
        </is>
      </c>
      <c r="E40" t="inlineStr">
        <is>
          <t>LEKSAND</t>
        </is>
      </c>
      <c r="G40" t="n">
        <v>1</v>
      </c>
      <c r="H40" t="n">
        <v>2</v>
      </c>
      <c r="I40" t="n">
        <v>0</v>
      </c>
      <c r="J40" t="n">
        <v>1</v>
      </c>
      <c r="K40" t="n">
        <v>0</v>
      </c>
      <c r="L40" t="n">
        <v>0</v>
      </c>
      <c r="M40" t="n">
        <v>0</v>
      </c>
      <c r="N40" t="n">
        <v>0</v>
      </c>
      <c r="O40" t="n">
        <v>1</v>
      </c>
      <c r="P40" t="n">
        <v>0</v>
      </c>
      <c r="Q40" t="n">
        <v>2</v>
      </c>
      <c r="R40" s="2" t="inlineStr">
        <is>
          <t>Grönsångare
Trana</t>
        </is>
      </c>
      <c r="S40">
        <f>HYPERLINK("https://klasma.github.io/Logging_2029/artfynd/A 63514-2023 artfynd.xlsx", "A 63514-2023")</f>
        <v/>
      </c>
      <c r="T40">
        <f>HYPERLINK("https://klasma.github.io/Logging_2029/kartor/A 63514-2023 karta.png", "A 63514-2023")</f>
        <v/>
      </c>
      <c r="V40">
        <f>HYPERLINK("https://klasma.github.io/Logging_2029/klagomål/A 63514-2023 FSC-klagomål.docx", "A 63514-2023")</f>
        <v/>
      </c>
      <c r="W40">
        <f>HYPERLINK("https://klasma.github.io/Logging_2029/klagomålsmail/A 63514-2023 FSC-klagomål mail.docx", "A 63514-2023")</f>
        <v/>
      </c>
      <c r="X40">
        <f>HYPERLINK("https://klasma.github.io/Logging_2029/tillsyn/A 63514-2023 tillsynsbegäran.docx", "A 63514-2023")</f>
        <v/>
      </c>
      <c r="Y40">
        <f>HYPERLINK("https://klasma.github.io/Logging_2029/tillsynsmail/A 63514-2023 tillsynsbegäran mail.docx", "A 63514-2023")</f>
        <v/>
      </c>
      <c r="Z40">
        <f>HYPERLINK("https://klasma.github.io/Logging_2029/fåglar/A 63514-2023 prioriterade fågelarter.docx", "A 63514-2023")</f>
        <v/>
      </c>
    </row>
    <row r="41" ht="15" customHeight="1">
      <c r="A41" t="inlineStr">
        <is>
          <t>A 16333-2023</t>
        </is>
      </c>
      <c r="B41" s="1" t="n">
        <v>45028</v>
      </c>
      <c r="C41" s="1" t="n">
        <v>46194</v>
      </c>
      <c r="D41" t="inlineStr">
        <is>
          <t>DALARNAS LÄN</t>
        </is>
      </c>
      <c r="E41" t="inlineStr">
        <is>
          <t>LEKSAND</t>
        </is>
      </c>
      <c r="G41" t="n">
        <v>1.5</v>
      </c>
      <c r="H41" t="n">
        <v>1</v>
      </c>
      <c r="I41" t="n">
        <v>1</v>
      </c>
      <c r="J41" t="n">
        <v>0</v>
      </c>
      <c r="K41" t="n">
        <v>0</v>
      </c>
      <c r="L41" t="n">
        <v>0</v>
      </c>
      <c r="M41" t="n">
        <v>0</v>
      </c>
      <c r="N41" t="n">
        <v>0</v>
      </c>
      <c r="O41" t="n">
        <v>0</v>
      </c>
      <c r="P41" t="n">
        <v>0</v>
      </c>
      <c r="Q41" t="n">
        <v>2</v>
      </c>
      <c r="R41" s="2" t="inlineStr">
        <is>
          <t>Läderskål
Nattviol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27183-2025</t>
        </is>
      </c>
      <c r="B42" s="1" t="n">
        <v>45812</v>
      </c>
      <c r="C42" s="1" t="n">
        <v>46194</v>
      </c>
      <c r="D42" t="inlineStr">
        <is>
          <t>DALARNAS LÄN</t>
        </is>
      </c>
      <c r="E42" t="inlineStr">
        <is>
          <t>LEKSAND</t>
        </is>
      </c>
      <c r="G42" t="n">
        <v>1</v>
      </c>
      <c r="H42" t="n">
        <v>2</v>
      </c>
      <c r="I42" t="n">
        <v>0</v>
      </c>
      <c r="J42" t="n">
        <v>0</v>
      </c>
      <c r="K42" t="n">
        <v>2</v>
      </c>
      <c r="L42" t="n">
        <v>0</v>
      </c>
      <c r="M42" t="n">
        <v>0</v>
      </c>
      <c r="N42" t="n">
        <v>0</v>
      </c>
      <c r="O42" t="n">
        <v>2</v>
      </c>
      <c r="P42" t="n">
        <v>2</v>
      </c>
      <c r="Q42" t="n">
        <v>2</v>
      </c>
      <c r="R42" s="2" t="inlineStr">
        <is>
          <t>Brun gräsfjäril
Väddnätfjäril</t>
        </is>
      </c>
      <c r="S42">
        <f>HYPERLINK("https://klasma.github.io/Logging_2029/artfynd/A 27183-2025 artfynd.xlsx", "A 27183-2025")</f>
        <v/>
      </c>
      <c r="T42">
        <f>HYPERLINK("https://klasma.github.io/Logging_2029/kartor/A 27183-2025 karta.png", "A 27183-2025")</f>
        <v/>
      </c>
      <c r="V42">
        <f>HYPERLINK("https://klasma.github.io/Logging_2029/klagomål/A 27183-2025 FSC-klagomål.docx", "A 27183-2025")</f>
        <v/>
      </c>
      <c r="W42">
        <f>HYPERLINK("https://klasma.github.io/Logging_2029/klagomålsmail/A 27183-2025 FSC-klagomål mail.docx", "A 27183-2025")</f>
        <v/>
      </c>
      <c r="X42">
        <f>HYPERLINK("https://klasma.github.io/Logging_2029/tillsyn/A 27183-2025 tillsynsbegäran.docx", "A 27183-2025")</f>
        <v/>
      </c>
      <c r="Y42">
        <f>HYPERLINK("https://klasma.github.io/Logging_2029/tillsynsmail/A 27183-2025 tillsynsbegäran mail.docx", "A 27183-2025")</f>
        <v/>
      </c>
    </row>
    <row r="43" ht="15" customHeight="1">
      <c r="A43" t="inlineStr">
        <is>
          <t>A 58495-2023</t>
        </is>
      </c>
      <c r="B43" s="1" t="n">
        <v>45251</v>
      </c>
      <c r="C43" s="1" t="n">
        <v>46194</v>
      </c>
      <c r="D43" t="inlineStr">
        <is>
          <t>DALARNAS LÄN</t>
        </is>
      </c>
      <c r="E43" t="inlineStr">
        <is>
          <t>LEKSAND</t>
        </is>
      </c>
      <c r="G43" t="n">
        <v>1.7</v>
      </c>
      <c r="H43" t="n">
        <v>0</v>
      </c>
      <c r="I43" t="n">
        <v>2</v>
      </c>
      <c r="J43" t="n">
        <v>0</v>
      </c>
      <c r="K43" t="n">
        <v>0</v>
      </c>
      <c r="L43" t="n">
        <v>0</v>
      </c>
      <c r="M43" t="n">
        <v>0</v>
      </c>
      <c r="N43" t="n">
        <v>0</v>
      </c>
      <c r="O43" t="n">
        <v>0</v>
      </c>
      <c r="P43" t="n">
        <v>0</v>
      </c>
      <c r="Q43" t="n">
        <v>2</v>
      </c>
      <c r="R43" s="2" t="inlineStr">
        <is>
          <t>Brun nållav
Sotlav</t>
        </is>
      </c>
      <c r="S43">
        <f>HYPERLINK("https://klasma.github.io/Logging_2029/artfynd/A 58495-2023 artfynd.xlsx", "A 58495-2023")</f>
        <v/>
      </c>
      <c r="T43">
        <f>HYPERLINK("https://klasma.github.io/Logging_2029/kartor/A 58495-2023 karta.png", "A 58495-2023")</f>
        <v/>
      </c>
      <c r="V43">
        <f>HYPERLINK("https://klasma.github.io/Logging_2029/klagomål/A 58495-2023 FSC-klagomål.docx", "A 58495-2023")</f>
        <v/>
      </c>
      <c r="W43">
        <f>HYPERLINK("https://klasma.github.io/Logging_2029/klagomålsmail/A 58495-2023 FSC-klagomål mail.docx", "A 58495-2023")</f>
        <v/>
      </c>
      <c r="X43">
        <f>HYPERLINK("https://klasma.github.io/Logging_2029/tillsyn/A 58495-2023 tillsynsbegäran.docx", "A 58495-2023")</f>
        <v/>
      </c>
      <c r="Y43">
        <f>HYPERLINK("https://klasma.github.io/Logging_2029/tillsynsmail/A 58495-2023 tillsynsbegäran mail.docx", "A 58495-2023")</f>
        <v/>
      </c>
    </row>
    <row r="44" ht="15" customHeight="1">
      <c r="A44" t="inlineStr">
        <is>
          <t>A 34996-2025</t>
        </is>
      </c>
      <c r="B44" s="1" t="n">
        <v>45849</v>
      </c>
      <c r="C44" s="1" t="n">
        <v>46194</v>
      </c>
      <c r="D44" t="inlineStr">
        <is>
          <t>DALARNAS LÄN</t>
        </is>
      </c>
      <c r="E44" t="inlineStr">
        <is>
          <t>LEKSAND</t>
        </is>
      </c>
      <c r="G44" t="n">
        <v>1.1</v>
      </c>
      <c r="H44" t="n">
        <v>0</v>
      </c>
      <c r="I44" t="n">
        <v>0</v>
      </c>
      <c r="J44" t="n">
        <v>1</v>
      </c>
      <c r="K44" t="n">
        <v>1</v>
      </c>
      <c r="L44" t="n">
        <v>0</v>
      </c>
      <c r="M44" t="n">
        <v>0</v>
      </c>
      <c r="N44" t="n">
        <v>0</v>
      </c>
      <c r="O44" t="n">
        <v>2</v>
      </c>
      <c r="P44" t="n">
        <v>1</v>
      </c>
      <c r="Q44" t="n">
        <v>2</v>
      </c>
      <c r="R44" s="2" t="inlineStr">
        <is>
          <t>Garnlav
Dvärgbägarlav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368-2026</t>
        </is>
      </c>
      <c r="B45" s="1" t="n">
        <v>46027</v>
      </c>
      <c r="C45" s="1" t="n">
        <v>46194</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59205-2023</t>
        </is>
      </c>
      <c r="B46" s="1" t="n">
        <v>45251</v>
      </c>
      <c r="C46" s="1" t="n">
        <v>46194</v>
      </c>
      <c r="D46" t="inlineStr">
        <is>
          <t>DALARNAS LÄN</t>
        </is>
      </c>
      <c r="E46" t="inlineStr">
        <is>
          <t>LEKSAND</t>
        </is>
      </c>
      <c r="G46" t="n">
        <v>1.9</v>
      </c>
      <c r="H46" t="n">
        <v>2</v>
      </c>
      <c r="I46" t="n">
        <v>0</v>
      </c>
      <c r="J46" t="n">
        <v>0</v>
      </c>
      <c r="K46" t="n">
        <v>1</v>
      </c>
      <c r="L46" t="n">
        <v>0</v>
      </c>
      <c r="M46" t="n">
        <v>0</v>
      </c>
      <c r="N46" t="n">
        <v>0</v>
      </c>
      <c r="O46" t="n">
        <v>1</v>
      </c>
      <c r="P46" t="n">
        <v>1</v>
      </c>
      <c r="Q46" t="n">
        <v>2</v>
      </c>
      <c r="R46" s="2" t="inlineStr">
        <is>
          <t>Knärot
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70451-2021</t>
        </is>
      </c>
      <c r="B47" s="1" t="n">
        <v>44536</v>
      </c>
      <c r="C47" s="1" t="n">
        <v>46194</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46194</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46194</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46194</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46194</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13401-2023</t>
        </is>
      </c>
      <c r="B52" s="1" t="n">
        <v>45005</v>
      </c>
      <c r="C52" s="1" t="n">
        <v>46194</v>
      </c>
      <c r="D52" t="inlineStr">
        <is>
          <t>DALARNAS LÄN</t>
        </is>
      </c>
      <c r="E52" t="inlineStr">
        <is>
          <t>LEKSAND</t>
        </is>
      </c>
      <c r="G52" t="n">
        <v>0.7</v>
      </c>
      <c r="H52" t="n">
        <v>1</v>
      </c>
      <c r="I52" t="n">
        <v>0</v>
      </c>
      <c r="J52" t="n">
        <v>0</v>
      </c>
      <c r="K52" t="n">
        <v>0</v>
      </c>
      <c r="L52" t="n">
        <v>0</v>
      </c>
      <c r="M52" t="n">
        <v>0</v>
      </c>
      <c r="N52" t="n">
        <v>0</v>
      </c>
      <c r="O52" t="n">
        <v>0</v>
      </c>
      <c r="P52" t="n">
        <v>0</v>
      </c>
      <c r="Q52" t="n">
        <v>1</v>
      </c>
      <c r="R52" s="2" t="inlineStr">
        <is>
          <t>Orre</t>
        </is>
      </c>
      <c r="S52">
        <f>HYPERLINK("https://klasma.github.io/Logging_2029/artfynd/A 13401-2023 artfynd.xlsx", "A 13401-2023")</f>
        <v/>
      </c>
      <c r="T52">
        <f>HYPERLINK("https://klasma.github.io/Logging_2029/kartor/A 13401-2023 karta.png", "A 13401-2023")</f>
        <v/>
      </c>
      <c r="V52">
        <f>HYPERLINK("https://klasma.github.io/Logging_2029/klagomål/A 13401-2023 FSC-klagomål.docx", "A 13401-2023")</f>
        <v/>
      </c>
      <c r="W52">
        <f>HYPERLINK("https://klasma.github.io/Logging_2029/klagomålsmail/A 13401-2023 FSC-klagomål mail.docx", "A 13401-2023")</f>
        <v/>
      </c>
      <c r="X52">
        <f>HYPERLINK("https://klasma.github.io/Logging_2029/tillsyn/A 13401-2023 tillsynsbegäran.docx", "A 13401-2023")</f>
        <v/>
      </c>
      <c r="Y52">
        <f>HYPERLINK("https://klasma.github.io/Logging_2029/tillsynsmail/A 13401-2023 tillsynsbegäran mail.docx", "A 13401-2023")</f>
        <v/>
      </c>
      <c r="Z52">
        <f>HYPERLINK("https://klasma.github.io/Logging_2029/fåglar/A 13401-2023 prioriterade fågelarter.docx", "A 13401-2023")</f>
        <v/>
      </c>
    </row>
    <row r="53" ht="15" customHeight="1">
      <c r="A53" t="inlineStr">
        <is>
          <t>A 30175-2023</t>
        </is>
      </c>
      <c r="B53" s="1" t="n">
        <v>45110</v>
      </c>
      <c r="C53" s="1" t="n">
        <v>46194</v>
      </c>
      <c r="D53" t="inlineStr">
        <is>
          <t>DALARNAS LÄN</t>
        </is>
      </c>
      <c r="E53" t="inlineStr">
        <is>
          <t>LEKSAND</t>
        </is>
      </c>
      <c r="G53" t="n">
        <v>0.5</v>
      </c>
      <c r="H53" t="n">
        <v>1</v>
      </c>
      <c r="I53" t="n">
        <v>1</v>
      </c>
      <c r="J53" t="n">
        <v>0</v>
      </c>
      <c r="K53" t="n">
        <v>0</v>
      </c>
      <c r="L53" t="n">
        <v>0</v>
      </c>
      <c r="M53" t="n">
        <v>0</v>
      </c>
      <c r="N53" t="n">
        <v>0</v>
      </c>
      <c r="O53" t="n">
        <v>0</v>
      </c>
      <c r="P53" t="n">
        <v>0</v>
      </c>
      <c r="Q53" t="n">
        <v>1</v>
      </c>
      <c r="R53" s="2" t="inlineStr">
        <is>
          <t>Guckusko</t>
        </is>
      </c>
      <c r="S53">
        <f>HYPERLINK("https://klasma.github.io/Logging_2029/artfynd/A 30175-2023 artfynd.xlsx", "A 30175-2023")</f>
        <v/>
      </c>
      <c r="T53">
        <f>HYPERLINK("https://klasma.github.io/Logging_2029/kartor/A 30175-2023 karta.png", "A 30175-2023")</f>
        <v/>
      </c>
      <c r="V53">
        <f>HYPERLINK("https://klasma.github.io/Logging_2029/klagomål/A 30175-2023 FSC-klagomål.docx", "A 30175-2023")</f>
        <v/>
      </c>
      <c r="W53">
        <f>HYPERLINK("https://klasma.github.io/Logging_2029/klagomålsmail/A 30175-2023 FSC-klagomål mail.docx", "A 30175-2023")</f>
        <v/>
      </c>
      <c r="X53">
        <f>HYPERLINK("https://klasma.github.io/Logging_2029/tillsyn/A 30175-2023 tillsynsbegäran.docx", "A 30175-2023")</f>
        <v/>
      </c>
      <c r="Y53">
        <f>HYPERLINK("https://klasma.github.io/Logging_2029/tillsynsmail/A 30175-2023 tillsynsbegäran mail.docx", "A 30175-2023")</f>
        <v/>
      </c>
    </row>
    <row r="54" ht="15" customHeight="1">
      <c r="A54" t="inlineStr">
        <is>
          <t>A 15120-2023</t>
        </is>
      </c>
      <c r="B54" s="1" t="n">
        <v>45016</v>
      </c>
      <c r="C54" s="1" t="n">
        <v>46194</v>
      </c>
      <c r="D54" t="inlineStr">
        <is>
          <t>DALARNAS LÄN</t>
        </is>
      </c>
      <c r="E54" t="inlineStr">
        <is>
          <t>LEKSAND</t>
        </is>
      </c>
      <c r="G54" t="n">
        <v>2.7</v>
      </c>
      <c r="H54" t="n">
        <v>1</v>
      </c>
      <c r="I54" t="n">
        <v>0</v>
      </c>
      <c r="J54" t="n">
        <v>0</v>
      </c>
      <c r="K54" t="n">
        <v>0</v>
      </c>
      <c r="L54" t="n">
        <v>0</v>
      </c>
      <c r="M54" t="n">
        <v>0</v>
      </c>
      <c r="N54" t="n">
        <v>0</v>
      </c>
      <c r="O54" t="n">
        <v>0</v>
      </c>
      <c r="P54" t="n">
        <v>0</v>
      </c>
      <c r="Q54" t="n">
        <v>1</v>
      </c>
      <c r="R54" s="2" t="inlineStr">
        <is>
          <t>Kungsfågel</t>
        </is>
      </c>
      <c r="S54">
        <f>HYPERLINK("https://klasma.github.io/Logging_2029/artfynd/A 15120-2023 artfynd.xlsx", "A 15120-2023")</f>
        <v/>
      </c>
      <c r="T54">
        <f>HYPERLINK("https://klasma.github.io/Logging_2029/kartor/A 15120-2023 karta.png", "A 15120-2023")</f>
        <v/>
      </c>
      <c r="V54">
        <f>HYPERLINK("https://klasma.github.io/Logging_2029/klagomål/A 15120-2023 FSC-klagomål.docx", "A 15120-2023")</f>
        <v/>
      </c>
      <c r="W54">
        <f>HYPERLINK("https://klasma.github.io/Logging_2029/klagomålsmail/A 15120-2023 FSC-klagomål mail.docx", "A 15120-2023")</f>
        <v/>
      </c>
      <c r="X54">
        <f>HYPERLINK("https://klasma.github.io/Logging_2029/tillsyn/A 15120-2023 tillsynsbegäran.docx", "A 15120-2023")</f>
        <v/>
      </c>
      <c r="Y54">
        <f>HYPERLINK("https://klasma.github.io/Logging_2029/tillsynsmail/A 15120-2023 tillsynsbegäran mail.docx", "A 15120-2023")</f>
        <v/>
      </c>
      <c r="Z54">
        <f>HYPERLINK("https://klasma.github.io/Logging_2029/fåglar/A 15120-2023 prioriterade fågelarter.docx", "A 15120-2023")</f>
        <v/>
      </c>
    </row>
    <row r="55" ht="15" customHeight="1">
      <c r="A55" t="inlineStr">
        <is>
          <t>A 7928-2023</t>
        </is>
      </c>
      <c r="B55" s="1" t="n">
        <v>44973</v>
      </c>
      <c r="C55" s="1" t="n">
        <v>46194</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7928-2023 artfynd.xlsx", "A 7928-2023")</f>
        <v/>
      </c>
      <c r="T55">
        <f>HYPERLINK("https://klasma.github.io/Logging_2029/kartor/A 7928-2023 karta.png", "A 7928-2023")</f>
        <v/>
      </c>
      <c r="V55">
        <f>HYPERLINK("https://klasma.github.io/Logging_2029/klagomål/A 7928-2023 FSC-klagomål.docx", "A 7928-2023")</f>
        <v/>
      </c>
      <c r="W55">
        <f>HYPERLINK("https://klasma.github.io/Logging_2029/klagomålsmail/A 7928-2023 FSC-klagomål mail.docx", "A 7928-2023")</f>
        <v/>
      </c>
      <c r="X55">
        <f>HYPERLINK("https://klasma.github.io/Logging_2029/tillsyn/A 7928-2023 tillsynsbegäran.docx", "A 7928-2023")</f>
        <v/>
      </c>
      <c r="Y55">
        <f>HYPERLINK("https://klasma.github.io/Logging_2029/tillsynsmail/A 7928-2023 tillsynsbegäran mail.docx", "A 7928-2023")</f>
        <v/>
      </c>
    </row>
    <row r="56" ht="15" customHeight="1">
      <c r="A56" t="inlineStr">
        <is>
          <t>A 53633-2024</t>
        </is>
      </c>
      <c r="B56" s="1" t="n">
        <v>45614</v>
      </c>
      <c r="C56" s="1" t="n">
        <v>46194</v>
      </c>
      <c r="D56" t="inlineStr">
        <is>
          <t>DALARNAS LÄN</t>
        </is>
      </c>
      <c r="E56" t="inlineStr">
        <is>
          <t>LEKSAND</t>
        </is>
      </c>
      <c r="G56" t="n">
        <v>1.6</v>
      </c>
      <c r="H56" t="n">
        <v>1</v>
      </c>
      <c r="I56" t="n">
        <v>0</v>
      </c>
      <c r="J56" t="n">
        <v>1</v>
      </c>
      <c r="K56" t="n">
        <v>0</v>
      </c>
      <c r="L56" t="n">
        <v>0</v>
      </c>
      <c r="M56" t="n">
        <v>0</v>
      </c>
      <c r="N56" t="n">
        <v>0</v>
      </c>
      <c r="O56" t="n">
        <v>1</v>
      </c>
      <c r="P56" t="n">
        <v>0</v>
      </c>
      <c r="Q56" t="n">
        <v>1</v>
      </c>
      <c r="R56" s="2" t="inlineStr">
        <is>
          <t>Tretåig hackspett</t>
        </is>
      </c>
      <c r="S56">
        <f>HYPERLINK("https://klasma.github.io/Logging_2029/artfynd/A 53633-2024 artfynd.xlsx", "A 53633-2024")</f>
        <v/>
      </c>
      <c r="T56">
        <f>HYPERLINK("https://klasma.github.io/Logging_2029/kartor/A 53633-2024 karta.png", "A 53633-2024")</f>
        <v/>
      </c>
      <c r="V56">
        <f>HYPERLINK("https://klasma.github.io/Logging_2029/klagomål/A 53633-2024 FSC-klagomål.docx", "A 53633-2024")</f>
        <v/>
      </c>
      <c r="W56">
        <f>HYPERLINK("https://klasma.github.io/Logging_2029/klagomålsmail/A 53633-2024 FSC-klagomål mail.docx", "A 53633-2024")</f>
        <v/>
      </c>
      <c r="X56">
        <f>HYPERLINK("https://klasma.github.io/Logging_2029/tillsyn/A 53633-2024 tillsynsbegäran.docx", "A 53633-2024")</f>
        <v/>
      </c>
      <c r="Y56">
        <f>HYPERLINK("https://klasma.github.io/Logging_2029/tillsynsmail/A 53633-2024 tillsynsbegäran mail.docx", "A 53633-2024")</f>
        <v/>
      </c>
      <c r="Z56">
        <f>HYPERLINK("https://klasma.github.io/Logging_2029/fåglar/A 53633-2024 prioriterade fågelarter.docx", "A 53633-2024")</f>
        <v/>
      </c>
    </row>
    <row r="57" ht="15" customHeight="1">
      <c r="A57" t="inlineStr">
        <is>
          <t>A 5582-2024</t>
        </is>
      </c>
      <c r="B57" s="1" t="n">
        <v>45334</v>
      </c>
      <c r="C57" s="1" t="n">
        <v>46194</v>
      </c>
      <c r="D57" t="inlineStr">
        <is>
          <t>DALARNAS LÄN</t>
        </is>
      </c>
      <c r="E57" t="inlineStr">
        <is>
          <t>LEKSAND</t>
        </is>
      </c>
      <c r="G57" t="n">
        <v>0.5</v>
      </c>
      <c r="H57" t="n">
        <v>0</v>
      </c>
      <c r="I57" t="n">
        <v>0</v>
      </c>
      <c r="J57" t="n">
        <v>1</v>
      </c>
      <c r="K57" t="n">
        <v>0</v>
      </c>
      <c r="L57" t="n">
        <v>0</v>
      </c>
      <c r="M57" t="n">
        <v>0</v>
      </c>
      <c r="N57" t="n">
        <v>0</v>
      </c>
      <c r="O57" t="n">
        <v>1</v>
      </c>
      <c r="P57" t="n">
        <v>0</v>
      </c>
      <c r="Q57" t="n">
        <v>1</v>
      </c>
      <c r="R57" s="2" t="inlineStr">
        <is>
          <t>Scharlakansvaxing</t>
        </is>
      </c>
      <c r="S57">
        <f>HYPERLINK("https://klasma.github.io/Logging_2029/artfynd/A 5582-2024 artfynd.xlsx", "A 5582-2024")</f>
        <v/>
      </c>
      <c r="T57">
        <f>HYPERLINK("https://klasma.github.io/Logging_2029/kartor/A 5582-2024 karta.png", "A 5582-2024")</f>
        <v/>
      </c>
      <c r="V57">
        <f>HYPERLINK("https://klasma.github.io/Logging_2029/klagomål/A 5582-2024 FSC-klagomål.docx", "A 5582-2024")</f>
        <v/>
      </c>
      <c r="W57">
        <f>HYPERLINK("https://klasma.github.io/Logging_2029/klagomålsmail/A 5582-2024 FSC-klagomål mail.docx", "A 5582-2024")</f>
        <v/>
      </c>
      <c r="X57">
        <f>HYPERLINK("https://klasma.github.io/Logging_2029/tillsyn/A 5582-2024 tillsynsbegäran.docx", "A 5582-2024")</f>
        <v/>
      </c>
      <c r="Y57">
        <f>HYPERLINK("https://klasma.github.io/Logging_2029/tillsynsmail/A 5582-2024 tillsynsbegäran mail.docx", "A 5582-2024")</f>
        <v/>
      </c>
    </row>
    <row r="58" ht="15" customHeight="1">
      <c r="A58" t="inlineStr">
        <is>
          <t>A 4974-2025</t>
        </is>
      </c>
      <c r="B58" s="1" t="n">
        <v>45690</v>
      </c>
      <c r="C58" s="1" t="n">
        <v>46194</v>
      </c>
      <c r="D58" t="inlineStr">
        <is>
          <t>DALARNAS LÄN</t>
        </is>
      </c>
      <c r="E58" t="inlineStr">
        <is>
          <t>LEKSAND</t>
        </is>
      </c>
      <c r="G58" t="n">
        <v>0.9</v>
      </c>
      <c r="H58" t="n">
        <v>1</v>
      </c>
      <c r="I58" t="n">
        <v>0</v>
      </c>
      <c r="J58" t="n">
        <v>0</v>
      </c>
      <c r="K58" t="n">
        <v>0</v>
      </c>
      <c r="L58" t="n">
        <v>0</v>
      </c>
      <c r="M58" t="n">
        <v>0</v>
      </c>
      <c r="N58" t="n">
        <v>0</v>
      </c>
      <c r="O58" t="n">
        <v>0</v>
      </c>
      <c r="P58" t="n">
        <v>0</v>
      </c>
      <c r="Q58" t="n">
        <v>1</v>
      </c>
      <c r="R58" s="2" t="inlineStr">
        <is>
          <t>Spillkråka</t>
        </is>
      </c>
      <c r="S58">
        <f>HYPERLINK("https://klasma.github.io/Logging_2029/artfynd/A 4974-2025 artfynd.xlsx", "A 4974-2025")</f>
        <v/>
      </c>
      <c r="T58">
        <f>HYPERLINK("https://klasma.github.io/Logging_2029/kartor/A 4974-2025 karta.png", "A 4974-2025")</f>
        <v/>
      </c>
      <c r="V58">
        <f>HYPERLINK("https://klasma.github.io/Logging_2029/klagomål/A 4974-2025 FSC-klagomål.docx", "A 4974-2025")</f>
        <v/>
      </c>
      <c r="W58">
        <f>HYPERLINK("https://klasma.github.io/Logging_2029/klagomålsmail/A 4974-2025 FSC-klagomål mail.docx", "A 4974-2025")</f>
        <v/>
      </c>
      <c r="X58">
        <f>HYPERLINK("https://klasma.github.io/Logging_2029/tillsyn/A 4974-2025 tillsynsbegäran.docx", "A 4974-2025")</f>
        <v/>
      </c>
      <c r="Y58">
        <f>HYPERLINK("https://klasma.github.io/Logging_2029/tillsynsmail/A 4974-2025 tillsynsbegäran mail.docx", "A 4974-2025")</f>
        <v/>
      </c>
      <c r="Z58">
        <f>HYPERLINK("https://klasma.github.io/Logging_2029/fåglar/A 4974-2025 prioriterade fågelarter.docx", "A 4974-2025")</f>
        <v/>
      </c>
    </row>
    <row r="59" ht="15" customHeight="1">
      <c r="A59" t="inlineStr">
        <is>
          <t>A 26287-2023</t>
        </is>
      </c>
      <c r="B59" s="1" t="n">
        <v>45091</v>
      </c>
      <c r="C59" s="1" t="n">
        <v>46194</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31124-2024</t>
        </is>
      </c>
      <c r="B60" s="1" t="n">
        <v>45502</v>
      </c>
      <c r="C60" s="1" t="n">
        <v>46194</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60042-2023</t>
        </is>
      </c>
      <c r="B61" s="1" t="n">
        <v>45256</v>
      </c>
      <c r="C61" s="1" t="n">
        <v>46194</v>
      </c>
      <c r="D61" t="inlineStr">
        <is>
          <t>DALARNAS LÄN</t>
        </is>
      </c>
      <c r="E61" t="inlineStr">
        <is>
          <t>LEKSAND</t>
        </is>
      </c>
      <c r="G61" t="n">
        <v>2</v>
      </c>
      <c r="H61" t="n">
        <v>1</v>
      </c>
      <c r="I61" t="n">
        <v>0</v>
      </c>
      <c r="J61" t="n">
        <v>0</v>
      </c>
      <c r="K61" t="n">
        <v>1</v>
      </c>
      <c r="L61" t="n">
        <v>0</v>
      </c>
      <c r="M61" t="n">
        <v>0</v>
      </c>
      <c r="N61" t="n">
        <v>0</v>
      </c>
      <c r="O61" t="n">
        <v>1</v>
      </c>
      <c r="P61" t="n">
        <v>1</v>
      </c>
      <c r="Q61" t="n">
        <v>1</v>
      </c>
      <c r="R61" s="2" t="inlineStr">
        <is>
          <t>Brun gräsfjäril</t>
        </is>
      </c>
      <c r="S61">
        <f>HYPERLINK("https://klasma.github.io/Logging_2029/artfynd/A 60042-2023 artfynd.xlsx", "A 60042-2023")</f>
        <v/>
      </c>
      <c r="T61">
        <f>HYPERLINK("https://klasma.github.io/Logging_2029/kartor/A 60042-2023 karta.png", "A 60042-2023")</f>
        <v/>
      </c>
      <c r="V61">
        <f>HYPERLINK("https://klasma.github.io/Logging_2029/klagomål/A 60042-2023 FSC-klagomål.docx", "A 60042-2023")</f>
        <v/>
      </c>
      <c r="W61">
        <f>HYPERLINK("https://klasma.github.io/Logging_2029/klagomålsmail/A 60042-2023 FSC-klagomål mail.docx", "A 60042-2023")</f>
        <v/>
      </c>
      <c r="X61">
        <f>HYPERLINK("https://klasma.github.io/Logging_2029/tillsyn/A 60042-2023 tillsynsbegäran.docx", "A 60042-2023")</f>
        <v/>
      </c>
      <c r="Y61">
        <f>HYPERLINK("https://klasma.github.io/Logging_2029/tillsynsmail/A 60042-2023 tillsynsbegäran mail.docx", "A 60042-2023")</f>
        <v/>
      </c>
    </row>
    <row r="62" ht="15" customHeight="1">
      <c r="A62" t="inlineStr">
        <is>
          <t>A 23855-2025</t>
        </is>
      </c>
      <c r="B62" s="1" t="n">
        <v>45793</v>
      </c>
      <c r="C62" s="1" t="n">
        <v>46194</v>
      </c>
      <c r="D62" t="inlineStr">
        <is>
          <t>DALARNAS LÄN</t>
        </is>
      </c>
      <c r="E62" t="inlineStr">
        <is>
          <t>LEKSAND</t>
        </is>
      </c>
      <c r="G62" t="n">
        <v>0.6</v>
      </c>
      <c r="H62" t="n">
        <v>1</v>
      </c>
      <c r="I62" t="n">
        <v>0</v>
      </c>
      <c r="J62" t="n">
        <v>0</v>
      </c>
      <c r="K62" t="n">
        <v>0</v>
      </c>
      <c r="L62" t="n">
        <v>0</v>
      </c>
      <c r="M62" t="n">
        <v>0</v>
      </c>
      <c r="N62" t="n">
        <v>0</v>
      </c>
      <c r="O62" t="n">
        <v>0</v>
      </c>
      <c r="P62" t="n">
        <v>0</v>
      </c>
      <c r="Q62" t="n">
        <v>1</v>
      </c>
      <c r="R62" s="2" t="inlineStr">
        <is>
          <t>Blåsippa</t>
        </is>
      </c>
      <c r="S62">
        <f>HYPERLINK("https://klasma.github.io/Logging_2029/artfynd/A 23855-2025 artfynd.xlsx", "A 23855-2025")</f>
        <v/>
      </c>
      <c r="T62">
        <f>HYPERLINK("https://klasma.github.io/Logging_2029/kartor/A 23855-2025 karta.png", "A 23855-2025")</f>
        <v/>
      </c>
      <c r="V62">
        <f>HYPERLINK("https://klasma.github.io/Logging_2029/klagomål/A 23855-2025 FSC-klagomål.docx", "A 23855-2025")</f>
        <v/>
      </c>
      <c r="W62">
        <f>HYPERLINK("https://klasma.github.io/Logging_2029/klagomålsmail/A 23855-2025 FSC-klagomål mail.docx", "A 23855-2025")</f>
        <v/>
      </c>
      <c r="X62">
        <f>HYPERLINK("https://klasma.github.io/Logging_2029/tillsyn/A 23855-2025 tillsynsbegäran.docx", "A 23855-2025")</f>
        <v/>
      </c>
      <c r="Y62">
        <f>HYPERLINK("https://klasma.github.io/Logging_2029/tillsynsmail/A 23855-2025 tillsynsbegäran mail.docx", "A 23855-2025")</f>
        <v/>
      </c>
    </row>
    <row r="63" ht="15" customHeight="1">
      <c r="A63" t="inlineStr">
        <is>
          <t>A 16815-2025</t>
        </is>
      </c>
      <c r="B63" s="1" t="n">
        <v>45754</v>
      </c>
      <c r="C63" s="1" t="n">
        <v>46194</v>
      </c>
      <c r="D63" t="inlineStr">
        <is>
          <t>DALARNAS LÄN</t>
        </is>
      </c>
      <c r="E63" t="inlineStr">
        <is>
          <t>LEKSAND</t>
        </is>
      </c>
      <c r="G63" t="n">
        <v>2.8</v>
      </c>
      <c r="H63" t="n">
        <v>0</v>
      </c>
      <c r="I63" t="n">
        <v>1</v>
      </c>
      <c r="J63" t="n">
        <v>0</v>
      </c>
      <c r="K63" t="n">
        <v>0</v>
      </c>
      <c r="L63" t="n">
        <v>0</v>
      </c>
      <c r="M63" t="n">
        <v>0</v>
      </c>
      <c r="N63" t="n">
        <v>0</v>
      </c>
      <c r="O63" t="n">
        <v>0</v>
      </c>
      <c r="P63" t="n">
        <v>0</v>
      </c>
      <c r="Q63" t="n">
        <v>1</v>
      </c>
      <c r="R63" s="2" t="inlineStr">
        <is>
          <t>Svavelriska</t>
        </is>
      </c>
      <c r="S63">
        <f>HYPERLINK("https://klasma.github.io/Logging_2029/artfynd/A 16815-2025 artfynd.xlsx", "A 16815-2025")</f>
        <v/>
      </c>
      <c r="T63">
        <f>HYPERLINK("https://klasma.github.io/Logging_2029/kartor/A 16815-2025 karta.png", "A 16815-2025")</f>
        <v/>
      </c>
      <c r="V63">
        <f>HYPERLINK("https://klasma.github.io/Logging_2029/klagomål/A 16815-2025 FSC-klagomål.docx", "A 16815-2025")</f>
        <v/>
      </c>
      <c r="W63">
        <f>HYPERLINK("https://klasma.github.io/Logging_2029/klagomålsmail/A 16815-2025 FSC-klagomål mail.docx", "A 16815-2025")</f>
        <v/>
      </c>
      <c r="X63">
        <f>HYPERLINK("https://klasma.github.io/Logging_2029/tillsyn/A 16815-2025 tillsynsbegäran.docx", "A 16815-2025")</f>
        <v/>
      </c>
      <c r="Y63">
        <f>HYPERLINK("https://klasma.github.io/Logging_2029/tillsynsmail/A 16815-2025 tillsynsbegäran mail.docx", "A 16815-2025")</f>
        <v/>
      </c>
    </row>
    <row r="64" ht="15" customHeight="1">
      <c r="A64" t="inlineStr">
        <is>
          <t>A 32726-2025</t>
        </is>
      </c>
      <c r="B64" s="1" t="n">
        <v>45839</v>
      </c>
      <c r="C64" s="1" t="n">
        <v>46194</v>
      </c>
      <c r="D64" t="inlineStr">
        <is>
          <t>DALARNAS LÄN</t>
        </is>
      </c>
      <c r="E64" t="inlineStr">
        <is>
          <t>LEKSAND</t>
        </is>
      </c>
      <c r="F64" t="inlineStr">
        <is>
          <t>Bergvik skog väst AB</t>
        </is>
      </c>
      <c r="G64" t="n">
        <v>2.5</v>
      </c>
      <c r="H64" t="n">
        <v>1</v>
      </c>
      <c r="I64" t="n">
        <v>0</v>
      </c>
      <c r="J64" t="n">
        <v>0</v>
      </c>
      <c r="K64" t="n">
        <v>0</v>
      </c>
      <c r="L64" t="n">
        <v>0</v>
      </c>
      <c r="M64" t="n">
        <v>0</v>
      </c>
      <c r="N64" t="n">
        <v>0</v>
      </c>
      <c r="O64" t="n">
        <v>0</v>
      </c>
      <c r="P64" t="n">
        <v>0</v>
      </c>
      <c r="Q64" t="n">
        <v>1</v>
      </c>
      <c r="R64" s="2" t="inlineStr">
        <is>
          <t>Fläcknycklar</t>
        </is>
      </c>
      <c r="S64">
        <f>HYPERLINK("https://klasma.github.io/Logging_2029/artfynd/A 32726-2025 artfynd.xlsx", "A 32726-2025")</f>
        <v/>
      </c>
      <c r="T64">
        <f>HYPERLINK("https://klasma.github.io/Logging_2029/kartor/A 32726-2025 karta.png", "A 32726-2025")</f>
        <v/>
      </c>
      <c r="V64">
        <f>HYPERLINK("https://klasma.github.io/Logging_2029/klagomål/A 32726-2025 FSC-klagomål.docx", "A 32726-2025")</f>
        <v/>
      </c>
      <c r="W64">
        <f>HYPERLINK("https://klasma.github.io/Logging_2029/klagomålsmail/A 32726-2025 FSC-klagomål mail.docx", "A 32726-2025")</f>
        <v/>
      </c>
      <c r="X64">
        <f>HYPERLINK("https://klasma.github.io/Logging_2029/tillsyn/A 32726-2025 tillsynsbegäran.docx", "A 32726-2025")</f>
        <v/>
      </c>
      <c r="Y64">
        <f>HYPERLINK("https://klasma.github.io/Logging_2029/tillsynsmail/A 32726-2025 tillsynsbegäran mail.docx", "A 32726-2025")</f>
        <v/>
      </c>
    </row>
    <row r="65" ht="15" customHeight="1">
      <c r="A65" t="inlineStr">
        <is>
          <t>A 53438-2025</t>
        </is>
      </c>
      <c r="B65" s="1" t="n">
        <v>45959</v>
      </c>
      <c r="C65" s="1" t="n">
        <v>46194</v>
      </c>
      <c r="D65" t="inlineStr">
        <is>
          <t>DALARNAS LÄN</t>
        </is>
      </c>
      <c r="E65" t="inlineStr">
        <is>
          <t>LEKSAND</t>
        </is>
      </c>
      <c r="G65" t="n">
        <v>1.2</v>
      </c>
      <c r="H65" t="n">
        <v>1</v>
      </c>
      <c r="I65" t="n">
        <v>0</v>
      </c>
      <c r="J65" t="n">
        <v>0</v>
      </c>
      <c r="K65" t="n">
        <v>0</v>
      </c>
      <c r="L65" t="n">
        <v>0</v>
      </c>
      <c r="M65" t="n">
        <v>0</v>
      </c>
      <c r="N65" t="n">
        <v>0</v>
      </c>
      <c r="O65" t="n">
        <v>0</v>
      </c>
      <c r="P65" t="n">
        <v>0</v>
      </c>
      <c r="Q65" t="n">
        <v>1</v>
      </c>
      <c r="R65" s="2" t="inlineStr">
        <is>
          <t>Tjäder</t>
        </is>
      </c>
      <c r="S65">
        <f>HYPERLINK("https://klasma.github.io/Logging_2029/artfynd/A 53438-2025 artfynd.xlsx", "A 53438-2025")</f>
        <v/>
      </c>
      <c r="T65">
        <f>HYPERLINK("https://klasma.github.io/Logging_2029/kartor/A 53438-2025 karta.png", "A 53438-2025")</f>
        <v/>
      </c>
      <c r="V65">
        <f>HYPERLINK("https://klasma.github.io/Logging_2029/klagomål/A 53438-2025 FSC-klagomål.docx", "A 53438-2025")</f>
        <v/>
      </c>
      <c r="W65">
        <f>HYPERLINK("https://klasma.github.io/Logging_2029/klagomålsmail/A 53438-2025 FSC-klagomål mail.docx", "A 53438-2025")</f>
        <v/>
      </c>
      <c r="X65">
        <f>HYPERLINK("https://klasma.github.io/Logging_2029/tillsyn/A 53438-2025 tillsynsbegäran.docx", "A 53438-2025")</f>
        <v/>
      </c>
      <c r="Y65">
        <f>HYPERLINK("https://klasma.github.io/Logging_2029/tillsynsmail/A 53438-2025 tillsynsbegäran mail.docx", "A 53438-2025")</f>
        <v/>
      </c>
      <c r="Z65">
        <f>HYPERLINK("https://klasma.github.io/Logging_2029/fåglar/A 53438-2025 prioriterade fågelarter.docx", "A 53438-2025")</f>
        <v/>
      </c>
    </row>
    <row r="66" ht="15" customHeight="1">
      <c r="A66" t="inlineStr">
        <is>
          <t>A 53619-2025</t>
        </is>
      </c>
      <c r="B66" s="1" t="n">
        <v>45960</v>
      </c>
      <c r="C66" s="1" t="n">
        <v>46194</v>
      </c>
      <c r="D66" t="inlineStr">
        <is>
          <t>DALARNAS LÄN</t>
        </is>
      </c>
      <c r="E66" t="inlineStr">
        <is>
          <t>LEKSAND</t>
        </is>
      </c>
      <c r="F66" t="inlineStr">
        <is>
          <t>Bergvik skog väst AB</t>
        </is>
      </c>
      <c r="G66" t="n">
        <v>1.8</v>
      </c>
      <c r="H66" t="n">
        <v>1</v>
      </c>
      <c r="I66" t="n">
        <v>0</v>
      </c>
      <c r="J66" t="n">
        <v>0</v>
      </c>
      <c r="K66" t="n">
        <v>0</v>
      </c>
      <c r="L66" t="n">
        <v>0</v>
      </c>
      <c r="M66" t="n">
        <v>0</v>
      </c>
      <c r="N66" t="n">
        <v>0</v>
      </c>
      <c r="O66" t="n">
        <v>0</v>
      </c>
      <c r="P66" t="n">
        <v>0</v>
      </c>
      <c r="Q66" t="n">
        <v>1</v>
      </c>
      <c r="R66" s="2" t="inlineStr">
        <is>
          <t>Utter</t>
        </is>
      </c>
      <c r="S66">
        <f>HYPERLINK("https://klasma.github.io/Logging_2029/artfynd/A 53619-2025 artfynd.xlsx", "A 53619-2025")</f>
        <v/>
      </c>
      <c r="T66">
        <f>HYPERLINK("https://klasma.github.io/Logging_2029/kartor/A 53619-2025 karta.png", "A 53619-2025")</f>
        <v/>
      </c>
      <c r="V66">
        <f>HYPERLINK("https://klasma.github.io/Logging_2029/klagomål/A 53619-2025 FSC-klagomål.docx", "A 53619-2025")</f>
        <v/>
      </c>
      <c r="W66">
        <f>HYPERLINK("https://klasma.github.io/Logging_2029/klagomålsmail/A 53619-2025 FSC-klagomål mail.docx", "A 53619-2025")</f>
        <v/>
      </c>
      <c r="X66">
        <f>HYPERLINK("https://klasma.github.io/Logging_2029/tillsyn/A 53619-2025 tillsynsbegäran.docx", "A 53619-2025")</f>
        <v/>
      </c>
      <c r="Y66">
        <f>HYPERLINK("https://klasma.github.io/Logging_2029/tillsynsmail/A 53619-2025 tillsynsbegäran mail.docx", "A 53619-2025")</f>
        <v/>
      </c>
    </row>
    <row r="67" ht="15" customHeight="1">
      <c r="A67" t="inlineStr">
        <is>
          <t>A 11218-2023</t>
        </is>
      </c>
      <c r="B67" s="1" t="n">
        <v>44992</v>
      </c>
      <c r="C67" s="1" t="n">
        <v>46194</v>
      </c>
      <c r="D67" t="inlineStr">
        <is>
          <t>DALARNAS LÄN</t>
        </is>
      </c>
      <c r="E67" t="inlineStr">
        <is>
          <t>LEKSAND</t>
        </is>
      </c>
      <c r="G67" t="n">
        <v>2.6</v>
      </c>
      <c r="H67" t="n">
        <v>1</v>
      </c>
      <c r="I67" t="n">
        <v>0</v>
      </c>
      <c r="J67" t="n">
        <v>0</v>
      </c>
      <c r="K67" t="n">
        <v>1</v>
      </c>
      <c r="L67" t="n">
        <v>0</v>
      </c>
      <c r="M67" t="n">
        <v>0</v>
      </c>
      <c r="N67" t="n">
        <v>0</v>
      </c>
      <c r="O67" t="n">
        <v>1</v>
      </c>
      <c r="P67" t="n">
        <v>1</v>
      </c>
      <c r="Q67" t="n">
        <v>1</v>
      </c>
      <c r="R67" s="2" t="inlineStr">
        <is>
          <t>Knärot</t>
        </is>
      </c>
      <c r="S67">
        <f>HYPERLINK("https://klasma.github.io/Logging_2029/artfynd/A 11218-2023 artfynd.xlsx", "A 11218-2023")</f>
        <v/>
      </c>
      <c r="T67">
        <f>HYPERLINK("https://klasma.github.io/Logging_2029/kartor/A 11218-2023 karta.png", "A 11218-2023")</f>
        <v/>
      </c>
      <c r="U67">
        <f>HYPERLINK("https://klasma.github.io/Logging_2029/knärot/A 11218-2023 karta knärot.png", "A 11218-2023")</f>
        <v/>
      </c>
      <c r="V67">
        <f>HYPERLINK("https://klasma.github.io/Logging_2029/klagomål/A 11218-2023 FSC-klagomål.docx", "A 11218-2023")</f>
        <v/>
      </c>
      <c r="W67">
        <f>HYPERLINK("https://klasma.github.io/Logging_2029/klagomålsmail/A 11218-2023 FSC-klagomål mail.docx", "A 11218-2023")</f>
        <v/>
      </c>
      <c r="X67">
        <f>HYPERLINK("https://klasma.github.io/Logging_2029/tillsyn/A 11218-2023 tillsynsbegäran.docx", "A 11218-2023")</f>
        <v/>
      </c>
      <c r="Y67">
        <f>HYPERLINK("https://klasma.github.io/Logging_2029/tillsynsmail/A 11218-2023 tillsynsbegäran mail.docx", "A 11218-2023")</f>
        <v/>
      </c>
    </row>
    <row r="68" ht="15" customHeight="1">
      <c r="A68" t="inlineStr">
        <is>
          <t>A 31951-2025</t>
        </is>
      </c>
      <c r="B68" s="1" t="n">
        <v>45835</v>
      </c>
      <c r="C68" s="1" t="n">
        <v>46194</v>
      </c>
      <c r="D68" t="inlineStr">
        <is>
          <t>DALARNAS LÄN</t>
        </is>
      </c>
      <c r="E68" t="inlineStr">
        <is>
          <t>LEKSAND</t>
        </is>
      </c>
      <c r="G68" t="n">
        <v>6.6</v>
      </c>
      <c r="H68" t="n">
        <v>1</v>
      </c>
      <c r="I68" t="n">
        <v>0</v>
      </c>
      <c r="J68" t="n">
        <v>0</v>
      </c>
      <c r="K68" t="n">
        <v>0</v>
      </c>
      <c r="L68" t="n">
        <v>0</v>
      </c>
      <c r="M68" t="n">
        <v>0</v>
      </c>
      <c r="N68" t="n">
        <v>0</v>
      </c>
      <c r="O68" t="n">
        <v>0</v>
      </c>
      <c r="P68" t="n">
        <v>0</v>
      </c>
      <c r="Q68" t="n">
        <v>1</v>
      </c>
      <c r="R68" s="2" t="inlineStr">
        <is>
          <t>Tjäder</t>
        </is>
      </c>
      <c r="S68">
        <f>HYPERLINK("https://klasma.github.io/Logging_2029/artfynd/A 31951-2025 artfynd.xlsx", "A 31951-2025")</f>
        <v/>
      </c>
      <c r="T68">
        <f>HYPERLINK("https://klasma.github.io/Logging_2029/kartor/A 31951-2025 karta.png", "A 31951-2025")</f>
        <v/>
      </c>
      <c r="V68">
        <f>HYPERLINK("https://klasma.github.io/Logging_2029/klagomål/A 31951-2025 FSC-klagomål.docx", "A 31951-2025")</f>
        <v/>
      </c>
      <c r="W68">
        <f>HYPERLINK("https://klasma.github.io/Logging_2029/klagomålsmail/A 31951-2025 FSC-klagomål mail.docx", "A 31951-2025")</f>
        <v/>
      </c>
      <c r="X68">
        <f>HYPERLINK("https://klasma.github.io/Logging_2029/tillsyn/A 31951-2025 tillsynsbegäran.docx", "A 31951-2025")</f>
        <v/>
      </c>
      <c r="Y68">
        <f>HYPERLINK("https://klasma.github.io/Logging_2029/tillsynsmail/A 31951-2025 tillsynsbegäran mail.docx", "A 31951-2025")</f>
        <v/>
      </c>
      <c r="Z68">
        <f>HYPERLINK("https://klasma.github.io/Logging_2029/fåglar/A 31951-2025 prioriterade fågelarter.docx", "A 31951-2025")</f>
        <v/>
      </c>
    </row>
    <row r="69" ht="15" customHeight="1">
      <c r="A69" t="inlineStr">
        <is>
          <t>A 18107-2025</t>
        </is>
      </c>
      <c r="B69" s="1" t="n">
        <v>45761</v>
      </c>
      <c r="C69" s="1" t="n">
        <v>46194</v>
      </c>
      <c r="D69" t="inlineStr">
        <is>
          <t>DALARNAS LÄN</t>
        </is>
      </c>
      <c r="E69" t="inlineStr">
        <is>
          <t>LEKSAND</t>
        </is>
      </c>
      <c r="G69" t="n">
        <v>1.2</v>
      </c>
      <c r="H69" t="n">
        <v>0</v>
      </c>
      <c r="I69" t="n">
        <v>0</v>
      </c>
      <c r="J69" t="n">
        <v>1</v>
      </c>
      <c r="K69" t="n">
        <v>0</v>
      </c>
      <c r="L69" t="n">
        <v>0</v>
      </c>
      <c r="M69" t="n">
        <v>0</v>
      </c>
      <c r="N69" t="n">
        <v>0</v>
      </c>
      <c r="O69" t="n">
        <v>1</v>
      </c>
      <c r="P69" t="n">
        <v>0</v>
      </c>
      <c r="Q69" t="n">
        <v>1</v>
      </c>
      <c r="R69" s="2" t="inlineStr">
        <is>
          <t>Gullpudra</t>
        </is>
      </c>
      <c r="S69">
        <f>HYPERLINK("https://klasma.github.io/Logging_2029/artfynd/A 18107-2025 artfynd.xlsx", "A 18107-2025")</f>
        <v/>
      </c>
      <c r="T69">
        <f>HYPERLINK("https://klasma.github.io/Logging_2029/kartor/A 18107-2025 karta.png", "A 18107-2025")</f>
        <v/>
      </c>
      <c r="V69">
        <f>HYPERLINK("https://klasma.github.io/Logging_2029/klagomål/A 18107-2025 FSC-klagomål.docx", "A 18107-2025")</f>
        <v/>
      </c>
      <c r="W69">
        <f>HYPERLINK("https://klasma.github.io/Logging_2029/klagomålsmail/A 18107-2025 FSC-klagomål mail.docx", "A 18107-2025")</f>
        <v/>
      </c>
      <c r="X69">
        <f>HYPERLINK("https://klasma.github.io/Logging_2029/tillsyn/A 18107-2025 tillsynsbegäran.docx", "A 18107-2025")</f>
        <v/>
      </c>
      <c r="Y69">
        <f>HYPERLINK("https://klasma.github.io/Logging_2029/tillsynsmail/A 18107-2025 tillsynsbegäran mail.docx", "A 18107-2025")</f>
        <v/>
      </c>
    </row>
    <row r="70" ht="15" customHeight="1">
      <c r="A70" t="inlineStr">
        <is>
          <t>A 57869-2025</t>
        </is>
      </c>
      <c r="B70" s="1" t="n">
        <v>45981</v>
      </c>
      <c r="C70" s="1" t="n">
        <v>46194</v>
      </c>
      <c r="D70" t="inlineStr">
        <is>
          <t>DALARNAS LÄN</t>
        </is>
      </c>
      <c r="E70" t="inlineStr">
        <is>
          <t>LEKSAND</t>
        </is>
      </c>
      <c r="G70" t="n">
        <v>0.6</v>
      </c>
      <c r="H70" t="n">
        <v>1</v>
      </c>
      <c r="I70" t="n">
        <v>0</v>
      </c>
      <c r="J70" t="n">
        <v>0</v>
      </c>
      <c r="K70" t="n">
        <v>0</v>
      </c>
      <c r="L70" t="n">
        <v>0</v>
      </c>
      <c r="M70" t="n">
        <v>0</v>
      </c>
      <c r="N70" t="n">
        <v>0</v>
      </c>
      <c r="O70" t="n">
        <v>0</v>
      </c>
      <c r="P70" t="n">
        <v>0</v>
      </c>
      <c r="Q70" t="n">
        <v>1</v>
      </c>
      <c r="R70" s="2" t="inlineStr">
        <is>
          <t>Utter</t>
        </is>
      </c>
      <c r="S70">
        <f>HYPERLINK("https://klasma.github.io/Logging_2029/artfynd/A 57869-2025 artfynd.xlsx", "A 57869-2025")</f>
        <v/>
      </c>
      <c r="T70">
        <f>HYPERLINK("https://klasma.github.io/Logging_2029/kartor/A 57869-2025 karta.png", "A 57869-2025")</f>
        <v/>
      </c>
      <c r="V70">
        <f>HYPERLINK("https://klasma.github.io/Logging_2029/klagomål/A 57869-2025 FSC-klagomål.docx", "A 57869-2025")</f>
        <v/>
      </c>
      <c r="W70">
        <f>HYPERLINK("https://klasma.github.io/Logging_2029/klagomålsmail/A 57869-2025 FSC-klagomål mail.docx", "A 57869-2025")</f>
        <v/>
      </c>
      <c r="X70">
        <f>HYPERLINK("https://klasma.github.io/Logging_2029/tillsyn/A 57869-2025 tillsynsbegäran.docx", "A 57869-2025")</f>
        <v/>
      </c>
      <c r="Y70">
        <f>HYPERLINK("https://klasma.github.io/Logging_2029/tillsynsmail/A 57869-2025 tillsynsbegäran mail.docx", "A 57869-2025")</f>
        <v/>
      </c>
    </row>
    <row r="71" ht="15" customHeight="1">
      <c r="A71" t="inlineStr">
        <is>
          <t>A 53122-2023</t>
        </is>
      </c>
      <c r="B71" s="1" t="n">
        <v>45228</v>
      </c>
      <c r="C71" s="1" t="n">
        <v>46194</v>
      </c>
      <c r="D71" t="inlineStr">
        <is>
          <t>DALARNAS LÄN</t>
        </is>
      </c>
      <c r="E71" t="inlineStr">
        <is>
          <t>LEKSAND</t>
        </is>
      </c>
      <c r="G71" t="n">
        <v>1.9</v>
      </c>
      <c r="H71" t="n">
        <v>1</v>
      </c>
      <c r="I71" t="n">
        <v>0</v>
      </c>
      <c r="J71" t="n">
        <v>0</v>
      </c>
      <c r="K71" t="n">
        <v>0</v>
      </c>
      <c r="L71" t="n">
        <v>0</v>
      </c>
      <c r="M71" t="n">
        <v>0</v>
      </c>
      <c r="N71" t="n">
        <v>0</v>
      </c>
      <c r="O71" t="n">
        <v>0</v>
      </c>
      <c r="P71" t="n">
        <v>0</v>
      </c>
      <c r="Q71" t="n">
        <v>1</v>
      </c>
      <c r="R71" s="2" t="inlineStr">
        <is>
          <t>Trana</t>
        </is>
      </c>
      <c r="S71">
        <f>HYPERLINK("https://klasma.github.io/Logging_2029/artfynd/A 53122-2023 artfynd.xlsx", "A 53122-2023")</f>
        <v/>
      </c>
      <c r="T71">
        <f>HYPERLINK("https://klasma.github.io/Logging_2029/kartor/A 53122-2023 karta.png", "A 53122-2023")</f>
        <v/>
      </c>
      <c r="V71">
        <f>HYPERLINK("https://klasma.github.io/Logging_2029/klagomål/A 53122-2023 FSC-klagomål.docx", "A 53122-2023")</f>
        <v/>
      </c>
      <c r="W71">
        <f>HYPERLINK("https://klasma.github.io/Logging_2029/klagomålsmail/A 53122-2023 FSC-klagomål mail.docx", "A 53122-2023")</f>
        <v/>
      </c>
      <c r="X71">
        <f>HYPERLINK("https://klasma.github.io/Logging_2029/tillsyn/A 53122-2023 tillsynsbegäran.docx", "A 53122-2023")</f>
        <v/>
      </c>
      <c r="Y71">
        <f>HYPERLINK("https://klasma.github.io/Logging_2029/tillsynsmail/A 53122-2023 tillsynsbegäran mail.docx", "A 53122-2023")</f>
        <v/>
      </c>
      <c r="Z71">
        <f>HYPERLINK("https://klasma.github.io/Logging_2029/fåglar/A 53122-2023 prioriterade fågelarter.docx", "A 53122-2023")</f>
        <v/>
      </c>
    </row>
    <row r="72" ht="15" customHeight="1">
      <c r="A72" t="inlineStr">
        <is>
          <t>A 33318-2023</t>
        </is>
      </c>
      <c r="B72" s="1" t="n">
        <v>45127</v>
      </c>
      <c r="C72" s="1" t="n">
        <v>46194</v>
      </c>
      <c r="D72" t="inlineStr">
        <is>
          <t>DALARNAS LÄN</t>
        </is>
      </c>
      <c r="E72" t="inlineStr">
        <is>
          <t>LEKSAND</t>
        </is>
      </c>
      <c r="G72" t="n">
        <v>5.5</v>
      </c>
      <c r="H72" t="n">
        <v>1</v>
      </c>
      <c r="I72" t="n">
        <v>0</v>
      </c>
      <c r="J72" t="n">
        <v>1</v>
      </c>
      <c r="K72" t="n">
        <v>0</v>
      </c>
      <c r="L72" t="n">
        <v>0</v>
      </c>
      <c r="M72" t="n">
        <v>0</v>
      </c>
      <c r="N72" t="n">
        <v>0</v>
      </c>
      <c r="O72" t="n">
        <v>1</v>
      </c>
      <c r="P72" t="n">
        <v>0</v>
      </c>
      <c r="Q72" t="n">
        <v>1</v>
      </c>
      <c r="R72" s="2" t="inlineStr">
        <is>
          <t>Sparvuggla</t>
        </is>
      </c>
      <c r="S72">
        <f>HYPERLINK("https://klasma.github.io/Logging_2029/artfynd/A 33318-2023 artfynd.xlsx", "A 33318-2023")</f>
        <v/>
      </c>
      <c r="T72">
        <f>HYPERLINK("https://klasma.github.io/Logging_2029/kartor/A 33318-2023 karta.png", "A 33318-2023")</f>
        <v/>
      </c>
      <c r="V72">
        <f>HYPERLINK("https://klasma.github.io/Logging_2029/klagomål/A 33318-2023 FSC-klagomål.docx", "A 33318-2023")</f>
        <v/>
      </c>
      <c r="W72">
        <f>HYPERLINK("https://klasma.github.io/Logging_2029/klagomålsmail/A 33318-2023 FSC-klagomål mail.docx", "A 33318-2023")</f>
        <v/>
      </c>
      <c r="X72">
        <f>HYPERLINK("https://klasma.github.io/Logging_2029/tillsyn/A 33318-2023 tillsynsbegäran.docx", "A 33318-2023")</f>
        <v/>
      </c>
      <c r="Y72">
        <f>HYPERLINK("https://klasma.github.io/Logging_2029/tillsynsmail/A 33318-2023 tillsynsbegäran mail.docx", "A 33318-2023")</f>
        <v/>
      </c>
      <c r="Z72">
        <f>HYPERLINK("https://klasma.github.io/Logging_2029/fåglar/A 33318-2023 prioriterade fågelarter.docx", "A 33318-2023")</f>
        <v/>
      </c>
    </row>
    <row r="73" ht="15" customHeight="1">
      <c r="A73" t="inlineStr">
        <is>
          <t>A 164-2023</t>
        </is>
      </c>
      <c r="B73" s="1" t="n">
        <v>44918</v>
      </c>
      <c r="C73" s="1" t="n">
        <v>46194</v>
      </c>
      <c r="D73" t="inlineStr">
        <is>
          <t>DALARNAS LÄN</t>
        </is>
      </c>
      <c r="E73" t="inlineStr">
        <is>
          <t>LEKSAND</t>
        </is>
      </c>
      <c r="G73" t="n">
        <v>0.7</v>
      </c>
      <c r="H73" t="n">
        <v>0</v>
      </c>
      <c r="I73" t="n">
        <v>0</v>
      </c>
      <c r="J73" t="n">
        <v>1</v>
      </c>
      <c r="K73" t="n">
        <v>0</v>
      </c>
      <c r="L73" t="n">
        <v>0</v>
      </c>
      <c r="M73" t="n">
        <v>0</v>
      </c>
      <c r="N73" t="n">
        <v>0</v>
      </c>
      <c r="O73" t="n">
        <v>1</v>
      </c>
      <c r="P73" t="n">
        <v>0</v>
      </c>
      <c r="Q73" t="n">
        <v>1</v>
      </c>
      <c r="R73" s="2" t="inlineStr">
        <is>
          <t>Skogshare</t>
        </is>
      </c>
      <c r="S73">
        <f>HYPERLINK("https://klasma.github.io/Logging_2029/artfynd/A 164-2023 artfynd.xlsx", "A 164-2023")</f>
        <v/>
      </c>
      <c r="T73">
        <f>HYPERLINK("https://klasma.github.io/Logging_2029/kartor/A 164-2023 karta.png", "A 164-2023")</f>
        <v/>
      </c>
      <c r="V73">
        <f>HYPERLINK("https://klasma.github.io/Logging_2029/klagomål/A 164-2023 FSC-klagomål.docx", "A 164-2023")</f>
        <v/>
      </c>
      <c r="W73">
        <f>HYPERLINK("https://klasma.github.io/Logging_2029/klagomålsmail/A 164-2023 FSC-klagomål mail.docx", "A 164-2023")</f>
        <v/>
      </c>
      <c r="X73">
        <f>HYPERLINK("https://klasma.github.io/Logging_2029/tillsyn/A 164-2023 tillsynsbegäran.docx", "A 164-2023")</f>
        <v/>
      </c>
      <c r="Y73">
        <f>HYPERLINK("https://klasma.github.io/Logging_2029/tillsynsmail/A 164-2023 tillsynsbegäran mail.docx", "A 164-2023")</f>
        <v/>
      </c>
    </row>
    <row r="74" ht="15" customHeight="1">
      <c r="A74" t="inlineStr">
        <is>
          <t>A 4257-2022</t>
        </is>
      </c>
      <c r="B74" s="1" t="n">
        <v>44588</v>
      </c>
      <c r="C74" s="1" t="n">
        <v>46194</v>
      </c>
      <c r="D74" t="inlineStr">
        <is>
          <t>DALARNAS LÄN</t>
        </is>
      </c>
      <c r="E74" t="inlineStr">
        <is>
          <t>LEKSAND</t>
        </is>
      </c>
      <c r="G74" t="n">
        <v>6.8</v>
      </c>
      <c r="H74" t="n">
        <v>1</v>
      </c>
      <c r="I74" t="n">
        <v>1</v>
      </c>
      <c r="J74" t="n">
        <v>0</v>
      </c>
      <c r="K74" t="n">
        <v>0</v>
      </c>
      <c r="L74" t="n">
        <v>0</v>
      </c>
      <c r="M74" t="n">
        <v>0</v>
      </c>
      <c r="N74" t="n">
        <v>0</v>
      </c>
      <c r="O74" t="n">
        <v>0</v>
      </c>
      <c r="P74" t="n">
        <v>0</v>
      </c>
      <c r="Q74" t="n">
        <v>1</v>
      </c>
      <c r="R74" s="2" t="inlineStr">
        <is>
          <t>Skogsknipprot</t>
        </is>
      </c>
      <c r="S74">
        <f>HYPERLINK("https://klasma.github.io/Logging_2029/artfynd/A 4257-2022 artfynd.xlsx", "A 4257-2022")</f>
        <v/>
      </c>
      <c r="T74">
        <f>HYPERLINK("https://klasma.github.io/Logging_2029/kartor/A 4257-2022 karta.png", "A 4257-2022")</f>
        <v/>
      </c>
      <c r="V74">
        <f>HYPERLINK("https://klasma.github.io/Logging_2029/klagomål/A 4257-2022 FSC-klagomål.docx", "A 4257-2022")</f>
        <v/>
      </c>
      <c r="W74">
        <f>HYPERLINK("https://klasma.github.io/Logging_2029/klagomålsmail/A 4257-2022 FSC-klagomål mail.docx", "A 4257-2022")</f>
        <v/>
      </c>
      <c r="X74">
        <f>HYPERLINK("https://klasma.github.io/Logging_2029/tillsyn/A 4257-2022 tillsynsbegäran.docx", "A 4257-2022")</f>
        <v/>
      </c>
      <c r="Y74">
        <f>HYPERLINK("https://klasma.github.io/Logging_2029/tillsynsmail/A 4257-2022 tillsynsbegäran mail.docx", "A 4257-2022")</f>
        <v/>
      </c>
    </row>
    <row r="75" ht="15" customHeight="1">
      <c r="A75" t="inlineStr">
        <is>
          <t>A 59271-2025</t>
        </is>
      </c>
      <c r="B75" s="1" t="n">
        <v>45988</v>
      </c>
      <c r="C75" s="1" t="n">
        <v>46194</v>
      </c>
      <c r="D75" t="inlineStr">
        <is>
          <t>DALARNAS LÄN</t>
        </is>
      </c>
      <c r="E75" t="inlineStr">
        <is>
          <t>LEKSAND</t>
        </is>
      </c>
      <c r="G75" t="n">
        <v>2.2</v>
      </c>
      <c r="H75" t="n">
        <v>0</v>
      </c>
      <c r="I75" t="n">
        <v>1</v>
      </c>
      <c r="J75" t="n">
        <v>0</v>
      </c>
      <c r="K75" t="n">
        <v>0</v>
      </c>
      <c r="L75" t="n">
        <v>0</v>
      </c>
      <c r="M75" t="n">
        <v>0</v>
      </c>
      <c r="N75" t="n">
        <v>0</v>
      </c>
      <c r="O75" t="n">
        <v>0</v>
      </c>
      <c r="P75" t="n">
        <v>0</v>
      </c>
      <c r="Q75" t="n">
        <v>1</v>
      </c>
      <c r="R75" s="2" t="inlineStr">
        <is>
          <t>Brun nållav</t>
        </is>
      </c>
      <c r="S75">
        <f>HYPERLINK("https://klasma.github.io/Logging_2029/artfynd/A 59271-2025 artfynd.xlsx", "A 59271-2025")</f>
        <v/>
      </c>
      <c r="T75">
        <f>HYPERLINK("https://klasma.github.io/Logging_2029/kartor/A 59271-2025 karta.png", "A 59271-2025")</f>
        <v/>
      </c>
      <c r="V75">
        <f>HYPERLINK("https://klasma.github.io/Logging_2029/klagomål/A 59271-2025 FSC-klagomål.docx", "A 59271-2025")</f>
        <v/>
      </c>
      <c r="W75">
        <f>HYPERLINK("https://klasma.github.io/Logging_2029/klagomålsmail/A 59271-2025 FSC-klagomål mail.docx", "A 59271-2025")</f>
        <v/>
      </c>
      <c r="X75">
        <f>HYPERLINK("https://klasma.github.io/Logging_2029/tillsyn/A 59271-2025 tillsynsbegäran.docx", "A 59271-2025")</f>
        <v/>
      </c>
      <c r="Y75">
        <f>HYPERLINK("https://klasma.github.io/Logging_2029/tillsynsmail/A 59271-2025 tillsynsbegäran mail.docx", "A 59271-2025")</f>
        <v/>
      </c>
    </row>
    <row r="76" ht="15" customHeight="1">
      <c r="A76" t="inlineStr">
        <is>
          <t>A 55633-2024</t>
        </is>
      </c>
      <c r="B76" s="1" t="n">
        <v>45621</v>
      </c>
      <c r="C76" s="1" t="n">
        <v>46194</v>
      </c>
      <c r="D76" t="inlineStr">
        <is>
          <t>DALARNAS LÄN</t>
        </is>
      </c>
      <c r="E76" t="inlineStr">
        <is>
          <t>LEKSAND</t>
        </is>
      </c>
      <c r="G76" t="n">
        <v>7.8</v>
      </c>
      <c r="H76" t="n">
        <v>0</v>
      </c>
      <c r="I76" t="n">
        <v>0</v>
      </c>
      <c r="J76" t="n">
        <v>1</v>
      </c>
      <c r="K76" t="n">
        <v>0</v>
      </c>
      <c r="L76" t="n">
        <v>0</v>
      </c>
      <c r="M76" t="n">
        <v>0</v>
      </c>
      <c r="N76" t="n">
        <v>0</v>
      </c>
      <c r="O76" t="n">
        <v>1</v>
      </c>
      <c r="P76" t="n">
        <v>0</v>
      </c>
      <c r="Q76" t="n">
        <v>1</v>
      </c>
      <c r="R76" s="2" t="inlineStr">
        <is>
          <t>Ullticka</t>
        </is>
      </c>
      <c r="S76">
        <f>HYPERLINK("https://klasma.github.io/Logging_2029/artfynd/A 55633-2024 artfynd.xlsx", "A 55633-2024")</f>
        <v/>
      </c>
      <c r="T76">
        <f>HYPERLINK("https://klasma.github.io/Logging_2029/kartor/A 55633-2024 karta.png", "A 55633-2024")</f>
        <v/>
      </c>
      <c r="V76">
        <f>HYPERLINK("https://klasma.github.io/Logging_2029/klagomål/A 55633-2024 FSC-klagomål.docx", "A 55633-2024")</f>
        <v/>
      </c>
      <c r="W76">
        <f>HYPERLINK("https://klasma.github.io/Logging_2029/klagomålsmail/A 55633-2024 FSC-klagomål mail.docx", "A 55633-2024")</f>
        <v/>
      </c>
      <c r="X76">
        <f>HYPERLINK("https://klasma.github.io/Logging_2029/tillsyn/A 55633-2024 tillsynsbegäran.docx", "A 55633-2024")</f>
        <v/>
      </c>
      <c r="Y76">
        <f>HYPERLINK("https://klasma.github.io/Logging_2029/tillsynsmail/A 55633-2024 tillsynsbegäran mail.docx", "A 55633-2024")</f>
        <v/>
      </c>
    </row>
    <row r="77" ht="15" customHeight="1">
      <c r="A77" t="inlineStr">
        <is>
          <t>A 59751-2024</t>
        </is>
      </c>
      <c r="B77" s="1" t="n">
        <v>45638</v>
      </c>
      <c r="C77" s="1" t="n">
        <v>46194</v>
      </c>
      <c r="D77" t="inlineStr">
        <is>
          <t>DALARNAS LÄN</t>
        </is>
      </c>
      <c r="E77" t="inlineStr">
        <is>
          <t>LEKSAND</t>
        </is>
      </c>
      <c r="G77" t="n">
        <v>5.2</v>
      </c>
      <c r="H77" t="n">
        <v>1</v>
      </c>
      <c r="I77" t="n">
        <v>0</v>
      </c>
      <c r="J77" t="n">
        <v>0</v>
      </c>
      <c r="K77" t="n">
        <v>0</v>
      </c>
      <c r="L77" t="n">
        <v>0</v>
      </c>
      <c r="M77" t="n">
        <v>0</v>
      </c>
      <c r="N77" t="n">
        <v>0</v>
      </c>
      <c r="O77" t="n">
        <v>0</v>
      </c>
      <c r="P77" t="n">
        <v>0</v>
      </c>
      <c r="Q77" t="n">
        <v>1</v>
      </c>
      <c r="R77" s="2" t="inlineStr">
        <is>
          <t>Spillkråka</t>
        </is>
      </c>
      <c r="S77">
        <f>HYPERLINK("https://klasma.github.io/Logging_2029/artfynd/A 59751-2024 artfynd.xlsx", "A 59751-2024")</f>
        <v/>
      </c>
      <c r="T77">
        <f>HYPERLINK("https://klasma.github.io/Logging_2029/kartor/A 59751-2024 karta.png", "A 59751-2024")</f>
        <v/>
      </c>
      <c r="V77">
        <f>HYPERLINK("https://klasma.github.io/Logging_2029/klagomål/A 59751-2024 FSC-klagomål.docx", "A 59751-2024")</f>
        <v/>
      </c>
      <c r="W77">
        <f>HYPERLINK("https://klasma.github.io/Logging_2029/klagomålsmail/A 59751-2024 FSC-klagomål mail.docx", "A 59751-2024")</f>
        <v/>
      </c>
      <c r="X77">
        <f>HYPERLINK("https://klasma.github.io/Logging_2029/tillsyn/A 59751-2024 tillsynsbegäran.docx", "A 59751-2024")</f>
        <v/>
      </c>
      <c r="Y77">
        <f>HYPERLINK("https://klasma.github.io/Logging_2029/tillsynsmail/A 59751-2024 tillsynsbegäran mail.docx", "A 59751-2024")</f>
        <v/>
      </c>
      <c r="Z77">
        <f>HYPERLINK("https://klasma.github.io/Logging_2029/fåglar/A 59751-2024 prioriterade fågelarter.docx", "A 59751-2024")</f>
        <v/>
      </c>
    </row>
    <row r="78" ht="15" customHeight="1">
      <c r="A78" t="inlineStr">
        <is>
          <t>A 3144-2026</t>
        </is>
      </c>
      <c r="B78" s="1" t="n">
        <v>46041</v>
      </c>
      <c r="C78" s="1" t="n">
        <v>46194</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46194</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20946-2023</t>
        </is>
      </c>
      <c r="B80" s="1" t="n">
        <v>45061</v>
      </c>
      <c r="C80" s="1" t="n">
        <v>46194</v>
      </c>
      <c r="D80" t="inlineStr">
        <is>
          <t>DALARNAS LÄN</t>
        </is>
      </c>
      <c r="E80" t="inlineStr">
        <is>
          <t>LEKSAND</t>
        </is>
      </c>
      <c r="G80" t="n">
        <v>2.7</v>
      </c>
      <c r="H80" t="n">
        <v>1</v>
      </c>
      <c r="I80" t="n">
        <v>0</v>
      </c>
      <c r="J80" t="n">
        <v>0</v>
      </c>
      <c r="K80" t="n">
        <v>1</v>
      </c>
      <c r="L80" t="n">
        <v>0</v>
      </c>
      <c r="M80" t="n">
        <v>0</v>
      </c>
      <c r="N80" t="n">
        <v>0</v>
      </c>
      <c r="O80" t="n">
        <v>1</v>
      </c>
      <c r="P80" t="n">
        <v>1</v>
      </c>
      <c r="Q80" t="n">
        <v>1</v>
      </c>
      <c r="R80" s="2" t="inlineStr">
        <is>
          <t>Väddnätfjäril</t>
        </is>
      </c>
      <c r="S80">
        <f>HYPERLINK("https://klasma.github.io/Logging_2029/artfynd/A 20946-2023 artfynd.xlsx", "A 20946-2023")</f>
        <v/>
      </c>
      <c r="T80">
        <f>HYPERLINK("https://klasma.github.io/Logging_2029/kartor/A 20946-2023 karta.png", "A 20946-2023")</f>
        <v/>
      </c>
      <c r="V80">
        <f>HYPERLINK("https://klasma.github.io/Logging_2029/klagomål/A 20946-2023 FSC-klagomål.docx", "A 20946-2023")</f>
        <v/>
      </c>
      <c r="W80">
        <f>HYPERLINK("https://klasma.github.io/Logging_2029/klagomålsmail/A 20946-2023 FSC-klagomål mail.docx", "A 20946-2023")</f>
        <v/>
      </c>
      <c r="X80">
        <f>HYPERLINK("https://klasma.github.io/Logging_2029/tillsyn/A 20946-2023 tillsynsbegäran.docx", "A 20946-2023")</f>
        <v/>
      </c>
      <c r="Y80">
        <f>HYPERLINK("https://klasma.github.io/Logging_2029/tillsynsmail/A 20946-2023 tillsynsbegäran mail.docx", "A 20946-2023")</f>
        <v/>
      </c>
    </row>
    <row r="81" ht="15" customHeight="1">
      <c r="A81" t="inlineStr">
        <is>
          <t>A 16743-2026</t>
        </is>
      </c>
      <c r="B81" s="1" t="n">
        <v>46113</v>
      </c>
      <c r="C81" s="1" t="n">
        <v>46194</v>
      </c>
      <c r="D81" t="inlineStr">
        <is>
          <t>DALARNAS LÄN</t>
        </is>
      </c>
      <c r="E81" t="inlineStr">
        <is>
          <t>LEKSAND</t>
        </is>
      </c>
      <c r="F81" t="inlineStr">
        <is>
          <t>Bergvik skog väst AB</t>
        </is>
      </c>
      <c r="G81" t="n">
        <v>32</v>
      </c>
      <c r="H81" t="n">
        <v>1</v>
      </c>
      <c r="I81" t="n">
        <v>0</v>
      </c>
      <c r="J81" t="n">
        <v>0</v>
      </c>
      <c r="K81" t="n">
        <v>0</v>
      </c>
      <c r="L81" t="n">
        <v>0</v>
      </c>
      <c r="M81" t="n">
        <v>0</v>
      </c>
      <c r="N81" t="n">
        <v>0</v>
      </c>
      <c r="O81" t="n">
        <v>0</v>
      </c>
      <c r="P81" t="n">
        <v>0</v>
      </c>
      <c r="Q81" t="n">
        <v>1</v>
      </c>
      <c r="R81" s="2" t="inlineStr">
        <is>
          <t>Järpe</t>
        </is>
      </c>
      <c r="S81">
        <f>HYPERLINK("https://klasma.github.io/Logging_2029/artfynd/A 16743-2026 artfynd.xlsx", "A 16743-2026")</f>
        <v/>
      </c>
      <c r="T81">
        <f>HYPERLINK("https://klasma.github.io/Logging_2029/kartor/A 16743-2026 karta.png", "A 16743-2026")</f>
        <v/>
      </c>
      <c r="V81">
        <f>HYPERLINK("https://klasma.github.io/Logging_2029/klagomål/A 16743-2026 FSC-klagomål.docx", "A 16743-2026")</f>
        <v/>
      </c>
      <c r="W81">
        <f>HYPERLINK("https://klasma.github.io/Logging_2029/klagomålsmail/A 16743-2026 FSC-klagomål mail.docx", "A 16743-2026")</f>
        <v/>
      </c>
      <c r="X81">
        <f>HYPERLINK("https://klasma.github.io/Logging_2029/tillsyn/A 16743-2026 tillsynsbegäran.docx", "A 16743-2026")</f>
        <v/>
      </c>
      <c r="Y81">
        <f>HYPERLINK("https://klasma.github.io/Logging_2029/tillsynsmail/A 16743-2026 tillsynsbegäran mail.docx", "A 16743-2026")</f>
        <v/>
      </c>
      <c r="Z81">
        <f>HYPERLINK("https://klasma.github.io/Logging_2029/fåglar/A 16743-2026 prioriterade fågelarter.docx", "A 16743-2026")</f>
        <v/>
      </c>
    </row>
    <row r="82" ht="15" customHeight="1">
      <c r="A82" t="inlineStr">
        <is>
          <t>A 17461-2026</t>
        </is>
      </c>
      <c r="B82" s="1" t="n">
        <v>46120</v>
      </c>
      <c r="C82" s="1" t="n">
        <v>46194</v>
      </c>
      <c r="D82" t="inlineStr">
        <is>
          <t>DALARNAS LÄN</t>
        </is>
      </c>
      <c r="E82" t="inlineStr">
        <is>
          <t>LEKSAND</t>
        </is>
      </c>
      <c r="G82" t="n">
        <v>1.3</v>
      </c>
      <c r="H82" t="n">
        <v>1</v>
      </c>
      <c r="I82" t="n">
        <v>0</v>
      </c>
      <c r="J82" t="n">
        <v>0</v>
      </c>
      <c r="K82" t="n">
        <v>1</v>
      </c>
      <c r="L82" t="n">
        <v>0</v>
      </c>
      <c r="M82" t="n">
        <v>0</v>
      </c>
      <c r="N82" t="n">
        <v>0</v>
      </c>
      <c r="O82" t="n">
        <v>1</v>
      </c>
      <c r="P82" t="n">
        <v>1</v>
      </c>
      <c r="Q82" t="n">
        <v>1</v>
      </c>
      <c r="R82" s="2" t="inlineStr">
        <is>
          <t>Brun gräsfjäril</t>
        </is>
      </c>
      <c r="S82">
        <f>HYPERLINK("https://klasma.github.io/Logging_2029/artfynd/A 17461-2026 artfynd.xlsx", "A 17461-2026")</f>
        <v/>
      </c>
      <c r="T82">
        <f>HYPERLINK("https://klasma.github.io/Logging_2029/kartor/A 17461-2026 karta.png", "A 17461-2026")</f>
        <v/>
      </c>
      <c r="V82">
        <f>HYPERLINK("https://klasma.github.io/Logging_2029/klagomål/A 17461-2026 FSC-klagomål.docx", "A 17461-2026")</f>
        <v/>
      </c>
      <c r="W82">
        <f>HYPERLINK("https://klasma.github.io/Logging_2029/klagomålsmail/A 17461-2026 FSC-klagomål mail.docx", "A 17461-2026")</f>
        <v/>
      </c>
      <c r="X82">
        <f>HYPERLINK("https://klasma.github.io/Logging_2029/tillsyn/A 17461-2026 tillsynsbegäran.docx", "A 17461-2026")</f>
        <v/>
      </c>
      <c r="Y82">
        <f>HYPERLINK("https://klasma.github.io/Logging_2029/tillsynsmail/A 17461-2026 tillsynsbegäran mail.docx", "A 17461-2026")</f>
        <v/>
      </c>
    </row>
    <row r="83" ht="15" customHeight="1">
      <c r="A83" t="inlineStr">
        <is>
          <t>A 60113-2022</t>
        </is>
      </c>
      <c r="B83" s="1" t="n">
        <v>44909</v>
      </c>
      <c r="C83" s="1" t="n">
        <v>46194</v>
      </c>
      <c r="D83" t="inlineStr">
        <is>
          <t>DALARNAS LÄN</t>
        </is>
      </c>
      <c r="E83" t="inlineStr">
        <is>
          <t>LEKSAND</t>
        </is>
      </c>
      <c r="G83" t="n">
        <v>3.7</v>
      </c>
      <c r="H83" t="n">
        <v>1</v>
      </c>
      <c r="I83" t="n">
        <v>0</v>
      </c>
      <c r="J83" t="n">
        <v>0</v>
      </c>
      <c r="K83" t="n">
        <v>0</v>
      </c>
      <c r="L83" t="n">
        <v>0</v>
      </c>
      <c r="M83" t="n">
        <v>0</v>
      </c>
      <c r="N83" t="n">
        <v>0</v>
      </c>
      <c r="O83" t="n">
        <v>0</v>
      </c>
      <c r="P83" t="n">
        <v>0</v>
      </c>
      <c r="Q83" t="n">
        <v>1</v>
      </c>
      <c r="R83" s="2" t="inlineStr">
        <is>
          <t>Slaguggla</t>
        </is>
      </c>
      <c r="S83">
        <f>HYPERLINK("https://klasma.github.io/Logging_2029/artfynd/A 60113-2022 artfynd.xlsx", "A 60113-2022")</f>
        <v/>
      </c>
      <c r="T83">
        <f>HYPERLINK("https://klasma.github.io/Logging_2029/kartor/A 60113-2022 karta.png", "A 60113-2022")</f>
        <v/>
      </c>
      <c r="V83">
        <f>HYPERLINK("https://klasma.github.io/Logging_2029/klagomål/A 60113-2022 FSC-klagomål.docx", "A 60113-2022")</f>
        <v/>
      </c>
      <c r="W83">
        <f>HYPERLINK("https://klasma.github.io/Logging_2029/klagomålsmail/A 60113-2022 FSC-klagomål mail.docx", "A 60113-2022")</f>
        <v/>
      </c>
      <c r="X83">
        <f>HYPERLINK("https://klasma.github.io/Logging_2029/tillsyn/A 60113-2022 tillsynsbegäran.docx", "A 60113-2022")</f>
        <v/>
      </c>
      <c r="Y83">
        <f>HYPERLINK("https://klasma.github.io/Logging_2029/tillsynsmail/A 60113-2022 tillsynsbegäran mail.docx", "A 60113-2022")</f>
        <v/>
      </c>
      <c r="Z83">
        <f>HYPERLINK("https://klasma.github.io/Logging_2029/fåglar/A 60113-2022 prioriterade fågelarter.docx", "A 60113-2022")</f>
        <v/>
      </c>
    </row>
    <row r="84" ht="15" customHeight="1">
      <c r="A84" t="inlineStr">
        <is>
          <t>A 164-2024</t>
        </is>
      </c>
      <c r="B84" s="1" t="n">
        <v>45294</v>
      </c>
      <c r="C84" s="1" t="n">
        <v>46194</v>
      </c>
      <c r="D84" t="inlineStr">
        <is>
          <t>DALARNAS LÄN</t>
        </is>
      </c>
      <c r="E84" t="inlineStr">
        <is>
          <t>LEKSAND</t>
        </is>
      </c>
      <c r="G84" t="n">
        <v>3.7</v>
      </c>
      <c r="H84" t="n">
        <v>1</v>
      </c>
      <c r="I84" t="n">
        <v>0</v>
      </c>
      <c r="J84" t="n">
        <v>0</v>
      </c>
      <c r="K84" t="n">
        <v>0</v>
      </c>
      <c r="L84" t="n">
        <v>0</v>
      </c>
      <c r="M84" t="n">
        <v>0</v>
      </c>
      <c r="N84" t="n">
        <v>0</v>
      </c>
      <c r="O84" t="n">
        <v>0</v>
      </c>
      <c r="P84" t="n">
        <v>0</v>
      </c>
      <c r="Q84" t="n">
        <v>1</v>
      </c>
      <c r="R84" s="2" t="inlineStr">
        <is>
          <t>Järpe</t>
        </is>
      </c>
      <c r="S84">
        <f>HYPERLINK("https://klasma.github.io/Logging_2029/artfynd/A 164-2024 artfynd.xlsx", "A 164-2024")</f>
        <v/>
      </c>
      <c r="T84">
        <f>HYPERLINK("https://klasma.github.io/Logging_2029/kartor/A 164-2024 karta.png", "A 164-2024")</f>
        <v/>
      </c>
      <c r="V84">
        <f>HYPERLINK("https://klasma.github.io/Logging_2029/klagomål/A 164-2024 FSC-klagomål.docx", "A 164-2024")</f>
        <v/>
      </c>
      <c r="W84">
        <f>HYPERLINK("https://klasma.github.io/Logging_2029/klagomålsmail/A 164-2024 FSC-klagomål mail.docx", "A 164-2024")</f>
        <v/>
      </c>
      <c r="X84">
        <f>HYPERLINK("https://klasma.github.io/Logging_2029/tillsyn/A 164-2024 tillsynsbegäran.docx", "A 164-2024")</f>
        <v/>
      </c>
      <c r="Y84">
        <f>HYPERLINK("https://klasma.github.io/Logging_2029/tillsynsmail/A 164-2024 tillsynsbegäran mail.docx", "A 164-2024")</f>
        <v/>
      </c>
      <c r="Z84">
        <f>HYPERLINK("https://klasma.github.io/Logging_2029/fåglar/A 164-2024 prioriterade fågelarter.docx", "A 164-2024")</f>
        <v/>
      </c>
    </row>
    <row r="85" ht="15" customHeight="1">
      <c r="A85" t="inlineStr">
        <is>
          <t>A 36438-2021</t>
        </is>
      </c>
      <c r="B85" s="1" t="n">
        <v>44390</v>
      </c>
      <c r="C85" s="1" t="n">
        <v>46194</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46194</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46194</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46194</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46194</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46194</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46194</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46194</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46194</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46194</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46194</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791-2022</t>
        </is>
      </c>
      <c r="B96" s="1" t="n">
        <v>44570</v>
      </c>
      <c r="C96" s="1" t="n">
        <v>46194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63831-2021</t>
        </is>
      </c>
      <c r="B97" s="1" t="n">
        <v>44509</v>
      </c>
      <c r="C97" s="1" t="n">
        <v>46194</v>
      </c>
      <c r="D97" t="inlineStr">
        <is>
          <t>DALARNAS LÄN</t>
        </is>
      </c>
      <c r="E97" t="inlineStr">
        <is>
          <t>LEKSAND</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37531-2021</t>
        </is>
      </c>
      <c r="B98" s="1" t="n">
        <v>44399</v>
      </c>
      <c r="C98" s="1" t="n">
        <v>46194</v>
      </c>
      <c r="D98" t="inlineStr">
        <is>
          <t>DALARNAS LÄN</t>
        </is>
      </c>
      <c r="E98" t="inlineStr">
        <is>
          <t>LEKSAND</t>
        </is>
      </c>
      <c r="G98" t="n">
        <v>1.5</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46194</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46194</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46194</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46194</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46194</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46194</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46194</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46194</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46194</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46194</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46194</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46194</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46194</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46194</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46194</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46194</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40752-2024</t>
        </is>
      </c>
      <c r="B116" s="1" t="n">
        <v>45558</v>
      </c>
      <c r="C116" s="1" t="n">
        <v>46194</v>
      </c>
      <c r="D116" t="inlineStr">
        <is>
          <t>DALARNAS LÄN</t>
        </is>
      </c>
      <c r="E116" t="inlineStr">
        <is>
          <t>LEKSAND</t>
        </is>
      </c>
      <c r="G116" t="n">
        <v>1</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46194</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31871-2022</t>
        </is>
      </c>
      <c r="B118" s="1" t="n">
        <v>44777</v>
      </c>
      <c r="C118" s="1" t="n">
        <v>46194</v>
      </c>
      <c r="D118" t="inlineStr">
        <is>
          <t>DALARNAS LÄN</t>
        </is>
      </c>
      <c r="E118" t="inlineStr">
        <is>
          <t>LEKSAND</t>
        </is>
      </c>
      <c r="G118" t="n">
        <v>4.1</v>
      </c>
      <c r="H118" t="n">
        <v>0</v>
      </c>
      <c r="I118" t="n">
        <v>0</v>
      </c>
      <c r="J118" t="n">
        <v>0</v>
      </c>
      <c r="K118" t="n">
        <v>0</v>
      </c>
      <c r="L118" t="n">
        <v>0</v>
      </c>
      <c r="M118" t="n">
        <v>0</v>
      </c>
      <c r="N118" t="n">
        <v>0</v>
      </c>
      <c r="O118" t="n">
        <v>0</v>
      </c>
      <c r="P118" t="n">
        <v>0</v>
      </c>
      <c r="Q118" t="n">
        <v>0</v>
      </c>
      <c r="R118" s="2" t="inlineStr"/>
    </row>
    <row r="119" ht="15" customHeight="1">
      <c r="A119" t="inlineStr">
        <is>
          <t>A 10743-2024</t>
        </is>
      </c>
      <c r="B119" s="1" t="n">
        <v>45369</v>
      </c>
      <c r="C119" s="1" t="n">
        <v>46194</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46194</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45155-2021</t>
        </is>
      </c>
      <c r="B121" s="1" t="n">
        <v>44439</v>
      </c>
      <c r="C121" s="1" t="n">
        <v>46194</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58244-2024</t>
        </is>
      </c>
      <c r="B122" s="1" t="n">
        <v>45631</v>
      </c>
      <c r="C122" s="1" t="n">
        <v>46194</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11606-2025</t>
        </is>
      </c>
      <c r="B123" s="1" t="n">
        <v>45727</v>
      </c>
      <c r="C123" s="1" t="n">
        <v>46194</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21954-2023</t>
        </is>
      </c>
      <c r="B124" s="1" t="n">
        <v>45068</v>
      </c>
      <c r="C124" s="1" t="n">
        <v>46194</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10367-2023</t>
        </is>
      </c>
      <c r="B125" s="1" t="n">
        <v>44987</v>
      </c>
      <c r="C125" s="1" t="n">
        <v>46194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18140-2022</t>
        </is>
      </c>
      <c r="B126" s="1" t="n">
        <v>44684</v>
      </c>
      <c r="C126" s="1" t="n">
        <v>46194</v>
      </c>
      <c r="D126" t="inlineStr">
        <is>
          <t>DALARNAS LÄN</t>
        </is>
      </c>
      <c r="E126" t="inlineStr">
        <is>
          <t>LEKSAND</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49581-2022</t>
        </is>
      </c>
      <c r="B127" s="1" t="n">
        <v>44862</v>
      </c>
      <c r="C127" s="1" t="n">
        <v>46194</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8743-2023</t>
        </is>
      </c>
      <c r="B128" s="1" t="n">
        <v>44978</v>
      </c>
      <c r="C128" s="1" t="n">
        <v>46194</v>
      </c>
      <c r="D128" t="inlineStr">
        <is>
          <t>DALARNAS LÄN</t>
        </is>
      </c>
      <c r="E128" t="inlineStr">
        <is>
          <t>LEKSAND</t>
        </is>
      </c>
      <c r="G128" t="n">
        <v>3</v>
      </c>
      <c r="H128" t="n">
        <v>0</v>
      </c>
      <c r="I128" t="n">
        <v>0</v>
      </c>
      <c r="J128" t="n">
        <v>0</v>
      </c>
      <c r="K128" t="n">
        <v>0</v>
      </c>
      <c r="L128" t="n">
        <v>0</v>
      </c>
      <c r="M128" t="n">
        <v>0</v>
      </c>
      <c r="N128" t="n">
        <v>0</v>
      </c>
      <c r="O128" t="n">
        <v>0</v>
      </c>
      <c r="P128" t="n">
        <v>0</v>
      </c>
      <c r="Q128" t="n">
        <v>0</v>
      </c>
      <c r="R128" s="2" t="inlineStr"/>
    </row>
    <row r="129" ht="15" customHeight="1">
      <c r="A129" t="inlineStr">
        <is>
          <t>A 35080-2022</t>
        </is>
      </c>
      <c r="B129" s="1" t="n">
        <v>44797</v>
      </c>
      <c r="C129" s="1" t="n">
        <v>46194</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70098-2021</t>
        </is>
      </c>
      <c r="B130" s="1" t="n">
        <v>44533</v>
      </c>
      <c r="C130" s="1" t="n">
        <v>46194</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1946-2024</t>
        </is>
      </c>
      <c r="B131" s="1" t="n">
        <v>45308</v>
      </c>
      <c r="C131" s="1" t="n">
        <v>46194</v>
      </c>
      <c r="D131" t="inlineStr">
        <is>
          <t>DALARNAS LÄN</t>
        </is>
      </c>
      <c r="E131" t="inlineStr">
        <is>
          <t>LEKSAND</t>
        </is>
      </c>
      <c r="G131" t="n">
        <v>2.3</v>
      </c>
      <c r="H131" t="n">
        <v>0</v>
      </c>
      <c r="I131" t="n">
        <v>0</v>
      </c>
      <c r="J131" t="n">
        <v>0</v>
      </c>
      <c r="K131" t="n">
        <v>0</v>
      </c>
      <c r="L131" t="n">
        <v>0</v>
      </c>
      <c r="M131" t="n">
        <v>0</v>
      </c>
      <c r="N131" t="n">
        <v>0</v>
      </c>
      <c r="O131" t="n">
        <v>0</v>
      </c>
      <c r="P131" t="n">
        <v>0</v>
      </c>
      <c r="Q131" t="n">
        <v>0</v>
      </c>
      <c r="R131" s="2" t="inlineStr"/>
    </row>
    <row r="132" ht="15" customHeight="1">
      <c r="A132" t="inlineStr">
        <is>
          <t>A 63544-2023</t>
        </is>
      </c>
      <c r="B132" s="1" t="n">
        <v>45275</v>
      </c>
      <c r="C132" s="1" t="n">
        <v>46194</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59763-2023</t>
        </is>
      </c>
      <c r="B133" s="1" t="n">
        <v>45257</v>
      </c>
      <c r="C133" s="1" t="n">
        <v>46194</v>
      </c>
      <c r="D133" t="inlineStr">
        <is>
          <t>DALARNAS LÄN</t>
        </is>
      </c>
      <c r="E133" t="inlineStr">
        <is>
          <t>LEKSAND</t>
        </is>
      </c>
      <c r="G133" t="n">
        <v>1.6</v>
      </c>
      <c r="H133" t="n">
        <v>0</v>
      </c>
      <c r="I133" t="n">
        <v>0</v>
      </c>
      <c r="J133" t="n">
        <v>0</v>
      </c>
      <c r="K133" t="n">
        <v>0</v>
      </c>
      <c r="L133" t="n">
        <v>0</v>
      </c>
      <c r="M133" t="n">
        <v>0</v>
      </c>
      <c r="N133" t="n">
        <v>0</v>
      </c>
      <c r="O133" t="n">
        <v>0</v>
      </c>
      <c r="P133" t="n">
        <v>0</v>
      </c>
      <c r="Q133" t="n">
        <v>0</v>
      </c>
      <c r="R133" s="2" t="inlineStr"/>
    </row>
    <row r="134" ht="15" customHeight="1">
      <c r="A134" t="inlineStr">
        <is>
          <t>A 43410-2021</t>
        </is>
      </c>
      <c r="B134" s="1" t="n">
        <v>44432</v>
      </c>
      <c r="C134" s="1" t="n">
        <v>46194</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17533-2023</t>
        </is>
      </c>
      <c r="B135" s="1" t="n">
        <v>45036</v>
      </c>
      <c r="C135" s="1" t="n">
        <v>46194</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72155-2021</t>
        </is>
      </c>
      <c r="B136" s="1" t="n">
        <v>44543</v>
      </c>
      <c r="C136" s="1" t="n">
        <v>46194</v>
      </c>
      <c r="D136" t="inlineStr">
        <is>
          <t>DALARNAS LÄN</t>
        </is>
      </c>
      <c r="E136" t="inlineStr">
        <is>
          <t>LEKSAND</t>
        </is>
      </c>
      <c r="G136" t="n">
        <v>2.5</v>
      </c>
      <c r="H136" t="n">
        <v>0</v>
      </c>
      <c r="I136" t="n">
        <v>0</v>
      </c>
      <c r="J136" t="n">
        <v>0</v>
      </c>
      <c r="K136" t="n">
        <v>0</v>
      </c>
      <c r="L136" t="n">
        <v>0</v>
      </c>
      <c r="M136" t="n">
        <v>0</v>
      </c>
      <c r="N136" t="n">
        <v>0</v>
      </c>
      <c r="O136" t="n">
        <v>0</v>
      </c>
      <c r="P136" t="n">
        <v>0</v>
      </c>
      <c r="Q136" t="n">
        <v>0</v>
      </c>
      <c r="R136" s="2" t="inlineStr"/>
    </row>
    <row r="137" ht="15" customHeight="1">
      <c r="A137" t="inlineStr">
        <is>
          <t>A 28032-2024</t>
        </is>
      </c>
      <c r="B137" s="1" t="n">
        <v>45476</v>
      </c>
      <c r="C137" s="1" t="n">
        <v>46194</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19550-2023</t>
        </is>
      </c>
      <c r="B138" s="1" t="n">
        <v>45049</v>
      </c>
      <c r="C138" s="1" t="n">
        <v>46194</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47203-2023</t>
        </is>
      </c>
      <c r="B139" s="1" t="n">
        <v>45202</v>
      </c>
      <c r="C139" s="1" t="n">
        <v>46194</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9105-2024</t>
        </is>
      </c>
      <c r="B140" s="1" t="n">
        <v>45357</v>
      </c>
      <c r="C140" s="1" t="n">
        <v>46194</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50447-2023</t>
        </is>
      </c>
      <c r="B141" s="1" t="n">
        <v>45216</v>
      </c>
      <c r="C141" s="1" t="n">
        <v>46194</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53717-2023</t>
        </is>
      </c>
      <c r="B142" s="1" t="n">
        <v>45230</v>
      </c>
      <c r="C142" s="1" t="n">
        <v>46194</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61787-2022</t>
        </is>
      </c>
      <c r="B143" s="1" t="n">
        <v>44917</v>
      </c>
      <c r="C143" s="1" t="n">
        <v>46194</v>
      </c>
      <c r="D143" t="inlineStr">
        <is>
          <t>DALARNAS LÄN</t>
        </is>
      </c>
      <c r="E143" t="inlineStr">
        <is>
          <t>LEKSAND</t>
        </is>
      </c>
      <c r="G143" t="n">
        <v>1</v>
      </c>
      <c r="H143" t="n">
        <v>0</v>
      </c>
      <c r="I143" t="n">
        <v>0</v>
      </c>
      <c r="J143" t="n">
        <v>0</v>
      </c>
      <c r="K143" t="n">
        <v>0</v>
      </c>
      <c r="L143" t="n">
        <v>0</v>
      </c>
      <c r="M143" t="n">
        <v>0</v>
      </c>
      <c r="N143" t="n">
        <v>0</v>
      </c>
      <c r="O143" t="n">
        <v>0</v>
      </c>
      <c r="P143" t="n">
        <v>0</v>
      </c>
      <c r="Q143" t="n">
        <v>0</v>
      </c>
      <c r="R143" s="2" t="inlineStr"/>
    </row>
    <row r="144" ht="15" customHeight="1">
      <c r="A144" t="inlineStr">
        <is>
          <t>A 45040-2021</t>
        </is>
      </c>
      <c r="B144" s="1" t="n">
        <v>44438</v>
      </c>
      <c r="C144" s="1" t="n">
        <v>46194</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43470-2024</t>
        </is>
      </c>
      <c r="B145" s="1" t="n">
        <v>45568</v>
      </c>
      <c r="C145" s="1" t="n">
        <v>46194</v>
      </c>
      <c r="D145" t="inlineStr">
        <is>
          <t>DALARNAS LÄN</t>
        </is>
      </c>
      <c r="E145" t="inlineStr">
        <is>
          <t>LEKSAND</t>
        </is>
      </c>
      <c r="G145" t="n">
        <v>3.1</v>
      </c>
      <c r="H145" t="n">
        <v>0</v>
      </c>
      <c r="I145" t="n">
        <v>0</v>
      </c>
      <c r="J145" t="n">
        <v>0</v>
      </c>
      <c r="K145" t="n">
        <v>0</v>
      </c>
      <c r="L145" t="n">
        <v>0</v>
      </c>
      <c r="M145" t="n">
        <v>0</v>
      </c>
      <c r="N145" t="n">
        <v>0</v>
      </c>
      <c r="O145" t="n">
        <v>0</v>
      </c>
      <c r="P145" t="n">
        <v>0</v>
      </c>
      <c r="Q145" t="n">
        <v>0</v>
      </c>
      <c r="R145" s="2" t="inlineStr"/>
    </row>
    <row r="146" ht="15" customHeight="1">
      <c r="A146" t="inlineStr">
        <is>
          <t>A 28913-2024</t>
        </is>
      </c>
      <c r="B146" s="1" t="n">
        <v>45480</v>
      </c>
      <c r="C146" s="1" t="n">
        <v>46194</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54914-2024</t>
        </is>
      </c>
      <c r="B147" s="1" t="n">
        <v>45618</v>
      </c>
      <c r="C147" s="1" t="n">
        <v>46194</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6050-2023</t>
        </is>
      </c>
      <c r="B148" s="1" t="n">
        <v>44959</v>
      </c>
      <c r="C148" s="1" t="n">
        <v>46194</v>
      </c>
      <c r="D148" t="inlineStr">
        <is>
          <t>DALARNAS LÄN</t>
        </is>
      </c>
      <c r="E148" t="inlineStr">
        <is>
          <t>LEKSAND</t>
        </is>
      </c>
      <c r="G148" t="n">
        <v>6.2</v>
      </c>
      <c r="H148" t="n">
        <v>0</v>
      </c>
      <c r="I148" t="n">
        <v>0</v>
      </c>
      <c r="J148" t="n">
        <v>0</v>
      </c>
      <c r="K148" t="n">
        <v>0</v>
      </c>
      <c r="L148" t="n">
        <v>0</v>
      </c>
      <c r="M148" t="n">
        <v>0</v>
      </c>
      <c r="N148" t="n">
        <v>0</v>
      </c>
      <c r="O148" t="n">
        <v>0</v>
      </c>
      <c r="P148" t="n">
        <v>0</v>
      </c>
      <c r="Q148" t="n">
        <v>0</v>
      </c>
      <c r="R148" s="2" t="inlineStr"/>
    </row>
    <row r="149" ht="15" customHeight="1">
      <c r="A149" t="inlineStr">
        <is>
          <t>A 27791-2023</t>
        </is>
      </c>
      <c r="B149" s="1" t="n">
        <v>45098</v>
      </c>
      <c r="C149" s="1" t="n">
        <v>46194</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167-2023</t>
        </is>
      </c>
      <c r="B150" s="1" t="n">
        <v>44918</v>
      </c>
      <c r="C150" s="1" t="n">
        <v>46194</v>
      </c>
      <c r="D150" t="inlineStr">
        <is>
          <t>DALARNAS LÄN</t>
        </is>
      </c>
      <c r="E150" t="inlineStr">
        <is>
          <t>LEKSAND</t>
        </is>
      </c>
      <c r="G150" t="n">
        <v>0.5</v>
      </c>
      <c r="H150" t="n">
        <v>0</v>
      </c>
      <c r="I150" t="n">
        <v>0</v>
      </c>
      <c r="J150" t="n">
        <v>0</v>
      </c>
      <c r="K150" t="n">
        <v>0</v>
      </c>
      <c r="L150" t="n">
        <v>0</v>
      </c>
      <c r="M150" t="n">
        <v>0</v>
      </c>
      <c r="N150" t="n">
        <v>0</v>
      </c>
      <c r="O150" t="n">
        <v>0</v>
      </c>
      <c r="P150" t="n">
        <v>0</v>
      </c>
      <c r="Q150" t="n">
        <v>0</v>
      </c>
      <c r="R150" s="2" t="inlineStr"/>
    </row>
    <row r="151" ht="15" customHeight="1">
      <c r="A151" t="inlineStr">
        <is>
          <t>A 56950-2024</t>
        </is>
      </c>
      <c r="B151" s="1" t="n">
        <v>45625</v>
      </c>
      <c r="C151" s="1" t="n">
        <v>46194</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14504-2025</t>
        </is>
      </c>
      <c r="B152" s="1" t="n">
        <v>45741</v>
      </c>
      <c r="C152" s="1" t="n">
        <v>46194</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19559-2023</t>
        </is>
      </c>
      <c r="B153" s="1" t="n">
        <v>45050</v>
      </c>
      <c r="C153" s="1" t="n">
        <v>46194</v>
      </c>
      <c r="D153" t="inlineStr">
        <is>
          <t>DALARNAS LÄN</t>
        </is>
      </c>
      <c r="E153" t="inlineStr">
        <is>
          <t>LEKSAND</t>
        </is>
      </c>
      <c r="G153" t="n">
        <v>0.1</v>
      </c>
      <c r="H153" t="n">
        <v>0</v>
      </c>
      <c r="I153" t="n">
        <v>0</v>
      </c>
      <c r="J153" t="n">
        <v>0</v>
      </c>
      <c r="K153" t="n">
        <v>0</v>
      </c>
      <c r="L153" t="n">
        <v>0</v>
      </c>
      <c r="M153" t="n">
        <v>0</v>
      </c>
      <c r="N153" t="n">
        <v>0</v>
      </c>
      <c r="O153" t="n">
        <v>0</v>
      </c>
      <c r="P153" t="n">
        <v>0</v>
      </c>
      <c r="Q153" t="n">
        <v>0</v>
      </c>
      <c r="R153" s="2" t="inlineStr"/>
    </row>
    <row r="154" ht="15" customHeight="1">
      <c r="A154" t="inlineStr">
        <is>
          <t>A 8046-2024</t>
        </is>
      </c>
      <c r="B154" s="1" t="n">
        <v>45351</v>
      </c>
      <c r="C154" s="1" t="n">
        <v>46194</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32072-2024</t>
        </is>
      </c>
      <c r="B155" s="1" t="n">
        <v>45510</v>
      </c>
      <c r="C155" s="1" t="n">
        <v>46194</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9938-2023</t>
        </is>
      </c>
      <c r="B156" s="1" t="n">
        <v>44985</v>
      </c>
      <c r="C156" s="1" t="n">
        <v>46194</v>
      </c>
      <c r="D156" t="inlineStr">
        <is>
          <t>DALARNAS LÄN</t>
        </is>
      </c>
      <c r="E156" t="inlineStr">
        <is>
          <t>LEKSAND</t>
        </is>
      </c>
      <c r="G156" t="n">
        <v>3.1</v>
      </c>
      <c r="H156" t="n">
        <v>0</v>
      </c>
      <c r="I156" t="n">
        <v>0</v>
      </c>
      <c r="J156" t="n">
        <v>0</v>
      </c>
      <c r="K156" t="n">
        <v>0</v>
      </c>
      <c r="L156" t="n">
        <v>0</v>
      </c>
      <c r="M156" t="n">
        <v>0</v>
      </c>
      <c r="N156" t="n">
        <v>0</v>
      </c>
      <c r="O156" t="n">
        <v>0</v>
      </c>
      <c r="P156" t="n">
        <v>0</v>
      </c>
      <c r="Q156" t="n">
        <v>0</v>
      </c>
      <c r="R156" s="2" t="inlineStr"/>
    </row>
    <row r="157" ht="15" customHeight="1">
      <c r="A157" t="inlineStr">
        <is>
          <t>A 59103-2024</t>
        </is>
      </c>
      <c r="B157" s="1" t="n">
        <v>45637</v>
      </c>
      <c r="C157" s="1" t="n">
        <v>46194</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13165-2023</t>
        </is>
      </c>
      <c r="B158" s="1" t="n">
        <v>45002</v>
      </c>
      <c r="C158" s="1" t="n">
        <v>46194</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70099-2021</t>
        </is>
      </c>
      <c r="B159" s="1" t="n">
        <v>44533</v>
      </c>
      <c r="C159" s="1" t="n">
        <v>46194</v>
      </c>
      <c r="D159" t="inlineStr">
        <is>
          <t>DALARNAS LÄN</t>
        </is>
      </c>
      <c r="E159" t="inlineStr">
        <is>
          <t>LEKSAND</t>
        </is>
      </c>
      <c r="G159" t="n">
        <v>2.8</v>
      </c>
      <c r="H159" t="n">
        <v>0</v>
      </c>
      <c r="I159" t="n">
        <v>0</v>
      </c>
      <c r="J159" t="n">
        <v>0</v>
      </c>
      <c r="K159" t="n">
        <v>0</v>
      </c>
      <c r="L159" t="n">
        <v>0</v>
      </c>
      <c r="M159" t="n">
        <v>0</v>
      </c>
      <c r="N159" t="n">
        <v>0</v>
      </c>
      <c r="O159" t="n">
        <v>0</v>
      </c>
      <c r="P159" t="n">
        <v>0</v>
      </c>
      <c r="Q159" t="n">
        <v>0</v>
      </c>
      <c r="R159" s="2" t="inlineStr"/>
    </row>
    <row r="160" ht="15" customHeight="1">
      <c r="A160" t="inlineStr">
        <is>
          <t>A 7467-2023</t>
        </is>
      </c>
      <c r="B160" s="1" t="n">
        <v>44966</v>
      </c>
      <c r="C160" s="1" t="n">
        <v>46194</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45788-2021</t>
        </is>
      </c>
      <c r="B161" s="1" t="n">
        <v>44441</v>
      </c>
      <c r="C161" s="1" t="n">
        <v>46194</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15173-2025</t>
        </is>
      </c>
      <c r="B162" s="1" t="n">
        <v>45744</v>
      </c>
      <c r="C162" s="1" t="n">
        <v>46194</v>
      </c>
      <c r="D162" t="inlineStr">
        <is>
          <t>DALARNAS LÄN</t>
        </is>
      </c>
      <c r="E162" t="inlineStr">
        <is>
          <t>LEKSAND</t>
        </is>
      </c>
      <c r="G162" t="n">
        <v>0.3</v>
      </c>
      <c r="H162" t="n">
        <v>0</v>
      </c>
      <c r="I162" t="n">
        <v>0</v>
      </c>
      <c r="J162" t="n">
        <v>0</v>
      </c>
      <c r="K162" t="n">
        <v>0</v>
      </c>
      <c r="L162" t="n">
        <v>0</v>
      </c>
      <c r="M162" t="n">
        <v>0</v>
      </c>
      <c r="N162" t="n">
        <v>0</v>
      </c>
      <c r="O162" t="n">
        <v>0</v>
      </c>
      <c r="P162" t="n">
        <v>0</v>
      </c>
      <c r="Q162" t="n">
        <v>0</v>
      </c>
      <c r="R162" s="2" t="inlineStr"/>
    </row>
    <row r="163" ht="15" customHeight="1">
      <c r="A163" t="inlineStr">
        <is>
          <t>A 30611-2023</t>
        </is>
      </c>
      <c r="B163" s="1" t="n">
        <v>45112</v>
      </c>
      <c r="C163" s="1" t="n">
        <v>46194</v>
      </c>
      <c r="D163" t="inlineStr">
        <is>
          <t>DALARNAS LÄN</t>
        </is>
      </c>
      <c r="E163" t="inlineStr">
        <is>
          <t>LEKSAND</t>
        </is>
      </c>
      <c r="G163" t="n">
        <v>3.1</v>
      </c>
      <c r="H163" t="n">
        <v>0</v>
      </c>
      <c r="I163" t="n">
        <v>0</v>
      </c>
      <c r="J163" t="n">
        <v>0</v>
      </c>
      <c r="K163" t="n">
        <v>0</v>
      </c>
      <c r="L163" t="n">
        <v>0</v>
      </c>
      <c r="M163" t="n">
        <v>0</v>
      </c>
      <c r="N163" t="n">
        <v>0</v>
      </c>
      <c r="O163" t="n">
        <v>0</v>
      </c>
      <c r="P163" t="n">
        <v>0</v>
      </c>
      <c r="Q163" t="n">
        <v>0</v>
      </c>
      <c r="R163" s="2" t="inlineStr"/>
    </row>
    <row r="164" ht="15" customHeight="1">
      <c r="A164" t="inlineStr">
        <is>
          <t>A 28128-2022</t>
        </is>
      </c>
      <c r="B164" s="1" t="n">
        <v>44746</v>
      </c>
      <c r="C164" s="1" t="n">
        <v>46194</v>
      </c>
      <c r="D164" t="inlineStr">
        <is>
          <t>DALARNAS LÄN</t>
        </is>
      </c>
      <c r="E164" t="inlineStr">
        <is>
          <t>LEKSAND</t>
        </is>
      </c>
      <c r="G164" t="n">
        <v>3.5</v>
      </c>
      <c r="H164" t="n">
        <v>0</v>
      </c>
      <c r="I164" t="n">
        <v>0</v>
      </c>
      <c r="J164" t="n">
        <v>0</v>
      </c>
      <c r="K164" t="n">
        <v>0</v>
      </c>
      <c r="L164" t="n">
        <v>0</v>
      </c>
      <c r="M164" t="n">
        <v>0</v>
      </c>
      <c r="N164" t="n">
        <v>0</v>
      </c>
      <c r="O164" t="n">
        <v>0</v>
      </c>
      <c r="P164" t="n">
        <v>0</v>
      </c>
      <c r="Q164" t="n">
        <v>0</v>
      </c>
      <c r="R164" s="2" t="inlineStr"/>
    </row>
    <row r="165" ht="15" customHeight="1">
      <c r="A165" t="inlineStr">
        <is>
          <t>A 31254-2023</t>
        </is>
      </c>
      <c r="B165" s="1" t="n">
        <v>45114</v>
      </c>
      <c r="C165" s="1" t="n">
        <v>46194</v>
      </c>
      <c r="D165" t="inlineStr">
        <is>
          <t>DALARNAS LÄN</t>
        </is>
      </c>
      <c r="E165" t="inlineStr">
        <is>
          <t>LEKSAND</t>
        </is>
      </c>
      <c r="G165" t="n">
        <v>1.4</v>
      </c>
      <c r="H165" t="n">
        <v>0</v>
      </c>
      <c r="I165" t="n">
        <v>0</v>
      </c>
      <c r="J165" t="n">
        <v>0</v>
      </c>
      <c r="K165" t="n">
        <v>0</v>
      </c>
      <c r="L165" t="n">
        <v>0</v>
      </c>
      <c r="M165" t="n">
        <v>0</v>
      </c>
      <c r="N165" t="n">
        <v>0</v>
      </c>
      <c r="O165" t="n">
        <v>0</v>
      </c>
      <c r="P165" t="n">
        <v>0</v>
      </c>
      <c r="Q165" t="n">
        <v>0</v>
      </c>
      <c r="R165" s="2" t="inlineStr"/>
    </row>
    <row r="166" ht="15" customHeight="1">
      <c r="A166" t="inlineStr">
        <is>
          <t>A 62306-2023</t>
        </is>
      </c>
      <c r="B166" s="1" t="n">
        <v>45266</v>
      </c>
      <c r="C166" s="1" t="n">
        <v>46194</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28592-2023</t>
        </is>
      </c>
      <c r="B167" s="1" t="n">
        <v>45103</v>
      </c>
      <c r="C167" s="1" t="n">
        <v>46194</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28921-2023</t>
        </is>
      </c>
      <c r="B168" s="1" t="n">
        <v>45104</v>
      </c>
      <c r="C168" s="1" t="n">
        <v>46194</v>
      </c>
      <c r="D168" t="inlineStr">
        <is>
          <t>DALARNAS LÄN</t>
        </is>
      </c>
      <c r="E168" t="inlineStr">
        <is>
          <t>LEKSAND</t>
        </is>
      </c>
      <c r="G168" t="n">
        <v>4.4</v>
      </c>
      <c r="H168" t="n">
        <v>0</v>
      </c>
      <c r="I168" t="n">
        <v>0</v>
      </c>
      <c r="J168" t="n">
        <v>0</v>
      </c>
      <c r="K168" t="n">
        <v>0</v>
      </c>
      <c r="L168" t="n">
        <v>0</v>
      </c>
      <c r="M168" t="n">
        <v>0</v>
      </c>
      <c r="N168" t="n">
        <v>0</v>
      </c>
      <c r="O168" t="n">
        <v>0</v>
      </c>
      <c r="P168" t="n">
        <v>0</v>
      </c>
      <c r="Q168" t="n">
        <v>0</v>
      </c>
      <c r="R168" s="2" t="inlineStr"/>
    </row>
    <row r="169" ht="15" customHeight="1">
      <c r="A169" t="inlineStr">
        <is>
          <t>A 38001-2023</t>
        </is>
      </c>
      <c r="B169" s="1" t="n">
        <v>45160</v>
      </c>
      <c r="C169" s="1" t="n">
        <v>46194</v>
      </c>
      <c r="D169" t="inlineStr">
        <is>
          <t>DALARNAS LÄN</t>
        </is>
      </c>
      <c r="E169" t="inlineStr">
        <is>
          <t>LEKSAND</t>
        </is>
      </c>
      <c r="G169" t="n">
        <v>3.6</v>
      </c>
      <c r="H169" t="n">
        <v>0</v>
      </c>
      <c r="I169" t="n">
        <v>0</v>
      </c>
      <c r="J169" t="n">
        <v>0</v>
      </c>
      <c r="K169" t="n">
        <v>0</v>
      </c>
      <c r="L169" t="n">
        <v>0</v>
      </c>
      <c r="M169" t="n">
        <v>0</v>
      </c>
      <c r="N169" t="n">
        <v>0</v>
      </c>
      <c r="O169" t="n">
        <v>0</v>
      </c>
      <c r="P169" t="n">
        <v>0</v>
      </c>
      <c r="Q169" t="n">
        <v>0</v>
      </c>
      <c r="R169" s="2" t="inlineStr"/>
    </row>
    <row r="170" ht="15" customHeight="1">
      <c r="A170" t="inlineStr">
        <is>
          <t>A 5583-2024</t>
        </is>
      </c>
      <c r="B170" s="1" t="n">
        <v>45334</v>
      </c>
      <c r="C170" s="1" t="n">
        <v>46194</v>
      </c>
      <c r="D170" t="inlineStr">
        <is>
          <t>DALARNAS LÄN</t>
        </is>
      </c>
      <c r="E170" t="inlineStr">
        <is>
          <t>LEKSAND</t>
        </is>
      </c>
      <c r="F170" t="inlineStr">
        <is>
          <t>Kyrkan</t>
        </is>
      </c>
      <c r="G170" t="n">
        <v>0.4</v>
      </c>
      <c r="H170" t="n">
        <v>0</v>
      </c>
      <c r="I170" t="n">
        <v>0</v>
      </c>
      <c r="J170" t="n">
        <v>0</v>
      </c>
      <c r="K170" t="n">
        <v>0</v>
      </c>
      <c r="L170" t="n">
        <v>0</v>
      </c>
      <c r="M170" t="n">
        <v>0</v>
      </c>
      <c r="N170" t="n">
        <v>0</v>
      </c>
      <c r="O170" t="n">
        <v>0</v>
      </c>
      <c r="P170" t="n">
        <v>0</v>
      </c>
      <c r="Q170" t="n">
        <v>0</v>
      </c>
      <c r="R170" s="2" t="inlineStr"/>
    </row>
    <row r="171" ht="15" customHeight="1">
      <c r="A171" t="inlineStr">
        <is>
          <t>A 8940-2023</t>
        </is>
      </c>
      <c r="B171" s="1" t="n">
        <v>44974</v>
      </c>
      <c r="C171" s="1" t="n">
        <v>46194</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9459-2023</t>
        </is>
      </c>
      <c r="B172" s="1" t="n">
        <v>44977</v>
      </c>
      <c r="C172" s="1" t="n">
        <v>46194</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2630-2025</t>
        </is>
      </c>
      <c r="B173" s="1" t="n">
        <v>45675</v>
      </c>
      <c r="C173" s="1" t="n">
        <v>46194</v>
      </c>
      <c r="D173" t="inlineStr">
        <is>
          <t>DALARNAS LÄN</t>
        </is>
      </c>
      <c r="E173" t="inlineStr">
        <is>
          <t>LEKSAND</t>
        </is>
      </c>
      <c r="G173" t="n">
        <v>1.6</v>
      </c>
      <c r="H173" t="n">
        <v>0</v>
      </c>
      <c r="I173" t="n">
        <v>0</v>
      </c>
      <c r="J173" t="n">
        <v>0</v>
      </c>
      <c r="K173" t="n">
        <v>0</v>
      </c>
      <c r="L173" t="n">
        <v>0</v>
      </c>
      <c r="M173" t="n">
        <v>0</v>
      </c>
      <c r="N173" t="n">
        <v>0</v>
      </c>
      <c r="O173" t="n">
        <v>0</v>
      </c>
      <c r="P173" t="n">
        <v>0</v>
      </c>
      <c r="Q173" t="n">
        <v>0</v>
      </c>
      <c r="R173" s="2" t="inlineStr"/>
    </row>
    <row r="174" ht="15" customHeight="1">
      <c r="A174" t="inlineStr">
        <is>
          <t>A 48721-2023</t>
        </is>
      </c>
      <c r="B174" s="1" t="n">
        <v>45203</v>
      </c>
      <c r="C174" s="1" t="n">
        <v>46194</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13063-2023</t>
        </is>
      </c>
      <c r="B175" s="1" t="n">
        <v>45001</v>
      </c>
      <c r="C175" s="1" t="n">
        <v>46194</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7417-2024</t>
        </is>
      </c>
      <c r="B176" s="1" t="n">
        <v>45345</v>
      </c>
      <c r="C176" s="1" t="n">
        <v>46194</v>
      </c>
      <c r="D176" t="inlineStr">
        <is>
          <t>DALARNAS LÄN</t>
        </is>
      </c>
      <c r="E176" t="inlineStr">
        <is>
          <t>LEKSAND</t>
        </is>
      </c>
      <c r="G176" t="n">
        <v>2.8</v>
      </c>
      <c r="H176" t="n">
        <v>0</v>
      </c>
      <c r="I176" t="n">
        <v>0</v>
      </c>
      <c r="J176" t="n">
        <v>0</v>
      </c>
      <c r="K176" t="n">
        <v>0</v>
      </c>
      <c r="L176" t="n">
        <v>0</v>
      </c>
      <c r="M176" t="n">
        <v>0</v>
      </c>
      <c r="N176" t="n">
        <v>0</v>
      </c>
      <c r="O176" t="n">
        <v>0</v>
      </c>
      <c r="P176" t="n">
        <v>0</v>
      </c>
      <c r="Q176" t="n">
        <v>0</v>
      </c>
      <c r="R176" s="2" t="inlineStr"/>
    </row>
    <row r="177" ht="15" customHeight="1">
      <c r="A177" t="inlineStr">
        <is>
          <t>A 36444-2023</t>
        </is>
      </c>
      <c r="B177" s="1" t="n">
        <v>45152</v>
      </c>
      <c r="C177" s="1" t="n">
        <v>46194</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33463-2023</t>
        </is>
      </c>
      <c r="B178" s="1" t="n">
        <v>45131</v>
      </c>
      <c r="C178" s="1" t="n">
        <v>46194</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38619-2021</t>
        </is>
      </c>
      <c r="B179" s="1" t="n">
        <v>44409</v>
      </c>
      <c r="C179" s="1" t="n">
        <v>46194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8755-2023</t>
        </is>
      </c>
      <c r="B180" s="1" t="n">
        <v>44978</v>
      </c>
      <c r="C180" s="1" t="n">
        <v>46194</v>
      </c>
      <c r="D180" t="inlineStr">
        <is>
          <t>DALARNAS LÄN</t>
        </is>
      </c>
      <c r="E180" t="inlineStr">
        <is>
          <t>LEKSAND</t>
        </is>
      </c>
      <c r="G180" t="n">
        <v>2.3</v>
      </c>
      <c r="H180" t="n">
        <v>0</v>
      </c>
      <c r="I180" t="n">
        <v>0</v>
      </c>
      <c r="J180" t="n">
        <v>0</v>
      </c>
      <c r="K180" t="n">
        <v>0</v>
      </c>
      <c r="L180" t="n">
        <v>0</v>
      </c>
      <c r="M180" t="n">
        <v>0</v>
      </c>
      <c r="N180" t="n">
        <v>0</v>
      </c>
      <c r="O180" t="n">
        <v>0</v>
      </c>
      <c r="P180" t="n">
        <v>0</v>
      </c>
      <c r="Q180" t="n">
        <v>0</v>
      </c>
      <c r="R180" s="2" t="inlineStr"/>
    </row>
    <row r="181" ht="15" customHeight="1">
      <c r="A181" t="inlineStr">
        <is>
          <t>A 10967-2023</t>
        </is>
      </c>
      <c r="B181" s="1" t="n">
        <v>44991</v>
      </c>
      <c r="C181" s="1" t="n">
        <v>46194</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10974-2023</t>
        </is>
      </c>
      <c r="B182" s="1" t="n">
        <v>44991</v>
      </c>
      <c r="C182" s="1" t="n">
        <v>46194</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12290-2024</t>
        </is>
      </c>
      <c r="B183" s="1" t="n">
        <v>45378</v>
      </c>
      <c r="C183" s="1" t="n">
        <v>46194</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46628-2024</t>
        </is>
      </c>
      <c r="B184" s="1" t="n">
        <v>45583</v>
      </c>
      <c r="C184" s="1" t="n">
        <v>46194</v>
      </c>
      <c r="D184" t="inlineStr">
        <is>
          <t>DALARNAS LÄN</t>
        </is>
      </c>
      <c r="E184" t="inlineStr">
        <is>
          <t>LEKSAND</t>
        </is>
      </c>
      <c r="G184" t="n">
        <v>0.2</v>
      </c>
      <c r="H184" t="n">
        <v>0</v>
      </c>
      <c r="I184" t="n">
        <v>0</v>
      </c>
      <c r="J184" t="n">
        <v>0</v>
      </c>
      <c r="K184" t="n">
        <v>0</v>
      </c>
      <c r="L184" t="n">
        <v>0</v>
      </c>
      <c r="M184" t="n">
        <v>0</v>
      </c>
      <c r="N184" t="n">
        <v>0</v>
      </c>
      <c r="O184" t="n">
        <v>0</v>
      </c>
      <c r="P184" t="n">
        <v>0</v>
      </c>
      <c r="Q184" t="n">
        <v>0</v>
      </c>
      <c r="R184" s="2" t="inlineStr"/>
    </row>
    <row r="185" ht="15" customHeight="1">
      <c r="A185" t="inlineStr">
        <is>
          <t>A 9141-2023</t>
        </is>
      </c>
      <c r="B185" s="1" t="n">
        <v>44974</v>
      </c>
      <c r="C185" s="1" t="n">
        <v>46194</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54844-2021</t>
        </is>
      </c>
      <c r="B186" s="1" t="n">
        <v>44474</v>
      </c>
      <c r="C186" s="1" t="n">
        <v>46194</v>
      </c>
      <c r="D186" t="inlineStr">
        <is>
          <t>DALARNAS LÄN</t>
        </is>
      </c>
      <c r="E186" t="inlineStr">
        <is>
          <t>LEKSAND</t>
        </is>
      </c>
      <c r="G186" t="n">
        <v>1.9</v>
      </c>
      <c r="H186" t="n">
        <v>0</v>
      </c>
      <c r="I186" t="n">
        <v>0</v>
      </c>
      <c r="J186" t="n">
        <v>0</v>
      </c>
      <c r="K186" t="n">
        <v>0</v>
      </c>
      <c r="L186" t="n">
        <v>0</v>
      </c>
      <c r="M186" t="n">
        <v>0</v>
      </c>
      <c r="N186" t="n">
        <v>0</v>
      </c>
      <c r="O186" t="n">
        <v>0</v>
      </c>
      <c r="P186" t="n">
        <v>0</v>
      </c>
      <c r="Q186" t="n">
        <v>0</v>
      </c>
      <c r="R186" s="2" t="inlineStr"/>
    </row>
    <row r="187" ht="15" customHeight="1">
      <c r="A187" t="inlineStr">
        <is>
          <t>A 11015-2022</t>
        </is>
      </c>
      <c r="B187" s="1" t="n">
        <v>44628</v>
      </c>
      <c r="C187" s="1" t="n">
        <v>46194</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8211-2023</t>
        </is>
      </c>
      <c r="B188" s="1" t="n">
        <v>44974</v>
      </c>
      <c r="C188" s="1" t="n">
        <v>46194</v>
      </c>
      <c r="D188" t="inlineStr">
        <is>
          <t>DALARNAS LÄN</t>
        </is>
      </c>
      <c r="E188" t="inlineStr">
        <is>
          <t>LEKSAND</t>
        </is>
      </c>
      <c r="G188" t="n">
        <v>5.2</v>
      </c>
      <c r="H188" t="n">
        <v>0</v>
      </c>
      <c r="I188" t="n">
        <v>0</v>
      </c>
      <c r="J188" t="n">
        <v>0</v>
      </c>
      <c r="K188" t="n">
        <v>0</v>
      </c>
      <c r="L188" t="n">
        <v>0</v>
      </c>
      <c r="M188" t="n">
        <v>0</v>
      </c>
      <c r="N188" t="n">
        <v>0</v>
      </c>
      <c r="O188" t="n">
        <v>0</v>
      </c>
      <c r="P188" t="n">
        <v>0</v>
      </c>
      <c r="Q188" t="n">
        <v>0</v>
      </c>
      <c r="R188" s="2" t="inlineStr"/>
    </row>
    <row r="189" ht="15" customHeight="1">
      <c r="A189" t="inlineStr">
        <is>
          <t>A 6758-2024</t>
        </is>
      </c>
      <c r="B189" s="1" t="n">
        <v>45342</v>
      </c>
      <c r="C189" s="1" t="n">
        <v>46194</v>
      </c>
      <c r="D189" t="inlineStr">
        <is>
          <t>DALARNAS LÄN</t>
        </is>
      </c>
      <c r="E189" t="inlineStr">
        <is>
          <t>LEKSAND</t>
        </is>
      </c>
      <c r="F189" t="inlineStr">
        <is>
          <t>Bergvik skog väst AB</t>
        </is>
      </c>
      <c r="G189" t="n">
        <v>6.2</v>
      </c>
      <c r="H189" t="n">
        <v>0</v>
      </c>
      <c r="I189" t="n">
        <v>0</v>
      </c>
      <c r="J189" t="n">
        <v>0</v>
      </c>
      <c r="K189" t="n">
        <v>0</v>
      </c>
      <c r="L189" t="n">
        <v>0</v>
      </c>
      <c r="M189" t="n">
        <v>0</v>
      </c>
      <c r="N189" t="n">
        <v>0</v>
      </c>
      <c r="O189" t="n">
        <v>0</v>
      </c>
      <c r="P189" t="n">
        <v>0</v>
      </c>
      <c r="Q189" t="n">
        <v>0</v>
      </c>
      <c r="R189" s="2" t="inlineStr"/>
    </row>
    <row r="190" ht="15" customHeight="1">
      <c r="A190" t="inlineStr">
        <is>
          <t>A 14616-2024</t>
        </is>
      </c>
      <c r="B190" s="1" t="n">
        <v>45397</v>
      </c>
      <c r="C190" s="1" t="n">
        <v>46194</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1182-2025</t>
        </is>
      </c>
      <c r="B191" s="1" t="n">
        <v>45667</v>
      </c>
      <c r="C191" s="1" t="n">
        <v>46194</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1519-2024</t>
        </is>
      </c>
      <c r="B192" s="1" t="n">
        <v>45306</v>
      </c>
      <c r="C192" s="1" t="n">
        <v>46194</v>
      </c>
      <c r="D192" t="inlineStr">
        <is>
          <t>DALARNAS LÄN</t>
        </is>
      </c>
      <c r="E192" t="inlineStr">
        <is>
          <t>LEKSAND</t>
        </is>
      </c>
      <c r="G192" t="n">
        <v>3.3</v>
      </c>
      <c r="H192" t="n">
        <v>0</v>
      </c>
      <c r="I192" t="n">
        <v>0</v>
      </c>
      <c r="J192" t="n">
        <v>0</v>
      </c>
      <c r="K192" t="n">
        <v>0</v>
      </c>
      <c r="L192" t="n">
        <v>0</v>
      </c>
      <c r="M192" t="n">
        <v>0</v>
      </c>
      <c r="N192" t="n">
        <v>0</v>
      </c>
      <c r="O192" t="n">
        <v>0</v>
      </c>
      <c r="P192" t="n">
        <v>0</v>
      </c>
      <c r="Q192" t="n">
        <v>0</v>
      </c>
      <c r="R192" s="2" t="inlineStr"/>
    </row>
    <row r="193" ht="15" customHeight="1">
      <c r="A193" t="inlineStr">
        <is>
          <t>A 46665-2023</t>
        </is>
      </c>
      <c r="B193" s="1" t="n">
        <v>45198</v>
      </c>
      <c r="C193" s="1" t="n">
        <v>46194</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48644-2023</t>
        </is>
      </c>
      <c r="B194" s="1" t="n">
        <v>45208</v>
      </c>
      <c r="C194" s="1" t="n">
        <v>46194</v>
      </c>
      <c r="D194" t="inlineStr">
        <is>
          <t>DALARNAS LÄN</t>
        </is>
      </c>
      <c r="E194" t="inlineStr">
        <is>
          <t>LEKSAND</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71817-2021</t>
        </is>
      </c>
      <c r="B195" s="1" t="n">
        <v>44543</v>
      </c>
      <c r="C195" s="1" t="n">
        <v>46194</v>
      </c>
      <c r="D195" t="inlineStr">
        <is>
          <t>DALARNAS LÄN</t>
        </is>
      </c>
      <c r="E195" t="inlineStr">
        <is>
          <t>LEKSAND</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25038-2023</t>
        </is>
      </c>
      <c r="B196" s="1" t="n">
        <v>45085</v>
      </c>
      <c r="C196" s="1" t="n">
        <v>46194</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19296-2024</t>
        </is>
      </c>
      <c r="B197" s="1" t="n">
        <v>45428</v>
      </c>
      <c r="C197" s="1" t="n">
        <v>46194</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32-2024</t>
        </is>
      </c>
      <c r="B198" s="1" t="n">
        <v>45293</v>
      </c>
      <c r="C198" s="1" t="n">
        <v>46194</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14615-2024</t>
        </is>
      </c>
      <c r="B199" s="1" t="n">
        <v>45397</v>
      </c>
      <c r="C199" s="1" t="n">
        <v>46194</v>
      </c>
      <c r="D199" t="inlineStr">
        <is>
          <t>DALARNAS LÄN</t>
        </is>
      </c>
      <c r="E199" t="inlineStr">
        <is>
          <t>LEKSAND</t>
        </is>
      </c>
      <c r="G199" t="n">
        <v>0.4</v>
      </c>
      <c r="H199" t="n">
        <v>0</v>
      </c>
      <c r="I199" t="n">
        <v>0</v>
      </c>
      <c r="J199" t="n">
        <v>0</v>
      </c>
      <c r="K199" t="n">
        <v>0</v>
      </c>
      <c r="L199" t="n">
        <v>0</v>
      </c>
      <c r="M199" t="n">
        <v>0</v>
      </c>
      <c r="N199" t="n">
        <v>0</v>
      </c>
      <c r="O199" t="n">
        <v>0</v>
      </c>
      <c r="P199" t="n">
        <v>0</v>
      </c>
      <c r="Q199" t="n">
        <v>0</v>
      </c>
      <c r="R199" s="2" t="inlineStr"/>
    </row>
    <row r="200" ht="15" customHeight="1">
      <c r="A200" t="inlineStr">
        <is>
          <t>A 51857-2022</t>
        </is>
      </c>
      <c r="B200" s="1" t="n">
        <v>44867</v>
      </c>
      <c r="C200" s="1" t="n">
        <v>46194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36932-2023</t>
        </is>
      </c>
      <c r="B201" s="1" t="n">
        <v>45154</v>
      </c>
      <c r="C201" s="1" t="n">
        <v>46194</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54289-2023</t>
        </is>
      </c>
      <c r="B202" s="1" t="n">
        <v>45232</v>
      </c>
      <c r="C202" s="1" t="n">
        <v>46194</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16005-2025</t>
        </is>
      </c>
      <c r="B203" s="1" t="n">
        <v>45749</v>
      </c>
      <c r="C203" s="1" t="n">
        <v>46194</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23663-2024</t>
        </is>
      </c>
      <c r="B204" s="1" t="n">
        <v>45454</v>
      </c>
      <c r="C204" s="1" t="n">
        <v>46194</v>
      </c>
      <c r="D204" t="inlineStr">
        <is>
          <t>DALARNAS LÄN</t>
        </is>
      </c>
      <c r="E204" t="inlineStr">
        <is>
          <t>LEKSAND</t>
        </is>
      </c>
      <c r="G204" t="n">
        <v>2.5</v>
      </c>
      <c r="H204" t="n">
        <v>0</v>
      </c>
      <c r="I204" t="n">
        <v>0</v>
      </c>
      <c r="J204" t="n">
        <v>0</v>
      </c>
      <c r="K204" t="n">
        <v>0</v>
      </c>
      <c r="L204" t="n">
        <v>0</v>
      </c>
      <c r="M204" t="n">
        <v>0</v>
      </c>
      <c r="N204" t="n">
        <v>0</v>
      </c>
      <c r="O204" t="n">
        <v>0</v>
      </c>
      <c r="P204" t="n">
        <v>0</v>
      </c>
      <c r="Q204" t="n">
        <v>0</v>
      </c>
      <c r="R204" s="2" t="inlineStr"/>
    </row>
    <row r="205" ht="15" customHeight="1">
      <c r="A205" t="inlineStr">
        <is>
          <t>A 33180-2024</t>
        </is>
      </c>
      <c r="B205" s="1" t="n">
        <v>45518</v>
      </c>
      <c r="C205" s="1" t="n">
        <v>46194</v>
      </c>
      <c r="D205" t="inlineStr">
        <is>
          <t>DALARNAS LÄN</t>
        </is>
      </c>
      <c r="E205" t="inlineStr">
        <is>
          <t>LEKSAND</t>
        </is>
      </c>
      <c r="G205" t="n">
        <v>7.6</v>
      </c>
      <c r="H205" t="n">
        <v>0</v>
      </c>
      <c r="I205" t="n">
        <v>0</v>
      </c>
      <c r="J205" t="n">
        <v>0</v>
      </c>
      <c r="K205" t="n">
        <v>0</v>
      </c>
      <c r="L205" t="n">
        <v>0</v>
      </c>
      <c r="M205" t="n">
        <v>0</v>
      </c>
      <c r="N205" t="n">
        <v>0</v>
      </c>
      <c r="O205" t="n">
        <v>0</v>
      </c>
      <c r="P205" t="n">
        <v>0</v>
      </c>
      <c r="Q205" t="n">
        <v>0</v>
      </c>
      <c r="R205" s="2" t="inlineStr"/>
    </row>
    <row r="206" ht="15" customHeight="1">
      <c r="A206" t="inlineStr">
        <is>
          <t>A 19820-2024</t>
        </is>
      </c>
      <c r="B206" s="1" t="n">
        <v>45433</v>
      </c>
      <c r="C206" s="1" t="n">
        <v>46194</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19823-2024</t>
        </is>
      </c>
      <c r="B207" s="1" t="n">
        <v>45433</v>
      </c>
      <c r="C207" s="1" t="n">
        <v>46194</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60715-2022</t>
        </is>
      </c>
      <c r="B208" s="1" t="n">
        <v>44912</v>
      </c>
      <c r="C208" s="1" t="n">
        <v>46194</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29157-2022</t>
        </is>
      </c>
      <c r="B209" s="1" t="n">
        <v>44750</v>
      </c>
      <c r="C209" s="1" t="n">
        <v>46194</v>
      </c>
      <c r="D209" t="inlineStr">
        <is>
          <t>DALARNAS LÄN</t>
        </is>
      </c>
      <c r="E209" t="inlineStr">
        <is>
          <t>LEKSAND</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11092-2023</t>
        </is>
      </c>
      <c r="B210" s="1" t="n">
        <v>44992</v>
      </c>
      <c r="C210" s="1" t="n">
        <v>46194</v>
      </c>
      <c r="D210" t="inlineStr">
        <is>
          <t>DALARNAS LÄN</t>
        </is>
      </c>
      <c r="E210" t="inlineStr">
        <is>
          <t>LEKSAND</t>
        </is>
      </c>
      <c r="G210" t="n">
        <v>0.5</v>
      </c>
      <c r="H210" t="n">
        <v>0</v>
      </c>
      <c r="I210" t="n">
        <v>0</v>
      </c>
      <c r="J210" t="n">
        <v>0</v>
      </c>
      <c r="K210" t="n">
        <v>0</v>
      </c>
      <c r="L210" t="n">
        <v>0</v>
      </c>
      <c r="M210" t="n">
        <v>0</v>
      </c>
      <c r="N210" t="n">
        <v>0</v>
      </c>
      <c r="O210" t="n">
        <v>0</v>
      </c>
      <c r="P210" t="n">
        <v>0</v>
      </c>
      <c r="Q210" t="n">
        <v>0</v>
      </c>
      <c r="R210" s="2" t="inlineStr"/>
    </row>
    <row r="211" ht="15" customHeight="1">
      <c r="A211" t="inlineStr">
        <is>
          <t>A 15882-2023</t>
        </is>
      </c>
      <c r="B211" s="1" t="n">
        <v>45022</v>
      </c>
      <c r="C211" s="1" t="n">
        <v>46194</v>
      </c>
      <c r="D211" t="inlineStr">
        <is>
          <t>DALARNAS LÄN</t>
        </is>
      </c>
      <c r="E211" t="inlineStr">
        <is>
          <t>LEKSAND</t>
        </is>
      </c>
      <c r="G211" t="n">
        <v>0.1</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46194</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1215-2024</t>
        </is>
      </c>
      <c r="B213" s="1" t="n">
        <v>45302</v>
      </c>
      <c r="C213" s="1" t="n">
        <v>46194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412-2024</t>
        </is>
      </c>
      <c r="B214" s="1" t="n">
        <v>45296</v>
      </c>
      <c r="C214" s="1" t="n">
        <v>46194</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59673-2023</t>
        </is>
      </c>
      <c r="B215" s="1" t="n">
        <v>45255</v>
      </c>
      <c r="C215" s="1" t="n">
        <v>46194</v>
      </c>
      <c r="D215" t="inlineStr">
        <is>
          <t>DALARNAS LÄN</t>
        </is>
      </c>
      <c r="E215" t="inlineStr">
        <is>
          <t>LEKSAND</t>
        </is>
      </c>
      <c r="G215" t="n">
        <v>12.2</v>
      </c>
      <c r="H215" t="n">
        <v>0</v>
      </c>
      <c r="I215" t="n">
        <v>0</v>
      </c>
      <c r="J215" t="n">
        <v>0</v>
      </c>
      <c r="K215" t="n">
        <v>0</v>
      </c>
      <c r="L215" t="n">
        <v>0</v>
      </c>
      <c r="M215" t="n">
        <v>0</v>
      </c>
      <c r="N215" t="n">
        <v>0</v>
      </c>
      <c r="O215" t="n">
        <v>0</v>
      </c>
      <c r="P215" t="n">
        <v>0</v>
      </c>
      <c r="Q215" t="n">
        <v>0</v>
      </c>
      <c r="R215" s="2" t="inlineStr"/>
    </row>
    <row r="216" ht="15" customHeight="1">
      <c r="A216" t="inlineStr">
        <is>
          <t>A 53464-2024</t>
        </is>
      </c>
      <c r="B216" s="1" t="n">
        <v>45611</v>
      </c>
      <c r="C216" s="1" t="n">
        <v>46194</v>
      </c>
      <c r="D216" t="inlineStr">
        <is>
          <t>DALARNAS LÄN</t>
        </is>
      </c>
      <c r="E216" t="inlineStr">
        <is>
          <t>LEKSAND</t>
        </is>
      </c>
      <c r="G216" t="n">
        <v>1.7</v>
      </c>
      <c r="H216" t="n">
        <v>0</v>
      </c>
      <c r="I216" t="n">
        <v>0</v>
      </c>
      <c r="J216" t="n">
        <v>0</v>
      </c>
      <c r="K216" t="n">
        <v>0</v>
      </c>
      <c r="L216" t="n">
        <v>0</v>
      </c>
      <c r="M216" t="n">
        <v>0</v>
      </c>
      <c r="N216" t="n">
        <v>0</v>
      </c>
      <c r="O216" t="n">
        <v>0</v>
      </c>
      <c r="P216" t="n">
        <v>0</v>
      </c>
      <c r="Q216" t="n">
        <v>0</v>
      </c>
      <c r="R216" s="2" t="inlineStr"/>
    </row>
    <row r="217" ht="15" customHeight="1">
      <c r="A217" t="inlineStr">
        <is>
          <t>A 56330-2022</t>
        </is>
      </c>
      <c r="B217" s="1" t="n">
        <v>44890</v>
      </c>
      <c r="C217" s="1" t="n">
        <v>46194</v>
      </c>
      <c r="D217" t="inlineStr">
        <is>
          <t>DALARNAS LÄN</t>
        </is>
      </c>
      <c r="E217" t="inlineStr">
        <is>
          <t>LEKSAND</t>
        </is>
      </c>
      <c r="G217" t="n">
        <v>4.9</v>
      </c>
      <c r="H217" t="n">
        <v>0</v>
      </c>
      <c r="I217" t="n">
        <v>0</v>
      </c>
      <c r="J217" t="n">
        <v>0</v>
      </c>
      <c r="K217" t="n">
        <v>0</v>
      </c>
      <c r="L217" t="n">
        <v>0</v>
      </c>
      <c r="M217" t="n">
        <v>0</v>
      </c>
      <c r="N217" t="n">
        <v>0</v>
      </c>
      <c r="O217" t="n">
        <v>0</v>
      </c>
      <c r="P217" t="n">
        <v>0</v>
      </c>
      <c r="Q217" t="n">
        <v>0</v>
      </c>
      <c r="R217" s="2" t="inlineStr"/>
    </row>
    <row r="218" ht="15" customHeight="1">
      <c r="A218" t="inlineStr">
        <is>
          <t>A 22281-2024</t>
        </is>
      </c>
      <c r="B218" s="1" t="n">
        <v>45446</v>
      </c>
      <c r="C218" s="1" t="n">
        <v>46194</v>
      </c>
      <c r="D218" t="inlineStr">
        <is>
          <t>DALARNAS LÄN</t>
        </is>
      </c>
      <c r="E218" t="inlineStr">
        <is>
          <t>LEKSAND</t>
        </is>
      </c>
      <c r="F218" t="inlineStr">
        <is>
          <t>Bergvik skog väst AB</t>
        </is>
      </c>
      <c r="G218" t="n">
        <v>1.8</v>
      </c>
      <c r="H218" t="n">
        <v>0</v>
      </c>
      <c r="I218" t="n">
        <v>0</v>
      </c>
      <c r="J218" t="n">
        <v>0</v>
      </c>
      <c r="K218" t="n">
        <v>0</v>
      </c>
      <c r="L218" t="n">
        <v>0</v>
      </c>
      <c r="M218" t="n">
        <v>0</v>
      </c>
      <c r="N218" t="n">
        <v>0</v>
      </c>
      <c r="O218" t="n">
        <v>0</v>
      </c>
      <c r="P218" t="n">
        <v>0</v>
      </c>
      <c r="Q218" t="n">
        <v>0</v>
      </c>
      <c r="R218" s="2" t="inlineStr"/>
    </row>
    <row r="219" ht="15" customHeight="1">
      <c r="A219" t="inlineStr">
        <is>
          <t>A 38498-2025</t>
        </is>
      </c>
      <c r="B219" s="1" t="n">
        <v>45884</v>
      </c>
      <c r="C219" s="1" t="n">
        <v>46194</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2694-2025</t>
        </is>
      </c>
      <c r="B220" s="1" t="n">
        <v>45677</v>
      </c>
      <c r="C220" s="1" t="n">
        <v>46194</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40755-2024</t>
        </is>
      </c>
      <c r="B221" s="1" t="n">
        <v>45558</v>
      </c>
      <c r="C221" s="1" t="n">
        <v>46194</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23615-2024</t>
        </is>
      </c>
      <c r="B222" s="1" t="n">
        <v>45454</v>
      </c>
      <c r="C222" s="1" t="n">
        <v>46194</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12356-2023</t>
        </is>
      </c>
      <c r="B223" s="1" t="n">
        <v>44998</v>
      </c>
      <c r="C223" s="1" t="n">
        <v>46194</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41046-2024</t>
        </is>
      </c>
      <c r="B224" s="1" t="n">
        <v>45559</v>
      </c>
      <c r="C224" s="1" t="n">
        <v>46194</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56016-2024</t>
        </is>
      </c>
      <c r="B225" s="1" t="n">
        <v>45623</v>
      </c>
      <c r="C225" s="1" t="n">
        <v>46194</v>
      </c>
      <c r="D225" t="inlineStr">
        <is>
          <t>DALARNAS LÄN</t>
        </is>
      </c>
      <c r="E225" t="inlineStr">
        <is>
          <t>LEKSAND</t>
        </is>
      </c>
      <c r="G225" t="n">
        <v>6.1</v>
      </c>
      <c r="H225" t="n">
        <v>0</v>
      </c>
      <c r="I225" t="n">
        <v>0</v>
      </c>
      <c r="J225" t="n">
        <v>0</v>
      </c>
      <c r="K225" t="n">
        <v>0</v>
      </c>
      <c r="L225" t="n">
        <v>0</v>
      </c>
      <c r="M225" t="n">
        <v>0</v>
      </c>
      <c r="N225" t="n">
        <v>0</v>
      </c>
      <c r="O225" t="n">
        <v>0</v>
      </c>
      <c r="P225" t="n">
        <v>0</v>
      </c>
      <c r="Q225" t="n">
        <v>0</v>
      </c>
      <c r="R225" s="2" t="inlineStr"/>
    </row>
    <row r="226" ht="15" customHeight="1">
      <c r="A226" t="inlineStr">
        <is>
          <t>A 30998-2023</t>
        </is>
      </c>
      <c r="B226" s="1" t="n">
        <v>45113</v>
      </c>
      <c r="C226" s="1" t="n">
        <v>46194</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16293-2025</t>
        </is>
      </c>
      <c r="B227" s="1" t="n">
        <v>45751</v>
      </c>
      <c r="C227" s="1" t="n">
        <v>46194</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5738-2023</t>
        </is>
      </c>
      <c r="B228" s="1" t="n">
        <v>44962</v>
      </c>
      <c r="C228" s="1" t="n">
        <v>46194</v>
      </c>
      <c r="D228" t="inlineStr">
        <is>
          <t>DALARNAS LÄN</t>
        </is>
      </c>
      <c r="E228" t="inlineStr">
        <is>
          <t>LEKSAND</t>
        </is>
      </c>
      <c r="G228" t="n">
        <v>0.2</v>
      </c>
      <c r="H228" t="n">
        <v>0</v>
      </c>
      <c r="I228" t="n">
        <v>0</v>
      </c>
      <c r="J228" t="n">
        <v>0</v>
      </c>
      <c r="K228" t="n">
        <v>0</v>
      </c>
      <c r="L228" t="n">
        <v>0</v>
      </c>
      <c r="M228" t="n">
        <v>0</v>
      </c>
      <c r="N228" t="n">
        <v>0</v>
      </c>
      <c r="O228" t="n">
        <v>0</v>
      </c>
      <c r="P228" t="n">
        <v>0</v>
      </c>
      <c r="Q228" t="n">
        <v>0</v>
      </c>
      <c r="R228" s="2" t="inlineStr"/>
    </row>
    <row r="229" ht="15" customHeight="1">
      <c r="A229" t="inlineStr">
        <is>
          <t>A 5570-2024</t>
        </is>
      </c>
      <c r="B229" s="1" t="n">
        <v>45334</v>
      </c>
      <c r="C229" s="1" t="n">
        <v>46194</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51860-2024</t>
        </is>
      </c>
      <c r="B230" s="1" t="n">
        <v>45607</v>
      </c>
      <c r="C230" s="1" t="n">
        <v>46194</v>
      </c>
      <c r="D230" t="inlineStr">
        <is>
          <t>DALARNAS LÄN</t>
        </is>
      </c>
      <c r="E230" t="inlineStr">
        <is>
          <t>LEKSAND</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43693-2022</t>
        </is>
      </c>
      <c r="B231" s="1" t="n">
        <v>44837</v>
      </c>
      <c r="C231" s="1" t="n">
        <v>46194</v>
      </c>
      <c r="D231" t="inlineStr">
        <is>
          <t>DALARNAS LÄN</t>
        </is>
      </c>
      <c r="E231" t="inlineStr">
        <is>
          <t>LEKSAND</t>
        </is>
      </c>
      <c r="G231" t="n">
        <v>2.7</v>
      </c>
      <c r="H231" t="n">
        <v>0</v>
      </c>
      <c r="I231" t="n">
        <v>0</v>
      </c>
      <c r="J231" t="n">
        <v>0</v>
      </c>
      <c r="K231" t="n">
        <v>0</v>
      </c>
      <c r="L231" t="n">
        <v>0</v>
      </c>
      <c r="M231" t="n">
        <v>0</v>
      </c>
      <c r="N231" t="n">
        <v>0</v>
      </c>
      <c r="O231" t="n">
        <v>0</v>
      </c>
      <c r="P231" t="n">
        <v>0</v>
      </c>
      <c r="Q231" t="n">
        <v>0</v>
      </c>
      <c r="R231" s="2" t="inlineStr"/>
    </row>
    <row r="232" ht="15" customHeight="1">
      <c r="A232" t="inlineStr">
        <is>
          <t>A 43735-2022</t>
        </is>
      </c>
      <c r="B232" s="1" t="n">
        <v>44837</v>
      </c>
      <c r="C232" s="1" t="n">
        <v>46194</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17726-2024</t>
        </is>
      </c>
      <c r="B233" s="1" t="n">
        <v>45418</v>
      </c>
      <c r="C233" s="1" t="n">
        <v>46194</v>
      </c>
      <c r="D233" t="inlineStr">
        <is>
          <t>DALARNAS LÄN</t>
        </is>
      </c>
      <c r="E233" t="inlineStr">
        <is>
          <t>LEKSAND</t>
        </is>
      </c>
      <c r="G233" t="n">
        <v>5.2</v>
      </c>
      <c r="H233" t="n">
        <v>0</v>
      </c>
      <c r="I233" t="n">
        <v>0</v>
      </c>
      <c r="J233" t="n">
        <v>0</v>
      </c>
      <c r="K233" t="n">
        <v>0</v>
      </c>
      <c r="L233" t="n">
        <v>0</v>
      </c>
      <c r="M233" t="n">
        <v>0</v>
      </c>
      <c r="N233" t="n">
        <v>0</v>
      </c>
      <c r="O233" t="n">
        <v>0</v>
      </c>
      <c r="P233" t="n">
        <v>0</v>
      </c>
      <c r="Q233" t="n">
        <v>0</v>
      </c>
      <c r="R233" s="2" t="inlineStr"/>
    </row>
    <row r="234" ht="15" customHeight="1">
      <c r="A234" t="inlineStr">
        <is>
          <t>A 12363-2023</t>
        </is>
      </c>
      <c r="B234" s="1" t="n">
        <v>44998</v>
      </c>
      <c r="C234" s="1" t="n">
        <v>46194</v>
      </c>
      <c r="D234" t="inlineStr">
        <is>
          <t>DALARNAS LÄN</t>
        </is>
      </c>
      <c r="E234" t="inlineStr">
        <is>
          <t>LEKSAND</t>
        </is>
      </c>
      <c r="G234" t="n">
        <v>10</v>
      </c>
      <c r="H234" t="n">
        <v>0</v>
      </c>
      <c r="I234" t="n">
        <v>0</v>
      </c>
      <c r="J234" t="n">
        <v>0</v>
      </c>
      <c r="K234" t="n">
        <v>0</v>
      </c>
      <c r="L234" t="n">
        <v>0</v>
      </c>
      <c r="M234" t="n">
        <v>0</v>
      </c>
      <c r="N234" t="n">
        <v>0</v>
      </c>
      <c r="O234" t="n">
        <v>0</v>
      </c>
      <c r="P234" t="n">
        <v>0</v>
      </c>
      <c r="Q234" t="n">
        <v>0</v>
      </c>
      <c r="R234" s="2" t="inlineStr"/>
    </row>
    <row r="235" ht="15" customHeight="1">
      <c r="A235" t="inlineStr">
        <is>
          <t>A 36262-2023</t>
        </is>
      </c>
      <c r="B235" s="1" t="n">
        <v>45151</v>
      </c>
      <c r="C235" s="1" t="n">
        <v>46194</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v>
      </c>
      <c r="C236" s="1" t="n">
        <v>46194</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60692-2023</t>
        </is>
      </c>
      <c r="B237" s="1" t="n">
        <v>45260</v>
      </c>
      <c r="C237" s="1" t="n">
        <v>46194</v>
      </c>
      <c r="D237" t="inlineStr">
        <is>
          <t>DALARNAS LÄN</t>
        </is>
      </c>
      <c r="E237" t="inlineStr">
        <is>
          <t>LEKSAND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60095-2022</t>
        </is>
      </c>
      <c r="B238" s="1" t="n">
        <v>44909</v>
      </c>
      <c r="C238" s="1" t="n">
        <v>46194</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38117-2023</t>
        </is>
      </c>
      <c r="B239" s="1" t="n">
        <v>45161</v>
      </c>
      <c r="C239" s="1" t="n">
        <v>46194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11418-2023</t>
        </is>
      </c>
      <c r="B240" s="1" t="n">
        <v>44993</v>
      </c>
      <c r="C240" s="1" t="n">
        <v>46194</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23323-2023</t>
        </is>
      </c>
      <c r="B241" s="1" t="n">
        <v>45076</v>
      </c>
      <c r="C241" s="1" t="n">
        <v>46194</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10299-2024</t>
        </is>
      </c>
      <c r="B242" s="1" t="n">
        <v>45365</v>
      </c>
      <c r="C242" s="1" t="n">
        <v>46194</v>
      </c>
      <c r="D242" t="inlineStr">
        <is>
          <t>DALARNAS LÄN</t>
        </is>
      </c>
      <c r="E242" t="inlineStr">
        <is>
          <t>LEKSAND</t>
        </is>
      </c>
      <c r="G242" t="n">
        <v>3.6</v>
      </c>
      <c r="H242" t="n">
        <v>0</v>
      </c>
      <c r="I242" t="n">
        <v>0</v>
      </c>
      <c r="J242" t="n">
        <v>0</v>
      </c>
      <c r="K242" t="n">
        <v>0</v>
      </c>
      <c r="L242" t="n">
        <v>0</v>
      </c>
      <c r="M242" t="n">
        <v>0</v>
      </c>
      <c r="N242" t="n">
        <v>0</v>
      </c>
      <c r="O242" t="n">
        <v>0</v>
      </c>
      <c r="P242" t="n">
        <v>0</v>
      </c>
      <c r="Q242" t="n">
        <v>0</v>
      </c>
      <c r="R242" s="2" t="inlineStr"/>
    </row>
    <row r="243" ht="15" customHeight="1">
      <c r="A243" t="inlineStr">
        <is>
          <t>A 55643-2024</t>
        </is>
      </c>
      <c r="B243" s="1" t="n">
        <v>45621</v>
      </c>
      <c r="C243" s="1" t="n">
        <v>46194</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39558-2023</t>
        </is>
      </c>
      <c r="B244" s="1" t="n">
        <v>45167</v>
      </c>
      <c r="C244" s="1" t="n">
        <v>46194</v>
      </c>
      <c r="D244" t="inlineStr">
        <is>
          <t>DALARNAS LÄN</t>
        </is>
      </c>
      <c r="E244" t="inlineStr">
        <is>
          <t>LEKSAND</t>
        </is>
      </c>
      <c r="G244" t="n">
        <v>39.9</v>
      </c>
      <c r="H244" t="n">
        <v>0</v>
      </c>
      <c r="I244" t="n">
        <v>0</v>
      </c>
      <c r="J244" t="n">
        <v>0</v>
      </c>
      <c r="K244" t="n">
        <v>0</v>
      </c>
      <c r="L244" t="n">
        <v>0</v>
      </c>
      <c r="M244" t="n">
        <v>0</v>
      </c>
      <c r="N244" t="n">
        <v>0</v>
      </c>
      <c r="O244" t="n">
        <v>0</v>
      </c>
      <c r="P244" t="n">
        <v>0</v>
      </c>
      <c r="Q244" t="n">
        <v>0</v>
      </c>
      <c r="R244" s="2" t="inlineStr"/>
    </row>
    <row r="245" ht="15" customHeight="1">
      <c r="A245" t="inlineStr">
        <is>
          <t>A 43231-2024</t>
        </is>
      </c>
      <c r="B245" s="1" t="n">
        <v>45567</v>
      </c>
      <c r="C245" s="1" t="n">
        <v>46194</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16137-2023</t>
        </is>
      </c>
      <c r="B246" s="1" t="n">
        <v>45027</v>
      </c>
      <c r="C246" s="1" t="n">
        <v>46194</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30204-2024</t>
        </is>
      </c>
      <c r="B247" s="1" t="n">
        <v>45490</v>
      </c>
      <c r="C247" s="1" t="n">
        <v>46194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64516-2023</t>
        </is>
      </c>
      <c r="B248" s="1" t="n">
        <v>45280</v>
      </c>
      <c r="C248" s="1" t="n">
        <v>46194</v>
      </c>
      <c r="D248" t="inlineStr">
        <is>
          <t>DALARNAS LÄN</t>
        </is>
      </c>
      <c r="E248" t="inlineStr">
        <is>
          <t>LEKSAND</t>
        </is>
      </c>
      <c r="G248" t="n">
        <v>4.4</v>
      </c>
      <c r="H248" t="n">
        <v>0</v>
      </c>
      <c r="I248" t="n">
        <v>0</v>
      </c>
      <c r="J248" t="n">
        <v>0</v>
      </c>
      <c r="K248" t="n">
        <v>0</v>
      </c>
      <c r="L248" t="n">
        <v>0</v>
      </c>
      <c r="M248" t="n">
        <v>0</v>
      </c>
      <c r="N248" t="n">
        <v>0</v>
      </c>
      <c r="O248" t="n">
        <v>0</v>
      </c>
      <c r="P248" t="n">
        <v>0</v>
      </c>
      <c r="Q248" t="n">
        <v>0</v>
      </c>
      <c r="R248" s="2" t="inlineStr"/>
    </row>
    <row r="249" ht="15" customHeight="1">
      <c r="A249" t="inlineStr">
        <is>
          <t>A 56283-2024</t>
        </is>
      </c>
      <c r="B249" s="1" t="n">
        <v>45624</v>
      </c>
      <c r="C249" s="1" t="n">
        <v>46194</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56299-2024</t>
        </is>
      </c>
      <c r="B250" s="1" t="n">
        <v>45624</v>
      </c>
      <c r="C250" s="1" t="n">
        <v>46194</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23283-2024</t>
        </is>
      </c>
      <c r="B251" s="1" t="n">
        <v>45453</v>
      </c>
      <c r="C251" s="1" t="n">
        <v>46194</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47121-2021</t>
        </is>
      </c>
      <c r="B252" s="1" t="n">
        <v>44446</v>
      </c>
      <c r="C252" s="1" t="n">
        <v>46194</v>
      </c>
      <c r="D252" t="inlineStr">
        <is>
          <t>DALARNAS LÄN</t>
        </is>
      </c>
      <c r="E252" t="inlineStr">
        <is>
          <t>LEKSAND</t>
        </is>
      </c>
      <c r="G252" t="n">
        <v>3.5</v>
      </c>
      <c r="H252" t="n">
        <v>0</v>
      </c>
      <c r="I252" t="n">
        <v>0</v>
      </c>
      <c r="J252" t="n">
        <v>0</v>
      </c>
      <c r="K252" t="n">
        <v>0</v>
      </c>
      <c r="L252" t="n">
        <v>0</v>
      </c>
      <c r="M252" t="n">
        <v>0</v>
      </c>
      <c r="N252" t="n">
        <v>0</v>
      </c>
      <c r="O252" t="n">
        <v>0</v>
      </c>
      <c r="P252" t="n">
        <v>0</v>
      </c>
      <c r="Q252" t="n">
        <v>0</v>
      </c>
      <c r="R252" s="2" t="inlineStr"/>
    </row>
    <row r="253" ht="15" customHeight="1">
      <c r="A253" t="inlineStr">
        <is>
          <t>A 32688-2024</t>
        </is>
      </c>
      <c r="B253" s="1" t="n">
        <v>45515</v>
      </c>
      <c r="C253" s="1" t="n">
        <v>46194</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38721-2025</t>
        </is>
      </c>
      <c r="B254" s="1" t="n">
        <v>45886</v>
      </c>
      <c r="C254" s="1" t="n">
        <v>46194</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53799-2023</t>
        </is>
      </c>
      <c r="B255" s="1" t="n">
        <v>45231</v>
      </c>
      <c r="C255" s="1" t="n">
        <v>46194</v>
      </c>
      <c r="D255" t="inlineStr">
        <is>
          <t>DALARNAS LÄN</t>
        </is>
      </c>
      <c r="E255" t="inlineStr">
        <is>
          <t>LEKSAND</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4121-2024</t>
        </is>
      </c>
      <c r="B256" s="1" t="n">
        <v>45323</v>
      </c>
      <c r="C256" s="1" t="n">
        <v>46194</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40193-2024</t>
        </is>
      </c>
      <c r="B257" s="1" t="n">
        <v>45554</v>
      </c>
      <c r="C257" s="1" t="n">
        <v>46194</v>
      </c>
      <c r="D257" t="inlineStr">
        <is>
          <t>DALARNAS LÄN</t>
        </is>
      </c>
      <c r="E257" t="inlineStr">
        <is>
          <t>LEKSAND</t>
        </is>
      </c>
      <c r="F257" t="inlineStr">
        <is>
          <t>Övriga statliga verk och myndigheter</t>
        </is>
      </c>
      <c r="G257" t="n">
        <v>1</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46194</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72581-2021</t>
        </is>
      </c>
      <c r="B259" s="1" t="n">
        <v>44546</v>
      </c>
      <c r="C259" s="1" t="n">
        <v>46194</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59199-2024</t>
        </is>
      </c>
      <c r="B260" s="1" t="n">
        <v>45637</v>
      </c>
      <c r="C260" s="1" t="n">
        <v>46194</v>
      </c>
      <c r="D260" t="inlineStr">
        <is>
          <t>DALARNAS LÄN</t>
        </is>
      </c>
      <c r="E260" t="inlineStr">
        <is>
          <t>LEKSAND</t>
        </is>
      </c>
      <c r="G260" t="n">
        <v>5.4</v>
      </c>
      <c r="H260" t="n">
        <v>0</v>
      </c>
      <c r="I260" t="n">
        <v>0</v>
      </c>
      <c r="J260" t="n">
        <v>0</v>
      </c>
      <c r="K260" t="n">
        <v>0</v>
      </c>
      <c r="L260" t="n">
        <v>0</v>
      </c>
      <c r="M260" t="n">
        <v>0</v>
      </c>
      <c r="N260" t="n">
        <v>0</v>
      </c>
      <c r="O260" t="n">
        <v>0</v>
      </c>
      <c r="P260" t="n">
        <v>0</v>
      </c>
      <c r="Q260" t="n">
        <v>0</v>
      </c>
      <c r="R260" s="2" t="inlineStr"/>
    </row>
    <row r="261" ht="15" customHeight="1">
      <c r="A261" t="inlineStr">
        <is>
          <t>A 21839-2022</t>
        </is>
      </c>
      <c r="B261" s="1" t="n">
        <v>44711</v>
      </c>
      <c r="C261" s="1" t="n">
        <v>46194</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61614-2023</t>
        </is>
      </c>
      <c r="B262" s="1" t="n">
        <v>45261</v>
      </c>
      <c r="C262" s="1" t="n">
        <v>46194</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22388-2024</t>
        </is>
      </c>
      <c r="B263" s="1" t="n">
        <v>45446</v>
      </c>
      <c r="C263" s="1" t="n">
        <v>46194</v>
      </c>
      <c r="D263" t="inlineStr">
        <is>
          <t>DALARNAS LÄN</t>
        </is>
      </c>
      <c r="E263" t="inlineStr">
        <is>
          <t>LEKSAND</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34585-2024</t>
        </is>
      </c>
      <c r="B264" s="1" t="n">
        <v>45526</v>
      </c>
      <c r="C264" s="1" t="n">
        <v>46194</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33310-2023</t>
        </is>
      </c>
      <c r="B265" s="1" t="n">
        <v>45127</v>
      </c>
      <c r="C265" s="1" t="n">
        <v>46194</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56753-2023</t>
        </is>
      </c>
      <c r="B266" s="1" t="n">
        <v>45244</v>
      </c>
      <c r="C266" s="1" t="n">
        <v>46194</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57933-2024</t>
        </is>
      </c>
      <c r="B267" s="1" t="n">
        <v>45630</v>
      </c>
      <c r="C267" s="1" t="n">
        <v>46194</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11403-2023</t>
        </is>
      </c>
      <c r="B268" s="1" t="n">
        <v>44993</v>
      </c>
      <c r="C268" s="1" t="n">
        <v>46194</v>
      </c>
      <c r="D268" t="inlineStr">
        <is>
          <t>DALARNAS LÄN</t>
        </is>
      </c>
      <c r="E268" t="inlineStr">
        <is>
          <t>LEKSAND</t>
        </is>
      </c>
      <c r="G268" t="n">
        <v>0.1</v>
      </c>
      <c r="H268" t="n">
        <v>0</v>
      </c>
      <c r="I268" t="n">
        <v>0</v>
      </c>
      <c r="J268" t="n">
        <v>0</v>
      </c>
      <c r="K268" t="n">
        <v>0</v>
      </c>
      <c r="L268" t="n">
        <v>0</v>
      </c>
      <c r="M268" t="n">
        <v>0</v>
      </c>
      <c r="N268" t="n">
        <v>0</v>
      </c>
      <c r="O268" t="n">
        <v>0</v>
      </c>
      <c r="P268" t="n">
        <v>0</v>
      </c>
      <c r="Q268" t="n">
        <v>0</v>
      </c>
      <c r="R268" s="2" t="inlineStr"/>
    </row>
    <row r="269" ht="15" customHeight="1">
      <c r="A269" t="inlineStr">
        <is>
          <t>A 22683-2022</t>
        </is>
      </c>
      <c r="B269" s="1" t="n">
        <v>44714</v>
      </c>
      <c r="C269" s="1" t="n">
        <v>46194</v>
      </c>
      <c r="D269" t="inlineStr">
        <is>
          <t>DALARNAS LÄN</t>
        </is>
      </c>
      <c r="E269" t="inlineStr">
        <is>
          <t>LEKSAND</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9138-2023</t>
        </is>
      </c>
      <c r="B270" s="1" t="n">
        <v>44974</v>
      </c>
      <c r="C270" s="1" t="n">
        <v>46194</v>
      </c>
      <c r="D270" t="inlineStr">
        <is>
          <t>DALARNAS LÄN</t>
        </is>
      </c>
      <c r="E270" t="inlineStr">
        <is>
          <t>LEKSAND</t>
        </is>
      </c>
      <c r="G270" t="n">
        <v>4.6</v>
      </c>
      <c r="H270" t="n">
        <v>0</v>
      </c>
      <c r="I270" t="n">
        <v>0</v>
      </c>
      <c r="J270" t="n">
        <v>0</v>
      </c>
      <c r="K270" t="n">
        <v>0</v>
      </c>
      <c r="L270" t="n">
        <v>0</v>
      </c>
      <c r="M270" t="n">
        <v>0</v>
      </c>
      <c r="N270" t="n">
        <v>0</v>
      </c>
      <c r="O270" t="n">
        <v>0</v>
      </c>
      <c r="P270" t="n">
        <v>0</v>
      </c>
      <c r="Q270" t="n">
        <v>0</v>
      </c>
      <c r="R270" s="2" t="inlineStr"/>
    </row>
    <row r="271" ht="15" customHeight="1">
      <c r="A271" t="inlineStr">
        <is>
          <t>A 61680-2024</t>
        </is>
      </c>
      <c r="B271" s="1" t="n">
        <v>45647</v>
      </c>
      <c r="C271" s="1" t="n">
        <v>46194</v>
      </c>
      <c r="D271" t="inlineStr">
        <is>
          <t>DALARNAS LÄN</t>
        </is>
      </c>
      <c r="E271" t="inlineStr">
        <is>
          <t>LEKSAND</t>
        </is>
      </c>
      <c r="G271" t="n">
        <v>3.6</v>
      </c>
      <c r="H271" t="n">
        <v>0</v>
      </c>
      <c r="I271" t="n">
        <v>0</v>
      </c>
      <c r="J271" t="n">
        <v>0</v>
      </c>
      <c r="K271" t="n">
        <v>0</v>
      </c>
      <c r="L271" t="n">
        <v>0</v>
      </c>
      <c r="M271" t="n">
        <v>0</v>
      </c>
      <c r="N271" t="n">
        <v>0</v>
      </c>
      <c r="O271" t="n">
        <v>0</v>
      </c>
      <c r="P271" t="n">
        <v>0</v>
      </c>
      <c r="Q271" t="n">
        <v>0</v>
      </c>
      <c r="R271" s="2" t="inlineStr"/>
    </row>
    <row r="272" ht="15" customHeight="1">
      <c r="A272" t="inlineStr">
        <is>
          <t>A 6846-2023</t>
        </is>
      </c>
      <c r="B272" s="1" t="n">
        <v>44967</v>
      </c>
      <c r="C272" s="1" t="n">
        <v>46194</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54911-2024</t>
        </is>
      </c>
      <c r="B273" s="1" t="n">
        <v>45618</v>
      </c>
      <c r="C273" s="1" t="n">
        <v>46194</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16611-2024</t>
        </is>
      </c>
      <c r="B274" s="1" t="n">
        <v>45408</v>
      </c>
      <c r="C274" s="1" t="n">
        <v>46194</v>
      </c>
      <c r="D274" t="inlineStr">
        <is>
          <t>DALARNAS LÄN</t>
        </is>
      </c>
      <c r="E274" t="inlineStr">
        <is>
          <t>LEKSAND</t>
        </is>
      </c>
      <c r="G274" t="n">
        <v>5.9</v>
      </c>
      <c r="H274" t="n">
        <v>0</v>
      </c>
      <c r="I274" t="n">
        <v>0</v>
      </c>
      <c r="J274" t="n">
        <v>0</v>
      </c>
      <c r="K274" t="n">
        <v>0</v>
      </c>
      <c r="L274" t="n">
        <v>0</v>
      </c>
      <c r="M274" t="n">
        <v>0</v>
      </c>
      <c r="N274" t="n">
        <v>0</v>
      </c>
      <c r="O274" t="n">
        <v>0</v>
      </c>
      <c r="P274" t="n">
        <v>0</v>
      </c>
      <c r="Q274" t="n">
        <v>0</v>
      </c>
      <c r="R274" s="2" t="inlineStr"/>
    </row>
    <row r="275" ht="15" customHeight="1">
      <c r="A275" t="inlineStr">
        <is>
          <t>A 30860-2024</t>
        </is>
      </c>
      <c r="B275" s="1" t="n">
        <v>45497</v>
      </c>
      <c r="C275" s="1" t="n">
        <v>46194</v>
      </c>
      <c r="D275" t="inlineStr">
        <is>
          <t>DALARNAS LÄN</t>
        </is>
      </c>
      <c r="E275" t="inlineStr">
        <is>
          <t>LEKSAND</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39516-2025</t>
        </is>
      </c>
      <c r="B276" s="1" t="n">
        <v>45890</v>
      </c>
      <c r="C276" s="1" t="n">
        <v>46194</v>
      </c>
      <c r="D276" t="inlineStr">
        <is>
          <t>DALARNAS LÄN</t>
        </is>
      </c>
      <c r="E276" t="inlineStr">
        <is>
          <t>LEKSAND</t>
        </is>
      </c>
      <c r="G276" t="n">
        <v>3.6</v>
      </c>
      <c r="H276" t="n">
        <v>0</v>
      </c>
      <c r="I276" t="n">
        <v>0</v>
      </c>
      <c r="J276" t="n">
        <v>0</v>
      </c>
      <c r="K276" t="n">
        <v>0</v>
      </c>
      <c r="L276" t="n">
        <v>0</v>
      </c>
      <c r="M276" t="n">
        <v>0</v>
      </c>
      <c r="N276" t="n">
        <v>0</v>
      </c>
      <c r="O276" t="n">
        <v>0</v>
      </c>
      <c r="P276" t="n">
        <v>0</v>
      </c>
      <c r="Q276" t="n">
        <v>0</v>
      </c>
      <c r="R276" s="2" t="inlineStr"/>
    </row>
    <row r="277" ht="15" customHeight="1">
      <c r="A277" t="inlineStr">
        <is>
          <t>A 39660-2025</t>
        </is>
      </c>
      <c r="B277" s="1" t="n">
        <v>45890</v>
      </c>
      <c r="C277" s="1" t="n">
        <v>46194</v>
      </c>
      <c r="D277" t="inlineStr">
        <is>
          <t>DALARNAS LÄN</t>
        </is>
      </c>
      <c r="E277" t="inlineStr">
        <is>
          <t>LEKSAND</t>
        </is>
      </c>
      <c r="F277" t="inlineStr">
        <is>
          <t>Bergvik skog väst AB</t>
        </is>
      </c>
      <c r="G277" t="n">
        <v>5.8</v>
      </c>
      <c r="H277" t="n">
        <v>0</v>
      </c>
      <c r="I277" t="n">
        <v>0</v>
      </c>
      <c r="J277" t="n">
        <v>0</v>
      </c>
      <c r="K277" t="n">
        <v>0</v>
      </c>
      <c r="L277" t="n">
        <v>0</v>
      </c>
      <c r="M277" t="n">
        <v>0</v>
      </c>
      <c r="N277" t="n">
        <v>0</v>
      </c>
      <c r="O277" t="n">
        <v>0</v>
      </c>
      <c r="P277" t="n">
        <v>0</v>
      </c>
      <c r="Q277" t="n">
        <v>0</v>
      </c>
      <c r="R277" s="2" t="inlineStr"/>
    </row>
    <row r="278" ht="15" customHeight="1">
      <c r="A278" t="inlineStr">
        <is>
          <t>A 39693-2025</t>
        </is>
      </c>
      <c r="B278" s="1" t="n">
        <v>45890</v>
      </c>
      <c r="C278" s="1" t="n">
        <v>46194</v>
      </c>
      <c r="D278" t="inlineStr">
        <is>
          <t>DALARNAS LÄN</t>
        </is>
      </c>
      <c r="E278" t="inlineStr">
        <is>
          <t>LEKSAND</t>
        </is>
      </c>
      <c r="G278" t="n">
        <v>3.1</v>
      </c>
      <c r="H278" t="n">
        <v>0</v>
      </c>
      <c r="I278" t="n">
        <v>0</v>
      </c>
      <c r="J278" t="n">
        <v>0</v>
      </c>
      <c r="K278" t="n">
        <v>0</v>
      </c>
      <c r="L278" t="n">
        <v>0</v>
      </c>
      <c r="M278" t="n">
        <v>0</v>
      </c>
      <c r="N278" t="n">
        <v>0</v>
      </c>
      <c r="O278" t="n">
        <v>0</v>
      </c>
      <c r="P278" t="n">
        <v>0</v>
      </c>
      <c r="Q278" t="n">
        <v>0</v>
      </c>
      <c r="R278" s="2" t="inlineStr"/>
    </row>
    <row r="279" ht="15" customHeight="1">
      <c r="A279" t="inlineStr">
        <is>
          <t>A 5584-2024</t>
        </is>
      </c>
      <c r="B279" s="1" t="n">
        <v>45334</v>
      </c>
      <c r="C279" s="1" t="n">
        <v>46194</v>
      </c>
      <c r="D279" t="inlineStr">
        <is>
          <t>DALARNAS LÄN</t>
        </is>
      </c>
      <c r="E279" t="inlineStr">
        <is>
          <t>LEKSAND</t>
        </is>
      </c>
      <c r="F279" t="inlineStr">
        <is>
          <t>Kyrkan</t>
        </is>
      </c>
      <c r="G279" t="n">
        <v>0.4</v>
      </c>
      <c r="H279" t="n">
        <v>0</v>
      </c>
      <c r="I279" t="n">
        <v>0</v>
      </c>
      <c r="J279" t="n">
        <v>0</v>
      </c>
      <c r="K279" t="n">
        <v>0</v>
      </c>
      <c r="L279" t="n">
        <v>0</v>
      </c>
      <c r="M279" t="n">
        <v>0</v>
      </c>
      <c r="N279" t="n">
        <v>0</v>
      </c>
      <c r="O279" t="n">
        <v>0</v>
      </c>
      <c r="P279" t="n">
        <v>0</v>
      </c>
      <c r="Q279" t="n">
        <v>0</v>
      </c>
      <c r="R279" s="2" t="inlineStr"/>
    </row>
    <row r="280" ht="15" customHeight="1">
      <c r="A280" t="inlineStr">
        <is>
          <t>A 53981-2024</t>
        </is>
      </c>
      <c r="B280" s="1" t="n">
        <v>45615</v>
      </c>
      <c r="C280" s="1" t="n">
        <v>46194</v>
      </c>
      <c r="D280" t="inlineStr">
        <is>
          <t>DALARNAS LÄN</t>
        </is>
      </c>
      <c r="E280" t="inlineStr">
        <is>
          <t>LEKSAND</t>
        </is>
      </c>
      <c r="G280" t="n">
        <v>5.4</v>
      </c>
      <c r="H280" t="n">
        <v>0</v>
      </c>
      <c r="I280" t="n">
        <v>0</v>
      </c>
      <c r="J280" t="n">
        <v>0</v>
      </c>
      <c r="K280" t="n">
        <v>0</v>
      </c>
      <c r="L280" t="n">
        <v>0</v>
      </c>
      <c r="M280" t="n">
        <v>0</v>
      </c>
      <c r="N280" t="n">
        <v>0</v>
      </c>
      <c r="O280" t="n">
        <v>0</v>
      </c>
      <c r="P280" t="n">
        <v>0</v>
      </c>
      <c r="Q280" t="n">
        <v>0</v>
      </c>
      <c r="R280" s="2" t="inlineStr"/>
    </row>
    <row r="281" ht="15" customHeight="1">
      <c r="A281" t="inlineStr">
        <is>
          <t>A 402-2024</t>
        </is>
      </c>
      <c r="B281" s="1" t="n">
        <v>45296</v>
      </c>
      <c r="C281" s="1" t="n">
        <v>46194</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23137-2022</t>
        </is>
      </c>
      <c r="B282" s="1" t="n">
        <v>44719</v>
      </c>
      <c r="C282" s="1" t="n">
        <v>46194</v>
      </c>
      <c r="D282" t="inlineStr">
        <is>
          <t>DALARNAS LÄN</t>
        </is>
      </c>
      <c r="E282" t="inlineStr">
        <is>
          <t>LEKSAND</t>
        </is>
      </c>
      <c r="G282" t="n">
        <v>3</v>
      </c>
      <c r="H282" t="n">
        <v>0</v>
      </c>
      <c r="I282" t="n">
        <v>0</v>
      </c>
      <c r="J282" t="n">
        <v>0</v>
      </c>
      <c r="K282" t="n">
        <v>0</v>
      </c>
      <c r="L282" t="n">
        <v>0</v>
      </c>
      <c r="M282" t="n">
        <v>0</v>
      </c>
      <c r="N282" t="n">
        <v>0</v>
      </c>
      <c r="O282" t="n">
        <v>0</v>
      </c>
      <c r="P282" t="n">
        <v>0</v>
      </c>
      <c r="Q282" t="n">
        <v>0</v>
      </c>
      <c r="R282" s="2" t="inlineStr"/>
    </row>
    <row r="283" ht="15" customHeight="1">
      <c r="A283" t="inlineStr">
        <is>
          <t>A 11740-2025</t>
        </is>
      </c>
      <c r="B283" s="1" t="n">
        <v>45727</v>
      </c>
      <c r="C283" s="1" t="n">
        <v>46194</v>
      </c>
      <c r="D283" t="inlineStr">
        <is>
          <t>DALARNAS LÄN</t>
        </is>
      </c>
      <c r="E283" t="inlineStr">
        <is>
          <t>LEKSAND</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41237-2025</t>
        </is>
      </c>
      <c r="B284" s="1" t="n">
        <v>45898</v>
      </c>
      <c r="C284" s="1" t="n">
        <v>46194</v>
      </c>
      <c r="D284" t="inlineStr">
        <is>
          <t>DALARNAS LÄN</t>
        </is>
      </c>
      <c r="E284" t="inlineStr">
        <is>
          <t>LEKSAND</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41248-2025</t>
        </is>
      </c>
      <c r="B285" s="1" t="n">
        <v>45898</v>
      </c>
      <c r="C285" s="1" t="n">
        <v>46194</v>
      </c>
      <c r="D285" t="inlineStr">
        <is>
          <t>DALARNAS LÄN</t>
        </is>
      </c>
      <c r="E285" t="inlineStr">
        <is>
          <t>LEKSAND</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41308-2025</t>
        </is>
      </c>
      <c r="B286" s="1" t="n">
        <v>45898</v>
      </c>
      <c r="C286" s="1" t="n">
        <v>46194</v>
      </c>
      <c r="D286" t="inlineStr">
        <is>
          <t>DALARNAS LÄN</t>
        </is>
      </c>
      <c r="E286" t="inlineStr">
        <is>
          <t>LEKSAND</t>
        </is>
      </c>
      <c r="F286" t="inlineStr">
        <is>
          <t>Bergvik skog väst AB</t>
        </is>
      </c>
      <c r="G286" t="n">
        <v>6.7</v>
      </c>
      <c r="H286" t="n">
        <v>0</v>
      </c>
      <c r="I286" t="n">
        <v>0</v>
      </c>
      <c r="J286" t="n">
        <v>0</v>
      </c>
      <c r="K286" t="n">
        <v>0</v>
      </c>
      <c r="L286" t="n">
        <v>0</v>
      </c>
      <c r="M286" t="n">
        <v>0</v>
      </c>
      <c r="N286" t="n">
        <v>0</v>
      </c>
      <c r="O286" t="n">
        <v>0</v>
      </c>
      <c r="P286" t="n">
        <v>0</v>
      </c>
      <c r="Q286" t="n">
        <v>0</v>
      </c>
      <c r="R286" s="2" t="inlineStr"/>
    </row>
    <row r="287" ht="15" customHeight="1">
      <c r="A287" t="inlineStr">
        <is>
          <t>A 40517-2025</t>
        </is>
      </c>
      <c r="B287" s="1" t="n">
        <v>45896</v>
      </c>
      <c r="C287" s="1" t="n">
        <v>46194</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19590-2023</t>
        </is>
      </c>
      <c r="B288" s="1" t="n">
        <v>45049</v>
      </c>
      <c r="C288" s="1" t="n">
        <v>46194</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39807-2024</t>
        </is>
      </c>
      <c r="B289" s="1" t="n">
        <v>45553</v>
      </c>
      <c r="C289" s="1" t="n">
        <v>46194</v>
      </c>
      <c r="D289" t="inlineStr">
        <is>
          <t>DALARNAS LÄN</t>
        </is>
      </c>
      <c r="E289" t="inlineStr">
        <is>
          <t>LEKSAND</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41487-2025</t>
        </is>
      </c>
      <c r="B290" s="1" t="n">
        <v>45901</v>
      </c>
      <c r="C290" s="1" t="n">
        <v>46194</v>
      </c>
      <c r="D290" t="inlineStr">
        <is>
          <t>DALARNAS LÄN</t>
        </is>
      </c>
      <c r="E290" t="inlineStr">
        <is>
          <t>LEKSAND</t>
        </is>
      </c>
      <c r="F290" t="inlineStr">
        <is>
          <t>Bergvik skog väst AB</t>
        </is>
      </c>
      <c r="G290" t="n">
        <v>7.3</v>
      </c>
      <c r="H290" t="n">
        <v>0</v>
      </c>
      <c r="I290" t="n">
        <v>0</v>
      </c>
      <c r="J290" t="n">
        <v>0</v>
      </c>
      <c r="K290" t="n">
        <v>0</v>
      </c>
      <c r="L290" t="n">
        <v>0</v>
      </c>
      <c r="M290" t="n">
        <v>0</v>
      </c>
      <c r="N290" t="n">
        <v>0</v>
      </c>
      <c r="O290" t="n">
        <v>0</v>
      </c>
      <c r="P290" t="n">
        <v>0</v>
      </c>
      <c r="Q290" t="n">
        <v>0</v>
      </c>
      <c r="R290" s="2" t="inlineStr"/>
    </row>
    <row r="291" ht="15" customHeight="1">
      <c r="A291" t="inlineStr">
        <is>
          <t>A 24003-2024</t>
        </is>
      </c>
      <c r="B291" s="1" t="n">
        <v>45456</v>
      </c>
      <c r="C291" s="1" t="n">
        <v>46194</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2068-2026</t>
        </is>
      </c>
      <c r="B292" s="1" t="n">
        <v>46036</v>
      </c>
      <c r="C292" s="1" t="n">
        <v>46194</v>
      </c>
      <c r="D292" t="inlineStr">
        <is>
          <t>DALARNAS LÄN</t>
        </is>
      </c>
      <c r="E292" t="inlineStr">
        <is>
          <t>LEKSAND</t>
        </is>
      </c>
      <c r="F292" t="inlineStr">
        <is>
          <t>Övriga Aktiebolag</t>
        </is>
      </c>
      <c r="G292" t="n">
        <v>15.5</v>
      </c>
      <c r="H292" t="n">
        <v>0</v>
      </c>
      <c r="I292" t="n">
        <v>0</v>
      </c>
      <c r="J292" t="n">
        <v>0</v>
      </c>
      <c r="K292" t="n">
        <v>0</v>
      </c>
      <c r="L292" t="n">
        <v>0</v>
      </c>
      <c r="M292" t="n">
        <v>0</v>
      </c>
      <c r="N292" t="n">
        <v>0</v>
      </c>
      <c r="O292" t="n">
        <v>0</v>
      </c>
      <c r="P292" t="n">
        <v>0</v>
      </c>
      <c r="Q292" t="n">
        <v>0</v>
      </c>
      <c r="R292" s="2" t="inlineStr"/>
    </row>
    <row r="293" ht="15" customHeight="1">
      <c r="A293" t="inlineStr">
        <is>
          <t>A 42284-2025</t>
        </is>
      </c>
      <c r="B293" s="1" t="n">
        <v>45903</v>
      </c>
      <c r="C293" s="1" t="n">
        <v>46194</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21457-2025</t>
        </is>
      </c>
      <c r="B294" s="1" t="n">
        <v>45782</v>
      </c>
      <c r="C294" s="1" t="n">
        <v>46194</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55268-2024</t>
        </is>
      </c>
      <c r="B295" s="1" t="n">
        <v>45621</v>
      </c>
      <c r="C295" s="1" t="n">
        <v>46194</v>
      </c>
      <c r="D295" t="inlineStr">
        <is>
          <t>DALARNAS LÄN</t>
        </is>
      </c>
      <c r="E295" t="inlineStr">
        <is>
          <t>LEKSAND</t>
        </is>
      </c>
      <c r="G295" t="n">
        <v>4.2</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46194</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31850-2024</t>
        </is>
      </c>
      <c r="B297" s="1" t="n">
        <v>45509</v>
      </c>
      <c r="C297" s="1" t="n">
        <v>46194</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33001-2023</t>
        </is>
      </c>
      <c r="B298" s="1" t="n">
        <v>45125</v>
      </c>
      <c r="C298" s="1" t="n">
        <v>46194</v>
      </c>
      <c r="D298" t="inlineStr">
        <is>
          <t>DALARNAS LÄN</t>
        </is>
      </c>
      <c r="E298" t="inlineStr">
        <is>
          <t>LEKSAND</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11277-2025</t>
        </is>
      </c>
      <c r="B299" s="1" t="n">
        <v>45726</v>
      </c>
      <c r="C299" s="1" t="n">
        <v>46194</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325-2023</t>
        </is>
      </c>
      <c r="B300" s="1" t="n">
        <v>44929</v>
      </c>
      <c r="C300" s="1" t="n">
        <v>46194</v>
      </c>
      <c r="D300" t="inlineStr">
        <is>
          <t>DALARNAS LÄN</t>
        </is>
      </c>
      <c r="E300" t="inlineStr">
        <is>
          <t>LEKSAND</t>
        </is>
      </c>
      <c r="F300" t="inlineStr">
        <is>
          <t>Övriga Aktiebolag</t>
        </is>
      </c>
      <c r="G300" t="n">
        <v>7.1</v>
      </c>
      <c r="H300" t="n">
        <v>0</v>
      </c>
      <c r="I300" t="n">
        <v>0</v>
      </c>
      <c r="J300" t="n">
        <v>0</v>
      </c>
      <c r="K300" t="n">
        <v>0</v>
      </c>
      <c r="L300" t="n">
        <v>0</v>
      </c>
      <c r="M300" t="n">
        <v>0</v>
      </c>
      <c r="N300" t="n">
        <v>0</v>
      </c>
      <c r="O300" t="n">
        <v>0</v>
      </c>
      <c r="P300" t="n">
        <v>0</v>
      </c>
      <c r="Q300" t="n">
        <v>0</v>
      </c>
      <c r="R300" s="2" t="inlineStr"/>
    </row>
    <row r="301" ht="15" customHeight="1">
      <c r="A301" t="inlineStr">
        <is>
          <t>A 11678-2025</t>
        </is>
      </c>
      <c r="B301" s="1" t="n">
        <v>45726</v>
      </c>
      <c r="C301" s="1" t="n">
        <v>46194</v>
      </c>
      <c r="D301" t="inlineStr">
        <is>
          <t>DALARNAS LÄN</t>
        </is>
      </c>
      <c r="E301" t="inlineStr">
        <is>
          <t>LEKSAND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33674-2023</t>
        </is>
      </c>
      <c r="B302" s="1" t="n">
        <v>45132</v>
      </c>
      <c r="C302" s="1" t="n">
        <v>46194</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43195-2025</t>
        </is>
      </c>
      <c r="B303" s="1" t="n">
        <v>45910</v>
      </c>
      <c r="C303" s="1" t="n">
        <v>46194</v>
      </c>
      <c r="D303" t="inlineStr">
        <is>
          <t>DALARNAS LÄN</t>
        </is>
      </c>
      <c r="E303" t="inlineStr">
        <is>
          <t>LEKSAND</t>
        </is>
      </c>
      <c r="G303" t="n">
        <v>2.5</v>
      </c>
      <c r="H303" t="n">
        <v>0</v>
      </c>
      <c r="I303" t="n">
        <v>0</v>
      </c>
      <c r="J303" t="n">
        <v>0</v>
      </c>
      <c r="K303" t="n">
        <v>0</v>
      </c>
      <c r="L303" t="n">
        <v>0</v>
      </c>
      <c r="M303" t="n">
        <v>0</v>
      </c>
      <c r="N303" t="n">
        <v>0</v>
      </c>
      <c r="O303" t="n">
        <v>0</v>
      </c>
      <c r="P303" t="n">
        <v>0</v>
      </c>
      <c r="Q303" t="n">
        <v>0</v>
      </c>
      <c r="R303" s="2" t="inlineStr"/>
    </row>
    <row r="304" ht="15" customHeight="1">
      <c r="A304" t="inlineStr">
        <is>
          <t>A 28630-2023</t>
        </is>
      </c>
      <c r="B304" s="1" t="n">
        <v>45103</v>
      </c>
      <c r="C304" s="1" t="n">
        <v>46194</v>
      </c>
      <c r="D304" t="inlineStr">
        <is>
          <t>DALARNAS LÄN</t>
        </is>
      </c>
      <c r="E304" t="inlineStr">
        <is>
          <t>LEKSAND</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7759-2025</t>
        </is>
      </c>
      <c r="B305" s="1" t="n">
        <v>45706</v>
      </c>
      <c r="C305" s="1" t="n">
        <v>46194</v>
      </c>
      <c r="D305" t="inlineStr">
        <is>
          <t>DALARNAS LÄN</t>
        </is>
      </c>
      <c r="E305" t="inlineStr">
        <is>
          <t>LEKSAND</t>
        </is>
      </c>
      <c r="G305" t="n">
        <v>3.3</v>
      </c>
      <c r="H305" t="n">
        <v>0</v>
      </c>
      <c r="I305" t="n">
        <v>0</v>
      </c>
      <c r="J305" t="n">
        <v>0</v>
      </c>
      <c r="K305" t="n">
        <v>0</v>
      </c>
      <c r="L305" t="n">
        <v>0</v>
      </c>
      <c r="M305" t="n">
        <v>0</v>
      </c>
      <c r="N305" t="n">
        <v>0</v>
      </c>
      <c r="O305" t="n">
        <v>0</v>
      </c>
      <c r="P305" t="n">
        <v>0</v>
      </c>
      <c r="Q305" t="n">
        <v>0</v>
      </c>
      <c r="R305" s="2" t="inlineStr"/>
    </row>
    <row r="306" ht="15" customHeight="1">
      <c r="A306" t="inlineStr">
        <is>
          <t>A 12582-2025</t>
        </is>
      </c>
      <c r="B306" s="1" t="n">
        <v>45732</v>
      </c>
      <c r="C306" s="1" t="n">
        <v>46194</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16135-2023</t>
        </is>
      </c>
      <c r="B307" s="1" t="n">
        <v>45027</v>
      </c>
      <c r="C307" s="1" t="n">
        <v>46194</v>
      </c>
      <c r="D307" t="inlineStr">
        <is>
          <t>DALARNAS LÄN</t>
        </is>
      </c>
      <c r="E307" t="inlineStr">
        <is>
          <t>LEKSAND</t>
        </is>
      </c>
      <c r="G307" t="n">
        <v>4.9</v>
      </c>
      <c r="H307" t="n">
        <v>0</v>
      </c>
      <c r="I307" t="n">
        <v>0</v>
      </c>
      <c r="J307" t="n">
        <v>0</v>
      </c>
      <c r="K307" t="n">
        <v>0</v>
      </c>
      <c r="L307" t="n">
        <v>0</v>
      </c>
      <c r="M307" t="n">
        <v>0</v>
      </c>
      <c r="N307" t="n">
        <v>0</v>
      </c>
      <c r="O307" t="n">
        <v>0</v>
      </c>
      <c r="P307" t="n">
        <v>0</v>
      </c>
      <c r="Q307" t="n">
        <v>0</v>
      </c>
      <c r="R307" s="2" t="inlineStr"/>
    </row>
    <row r="308" ht="15" customHeight="1">
      <c r="A308" t="inlineStr">
        <is>
          <t>A 30198-2024</t>
        </is>
      </c>
      <c r="B308" s="1" t="n">
        <v>45490</v>
      </c>
      <c r="C308" s="1" t="n">
        <v>46194</v>
      </c>
      <c r="D308" t="inlineStr">
        <is>
          <t>DALARNAS LÄN</t>
        </is>
      </c>
      <c r="E308" t="inlineStr">
        <is>
          <t>LEKSAND</t>
        </is>
      </c>
      <c r="G308" t="n">
        <v>0.8</v>
      </c>
      <c r="H308" t="n">
        <v>0</v>
      </c>
      <c r="I308" t="n">
        <v>0</v>
      </c>
      <c r="J308" t="n">
        <v>0</v>
      </c>
      <c r="K308" t="n">
        <v>0</v>
      </c>
      <c r="L308" t="n">
        <v>0</v>
      </c>
      <c r="M308" t="n">
        <v>0</v>
      </c>
      <c r="N308" t="n">
        <v>0</v>
      </c>
      <c r="O308" t="n">
        <v>0</v>
      </c>
      <c r="P308" t="n">
        <v>0</v>
      </c>
      <c r="Q308" t="n">
        <v>0</v>
      </c>
      <c r="R308" s="2" t="inlineStr"/>
    </row>
    <row r="309" ht="15" customHeight="1">
      <c r="A309" t="inlineStr">
        <is>
          <t>A 10373-2023</t>
        </is>
      </c>
      <c r="B309" s="1" t="n">
        <v>44987</v>
      </c>
      <c r="C309" s="1" t="n">
        <v>46194</v>
      </c>
      <c r="D309" t="inlineStr">
        <is>
          <t>DALARNAS LÄN</t>
        </is>
      </c>
      <c r="E309" t="inlineStr">
        <is>
          <t>LEKSAND</t>
        </is>
      </c>
      <c r="G309" t="n">
        <v>0.3</v>
      </c>
      <c r="H309" t="n">
        <v>0</v>
      </c>
      <c r="I309" t="n">
        <v>0</v>
      </c>
      <c r="J309" t="n">
        <v>0</v>
      </c>
      <c r="K309" t="n">
        <v>0</v>
      </c>
      <c r="L309" t="n">
        <v>0</v>
      </c>
      <c r="M309" t="n">
        <v>0</v>
      </c>
      <c r="N309" t="n">
        <v>0</v>
      </c>
      <c r="O309" t="n">
        <v>0</v>
      </c>
      <c r="P309" t="n">
        <v>0</v>
      </c>
      <c r="Q309" t="n">
        <v>0</v>
      </c>
      <c r="R309" s="2" t="inlineStr"/>
    </row>
    <row r="310" ht="15" customHeight="1">
      <c r="A310" t="inlineStr">
        <is>
          <t>A 43830-2025</t>
        </is>
      </c>
      <c r="B310" s="1" t="n">
        <v>45912</v>
      </c>
      <c r="C310" s="1" t="n">
        <v>46194</v>
      </c>
      <c r="D310" t="inlineStr">
        <is>
          <t>DALARNAS LÄN</t>
        </is>
      </c>
      <c r="E310" t="inlineStr">
        <is>
          <t>LEKSAND</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43630-2025</t>
        </is>
      </c>
      <c r="B311" s="1" t="n">
        <v>45911</v>
      </c>
      <c r="C311" s="1" t="n">
        <v>46194</v>
      </c>
      <c r="D311" t="inlineStr">
        <is>
          <t>DALARNAS LÄN</t>
        </is>
      </c>
      <c r="E311" t="inlineStr">
        <is>
          <t>LEKSAND</t>
        </is>
      </c>
      <c r="G311" t="n">
        <v>4.7</v>
      </c>
      <c r="H311" t="n">
        <v>0</v>
      </c>
      <c r="I311" t="n">
        <v>0</v>
      </c>
      <c r="J311" t="n">
        <v>0</v>
      </c>
      <c r="K311" t="n">
        <v>0</v>
      </c>
      <c r="L311" t="n">
        <v>0</v>
      </c>
      <c r="M311" t="n">
        <v>0</v>
      </c>
      <c r="N311" t="n">
        <v>0</v>
      </c>
      <c r="O311" t="n">
        <v>0</v>
      </c>
      <c r="P311" t="n">
        <v>0</v>
      </c>
      <c r="Q311" t="n">
        <v>0</v>
      </c>
      <c r="R311" s="2" t="inlineStr"/>
    </row>
    <row r="312" ht="15" customHeight="1">
      <c r="A312" t="inlineStr">
        <is>
          <t>A 43629-2025</t>
        </is>
      </c>
      <c r="B312" s="1" t="n">
        <v>45911</v>
      </c>
      <c r="C312" s="1" t="n">
        <v>46194</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43781-2025</t>
        </is>
      </c>
      <c r="B313" s="1" t="n">
        <v>45912</v>
      </c>
      <c r="C313" s="1" t="n">
        <v>46194</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43875-2025</t>
        </is>
      </c>
      <c r="B314" s="1" t="n">
        <v>45912</v>
      </c>
      <c r="C314" s="1" t="n">
        <v>46194</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17078-2023</t>
        </is>
      </c>
      <c r="B315" s="1" t="n">
        <v>45034</v>
      </c>
      <c r="C315" s="1" t="n">
        <v>46194</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14865-2025</t>
        </is>
      </c>
      <c r="B316" s="1" t="n">
        <v>45743</v>
      </c>
      <c r="C316" s="1" t="n">
        <v>46194</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43628-2025</t>
        </is>
      </c>
      <c r="B317" s="1" t="n">
        <v>45911</v>
      </c>
      <c r="C317" s="1" t="n">
        <v>46194</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5847-2025</t>
        </is>
      </c>
      <c r="B318" s="1" t="n">
        <v>45695</v>
      </c>
      <c r="C318" s="1" t="n">
        <v>46194</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44519-2025</t>
        </is>
      </c>
      <c r="B319" s="1" t="n">
        <v>45916</v>
      </c>
      <c r="C319" s="1" t="n">
        <v>46194</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5873-2025</t>
        </is>
      </c>
      <c r="B320" s="1" t="n">
        <v>45695</v>
      </c>
      <c r="C320" s="1" t="n">
        <v>46194</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33566-2023</t>
        </is>
      </c>
      <c r="B321" s="1" t="n">
        <v>45131</v>
      </c>
      <c r="C321" s="1" t="n">
        <v>46194</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18481-2024</t>
        </is>
      </c>
      <c r="B322" s="1" t="n">
        <v>45425</v>
      </c>
      <c r="C322" s="1" t="n">
        <v>46194</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18484-2024</t>
        </is>
      </c>
      <c r="B323" s="1" t="n">
        <v>45425</v>
      </c>
      <c r="C323" s="1" t="n">
        <v>46194</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53193-2024</t>
        </is>
      </c>
      <c r="B324" s="1" t="n">
        <v>45610</v>
      </c>
      <c r="C324" s="1" t="n">
        <v>46194</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11080-2023</t>
        </is>
      </c>
      <c r="B325" s="1" t="n">
        <v>44992</v>
      </c>
      <c r="C325" s="1" t="n">
        <v>46194</v>
      </c>
      <c r="D325" t="inlineStr">
        <is>
          <t>DALARNAS LÄN</t>
        </is>
      </c>
      <c r="E325" t="inlineStr">
        <is>
          <t>LEKSAND</t>
        </is>
      </c>
      <c r="G325" t="n">
        <v>6.9</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v>
      </c>
      <c r="C326" s="1" t="n">
        <v>46194</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26957-2023</t>
        </is>
      </c>
      <c r="B327" s="1" t="n">
        <v>45093</v>
      </c>
      <c r="C327" s="1" t="n">
        <v>46194</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7395-2025</t>
        </is>
      </c>
      <c r="B328" s="1" t="n">
        <v>45705</v>
      </c>
      <c r="C328" s="1" t="n">
        <v>46194</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31971-2024</t>
        </is>
      </c>
      <c r="B329" s="1" t="n">
        <v>45510</v>
      </c>
      <c r="C329" s="1" t="n">
        <v>46194</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19371-2024</t>
        </is>
      </c>
      <c r="B330" s="1" t="n">
        <v>45429</v>
      </c>
      <c r="C330" s="1" t="n">
        <v>46194</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61546-2021</t>
        </is>
      </c>
      <c r="B331" s="1" t="n">
        <v>44501</v>
      </c>
      <c r="C331" s="1" t="n">
        <v>46194</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7827-2024</t>
        </is>
      </c>
      <c r="B332" s="1" t="n">
        <v>45349</v>
      </c>
      <c r="C332" s="1" t="n">
        <v>46194</v>
      </c>
      <c r="D332" t="inlineStr">
        <is>
          <t>DALARNAS LÄN</t>
        </is>
      </c>
      <c r="E332" t="inlineStr">
        <is>
          <t>LEKSAND</t>
        </is>
      </c>
      <c r="G332" t="n">
        <v>2.2</v>
      </c>
      <c r="H332" t="n">
        <v>0</v>
      </c>
      <c r="I332" t="n">
        <v>0</v>
      </c>
      <c r="J332" t="n">
        <v>0</v>
      </c>
      <c r="K332" t="n">
        <v>0</v>
      </c>
      <c r="L332" t="n">
        <v>0</v>
      </c>
      <c r="M332" t="n">
        <v>0</v>
      </c>
      <c r="N332" t="n">
        <v>0</v>
      </c>
      <c r="O332" t="n">
        <v>0</v>
      </c>
      <c r="P332" t="n">
        <v>0</v>
      </c>
      <c r="Q332" t="n">
        <v>0</v>
      </c>
      <c r="R332" s="2" t="inlineStr"/>
    </row>
    <row r="333" ht="15" customHeight="1">
      <c r="A333" t="inlineStr">
        <is>
          <t>A 49405-2024</t>
        </is>
      </c>
      <c r="B333" s="1" t="n">
        <v>45595</v>
      </c>
      <c r="C333" s="1" t="n">
        <v>46194</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7653-2025</t>
        </is>
      </c>
      <c r="B334" s="1" t="n">
        <v>45705</v>
      </c>
      <c r="C334" s="1" t="n">
        <v>46194</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44672-2025</t>
        </is>
      </c>
      <c r="B335" s="1" t="n">
        <v>45917</v>
      </c>
      <c r="C335" s="1" t="n">
        <v>46194</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41853-2023</t>
        </is>
      </c>
      <c r="B336" s="1" t="n">
        <v>45176</v>
      </c>
      <c r="C336" s="1" t="n">
        <v>46194</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45101-2025</t>
        </is>
      </c>
      <c r="B337" s="1" t="n">
        <v>45919</v>
      </c>
      <c r="C337" s="1" t="n">
        <v>46194</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v>
      </c>
      <c r="C338" s="1" t="n">
        <v>46194</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20683-2025</t>
        </is>
      </c>
      <c r="B339" s="1" t="n">
        <v>45776</v>
      </c>
      <c r="C339" s="1" t="n">
        <v>46194</v>
      </c>
      <c r="D339" t="inlineStr">
        <is>
          <t>DALARNAS LÄN</t>
        </is>
      </c>
      <c r="E339" t="inlineStr">
        <is>
          <t>LEKSAND</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45318-2025</t>
        </is>
      </c>
      <c r="B340" s="1" t="n">
        <v>45921</v>
      </c>
      <c r="C340" s="1" t="n">
        <v>46194</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21230-2025</t>
        </is>
      </c>
      <c r="B341" s="1" t="n">
        <v>45779</v>
      </c>
      <c r="C341" s="1" t="n">
        <v>46194</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62295-2023</t>
        </is>
      </c>
      <c r="B342" s="1" t="n">
        <v>45267</v>
      </c>
      <c r="C342" s="1" t="n">
        <v>46194</v>
      </c>
      <c r="D342" t="inlineStr">
        <is>
          <t>DALARNAS LÄN</t>
        </is>
      </c>
      <c r="E342" t="inlineStr">
        <is>
          <t>LEKSAND</t>
        </is>
      </c>
      <c r="G342" t="n">
        <v>2.5</v>
      </c>
      <c r="H342" t="n">
        <v>0</v>
      </c>
      <c r="I342" t="n">
        <v>0</v>
      </c>
      <c r="J342" t="n">
        <v>0</v>
      </c>
      <c r="K342" t="n">
        <v>0</v>
      </c>
      <c r="L342" t="n">
        <v>0</v>
      </c>
      <c r="M342" t="n">
        <v>0</v>
      </c>
      <c r="N342" t="n">
        <v>0</v>
      </c>
      <c r="O342" t="n">
        <v>0</v>
      </c>
      <c r="P342" t="n">
        <v>0</v>
      </c>
      <c r="Q342" t="n">
        <v>0</v>
      </c>
      <c r="R342" s="2" t="inlineStr"/>
    </row>
    <row r="343" ht="15" customHeight="1">
      <c r="A343" t="inlineStr">
        <is>
          <t>A 6028-2025</t>
        </is>
      </c>
      <c r="B343" s="1" t="n">
        <v>45695</v>
      </c>
      <c r="C343" s="1" t="n">
        <v>46194</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46176-2025</t>
        </is>
      </c>
      <c r="B344" s="1" t="n">
        <v>45924</v>
      </c>
      <c r="C344" s="1" t="n">
        <v>46194</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10771-2024</t>
        </is>
      </c>
      <c r="B345" s="1" t="n">
        <v>45369</v>
      </c>
      <c r="C345" s="1" t="n">
        <v>46194</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1950-2026</t>
        </is>
      </c>
      <c r="B346" s="1" t="n">
        <v>46035</v>
      </c>
      <c r="C346" s="1" t="n">
        <v>46194</v>
      </c>
      <c r="D346" t="inlineStr">
        <is>
          <t>DALARNAS LÄN</t>
        </is>
      </c>
      <c r="E346" t="inlineStr">
        <is>
          <t>LEKSAND</t>
        </is>
      </c>
      <c r="G346" t="n">
        <v>5.3</v>
      </c>
      <c r="H346" t="n">
        <v>0</v>
      </c>
      <c r="I346" t="n">
        <v>0</v>
      </c>
      <c r="J346" t="n">
        <v>0</v>
      </c>
      <c r="K346" t="n">
        <v>0</v>
      </c>
      <c r="L346" t="n">
        <v>0</v>
      </c>
      <c r="M346" t="n">
        <v>0</v>
      </c>
      <c r="N346" t="n">
        <v>0</v>
      </c>
      <c r="O346" t="n">
        <v>0</v>
      </c>
      <c r="P346" t="n">
        <v>0</v>
      </c>
      <c r="Q346" t="n">
        <v>0</v>
      </c>
      <c r="R346" s="2" t="inlineStr"/>
    </row>
    <row r="347" ht="15" customHeight="1">
      <c r="A347" t="inlineStr">
        <is>
          <t>A 8211-2026</t>
        </is>
      </c>
      <c r="B347" s="1" t="n">
        <v>46064</v>
      </c>
      <c r="C347" s="1" t="n">
        <v>46194</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20303-2026</t>
        </is>
      </c>
      <c r="B348" s="1" t="n">
        <v>46139</v>
      </c>
      <c r="C348" s="1" t="n">
        <v>46194</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11872-2024</t>
        </is>
      </c>
      <c r="B349" s="1" t="n">
        <v>45376</v>
      </c>
      <c r="C349" s="1" t="n">
        <v>46194</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26021-2026</t>
        </is>
      </c>
      <c r="B350" s="1" t="n">
        <v>46181</v>
      </c>
      <c r="C350" s="1" t="n">
        <v>46194</v>
      </c>
      <c r="D350" t="inlineStr">
        <is>
          <t>DALARNAS LÄN</t>
        </is>
      </c>
      <c r="E350" t="inlineStr">
        <is>
          <t>LEKSAND</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46405-2025</t>
        </is>
      </c>
      <c r="B351" s="1" t="n">
        <v>45925</v>
      </c>
      <c r="C351" s="1" t="n">
        <v>46194</v>
      </c>
      <c r="D351" t="inlineStr">
        <is>
          <t>DALARNAS LÄN</t>
        </is>
      </c>
      <c r="E351" t="inlineStr">
        <is>
          <t>LEKSAND</t>
        </is>
      </c>
      <c r="G351" t="n">
        <v>5.7</v>
      </c>
      <c r="H351" t="n">
        <v>0</v>
      </c>
      <c r="I351" t="n">
        <v>0</v>
      </c>
      <c r="J351" t="n">
        <v>0</v>
      </c>
      <c r="K351" t="n">
        <v>0</v>
      </c>
      <c r="L351" t="n">
        <v>0</v>
      </c>
      <c r="M351" t="n">
        <v>0</v>
      </c>
      <c r="N351" t="n">
        <v>0</v>
      </c>
      <c r="O351" t="n">
        <v>0</v>
      </c>
      <c r="P351" t="n">
        <v>0</v>
      </c>
      <c r="Q351" t="n">
        <v>0</v>
      </c>
      <c r="R351" s="2" t="inlineStr"/>
    </row>
    <row r="352" ht="15" customHeight="1">
      <c r="A352" t="inlineStr">
        <is>
          <t>A 46483-2025</t>
        </is>
      </c>
      <c r="B352" s="1" t="n">
        <v>45925</v>
      </c>
      <c r="C352" s="1" t="n">
        <v>46194</v>
      </c>
      <c r="D352" t="inlineStr">
        <is>
          <t>DALARNAS LÄN</t>
        </is>
      </c>
      <c r="E352" t="inlineStr">
        <is>
          <t>LEKSAND</t>
        </is>
      </c>
      <c r="G352" t="n">
        <v>3.6</v>
      </c>
      <c r="H352" t="n">
        <v>0</v>
      </c>
      <c r="I352" t="n">
        <v>0</v>
      </c>
      <c r="J352" t="n">
        <v>0</v>
      </c>
      <c r="K352" t="n">
        <v>0</v>
      </c>
      <c r="L352" t="n">
        <v>0</v>
      </c>
      <c r="M352" t="n">
        <v>0</v>
      </c>
      <c r="N352" t="n">
        <v>0</v>
      </c>
      <c r="O352" t="n">
        <v>0</v>
      </c>
      <c r="P352" t="n">
        <v>0</v>
      </c>
      <c r="Q352" t="n">
        <v>0</v>
      </c>
      <c r="R352" s="2" t="inlineStr"/>
    </row>
    <row r="353" ht="15" customHeight="1">
      <c r="A353" t="inlineStr">
        <is>
          <t>A 40627-2023</t>
        </is>
      </c>
      <c r="B353" s="1" t="n">
        <v>45170</v>
      </c>
      <c r="C353" s="1" t="n">
        <v>46194</v>
      </c>
      <c r="D353" t="inlineStr">
        <is>
          <t>DALARNAS LÄN</t>
        </is>
      </c>
      <c r="E353" t="inlineStr">
        <is>
          <t>LEKSAND</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57925-2024</t>
        </is>
      </c>
      <c r="B354" s="1" t="n">
        <v>45630</v>
      </c>
      <c r="C354" s="1" t="n">
        <v>46194</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14967-2023</t>
        </is>
      </c>
      <c r="B355" s="1" t="n">
        <v>45015</v>
      </c>
      <c r="C355" s="1" t="n">
        <v>46194</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26519-2026</t>
        </is>
      </c>
      <c r="B356" s="1" t="n">
        <v>46183</v>
      </c>
      <c r="C356" s="1" t="n">
        <v>46194</v>
      </c>
      <c r="D356" t="inlineStr">
        <is>
          <t>DALARNAS LÄN</t>
        </is>
      </c>
      <c r="E356" t="inlineStr">
        <is>
          <t>LEKSAND</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46834-2023</t>
        </is>
      </c>
      <c r="B357" s="1" t="n">
        <v>45199</v>
      </c>
      <c r="C357" s="1" t="n">
        <v>46194</v>
      </c>
      <c r="D357" t="inlineStr">
        <is>
          <t>DALARNAS LÄN</t>
        </is>
      </c>
      <c r="E357" t="inlineStr">
        <is>
          <t>LEKSAND</t>
        </is>
      </c>
      <c r="G357" t="n">
        <v>16.3</v>
      </c>
      <c r="H357" t="n">
        <v>0</v>
      </c>
      <c r="I357" t="n">
        <v>0</v>
      </c>
      <c r="J357" t="n">
        <v>0</v>
      </c>
      <c r="K357" t="n">
        <v>0</v>
      </c>
      <c r="L357" t="n">
        <v>0</v>
      </c>
      <c r="M357" t="n">
        <v>0</v>
      </c>
      <c r="N357" t="n">
        <v>0</v>
      </c>
      <c r="O357" t="n">
        <v>0</v>
      </c>
      <c r="P357" t="n">
        <v>0</v>
      </c>
      <c r="Q357" t="n">
        <v>0</v>
      </c>
      <c r="R357" s="2" t="inlineStr"/>
    </row>
    <row r="358" ht="15" customHeight="1">
      <c r="A358" t="inlineStr">
        <is>
          <t>A 46978-2025</t>
        </is>
      </c>
      <c r="B358" s="1" t="n">
        <v>45929</v>
      </c>
      <c r="C358" s="1" t="n">
        <v>46194</v>
      </c>
      <c r="D358" t="inlineStr">
        <is>
          <t>DALARNAS LÄN</t>
        </is>
      </c>
      <c r="E358" t="inlineStr">
        <is>
          <t>LEKSAND</t>
        </is>
      </c>
      <c r="G358" t="n">
        <v>2</v>
      </c>
      <c r="H358" t="n">
        <v>0</v>
      </c>
      <c r="I358" t="n">
        <v>0</v>
      </c>
      <c r="J358" t="n">
        <v>0</v>
      </c>
      <c r="K358" t="n">
        <v>0</v>
      </c>
      <c r="L358" t="n">
        <v>0</v>
      </c>
      <c r="M358" t="n">
        <v>0</v>
      </c>
      <c r="N358" t="n">
        <v>0</v>
      </c>
      <c r="O358" t="n">
        <v>0</v>
      </c>
      <c r="P358" t="n">
        <v>0</v>
      </c>
      <c r="Q358" t="n">
        <v>0</v>
      </c>
      <c r="R358" s="2" t="inlineStr"/>
    </row>
    <row r="359" ht="15" customHeight="1">
      <c r="A359" t="inlineStr">
        <is>
          <t>A 62307-2023</t>
        </is>
      </c>
      <c r="B359" s="1" t="n">
        <v>45266</v>
      </c>
      <c r="C359" s="1" t="n">
        <v>46194</v>
      </c>
      <c r="D359" t="inlineStr">
        <is>
          <t>DALARNAS LÄN</t>
        </is>
      </c>
      <c r="E359" t="inlineStr">
        <is>
          <t>LEKSAND</t>
        </is>
      </c>
      <c r="G359" t="n">
        <v>3.9</v>
      </c>
      <c r="H359" t="n">
        <v>0</v>
      </c>
      <c r="I359" t="n">
        <v>0</v>
      </c>
      <c r="J359" t="n">
        <v>0</v>
      </c>
      <c r="K359" t="n">
        <v>0</v>
      </c>
      <c r="L359" t="n">
        <v>0</v>
      </c>
      <c r="M359" t="n">
        <v>0</v>
      </c>
      <c r="N359" t="n">
        <v>0</v>
      </c>
      <c r="O359" t="n">
        <v>0</v>
      </c>
      <c r="P359" t="n">
        <v>0</v>
      </c>
      <c r="Q359" t="n">
        <v>0</v>
      </c>
      <c r="R359" s="2" t="inlineStr"/>
    </row>
    <row r="360" ht="15" customHeight="1">
      <c r="A360" t="inlineStr">
        <is>
          <t>A 61554-2024</t>
        </is>
      </c>
      <c r="B360" s="1" t="n">
        <v>45646</v>
      </c>
      <c r="C360" s="1" t="n">
        <v>46194</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21402-2023</t>
        </is>
      </c>
      <c r="B361" s="1" t="n">
        <v>45061</v>
      </c>
      <c r="C361" s="1" t="n">
        <v>46194</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43142-2024</t>
        </is>
      </c>
      <c r="B362" s="1" t="n">
        <v>45567</v>
      </c>
      <c r="C362" s="1" t="n">
        <v>46194</v>
      </c>
      <c r="D362" t="inlineStr">
        <is>
          <t>DALARNAS LÄN</t>
        </is>
      </c>
      <c r="E362" t="inlineStr">
        <is>
          <t>LEKSAND</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34244-2024</t>
        </is>
      </c>
      <c r="B363" s="1" t="n">
        <v>45524</v>
      </c>
      <c r="C363" s="1" t="n">
        <v>46194</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47976-2025</t>
        </is>
      </c>
      <c r="B364" s="1" t="n">
        <v>45932</v>
      </c>
      <c r="C364" s="1" t="n">
        <v>46194</v>
      </c>
      <c r="D364" t="inlineStr">
        <is>
          <t>DALARNAS LÄN</t>
        </is>
      </c>
      <c r="E364" t="inlineStr">
        <is>
          <t>LEKSAND</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47977-2025</t>
        </is>
      </c>
      <c r="B365" s="1" t="n">
        <v>45932</v>
      </c>
      <c r="C365" s="1" t="n">
        <v>46194</v>
      </c>
      <c r="D365" t="inlineStr">
        <is>
          <t>DALARNAS LÄN</t>
        </is>
      </c>
      <c r="E365" t="inlineStr">
        <is>
          <t>LEKSAND</t>
        </is>
      </c>
      <c r="F365" t="inlineStr">
        <is>
          <t>Bergvik skog väst AB</t>
        </is>
      </c>
      <c r="G365" t="n">
        <v>0.2</v>
      </c>
      <c r="H365" t="n">
        <v>0</v>
      </c>
      <c r="I365" t="n">
        <v>0</v>
      </c>
      <c r="J365" t="n">
        <v>0</v>
      </c>
      <c r="K365" t="n">
        <v>0</v>
      </c>
      <c r="L365" t="n">
        <v>0</v>
      </c>
      <c r="M365" t="n">
        <v>0</v>
      </c>
      <c r="N365" t="n">
        <v>0</v>
      </c>
      <c r="O365" t="n">
        <v>0</v>
      </c>
      <c r="P365" t="n">
        <v>0</v>
      </c>
      <c r="Q365" t="n">
        <v>0</v>
      </c>
      <c r="R365" s="2" t="inlineStr"/>
    </row>
    <row r="366" ht="15" customHeight="1">
      <c r="A366" t="inlineStr">
        <is>
          <t>A 7861-2024</t>
        </is>
      </c>
      <c r="B366" s="1" t="n">
        <v>45350</v>
      </c>
      <c r="C366" s="1" t="n">
        <v>46194</v>
      </c>
      <c r="D366" t="inlineStr">
        <is>
          <t>DALARNAS LÄN</t>
        </is>
      </c>
      <c r="E366" t="inlineStr">
        <is>
          <t>LEKSAND</t>
        </is>
      </c>
      <c r="G366" t="n">
        <v>1.8</v>
      </c>
      <c r="H366" t="n">
        <v>0</v>
      </c>
      <c r="I366" t="n">
        <v>0</v>
      </c>
      <c r="J366" t="n">
        <v>0</v>
      </c>
      <c r="K366" t="n">
        <v>0</v>
      </c>
      <c r="L366" t="n">
        <v>0</v>
      </c>
      <c r="M366" t="n">
        <v>0</v>
      </c>
      <c r="N366" t="n">
        <v>0</v>
      </c>
      <c r="O366" t="n">
        <v>0</v>
      </c>
      <c r="P366" t="n">
        <v>0</v>
      </c>
      <c r="Q366" t="n">
        <v>0</v>
      </c>
      <c r="R366" s="2" t="inlineStr"/>
    </row>
    <row r="367" ht="15" customHeight="1">
      <c r="A367" t="inlineStr">
        <is>
          <t>A 47673-2023</t>
        </is>
      </c>
      <c r="B367" s="1" t="n">
        <v>45203</v>
      </c>
      <c r="C367" s="1" t="n">
        <v>46194</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59718-2023</t>
        </is>
      </c>
      <c r="B368" s="1" t="n">
        <v>45257</v>
      </c>
      <c r="C368" s="1" t="n">
        <v>46194</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1775-2022</t>
        </is>
      </c>
      <c r="B369" s="1" t="n">
        <v>44574</v>
      </c>
      <c r="C369" s="1" t="n">
        <v>46194</v>
      </c>
      <c r="D369" t="inlineStr">
        <is>
          <t>DALARNAS LÄN</t>
        </is>
      </c>
      <c r="E369" t="inlineStr">
        <is>
          <t>LEKSAND</t>
        </is>
      </c>
      <c r="G369" t="n">
        <v>2</v>
      </c>
      <c r="H369" t="n">
        <v>0</v>
      </c>
      <c r="I369" t="n">
        <v>0</v>
      </c>
      <c r="J369" t="n">
        <v>0</v>
      </c>
      <c r="K369" t="n">
        <v>0</v>
      </c>
      <c r="L369" t="n">
        <v>0</v>
      </c>
      <c r="M369" t="n">
        <v>0</v>
      </c>
      <c r="N369" t="n">
        <v>0</v>
      </c>
      <c r="O369" t="n">
        <v>0</v>
      </c>
      <c r="P369" t="n">
        <v>0</v>
      </c>
      <c r="Q369" t="n">
        <v>0</v>
      </c>
      <c r="R369" s="2" t="inlineStr"/>
    </row>
    <row r="370" ht="15" customHeight="1">
      <c r="A370" t="inlineStr">
        <is>
          <t>A 30994-2023</t>
        </is>
      </c>
      <c r="B370" s="1" t="n">
        <v>45113</v>
      </c>
      <c r="C370" s="1" t="n">
        <v>46194</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v>
      </c>
      <c r="C371" s="1" t="n">
        <v>46194</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22536-2025</t>
        </is>
      </c>
      <c r="B372" s="1" t="n">
        <v>45787</v>
      </c>
      <c r="C372" s="1" t="n">
        <v>46194</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57927-2024</t>
        </is>
      </c>
      <c r="B373" s="1" t="n">
        <v>45630</v>
      </c>
      <c r="C373" s="1" t="n">
        <v>46194</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57930-2024</t>
        </is>
      </c>
      <c r="B374" s="1" t="n">
        <v>45630</v>
      </c>
      <c r="C374" s="1" t="n">
        <v>46194</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22876-2025</t>
        </is>
      </c>
      <c r="B375" s="1" t="n">
        <v>45790</v>
      </c>
      <c r="C375" s="1" t="n">
        <v>46194</v>
      </c>
      <c r="D375" t="inlineStr">
        <is>
          <t>DALARNAS LÄN</t>
        </is>
      </c>
      <c r="E375" t="inlineStr">
        <is>
          <t>LEKSAND</t>
        </is>
      </c>
      <c r="G375" t="n">
        <v>5.9</v>
      </c>
      <c r="H375" t="n">
        <v>0</v>
      </c>
      <c r="I375" t="n">
        <v>0</v>
      </c>
      <c r="J375" t="n">
        <v>0</v>
      </c>
      <c r="K375" t="n">
        <v>0</v>
      </c>
      <c r="L375" t="n">
        <v>0</v>
      </c>
      <c r="M375" t="n">
        <v>0</v>
      </c>
      <c r="N375" t="n">
        <v>0</v>
      </c>
      <c r="O375" t="n">
        <v>0</v>
      </c>
      <c r="P375" t="n">
        <v>0</v>
      </c>
      <c r="Q375" t="n">
        <v>0</v>
      </c>
      <c r="R375" s="2" t="inlineStr"/>
    </row>
    <row r="376" ht="15" customHeight="1">
      <c r="A376" t="inlineStr">
        <is>
          <t>A 51480-2022</t>
        </is>
      </c>
      <c r="B376" s="1" t="n">
        <v>44869</v>
      </c>
      <c r="C376" s="1" t="n">
        <v>46194</v>
      </c>
      <c r="D376" t="inlineStr">
        <is>
          <t>DALARNAS LÄN</t>
        </is>
      </c>
      <c r="E376" t="inlineStr">
        <is>
          <t>LEKSAND</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48922-2025</t>
        </is>
      </c>
      <c r="B377" s="1" t="n">
        <v>45937</v>
      </c>
      <c r="C377" s="1" t="n">
        <v>46194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49076-2025</t>
        </is>
      </c>
      <c r="B378" s="1" t="n">
        <v>45937</v>
      </c>
      <c r="C378" s="1" t="n">
        <v>46194</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23058-2025</t>
        </is>
      </c>
      <c r="B379" s="1" t="n">
        <v>45790</v>
      </c>
      <c r="C379" s="1" t="n">
        <v>46194</v>
      </c>
      <c r="D379" t="inlineStr">
        <is>
          <t>DALARNAS LÄN</t>
        </is>
      </c>
      <c r="E379" t="inlineStr">
        <is>
          <t>LEKSAND</t>
        </is>
      </c>
      <c r="G379" t="n">
        <v>6.7</v>
      </c>
      <c r="H379" t="n">
        <v>0</v>
      </c>
      <c r="I379" t="n">
        <v>0</v>
      </c>
      <c r="J379" t="n">
        <v>0</v>
      </c>
      <c r="K379" t="n">
        <v>0</v>
      </c>
      <c r="L379" t="n">
        <v>0</v>
      </c>
      <c r="M379" t="n">
        <v>0</v>
      </c>
      <c r="N379" t="n">
        <v>0</v>
      </c>
      <c r="O379" t="n">
        <v>0</v>
      </c>
      <c r="P379" t="n">
        <v>0</v>
      </c>
      <c r="Q379" t="n">
        <v>0</v>
      </c>
      <c r="R379" s="2" t="inlineStr"/>
    </row>
    <row r="380" ht="15" customHeight="1">
      <c r="A380" t="inlineStr">
        <is>
          <t>A 23076-2025</t>
        </is>
      </c>
      <c r="B380" s="1" t="n">
        <v>45790</v>
      </c>
      <c r="C380" s="1" t="n">
        <v>46194</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57468-2023</t>
        </is>
      </c>
      <c r="B381" s="1" t="n">
        <v>45246</v>
      </c>
      <c r="C381" s="1" t="n">
        <v>46194</v>
      </c>
      <c r="D381" t="inlineStr">
        <is>
          <t>DALARNAS LÄN</t>
        </is>
      </c>
      <c r="E381" t="inlineStr">
        <is>
          <t>LEKSAND</t>
        </is>
      </c>
      <c r="G381" t="n">
        <v>4.6</v>
      </c>
      <c r="H381" t="n">
        <v>0</v>
      </c>
      <c r="I381" t="n">
        <v>0</v>
      </c>
      <c r="J381" t="n">
        <v>0</v>
      </c>
      <c r="K381" t="n">
        <v>0</v>
      </c>
      <c r="L381" t="n">
        <v>0</v>
      </c>
      <c r="M381" t="n">
        <v>0</v>
      </c>
      <c r="N381" t="n">
        <v>0</v>
      </c>
      <c r="O381" t="n">
        <v>0</v>
      </c>
      <c r="P381" t="n">
        <v>0</v>
      </c>
      <c r="Q381" t="n">
        <v>0</v>
      </c>
      <c r="R381" s="2" t="inlineStr"/>
    </row>
    <row r="382" ht="15" customHeight="1">
      <c r="A382" t="inlineStr">
        <is>
          <t>A 44822-2024</t>
        </is>
      </c>
      <c r="B382" s="1" t="n">
        <v>45574</v>
      </c>
      <c r="C382" s="1" t="n">
        <v>46194</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43237-2024</t>
        </is>
      </c>
      <c r="B383" s="1" t="n">
        <v>45567</v>
      </c>
      <c r="C383" s="1" t="n">
        <v>46194</v>
      </c>
      <c r="D383" t="inlineStr">
        <is>
          <t>DALARNAS LÄN</t>
        </is>
      </c>
      <c r="E383" t="inlineStr">
        <is>
          <t>LEKSAND</t>
        </is>
      </c>
      <c r="G383" t="n">
        <v>0.8</v>
      </c>
      <c r="H383" t="n">
        <v>0</v>
      </c>
      <c r="I383" t="n">
        <v>0</v>
      </c>
      <c r="J383" t="n">
        <v>0</v>
      </c>
      <c r="K383" t="n">
        <v>0</v>
      </c>
      <c r="L383" t="n">
        <v>0</v>
      </c>
      <c r="M383" t="n">
        <v>0</v>
      </c>
      <c r="N383" t="n">
        <v>0</v>
      </c>
      <c r="O383" t="n">
        <v>0</v>
      </c>
      <c r="P383" t="n">
        <v>0</v>
      </c>
      <c r="Q383" t="n">
        <v>0</v>
      </c>
      <c r="R383" s="2" t="inlineStr"/>
    </row>
    <row r="384" ht="15" customHeight="1">
      <c r="A384" t="inlineStr">
        <is>
          <t>A 49499-2024</t>
        </is>
      </c>
      <c r="B384" s="1" t="n">
        <v>45596</v>
      </c>
      <c r="C384" s="1" t="n">
        <v>46194</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34482-2022</t>
        </is>
      </c>
      <c r="B385" s="1" t="n">
        <v>44792</v>
      </c>
      <c r="C385" s="1" t="n">
        <v>46194</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30595-2023</t>
        </is>
      </c>
      <c r="B386" s="1" t="n">
        <v>45112</v>
      </c>
      <c r="C386" s="1" t="n">
        <v>46194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49505-2025</t>
        </is>
      </c>
      <c r="B387" s="1" t="n">
        <v>45939</v>
      </c>
      <c r="C387" s="1" t="n">
        <v>46194</v>
      </c>
      <c r="D387" t="inlineStr">
        <is>
          <t>DALARNAS LÄN</t>
        </is>
      </c>
      <c r="E387" t="inlineStr">
        <is>
          <t>LEKSAND</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46194</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56943-2024</t>
        </is>
      </c>
      <c r="B389" s="1" t="n">
        <v>45625</v>
      </c>
      <c r="C389" s="1" t="n">
        <v>46194</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50332-2025</t>
        </is>
      </c>
      <c r="B390" s="1" t="n">
        <v>45944</v>
      </c>
      <c r="C390" s="1" t="n">
        <v>46194</v>
      </c>
      <c r="D390" t="inlineStr">
        <is>
          <t>DALARNAS LÄN</t>
        </is>
      </c>
      <c r="E390" t="inlineStr">
        <is>
          <t>LEKSAND</t>
        </is>
      </c>
      <c r="G390" t="n">
        <v>2.4</v>
      </c>
      <c r="H390" t="n">
        <v>0</v>
      </c>
      <c r="I390" t="n">
        <v>0</v>
      </c>
      <c r="J390" t="n">
        <v>0</v>
      </c>
      <c r="K390" t="n">
        <v>0</v>
      </c>
      <c r="L390" t="n">
        <v>0</v>
      </c>
      <c r="M390" t="n">
        <v>0</v>
      </c>
      <c r="N390" t="n">
        <v>0</v>
      </c>
      <c r="O390" t="n">
        <v>0</v>
      </c>
      <c r="P390" t="n">
        <v>0</v>
      </c>
      <c r="Q390" t="n">
        <v>0</v>
      </c>
      <c r="R390" s="2" t="inlineStr"/>
    </row>
    <row r="391" ht="15" customHeight="1">
      <c r="A391" t="inlineStr">
        <is>
          <t>A 52977-2022</t>
        </is>
      </c>
      <c r="B391" s="1" t="n">
        <v>44875</v>
      </c>
      <c r="C391" s="1" t="n">
        <v>46194</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25921-2024</t>
        </is>
      </c>
      <c r="B392" s="1" t="n">
        <v>45467</v>
      </c>
      <c r="C392" s="1" t="n">
        <v>46194</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24188-2025</t>
        </is>
      </c>
      <c r="B393" s="1" t="n">
        <v>45796</v>
      </c>
      <c r="C393" s="1" t="n">
        <v>46194</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56211-2023</t>
        </is>
      </c>
      <c r="B394" s="1" t="n">
        <v>45240</v>
      </c>
      <c r="C394" s="1" t="n">
        <v>46194</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28892-2022</t>
        </is>
      </c>
      <c r="B395" s="1" t="n">
        <v>44749</v>
      </c>
      <c r="C395" s="1" t="n">
        <v>46194</v>
      </c>
      <c r="D395" t="inlineStr">
        <is>
          <t>DALARNAS LÄN</t>
        </is>
      </c>
      <c r="E395" t="inlineStr">
        <is>
          <t>LEKSAND</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50704-2025</t>
        </is>
      </c>
      <c r="B396" s="1" t="n">
        <v>45946</v>
      </c>
      <c r="C396" s="1" t="n">
        <v>46194</v>
      </c>
      <c r="D396" t="inlineStr">
        <is>
          <t>DALARNAS LÄN</t>
        </is>
      </c>
      <c r="E396" t="inlineStr">
        <is>
          <t>LEKSAND</t>
        </is>
      </c>
      <c r="G396" t="n">
        <v>2.1</v>
      </c>
      <c r="H396" t="n">
        <v>0</v>
      </c>
      <c r="I396" t="n">
        <v>0</v>
      </c>
      <c r="J396" t="n">
        <v>0</v>
      </c>
      <c r="K396" t="n">
        <v>0</v>
      </c>
      <c r="L396" t="n">
        <v>0</v>
      </c>
      <c r="M396" t="n">
        <v>0</v>
      </c>
      <c r="N396" t="n">
        <v>0</v>
      </c>
      <c r="O396" t="n">
        <v>0</v>
      </c>
      <c r="P396" t="n">
        <v>0</v>
      </c>
      <c r="Q396" t="n">
        <v>0</v>
      </c>
      <c r="R396" s="2" t="inlineStr"/>
    </row>
    <row r="397" ht="15" customHeight="1">
      <c r="A397" t="inlineStr">
        <is>
          <t>A 320-2023</t>
        </is>
      </c>
      <c r="B397" s="1" t="n">
        <v>44929</v>
      </c>
      <c r="C397" s="1" t="n">
        <v>46194</v>
      </c>
      <c r="D397" t="inlineStr">
        <is>
          <t>DALARNAS LÄN</t>
        </is>
      </c>
      <c r="E397" t="inlineStr">
        <is>
          <t>LEKSAND</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1149-2026</t>
        </is>
      </c>
      <c r="B398" s="1" t="n">
        <v>46030</v>
      </c>
      <c r="C398" s="1" t="n">
        <v>46194</v>
      </c>
      <c r="D398" t="inlineStr">
        <is>
          <t>DALARNAS LÄN</t>
        </is>
      </c>
      <c r="E398" t="inlineStr">
        <is>
          <t>LEKSAND</t>
        </is>
      </c>
      <c r="G398" t="n">
        <v>11.7</v>
      </c>
      <c r="H398" t="n">
        <v>0</v>
      </c>
      <c r="I398" t="n">
        <v>0</v>
      </c>
      <c r="J398" t="n">
        <v>0</v>
      </c>
      <c r="K398" t="n">
        <v>0</v>
      </c>
      <c r="L398" t="n">
        <v>0</v>
      </c>
      <c r="M398" t="n">
        <v>0</v>
      </c>
      <c r="N398" t="n">
        <v>0</v>
      </c>
      <c r="O398" t="n">
        <v>0</v>
      </c>
      <c r="P398" t="n">
        <v>0</v>
      </c>
      <c r="Q398" t="n">
        <v>0</v>
      </c>
      <c r="R398" s="2" t="inlineStr"/>
    </row>
    <row r="399" ht="15" customHeight="1">
      <c r="A399" t="inlineStr">
        <is>
          <t>A 22659-2026</t>
        </is>
      </c>
      <c r="B399" s="1" t="n">
        <v>46155</v>
      </c>
      <c r="C399" s="1" t="n">
        <v>46194</v>
      </c>
      <c r="D399" t="inlineStr">
        <is>
          <t>DALARNAS LÄN</t>
        </is>
      </c>
      <c r="E399" t="inlineStr">
        <is>
          <t>LEKSAND</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40868-2024</t>
        </is>
      </c>
      <c r="B400" s="1" t="n">
        <v>45558</v>
      </c>
      <c r="C400" s="1" t="n">
        <v>46194</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32666-2023</t>
        </is>
      </c>
      <c r="B401" s="1" t="n">
        <v>45121</v>
      </c>
      <c r="C401" s="1" t="n">
        <v>46194</v>
      </c>
      <c r="D401" t="inlineStr">
        <is>
          <t>DALARNAS LÄN</t>
        </is>
      </c>
      <c r="E401" t="inlineStr">
        <is>
          <t>LEKSAND</t>
        </is>
      </c>
      <c r="G401" t="n">
        <v>9.9</v>
      </c>
      <c r="H401" t="n">
        <v>0</v>
      </c>
      <c r="I401" t="n">
        <v>0</v>
      </c>
      <c r="J401" t="n">
        <v>0</v>
      </c>
      <c r="K401" t="n">
        <v>0</v>
      </c>
      <c r="L401" t="n">
        <v>0</v>
      </c>
      <c r="M401" t="n">
        <v>0</v>
      </c>
      <c r="N401" t="n">
        <v>0</v>
      </c>
      <c r="O401" t="n">
        <v>0</v>
      </c>
      <c r="P401" t="n">
        <v>0</v>
      </c>
      <c r="Q401" t="n">
        <v>0</v>
      </c>
      <c r="R401" s="2" t="inlineStr"/>
    </row>
    <row r="402" ht="15" customHeight="1">
      <c r="A402" t="inlineStr">
        <is>
          <t>A 23896-2024</t>
        </is>
      </c>
      <c r="B402" s="1" t="n">
        <v>45455</v>
      </c>
      <c r="C402" s="1" t="n">
        <v>46194</v>
      </c>
      <c r="D402" t="inlineStr">
        <is>
          <t>DALARNAS LÄN</t>
        </is>
      </c>
      <c r="E402" t="inlineStr">
        <is>
          <t>LEKSAND</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51663-2025</t>
        </is>
      </c>
      <c r="B403" s="1" t="n">
        <v>45951</v>
      </c>
      <c r="C403" s="1" t="n">
        <v>46194</v>
      </c>
      <c r="D403" t="inlineStr">
        <is>
          <t>DALARNAS LÄN</t>
        </is>
      </c>
      <c r="E403" t="inlineStr">
        <is>
          <t>LEKSAND</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28578-2023</t>
        </is>
      </c>
      <c r="B404" s="1" t="n">
        <v>45103</v>
      </c>
      <c r="C404" s="1" t="n">
        <v>46194</v>
      </c>
      <c r="D404" t="inlineStr">
        <is>
          <t>DALARNAS LÄN</t>
        </is>
      </c>
      <c r="E404" t="inlineStr">
        <is>
          <t>LEKSAND</t>
        </is>
      </c>
      <c r="G404" t="n">
        <v>4.4</v>
      </c>
      <c r="H404" t="n">
        <v>0</v>
      </c>
      <c r="I404" t="n">
        <v>0</v>
      </c>
      <c r="J404" t="n">
        <v>0</v>
      </c>
      <c r="K404" t="n">
        <v>0</v>
      </c>
      <c r="L404" t="n">
        <v>0</v>
      </c>
      <c r="M404" t="n">
        <v>0</v>
      </c>
      <c r="N404" t="n">
        <v>0</v>
      </c>
      <c r="O404" t="n">
        <v>0</v>
      </c>
      <c r="P404" t="n">
        <v>0</v>
      </c>
      <c r="Q404" t="n">
        <v>0</v>
      </c>
      <c r="R404" s="2" t="inlineStr"/>
    </row>
    <row r="405" ht="15" customHeight="1">
      <c r="A405" t="inlineStr">
        <is>
          <t>A 61288-2022</t>
        </is>
      </c>
      <c r="B405" s="1" t="n">
        <v>44915</v>
      </c>
      <c r="C405" s="1" t="n">
        <v>46194</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20936-2023</t>
        </is>
      </c>
      <c r="B406" s="1" t="n">
        <v>45061</v>
      </c>
      <c r="C406" s="1" t="n">
        <v>46194</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51728-2025</t>
        </is>
      </c>
      <c r="B407" s="1" t="n">
        <v>45951</v>
      </c>
      <c r="C407" s="1" t="n">
        <v>46194</v>
      </c>
      <c r="D407" t="inlineStr">
        <is>
          <t>DALARNAS LÄN</t>
        </is>
      </c>
      <c r="E407" t="inlineStr">
        <is>
          <t>LEKSAND</t>
        </is>
      </c>
      <c r="F407" t="inlineStr">
        <is>
          <t>Bergvik skog väst AB</t>
        </is>
      </c>
      <c r="G407" t="n">
        <v>14.2</v>
      </c>
      <c r="H407" t="n">
        <v>0</v>
      </c>
      <c r="I407" t="n">
        <v>0</v>
      </c>
      <c r="J407" t="n">
        <v>0</v>
      </c>
      <c r="K407" t="n">
        <v>0</v>
      </c>
      <c r="L407" t="n">
        <v>0</v>
      </c>
      <c r="M407" t="n">
        <v>0</v>
      </c>
      <c r="N407" t="n">
        <v>0</v>
      </c>
      <c r="O407" t="n">
        <v>0</v>
      </c>
      <c r="P407" t="n">
        <v>0</v>
      </c>
      <c r="Q407" t="n">
        <v>0</v>
      </c>
      <c r="R407" s="2" t="inlineStr"/>
    </row>
    <row r="408" ht="15" customHeight="1">
      <c r="A408" t="inlineStr">
        <is>
          <t>A 26348-2026</t>
        </is>
      </c>
      <c r="B408" s="1" t="n">
        <v>46182</v>
      </c>
      <c r="C408" s="1" t="n">
        <v>46194</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31255-2023</t>
        </is>
      </c>
      <c r="B409" s="1" t="n">
        <v>45114</v>
      </c>
      <c r="C409" s="1" t="n">
        <v>46194</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51926-2025</t>
        </is>
      </c>
      <c r="B410" s="1" t="n">
        <v>45952</v>
      </c>
      <c r="C410" s="1" t="n">
        <v>46194</v>
      </c>
      <c r="D410" t="inlineStr">
        <is>
          <t>DALARNAS LÄN</t>
        </is>
      </c>
      <c r="E410" t="inlineStr">
        <is>
          <t>LEKSAND</t>
        </is>
      </c>
      <c r="G410" t="n">
        <v>2.3</v>
      </c>
      <c r="H410" t="n">
        <v>0</v>
      </c>
      <c r="I410" t="n">
        <v>0</v>
      </c>
      <c r="J410" t="n">
        <v>0</v>
      </c>
      <c r="K410" t="n">
        <v>0</v>
      </c>
      <c r="L410" t="n">
        <v>0</v>
      </c>
      <c r="M410" t="n">
        <v>0</v>
      </c>
      <c r="N410" t="n">
        <v>0</v>
      </c>
      <c r="O410" t="n">
        <v>0</v>
      </c>
      <c r="P410" t="n">
        <v>0</v>
      </c>
      <c r="Q410" t="n">
        <v>0</v>
      </c>
      <c r="R410" s="2" t="inlineStr"/>
    </row>
    <row r="411" ht="15" customHeight="1">
      <c r="A411" t="inlineStr">
        <is>
          <t>A 16592-2023</t>
        </is>
      </c>
      <c r="B411" s="1" t="n">
        <v>45030</v>
      </c>
      <c r="C411" s="1" t="n">
        <v>46194</v>
      </c>
      <c r="D411" t="inlineStr">
        <is>
          <t>DALARNAS LÄN</t>
        </is>
      </c>
      <c r="E411" t="inlineStr">
        <is>
          <t>LEKSAND</t>
        </is>
      </c>
      <c r="G411" t="n">
        <v>11.5</v>
      </c>
      <c r="H411" t="n">
        <v>0</v>
      </c>
      <c r="I411" t="n">
        <v>0</v>
      </c>
      <c r="J411" t="n">
        <v>0</v>
      </c>
      <c r="K411" t="n">
        <v>0</v>
      </c>
      <c r="L411" t="n">
        <v>0</v>
      </c>
      <c r="M411" t="n">
        <v>0</v>
      </c>
      <c r="N411" t="n">
        <v>0</v>
      </c>
      <c r="O411" t="n">
        <v>0</v>
      </c>
      <c r="P411" t="n">
        <v>0</v>
      </c>
      <c r="Q411" t="n">
        <v>0</v>
      </c>
      <c r="R411" s="2" t="inlineStr"/>
    </row>
    <row r="412" ht="15" customHeight="1">
      <c r="A412" t="inlineStr">
        <is>
          <t>A 17377-2025</t>
        </is>
      </c>
      <c r="B412" s="1" t="n">
        <v>45756</v>
      </c>
      <c r="C412" s="1" t="n">
        <v>46194</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61269-2022</t>
        </is>
      </c>
      <c r="B413" s="1" t="n">
        <v>44909</v>
      </c>
      <c r="C413" s="1" t="n">
        <v>46194</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52671-2025</t>
        </is>
      </c>
      <c r="B414" s="1" t="n">
        <v>45955</v>
      </c>
      <c r="C414" s="1" t="n">
        <v>46194</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53817-2023</t>
        </is>
      </c>
      <c r="B415" s="1" t="n">
        <v>45231</v>
      </c>
      <c r="C415" s="1" t="n">
        <v>46194</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20663-2026</t>
        </is>
      </c>
      <c r="B416" s="1" t="n">
        <v>46141</v>
      </c>
      <c r="C416" s="1" t="n">
        <v>46194</v>
      </c>
      <c r="D416" t="inlineStr">
        <is>
          <t>DALARNAS LÄN</t>
        </is>
      </c>
      <c r="E416" t="inlineStr">
        <is>
          <t>LEKSAND</t>
        </is>
      </c>
      <c r="F416" t="inlineStr">
        <is>
          <t>Bergvik skog väst AB</t>
        </is>
      </c>
      <c r="G416" t="n">
        <v>12.8</v>
      </c>
      <c r="H416" t="n">
        <v>0</v>
      </c>
      <c r="I416" t="n">
        <v>0</v>
      </c>
      <c r="J416" t="n">
        <v>0</v>
      </c>
      <c r="K416" t="n">
        <v>0</v>
      </c>
      <c r="L416" t="n">
        <v>0</v>
      </c>
      <c r="M416" t="n">
        <v>0</v>
      </c>
      <c r="N416" t="n">
        <v>0</v>
      </c>
      <c r="O416" t="n">
        <v>0</v>
      </c>
      <c r="P416" t="n">
        <v>0</v>
      </c>
      <c r="Q416" t="n">
        <v>0</v>
      </c>
      <c r="R416" s="2" t="inlineStr"/>
    </row>
    <row r="417" ht="15" customHeight="1">
      <c r="A417" t="inlineStr">
        <is>
          <t>A 28633-2023</t>
        </is>
      </c>
      <c r="B417" s="1" t="n">
        <v>45103</v>
      </c>
      <c r="C417" s="1" t="n">
        <v>46194</v>
      </c>
      <c r="D417" t="inlineStr">
        <is>
          <t>DALARNAS LÄN</t>
        </is>
      </c>
      <c r="E417" t="inlineStr">
        <is>
          <t>LEKSAND</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14943-2023</t>
        </is>
      </c>
      <c r="B418" s="1" t="n">
        <v>45015</v>
      </c>
      <c r="C418" s="1" t="n">
        <v>46194</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41840-2024</t>
        </is>
      </c>
      <c r="B419" s="1" t="n">
        <v>45561</v>
      </c>
      <c r="C419" s="1" t="n">
        <v>46194</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33143-2024</t>
        </is>
      </c>
      <c r="B420" s="1" t="n">
        <v>45518</v>
      </c>
      <c r="C420" s="1" t="n">
        <v>46194</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25329-2022</t>
        </is>
      </c>
      <c r="B421" s="1" t="n">
        <v>44731</v>
      </c>
      <c r="C421" s="1" t="n">
        <v>46194</v>
      </c>
      <c r="D421" t="inlineStr">
        <is>
          <t>DALARNAS LÄN</t>
        </is>
      </c>
      <c r="E421" t="inlineStr">
        <is>
          <t>LEKSAND</t>
        </is>
      </c>
      <c r="G421" t="n">
        <v>1.4</v>
      </c>
      <c r="H421" t="n">
        <v>0</v>
      </c>
      <c r="I421" t="n">
        <v>0</v>
      </c>
      <c r="J421" t="n">
        <v>0</v>
      </c>
      <c r="K421" t="n">
        <v>0</v>
      </c>
      <c r="L421" t="n">
        <v>0</v>
      </c>
      <c r="M421" t="n">
        <v>0</v>
      </c>
      <c r="N421" t="n">
        <v>0</v>
      </c>
      <c r="O421" t="n">
        <v>0</v>
      </c>
      <c r="P421" t="n">
        <v>0</v>
      </c>
      <c r="Q421" t="n">
        <v>0</v>
      </c>
      <c r="R421" s="2" t="inlineStr"/>
    </row>
    <row r="422" ht="15" customHeight="1">
      <c r="A422" t="inlineStr">
        <is>
          <t>A 53041-2025</t>
        </is>
      </c>
      <c r="B422" s="1" t="n">
        <v>45958</v>
      </c>
      <c r="C422" s="1" t="n">
        <v>46194</v>
      </c>
      <c r="D422" t="inlineStr">
        <is>
          <t>DALARNAS LÄN</t>
        </is>
      </c>
      <c r="E422" t="inlineStr">
        <is>
          <t>LEKSAND</t>
        </is>
      </c>
      <c r="G422" t="n">
        <v>1.7</v>
      </c>
      <c r="H422" t="n">
        <v>0</v>
      </c>
      <c r="I422" t="n">
        <v>0</v>
      </c>
      <c r="J422" t="n">
        <v>0</v>
      </c>
      <c r="K422" t="n">
        <v>0</v>
      </c>
      <c r="L422" t="n">
        <v>0</v>
      </c>
      <c r="M422" t="n">
        <v>0</v>
      </c>
      <c r="N422" t="n">
        <v>0</v>
      </c>
      <c r="O422" t="n">
        <v>0</v>
      </c>
      <c r="P422" t="n">
        <v>0</v>
      </c>
      <c r="Q422" t="n">
        <v>0</v>
      </c>
      <c r="R422" s="2" t="inlineStr"/>
    </row>
    <row r="423" ht="15" customHeight="1">
      <c r="A423" t="inlineStr">
        <is>
          <t>A 26923-2026</t>
        </is>
      </c>
      <c r="B423" s="1" t="n">
        <v>46185</v>
      </c>
      <c r="C423" s="1" t="n">
        <v>46194</v>
      </c>
      <c r="D423" t="inlineStr">
        <is>
          <t>DALARNAS LÄN</t>
        </is>
      </c>
      <c r="E423" t="inlineStr">
        <is>
          <t>LEKSAND</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54015-2025</t>
        </is>
      </c>
      <c r="B424" s="1" t="n">
        <v>45961</v>
      </c>
      <c r="C424" s="1" t="n">
        <v>46194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54120-2025</t>
        </is>
      </c>
      <c r="B425" s="1" t="n">
        <v>45964</v>
      </c>
      <c r="C425" s="1" t="n">
        <v>46194</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53804-2025</t>
        </is>
      </c>
      <c r="B426" s="1" t="n">
        <v>45960</v>
      </c>
      <c r="C426" s="1" t="n">
        <v>46194</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471-2025</t>
        </is>
      </c>
      <c r="B427" s="1" t="n">
        <v>45664</v>
      </c>
      <c r="C427" s="1" t="n">
        <v>46194</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54125-2025</t>
        </is>
      </c>
      <c r="B428" s="1" t="n">
        <v>45964</v>
      </c>
      <c r="C428" s="1" t="n">
        <v>46194</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27262-2025</t>
        </is>
      </c>
      <c r="B429" s="1" t="n">
        <v>45812</v>
      </c>
      <c r="C429" s="1" t="n">
        <v>46194</v>
      </c>
      <c r="D429" t="inlineStr">
        <is>
          <t>DALARNAS LÄN</t>
        </is>
      </c>
      <c r="E429" t="inlineStr">
        <is>
          <t>LEKSAND</t>
        </is>
      </c>
      <c r="F429" t="inlineStr">
        <is>
          <t>Bergvik skog väst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53836-2025</t>
        </is>
      </c>
      <c r="B430" s="1" t="n">
        <v>45961</v>
      </c>
      <c r="C430" s="1" t="n">
        <v>46194</v>
      </c>
      <c r="D430" t="inlineStr">
        <is>
          <t>DALARNAS LÄN</t>
        </is>
      </c>
      <c r="E430" t="inlineStr">
        <is>
          <t>LEKSAND</t>
        </is>
      </c>
      <c r="G430" t="n">
        <v>3.5</v>
      </c>
      <c r="H430" t="n">
        <v>0</v>
      </c>
      <c r="I430" t="n">
        <v>0</v>
      </c>
      <c r="J430" t="n">
        <v>0</v>
      </c>
      <c r="K430" t="n">
        <v>0</v>
      </c>
      <c r="L430" t="n">
        <v>0</v>
      </c>
      <c r="M430" t="n">
        <v>0</v>
      </c>
      <c r="N430" t="n">
        <v>0</v>
      </c>
      <c r="O430" t="n">
        <v>0</v>
      </c>
      <c r="P430" t="n">
        <v>0</v>
      </c>
      <c r="Q430" t="n">
        <v>0</v>
      </c>
      <c r="R430" s="2" t="inlineStr"/>
    </row>
    <row r="431" ht="15" customHeight="1">
      <c r="A431" t="inlineStr">
        <is>
          <t>A 53838-2025</t>
        </is>
      </c>
      <c r="B431" s="1" t="n">
        <v>45961</v>
      </c>
      <c r="C431" s="1" t="n">
        <v>46194</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54779-2025</t>
        </is>
      </c>
      <c r="B432" s="1" t="n">
        <v>45966</v>
      </c>
      <c r="C432" s="1" t="n">
        <v>46194</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54815-2025</t>
        </is>
      </c>
      <c r="B433" s="1" t="n">
        <v>45966</v>
      </c>
      <c r="C433" s="1" t="n">
        <v>46194</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54440-2025</t>
        </is>
      </c>
      <c r="B434" s="1" t="n">
        <v>45965</v>
      </c>
      <c r="C434" s="1" t="n">
        <v>46194</v>
      </c>
      <c r="D434" t="inlineStr">
        <is>
          <t>DALARNAS LÄN</t>
        </is>
      </c>
      <c r="E434" t="inlineStr">
        <is>
          <t>LEKSAND</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27680-2025</t>
        </is>
      </c>
      <c r="B435" s="1" t="n">
        <v>45813</v>
      </c>
      <c r="C435" s="1" t="n">
        <v>46194</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54295-2025</t>
        </is>
      </c>
      <c r="B436" s="1" t="n">
        <v>45964</v>
      </c>
      <c r="C436" s="1" t="n">
        <v>46194</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54752-2025</t>
        </is>
      </c>
      <c r="B437" s="1" t="n">
        <v>45966</v>
      </c>
      <c r="C437" s="1" t="n">
        <v>46194</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54767-2025</t>
        </is>
      </c>
      <c r="B438" s="1" t="n">
        <v>45966</v>
      </c>
      <c r="C438" s="1" t="n">
        <v>46194</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54785-2025</t>
        </is>
      </c>
      <c r="B439" s="1" t="n">
        <v>45966</v>
      </c>
      <c r="C439" s="1" t="n">
        <v>46194</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54805-2025</t>
        </is>
      </c>
      <c r="B440" s="1" t="n">
        <v>45966</v>
      </c>
      <c r="C440" s="1" t="n">
        <v>46194</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28483-2025</t>
        </is>
      </c>
      <c r="B441" s="1" t="n">
        <v>45818</v>
      </c>
      <c r="C441" s="1" t="n">
        <v>46194</v>
      </c>
      <c r="D441" t="inlineStr">
        <is>
          <t>DALARNAS LÄN</t>
        </is>
      </c>
      <c r="E441" t="inlineStr">
        <is>
          <t>LEKSAND</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54293-2025</t>
        </is>
      </c>
      <c r="B442" s="1" t="n">
        <v>45964</v>
      </c>
      <c r="C442" s="1" t="n">
        <v>46194</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11128-2023</t>
        </is>
      </c>
      <c r="B443" s="1" t="n">
        <v>44992</v>
      </c>
      <c r="C443" s="1" t="n">
        <v>46194</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60024-2023</t>
        </is>
      </c>
      <c r="B444" s="1" t="n">
        <v>45258</v>
      </c>
      <c r="C444" s="1" t="n">
        <v>46194</v>
      </c>
      <c r="D444" t="inlineStr">
        <is>
          <t>DALARNAS LÄN</t>
        </is>
      </c>
      <c r="E444" t="inlineStr">
        <is>
          <t>LEKSAND</t>
        </is>
      </c>
      <c r="G444" t="n">
        <v>4.2</v>
      </c>
      <c r="H444" t="n">
        <v>0</v>
      </c>
      <c r="I444" t="n">
        <v>0</v>
      </c>
      <c r="J444" t="n">
        <v>0</v>
      </c>
      <c r="K444" t="n">
        <v>0</v>
      </c>
      <c r="L444" t="n">
        <v>0</v>
      </c>
      <c r="M444" t="n">
        <v>0</v>
      </c>
      <c r="N444" t="n">
        <v>0</v>
      </c>
      <c r="O444" t="n">
        <v>0</v>
      </c>
      <c r="P444" t="n">
        <v>0</v>
      </c>
      <c r="Q444" t="n">
        <v>0</v>
      </c>
      <c r="R444" s="2" t="inlineStr"/>
    </row>
    <row r="445" ht="15" customHeight="1">
      <c r="A445" t="inlineStr">
        <is>
          <t>A 54494-2025</t>
        </is>
      </c>
      <c r="B445" s="1" t="n">
        <v>45965</v>
      </c>
      <c r="C445" s="1" t="n">
        <v>46194</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11859-2024</t>
        </is>
      </c>
      <c r="B446" s="1" t="n">
        <v>45376</v>
      </c>
      <c r="C446" s="1" t="n">
        <v>46194</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62133-2023</t>
        </is>
      </c>
      <c r="B447" s="1" t="n">
        <v>45267</v>
      </c>
      <c r="C447" s="1" t="n">
        <v>46194</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28505-2025</t>
        </is>
      </c>
      <c r="B448" s="1" t="n">
        <v>45818</v>
      </c>
      <c r="C448" s="1" t="n">
        <v>46194</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28499-2025</t>
        </is>
      </c>
      <c r="B449" s="1" t="n">
        <v>45818</v>
      </c>
      <c r="C449" s="1" t="n">
        <v>46194</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27984-2025</t>
        </is>
      </c>
      <c r="B450" s="1" t="n">
        <v>45817</v>
      </c>
      <c r="C450" s="1" t="n">
        <v>46194</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6039-2023</t>
        </is>
      </c>
      <c r="B451" s="1" t="n">
        <v>44959</v>
      </c>
      <c r="C451" s="1" t="n">
        <v>46194</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22517-2024</t>
        </is>
      </c>
      <c r="B452" s="1" t="n">
        <v>45447</v>
      </c>
      <c r="C452" s="1" t="n">
        <v>46194</v>
      </c>
      <c r="D452" t="inlineStr">
        <is>
          <t>DALARNAS LÄN</t>
        </is>
      </c>
      <c r="E452" t="inlineStr">
        <is>
          <t>LEKSAND</t>
        </is>
      </c>
      <c r="G452" t="n">
        <v>0.4</v>
      </c>
      <c r="H452" t="n">
        <v>0</v>
      </c>
      <c r="I452" t="n">
        <v>0</v>
      </c>
      <c r="J452" t="n">
        <v>0</v>
      </c>
      <c r="K452" t="n">
        <v>0</v>
      </c>
      <c r="L452" t="n">
        <v>0</v>
      </c>
      <c r="M452" t="n">
        <v>0</v>
      </c>
      <c r="N452" t="n">
        <v>0</v>
      </c>
      <c r="O452" t="n">
        <v>0</v>
      </c>
      <c r="P452" t="n">
        <v>0</v>
      </c>
      <c r="Q452" t="n">
        <v>0</v>
      </c>
      <c r="R452" s="2" t="inlineStr"/>
    </row>
    <row r="453" ht="15" customHeight="1">
      <c r="A453" t="inlineStr">
        <is>
          <t>A 52801-2023</t>
        </is>
      </c>
      <c r="B453" s="1" t="n">
        <v>45219</v>
      </c>
      <c r="C453" s="1" t="n">
        <v>46194</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45768-2023</t>
        </is>
      </c>
      <c r="B454" s="1" t="n">
        <v>45195</v>
      </c>
      <c r="C454" s="1" t="n">
        <v>46194</v>
      </c>
      <c r="D454" t="inlineStr">
        <is>
          <t>DALARNAS LÄN</t>
        </is>
      </c>
      <c r="E454" t="inlineStr">
        <is>
          <t>LEKSAND</t>
        </is>
      </c>
      <c r="G454" t="n">
        <v>0.4</v>
      </c>
      <c r="H454" t="n">
        <v>0</v>
      </c>
      <c r="I454" t="n">
        <v>0</v>
      </c>
      <c r="J454" t="n">
        <v>0</v>
      </c>
      <c r="K454" t="n">
        <v>0</v>
      </c>
      <c r="L454" t="n">
        <v>0</v>
      </c>
      <c r="M454" t="n">
        <v>0</v>
      </c>
      <c r="N454" t="n">
        <v>0</v>
      </c>
      <c r="O454" t="n">
        <v>0</v>
      </c>
      <c r="P454" t="n">
        <v>0</v>
      </c>
      <c r="Q454" t="n">
        <v>0</v>
      </c>
      <c r="R454" s="2" t="inlineStr"/>
    </row>
    <row r="455" ht="15" customHeight="1">
      <c r="A455" t="inlineStr">
        <is>
          <t>A 28770-2025</t>
        </is>
      </c>
      <c r="B455" s="1" t="n">
        <v>45820</v>
      </c>
      <c r="C455" s="1" t="n">
        <v>46194</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28458-2025</t>
        </is>
      </c>
      <c r="B456" s="1" t="n">
        <v>45819</v>
      </c>
      <c r="C456" s="1" t="n">
        <v>46194</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41306-2024</t>
        </is>
      </c>
      <c r="B457" s="1" t="n">
        <v>45559</v>
      </c>
      <c r="C457" s="1" t="n">
        <v>46194</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29005-2025</t>
        </is>
      </c>
      <c r="B458" s="1" t="n">
        <v>45821</v>
      </c>
      <c r="C458" s="1" t="n">
        <v>46194</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36450-2023</t>
        </is>
      </c>
      <c r="B459" s="1" t="n">
        <v>45152</v>
      </c>
      <c r="C459" s="1" t="n">
        <v>46194</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3737-2023</t>
        </is>
      </c>
      <c r="B460" s="1" t="n">
        <v>44951</v>
      </c>
      <c r="C460" s="1" t="n">
        <v>46194</v>
      </c>
      <c r="D460" t="inlineStr">
        <is>
          <t>DALARNAS LÄN</t>
        </is>
      </c>
      <c r="E460" t="inlineStr">
        <is>
          <t>LEKSAND</t>
        </is>
      </c>
      <c r="G460" t="n">
        <v>3.1</v>
      </c>
      <c r="H460" t="n">
        <v>0</v>
      </c>
      <c r="I460" t="n">
        <v>0</v>
      </c>
      <c r="J460" t="n">
        <v>0</v>
      </c>
      <c r="K460" t="n">
        <v>0</v>
      </c>
      <c r="L460" t="n">
        <v>0</v>
      </c>
      <c r="M460" t="n">
        <v>0</v>
      </c>
      <c r="N460" t="n">
        <v>0</v>
      </c>
      <c r="O460" t="n">
        <v>0</v>
      </c>
      <c r="P460" t="n">
        <v>0</v>
      </c>
      <c r="Q460" t="n">
        <v>0</v>
      </c>
      <c r="R460" s="2" t="inlineStr"/>
    </row>
    <row r="461" ht="15" customHeight="1">
      <c r="A461" t="inlineStr">
        <is>
          <t>A 55493-2025</t>
        </is>
      </c>
      <c r="B461" s="1" t="n">
        <v>45971</v>
      </c>
      <c r="C461" s="1" t="n">
        <v>46194</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55784-2025</t>
        </is>
      </c>
      <c r="B462" s="1" t="n">
        <v>45972</v>
      </c>
      <c r="C462" s="1" t="n">
        <v>46194</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56161-2025</t>
        </is>
      </c>
      <c r="B463" s="1" t="n">
        <v>45974</v>
      </c>
      <c r="C463" s="1" t="n">
        <v>46194</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29553-2025</t>
        </is>
      </c>
      <c r="B464" s="1" t="n">
        <v>45825</v>
      </c>
      <c r="C464" s="1" t="n">
        <v>46194</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11678-2023</t>
        </is>
      </c>
      <c r="B465" s="1" t="n">
        <v>44994</v>
      </c>
      <c r="C465" s="1" t="n">
        <v>46194</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v>
      </c>
      <c r="C466" s="1" t="n">
        <v>46194</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13288-2023</t>
        </is>
      </c>
      <c r="B467" s="1" t="n">
        <v>45004</v>
      </c>
      <c r="C467" s="1" t="n">
        <v>46194</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56331-2025</t>
        </is>
      </c>
      <c r="B468" s="1" t="n">
        <v>45974</v>
      </c>
      <c r="C468" s="1" t="n">
        <v>46194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11869-2024</t>
        </is>
      </c>
      <c r="B469" s="1" t="n">
        <v>45376</v>
      </c>
      <c r="C469" s="1" t="n">
        <v>46194</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27520-2023</t>
        </is>
      </c>
      <c r="B470" s="1" t="n">
        <v>45097</v>
      </c>
      <c r="C470" s="1" t="n">
        <v>46194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30169-2023</t>
        </is>
      </c>
      <c r="B471" s="1" t="n">
        <v>45110</v>
      </c>
      <c r="C471" s="1" t="n">
        <v>46194</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37952-2024</t>
        </is>
      </c>
      <c r="B472" s="1" t="n">
        <v>45544</v>
      </c>
      <c r="C472" s="1" t="n">
        <v>46194</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30917-2025</t>
        </is>
      </c>
      <c r="B473" s="1" t="n">
        <v>45832</v>
      </c>
      <c r="C473" s="1" t="n">
        <v>46194</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30911-2025</t>
        </is>
      </c>
      <c r="B474" s="1" t="n">
        <v>45832</v>
      </c>
      <c r="C474" s="1" t="n">
        <v>46194</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46194</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30920-2025</t>
        </is>
      </c>
      <c r="B476" s="1" t="n">
        <v>45832</v>
      </c>
      <c r="C476" s="1" t="n">
        <v>46194</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56960-2025</t>
        </is>
      </c>
      <c r="B477" s="1" t="n">
        <v>45978</v>
      </c>
      <c r="C477" s="1" t="n">
        <v>46194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56623-2025</t>
        </is>
      </c>
      <c r="B478" s="1" t="n">
        <v>45975</v>
      </c>
      <c r="C478" s="1" t="n">
        <v>46194</v>
      </c>
      <c r="D478" t="inlineStr">
        <is>
          <t>DALARNAS LÄN</t>
        </is>
      </c>
      <c r="E478" t="inlineStr">
        <is>
          <t>LEKSAND</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31446-2025</t>
        </is>
      </c>
      <c r="B479" s="1" t="n">
        <v>45833</v>
      </c>
      <c r="C479" s="1" t="n">
        <v>46194</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11004-2023</t>
        </is>
      </c>
      <c r="B480" s="1" t="n">
        <v>44986</v>
      </c>
      <c r="C480" s="1" t="n">
        <v>46194</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32104-2025</t>
        </is>
      </c>
      <c r="B481" s="1" t="n">
        <v>45835</v>
      </c>
      <c r="C481" s="1" t="n">
        <v>46194</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46194</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32593-2025</t>
        </is>
      </c>
      <c r="B483" s="1" t="n">
        <v>45838</v>
      </c>
      <c r="C483" s="1" t="n">
        <v>46194</v>
      </c>
      <c r="D483" t="inlineStr">
        <is>
          <t>DALARNAS LÄN</t>
        </is>
      </c>
      <c r="E483" t="inlineStr">
        <is>
          <t>LEKSAND</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32301-2025</t>
        </is>
      </c>
      <c r="B484" s="1" t="n">
        <v>45835</v>
      </c>
      <c r="C484" s="1" t="n">
        <v>46194</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21177-2026</t>
        </is>
      </c>
      <c r="B485" s="1" t="n">
        <v>46146</v>
      </c>
      <c r="C485" s="1" t="n">
        <v>46194</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32855-2025</t>
        </is>
      </c>
      <c r="B486" s="1" t="n">
        <v>45839</v>
      </c>
      <c r="C486" s="1" t="n">
        <v>46194</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58114-2025</t>
        </is>
      </c>
      <c r="B487" s="1" t="n">
        <v>45982</v>
      </c>
      <c r="C487" s="1" t="n">
        <v>46194</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16051-2023</t>
        </is>
      </c>
      <c r="B488" s="1" t="n">
        <v>45027</v>
      </c>
      <c r="C488" s="1" t="n">
        <v>46194</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57688-2025</t>
        </is>
      </c>
      <c r="B489" s="1" t="n">
        <v>45981</v>
      </c>
      <c r="C489" s="1" t="n">
        <v>46194</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58921-2025</t>
        </is>
      </c>
      <c r="B490" s="1" t="n">
        <v>45986</v>
      </c>
      <c r="C490" s="1" t="n">
        <v>46194</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58449-2025</t>
        </is>
      </c>
      <c r="B491" s="1" t="n">
        <v>45985</v>
      </c>
      <c r="C491" s="1" t="n">
        <v>46194</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58519-2025</t>
        </is>
      </c>
      <c r="B492" s="1" t="n">
        <v>45985</v>
      </c>
      <c r="C492" s="1" t="n">
        <v>46194</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54677-2025</t>
        </is>
      </c>
      <c r="B493" s="1" t="n">
        <v>45966</v>
      </c>
      <c r="C493" s="1" t="n">
        <v>46194</v>
      </c>
      <c r="D493" t="inlineStr">
        <is>
          <t>DALARNAS LÄN</t>
        </is>
      </c>
      <c r="E493" t="inlineStr">
        <is>
          <t>LEKSAND</t>
        </is>
      </c>
      <c r="G493" t="n">
        <v>0.5</v>
      </c>
      <c r="H493" t="n">
        <v>0</v>
      </c>
      <c r="I493" t="n">
        <v>0</v>
      </c>
      <c r="J493" t="n">
        <v>0</v>
      </c>
      <c r="K493" t="n">
        <v>0</v>
      </c>
      <c r="L493" t="n">
        <v>0</v>
      </c>
      <c r="M493" t="n">
        <v>0</v>
      </c>
      <c r="N493" t="n">
        <v>0</v>
      </c>
      <c r="O493" t="n">
        <v>0</v>
      </c>
      <c r="P493" t="n">
        <v>0</v>
      </c>
      <c r="Q493" t="n">
        <v>0</v>
      </c>
      <c r="R493" s="2" t="inlineStr"/>
    </row>
    <row r="494" ht="15" customHeight="1">
      <c r="A494" t="inlineStr">
        <is>
          <t>A 58516-2025</t>
        </is>
      </c>
      <c r="B494" s="1" t="n">
        <v>45985</v>
      </c>
      <c r="C494" s="1" t="n">
        <v>46194</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46194</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58626-2025</t>
        </is>
      </c>
      <c r="B496" s="1" t="n">
        <v>45986</v>
      </c>
      <c r="C496" s="1" t="n">
        <v>46194</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58376-2025</t>
        </is>
      </c>
      <c r="B497" s="1" t="n">
        <v>45985</v>
      </c>
      <c r="C497" s="1" t="n">
        <v>46194</v>
      </c>
      <c r="D497" t="inlineStr">
        <is>
          <t>DALARNAS LÄN</t>
        </is>
      </c>
      <c r="E497" t="inlineStr">
        <is>
          <t>LEKSAND</t>
        </is>
      </c>
      <c r="G497" t="n">
        <v>5.7</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46194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59083-2025</t>
        </is>
      </c>
      <c r="B499" s="1" t="n">
        <v>45988</v>
      </c>
      <c r="C499" s="1" t="n">
        <v>46194</v>
      </c>
      <c r="D499" t="inlineStr">
        <is>
          <t>DALARNAS LÄN</t>
        </is>
      </c>
      <c r="E499" t="inlineStr">
        <is>
          <t>LEKSAND</t>
        </is>
      </c>
      <c r="F499" t="inlineStr">
        <is>
          <t>Bergvik skog väst AB</t>
        </is>
      </c>
      <c r="G499" t="n">
        <v>2.7</v>
      </c>
      <c r="H499" t="n">
        <v>0</v>
      </c>
      <c r="I499" t="n">
        <v>0</v>
      </c>
      <c r="J499" t="n">
        <v>0</v>
      </c>
      <c r="K499" t="n">
        <v>0</v>
      </c>
      <c r="L499" t="n">
        <v>0</v>
      </c>
      <c r="M499" t="n">
        <v>0</v>
      </c>
      <c r="N499" t="n">
        <v>0</v>
      </c>
      <c r="O499" t="n">
        <v>0</v>
      </c>
      <c r="P499" t="n">
        <v>0</v>
      </c>
      <c r="Q499" t="n">
        <v>0</v>
      </c>
      <c r="R499" s="2" t="inlineStr"/>
      <c r="U499">
        <f>HYPERLINK("https://klasma.github.io/Logging_2029/knärot/A 59083-2025 karta knärot.png", "A 59083-2025")</f>
        <v/>
      </c>
      <c r="V499">
        <f>HYPERLINK("https://klasma.github.io/Logging_2029/klagomål/A 59083-2025 FSC-klagomål.docx", "A 59083-2025")</f>
        <v/>
      </c>
      <c r="W499">
        <f>HYPERLINK("https://klasma.github.io/Logging_2029/klagomålsmail/A 59083-2025 FSC-klagomål mail.docx", "A 59083-2025")</f>
        <v/>
      </c>
      <c r="X499">
        <f>HYPERLINK("https://klasma.github.io/Logging_2029/tillsyn/A 59083-2025 tillsynsbegäran.docx", "A 59083-2025")</f>
        <v/>
      </c>
      <c r="Y499">
        <f>HYPERLINK("https://klasma.github.io/Logging_2029/tillsynsmail/A 59083-2025 tillsynsbegäran mail.docx", "A 59083-2025")</f>
        <v/>
      </c>
    </row>
    <row r="500" ht="15" customHeight="1">
      <c r="A500" t="inlineStr">
        <is>
          <t>A 41896-2024</t>
        </is>
      </c>
      <c r="B500" s="1" t="n">
        <v>45561</v>
      </c>
      <c r="C500" s="1" t="n">
        <v>46194</v>
      </c>
      <c r="D500" t="inlineStr">
        <is>
          <t>DALARNAS LÄN</t>
        </is>
      </c>
      <c r="E500" t="inlineStr">
        <is>
          <t>LEKSAND</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59106-2025</t>
        </is>
      </c>
      <c r="B501" s="1" t="n">
        <v>45988</v>
      </c>
      <c r="C501" s="1" t="n">
        <v>46194</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34537-2025</t>
        </is>
      </c>
      <c r="B502" s="1" t="n">
        <v>45847</v>
      </c>
      <c r="C502" s="1" t="n">
        <v>46194</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27201-2026</t>
        </is>
      </c>
      <c r="B503" s="1" t="n">
        <v>46188</v>
      </c>
      <c r="C503" s="1" t="n">
        <v>46194</v>
      </c>
      <c r="D503" t="inlineStr">
        <is>
          <t>DALARNAS LÄN</t>
        </is>
      </c>
      <c r="E503" t="inlineStr">
        <is>
          <t>LEKSAND</t>
        </is>
      </c>
      <c r="G503" t="n">
        <v>3.7</v>
      </c>
      <c r="H503" t="n">
        <v>0</v>
      </c>
      <c r="I503" t="n">
        <v>0</v>
      </c>
      <c r="J503" t="n">
        <v>0</v>
      </c>
      <c r="K503" t="n">
        <v>0</v>
      </c>
      <c r="L503" t="n">
        <v>0</v>
      </c>
      <c r="M503" t="n">
        <v>0</v>
      </c>
      <c r="N503" t="n">
        <v>0</v>
      </c>
      <c r="O503" t="n">
        <v>0</v>
      </c>
      <c r="P503" t="n">
        <v>0</v>
      </c>
      <c r="Q503" t="n">
        <v>0</v>
      </c>
      <c r="R503" s="2" t="inlineStr"/>
    </row>
    <row r="504" ht="15" customHeight="1">
      <c r="A504" t="inlineStr">
        <is>
          <t>A 34965-2025</t>
        </is>
      </c>
      <c r="B504" s="1" t="n">
        <v>45849</v>
      </c>
      <c r="C504" s="1" t="n">
        <v>46194</v>
      </c>
      <c r="D504" t="inlineStr">
        <is>
          <t>DALARNAS LÄN</t>
        </is>
      </c>
      <c r="E504" t="inlineStr">
        <is>
          <t>LEKSAND</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46194</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41934-2025</t>
        </is>
      </c>
      <c r="B506" s="1" t="n">
        <v>45903</v>
      </c>
      <c r="C506" s="1" t="n">
        <v>46194</v>
      </c>
      <c r="D506" t="inlineStr">
        <is>
          <t>DALARNAS LÄN</t>
        </is>
      </c>
      <c r="E506" t="inlineStr">
        <is>
          <t>LEKSAND</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60067-2025</t>
        </is>
      </c>
      <c r="B507" s="1" t="n">
        <v>45993</v>
      </c>
      <c r="C507" s="1" t="n">
        <v>46194</v>
      </c>
      <c r="D507" t="inlineStr">
        <is>
          <t>DALARNAS LÄN</t>
        </is>
      </c>
      <c r="E507" t="inlineStr">
        <is>
          <t>LEKSAND</t>
        </is>
      </c>
      <c r="G507" t="n">
        <v>3.3</v>
      </c>
      <c r="H507" t="n">
        <v>0</v>
      </c>
      <c r="I507" t="n">
        <v>0</v>
      </c>
      <c r="J507" t="n">
        <v>0</v>
      </c>
      <c r="K507" t="n">
        <v>0</v>
      </c>
      <c r="L507" t="n">
        <v>0</v>
      </c>
      <c r="M507" t="n">
        <v>0</v>
      </c>
      <c r="N507" t="n">
        <v>0</v>
      </c>
      <c r="O507" t="n">
        <v>0</v>
      </c>
      <c r="P507" t="n">
        <v>0</v>
      </c>
      <c r="Q507" t="n">
        <v>0</v>
      </c>
      <c r="R507" s="2" t="inlineStr"/>
    </row>
    <row r="508" ht="15" customHeight="1">
      <c r="A508" t="inlineStr">
        <is>
          <t>A 60170-2025</t>
        </is>
      </c>
      <c r="B508" s="1" t="n">
        <v>45994</v>
      </c>
      <c r="C508" s="1" t="n">
        <v>46194</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33317-2023</t>
        </is>
      </c>
      <c r="B509" s="1" t="n">
        <v>45127</v>
      </c>
      <c r="C509" s="1" t="n">
        <v>46194</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60023-2025</t>
        </is>
      </c>
      <c r="B510" s="1" t="n">
        <v>45993</v>
      </c>
      <c r="C510" s="1" t="n">
        <v>46194</v>
      </c>
      <c r="D510" t="inlineStr">
        <is>
          <t>DALARNAS LÄN</t>
        </is>
      </c>
      <c r="E510" t="inlineStr">
        <is>
          <t>LEKSAND</t>
        </is>
      </c>
      <c r="G510" t="n">
        <v>6.5</v>
      </c>
      <c r="H510" t="n">
        <v>0</v>
      </c>
      <c r="I510" t="n">
        <v>0</v>
      </c>
      <c r="J510" t="n">
        <v>0</v>
      </c>
      <c r="K510" t="n">
        <v>0</v>
      </c>
      <c r="L510" t="n">
        <v>0</v>
      </c>
      <c r="M510" t="n">
        <v>0</v>
      </c>
      <c r="N510" t="n">
        <v>0</v>
      </c>
      <c r="O510" t="n">
        <v>0</v>
      </c>
      <c r="P510" t="n">
        <v>0</v>
      </c>
      <c r="Q510" t="n">
        <v>0</v>
      </c>
      <c r="R510" s="2" t="inlineStr"/>
    </row>
    <row r="511" ht="15" customHeight="1">
      <c r="A511" t="inlineStr">
        <is>
          <t>A 60614-2025</t>
        </is>
      </c>
      <c r="B511" s="1" t="n">
        <v>45996</v>
      </c>
      <c r="C511" s="1" t="n">
        <v>46194</v>
      </c>
      <c r="D511" t="inlineStr">
        <is>
          <t>DALARNAS LÄN</t>
        </is>
      </c>
      <c r="E511" t="inlineStr">
        <is>
          <t>LEKSAND</t>
        </is>
      </c>
      <c r="G511" t="n">
        <v>3.4</v>
      </c>
      <c r="H511" t="n">
        <v>0</v>
      </c>
      <c r="I511" t="n">
        <v>0</v>
      </c>
      <c r="J511" t="n">
        <v>0</v>
      </c>
      <c r="K511" t="n">
        <v>0</v>
      </c>
      <c r="L511" t="n">
        <v>0</v>
      </c>
      <c r="M511" t="n">
        <v>0</v>
      </c>
      <c r="N511" t="n">
        <v>0</v>
      </c>
      <c r="O511" t="n">
        <v>0</v>
      </c>
      <c r="P511" t="n">
        <v>0</v>
      </c>
      <c r="Q511" t="n">
        <v>0</v>
      </c>
      <c r="R511" s="2" t="inlineStr"/>
    </row>
    <row r="512" ht="15" customHeight="1">
      <c r="A512" t="inlineStr">
        <is>
          <t>A 60358-2025</t>
        </is>
      </c>
      <c r="B512" s="1" t="n">
        <v>45995</v>
      </c>
      <c r="C512" s="1" t="n">
        <v>46194</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36021-2025</t>
        </is>
      </c>
      <c r="B513" s="1" t="n">
        <v>45863</v>
      </c>
      <c r="C513" s="1" t="n">
        <v>46194</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60544-2025</t>
        </is>
      </c>
      <c r="B514" s="1" t="n">
        <v>45995</v>
      </c>
      <c r="C514" s="1" t="n">
        <v>46194</v>
      </c>
      <c r="D514" t="inlineStr">
        <is>
          <t>DALARNAS LÄN</t>
        </is>
      </c>
      <c r="E514" t="inlineStr">
        <is>
          <t>LEKSAND</t>
        </is>
      </c>
      <c r="G514" t="n">
        <v>4.4</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46194</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52572-2024</t>
        </is>
      </c>
      <c r="B516" s="1" t="n">
        <v>45609</v>
      </c>
      <c r="C516" s="1" t="n">
        <v>46194</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v>
      </c>
      <c r="C517" s="1" t="n">
        <v>46194</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v>
      </c>
      <c r="C518" s="1" t="n">
        <v>46194</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61491-2025</t>
        </is>
      </c>
      <c r="B519" s="1" t="n">
        <v>46001</v>
      </c>
      <c r="C519" s="1" t="n">
        <v>46194</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61684-2025</t>
        </is>
      </c>
      <c r="B520" s="1" t="n">
        <v>46002</v>
      </c>
      <c r="C520" s="1" t="n">
        <v>46194</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21250-2026</t>
        </is>
      </c>
      <c r="B521" s="1" t="n">
        <v>46147</v>
      </c>
      <c r="C521" s="1" t="n">
        <v>46194</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9781-2024</t>
        </is>
      </c>
      <c r="B522" s="1" t="n">
        <v>45362</v>
      </c>
      <c r="C522" s="1" t="n">
        <v>46194</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40230-2023</t>
        </is>
      </c>
      <c r="B523" s="1" t="n">
        <v>45169</v>
      </c>
      <c r="C523" s="1" t="n">
        <v>46194</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62301-2025</t>
        </is>
      </c>
      <c r="B524" s="1" t="n">
        <v>46006</v>
      </c>
      <c r="C524" s="1" t="n">
        <v>46194</v>
      </c>
      <c r="D524" t="inlineStr">
        <is>
          <t>DALARNAS LÄN</t>
        </is>
      </c>
      <c r="E524" t="inlineStr">
        <is>
          <t>LEKSAND</t>
        </is>
      </c>
      <c r="G524" t="n">
        <v>2.4</v>
      </c>
      <c r="H524" t="n">
        <v>0</v>
      </c>
      <c r="I524" t="n">
        <v>0</v>
      </c>
      <c r="J524" t="n">
        <v>0</v>
      </c>
      <c r="K524" t="n">
        <v>0</v>
      </c>
      <c r="L524" t="n">
        <v>0</v>
      </c>
      <c r="M524" t="n">
        <v>0</v>
      </c>
      <c r="N524" t="n">
        <v>0</v>
      </c>
      <c r="O524" t="n">
        <v>0</v>
      </c>
      <c r="P524" t="n">
        <v>0</v>
      </c>
      <c r="Q524" t="n">
        <v>0</v>
      </c>
      <c r="R524" s="2" t="inlineStr"/>
    </row>
    <row r="525" ht="15" customHeight="1">
      <c r="A525" t="inlineStr">
        <is>
          <t>A 62306-2025</t>
        </is>
      </c>
      <c r="B525" s="1" t="n">
        <v>46006</v>
      </c>
      <c r="C525" s="1" t="n">
        <v>46194</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62337-2025</t>
        </is>
      </c>
      <c r="B526" s="1" t="n">
        <v>46006</v>
      </c>
      <c r="C526" s="1" t="n">
        <v>46194</v>
      </c>
      <c r="D526" t="inlineStr">
        <is>
          <t>DALARNAS LÄN</t>
        </is>
      </c>
      <c r="E526" t="inlineStr">
        <is>
          <t>LEKSAND</t>
        </is>
      </c>
      <c r="G526" t="n">
        <v>1.9</v>
      </c>
      <c r="H526" t="n">
        <v>0</v>
      </c>
      <c r="I526" t="n">
        <v>0</v>
      </c>
      <c r="J526" t="n">
        <v>0</v>
      </c>
      <c r="K526" t="n">
        <v>0</v>
      </c>
      <c r="L526" t="n">
        <v>0</v>
      </c>
      <c r="M526" t="n">
        <v>0</v>
      </c>
      <c r="N526" t="n">
        <v>0</v>
      </c>
      <c r="O526" t="n">
        <v>0</v>
      </c>
      <c r="P526" t="n">
        <v>0</v>
      </c>
      <c r="Q526" t="n">
        <v>0</v>
      </c>
      <c r="R526" s="2" t="inlineStr"/>
    </row>
    <row r="527" ht="15" customHeight="1">
      <c r="A527" t="inlineStr">
        <is>
          <t>A 21544-2026</t>
        </is>
      </c>
      <c r="B527" s="1" t="n">
        <v>46148</v>
      </c>
      <c r="C527" s="1" t="n">
        <v>46194</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39819-2024</t>
        </is>
      </c>
      <c r="B528" s="1" t="n">
        <v>45553</v>
      </c>
      <c r="C528" s="1" t="n">
        <v>46194</v>
      </c>
      <c r="D528" t="inlineStr">
        <is>
          <t>DALARNAS LÄN</t>
        </is>
      </c>
      <c r="E528" t="inlineStr">
        <is>
          <t>LEKSAND</t>
        </is>
      </c>
      <c r="F528" t="inlineStr">
        <is>
          <t>Bergvik skog väst AB</t>
        </is>
      </c>
      <c r="G528" t="n">
        <v>3.7</v>
      </c>
      <c r="H528" t="n">
        <v>0</v>
      </c>
      <c r="I528" t="n">
        <v>0</v>
      </c>
      <c r="J528" t="n">
        <v>0</v>
      </c>
      <c r="K528" t="n">
        <v>0</v>
      </c>
      <c r="L528" t="n">
        <v>0</v>
      </c>
      <c r="M528" t="n">
        <v>0</v>
      </c>
      <c r="N528" t="n">
        <v>0</v>
      </c>
      <c r="O528" t="n">
        <v>0</v>
      </c>
      <c r="P528" t="n">
        <v>0</v>
      </c>
      <c r="Q528" t="n">
        <v>0</v>
      </c>
      <c r="R528" s="2" t="inlineStr"/>
    </row>
    <row r="529" ht="15" customHeight="1">
      <c r="A529" t="inlineStr">
        <is>
          <t>A 62322-2025</t>
        </is>
      </c>
      <c r="B529" s="1" t="n">
        <v>46006</v>
      </c>
      <c r="C529" s="1" t="n">
        <v>46194</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52100-2024</t>
        </is>
      </c>
      <c r="B530" s="1" t="n">
        <v>45608</v>
      </c>
      <c r="C530" s="1" t="n">
        <v>46194</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31726-2024</t>
        </is>
      </c>
      <c r="B531" s="1" t="n">
        <v>45509</v>
      </c>
      <c r="C531" s="1" t="n">
        <v>46194</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62556-2025</t>
        </is>
      </c>
      <c r="B532" s="1" t="n">
        <v>46007</v>
      </c>
      <c r="C532" s="1" t="n">
        <v>46194</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62560-2025</t>
        </is>
      </c>
      <c r="B533" s="1" t="n">
        <v>46007</v>
      </c>
      <c r="C533" s="1" t="n">
        <v>46194</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62557-2025</t>
        </is>
      </c>
      <c r="B534" s="1" t="n">
        <v>46007</v>
      </c>
      <c r="C534" s="1" t="n">
        <v>46194</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52059-2024</t>
        </is>
      </c>
      <c r="B535" s="1" t="n">
        <v>45608</v>
      </c>
      <c r="C535" s="1" t="n">
        <v>46194</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12992-2022</t>
        </is>
      </c>
      <c r="B536" s="1" t="n">
        <v>44643</v>
      </c>
      <c r="C536" s="1" t="n">
        <v>46194</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62574-2025</t>
        </is>
      </c>
      <c r="B537" s="1" t="n">
        <v>46007</v>
      </c>
      <c r="C537" s="1" t="n">
        <v>46194</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17357-2026</t>
        </is>
      </c>
      <c r="B538" s="1" t="n">
        <v>46119</v>
      </c>
      <c r="C538" s="1" t="n">
        <v>46194</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11712-2025</t>
        </is>
      </c>
      <c r="B539" s="1" t="n">
        <v>45727</v>
      </c>
      <c r="C539" s="1" t="n">
        <v>46194</v>
      </c>
      <c r="D539" t="inlineStr">
        <is>
          <t>DALARNAS LÄN</t>
        </is>
      </c>
      <c r="E539" t="inlineStr">
        <is>
          <t>LEKSAND</t>
        </is>
      </c>
      <c r="G539" t="n">
        <v>6</v>
      </c>
      <c r="H539" t="n">
        <v>0</v>
      </c>
      <c r="I539" t="n">
        <v>0</v>
      </c>
      <c r="J539" t="n">
        <v>0</v>
      </c>
      <c r="K539" t="n">
        <v>0</v>
      </c>
      <c r="L539" t="n">
        <v>0</v>
      </c>
      <c r="M539" t="n">
        <v>0</v>
      </c>
      <c r="N539" t="n">
        <v>0</v>
      </c>
      <c r="O539" t="n">
        <v>0</v>
      </c>
      <c r="P539" t="n">
        <v>0</v>
      </c>
      <c r="Q539" t="n">
        <v>0</v>
      </c>
      <c r="R539" s="2" t="inlineStr"/>
    </row>
    <row r="540" ht="15" customHeight="1">
      <c r="A540" t="inlineStr">
        <is>
          <t>A 27691-2026</t>
        </is>
      </c>
      <c r="B540" s="1" t="n">
        <v>46190</v>
      </c>
      <c r="C540" s="1" t="n">
        <v>46194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21563-2026</t>
        </is>
      </c>
      <c r="B541" s="1" t="n">
        <v>46148</v>
      </c>
      <c r="C541" s="1" t="n">
        <v>46194</v>
      </c>
      <c r="D541" t="inlineStr">
        <is>
          <t>DALARNAS LÄN</t>
        </is>
      </c>
      <c r="E541" t="inlineStr">
        <is>
          <t>LEKSAND</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37508-2025</t>
        </is>
      </c>
      <c r="B542" s="1" t="n">
        <v>45877</v>
      </c>
      <c r="C542" s="1" t="n">
        <v>46194</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63260-2025</t>
        </is>
      </c>
      <c r="B543" s="1" t="n">
        <v>46010</v>
      </c>
      <c r="C543" s="1" t="n">
        <v>46194</v>
      </c>
      <c r="D543" t="inlineStr">
        <is>
          <t>DALARNAS LÄN</t>
        </is>
      </c>
      <c r="E543" t="inlineStr">
        <is>
          <t>LEKSAND</t>
        </is>
      </c>
      <c r="G543" t="n">
        <v>11.7</v>
      </c>
      <c r="H543" t="n">
        <v>0</v>
      </c>
      <c r="I543" t="n">
        <v>0</v>
      </c>
      <c r="J543" t="n">
        <v>0</v>
      </c>
      <c r="K543" t="n">
        <v>0</v>
      </c>
      <c r="L543" t="n">
        <v>0</v>
      </c>
      <c r="M543" t="n">
        <v>0</v>
      </c>
      <c r="N543" t="n">
        <v>0</v>
      </c>
      <c r="O543" t="n">
        <v>0</v>
      </c>
      <c r="P543" t="n">
        <v>0</v>
      </c>
      <c r="Q543" t="n">
        <v>0</v>
      </c>
      <c r="R543" s="2" t="inlineStr"/>
    </row>
    <row r="544" ht="15" customHeight="1">
      <c r="A544" t="inlineStr">
        <is>
          <t>A 63360-2025</t>
        </is>
      </c>
      <c r="B544" s="1" t="n">
        <v>46010</v>
      </c>
      <c r="C544" s="1" t="n">
        <v>46194</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40642-2023</t>
        </is>
      </c>
      <c r="B545" s="1" t="n">
        <v>45169</v>
      </c>
      <c r="C545" s="1" t="n">
        <v>46194</v>
      </c>
      <c r="D545" t="inlineStr">
        <is>
          <t>DALARNAS LÄN</t>
        </is>
      </c>
      <c r="E545" t="inlineStr">
        <is>
          <t>LEKSAND</t>
        </is>
      </c>
      <c r="G545" t="n">
        <v>1.9</v>
      </c>
      <c r="H545" t="n">
        <v>0</v>
      </c>
      <c r="I545" t="n">
        <v>0</v>
      </c>
      <c r="J545" t="n">
        <v>0</v>
      </c>
      <c r="K545" t="n">
        <v>0</v>
      </c>
      <c r="L545" t="n">
        <v>0</v>
      </c>
      <c r="M545" t="n">
        <v>0</v>
      </c>
      <c r="N545" t="n">
        <v>0</v>
      </c>
      <c r="O545" t="n">
        <v>0</v>
      </c>
      <c r="P545" t="n">
        <v>0</v>
      </c>
      <c r="Q545" t="n">
        <v>0</v>
      </c>
      <c r="R545" s="2" t="inlineStr"/>
    </row>
    <row r="546" ht="15" customHeight="1">
      <c r="A546" t="inlineStr">
        <is>
          <t>A 47854-2023</t>
        </is>
      </c>
      <c r="B546" s="1" t="n">
        <v>45198</v>
      </c>
      <c r="C546" s="1" t="n">
        <v>46194</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37996-2025</t>
        </is>
      </c>
      <c r="B547" s="1" t="n">
        <v>45881</v>
      </c>
      <c r="C547" s="1" t="n">
        <v>46194</v>
      </c>
      <c r="D547" t="inlineStr">
        <is>
          <t>DALARNAS LÄN</t>
        </is>
      </c>
      <c r="E547" t="inlineStr">
        <is>
          <t>LEKSAND</t>
        </is>
      </c>
      <c r="G547" t="n">
        <v>4.2</v>
      </c>
      <c r="H547" t="n">
        <v>0</v>
      </c>
      <c r="I547" t="n">
        <v>0</v>
      </c>
      <c r="J547" t="n">
        <v>0</v>
      </c>
      <c r="K547" t="n">
        <v>0</v>
      </c>
      <c r="L547" t="n">
        <v>0</v>
      </c>
      <c r="M547" t="n">
        <v>0</v>
      </c>
      <c r="N547" t="n">
        <v>0</v>
      </c>
      <c r="O547" t="n">
        <v>0</v>
      </c>
      <c r="P547" t="n">
        <v>0</v>
      </c>
      <c r="Q547" t="n">
        <v>0</v>
      </c>
      <c r="R547" s="2" t="inlineStr"/>
    </row>
    <row r="548" ht="15" customHeight="1">
      <c r="A548" t="inlineStr">
        <is>
          <t>A 39136-2023</t>
        </is>
      </c>
      <c r="B548" s="1" t="n">
        <v>45165</v>
      </c>
      <c r="C548" s="1" t="n">
        <v>46194</v>
      </c>
      <c r="D548" t="inlineStr">
        <is>
          <t>DALARNAS LÄN</t>
        </is>
      </c>
      <c r="E548" t="inlineStr">
        <is>
          <t>LEKSAND</t>
        </is>
      </c>
      <c r="G548" t="n">
        <v>0.3</v>
      </c>
      <c r="H548" t="n">
        <v>0</v>
      </c>
      <c r="I548" t="n">
        <v>0</v>
      </c>
      <c r="J548" t="n">
        <v>0</v>
      </c>
      <c r="K548" t="n">
        <v>0</v>
      </c>
      <c r="L548" t="n">
        <v>0</v>
      </c>
      <c r="M548" t="n">
        <v>0</v>
      </c>
      <c r="N548" t="n">
        <v>0</v>
      </c>
      <c r="O548" t="n">
        <v>0</v>
      </c>
      <c r="P548" t="n">
        <v>0</v>
      </c>
      <c r="Q548" t="n">
        <v>0</v>
      </c>
      <c r="R548" s="2" t="inlineStr"/>
    </row>
    <row r="549" ht="15" customHeight="1">
      <c r="A549" t="inlineStr">
        <is>
          <t>A 38090-2025</t>
        </is>
      </c>
      <c r="B549" s="1" t="n">
        <v>45882</v>
      </c>
      <c r="C549" s="1" t="n">
        <v>46194</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44469-2024</t>
        </is>
      </c>
      <c r="B550" s="1" t="n">
        <v>45574</v>
      </c>
      <c r="C550" s="1" t="n">
        <v>46194</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52293-2024</t>
        </is>
      </c>
      <c r="B551" s="1" t="n">
        <v>45608</v>
      </c>
      <c r="C551" s="1" t="n">
        <v>46194</v>
      </c>
      <c r="D551" t="inlineStr">
        <is>
          <t>DALARNAS LÄN</t>
        </is>
      </c>
      <c r="E551" t="inlineStr">
        <is>
          <t>LEKSAND</t>
        </is>
      </c>
      <c r="G551" t="n">
        <v>1.6</v>
      </c>
      <c r="H551" t="n">
        <v>0</v>
      </c>
      <c r="I551" t="n">
        <v>0</v>
      </c>
      <c r="J551" t="n">
        <v>0</v>
      </c>
      <c r="K551" t="n">
        <v>0</v>
      </c>
      <c r="L551" t="n">
        <v>0</v>
      </c>
      <c r="M551" t="n">
        <v>0</v>
      </c>
      <c r="N551" t="n">
        <v>0</v>
      </c>
      <c r="O551" t="n">
        <v>0</v>
      </c>
      <c r="P551" t="n">
        <v>0</v>
      </c>
      <c r="Q551" t="n">
        <v>0</v>
      </c>
      <c r="R551" s="2" t="inlineStr"/>
    </row>
    <row r="552" ht="15" customHeight="1">
      <c r="A552" t="inlineStr">
        <is>
          <t>A 63592-2025</t>
        </is>
      </c>
      <c r="B552" s="1" t="n">
        <v>46013</v>
      </c>
      <c r="C552" s="1" t="n">
        <v>46194</v>
      </c>
      <c r="D552" t="inlineStr">
        <is>
          <t>DALARNAS LÄN</t>
        </is>
      </c>
      <c r="E552" t="inlineStr">
        <is>
          <t>LEKSAND</t>
        </is>
      </c>
      <c r="G552" t="n">
        <v>2.7</v>
      </c>
      <c r="H552" t="n">
        <v>0</v>
      </c>
      <c r="I552" t="n">
        <v>0</v>
      </c>
      <c r="J552" t="n">
        <v>0</v>
      </c>
      <c r="K552" t="n">
        <v>0</v>
      </c>
      <c r="L552" t="n">
        <v>0</v>
      </c>
      <c r="M552" t="n">
        <v>0</v>
      </c>
      <c r="N552" t="n">
        <v>0</v>
      </c>
      <c r="O552" t="n">
        <v>0</v>
      </c>
      <c r="P552" t="n">
        <v>0</v>
      </c>
      <c r="Q552" t="n">
        <v>0</v>
      </c>
      <c r="R552" s="2" t="inlineStr"/>
    </row>
    <row r="553" ht="15" customHeight="1">
      <c r="A553" t="inlineStr">
        <is>
          <t>A 46876-2023</t>
        </is>
      </c>
      <c r="B553" s="1" t="n">
        <v>45200</v>
      </c>
      <c r="C553" s="1" t="n">
        <v>46194</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21856-2026</t>
        </is>
      </c>
      <c r="B554" s="1" t="n">
        <v>46150</v>
      </c>
      <c r="C554" s="1" t="n">
        <v>46194</v>
      </c>
      <c r="D554" t="inlineStr">
        <is>
          <t>DALARNAS LÄN</t>
        </is>
      </c>
      <c r="E554" t="inlineStr">
        <is>
          <t>LEKSAND</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63906-2025</t>
        </is>
      </c>
      <c r="B555" s="1" t="n">
        <v>46020</v>
      </c>
      <c r="C555" s="1" t="n">
        <v>46194</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9857-2025</t>
        </is>
      </c>
      <c r="B556" s="1" t="n">
        <v>45716</v>
      </c>
      <c r="C556" s="1" t="n">
        <v>46194</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21754-2026</t>
        </is>
      </c>
      <c r="B557" s="1" t="n">
        <v>46149</v>
      </c>
      <c r="C557" s="1" t="n">
        <v>46194</v>
      </c>
      <c r="D557" t="inlineStr">
        <is>
          <t>DALARNAS LÄN</t>
        </is>
      </c>
      <c r="E557" t="inlineStr">
        <is>
          <t>LEKSAND</t>
        </is>
      </c>
      <c r="F557" t="inlineStr">
        <is>
          <t>Bergvik skog väst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40181-2023</t>
        </is>
      </c>
      <c r="B558" s="1" t="n">
        <v>45169</v>
      </c>
      <c r="C558" s="1" t="n">
        <v>46194</v>
      </c>
      <c r="D558" t="inlineStr">
        <is>
          <t>DALARNAS LÄN</t>
        </is>
      </c>
      <c r="E558" t="inlineStr">
        <is>
          <t>LEKSAND</t>
        </is>
      </c>
      <c r="G558" t="n">
        <v>2.8</v>
      </c>
      <c r="H558" t="n">
        <v>0</v>
      </c>
      <c r="I558" t="n">
        <v>0</v>
      </c>
      <c r="J558" t="n">
        <v>0</v>
      </c>
      <c r="K558" t="n">
        <v>0</v>
      </c>
      <c r="L558" t="n">
        <v>0</v>
      </c>
      <c r="M558" t="n">
        <v>0</v>
      </c>
      <c r="N558" t="n">
        <v>0</v>
      </c>
      <c r="O558" t="n">
        <v>0</v>
      </c>
      <c r="P558" t="n">
        <v>0</v>
      </c>
      <c r="Q558" t="n">
        <v>0</v>
      </c>
      <c r="R558" s="2" t="inlineStr"/>
    </row>
    <row r="559" ht="15" customHeight="1">
      <c r="A559" t="inlineStr">
        <is>
          <t>A 21751-2026</t>
        </is>
      </c>
      <c r="B559" s="1" t="n">
        <v>46149</v>
      </c>
      <c r="C559" s="1" t="n">
        <v>46194</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63905-2025</t>
        </is>
      </c>
      <c r="B560" s="1" t="n">
        <v>46020</v>
      </c>
      <c r="C560" s="1" t="n">
        <v>46194</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63757-2025</t>
        </is>
      </c>
      <c r="B561" s="1" t="n">
        <v>46018</v>
      </c>
      <c r="C561" s="1" t="n">
        <v>46194</v>
      </c>
      <c r="D561" t="inlineStr">
        <is>
          <t>DALARNAS LÄN</t>
        </is>
      </c>
      <c r="E561" t="inlineStr">
        <is>
          <t>LEKSAND</t>
        </is>
      </c>
      <c r="G561" t="n">
        <v>4</v>
      </c>
      <c r="H561" t="n">
        <v>0</v>
      </c>
      <c r="I561" t="n">
        <v>0</v>
      </c>
      <c r="J561" t="n">
        <v>0</v>
      </c>
      <c r="K561" t="n">
        <v>0</v>
      </c>
      <c r="L561" t="n">
        <v>0</v>
      </c>
      <c r="M561" t="n">
        <v>0</v>
      </c>
      <c r="N561" t="n">
        <v>0</v>
      </c>
      <c r="O561" t="n">
        <v>0</v>
      </c>
      <c r="P561" t="n">
        <v>0</v>
      </c>
      <c r="Q561" t="n">
        <v>0</v>
      </c>
      <c r="R561" s="2" t="inlineStr"/>
    </row>
    <row r="562" ht="15" customHeight="1">
      <c r="A562" t="inlineStr">
        <is>
          <t>A 63969-2025</t>
        </is>
      </c>
      <c r="B562" s="1" t="n">
        <v>46021</v>
      </c>
      <c r="C562" s="1" t="n">
        <v>46194</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21627-2026</t>
        </is>
      </c>
      <c r="B563" s="1" t="n">
        <v>46149</v>
      </c>
      <c r="C563" s="1" t="n">
        <v>46194</v>
      </c>
      <c r="D563" t="inlineStr">
        <is>
          <t>DALARNAS LÄN</t>
        </is>
      </c>
      <c r="E563" t="inlineStr">
        <is>
          <t>LEKSAND</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64096-2025</t>
        </is>
      </c>
      <c r="B564" s="1" t="n">
        <v>46021</v>
      </c>
      <c r="C564" s="1" t="n">
        <v>46194</v>
      </c>
      <c r="D564" t="inlineStr">
        <is>
          <t>DALARNAS LÄN</t>
        </is>
      </c>
      <c r="E564" t="inlineStr">
        <is>
          <t>LEKSAND</t>
        </is>
      </c>
      <c r="G564" t="n">
        <v>4.5</v>
      </c>
      <c r="H564" t="n">
        <v>0</v>
      </c>
      <c r="I564" t="n">
        <v>0</v>
      </c>
      <c r="J564" t="n">
        <v>0</v>
      </c>
      <c r="K564" t="n">
        <v>0</v>
      </c>
      <c r="L564" t="n">
        <v>0</v>
      </c>
      <c r="M564" t="n">
        <v>0</v>
      </c>
      <c r="N564" t="n">
        <v>0</v>
      </c>
      <c r="O564" t="n">
        <v>0</v>
      </c>
      <c r="P564" t="n">
        <v>0</v>
      </c>
      <c r="Q564" t="n">
        <v>0</v>
      </c>
      <c r="R564" s="2" t="inlineStr"/>
    </row>
    <row r="565" ht="15" customHeight="1">
      <c r="A565" t="inlineStr">
        <is>
          <t>A 63967-2025</t>
        </is>
      </c>
      <c r="B565" s="1" t="n">
        <v>46021</v>
      </c>
      <c r="C565" s="1" t="n">
        <v>46194</v>
      </c>
      <c r="D565" t="inlineStr">
        <is>
          <t>DALARNAS LÄN</t>
        </is>
      </c>
      <c r="E565" t="inlineStr">
        <is>
          <t>LEKSAND</t>
        </is>
      </c>
      <c r="G565" t="n">
        <v>6.4</v>
      </c>
      <c r="H565" t="n">
        <v>0</v>
      </c>
      <c r="I565" t="n">
        <v>0</v>
      </c>
      <c r="J565" t="n">
        <v>0</v>
      </c>
      <c r="K565" t="n">
        <v>0</v>
      </c>
      <c r="L565" t="n">
        <v>0</v>
      </c>
      <c r="M565" t="n">
        <v>0</v>
      </c>
      <c r="N565" t="n">
        <v>0</v>
      </c>
      <c r="O565" t="n">
        <v>0</v>
      </c>
      <c r="P565" t="n">
        <v>0</v>
      </c>
      <c r="Q565" t="n">
        <v>0</v>
      </c>
      <c r="R565" s="2" t="inlineStr"/>
    </row>
    <row r="566" ht="15" customHeight="1">
      <c r="A566" t="inlineStr">
        <is>
          <t>A 64099-2025</t>
        </is>
      </c>
      <c r="B566" s="1" t="n">
        <v>46021</v>
      </c>
      <c r="C566" s="1" t="n">
        <v>46194</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1267-2025</t>
        </is>
      </c>
      <c r="B567" s="1" t="n">
        <v>45667</v>
      </c>
      <c r="C567" s="1" t="n">
        <v>46194</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42230-2023</t>
        </is>
      </c>
      <c r="B568" s="1" t="n">
        <v>45180</v>
      </c>
      <c r="C568" s="1" t="n">
        <v>46194</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94-2026</t>
        </is>
      </c>
      <c r="B569" s="1" t="n">
        <v>46024</v>
      </c>
      <c r="C569" s="1" t="n">
        <v>46194</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133-2026</t>
        </is>
      </c>
      <c r="B570" s="1" t="n">
        <v>46024</v>
      </c>
      <c r="C570" s="1" t="n">
        <v>46194</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27848-2026</t>
        </is>
      </c>
      <c r="B571" s="1" t="n">
        <v>46191</v>
      </c>
      <c r="C571" s="1" t="n">
        <v>46194</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319-2026</t>
        </is>
      </c>
      <c r="B572" s="1" t="n">
        <v>46027</v>
      </c>
      <c r="C572" s="1" t="n">
        <v>46194</v>
      </c>
      <c r="D572" t="inlineStr">
        <is>
          <t>DALARNAS LÄN</t>
        </is>
      </c>
      <c r="E572" t="inlineStr">
        <is>
          <t>LEKSAND</t>
        </is>
      </c>
      <c r="G572" t="n">
        <v>12.9</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v>
      </c>
      <c r="C573" s="1" t="n">
        <v>46194</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8045-2024</t>
        </is>
      </c>
      <c r="B574" s="1" t="n">
        <v>45351</v>
      </c>
      <c r="C574" s="1" t="n">
        <v>46194</v>
      </c>
      <c r="D574" t="inlineStr">
        <is>
          <t>DALARNAS LÄN</t>
        </is>
      </c>
      <c r="E574" t="inlineStr">
        <is>
          <t>LEKSAND</t>
        </is>
      </c>
      <c r="G574" t="n">
        <v>6.7</v>
      </c>
      <c r="H574" t="n">
        <v>0</v>
      </c>
      <c r="I574" t="n">
        <v>0</v>
      </c>
      <c r="J574" t="n">
        <v>0</v>
      </c>
      <c r="K574" t="n">
        <v>0</v>
      </c>
      <c r="L574" t="n">
        <v>0</v>
      </c>
      <c r="M574" t="n">
        <v>0</v>
      </c>
      <c r="N574" t="n">
        <v>0</v>
      </c>
      <c r="O574" t="n">
        <v>0</v>
      </c>
      <c r="P574" t="n">
        <v>0</v>
      </c>
      <c r="Q574" t="n">
        <v>0</v>
      </c>
      <c r="R574" s="2" t="inlineStr"/>
    </row>
    <row r="575" ht="15" customHeight="1">
      <c r="A575" t="inlineStr">
        <is>
          <t>A 519-2026</t>
        </is>
      </c>
      <c r="B575" s="1" t="n">
        <v>46029</v>
      </c>
      <c r="C575" s="1" t="n">
        <v>46194</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521-2026</t>
        </is>
      </c>
      <c r="B576" s="1" t="n">
        <v>46029</v>
      </c>
      <c r="C576" s="1" t="n">
        <v>46194</v>
      </c>
      <c r="D576" t="inlineStr">
        <is>
          <t>DALARNAS LÄN</t>
        </is>
      </c>
      <c r="E576" t="inlineStr">
        <is>
          <t>LEKSAND</t>
        </is>
      </c>
      <c r="G576" t="n">
        <v>3.4</v>
      </c>
      <c r="H576" t="n">
        <v>0</v>
      </c>
      <c r="I576" t="n">
        <v>0</v>
      </c>
      <c r="J576" t="n">
        <v>0</v>
      </c>
      <c r="K576" t="n">
        <v>0</v>
      </c>
      <c r="L576" t="n">
        <v>0</v>
      </c>
      <c r="M576" t="n">
        <v>0</v>
      </c>
      <c r="N576" t="n">
        <v>0</v>
      </c>
      <c r="O576" t="n">
        <v>0</v>
      </c>
      <c r="P576" t="n">
        <v>0</v>
      </c>
      <c r="Q576" t="n">
        <v>0</v>
      </c>
      <c r="R576" s="2" t="inlineStr"/>
    </row>
    <row r="577" ht="15" customHeight="1">
      <c r="A577" t="inlineStr">
        <is>
          <t>A 435-2026</t>
        </is>
      </c>
      <c r="B577" s="1" t="n">
        <v>46029</v>
      </c>
      <c r="C577" s="1" t="n">
        <v>46194</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57013-2023</t>
        </is>
      </c>
      <c r="B578" s="1" t="n">
        <v>45244</v>
      </c>
      <c r="C578" s="1" t="n">
        <v>46194</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37832-2023</t>
        </is>
      </c>
      <c r="B579" s="1" t="n">
        <v>45160</v>
      </c>
      <c r="C579" s="1" t="n">
        <v>46194</v>
      </c>
      <c r="D579" t="inlineStr">
        <is>
          <t>DALARNAS LÄN</t>
        </is>
      </c>
      <c r="E579" t="inlineStr">
        <is>
          <t>LEKSAND</t>
        </is>
      </c>
      <c r="G579" t="n">
        <v>2</v>
      </c>
      <c r="H579" t="n">
        <v>0</v>
      </c>
      <c r="I579" t="n">
        <v>0</v>
      </c>
      <c r="J579" t="n">
        <v>0</v>
      </c>
      <c r="K579" t="n">
        <v>0</v>
      </c>
      <c r="L579" t="n">
        <v>0</v>
      </c>
      <c r="M579" t="n">
        <v>0</v>
      </c>
      <c r="N579" t="n">
        <v>0</v>
      </c>
      <c r="O579" t="n">
        <v>0</v>
      </c>
      <c r="P579" t="n">
        <v>0</v>
      </c>
      <c r="Q579" t="n">
        <v>0</v>
      </c>
      <c r="R579" s="2" t="inlineStr"/>
    </row>
    <row r="580" ht="15" customHeight="1">
      <c r="A580" t="inlineStr">
        <is>
          <t>A 367-2026</t>
        </is>
      </c>
      <c r="B580" s="1" t="n">
        <v>46027</v>
      </c>
      <c r="C580" s="1" t="n">
        <v>46194</v>
      </c>
      <c r="D580" t="inlineStr">
        <is>
          <t>DALARNAS LÄN</t>
        </is>
      </c>
      <c r="E580" t="inlineStr">
        <is>
          <t>LEKSAND</t>
        </is>
      </c>
      <c r="G580" t="n">
        <v>4.3</v>
      </c>
      <c r="H580" t="n">
        <v>0</v>
      </c>
      <c r="I580" t="n">
        <v>0</v>
      </c>
      <c r="J580" t="n">
        <v>0</v>
      </c>
      <c r="K580" t="n">
        <v>0</v>
      </c>
      <c r="L580" t="n">
        <v>0</v>
      </c>
      <c r="M580" t="n">
        <v>0</v>
      </c>
      <c r="N580" t="n">
        <v>0</v>
      </c>
      <c r="O580" t="n">
        <v>0</v>
      </c>
      <c r="P580" t="n">
        <v>0</v>
      </c>
      <c r="Q580" t="n">
        <v>0</v>
      </c>
      <c r="R580" s="2" t="inlineStr"/>
    </row>
    <row r="581" ht="15" customHeight="1">
      <c r="A581" t="inlineStr">
        <is>
          <t>A 1960-2026</t>
        </is>
      </c>
      <c r="B581" s="1" t="n">
        <v>46035</v>
      </c>
      <c r="C581" s="1" t="n">
        <v>46194</v>
      </c>
      <c r="D581" t="inlineStr">
        <is>
          <t>DALARNAS LÄN</t>
        </is>
      </c>
      <c r="E581" t="inlineStr">
        <is>
          <t>LEKSAND</t>
        </is>
      </c>
      <c r="G581" t="n">
        <v>4.3</v>
      </c>
      <c r="H581" t="n">
        <v>0</v>
      </c>
      <c r="I581" t="n">
        <v>0</v>
      </c>
      <c r="J581" t="n">
        <v>0</v>
      </c>
      <c r="K581" t="n">
        <v>0</v>
      </c>
      <c r="L581" t="n">
        <v>0</v>
      </c>
      <c r="M581" t="n">
        <v>0</v>
      </c>
      <c r="N581" t="n">
        <v>0</v>
      </c>
      <c r="O581" t="n">
        <v>0</v>
      </c>
      <c r="P581" t="n">
        <v>0</v>
      </c>
      <c r="Q581" t="n">
        <v>0</v>
      </c>
      <c r="R581" s="2" t="inlineStr"/>
    </row>
    <row r="582" ht="15" customHeight="1">
      <c r="A582" t="inlineStr">
        <is>
          <t>A 1899-2026</t>
        </is>
      </c>
      <c r="B582" s="1" t="n">
        <v>46035</v>
      </c>
      <c r="C582" s="1" t="n">
        <v>46194</v>
      </c>
      <c r="D582" t="inlineStr">
        <is>
          <t>DALARNAS LÄN</t>
        </is>
      </c>
      <c r="E582" t="inlineStr">
        <is>
          <t>LEKSAND</t>
        </is>
      </c>
      <c r="G582" t="n">
        <v>3.6</v>
      </c>
      <c r="H582" t="n">
        <v>0</v>
      </c>
      <c r="I582" t="n">
        <v>0</v>
      </c>
      <c r="J582" t="n">
        <v>0</v>
      </c>
      <c r="K582" t="n">
        <v>0</v>
      </c>
      <c r="L582" t="n">
        <v>0</v>
      </c>
      <c r="M582" t="n">
        <v>0</v>
      </c>
      <c r="N582" t="n">
        <v>0</v>
      </c>
      <c r="O582" t="n">
        <v>0</v>
      </c>
      <c r="P582" t="n">
        <v>0</v>
      </c>
      <c r="Q582" t="n">
        <v>0</v>
      </c>
      <c r="R582" s="2" t="inlineStr"/>
    </row>
    <row r="583" ht="15" customHeight="1">
      <c r="A583" t="inlineStr">
        <is>
          <t>A 1983-2026</t>
        </is>
      </c>
      <c r="B583" s="1" t="n">
        <v>46035</v>
      </c>
      <c r="C583" s="1" t="n">
        <v>46194</v>
      </c>
      <c r="D583" t="inlineStr">
        <is>
          <t>DALARNAS LÄN</t>
        </is>
      </c>
      <c r="E583" t="inlineStr">
        <is>
          <t>LEKSAND</t>
        </is>
      </c>
      <c r="G583" t="n">
        <v>2.3</v>
      </c>
      <c r="H583" t="n">
        <v>0</v>
      </c>
      <c r="I583" t="n">
        <v>0</v>
      </c>
      <c r="J583" t="n">
        <v>0</v>
      </c>
      <c r="K583" t="n">
        <v>0</v>
      </c>
      <c r="L583" t="n">
        <v>0</v>
      </c>
      <c r="M583" t="n">
        <v>0</v>
      </c>
      <c r="N583" t="n">
        <v>0</v>
      </c>
      <c r="O583" t="n">
        <v>0</v>
      </c>
      <c r="P583" t="n">
        <v>0</v>
      </c>
      <c r="Q583" t="n">
        <v>0</v>
      </c>
      <c r="R583" s="2" t="inlineStr"/>
    </row>
    <row r="584" ht="15" customHeight="1">
      <c r="A584" t="inlineStr">
        <is>
          <t>A 43419-2024</t>
        </is>
      </c>
      <c r="B584" s="1" t="n">
        <v>45568</v>
      </c>
      <c r="C584" s="1" t="n">
        <v>46194</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46194</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27875-2026</t>
        </is>
      </c>
      <c r="B586" s="1" t="n">
        <v>46191</v>
      </c>
      <c r="C586" s="1" t="n">
        <v>46194</v>
      </c>
      <c r="D586" t="inlineStr">
        <is>
          <t>DALARNAS LÄN</t>
        </is>
      </c>
      <c r="E586" t="inlineStr">
        <is>
          <t>LEKSAND</t>
        </is>
      </c>
      <c r="F586" t="inlineStr">
        <is>
          <t>Bergvik skog väst AB</t>
        </is>
      </c>
      <c r="G586" t="n">
        <v>2.3</v>
      </c>
      <c r="H586" t="n">
        <v>0</v>
      </c>
      <c r="I586" t="n">
        <v>0</v>
      </c>
      <c r="J586" t="n">
        <v>0</v>
      </c>
      <c r="K586" t="n">
        <v>0</v>
      </c>
      <c r="L586" t="n">
        <v>0</v>
      </c>
      <c r="M586" t="n">
        <v>0</v>
      </c>
      <c r="N586" t="n">
        <v>0</v>
      </c>
      <c r="O586" t="n">
        <v>0</v>
      </c>
      <c r="P586" t="n">
        <v>0</v>
      </c>
      <c r="Q586" t="n">
        <v>0</v>
      </c>
      <c r="R586" s="2" t="inlineStr"/>
    </row>
    <row r="587" ht="15" customHeight="1">
      <c r="A587" t="inlineStr">
        <is>
          <t>A 2853-2026</t>
        </is>
      </c>
      <c r="B587" s="1" t="n">
        <v>46038</v>
      </c>
      <c r="C587" s="1" t="n">
        <v>46194</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46194</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57536-2025</t>
        </is>
      </c>
      <c r="B589" s="1" t="n">
        <v>45980</v>
      </c>
      <c r="C589" s="1" t="n">
        <v>46194</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27859-2026</t>
        </is>
      </c>
      <c r="B590" s="1" t="n">
        <v>46191</v>
      </c>
      <c r="C590" s="1" t="n">
        <v>46194</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61054-2023</t>
        </is>
      </c>
      <c r="B591" s="1" t="n">
        <v>45261</v>
      </c>
      <c r="C591" s="1" t="n">
        <v>46194</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61056-2023</t>
        </is>
      </c>
      <c r="B592" s="1" t="n">
        <v>45261</v>
      </c>
      <c r="C592" s="1" t="n">
        <v>46194</v>
      </c>
      <c r="D592" t="inlineStr">
        <is>
          <t>DALARNAS LÄN</t>
        </is>
      </c>
      <c r="E592" t="inlineStr">
        <is>
          <t>LEKSAND</t>
        </is>
      </c>
      <c r="G592" t="n">
        <v>0.3</v>
      </c>
      <c r="H592" t="n">
        <v>0</v>
      </c>
      <c r="I592" t="n">
        <v>0</v>
      </c>
      <c r="J592" t="n">
        <v>0</v>
      </c>
      <c r="K592" t="n">
        <v>0</v>
      </c>
      <c r="L592" t="n">
        <v>0</v>
      </c>
      <c r="M592" t="n">
        <v>0</v>
      </c>
      <c r="N592" t="n">
        <v>0</v>
      </c>
      <c r="O592" t="n">
        <v>0</v>
      </c>
      <c r="P592" t="n">
        <v>0</v>
      </c>
      <c r="Q592" t="n">
        <v>0</v>
      </c>
      <c r="R592" s="2" t="inlineStr"/>
    </row>
    <row r="593" ht="15" customHeight="1">
      <c r="A593" t="inlineStr">
        <is>
          <t>A 57223-2025</t>
        </is>
      </c>
      <c r="B593" s="1" t="n">
        <v>45979</v>
      </c>
      <c r="C593" s="1" t="n">
        <v>46194</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57962-2025</t>
        </is>
      </c>
      <c r="B594" s="1" t="n">
        <v>45982</v>
      </c>
      <c r="C594" s="1" t="n">
        <v>46194</v>
      </c>
      <c r="D594" t="inlineStr">
        <is>
          <t>DALARNAS LÄN</t>
        </is>
      </c>
      <c r="E594" t="inlineStr">
        <is>
          <t>LEKSAND</t>
        </is>
      </c>
      <c r="G594" t="n">
        <v>0.9</v>
      </c>
      <c r="H594" t="n">
        <v>0</v>
      </c>
      <c r="I594" t="n">
        <v>0</v>
      </c>
      <c r="J594" t="n">
        <v>0</v>
      </c>
      <c r="K594" t="n">
        <v>0</v>
      </c>
      <c r="L594" t="n">
        <v>0</v>
      </c>
      <c r="M594" t="n">
        <v>0</v>
      </c>
      <c r="N594" t="n">
        <v>0</v>
      </c>
      <c r="O594" t="n">
        <v>0</v>
      </c>
      <c r="P594" t="n">
        <v>0</v>
      </c>
      <c r="Q594" t="n">
        <v>0</v>
      </c>
      <c r="R594" s="2" t="inlineStr"/>
    </row>
    <row r="595" ht="15" customHeight="1">
      <c r="A595" t="inlineStr">
        <is>
          <t>A 3240-2026</t>
        </is>
      </c>
      <c r="B595" s="1" t="n">
        <v>46041</v>
      </c>
      <c r="C595" s="1" t="n">
        <v>46194</v>
      </c>
      <c r="D595" t="inlineStr">
        <is>
          <t>DALARNAS LÄN</t>
        </is>
      </c>
      <c r="E595" t="inlineStr">
        <is>
          <t>LEKSAND</t>
        </is>
      </c>
      <c r="G595" t="n">
        <v>6.1</v>
      </c>
      <c r="H595" t="n">
        <v>0</v>
      </c>
      <c r="I595" t="n">
        <v>0</v>
      </c>
      <c r="J595" t="n">
        <v>0</v>
      </c>
      <c r="K595" t="n">
        <v>0</v>
      </c>
      <c r="L595" t="n">
        <v>0</v>
      </c>
      <c r="M595" t="n">
        <v>0</v>
      </c>
      <c r="N595" t="n">
        <v>0</v>
      </c>
      <c r="O595" t="n">
        <v>0</v>
      </c>
      <c r="P595" t="n">
        <v>0</v>
      </c>
      <c r="Q595" t="n">
        <v>0</v>
      </c>
      <c r="R595" s="2" t="inlineStr"/>
    </row>
    <row r="596" ht="15" customHeight="1">
      <c r="A596" t="inlineStr">
        <is>
          <t>A 3244-2026</t>
        </is>
      </c>
      <c r="B596" s="1" t="n">
        <v>46041</v>
      </c>
      <c r="C596" s="1" t="n">
        <v>46194</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57231-2025</t>
        </is>
      </c>
      <c r="B597" s="1" t="n">
        <v>45979</v>
      </c>
      <c r="C597" s="1" t="n">
        <v>46194</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v>
      </c>
      <c r="C598" s="1" t="n">
        <v>46194</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3978-2026</t>
        </is>
      </c>
      <c r="B599" s="1" t="n">
        <v>46044</v>
      </c>
      <c r="C599" s="1" t="n">
        <v>46194</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4184-2026</t>
        </is>
      </c>
      <c r="B600" s="1" t="n">
        <v>46044</v>
      </c>
      <c r="C600" s="1" t="n">
        <v>46194</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v>
      </c>
      <c r="C601" s="1" t="n">
        <v>46194</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3834-2026</t>
        </is>
      </c>
      <c r="B602" s="1" t="n">
        <v>46043</v>
      </c>
      <c r="C602" s="1" t="n">
        <v>46194</v>
      </c>
      <c r="D602" t="inlineStr">
        <is>
          <t>DALARNAS LÄN</t>
        </is>
      </c>
      <c r="E602" t="inlineStr">
        <is>
          <t>LEKSAND</t>
        </is>
      </c>
      <c r="G602" t="n">
        <v>14.4</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46194</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17455-2022</t>
        </is>
      </c>
      <c r="B604" s="1" t="n">
        <v>44679</v>
      </c>
      <c r="C604" s="1" t="n">
        <v>46194</v>
      </c>
      <c r="D604" t="inlineStr">
        <is>
          <t>DALARNAS LÄN</t>
        </is>
      </c>
      <c r="E604" t="inlineStr">
        <is>
          <t>LEKSAND</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3723-2026</t>
        </is>
      </c>
      <c r="B605" s="1" t="n">
        <v>46043</v>
      </c>
      <c r="C605" s="1" t="n">
        <v>46194</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3968-2026</t>
        </is>
      </c>
      <c r="B606" s="1" t="n">
        <v>46044</v>
      </c>
      <c r="C606" s="1" t="n">
        <v>46194</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60040-2023</t>
        </is>
      </c>
      <c r="B607" s="1" t="n">
        <v>45256</v>
      </c>
      <c r="C607" s="1" t="n">
        <v>46194</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46194</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46194</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3728-2026</t>
        </is>
      </c>
      <c r="B610" s="1" t="n">
        <v>46043</v>
      </c>
      <c r="C610" s="1" t="n">
        <v>46194</v>
      </c>
      <c r="D610" t="inlineStr">
        <is>
          <t>DALARNAS LÄN</t>
        </is>
      </c>
      <c r="E610" t="inlineStr">
        <is>
          <t>LEKSAND</t>
        </is>
      </c>
      <c r="G610" t="n">
        <v>7</v>
      </c>
      <c r="H610" t="n">
        <v>0</v>
      </c>
      <c r="I610" t="n">
        <v>0</v>
      </c>
      <c r="J610" t="n">
        <v>0</v>
      </c>
      <c r="K610" t="n">
        <v>0</v>
      </c>
      <c r="L610" t="n">
        <v>0</v>
      </c>
      <c r="M610" t="n">
        <v>0</v>
      </c>
      <c r="N610" t="n">
        <v>0</v>
      </c>
      <c r="O610" t="n">
        <v>0</v>
      </c>
      <c r="P610" t="n">
        <v>0</v>
      </c>
      <c r="Q610" t="n">
        <v>0</v>
      </c>
      <c r="R610" s="2" t="inlineStr"/>
    </row>
    <row r="611" ht="15" customHeight="1">
      <c r="A611" t="inlineStr">
        <is>
          <t>A 4476-2026</t>
        </is>
      </c>
      <c r="B611" s="1" t="n">
        <v>46045</v>
      </c>
      <c r="C611" s="1" t="n">
        <v>46194</v>
      </c>
      <c r="D611" t="inlineStr">
        <is>
          <t>DALARNAS LÄN</t>
        </is>
      </c>
      <c r="E611" t="inlineStr">
        <is>
          <t>LEKSAND</t>
        </is>
      </c>
      <c r="G611" t="n">
        <v>2.3</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v>
      </c>
      <c r="C612" s="1" t="n">
        <v>46194</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4885-2026</t>
        </is>
      </c>
      <c r="B613" s="1" t="n">
        <v>46048</v>
      </c>
      <c r="C613" s="1" t="n">
        <v>46194</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4338-2026</t>
        </is>
      </c>
      <c r="B614" s="1" t="n">
        <v>46045</v>
      </c>
      <c r="C614" s="1" t="n">
        <v>46194</v>
      </c>
      <c r="D614" t="inlineStr">
        <is>
          <t>DALARNAS LÄN</t>
        </is>
      </c>
      <c r="E614" t="inlineStr">
        <is>
          <t>LEKSAND</t>
        </is>
      </c>
      <c r="G614" t="n">
        <v>6.9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46194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v>
      </c>
      <c r="C616" s="1" t="n">
        <v>46194</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5120-2026</t>
        </is>
      </c>
      <c r="B617" s="1" t="n">
        <v>46049</v>
      </c>
      <c r="C617" s="1" t="n">
        <v>46194</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5040-2026</t>
        </is>
      </c>
      <c r="B618" s="1" t="n">
        <v>46049</v>
      </c>
      <c r="C618" s="1" t="n">
        <v>46194</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5541-2026</t>
        </is>
      </c>
      <c r="B619" s="1" t="n">
        <v>46050</v>
      </c>
      <c r="C619" s="1" t="n">
        <v>46194</v>
      </c>
      <c r="D619" t="inlineStr">
        <is>
          <t>DALARNAS LÄN</t>
        </is>
      </c>
      <c r="E619" t="inlineStr">
        <is>
          <t>LEKSAND</t>
        </is>
      </c>
      <c r="G619" t="n">
        <v>2</v>
      </c>
      <c r="H619" t="n">
        <v>0</v>
      </c>
      <c r="I619" t="n">
        <v>0</v>
      </c>
      <c r="J619" t="n">
        <v>0</v>
      </c>
      <c r="K619" t="n">
        <v>0</v>
      </c>
      <c r="L619" t="n">
        <v>0</v>
      </c>
      <c r="M619" t="n">
        <v>0</v>
      </c>
      <c r="N619" t="n">
        <v>0</v>
      </c>
      <c r="O619" t="n">
        <v>0</v>
      </c>
      <c r="P619" t="n">
        <v>0</v>
      </c>
      <c r="Q619" t="n">
        <v>0</v>
      </c>
      <c r="R619" s="2" t="inlineStr"/>
    </row>
    <row r="620" ht="15" customHeight="1">
      <c r="A620" t="inlineStr">
        <is>
          <t>A 54682-2023</t>
        </is>
      </c>
      <c r="B620" s="1" t="n">
        <v>45235</v>
      </c>
      <c r="C620" s="1" t="n">
        <v>46194</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5022-2026</t>
        </is>
      </c>
      <c r="B621" s="1" t="n">
        <v>46049</v>
      </c>
      <c r="C621" s="1" t="n">
        <v>46194</v>
      </c>
      <c r="D621" t="inlineStr">
        <is>
          <t>DALARNAS LÄN</t>
        </is>
      </c>
      <c r="E621" t="inlineStr">
        <is>
          <t>LEKSAND</t>
        </is>
      </c>
      <c r="G621" t="n">
        <v>1.6</v>
      </c>
      <c r="H621" t="n">
        <v>0</v>
      </c>
      <c r="I621" t="n">
        <v>0</v>
      </c>
      <c r="J621" t="n">
        <v>0</v>
      </c>
      <c r="K621" t="n">
        <v>0</v>
      </c>
      <c r="L621" t="n">
        <v>0</v>
      </c>
      <c r="M621" t="n">
        <v>0</v>
      </c>
      <c r="N621" t="n">
        <v>0</v>
      </c>
      <c r="O621" t="n">
        <v>0</v>
      </c>
      <c r="P621" t="n">
        <v>0</v>
      </c>
      <c r="Q621" t="n">
        <v>0</v>
      </c>
      <c r="R621" s="2" t="inlineStr"/>
    </row>
    <row r="622" ht="15" customHeight="1">
      <c r="A622" t="inlineStr">
        <is>
          <t>A 5989-2026</t>
        </is>
      </c>
      <c r="B622" s="1" t="n">
        <v>46052</v>
      </c>
      <c r="C622" s="1" t="n">
        <v>46194</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5590-2026</t>
        </is>
      </c>
      <c r="B623" s="1" t="n">
        <v>46051</v>
      </c>
      <c r="C623" s="1" t="n">
        <v>46194</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5597-2026</t>
        </is>
      </c>
      <c r="B624" s="1" t="n">
        <v>46051</v>
      </c>
      <c r="C624" s="1" t="n">
        <v>46194</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4460-2026</t>
        </is>
      </c>
      <c r="B625" s="1" t="n">
        <v>46045</v>
      </c>
      <c r="C625" s="1" t="n">
        <v>46194</v>
      </c>
      <c r="D625" t="inlineStr">
        <is>
          <t>DALARNAS LÄN</t>
        </is>
      </c>
      <c r="E625" t="inlineStr">
        <is>
          <t>LEKSAND</t>
        </is>
      </c>
      <c r="G625" t="n">
        <v>11.6</v>
      </c>
      <c r="H625" t="n">
        <v>0</v>
      </c>
      <c r="I625" t="n">
        <v>0</v>
      </c>
      <c r="J625" t="n">
        <v>0</v>
      </c>
      <c r="K625" t="n">
        <v>0</v>
      </c>
      <c r="L625" t="n">
        <v>0</v>
      </c>
      <c r="M625" t="n">
        <v>0</v>
      </c>
      <c r="N625" t="n">
        <v>0</v>
      </c>
      <c r="O625" t="n">
        <v>0</v>
      </c>
      <c r="P625" t="n">
        <v>0</v>
      </c>
      <c r="Q625" t="n">
        <v>0</v>
      </c>
      <c r="R625" s="2" t="inlineStr"/>
    </row>
    <row r="626" ht="15" customHeight="1">
      <c r="A626" t="inlineStr">
        <is>
          <t>A 5615-2026</t>
        </is>
      </c>
      <c r="B626" s="1" t="n">
        <v>46051</v>
      </c>
      <c r="C626" s="1" t="n">
        <v>46194</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6038-2026</t>
        </is>
      </c>
      <c r="B627" s="1" t="n">
        <v>46052</v>
      </c>
      <c r="C627" s="1" t="n">
        <v>46194</v>
      </c>
      <c r="D627" t="inlineStr">
        <is>
          <t>DALARNAS LÄN</t>
        </is>
      </c>
      <c r="E627" t="inlineStr">
        <is>
          <t>LEKSAND</t>
        </is>
      </c>
      <c r="G627" t="n">
        <v>5.1</v>
      </c>
      <c r="H627" t="n">
        <v>0</v>
      </c>
      <c r="I627" t="n">
        <v>0</v>
      </c>
      <c r="J627" t="n">
        <v>0</v>
      </c>
      <c r="K627" t="n">
        <v>0</v>
      </c>
      <c r="L627" t="n">
        <v>0</v>
      </c>
      <c r="M627" t="n">
        <v>0</v>
      </c>
      <c r="N627" t="n">
        <v>0</v>
      </c>
      <c r="O627" t="n">
        <v>0</v>
      </c>
      <c r="P627" t="n">
        <v>0</v>
      </c>
      <c r="Q627" t="n">
        <v>0</v>
      </c>
      <c r="R627" s="2" t="inlineStr"/>
    </row>
    <row r="628" ht="15" customHeight="1">
      <c r="A628" t="inlineStr">
        <is>
          <t>A 5691-2026</t>
        </is>
      </c>
      <c r="B628" s="1" t="n">
        <v>46051</v>
      </c>
      <c r="C628" s="1" t="n">
        <v>46194</v>
      </c>
      <c r="D628" t="inlineStr">
        <is>
          <t>DALARNAS LÄN</t>
        </is>
      </c>
      <c r="E628" t="inlineStr">
        <is>
          <t>LEKSAND</t>
        </is>
      </c>
      <c r="G628" t="n">
        <v>2.9</v>
      </c>
      <c r="H628" t="n">
        <v>0</v>
      </c>
      <c r="I628" t="n">
        <v>0</v>
      </c>
      <c r="J628" t="n">
        <v>0</v>
      </c>
      <c r="K628" t="n">
        <v>0</v>
      </c>
      <c r="L628" t="n">
        <v>0</v>
      </c>
      <c r="M628" t="n">
        <v>0</v>
      </c>
      <c r="N628" t="n">
        <v>0</v>
      </c>
      <c r="O628" t="n">
        <v>0</v>
      </c>
      <c r="P628" t="n">
        <v>0</v>
      </c>
      <c r="Q628" t="n">
        <v>0</v>
      </c>
      <c r="R628" s="2" t="inlineStr"/>
    </row>
    <row r="629" ht="15" customHeight="1">
      <c r="A629" t="inlineStr">
        <is>
          <t>A 593-2026</t>
        </is>
      </c>
      <c r="B629" s="1" t="n">
        <v>46029</v>
      </c>
      <c r="C629" s="1" t="n">
        <v>46194</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6463-2026</t>
        </is>
      </c>
      <c r="B630" s="1" t="n">
        <v>46056</v>
      </c>
      <c r="C630" s="1" t="n">
        <v>46194</v>
      </c>
      <c r="D630" t="inlineStr">
        <is>
          <t>DALARNAS LÄN</t>
        </is>
      </c>
      <c r="E630" t="inlineStr">
        <is>
          <t>LEKSAND</t>
        </is>
      </c>
      <c r="G630" t="n">
        <v>0.5</v>
      </c>
      <c r="H630" t="n">
        <v>0</v>
      </c>
      <c r="I630" t="n">
        <v>0</v>
      </c>
      <c r="J630" t="n">
        <v>0</v>
      </c>
      <c r="K630" t="n">
        <v>0</v>
      </c>
      <c r="L630" t="n">
        <v>0</v>
      </c>
      <c r="M630" t="n">
        <v>0</v>
      </c>
      <c r="N630" t="n">
        <v>0</v>
      </c>
      <c r="O630" t="n">
        <v>0</v>
      </c>
      <c r="P630" t="n">
        <v>0</v>
      </c>
      <c r="Q630" t="n">
        <v>0</v>
      </c>
      <c r="R630" s="2" t="inlineStr"/>
    </row>
    <row r="631" ht="15" customHeight="1">
      <c r="A631" t="inlineStr">
        <is>
          <t>A 30000-2023</t>
        </is>
      </c>
      <c r="B631" s="1" t="n">
        <v>45109</v>
      </c>
      <c r="C631" s="1" t="n">
        <v>46194</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6658-2026</t>
        </is>
      </c>
      <c r="B632" s="1" t="n">
        <v>46056</v>
      </c>
      <c r="C632" s="1" t="n">
        <v>46194</v>
      </c>
      <c r="D632" t="inlineStr">
        <is>
          <t>DALARNAS LÄN</t>
        </is>
      </c>
      <c r="E632" t="inlineStr">
        <is>
          <t>LEKSAND</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2820-2024</t>
        </is>
      </c>
      <c r="B633" s="1" t="n">
        <v>45314</v>
      </c>
      <c r="C633" s="1" t="n">
        <v>46194</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2822-2024</t>
        </is>
      </c>
      <c r="B634" s="1" t="n">
        <v>45314</v>
      </c>
      <c r="C634" s="1" t="n">
        <v>46194</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51320-2023</t>
        </is>
      </c>
      <c r="B635" s="1" t="n">
        <v>45219</v>
      </c>
      <c r="C635" s="1" t="n">
        <v>46194</v>
      </c>
      <c r="D635" t="inlineStr">
        <is>
          <t>DALARNAS LÄN</t>
        </is>
      </c>
      <c r="E635" t="inlineStr">
        <is>
          <t>LEKSAND</t>
        </is>
      </c>
      <c r="G635" t="n">
        <v>2.1</v>
      </c>
      <c r="H635" t="n">
        <v>0</v>
      </c>
      <c r="I635" t="n">
        <v>0</v>
      </c>
      <c r="J635" t="n">
        <v>0</v>
      </c>
      <c r="K635" t="n">
        <v>0</v>
      </c>
      <c r="L635" t="n">
        <v>0</v>
      </c>
      <c r="M635" t="n">
        <v>0</v>
      </c>
      <c r="N635" t="n">
        <v>0</v>
      </c>
      <c r="O635" t="n">
        <v>0</v>
      </c>
      <c r="P635" t="n">
        <v>0</v>
      </c>
      <c r="Q635" t="n">
        <v>0</v>
      </c>
      <c r="R635" s="2" t="inlineStr"/>
    </row>
    <row r="636" ht="15" customHeight="1">
      <c r="A636" t="inlineStr">
        <is>
          <t>A 6245-2026</t>
        </is>
      </c>
      <c r="B636" s="1" t="n">
        <v>46055</v>
      </c>
      <c r="C636" s="1" t="n">
        <v>46194</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51377-2023</t>
        </is>
      </c>
      <c r="B637" s="1" t="n">
        <v>45219</v>
      </c>
      <c r="C637" s="1" t="n">
        <v>46194</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59859-2023</t>
        </is>
      </c>
      <c r="B638" s="1" t="n">
        <v>45257</v>
      </c>
      <c r="C638" s="1" t="n">
        <v>46194</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19330-2025</t>
        </is>
      </c>
      <c r="B639" s="1" t="n">
        <v>45769</v>
      </c>
      <c r="C639" s="1" t="n">
        <v>46194</v>
      </c>
      <c r="D639" t="inlineStr">
        <is>
          <t>DALARNAS LÄN</t>
        </is>
      </c>
      <c r="E639" t="inlineStr">
        <is>
          <t>LEKSAND</t>
        </is>
      </c>
      <c r="G639" t="n">
        <v>1.6</v>
      </c>
      <c r="H639" t="n">
        <v>0</v>
      </c>
      <c r="I639" t="n">
        <v>0</v>
      </c>
      <c r="J639" t="n">
        <v>0</v>
      </c>
      <c r="K639" t="n">
        <v>0</v>
      </c>
      <c r="L639" t="n">
        <v>0</v>
      </c>
      <c r="M639" t="n">
        <v>0</v>
      </c>
      <c r="N639" t="n">
        <v>0</v>
      </c>
      <c r="O639" t="n">
        <v>0</v>
      </c>
      <c r="P639" t="n">
        <v>0</v>
      </c>
      <c r="Q639" t="n">
        <v>0</v>
      </c>
      <c r="R639" s="2" t="inlineStr"/>
    </row>
    <row r="640" ht="15" customHeight="1">
      <c r="A640" t="inlineStr">
        <is>
          <t>A 45943-2022</t>
        </is>
      </c>
      <c r="B640" s="1" t="n">
        <v>44846</v>
      </c>
      <c r="C640" s="1" t="n">
        <v>46194</v>
      </c>
      <c r="D640" t="inlineStr">
        <is>
          <t>DALARNAS LÄN</t>
        </is>
      </c>
      <c r="E640" t="inlineStr">
        <is>
          <t>LEKSAND</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33593-2024</t>
        </is>
      </c>
      <c r="B641" s="1" t="n">
        <v>45520</v>
      </c>
      <c r="C641" s="1" t="n">
        <v>46194</v>
      </c>
      <c r="D641" t="inlineStr">
        <is>
          <t>DALARNAS LÄN</t>
        </is>
      </c>
      <c r="E641" t="inlineStr">
        <is>
          <t>LEKSAND</t>
        </is>
      </c>
      <c r="G641" t="n">
        <v>0.3</v>
      </c>
      <c r="H641" t="n">
        <v>0</v>
      </c>
      <c r="I641" t="n">
        <v>0</v>
      </c>
      <c r="J641" t="n">
        <v>0</v>
      </c>
      <c r="K641" t="n">
        <v>0</v>
      </c>
      <c r="L641" t="n">
        <v>0</v>
      </c>
      <c r="M641" t="n">
        <v>0</v>
      </c>
      <c r="N641" t="n">
        <v>0</v>
      </c>
      <c r="O641" t="n">
        <v>0</v>
      </c>
      <c r="P641" t="n">
        <v>0</v>
      </c>
      <c r="Q641" t="n">
        <v>0</v>
      </c>
      <c r="R641" s="2" t="inlineStr"/>
    </row>
    <row r="642" ht="15" customHeight="1">
      <c r="A642" t="inlineStr">
        <is>
          <t>A 36534-2024</t>
        </is>
      </c>
      <c r="B642" s="1" t="n">
        <v>45537</v>
      </c>
      <c r="C642" s="1" t="n">
        <v>46194</v>
      </c>
      <c r="D642" t="inlineStr">
        <is>
          <t>DALARNAS LÄN</t>
        </is>
      </c>
      <c r="E642" t="inlineStr">
        <is>
          <t>LEKSAND</t>
        </is>
      </c>
      <c r="G642" t="n">
        <v>4</v>
      </c>
      <c r="H642" t="n">
        <v>0</v>
      </c>
      <c r="I642" t="n">
        <v>0</v>
      </c>
      <c r="J642" t="n">
        <v>0</v>
      </c>
      <c r="K642" t="n">
        <v>0</v>
      </c>
      <c r="L642" t="n">
        <v>0</v>
      </c>
      <c r="M642" t="n">
        <v>0</v>
      </c>
      <c r="N642" t="n">
        <v>0</v>
      </c>
      <c r="O642" t="n">
        <v>0</v>
      </c>
      <c r="P642" t="n">
        <v>0</v>
      </c>
      <c r="Q642" t="n">
        <v>0</v>
      </c>
      <c r="R642" s="2" t="inlineStr"/>
    </row>
    <row r="643" ht="15" customHeight="1">
      <c r="A643" t="inlineStr">
        <is>
          <t>A 4280-2026</t>
        </is>
      </c>
      <c r="B643" s="1" t="n">
        <v>46044</v>
      </c>
      <c r="C643" s="1" t="n">
        <v>46194</v>
      </c>
      <c r="D643" t="inlineStr">
        <is>
          <t>DALARNAS LÄN</t>
        </is>
      </c>
      <c r="E643" t="inlineStr">
        <is>
          <t>LEKSAND</t>
        </is>
      </c>
      <c r="G643" t="n">
        <v>7.2</v>
      </c>
      <c r="H643" t="n">
        <v>0</v>
      </c>
      <c r="I643" t="n">
        <v>0</v>
      </c>
      <c r="J643" t="n">
        <v>0</v>
      </c>
      <c r="K643" t="n">
        <v>0</v>
      </c>
      <c r="L643" t="n">
        <v>0</v>
      </c>
      <c r="M643" t="n">
        <v>0</v>
      </c>
      <c r="N643" t="n">
        <v>0</v>
      </c>
      <c r="O643" t="n">
        <v>0</v>
      </c>
      <c r="P643" t="n">
        <v>0</v>
      </c>
      <c r="Q643" t="n">
        <v>0</v>
      </c>
      <c r="R643" s="2" t="inlineStr"/>
    </row>
    <row r="644" ht="15" customHeight="1">
      <c r="A644" t="inlineStr">
        <is>
          <t>A 60878-2023</t>
        </is>
      </c>
      <c r="B644" s="1" t="n">
        <v>45259</v>
      </c>
      <c r="C644" s="1" t="n">
        <v>46194</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61502-2023</t>
        </is>
      </c>
      <c r="B645" s="1" t="n">
        <v>45264</v>
      </c>
      <c r="C645" s="1" t="n">
        <v>46194</v>
      </c>
      <c r="D645" t="inlineStr">
        <is>
          <t>DALARNAS LÄN</t>
        </is>
      </c>
      <c r="E645" t="inlineStr">
        <is>
          <t>LEKSAND</t>
        </is>
      </c>
      <c r="G645" t="n">
        <v>5.2</v>
      </c>
      <c r="H645" t="n">
        <v>0</v>
      </c>
      <c r="I645" t="n">
        <v>0</v>
      </c>
      <c r="J645" t="n">
        <v>0</v>
      </c>
      <c r="K645" t="n">
        <v>0</v>
      </c>
      <c r="L645" t="n">
        <v>0</v>
      </c>
      <c r="M645" t="n">
        <v>0</v>
      </c>
      <c r="N645" t="n">
        <v>0</v>
      </c>
      <c r="O645" t="n">
        <v>0</v>
      </c>
      <c r="P645" t="n">
        <v>0</v>
      </c>
      <c r="Q645" t="n">
        <v>0</v>
      </c>
      <c r="R645" s="2" t="inlineStr"/>
    </row>
    <row r="646" ht="15" customHeight="1">
      <c r="A646" t="inlineStr">
        <is>
          <t>A 28965-2023</t>
        </is>
      </c>
      <c r="B646" s="1" t="n">
        <v>45104</v>
      </c>
      <c r="C646" s="1" t="n">
        <v>46194</v>
      </c>
      <c r="D646" t="inlineStr">
        <is>
          <t>DALARNAS LÄN</t>
        </is>
      </c>
      <c r="E646" t="inlineStr">
        <is>
          <t>LEKSAND</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1719-2024</t>
        </is>
      </c>
      <c r="B647" s="1" t="n">
        <v>45307</v>
      </c>
      <c r="C647" s="1" t="n">
        <v>46194</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8726-2026</t>
        </is>
      </c>
      <c r="B648" s="1" t="n">
        <v>46066</v>
      </c>
      <c r="C648" s="1" t="n">
        <v>46194</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22349-2024</t>
        </is>
      </c>
      <c r="B649" s="1" t="n">
        <v>45446</v>
      </c>
      <c r="C649" s="1" t="n">
        <v>46194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11617-2024</t>
        </is>
      </c>
      <c r="B650" s="1" t="n">
        <v>45373</v>
      </c>
      <c r="C650" s="1" t="n">
        <v>46194</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1968-2026</t>
        </is>
      </c>
      <c r="B651" s="1" t="n">
        <v>46035</v>
      </c>
      <c r="C651" s="1" t="n">
        <v>46194</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35746-2025</t>
        </is>
      </c>
      <c r="B652" s="1" t="n">
        <v>45860</v>
      </c>
      <c r="C652" s="1" t="n">
        <v>46194</v>
      </c>
      <c r="D652" t="inlineStr">
        <is>
          <t>DALARNAS LÄN</t>
        </is>
      </c>
      <c r="E652" t="inlineStr">
        <is>
          <t>LEKSAND</t>
        </is>
      </c>
      <c r="G652" t="n">
        <v>1.9</v>
      </c>
      <c r="H652" t="n">
        <v>0</v>
      </c>
      <c r="I652" t="n">
        <v>0</v>
      </c>
      <c r="J652" t="n">
        <v>0</v>
      </c>
      <c r="K652" t="n">
        <v>0</v>
      </c>
      <c r="L652" t="n">
        <v>0</v>
      </c>
      <c r="M652" t="n">
        <v>0</v>
      </c>
      <c r="N652" t="n">
        <v>0</v>
      </c>
      <c r="O652" t="n">
        <v>0</v>
      </c>
      <c r="P652" t="n">
        <v>0</v>
      </c>
      <c r="Q652" t="n">
        <v>0</v>
      </c>
      <c r="R652" s="2" t="inlineStr"/>
    </row>
    <row r="653" ht="15" customHeight="1">
      <c r="A653" t="inlineStr">
        <is>
          <t>A 61953-2023</t>
        </is>
      </c>
      <c r="B653" s="1" t="n">
        <v>45266</v>
      </c>
      <c r="C653" s="1" t="n">
        <v>46194</v>
      </c>
      <c r="D653" t="inlineStr">
        <is>
          <t>DALARNAS LÄN</t>
        </is>
      </c>
      <c r="E653" t="inlineStr">
        <is>
          <t>LEKSAND</t>
        </is>
      </c>
      <c r="G653" t="n">
        <v>0.1</v>
      </c>
      <c r="H653" t="n">
        <v>0</v>
      </c>
      <c r="I653" t="n">
        <v>0</v>
      </c>
      <c r="J653" t="n">
        <v>0</v>
      </c>
      <c r="K653" t="n">
        <v>0</v>
      </c>
      <c r="L653" t="n">
        <v>0</v>
      </c>
      <c r="M653" t="n">
        <v>0</v>
      </c>
      <c r="N653" t="n">
        <v>0</v>
      </c>
      <c r="O653" t="n">
        <v>0</v>
      </c>
      <c r="P653" t="n">
        <v>0</v>
      </c>
      <c r="Q653" t="n">
        <v>0</v>
      </c>
      <c r="R653" s="2" t="inlineStr"/>
    </row>
    <row r="654" ht="15" customHeight="1">
      <c r="A654" t="inlineStr">
        <is>
          <t>A 58619-2022</t>
        </is>
      </c>
      <c r="B654" s="1" t="n">
        <v>44902</v>
      </c>
      <c r="C654" s="1" t="n">
        <v>46194</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24373-2025</t>
        </is>
      </c>
      <c r="B655" s="1" t="n">
        <v>45797</v>
      </c>
      <c r="C655" s="1" t="n">
        <v>46194</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9170-2026</t>
        </is>
      </c>
      <c r="B656" s="1" t="n">
        <v>46070</v>
      </c>
      <c r="C656" s="1" t="n">
        <v>46194</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1995-2026</t>
        </is>
      </c>
      <c r="B657" s="1" t="n">
        <v>46035</v>
      </c>
      <c r="C657" s="1" t="n">
        <v>46194</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9163-2026</t>
        </is>
      </c>
      <c r="B658" s="1" t="n">
        <v>46070</v>
      </c>
      <c r="C658" s="1" t="n">
        <v>46194</v>
      </c>
      <c r="D658" t="inlineStr">
        <is>
          <t>DALARNAS LÄN</t>
        </is>
      </c>
      <c r="E658" t="inlineStr">
        <is>
          <t>LEKSAND</t>
        </is>
      </c>
      <c r="G658" t="n">
        <v>2.2</v>
      </c>
      <c r="H658" t="n">
        <v>0</v>
      </c>
      <c r="I658" t="n">
        <v>0</v>
      </c>
      <c r="J658" t="n">
        <v>0</v>
      </c>
      <c r="K658" t="n">
        <v>0</v>
      </c>
      <c r="L658" t="n">
        <v>0</v>
      </c>
      <c r="M658" t="n">
        <v>0</v>
      </c>
      <c r="N658" t="n">
        <v>0</v>
      </c>
      <c r="O658" t="n">
        <v>0</v>
      </c>
      <c r="P658" t="n">
        <v>0</v>
      </c>
      <c r="Q658" t="n">
        <v>0</v>
      </c>
      <c r="R658" s="2" t="inlineStr"/>
    </row>
    <row r="659" ht="15" customHeight="1">
      <c r="A659" t="inlineStr">
        <is>
          <t>A 9360-2026</t>
        </is>
      </c>
      <c r="B659" s="1" t="n">
        <v>46070</v>
      </c>
      <c r="C659" s="1" t="n">
        <v>46194</v>
      </c>
      <c r="D659" t="inlineStr">
        <is>
          <t>DALARNAS LÄN</t>
        </is>
      </c>
      <c r="E659" t="inlineStr">
        <is>
          <t>LEKSAND</t>
        </is>
      </c>
      <c r="G659" t="n">
        <v>2.1</v>
      </c>
      <c r="H659" t="n">
        <v>0</v>
      </c>
      <c r="I659" t="n">
        <v>0</v>
      </c>
      <c r="J659" t="n">
        <v>0</v>
      </c>
      <c r="K659" t="n">
        <v>0</v>
      </c>
      <c r="L659" t="n">
        <v>0</v>
      </c>
      <c r="M659" t="n">
        <v>0</v>
      </c>
      <c r="N659" t="n">
        <v>0</v>
      </c>
      <c r="O659" t="n">
        <v>0</v>
      </c>
      <c r="P659" t="n">
        <v>0</v>
      </c>
      <c r="Q659" t="n">
        <v>0</v>
      </c>
      <c r="R659" s="2" t="inlineStr"/>
    </row>
    <row r="660" ht="15" customHeight="1">
      <c r="A660" t="inlineStr">
        <is>
          <t>A 61225-2023</t>
        </is>
      </c>
      <c r="B660" s="1" t="n">
        <v>45264</v>
      </c>
      <c r="C660" s="1" t="n">
        <v>46194</v>
      </c>
      <c r="D660" t="inlineStr">
        <is>
          <t>DALARNAS LÄN</t>
        </is>
      </c>
      <c r="E660" t="inlineStr">
        <is>
          <t>LEKSAND</t>
        </is>
      </c>
      <c r="G660" t="n">
        <v>7</v>
      </c>
      <c r="H660" t="n">
        <v>0</v>
      </c>
      <c r="I660" t="n">
        <v>0</v>
      </c>
      <c r="J660" t="n">
        <v>0</v>
      </c>
      <c r="K660" t="n">
        <v>0</v>
      </c>
      <c r="L660" t="n">
        <v>0</v>
      </c>
      <c r="M660" t="n">
        <v>0</v>
      </c>
      <c r="N660" t="n">
        <v>0</v>
      </c>
      <c r="O660" t="n">
        <v>0</v>
      </c>
      <c r="P660" t="n">
        <v>0</v>
      </c>
      <c r="Q660" t="n">
        <v>0</v>
      </c>
      <c r="R660" s="2" t="inlineStr"/>
    </row>
    <row r="661" ht="15" customHeight="1">
      <c r="A661" t="inlineStr">
        <is>
          <t>A 61252-2023</t>
        </is>
      </c>
      <c r="B661" s="1" t="n">
        <v>45261</v>
      </c>
      <c r="C661" s="1" t="n">
        <v>46194</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57267-2025</t>
        </is>
      </c>
      <c r="B662" s="1" t="n">
        <v>45979</v>
      </c>
      <c r="C662" s="1" t="n">
        <v>46194</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24369-2025</t>
        </is>
      </c>
      <c r="B663" s="1" t="n">
        <v>45797</v>
      </c>
      <c r="C663" s="1" t="n">
        <v>46194</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62525-2025</t>
        </is>
      </c>
      <c r="B664" s="1" t="n">
        <v>46007</v>
      </c>
      <c r="C664" s="1" t="n">
        <v>46194</v>
      </c>
      <c r="D664" t="inlineStr">
        <is>
          <t>DALARNAS LÄN</t>
        </is>
      </c>
      <c r="E664" t="inlineStr">
        <is>
          <t>LEKSAND</t>
        </is>
      </c>
      <c r="G664" t="n">
        <v>5.7</v>
      </c>
      <c r="H664" t="n">
        <v>0</v>
      </c>
      <c r="I664" t="n">
        <v>0</v>
      </c>
      <c r="J664" t="n">
        <v>0</v>
      </c>
      <c r="K664" t="n">
        <v>0</v>
      </c>
      <c r="L664" t="n">
        <v>0</v>
      </c>
      <c r="M664" t="n">
        <v>0</v>
      </c>
      <c r="N664" t="n">
        <v>0</v>
      </c>
      <c r="O664" t="n">
        <v>0</v>
      </c>
      <c r="P664" t="n">
        <v>0</v>
      </c>
      <c r="Q664" t="n">
        <v>0</v>
      </c>
      <c r="R664" s="2" t="inlineStr"/>
    </row>
    <row r="665" ht="15" customHeight="1">
      <c r="A665" t="inlineStr">
        <is>
          <t>A 9541-2026</t>
        </is>
      </c>
      <c r="B665" s="1" t="n">
        <v>46071</v>
      </c>
      <c r="C665" s="1" t="n">
        <v>46194</v>
      </c>
      <c r="D665" t="inlineStr">
        <is>
          <t>DALARNAS LÄN</t>
        </is>
      </c>
      <c r="E665" t="inlineStr">
        <is>
          <t>LEKSAND</t>
        </is>
      </c>
      <c r="G665" t="n">
        <v>10.8</v>
      </c>
      <c r="H665" t="n">
        <v>0</v>
      </c>
      <c r="I665" t="n">
        <v>0</v>
      </c>
      <c r="J665" t="n">
        <v>0</v>
      </c>
      <c r="K665" t="n">
        <v>0</v>
      </c>
      <c r="L665" t="n">
        <v>0</v>
      </c>
      <c r="M665" t="n">
        <v>0</v>
      </c>
      <c r="N665" t="n">
        <v>0</v>
      </c>
      <c r="O665" t="n">
        <v>0</v>
      </c>
      <c r="P665" t="n">
        <v>0</v>
      </c>
      <c r="Q665" t="n">
        <v>0</v>
      </c>
      <c r="R665" s="2" t="inlineStr"/>
    </row>
    <row r="666" ht="15" customHeight="1">
      <c r="A666" t="inlineStr">
        <is>
          <t>A 14617-2024</t>
        </is>
      </c>
      <c r="B666" s="1" t="n">
        <v>45397</v>
      </c>
      <c r="C666" s="1" t="n">
        <v>46194</v>
      </c>
      <c r="D666" t="inlineStr">
        <is>
          <t>DALARNAS LÄN</t>
        </is>
      </c>
      <c r="E666" t="inlineStr">
        <is>
          <t>LEKSAND</t>
        </is>
      </c>
      <c r="G666" t="n">
        <v>0.2</v>
      </c>
      <c r="H666" t="n">
        <v>0</v>
      </c>
      <c r="I666" t="n">
        <v>0</v>
      </c>
      <c r="J666" t="n">
        <v>0</v>
      </c>
      <c r="K666" t="n">
        <v>0</v>
      </c>
      <c r="L666" t="n">
        <v>0</v>
      </c>
      <c r="M666" t="n">
        <v>0</v>
      </c>
      <c r="N666" t="n">
        <v>0</v>
      </c>
      <c r="O666" t="n">
        <v>0</v>
      </c>
      <c r="P666" t="n">
        <v>0</v>
      </c>
      <c r="Q666" t="n">
        <v>0</v>
      </c>
      <c r="R666" s="2" t="inlineStr"/>
    </row>
    <row r="667" ht="15" customHeight="1">
      <c r="A667" t="inlineStr">
        <is>
          <t>A 9802-2026</t>
        </is>
      </c>
      <c r="B667" s="1" t="n">
        <v>46072</v>
      </c>
      <c r="C667" s="1" t="n">
        <v>46194</v>
      </c>
      <c r="D667" t="inlineStr">
        <is>
          <t>DALARNAS LÄN</t>
        </is>
      </c>
      <c r="E667" t="inlineStr">
        <is>
          <t>LEKSAND</t>
        </is>
      </c>
      <c r="G667" t="n">
        <v>1.7</v>
      </c>
      <c r="H667" t="n">
        <v>0</v>
      </c>
      <c r="I667" t="n">
        <v>0</v>
      </c>
      <c r="J667" t="n">
        <v>0</v>
      </c>
      <c r="K667" t="n">
        <v>0</v>
      </c>
      <c r="L667" t="n">
        <v>0</v>
      </c>
      <c r="M667" t="n">
        <v>0</v>
      </c>
      <c r="N667" t="n">
        <v>0</v>
      </c>
      <c r="O667" t="n">
        <v>0</v>
      </c>
      <c r="P667" t="n">
        <v>0</v>
      </c>
      <c r="Q667" t="n">
        <v>0</v>
      </c>
      <c r="R667" s="2" t="inlineStr"/>
    </row>
    <row r="668" ht="15" customHeight="1">
      <c r="A668" t="inlineStr">
        <is>
          <t>A 46141-2022</t>
        </is>
      </c>
      <c r="B668" s="1" t="n">
        <v>44846</v>
      </c>
      <c r="C668" s="1" t="n">
        <v>46194</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62993-2023</t>
        </is>
      </c>
      <c r="B669" s="1" t="n">
        <v>45272</v>
      </c>
      <c r="C669" s="1" t="n">
        <v>46194</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9644-2026</t>
        </is>
      </c>
      <c r="B670" s="1" t="n">
        <v>46072</v>
      </c>
      <c r="C670" s="1" t="n">
        <v>46194</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61933-2023</t>
        </is>
      </c>
      <c r="B671" s="1" t="n">
        <v>45266</v>
      </c>
      <c r="C671" s="1" t="n">
        <v>46194</v>
      </c>
      <c r="D671" t="inlineStr">
        <is>
          <t>DALARNAS LÄN</t>
        </is>
      </c>
      <c r="E671" t="inlineStr">
        <is>
          <t>LEKSAND</t>
        </is>
      </c>
      <c r="G671" t="n">
        <v>0.2</v>
      </c>
      <c r="H671" t="n">
        <v>0</v>
      </c>
      <c r="I671" t="n">
        <v>0</v>
      </c>
      <c r="J671" t="n">
        <v>0</v>
      </c>
      <c r="K671" t="n">
        <v>0</v>
      </c>
      <c r="L671" t="n">
        <v>0</v>
      </c>
      <c r="M671" t="n">
        <v>0</v>
      </c>
      <c r="N671" t="n">
        <v>0</v>
      </c>
      <c r="O671" t="n">
        <v>0</v>
      </c>
      <c r="P671" t="n">
        <v>0</v>
      </c>
      <c r="Q671" t="n">
        <v>0</v>
      </c>
      <c r="R671" s="2" t="inlineStr"/>
    </row>
    <row r="672" ht="15" customHeight="1">
      <c r="A672" t="inlineStr">
        <is>
          <t>A 33198-2022</t>
        </is>
      </c>
      <c r="B672" s="1" t="n">
        <v>44785</v>
      </c>
      <c r="C672" s="1" t="n">
        <v>46194</v>
      </c>
      <c r="D672" t="inlineStr">
        <is>
          <t>DALARNAS LÄN</t>
        </is>
      </c>
      <c r="E672" t="inlineStr">
        <is>
          <t>LEKSAND</t>
        </is>
      </c>
      <c r="G672" t="n">
        <v>1.5</v>
      </c>
      <c r="H672" t="n">
        <v>0</v>
      </c>
      <c r="I672" t="n">
        <v>0</v>
      </c>
      <c r="J672" t="n">
        <v>0</v>
      </c>
      <c r="K672" t="n">
        <v>0</v>
      </c>
      <c r="L672" t="n">
        <v>0</v>
      </c>
      <c r="M672" t="n">
        <v>0</v>
      </c>
      <c r="N672" t="n">
        <v>0</v>
      </c>
      <c r="O672" t="n">
        <v>0</v>
      </c>
      <c r="P672" t="n">
        <v>0</v>
      </c>
      <c r="Q672" t="n">
        <v>0</v>
      </c>
      <c r="R672" s="2" t="inlineStr"/>
    </row>
    <row r="673" ht="15" customHeight="1">
      <c r="A673" t="inlineStr">
        <is>
          <t>A 9851-2026</t>
        </is>
      </c>
      <c r="B673" s="1" t="n">
        <v>46072</v>
      </c>
      <c r="C673" s="1" t="n">
        <v>46194</v>
      </c>
      <c r="D673" t="inlineStr">
        <is>
          <t>DALARNAS LÄN</t>
        </is>
      </c>
      <c r="E673" t="inlineStr">
        <is>
          <t>LEKSAND</t>
        </is>
      </c>
      <c r="G673" t="n">
        <v>5.6</v>
      </c>
      <c r="H673" t="n">
        <v>0</v>
      </c>
      <c r="I673" t="n">
        <v>0</v>
      </c>
      <c r="J673" t="n">
        <v>0</v>
      </c>
      <c r="K673" t="n">
        <v>0</v>
      </c>
      <c r="L673" t="n">
        <v>0</v>
      </c>
      <c r="M673" t="n">
        <v>0</v>
      </c>
      <c r="N673" t="n">
        <v>0</v>
      </c>
      <c r="O673" t="n">
        <v>0</v>
      </c>
      <c r="P673" t="n">
        <v>0</v>
      </c>
      <c r="Q673" t="n">
        <v>0</v>
      </c>
      <c r="R673" s="2" t="inlineStr"/>
    </row>
    <row r="674" ht="15" customHeight="1">
      <c r="A674" t="inlineStr">
        <is>
          <t>A 9858-2026</t>
        </is>
      </c>
      <c r="B674" s="1" t="n">
        <v>46072</v>
      </c>
      <c r="C674" s="1" t="n">
        <v>46194</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15619-2025</t>
        </is>
      </c>
      <c r="B675" s="1" t="n">
        <v>45747</v>
      </c>
      <c r="C675" s="1" t="n">
        <v>46194</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46931-2023</t>
        </is>
      </c>
      <c r="B676" s="1" t="n">
        <v>45201</v>
      </c>
      <c r="C676" s="1" t="n">
        <v>46194</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17759-2023</t>
        </is>
      </c>
      <c r="B677" s="1" t="n">
        <v>45037</v>
      </c>
      <c r="C677" s="1" t="n">
        <v>46194</v>
      </c>
      <c r="D677" t="inlineStr">
        <is>
          <t>DALARNAS LÄN</t>
        </is>
      </c>
      <c r="E677" t="inlineStr">
        <is>
          <t>LEKSAND</t>
        </is>
      </c>
      <c r="G677" t="n">
        <v>2.1</v>
      </c>
      <c r="H677" t="n">
        <v>0</v>
      </c>
      <c r="I677" t="n">
        <v>0</v>
      </c>
      <c r="J677" t="n">
        <v>0</v>
      </c>
      <c r="K677" t="n">
        <v>0</v>
      </c>
      <c r="L677" t="n">
        <v>0</v>
      </c>
      <c r="M677" t="n">
        <v>0</v>
      </c>
      <c r="N677" t="n">
        <v>0</v>
      </c>
      <c r="O677" t="n">
        <v>0</v>
      </c>
      <c r="P677" t="n">
        <v>0</v>
      </c>
      <c r="Q677" t="n">
        <v>0</v>
      </c>
      <c r="R677" s="2" t="inlineStr"/>
    </row>
    <row r="678" ht="15" customHeight="1">
      <c r="A678" t="inlineStr">
        <is>
          <t>A 55015-2024</t>
        </is>
      </c>
      <c r="B678" s="1" t="n">
        <v>45621</v>
      </c>
      <c r="C678" s="1" t="n">
        <v>46194</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46194</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481-2024</t>
        </is>
      </c>
      <c r="B680" s="1" t="n">
        <v>45298</v>
      </c>
      <c r="C680" s="1" t="n">
        <v>46194</v>
      </c>
      <c r="D680" t="inlineStr">
        <is>
          <t>DALARNAS LÄN</t>
        </is>
      </c>
      <c r="E680" t="inlineStr">
        <is>
          <t>LEKSAND</t>
        </is>
      </c>
      <c r="G680" t="n">
        <v>7</v>
      </c>
      <c r="H680" t="n">
        <v>0</v>
      </c>
      <c r="I680" t="n">
        <v>0</v>
      </c>
      <c r="J680" t="n">
        <v>0</v>
      </c>
      <c r="K680" t="n">
        <v>0</v>
      </c>
      <c r="L680" t="n">
        <v>0</v>
      </c>
      <c r="M680" t="n">
        <v>0</v>
      </c>
      <c r="N680" t="n">
        <v>0</v>
      </c>
      <c r="O680" t="n">
        <v>0</v>
      </c>
      <c r="P680" t="n">
        <v>0</v>
      </c>
      <c r="Q680" t="n">
        <v>0</v>
      </c>
      <c r="R680" s="2" t="inlineStr"/>
    </row>
    <row r="681" ht="15" customHeight="1">
      <c r="A681" t="inlineStr">
        <is>
          <t>A 50278-2023</t>
        </is>
      </c>
      <c r="B681" s="1" t="n">
        <v>45216</v>
      </c>
      <c r="C681" s="1" t="n">
        <v>46194</v>
      </c>
      <c r="D681" t="inlineStr">
        <is>
          <t>DALARNAS LÄN</t>
        </is>
      </c>
      <c r="E681" t="inlineStr">
        <is>
          <t>LEKSAND</t>
        </is>
      </c>
      <c r="G681" t="n">
        <v>0.4</v>
      </c>
      <c r="H681" t="n">
        <v>0</v>
      </c>
      <c r="I681" t="n">
        <v>0</v>
      </c>
      <c r="J681" t="n">
        <v>0</v>
      </c>
      <c r="K681" t="n">
        <v>0</v>
      </c>
      <c r="L681" t="n">
        <v>0</v>
      </c>
      <c r="M681" t="n">
        <v>0</v>
      </c>
      <c r="N681" t="n">
        <v>0</v>
      </c>
      <c r="O681" t="n">
        <v>0</v>
      </c>
      <c r="P681" t="n">
        <v>0</v>
      </c>
      <c r="Q681" t="n">
        <v>0</v>
      </c>
      <c r="R681" s="2" t="inlineStr"/>
    </row>
    <row r="682" ht="15" customHeight="1">
      <c r="A682" t="inlineStr">
        <is>
          <t>A 18837-2023</t>
        </is>
      </c>
      <c r="B682" s="1" t="n">
        <v>45044</v>
      </c>
      <c r="C682" s="1" t="n">
        <v>46194</v>
      </c>
      <c r="D682" t="inlineStr">
        <is>
          <t>DALARNAS LÄN</t>
        </is>
      </c>
      <c r="E682" t="inlineStr">
        <is>
          <t>LEKSAND</t>
        </is>
      </c>
      <c r="G682" t="n">
        <v>1.5</v>
      </c>
      <c r="H682" t="n">
        <v>0</v>
      </c>
      <c r="I682" t="n">
        <v>0</v>
      </c>
      <c r="J682" t="n">
        <v>0</v>
      </c>
      <c r="K682" t="n">
        <v>0</v>
      </c>
      <c r="L682" t="n">
        <v>0</v>
      </c>
      <c r="M682" t="n">
        <v>0</v>
      </c>
      <c r="N682" t="n">
        <v>0</v>
      </c>
      <c r="O682" t="n">
        <v>0</v>
      </c>
      <c r="P682" t="n">
        <v>0</v>
      </c>
      <c r="Q682" t="n">
        <v>0</v>
      </c>
      <c r="R682" s="2" t="inlineStr"/>
    </row>
    <row r="683" ht="15" customHeight="1">
      <c r="A683" t="inlineStr">
        <is>
          <t>A 17730-2024</t>
        </is>
      </c>
      <c r="B683" s="1" t="n">
        <v>45418</v>
      </c>
      <c r="C683" s="1" t="n">
        <v>46194</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64933-2023</t>
        </is>
      </c>
      <c r="B684" s="1" t="n">
        <v>45282</v>
      </c>
      <c r="C684" s="1" t="n">
        <v>46194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39620-2024</t>
        </is>
      </c>
      <c r="B685" s="1" t="n">
        <v>45552</v>
      </c>
      <c r="C685" s="1" t="n">
        <v>46194</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34038-2024</t>
        </is>
      </c>
      <c r="B686" s="1" t="n">
        <v>45523</v>
      </c>
      <c r="C686" s="1" t="n">
        <v>46194</v>
      </c>
      <c r="D686" t="inlineStr">
        <is>
          <t>DALARNAS LÄN</t>
        </is>
      </c>
      <c r="E686" t="inlineStr">
        <is>
          <t>LEKSAND</t>
        </is>
      </c>
      <c r="G686" t="n">
        <v>0.3</v>
      </c>
      <c r="H686" t="n">
        <v>0</v>
      </c>
      <c r="I686" t="n">
        <v>0</v>
      </c>
      <c r="J686" t="n">
        <v>0</v>
      </c>
      <c r="K686" t="n">
        <v>0</v>
      </c>
      <c r="L686" t="n">
        <v>0</v>
      </c>
      <c r="M686" t="n">
        <v>0</v>
      </c>
      <c r="N686" t="n">
        <v>0</v>
      </c>
      <c r="O686" t="n">
        <v>0</v>
      </c>
      <c r="P686" t="n">
        <v>0</v>
      </c>
      <c r="Q686" t="n">
        <v>0</v>
      </c>
      <c r="R686" s="2" t="inlineStr"/>
    </row>
    <row r="687" ht="15" customHeight="1">
      <c r="A687" t="inlineStr">
        <is>
          <t>A 10833-2023</t>
        </is>
      </c>
      <c r="B687" s="1" t="n">
        <v>44990</v>
      </c>
      <c r="C687" s="1" t="n">
        <v>46194</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12967-2026</t>
        </is>
      </c>
      <c r="B688" s="1" t="n">
        <v>46092</v>
      </c>
      <c r="C688" s="1" t="n">
        <v>46194</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12983-2026</t>
        </is>
      </c>
      <c r="B689" s="1" t="n">
        <v>46092</v>
      </c>
      <c r="C689" s="1" t="n">
        <v>46194</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12988-2026</t>
        </is>
      </c>
      <c r="B690" s="1" t="n">
        <v>46092</v>
      </c>
      <c r="C690" s="1" t="n">
        <v>46194</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17233-2023</t>
        </is>
      </c>
      <c r="B691" s="1" t="n">
        <v>45035</v>
      </c>
      <c r="C691" s="1" t="n">
        <v>46194</v>
      </c>
      <c r="D691" t="inlineStr">
        <is>
          <t>DALARNAS LÄN</t>
        </is>
      </c>
      <c r="E691" t="inlineStr">
        <is>
          <t>LEKSAND</t>
        </is>
      </c>
      <c r="G691" t="n">
        <v>1.6</v>
      </c>
      <c r="H691" t="n">
        <v>0</v>
      </c>
      <c r="I691" t="n">
        <v>0</v>
      </c>
      <c r="J691" t="n">
        <v>0</v>
      </c>
      <c r="K691" t="n">
        <v>0</v>
      </c>
      <c r="L691" t="n">
        <v>0</v>
      </c>
      <c r="M691" t="n">
        <v>0</v>
      </c>
      <c r="N691" t="n">
        <v>0</v>
      </c>
      <c r="O691" t="n">
        <v>0</v>
      </c>
      <c r="P691" t="n">
        <v>0</v>
      </c>
      <c r="Q691" t="n">
        <v>0</v>
      </c>
      <c r="R691" s="2" t="inlineStr"/>
    </row>
    <row r="692" ht="15" customHeight="1">
      <c r="A692" t="inlineStr">
        <is>
          <t>A 12857-2023</t>
        </is>
      </c>
      <c r="B692" s="1" t="n">
        <v>45001</v>
      </c>
      <c r="C692" s="1" t="n">
        <v>46194</v>
      </c>
      <c r="D692" t="inlineStr">
        <is>
          <t>DALARNAS LÄN</t>
        </is>
      </c>
      <c r="E692" t="inlineStr">
        <is>
          <t>LEKSAND</t>
        </is>
      </c>
      <c r="G692" t="n">
        <v>0.2</v>
      </c>
      <c r="H692" t="n">
        <v>0</v>
      </c>
      <c r="I692" t="n">
        <v>0</v>
      </c>
      <c r="J692" t="n">
        <v>0</v>
      </c>
      <c r="K692" t="n">
        <v>0</v>
      </c>
      <c r="L692" t="n">
        <v>0</v>
      </c>
      <c r="M692" t="n">
        <v>0</v>
      </c>
      <c r="N692" t="n">
        <v>0</v>
      </c>
      <c r="O692" t="n">
        <v>0</v>
      </c>
      <c r="P692" t="n">
        <v>0</v>
      </c>
      <c r="Q692" t="n">
        <v>0</v>
      </c>
      <c r="R692" s="2" t="inlineStr"/>
    </row>
    <row r="693" ht="15" customHeight="1">
      <c r="A693" t="inlineStr">
        <is>
          <t>A 28674-2024</t>
        </is>
      </c>
      <c r="B693" s="1" t="n">
        <v>45478</v>
      </c>
      <c r="C693" s="1" t="n">
        <v>46194</v>
      </c>
      <c r="D693" t="inlineStr">
        <is>
          <t>DALARNAS LÄN</t>
        </is>
      </c>
      <c r="E693" t="inlineStr">
        <is>
          <t>LEKSAND</t>
        </is>
      </c>
      <c r="G693" t="n">
        <v>4.9</v>
      </c>
      <c r="H693" t="n">
        <v>0</v>
      </c>
      <c r="I693" t="n">
        <v>0</v>
      </c>
      <c r="J693" t="n">
        <v>0</v>
      </c>
      <c r="K693" t="n">
        <v>0</v>
      </c>
      <c r="L693" t="n">
        <v>0</v>
      </c>
      <c r="M693" t="n">
        <v>0</v>
      </c>
      <c r="N693" t="n">
        <v>0</v>
      </c>
      <c r="O693" t="n">
        <v>0</v>
      </c>
      <c r="P693" t="n">
        <v>0</v>
      </c>
      <c r="Q693" t="n">
        <v>0</v>
      </c>
      <c r="R693" s="2" t="inlineStr"/>
    </row>
    <row r="694" ht="15" customHeight="1">
      <c r="A694" t="inlineStr">
        <is>
          <t>A 13713-2026</t>
        </is>
      </c>
      <c r="B694" s="1" t="n">
        <v>46097</v>
      </c>
      <c r="C694" s="1" t="n">
        <v>46194</v>
      </c>
      <c r="D694" t="inlineStr">
        <is>
          <t>DALARNAS LÄN</t>
        </is>
      </c>
      <c r="E694" t="inlineStr">
        <is>
          <t>LEKSAND</t>
        </is>
      </c>
      <c r="G694" t="n">
        <v>7.8</v>
      </c>
      <c r="H694" t="n">
        <v>0</v>
      </c>
      <c r="I694" t="n">
        <v>0</v>
      </c>
      <c r="J694" t="n">
        <v>0</v>
      </c>
      <c r="K694" t="n">
        <v>0</v>
      </c>
      <c r="L694" t="n">
        <v>0</v>
      </c>
      <c r="M694" t="n">
        <v>0</v>
      </c>
      <c r="N694" t="n">
        <v>0</v>
      </c>
      <c r="O694" t="n">
        <v>0</v>
      </c>
      <c r="P694" t="n">
        <v>0</v>
      </c>
      <c r="Q694" t="n">
        <v>0</v>
      </c>
      <c r="R694" s="2" t="inlineStr"/>
    </row>
    <row r="695" ht="15" customHeight="1">
      <c r="A695" t="inlineStr">
        <is>
          <t>A 13697-2026</t>
        </is>
      </c>
      <c r="B695" s="1" t="n">
        <v>46097</v>
      </c>
      <c r="C695" s="1" t="n">
        <v>46194</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13650-2026</t>
        </is>
      </c>
      <c r="B696" s="1" t="n">
        <v>46097</v>
      </c>
      <c r="C696" s="1" t="n">
        <v>46194</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13705-2026</t>
        </is>
      </c>
      <c r="B697" s="1" t="n">
        <v>46097</v>
      </c>
      <c r="C697" s="1" t="n">
        <v>46194</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61055-2023</t>
        </is>
      </c>
      <c r="B698" s="1" t="n">
        <v>45261</v>
      </c>
      <c r="C698" s="1" t="n">
        <v>46194</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ht="15" customHeight="1">
      <c r="A699" t="inlineStr">
        <is>
          <t>A 8061-2026</t>
        </is>
      </c>
      <c r="B699" s="1" t="n">
        <v>46063</v>
      </c>
      <c r="C699" s="1" t="n">
        <v>46194</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14795-2026</t>
        </is>
      </c>
      <c r="B700" s="1" t="n">
        <v>46101</v>
      </c>
      <c r="C700" s="1" t="n">
        <v>46194</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15583-2026</t>
        </is>
      </c>
      <c r="B701" s="1" t="n">
        <v>46106</v>
      </c>
      <c r="C701" s="1" t="n">
        <v>46194</v>
      </c>
      <c r="D701" t="inlineStr">
        <is>
          <t>DALARNAS LÄN</t>
        </is>
      </c>
      <c r="E701" t="inlineStr">
        <is>
          <t>LEKSAND</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15571-2026</t>
        </is>
      </c>
      <c r="B702" s="1" t="n">
        <v>46106</v>
      </c>
      <c r="C702" s="1" t="n">
        <v>46194</v>
      </c>
      <c r="D702" t="inlineStr">
        <is>
          <t>DALARNAS LÄN</t>
        </is>
      </c>
      <c r="E702" t="inlineStr">
        <is>
          <t>LEKSAND</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15561-2026</t>
        </is>
      </c>
      <c r="B703" s="1" t="n">
        <v>46106</v>
      </c>
      <c r="C703" s="1" t="n">
        <v>46194</v>
      </c>
      <c r="D703" t="inlineStr">
        <is>
          <t>DALARNAS LÄN</t>
        </is>
      </c>
      <c r="E703" t="inlineStr">
        <is>
          <t>LEKSAND</t>
        </is>
      </c>
      <c r="F703" t="inlineStr">
        <is>
          <t>Bergvik skog väst AB</t>
        </is>
      </c>
      <c r="G703" t="n">
        <v>11.3</v>
      </c>
      <c r="H703" t="n">
        <v>0</v>
      </c>
      <c r="I703" t="n">
        <v>0</v>
      </c>
      <c r="J703" t="n">
        <v>0</v>
      </c>
      <c r="K703" t="n">
        <v>0</v>
      </c>
      <c r="L703" t="n">
        <v>0</v>
      </c>
      <c r="M703" t="n">
        <v>0</v>
      </c>
      <c r="N703" t="n">
        <v>0</v>
      </c>
      <c r="O703" t="n">
        <v>0</v>
      </c>
      <c r="P703" t="n">
        <v>0</v>
      </c>
      <c r="Q703" t="n">
        <v>0</v>
      </c>
      <c r="R703" s="2" t="inlineStr"/>
    </row>
    <row r="704" ht="15" customHeight="1">
      <c r="A704" t="inlineStr">
        <is>
          <t>A 15578-2026</t>
        </is>
      </c>
      <c r="B704" s="1" t="n">
        <v>46106</v>
      </c>
      <c r="C704" s="1" t="n">
        <v>46194</v>
      </c>
      <c r="D704" t="inlineStr">
        <is>
          <t>DALARNAS LÄN</t>
        </is>
      </c>
      <c r="E704" t="inlineStr">
        <is>
          <t>LEKSAND</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15641-2026</t>
        </is>
      </c>
      <c r="B705" s="1" t="n">
        <v>46106</v>
      </c>
      <c r="C705" s="1" t="n">
        <v>46194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16188-2026</t>
        </is>
      </c>
      <c r="B706" s="1" t="n">
        <v>46111</v>
      </c>
      <c r="C706" s="1" t="n">
        <v>46194</v>
      </c>
      <c r="D706" t="inlineStr">
        <is>
          <t>DALARNAS LÄN</t>
        </is>
      </c>
      <c r="E706" t="inlineStr">
        <is>
          <t>LEKSAND</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16037-2026</t>
        </is>
      </c>
      <c r="B707" s="1" t="n">
        <v>46108</v>
      </c>
      <c r="C707" s="1" t="n">
        <v>46194</v>
      </c>
      <c r="D707" t="inlineStr">
        <is>
          <t>DALARNAS LÄN</t>
        </is>
      </c>
      <c r="E707" t="inlineStr">
        <is>
          <t>LEKSAND</t>
        </is>
      </c>
      <c r="G707" t="n">
        <v>3.4</v>
      </c>
      <c r="H707" t="n">
        <v>0</v>
      </c>
      <c r="I707" t="n">
        <v>0</v>
      </c>
      <c r="J707" t="n">
        <v>0</v>
      </c>
      <c r="K707" t="n">
        <v>0</v>
      </c>
      <c r="L707" t="n">
        <v>0</v>
      </c>
      <c r="M707" t="n">
        <v>0</v>
      </c>
      <c r="N707" t="n">
        <v>0</v>
      </c>
      <c r="O707" t="n">
        <v>0</v>
      </c>
      <c r="P707" t="n">
        <v>0</v>
      </c>
      <c r="Q707" t="n">
        <v>0</v>
      </c>
      <c r="R707" s="2" t="inlineStr"/>
    </row>
    <row r="708" ht="15" customHeight="1">
      <c r="A708" t="inlineStr">
        <is>
          <t>A 16234-2026</t>
        </is>
      </c>
      <c r="B708" s="1" t="n">
        <v>46111</v>
      </c>
      <c r="C708" s="1" t="n">
        <v>46194</v>
      </c>
      <c r="D708" t="inlineStr">
        <is>
          <t>DALARNAS LÄN</t>
        </is>
      </c>
      <c r="E708" t="inlineStr">
        <is>
          <t>LEKSAND</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16238-2026</t>
        </is>
      </c>
      <c r="B709" s="1" t="n">
        <v>46111</v>
      </c>
      <c r="C709" s="1" t="n">
        <v>46194</v>
      </c>
      <c r="D709" t="inlineStr">
        <is>
          <t>DALARNAS LÄN</t>
        </is>
      </c>
      <c r="E709" t="inlineStr">
        <is>
          <t>LEKSAND</t>
        </is>
      </c>
      <c r="F709" t="inlineStr">
        <is>
          <t>Bergvik skog väst AB</t>
        </is>
      </c>
      <c r="G709" t="n">
        <v>2.5</v>
      </c>
      <c r="H709" t="n">
        <v>0</v>
      </c>
      <c r="I709" t="n">
        <v>0</v>
      </c>
      <c r="J709" t="n">
        <v>0</v>
      </c>
      <c r="K709" t="n">
        <v>0</v>
      </c>
      <c r="L709" t="n">
        <v>0</v>
      </c>
      <c r="M709" t="n">
        <v>0</v>
      </c>
      <c r="N709" t="n">
        <v>0</v>
      </c>
      <c r="O709" t="n">
        <v>0</v>
      </c>
      <c r="P709" t="n">
        <v>0</v>
      </c>
      <c r="Q709" t="n">
        <v>0</v>
      </c>
      <c r="R709" s="2" t="inlineStr"/>
    </row>
    <row r="710" ht="15" customHeight="1">
      <c r="A710" t="inlineStr">
        <is>
          <t>A 16613-2026</t>
        </is>
      </c>
      <c r="B710" s="1" t="n">
        <v>46112</v>
      </c>
      <c r="C710" s="1" t="n">
        <v>46194</v>
      </c>
      <c r="D710" t="inlineStr">
        <is>
          <t>DALARNAS LÄN</t>
        </is>
      </c>
      <c r="E710" t="inlineStr">
        <is>
          <t>LEKSAND</t>
        </is>
      </c>
      <c r="F710" t="inlineStr">
        <is>
          <t>Bergvik skog väst AB</t>
        </is>
      </c>
      <c r="G710" t="n">
        <v>12.7</v>
      </c>
      <c r="H710" t="n">
        <v>0</v>
      </c>
      <c r="I710" t="n">
        <v>0</v>
      </c>
      <c r="J710" t="n">
        <v>0</v>
      </c>
      <c r="K710" t="n">
        <v>0</v>
      </c>
      <c r="L710" t="n">
        <v>0</v>
      </c>
      <c r="M710" t="n">
        <v>0</v>
      </c>
      <c r="N710" t="n">
        <v>0</v>
      </c>
      <c r="O710" t="n">
        <v>0</v>
      </c>
      <c r="P710" t="n">
        <v>0</v>
      </c>
      <c r="Q710" t="n">
        <v>0</v>
      </c>
      <c r="R710" s="2" t="inlineStr"/>
    </row>
    <row r="711" ht="15" customHeight="1">
      <c r="A711" t="inlineStr">
        <is>
          <t>A 16868-2026</t>
        </is>
      </c>
      <c r="B711" s="1" t="n">
        <v>46113</v>
      </c>
      <c r="C711" s="1" t="n">
        <v>46194</v>
      </c>
      <c r="D711" t="inlineStr">
        <is>
          <t>DALARNAS LÄN</t>
        </is>
      </c>
      <c r="E711" t="inlineStr">
        <is>
          <t>LEKSAND</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16861-2026</t>
        </is>
      </c>
      <c r="B712" s="1" t="n">
        <v>46113</v>
      </c>
      <c r="C712" s="1" t="n">
        <v>46194</v>
      </c>
      <c r="D712" t="inlineStr">
        <is>
          <t>DALARNAS LÄN</t>
        </is>
      </c>
      <c r="E712" t="inlineStr">
        <is>
          <t>LEKSAND</t>
        </is>
      </c>
      <c r="G712" t="n">
        <v>18.9</v>
      </c>
      <c r="H712" t="n">
        <v>0</v>
      </c>
      <c r="I712" t="n">
        <v>0</v>
      </c>
      <c r="J712" t="n">
        <v>0</v>
      </c>
      <c r="K712" t="n">
        <v>0</v>
      </c>
      <c r="L712" t="n">
        <v>0</v>
      </c>
      <c r="M712" t="n">
        <v>0</v>
      </c>
      <c r="N712" t="n">
        <v>0</v>
      </c>
      <c r="O712" t="n">
        <v>0</v>
      </c>
      <c r="P712" t="n">
        <v>0</v>
      </c>
      <c r="Q712" t="n">
        <v>0</v>
      </c>
      <c r="R712" s="2" t="inlineStr"/>
    </row>
    <row r="713" ht="15" customHeight="1">
      <c r="A713" t="inlineStr">
        <is>
          <t>A 22539-2026</t>
        </is>
      </c>
      <c r="B713" s="1" t="n">
        <v>46155</v>
      </c>
      <c r="C713" s="1" t="n">
        <v>46194</v>
      </c>
      <c r="D713" t="inlineStr">
        <is>
          <t>DALARNAS LÄN</t>
        </is>
      </c>
      <c r="E713" t="inlineStr">
        <is>
          <t>LEKSAND</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22702-2026</t>
        </is>
      </c>
      <c r="B714" s="1" t="n">
        <v>46156</v>
      </c>
      <c r="C714" s="1" t="n">
        <v>46194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22699-2026</t>
        </is>
      </c>
      <c r="B715" s="1" t="n">
        <v>46156</v>
      </c>
      <c r="C715" s="1" t="n">
        <v>46194</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17290-2026</t>
        </is>
      </c>
      <c r="B716" s="1" t="n">
        <v>46119</v>
      </c>
      <c r="C716" s="1" t="n">
        <v>46194</v>
      </c>
      <c r="D716" t="inlineStr">
        <is>
          <t>DALARNAS LÄN</t>
        </is>
      </c>
      <c r="E716" t="inlineStr">
        <is>
          <t>LEKSAND</t>
        </is>
      </c>
      <c r="G716" t="n">
        <v>2.2</v>
      </c>
      <c r="H716" t="n">
        <v>0</v>
      </c>
      <c r="I716" t="n">
        <v>0</v>
      </c>
      <c r="J716" t="n">
        <v>0</v>
      </c>
      <c r="K716" t="n">
        <v>0</v>
      </c>
      <c r="L716" t="n">
        <v>0</v>
      </c>
      <c r="M716" t="n">
        <v>0</v>
      </c>
      <c r="N716" t="n">
        <v>0</v>
      </c>
      <c r="O716" t="n">
        <v>0</v>
      </c>
      <c r="P716" t="n">
        <v>0</v>
      </c>
      <c r="Q716" t="n">
        <v>0</v>
      </c>
      <c r="R716" s="2" t="inlineStr"/>
    </row>
    <row r="717" ht="15" customHeight="1">
      <c r="A717" t="inlineStr">
        <is>
          <t>A 23024-2026</t>
        </is>
      </c>
      <c r="B717" s="1" t="n">
        <v>46161</v>
      </c>
      <c r="C717" s="1" t="n">
        <v>46194</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ht="15" customHeight="1">
      <c r="A718" t="inlineStr">
        <is>
          <t>A 23368-2026</t>
        </is>
      </c>
      <c r="B718" s="1" t="n">
        <v>46162</v>
      </c>
      <c r="C718" s="1" t="n">
        <v>46194</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17590-2026</t>
        </is>
      </c>
      <c r="B719" s="1" t="n">
        <v>46121</v>
      </c>
      <c r="C719" s="1" t="n">
        <v>46194</v>
      </c>
      <c r="D719" t="inlineStr">
        <is>
          <t>DALARNAS LÄN</t>
        </is>
      </c>
      <c r="E719" t="inlineStr">
        <is>
          <t>LEKSAND</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22582-2026</t>
        </is>
      </c>
      <c r="B720" s="1" t="n">
        <v>46155</v>
      </c>
      <c r="C720" s="1" t="n">
        <v>46194</v>
      </c>
      <c r="D720" t="inlineStr">
        <is>
          <t>DALARNAS LÄN</t>
        </is>
      </c>
      <c r="E720" t="inlineStr">
        <is>
          <t>LEKSAND</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17849-2026</t>
        </is>
      </c>
      <c r="B721" s="1" t="n">
        <v>46122</v>
      </c>
      <c r="C721" s="1" t="n">
        <v>46194</v>
      </c>
      <c r="D721" t="inlineStr">
        <is>
          <t>DALARNAS LÄN</t>
        </is>
      </c>
      <c r="E721" t="inlineStr">
        <is>
          <t>LEKSAND</t>
        </is>
      </c>
      <c r="F721" t="inlineStr">
        <is>
          <t>Bergvik skog väst AB</t>
        </is>
      </c>
      <c r="G721" t="n">
        <v>3</v>
      </c>
      <c r="H721" t="n">
        <v>0</v>
      </c>
      <c r="I721" t="n">
        <v>0</v>
      </c>
      <c r="J721" t="n">
        <v>0</v>
      </c>
      <c r="K721" t="n">
        <v>0</v>
      </c>
      <c r="L721" t="n">
        <v>0</v>
      </c>
      <c r="M721" t="n">
        <v>0</v>
      </c>
      <c r="N721" t="n">
        <v>0</v>
      </c>
      <c r="O721" t="n">
        <v>0</v>
      </c>
      <c r="P721" t="n">
        <v>0</v>
      </c>
      <c r="Q721" t="n">
        <v>0</v>
      </c>
      <c r="R721" s="2" t="inlineStr"/>
    </row>
    <row r="722" ht="15" customHeight="1">
      <c r="A722" t="inlineStr">
        <is>
          <t>A 23837-2026</t>
        </is>
      </c>
      <c r="B722" s="1" t="n">
        <v>46167</v>
      </c>
      <c r="C722" s="1" t="n">
        <v>46194</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23828-2026</t>
        </is>
      </c>
      <c r="B723" s="1" t="n">
        <v>46166</v>
      </c>
      <c r="C723" s="1" t="n">
        <v>46194</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18482-2026</t>
        </is>
      </c>
      <c r="B724" s="1" t="n">
        <v>46127</v>
      </c>
      <c r="C724" s="1" t="n">
        <v>46194</v>
      </c>
      <c r="D724" t="inlineStr">
        <is>
          <t>DALARNAS LÄN</t>
        </is>
      </c>
      <c r="E724" t="inlineStr">
        <is>
          <t>LEKSAND</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18510-2026</t>
        </is>
      </c>
      <c r="B725" s="1" t="n">
        <v>46127</v>
      </c>
      <c r="C725" s="1" t="n">
        <v>46194</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24121-2026</t>
        </is>
      </c>
      <c r="B726" s="1" t="n">
        <v>46168</v>
      </c>
      <c r="C726" s="1" t="n">
        <v>46194</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18492-2026</t>
        </is>
      </c>
      <c r="B727" s="1" t="n">
        <v>46127</v>
      </c>
      <c r="C727" s="1" t="n">
        <v>46194</v>
      </c>
      <c r="D727" t="inlineStr">
        <is>
          <t>DALARNAS LÄN</t>
        </is>
      </c>
      <c r="E727" t="inlineStr">
        <is>
          <t>LEKSAND</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18579-2026</t>
        </is>
      </c>
      <c r="B728" s="1" t="n">
        <v>46127</v>
      </c>
      <c r="C728" s="1" t="n">
        <v>46194</v>
      </c>
      <c r="D728" t="inlineStr">
        <is>
          <t>DALARNAS LÄN</t>
        </is>
      </c>
      <c r="E728" t="inlineStr">
        <is>
          <t>LEKSAND</t>
        </is>
      </c>
      <c r="F728" t="inlineStr">
        <is>
          <t>Bergvik skog väst AB</t>
        </is>
      </c>
      <c r="G728" t="n">
        <v>16.8</v>
      </c>
      <c r="H728" t="n">
        <v>0</v>
      </c>
      <c r="I728" t="n">
        <v>0</v>
      </c>
      <c r="J728" t="n">
        <v>0</v>
      </c>
      <c r="K728" t="n">
        <v>0</v>
      </c>
      <c r="L728" t="n">
        <v>0</v>
      </c>
      <c r="M728" t="n">
        <v>0</v>
      </c>
      <c r="N728" t="n">
        <v>0</v>
      </c>
      <c r="O728" t="n">
        <v>0</v>
      </c>
      <c r="P728" t="n">
        <v>0</v>
      </c>
      <c r="Q728" t="n">
        <v>0</v>
      </c>
      <c r="R728" s="2" t="inlineStr"/>
    </row>
    <row r="729" ht="15" customHeight="1">
      <c r="A729" t="inlineStr">
        <is>
          <t>A 18342-2026</t>
        </is>
      </c>
      <c r="B729" s="1" t="n">
        <v>46126</v>
      </c>
      <c r="C729" s="1" t="n">
        <v>46194</v>
      </c>
      <c r="D729" t="inlineStr">
        <is>
          <t>DALARNAS LÄN</t>
        </is>
      </c>
      <c r="E729" t="inlineStr">
        <is>
          <t>LEKSAND</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18414-2026</t>
        </is>
      </c>
      <c r="B730" s="1" t="n">
        <v>46126</v>
      </c>
      <c r="C730" s="1" t="n">
        <v>46194</v>
      </c>
      <c r="D730" t="inlineStr">
        <is>
          <t>DALARNAS LÄN</t>
        </is>
      </c>
      <c r="E730" t="inlineStr">
        <is>
          <t>LEKSAND</t>
        </is>
      </c>
      <c r="G730" t="n">
        <v>3.7</v>
      </c>
      <c r="H730" t="n">
        <v>0</v>
      </c>
      <c r="I730" t="n">
        <v>0</v>
      </c>
      <c r="J730" t="n">
        <v>0</v>
      </c>
      <c r="K730" t="n">
        <v>0</v>
      </c>
      <c r="L730" t="n">
        <v>0</v>
      </c>
      <c r="M730" t="n">
        <v>0</v>
      </c>
      <c r="N730" t="n">
        <v>0</v>
      </c>
      <c r="O730" t="n">
        <v>0</v>
      </c>
      <c r="P730" t="n">
        <v>0</v>
      </c>
      <c r="Q730" t="n">
        <v>0</v>
      </c>
      <c r="R730" s="2" t="inlineStr"/>
    </row>
    <row r="731" ht="15" customHeight="1">
      <c r="A731" t="inlineStr">
        <is>
          <t>A 24126-2026</t>
        </is>
      </c>
      <c r="B731" s="1" t="n">
        <v>46168</v>
      </c>
      <c r="C731" s="1" t="n">
        <v>46194</v>
      </c>
      <c r="D731" t="inlineStr">
        <is>
          <t>DALARNAS LÄN</t>
        </is>
      </c>
      <c r="E731" t="inlineStr">
        <is>
          <t>LEKSAND</t>
        </is>
      </c>
      <c r="G731" t="n">
        <v>2.1</v>
      </c>
      <c r="H731" t="n">
        <v>0</v>
      </c>
      <c r="I731" t="n">
        <v>0</v>
      </c>
      <c r="J731" t="n">
        <v>0</v>
      </c>
      <c r="K731" t="n">
        <v>0</v>
      </c>
      <c r="L731" t="n">
        <v>0</v>
      </c>
      <c r="M731" t="n">
        <v>0</v>
      </c>
      <c r="N731" t="n">
        <v>0</v>
      </c>
      <c r="O731" t="n">
        <v>0</v>
      </c>
      <c r="P731" t="n">
        <v>0</v>
      </c>
      <c r="Q731" t="n">
        <v>0</v>
      </c>
      <c r="R731" s="2" t="inlineStr"/>
    </row>
    <row r="732" ht="15" customHeight="1">
      <c r="A732" t="inlineStr">
        <is>
          <t>A 22418-2026</t>
        </is>
      </c>
      <c r="B732" s="1" t="n">
        <v>46154</v>
      </c>
      <c r="C732" s="1" t="n">
        <v>46194</v>
      </c>
      <c r="D732" t="inlineStr">
        <is>
          <t>DALARNAS LÄN</t>
        </is>
      </c>
      <c r="E732" t="inlineStr">
        <is>
          <t>LEKSAND</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24572-2026</t>
        </is>
      </c>
      <c r="B733" s="1" t="n">
        <v>46170</v>
      </c>
      <c r="C733" s="1" t="n">
        <v>46194</v>
      </c>
      <c r="D733" t="inlineStr">
        <is>
          <t>DALARNAS LÄN</t>
        </is>
      </c>
      <c r="E733" t="inlineStr">
        <is>
          <t>LEKSAND</t>
        </is>
      </c>
      <c r="G733" t="n">
        <v>3</v>
      </c>
      <c r="H733" t="n">
        <v>0</v>
      </c>
      <c r="I733" t="n">
        <v>0</v>
      </c>
      <c r="J733" t="n">
        <v>0</v>
      </c>
      <c r="K733" t="n">
        <v>0</v>
      </c>
      <c r="L733" t="n">
        <v>0</v>
      </c>
      <c r="M733" t="n">
        <v>0</v>
      </c>
      <c r="N733" t="n">
        <v>0</v>
      </c>
      <c r="O733" t="n">
        <v>0</v>
      </c>
      <c r="P733" t="n">
        <v>0</v>
      </c>
      <c r="Q733" t="n">
        <v>0</v>
      </c>
      <c r="R733" s="2" t="inlineStr"/>
    </row>
    <row r="734" ht="15" customHeight="1">
      <c r="A734" t="inlineStr">
        <is>
          <t>A 22313-2026</t>
        </is>
      </c>
      <c r="B734" s="1" t="n">
        <v>46154</v>
      </c>
      <c r="C734" s="1" t="n">
        <v>46194</v>
      </c>
      <c r="D734" t="inlineStr">
        <is>
          <t>DALARNAS LÄN</t>
        </is>
      </c>
      <c r="E734" t="inlineStr">
        <is>
          <t>LEKSAND</t>
        </is>
      </c>
      <c r="F734" t="inlineStr">
        <is>
          <t>Bergvik skog väst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22344-2026</t>
        </is>
      </c>
      <c r="B735" s="1" t="n">
        <v>46154</v>
      </c>
      <c r="C735" s="1" t="n">
        <v>46194</v>
      </c>
      <c r="D735" t="inlineStr">
        <is>
          <t>DALARNAS LÄN</t>
        </is>
      </c>
      <c r="E735" t="inlineStr">
        <is>
          <t>LEKSAND</t>
        </is>
      </c>
      <c r="F735" t="inlineStr">
        <is>
          <t>Bergvik skog väst AB</t>
        </is>
      </c>
      <c r="G735" t="n">
        <v>6.3</v>
      </c>
      <c r="H735" t="n">
        <v>0</v>
      </c>
      <c r="I735" t="n">
        <v>0</v>
      </c>
      <c r="J735" t="n">
        <v>0</v>
      </c>
      <c r="K735" t="n">
        <v>0</v>
      </c>
      <c r="L735" t="n">
        <v>0</v>
      </c>
      <c r="M735" t="n">
        <v>0</v>
      </c>
      <c r="N735" t="n">
        <v>0</v>
      </c>
      <c r="O735" t="n">
        <v>0</v>
      </c>
      <c r="P735" t="n">
        <v>0</v>
      </c>
      <c r="Q735" t="n">
        <v>0</v>
      </c>
      <c r="R735" s="2" t="inlineStr"/>
    </row>
    <row r="736" ht="15" customHeight="1">
      <c r="A736" t="inlineStr">
        <is>
          <t>A 22202-2026</t>
        </is>
      </c>
      <c r="B736" s="1" t="n">
        <v>46153</v>
      </c>
      <c r="C736" s="1" t="n">
        <v>46194</v>
      </c>
      <c r="D736" t="inlineStr">
        <is>
          <t>DALARNAS LÄN</t>
        </is>
      </c>
      <c r="E736" t="inlineStr">
        <is>
          <t>LEKSAND</t>
        </is>
      </c>
      <c r="F736" t="inlineStr">
        <is>
          <t>Bergvik skog väst AB</t>
        </is>
      </c>
      <c r="G736" t="n">
        <v>7</v>
      </c>
      <c r="H736" t="n">
        <v>0</v>
      </c>
      <c r="I736" t="n">
        <v>0</v>
      </c>
      <c r="J736" t="n">
        <v>0</v>
      </c>
      <c r="K736" t="n">
        <v>0</v>
      </c>
      <c r="L736" t="n">
        <v>0</v>
      </c>
      <c r="M736" t="n">
        <v>0</v>
      </c>
      <c r="N736" t="n">
        <v>0</v>
      </c>
      <c r="O736" t="n">
        <v>0</v>
      </c>
      <c r="P736" t="n">
        <v>0</v>
      </c>
      <c r="Q736" t="n">
        <v>0</v>
      </c>
      <c r="R736" s="2" t="inlineStr"/>
    </row>
    <row r="737" ht="15" customHeight="1">
      <c r="A737" t="inlineStr">
        <is>
          <t>A 16982-2026</t>
        </is>
      </c>
      <c r="B737" s="1" t="n">
        <v>46114</v>
      </c>
      <c r="C737" s="1" t="n">
        <v>46194</v>
      </c>
      <c r="D737" t="inlineStr">
        <is>
          <t>DALARNAS LÄN</t>
        </is>
      </c>
      <c r="E737" t="inlineStr">
        <is>
          <t>LEKSAND</t>
        </is>
      </c>
      <c r="F737" t="inlineStr">
        <is>
          <t>Bergvik skog väst AB</t>
        </is>
      </c>
      <c r="G737" t="n">
        <v>0.8</v>
      </c>
      <c r="H737" t="n">
        <v>0</v>
      </c>
      <c r="I737" t="n">
        <v>0</v>
      </c>
      <c r="J737" t="n">
        <v>0</v>
      </c>
      <c r="K737" t="n">
        <v>0</v>
      </c>
      <c r="L737" t="n">
        <v>0</v>
      </c>
      <c r="M737" t="n">
        <v>0</v>
      </c>
      <c r="N737" t="n">
        <v>0</v>
      </c>
      <c r="O737" t="n">
        <v>0</v>
      </c>
      <c r="P737" t="n">
        <v>0</v>
      </c>
      <c r="Q737" t="n">
        <v>0</v>
      </c>
      <c r="R737" s="2" t="inlineStr"/>
    </row>
    <row r="738" ht="15" customHeight="1">
      <c r="A738" t="inlineStr">
        <is>
          <t>A 18766-2026</t>
        </is>
      </c>
      <c r="B738" s="1" t="n">
        <v>46128</v>
      </c>
      <c r="C738" s="1" t="n">
        <v>46194</v>
      </c>
      <c r="D738" t="inlineStr">
        <is>
          <t>DALARNAS LÄN</t>
        </is>
      </c>
      <c r="E738" t="inlineStr">
        <is>
          <t>LEKSAND</t>
        </is>
      </c>
      <c r="F738" t="inlineStr">
        <is>
          <t>Bergvik skog väst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19190-2026</t>
        </is>
      </c>
      <c r="B739" s="1" t="n">
        <v>46132</v>
      </c>
      <c r="C739" s="1" t="n">
        <v>46194</v>
      </c>
      <c r="D739" t="inlineStr">
        <is>
          <t>DALARNAS LÄN</t>
        </is>
      </c>
      <c r="E739" t="inlineStr">
        <is>
          <t>LEKSAND</t>
        </is>
      </c>
      <c r="G739" t="n">
        <v>24.9</v>
      </c>
      <c r="H739" t="n">
        <v>0</v>
      </c>
      <c r="I739" t="n">
        <v>0</v>
      </c>
      <c r="J739" t="n">
        <v>0</v>
      </c>
      <c r="K739" t="n">
        <v>0</v>
      </c>
      <c r="L739" t="n">
        <v>0</v>
      </c>
      <c r="M739" t="n">
        <v>0</v>
      </c>
      <c r="N739" t="n">
        <v>0</v>
      </c>
      <c r="O739" t="n">
        <v>0</v>
      </c>
      <c r="P739" t="n">
        <v>0</v>
      </c>
      <c r="Q739" t="n">
        <v>0</v>
      </c>
      <c r="R739" s="2" t="inlineStr"/>
    </row>
    <row r="740" ht="15" customHeight="1">
      <c r="A740" t="inlineStr">
        <is>
          <t>A 24720-2026</t>
        </is>
      </c>
      <c r="B740" s="1" t="n">
        <v>46171</v>
      </c>
      <c r="C740" s="1" t="n">
        <v>46194</v>
      </c>
      <c r="D740" t="inlineStr">
        <is>
          <t>DALARNAS LÄN</t>
        </is>
      </c>
      <c r="E740" t="inlineStr">
        <is>
          <t>LEKSAND</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24841-2026</t>
        </is>
      </c>
      <c r="B741" s="1" t="n">
        <v>46174</v>
      </c>
      <c r="C741" s="1" t="n">
        <v>46194</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25300-2026</t>
        </is>
      </c>
      <c r="B742" s="1" t="n">
        <v>46176</v>
      </c>
      <c r="C742" s="1" t="n">
        <v>46194</v>
      </c>
      <c r="D742" t="inlineStr">
        <is>
          <t>DALARNAS LÄN</t>
        </is>
      </c>
      <c r="E742" t="inlineStr">
        <is>
          <t>LEKSAND</t>
        </is>
      </c>
      <c r="F742" t="inlineStr">
        <is>
          <t>Bergvik skog väst AB</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17106-2026</t>
        </is>
      </c>
      <c r="B743" s="1" t="n">
        <v>46114</v>
      </c>
      <c r="C743" s="1" t="n">
        <v>46194</v>
      </c>
      <c r="D743" t="inlineStr">
        <is>
          <t>DALARNAS LÄN</t>
        </is>
      </c>
      <c r="E743" t="inlineStr">
        <is>
          <t>LEKSAND</t>
        </is>
      </c>
      <c r="F743" t="inlineStr">
        <is>
          <t>Bergvik skog väst AB</t>
        </is>
      </c>
      <c r="G743" t="n">
        <v>2.9</v>
      </c>
      <c r="H743" t="n">
        <v>0</v>
      </c>
      <c r="I743" t="n">
        <v>0</v>
      </c>
      <c r="J743" t="n">
        <v>0</v>
      </c>
      <c r="K743" t="n">
        <v>0</v>
      </c>
      <c r="L743" t="n">
        <v>0</v>
      </c>
      <c r="M743" t="n">
        <v>0</v>
      </c>
      <c r="N743" t="n">
        <v>0</v>
      </c>
      <c r="O743" t="n">
        <v>0</v>
      </c>
      <c r="P743" t="n">
        <v>0</v>
      </c>
      <c r="Q743" t="n">
        <v>0</v>
      </c>
      <c r="R743" s="2" t="inlineStr"/>
    </row>
    <row r="744" ht="15" customHeight="1">
      <c r="A744" t="inlineStr">
        <is>
          <t>A 19305-2026</t>
        </is>
      </c>
      <c r="B744" s="1" t="n">
        <v>46133</v>
      </c>
      <c r="C744" s="1" t="n">
        <v>46194</v>
      </c>
      <c r="D744" t="inlineStr">
        <is>
          <t>DALARNAS LÄN</t>
        </is>
      </c>
      <c r="E744" t="inlineStr">
        <is>
          <t>LEKSAND</t>
        </is>
      </c>
      <c r="G744" t="n">
        <v>2.1</v>
      </c>
      <c r="H744" t="n">
        <v>0</v>
      </c>
      <c r="I744" t="n">
        <v>0</v>
      </c>
      <c r="J744" t="n">
        <v>0</v>
      </c>
      <c r="K744" t="n">
        <v>0</v>
      </c>
      <c r="L744" t="n">
        <v>0</v>
      </c>
      <c r="M744" t="n">
        <v>0</v>
      </c>
      <c r="N744" t="n">
        <v>0</v>
      </c>
      <c r="O744" t="n">
        <v>0</v>
      </c>
      <c r="P744" t="n">
        <v>0</v>
      </c>
      <c r="Q744" t="n">
        <v>0</v>
      </c>
      <c r="R744" s="2" t="inlineStr"/>
    </row>
    <row r="745" ht="15" customHeight="1">
      <c r="A745" t="inlineStr">
        <is>
          <t>A 17099-2026</t>
        </is>
      </c>
      <c r="B745" s="1" t="n">
        <v>46114</v>
      </c>
      <c r="C745" s="1" t="n">
        <v>46194</v>
      </c>
      <c r="D745" t="inlineStr">
        <is>
          <t>DALARNAS LÄN</t>
        </is>
      </c>
      <c r="E745" t="inlineStr">
        <is>
          <t>LEKSAND</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19818-2026</t>
        </is>
      </c>
      <c r="B746" s="1" t="n">
        <v>46135</v>
      </c>
      <c r="C746" s="1" t="n">
        <v>46194</v>
      </c>
      <c r="D746" t="inlineStr">
        <is>
          <t>DALARNAS LÄN</t>
        </is>
      </c>
      <c r="E746" t="inlineStr">
        <is>
          <t>LEKSAND</t>
        </is>
      </c>
      <c r="F746" t="inlineStr">
        <is>
          <t>Bergvik skog väst AB</t>
        </is>
      </c>
      <c r="G746" t="n">
        <v>4.4</v>
      </c>
      <c r="H746" t="n">
        <v>0</v>
      </c>
      <c r="I746" t="n">
        <v>0</v>
      </c>
      <c r="J746" t="n">
        <v>0</v>
      </c>
      <c r="K746" t="n">
        <v>0</v>
      </c>
      <c r="L746" t="n">
        <v>0</v>
      </c>
      <c r="M746" t="n">
        <v>0</v>
      </c>
      <c r="N746" t="n">
        <v>0</v>
      </c>
      <c r="O746" t="n">
        <v>0</v>
      </c>
      <c r="P746" t="n">
        <v>0</v>
      </c>
      <c r="Q746" t="n">
        <v>0</v>
      </c>
      <c r="R746" s="2" t="inlineStr"/>
    </row>
    <row r="747" ht="15" customHeight="1">
      <c r="A747" t="inlineStr">
        <is>
          <t>A 12620-2025</t>
        </is>
      </c>
      <c r="B747" s="1" t="n">
        <v>45733</v>
      </c>
      <c r="C747" s="1" t="n">
        <v>46194</v>
      </c>
      <c r="D747" t="inlineStr">
        <is>
          <t>DALARNAS LÄN</t>
        </is>
      </c>
      <c r="E747" t="inlineStr">
        <is>
          <t>LEKSAND</t>
        </is>
      </c>
      <c r="F747" t="inlineStr">
        <is>
          <t>Bergvik skog väst AB</t>
        </is>
      </c>
      <c r="G747" t="n">
        <v>3.9</v>
      </c>
      <c r="H747" t="n">
        <v>0</v>
      </c>
      <c r="I747" t="n">
        <v>0</v>
      </c>
      <c r="J747" t="n">
        <v>0</v>
      </c>
      <c r="K747" t="n">
        <v>0</v>
      </c>
      <c r="L747" t="n">
        <v>0</v>
      </c>
      <c r="M747" t="n">
        <v>0</v>
      </c>
      <c r="N747" t="n">
        <v>0</v>
      </c>
      <c r="O747" t="n">
        <v>0</v>
      </c>
      <c r="P747" t="n">
        <v>0</v>
      </c>
      <c r="Q747" t="n">
        <v>0</v>
      </c>
      <c r="R747" s="2" t="inlineStr"/>
    </row>
    <row r="748" ht="15" customHeight="1">
      <c r="A748" t="inlineStr">
        <is>
          <t>A 56941-2024</t>
        </is>
      </c>
      <c r="B748" s="1" t="n">
        <v>45625</v>
      </c>
      <c r="C748" s="1" t="n">
        <v>46194</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18611-2026</t>
        </is>
      </c>
      <c r="B749" s="1" t="n">
        <v>46127</v>
      </c>
      <c r="C749" s="1" t="n">
        <v>46194</v>
      </c>
      <c r="D749" t="inlineStr">
        <is>
          <t>DALARNAS LÄN</t>
        </is>
      </c>
      <c r="E749" t="inlineStr">
        <is>
          <t>LEKSAND</t>
        </is>
      </c>
      <c r="G749" t="n">
        <v>2.1</v>
      </c>
      <c r="H749" t="n">
        <v>0</v>
      </c>
      <c r="I749" t="n">
        <v>0</v>
      </c>
      <c r="J749" t="n">
        <v>0</v>
      </c>
      <c r="K749" t="n">
        <v>0</v>
      </c>
      <c r="L749" t="n">
        <v>0</v>
      </c>
      <c r="M749" t="n">
        <v>0</v>
      </c>
      <c r="N749" t="n">
        <v>0</v>
      </c>
      <c r="O749" t="n">
        <v>0</v>
      </c>
      <c r="P749" t="n">
        <v>0</v>
      </c>
      <c r="Q749" t="n">
        <v>0</v>
      </c>
      <c r="R749" s="2" t="inlineStr"/>
    </row>
    <row r="750" ht="15" customHeight="1">
      <c r="A750" t="inlineStr">
        <is>
          <t>A 40407-2024</t>
        </is>
      </c>
      <c r="B750" s="1" t="n">
        <v>45555</v>
      </c>
      <c r="C750" s="1" t="n">
        <v>46194</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40009-2024</t>
        </is>
      </c>
      <c r="B751" s="1" t="n">
        <v>45553</v>
      </c>
      <c r="C751" s="1" t="n">
        <v>46194</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25610-2025</t>
        </is>
      </c>
      <c r="B752" s="1" t="n">
        <v>45803</v>
      </c>
      <c r="C752" s="1" t="n">
        <v>46194</v>
      </c>
      <c r="D752" t="inlineStr">
        <is>
          <t>DALARNAS LÄN</t>
        </is>
      </c>
      <c r="E752" t="inlineStr">
        <is>
          <t>LEKSAND</t>
        </is>
      </c>
      <c r="G752" t="n">
        <v>5.2</v>
      </c>
      <c r="H752" t="n">
        <v>0</v>
      </c>
      <c r="I752" t="n">
        <v>0</v>
      </c>
      <c r="J752" t="n">
        <v>0</v>
      </c>
      <c r="K752" t="n">
        <v>0</v>
      </c>
      <c r="L752" t="n">
        <v>0</v>
      </c>
      <c r="M752" t="n">
        <v>0</v>
      </c>
      <c r="N752" t="n">
        <v>0</v>
      </c>
      <c r="O752" t="n">
        <v>0</v>
      </c>
      <c r="P752" t="n">
        <v>0</v>
      </c>
      <c r="Q752" t="n">
        <v>0</v>
      </c>
      <c r="R752" s="2" t="inlineStr"/>
    </row>
    <row r="753" ht="15" customHeight="1">
      <c r="A753" t="inlineStr">
        <is>
          <t>A 27445-2024</t>
        </is>
      </c>
      <c r="B753" s="1" t="n">
        <v>45474</v>
      </c>
      <c r="C753" s="1" t="n">
        <v>46194</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31728-2024</t>
        </is>
      </c>
      <c r="B754" s="1" t="n">
        <v>45509</v>
      </c>
      <c r="C754" s="1" t="n">
        <v>46194</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35998-2025</t>
        </is>
      </c>
      <c r="B755" s="1" t="n">
        <v>45863</v>
      </c>
      <c r="C755" s="1" t="n">
        <v>46194</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40165-2022</t>
        </is>
      </c>
      <c r="B756" s="1" t="n">
        <v>44820</v>
      </c>
      <c r="C756" s="1" t="n">
        <v>46194</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2048-2026</t>
        </is>
      </c>
      <c r="B757" s="1" t="n">
        <v>46035</v>
      </c>
      <c r="C757" s="1" t="n">
        <v>46194</v>
      </c>
      <c r="D757" t="inlineStr">
        <is>
          <t>DALARNAS LÄN</t>
        </is>
      </c>
      <c r="E757" t="inlineStr">
        <is>
          <t>LEKSAND</t>
        </is>
      </c>
      <c r="G757" t="n">
        <v>2.7</v>
      </c>
      <c r="H757" t="n">
        <v>0</v>
      </c>
      <c r="I757" t="n">
        <v>0</v>
      </c>
      <c r="J757" t="n">
        <v>0</v>
      </c>
      <c r="K757" t="n">
        <v>0</v>
      </c>
      <c r="L757" t="n">
        <v>0</v>
      </c>
      <c r="M757" t="n">
        <v>0</v>
      </c>
      <c r="N757" t="n">
        <v>0</v>
      </c>
      <c r="O757" t="n">
        <v>0</v>
      </c>
      <c r="P757" t="n">
        <v>0</v>
      </c>
      <c r="Q757" t="n">
        <v>0</v>
      </c>
      <c r="R757" s="2" t="inlineStr"/>
    </row>
    <row r="758" ht="15" customHeight="1">
      <c r="A758" t="inlineStr">
        <is>
          <t>A 1983-2025</t>
        </is>
      </c>
      <c r="B758" s="1" t="n">
        <v>45670</v>
      </c>
      <c r="C758" s="1" t="n">
        <v>46194</v>
      </c>
      <c r="D758" t="inlineStr">
        <is>
          <t>DALARNAS LÄN</t>
        </is>
      </c>
      <c r="E758" t="inlineStr">
        <is>
          <t>LEKSAND</t>
        </is>
      </c>
      <c r="G758" t="n">
        <v>1.5</v>
      </c>
      <c r="H758" t="n">
        <v>0</v>
      </c>
      <c r="I758" t="n">
        <v>0</v>
      </c>
      <c r="J758" t="n">
        <v>0</v>
      </c>
      <c r="K758" t="n">
        <v>0</v>
      </c>
      <c r="L758" t="n">
        <v>0</v>
      </c>
      <c r="M758" t="n">
        <v>0</v>
      </c>
      <c r="N758" t="n">
        <v>0</v>
      </c>
      <c r="O758" t="n">
        <v>0</v>
      </c>
      <c r="P758" t="n">
        <v>0</v>
      </c>
      <c r="Q758" t="n">
        <v>0</v>
      </c>
      <c r="R758" s="2" t="inlineStr"/>
    </row>
    <row r="759" ht="15" customHeight="1">
      <c r="A759" t="inlineStr">
        <is>
          <t>A 53243-2025</t>
        </is>
      </c>
      <c r="B759" s="1" t="n">
        <v>45958</v>
      </c>
      <c r="C759" s="1" t="n">
        <v>46194</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31787-2025</t>
        </is>
      </c>
      <c r="B760" s="1" t="n">
        <v>45834</v>
      </c>
      <c r="C760" s="1" t="n">
        <v>46194</v>
      </c>
      <c r="D760" t="inlineStr">
        <is>
          <t>DALARNAS LÄN</t>
        </is>
      </c>
      <c r="E760" t="inlineStr">
        <is>
          <t>LEKSAND</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25523-2026</t>
        </is>
      </c>
      <c r="B761" s="1" t="n">
        <v>46177</v>
      </c>
      <c r="C761" s="1" t="n">
        <v>46194</v>
      </c>
      <c r="D761" t="inlineStr">
        <is>
          <t>DALARNAS LÄN</t>
        </is>
      </c>
      <c r="E761" t="inlineStr">
        <is>
          <t>LEKSAND</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20541-2026</t>
        </is>
      </c>
      <c r="B762" s="1" t="n">
        <v>46140</v>
      </c>
      <c r="C762" s="1" t="n">
        <v>46194</v>
      </c>
      <c r="D762" t="inlineStr">
        <is>
          <t>DALARNAS LÄN</t>
        </is>
      </c>
      <c r="E762" t="inlineStr">
        <is>
          <t>LEKSAND</t>
        </is>
      </c>
      <c r="G762" t="n">
        <v>3</v>
      </c>
      <c r="H762" t="n">
        <v>0</v>
      </c>
      <c r="I762" t="n">
        <v>0</v>
      </c>
      <c r="J762" t="n">
        <v>0</v>
      </c>
      <c r="K762" t="n">
        <v>0</v>
      </c>
      <c r="L762" t="n">
        <v>0</v>
      </c>
      <c r="M762" t="n">
        <v>0</v>
      </c>
      <c r="N762" t="n">
        <v>0</v>
      </c>
      <c r="O762" t="n">
        <v>0</v>
      </c>
      <c r="P762" t="n">
        <v>0</v>
      </c>
      <c r="Q762" t="n">
        <v>0</v>
      </c>
      <c r="R762" s="2" t="inlineStr"/>
    </row>
    <row r="763" ht="15" customHeight="1">
      <c r="A763" t="inlineStr">
        <is>
          <t>A 15632-2026</t>
        </is>
      </c>
      <c r="B763" s="1" t="n">
        <v>46106</v>
      </c>
      <c r="C763" s="1" t="n">
        <v>46194</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26187-2026</t>
        </is>
      </c>
      <c r="B764" s="1" t="n">
        <v>46182</v>
      </c>
      <c r="C764" s="1" t="n">
        <v>46194</v>
      </c>
      <c r="D764" t="inlineStr">
        <is>
          <t>DALARNAS LÄN</t>
        </is>
      </c>
      <c r="E764" t="inlineStr">
        <is>
          <t>LEKSAND</t>
        </is>
      </c>
      <c r="G764" t="n">
        <v>1</v>
      </c>
      <c r="H764" t="n">
        <v>0</v>
      </c>
      <c r="I764" t="n">
        <v>0</v>
      </c>
      <c r="J764" t="n">
        <v>0</v>
      </c>
      <c r="K764" t="n">
        <v>0</v>
      </c>
      <c r="L764" t="n">
        <v>0</v>
      </c>
      <c r="M764" t="n">
        <v>0</v>
      </c>
      <c r="N764" t="n">
        <v>0</v>
      </c>
      <c r="O764" t="n">
        <v>0</v>
      </c>
      <c r="P764" t="n">
        <v>0</v>
      </c>
      <c r="Q764" t="n">
        <v>0</v>
      </c>
      <c r="R764" s="2" t="inlineStr"/>
    </row>
    <row r="765" ht="15" customHeight="1">
      <c r="A765" t="inlineStr">
        <is>
          <t>A 22105-2026</t>
        </is>
      </c>
      <c r="B765" s="1" t="n">
        <v>46153</v>
      </c>
      <c r="C765" s="1" t="n">
        <v>46194</v>
      </c>
      <c r="D765" t="inlineStr">
        <is>
          <t>DALARNAS LÄN</t>
        </is>
      </c>
      <c r="E765" t="inlineStr">
        <is>
          <t>LEKSAND</t>
        </is>
      </c>
      <c r="F765" t="inlineStr">
        <is>
          <t>Bergvik skog väst AB</t>
        </is>
      </c>
      <c r="G765" t="n">
        <v>1.9</v>
      </c>
      <c r="H765" t="n">
        <v>0</v>
      </c>
      <c r="I765" t="n">
        <v>0</v>
      </c>
      <c r="J765" t="n">
        <v>0</v>
      </c>
      <c r="K765" t="n">
        <v>0</v>
      </c>
      <c r="L765" t="n">
        <v>0</v>
      </c>
      <c r="M765" t="n">
        <v>0</v>
      </c>
      <c r="N765" t="n">
        <v>0</v>
      </c>
      <c r="O765" t="n">
        <v>0</v>
      </c>
      <c r="P765" t="n">
        <v>0</v>
      </c>
      <c r="Q765" t="n">
        <v>0</v>
      </c>
      <c r="R765" s="2" t="inlineStr"/>
    </row>
    <row r="766" ht="15" customHeight="1">
      <c r="A766" t="inlineStr">
        <is>
          <t>A 16197-2024</t>
        </is>
      </c>
      <c r="B766" s="1" t="n">
        <v>45406</v>
      </c>
      <c r="C766" s="1" t="n">
        <v>46194</v>
      </c>
      <c r="D766" t="inlineStr">
        <is>
          <t>DALARNAS LÄN</t>
        </is>
      </c>
      <c r="E766" t="inlineStr">
        <is>
          <t>LEKSAND</t>
        </is>
      </c>
      <c r="G766" t="n">
        <v>2.4</v>
      </c>
      <c r="H766" t="n">
        <v>0</v>
      </c>
      <c r="I766" t="n">
        <v>0</v>
      </c>
      <c r="J766" t="n">
        <v>0</v>
      </c>
      <c r="K766" t="n">
        <v>0</v>
      </c>
      <c r="L766" t="n">
        <v>0</v>
      </c>
      <c r="M766" t="n">
        <v>0</v>
      </c>
      <c r="N766" t="n">
        <v>0</v>
      </c>
      <c r="O766" t="n">
        <v>0</v>
      </c>
      <c r="P766" t="n">
        <v>0</v>
      </c>
      <c r="Q766" t="n">
        <v>0</v>
      </c>
      <c r="R766" s="2" t="inlineStr"/>
    </row>
    <row r="767" ht="15" customHeight="1">
      <c r="A767" t="inlineStr">
        <is>
          <t>A 1443-2024</t>
        </is>
      </c>
      <c r="B767" s="1" t="n">
        <v>45303</v>
      </c>
      <c r="C767" s="1" t="n">
        <v>46194</v>
      </c>
      <c r="D767" t="inlineStr">
        <is>
          <t>DALARNAS LÄN</t>
        </is>
      </c>
      <c r="E767" t="inlineStr">
        <is>
          <t>LEKSAND</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25581-2026</t>
        </is>
      </c>
      <c r="B768" s="1" t="n">
        <v>46177</v>
      </c>
      <c r="C768" s="1" t="n">
        <v>46194</v>
      </c>
      <c r="D768" t="inlineStr">
        <is>
          <t>DALARNAS LÄN</t>
        </is>
      </c>
      <c r="E768" t="inlineStr">
        <is>
          <t>LEKSAND</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20164-2026</t>
        </is>
      </c>
      <c r="B769" s="1" t="n">
        <v>46139</v>
      </c>
      <c r="C769" s="1" t="n">
        <v>46194</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23916-2026</t>
        </is>
      </c>
      <c r="B770" s="1" t="n">
        <v>46167</v>
      </c>
      <c r="C770" s="1" t="n">
        <v>46194</v>
      </c>
      <c r="D770" t="inlineStr">
        <is>
          <t>DALARNAS LÄN</t>
        </is>
      </c>
      <c r="E770" t="inlineStr">
        <is>
          <t>LEKSAND</t>
        </is>
      </c>
      <c r="F770" t="inlineStr">
        <is>
          <t>Bergvik skog väst AB</t>
        </is>
      </c>
      <c r="G770" t="n">
        <v>6.4</v>
      </c>
      <c r="H770" t="n">
        <v>0</v>
      </c>
      <c r="I770" t="n">
        <v>0</v>
      </c>
      <c r="J770" t="n">
        <v>0</v>
      </c>
      <c r="K770" t="n">
        <v>0</v>
      </c>
      <c r="L770" t="n">
        <v>0</v>
      </c>
      <c r="M770" t="n">
        <v>0</v>
      </c>
      <c r="N770" t="n">
        <v>0</v>
      </c>
      <c r="O770" t="n">
        <v>0</v>
      </c>
      <c r="P770" t="n">
        <v>0</v>
      </c>
      <c r="Q770" t="n">
        <v>0</v>
      </c>
      <c r="R770" s="2" t="inlineStr"/>
    </row>
    <row r="771">
      <c r="A771" t="inlineStr">
        <is>
          <t>A 43220-2024</t>
        </is>
      </c>
      <c r="B771" s="1" t="n">
        <v>45567</v>
      </c>
      <c r="C771" s="1" t="n">
        <v>46194</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2026-06-21T00:44:32Z</dcterms:created>
  <dcterms:modified xmlns:dcterms="http://purl.org/dc/terms/" xmlns:xsi="http://www.w3.org/2001/XMLSchema-instance" xsi:type="dcterms:W3CDTF">2026-06-21T00:44:33Z</dcterms:modified>
</cp:coreProperties>
</file>