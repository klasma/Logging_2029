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45511</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45511</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45511</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45511</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45511</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45511</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45511</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45511</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45511</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45511</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45511</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45511</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45511</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45511</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45511</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45511</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45511</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45511</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45511</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45511</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45511</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45511</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45511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45511</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45511</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45511</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45511</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45511</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45511</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45511</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45511</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45511</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45511</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45511</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45511</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45511</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45511</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45511</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45511</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45511</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45511</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45511</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45511</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45511</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31794-2024</t>
        </is>
      </c>
      <c r="B47" s="1" t="n">
        <v>45509</v>
      </c>
      <c r="C47" s="1" t="n">
        <v>45511</v>
      </c>
      <c r="D47" t="inlineStr">
        <is>
          <t>DALARNAS LÄN</t>
        </is>
      </c>
      <c r="E47" t="inlineStr">
        <is>
          <t>LEKSAND</t>
        </is>
      </c>
      <c r="F47" t="inlineStr">
        <is>
          <t>Bergvik skog väst AB</t>
        </is>
      </c>
      <c r="G47" t="n">
        <v>6.7</v>
      </c>
      <c r="H47" t="n">
        <v>1</v>
      </c>
      <c r="I47" t="n">
        <v>0</v>
      </c>
      <c r="J47" t="n">
        <v>0</v>
      </c>
      <c r="K47" t="n">
        <v>0</v>
      </c>
      <c r="L47" t="n">
        <v>0</v>
      </c>
      <c r="M47" t="n">
        <v>0</v>
      </c>
      <c r="N47" t="n">
        <v>0</v>
      </c>
      <c r="O47" t="n">
        <v>0</v>
      </c>
      <c r="P47" t="n">
        <v>0</v>
      </c>
      <c r="Q47" t="n">
        <v>1</v>
      </c>
      <c r="R47" s="2" t="inlineStr">
        <is>
          <t>Revlummer</t>
        </is>
      </c>
      <c r="S47">
        <f>HYPERLINK("https://klasma.github.io/Logging_2029/artfynd/A 31794-2024 artfynd.xlsx", "A 31794-2024")</f>
        <v/>
      </c>
      <c r="T47">
        <f>HYPERLINK("https://klasma.github.io/Logging_2029/kartor/A 31794-2024 karta.png", "A 31794-2024")</f>
        <v/>
      </c>
      <c r="V47">
        <f>HYPERLINK("https://klasma.github.io/Logging_2029/klagomål/A 31794-2024 FSC-klagomål.docx", "A 31794-2024")</f>
        <v/>
      </c>
      <c r="W47">
        <f>HYPERLINK("https://klasma.github.io/Logging_2029/klagomålsmail/A 31794-2024 FSC-klagomål mail.docx", "A 31794-2024")</f>
        <v/>
      </c>
      <c r="X47">
        <f>HYPERLINK("https://klasma.github.io/Logging_2029/tillsyn/A 31794-2024 tillsynsbegäran.docx", "A 31794-2024")</f>
        <v/>
      </c>
      <c r="Y47">
        <f>HYPERLINK("https://klasma.github.io/Logging_2029/tillsynsmail/A 31794-2024 tillsynsbegäran mail.docx", "A 31794-2024")</f>
        <v/>
      </c>
    </row>
    <row r="48" ht="15" customHeight="1">
      <c r="A48" t="inlineStr">
        <is>
          <t>A 17822-2019</t>
        </is>
      </c>
      <c r="B48" s="1" t="n">
        <v>43556</v>
      </c>
      <c r="C48" s="1" t="n">
        <v>45511</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17967-2019</t>
        </is>
      </c>
      <c r="B49" s="1" t="n">
        <v>43557</v>
      </c>
      <c r="C49" s="1" t="n">
        <v>45511</v>
      </c>
      <c r="D49" t="inlineStr">
        <is>
          <t>DALARNAS LÄN</t>
        </is>
      </c>
      <c r="E49" t="inlineStr">
        <is>
          <t>LEKSAND</t>
        </is>
      </c>
      <c r="G49" t="n">
        <v>0.6</v>
      </c>
      <c r="H49" t="n">
        <v>0</v>
      </c>
      <c r="I49" t="n">
        <v>0</v>
      </c>
      <c r="J49" t="n">
        <v>0</v>
      </c>
      <c r="K49" t="n">
        <v>0</v>
      </c>
      <c r="L49" t="n">
        <v>0</v>
      </c>
      <c r="M49" t="n">
        <v>0</v>
      </c>
      <c r="N49" t="n">
        <v>0</v>
      </c>
      <c r="O49" t="n">
        <v>0</v>
      </c>
      <c r="P49" t="n">
        <v>0</v>
      </c>
      <c r="Q49" t="n">
        <v>0</v>
      </c>
      <c r="R49" s="2" t="inlineStr"/>
    </row>
    <row r="50" ht="15" customHeight="1">
      <c r="A50" t="inlineStr">
        <is>
          <t>A 17970-2019</t>
        </is>
      </c>
      <c r="B50" s="1" t="n">
        <v>43557</v>
      </c>
      <c r="C50" s="1" t="n">
        <v>45511</v>
      </c>
      <c r="D50" t="inlineStr">
        <is>
          <t>DALARNAS LÄN</t>
        </is>
      </c>
      <c r="E50" t="inlineStr">
        <is>
          <t>LEKSAND</t>
        </is>
      </c>
      <c r="G50" t="n">
        <v>2.5</v>
      </c>
      <c r="H50" t="n">
        <v>0</v>
      </c>
      <c r="I50" t="n">
        <v>0</v>
      </c>
      <c r="J50" t="n">
        <v>0</v>
      </c>
      <c r="K50" t="n">
        <v>0</v>
      </c>
      <c r="L50" t="n">
        <v>0</v>
      </c>
      <c r="M50" t="n">
        <v>0</v>
      </c>
      <c r="N50" t="n">
        <v>0</v>
      </c>
      <c r="O50" t="n">
        <v>0</v>
      </c>
      <c r="P50" t="n">
        <v>0</v>
      </c>
      <c r="Q50" t="n">
        <v>0</v>
      </c>
      <c r="R50" s="2" t="inlineStr"/>
    </row>
    <row r="51" ht="15" customHeight="1">
      <c r="A51" t="inlineStr">
        <is>
          <t>A 18238-2019</t>
        </is>
      </c>
      <c r="B51" s="1" t="n">
        <v>43558</v>
      </c>
      <c r="C51" s="1" t="n">
        <v>45511</v>
      </c>
      <c r="D51" t="inlineStr">
        <is>
          <t>DALARNAS LÄN</t>
        </is>
      </c>
      <c r="E51" t="inlineStr">
        <is>
          <t>LEKSAND</t>
        </is>
      </c>
      <c r="G51" t="n">
        <v>3.3</v>
      </c>
      <c r="H51" t="n">
        <v>0</v>
      </c>
      <c r="I51" t="n">
        <v>0</v>
      </c>
      <c r="J51" t="n">
        <v>0</v>
      </c>
      <c r="K51" t="n">
        <v>0</v>
      </c>
      <c r="L51" t="n">
        <v>0</v>
      </c>
      <c r="M51" t="n">
        <v>0</v>
      </c>
      <c r="N51" t="n">
        <v>0</v>
      </c>
      <c r="O51" t="n">
        <v>0</v>
      </c>
      <c r="P51" t="n">
        <v>0</v>
      </c>
      <c r="Q51" t="n">
        <v>0</v>
      </c>
      <c r="R51" s="2" t="inlineStr"/>
    </row>
    <row r="52" ht="15" customHeight="1">
      <c r="A52" t="inlineStr">
        <is>
          <t>A 19703-2019</t>
        </is>
      </c>
      <c r="B52" s="1" t="n">
        <v>43566</v>
      </c>
      <c r="C52" s="1" t="n">
        <v>45511</v>
      </c>
      <c r="D52" t="inlineStr">
        <is>
          <t>DALARNAS LÄN</t>
        </is>
      </c>
      <c r="E52" t="inlineStr">
        <is>
          <t>LEKSAND</t>
        </is>
      </c>
      <c r="G52" t="n">
        <v>0.4</v>
      </c>
      <c r="H52" t="n">
        <v>0</v>
      </c>
      <c r="I52" t="n">
        <v>0</v>
      </c>
      <c r="J52" t="n">
        <v>0</v>
      </c>
      <c r="K52" t="n">
        <v>0</v>
      </c>
      <c r="L52" t="n">
        <v>0</v>
      </c>
      <c r="M52" t="n">
        <v>0</v>
      </c>
      <c r="N52" t="n">
        <v>0</v>
      </c>
      <c r="O52" t="n">
        <v>0</v>
      </c>
      <c r="P52" t="n">
        <v>0</v>
      </c>
      <c r="Q52" t="n">
        <v>0</v>
      </c>
      <c r="R52" s="2" t="inlineStr"/>
    </row>
    <row r="53" ht="15" customHeight="1">
      <c r="A53" t="inlineStr">
        <is>
          <t>A 19790-2019</t>
        </is>
      </c>
      <c r="B53" s="1" t="n">
        <v>43566</v>
      </c>
      <c r="C53" s="1" t="n">
        <v>45511</v>
      </c>
      <c r="D53" t="inlineStr">
        <is>
          <t>DALARNAS LÄN</t>
        </is>
      </c>
      <c r="E53" t="inlineStr">
        <is>
          <t>LEKSAND</t>
        </is>
      </c>
      <c r="G53" t="n">
        <v>11.4</v>
      </c>
      <c r="H53" t="n">
        <v>0</v>
      </c>
      <c r="I53" t="n">
        <v>0</v>
      </c>
      <c r="J53" t="n">
        <v>0</v>
      </c>
      <c r="K53" t="n">
        <v>0</v>
      </c>
      <c r="L53" t="n">
        <v>0</v>
      </c>
      <c r="M53" t="n">
        <v>0</v>
      </c>
      <c r="N53" t="n">
        <v>0</v>
      </c>
      <c r="O53" t="n">
        <v>0</v>
      </c>
      <c r="P53" t="n">
        <v>0</v>
      </c>
      <c r="Q53" t="n">
        <v>0</v>
      </c>
      <c r="R53" s="2" t="inlineStr"/>
    </row>
    <row r="54" ht="15" customHeight="1">
      <c r="A54" t="inlineStr">
        <is>
          <t>A 22975-2019</t>
        </is>
      </c>
      <c r="B54" s="1" t="n">
        <v>43591</v>
      </c>
      <c r="C54" s="1" t="n">
        <v>45511</v>
      </c>
      <c r="D54" t="inlineStr">
        <is>
          <t>DALARNAS LÄN</t>
        </is>
      </c>
      <c r="E54" t="inlineStr">
        <is>
          <t>LEKSAND</t>
        </is>
      </c>
      <c r="G54" t="n">
        <v>1.1</v>
      </c>
      <c r="H54" t="n">
        <v>0</v>
      </c>
      <c r="I54" t="n">
        <v>0</v>
      </c>
      <c r="J54" t="n">
        <v>0</v>
      </c>
      <c r="K54" t="n">
        <v>0</v>
      </c>
      <c r="L54" t="n">
        <v>0</v>
      </c>
      <c r="M54" t="n">
        <v>0</v>
      </c>
      <c r="N54" t="n">
        <v>0</v>
      </c>
      <c r="O54" t="n">
        <v>0</v>
      </c>
      <c r="P54" t="n">
        <v>0</v>
      </c>
      <c r="Q54" t="n">
        <v>0</v>
      </c>
      <c r="R54" s="2" t="inlineStr"/>
    </row>
    <row r="55" ht="15" customHeight="1">
      <c r="A55" t="inlineStr">
        <is>
          <t>A 24300-2019</t>
        </is>
      </c>
      <c r="B55" s="1" t="n">
        <v>43598</v>
      </c>
      <c r="C55" s="1" t="n">
        <v>45511</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24051-2019</t>
        </is>
      </c>
      <c r="B56" s="1" t="n">
        <v>43598</v>
      </c>
      <c r="C56" s="1" t="n">
        <v>45511</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24542-2019</t>
        </is>
      </c>
      <c r="B57" s="1" t="n">
        <v>43600</v>
      </c>
      <c r="C57" s="1" t="n">
        <v>45511</v>
      </c>
      <c r="D57" t="inlineStr">
        <is>
          <t>DALARNAS LÄN</t>
        </is>
      </c>
      <c r="E57" t="inlineStr">
        <is>
          <t>LEKSAND</t>
        </is>
      </c>
      <c r="G57" t="n">
        <v>1.1</v>
      </c>
      <c r="H57" t="n">
        <v>0</v>
      </c>
      <c r="I57" t="n">
        <v>0</v>
      </c>
      <c r="J57" t="n">
        <v>0</v>
      </c>
      <c r="K57" t="n">
        <v>0</v>
      </c>
      <c r="L57" t="n">
        <v>0</v>
      </c>
      <c r="M57" t="n">
        <v>0</v>
      </c>
      <c r="N57" t="n">
        <v>0</v>
      </c>
      <c r="O57" t="n">
        <v>0</v>
      </c>
      <c r="P57" t="n">
        <v>0</v>
      </c>
      <c r="Q57" t="n">
        <v>0</v>
      </c>
      <c r="R57" s="2" t="inlineStr"/>
    </row>
    <row r="58" ht="15" customHeight="1">
      <c r="A58" t="inlineStr">
        <is>
          <t>A 32532-2019</t>
        </is>
      </c>
      <c r="B58" s="1" t="n">
        <v>43646</v>
      </c>
      <c r="C58" s="1" t="n">
        <v>45511</v>
      </c>
      <c r="D58" t="inlineStr">
        <is>
          <t>DALARNAS LÄN</t>
        </is>
      </c>
      <c r="E58" t="inlineStr">
        <is>
          <t>LEKSAND</t>
        </is>
      </c>
      <c r="G58" t="n">
        <v>3.1</v>
      </c>
      <c r="H58" t="n">
        <v>0</v>
      </c>
      <c r="I58" t="n">
        <v>0</v>
      </c>
      <c r="J58" t="n">
        <v>0</v>
      </c>
      <c r="K58" t="n">
        <v>0</v>
      </c>
      <c r="L58" t="n">
        <v>0</v>
      </c>
      <c r="M58" t="n">
        <v>0</v>
      </c>
      <c r="N58" t="n">
        <v>0</v>
      </c>
      <c r="O58" t="n">
        <v>0</v>
      </c>
      <c r="P58" t="n">
        <v>0</v>
      </c>
      <c r="Q58" t="n">
        <v>0</v>
      </c>
      <c r="R58" s="2" t="inlineStr"/>
    </row>
    <row r="59" ht="15" customHeight="1">
      <c r="A59" t="inlineStr">
        <is>
          <t>A 33903-2019</t>
        </is>
      </c>
      <c r="B59" s="1" t="n">
        <v>43654</v>
      </c>
      <c r="C59" s="1" t="n">
        <v>45511</v>
      </c>
      <c r="D59" t="inlineStr">
        <is>
          <t>DALARNAS LÄN</t>
        </is>
      </c>
      <c r="E59" t="inlineStr">
        <is>
          <t>LEKSAND</t>
        </is>
      </c>
      <c r="G59" t="n">
        <v>1.7</v>
      </c>
      <c r="H59" t="n">
        <v>0</v>
      </c>
      <c r="I59" t="n">
        <v>0</v>
      </c>
      <c r="J59" t="n">
        <v>0</v>
      </c>
      <c r="K59" t="n">
        <v>0</v>
      </c>
      <c r="L59" t="n">
        <v>0</v>
      </c>
      <c r="M59" t="n">
        <v>0</v>
      </c>
      <c r="N59" t="n">
        <v>0</v>
      </c>
      <c r="O59" t="n">
        <v>0</v>
      </c>
      <c r="P59" t="n">
        <v>0</v>
      </c>
      <c r="Q59" t="n">
        <v>0</v>
      </c>
      <c r="R59" s="2" t="inlineStr"/>
    </row>
    <row r="60" ht="15" customHeight="1">
      <c r="A60" t="inlineStr">
        <is>
          <t>A 36014-2019</t>
        </is>
      </c>
      <c r="B60" s="1" t="n">
        <v>43657</v>
      </c>
      <c r="C60" s="1" t="n">
        <v>45511</v>
      </c>
      <c r="D60" t="inlineStr">
        <is>
          <t>DALARNAS LÄN</t>
        </is>
      </c>
      <c r="E60" t="inlineStr">
        <is>
          <t>LEKSAND</t>
        </is>
      </c>
      <c r="G60" t="n">
        <v>1.8</v>
      </c>
      <c r="H60" t="n">
        <v>0</v>
      </c>
      <c r="I60" t="n">
        <v>0</v>
      </c>
      <c r="J60" t="n">
        <v>0</v>
      </c>
      <c r="K60" t="n">
        <v>0</v>
      </c>
      <c r="L60" t="n">
        <v>0</v>
      </c>
      <c r="M60" t="n">
        <v>0</v>
      </c>
      <c r="N60" t="n">
        <v>0</v>
      </c>
      <c r="O60" t="n">
        <v>0</v>
      </c>
      <c r="P60" t="n">
        <v>0</v>
      </c>
      <c r="Q60" t="n">
        <v>0</v>
      </c>
      <c r="R60" s="2" t="inlineStr"/>
    </row>
    <row r="61" ht="15" customHeight="1">
      <c r="A61" t="inlineStr">
        <is>
          <t>A 36023-2019</t>
        </is>
      </c>
      <c r="B61" s="1" t="n">
        <v>43657</v>
      </c>
      <c r="C61" s="1" t="n">
        <v>45511</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36287-2019</t>
        </is>
      </c>
      <c r="B62" s="1" t="n">
        <v>43669</v>
      </c>
      <c r="C62" s="1" t="n">
        <v>45511</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37733-2019</t>
        </is>
      </c>
      <c r="B63" s="1" t="n">
        <v>43682</v>
      </c>
      <c r="C63" s="1" t="n">
        <v>45511</v>
      </c>
      <c r="D63" t="inlineStr">
        <is>
          <t>DALARNAS LÄN</t>
        </is>
      </c>
      <c r="E63" t="inlineStr">
        <is>
          <t>LEKSAND</t>
        </is>
      </c>
      <c r="G63" t="n">
        <v>1.4</v>
      </c>
      <c r="H63" t="n">
        <v>0</v>
      </c>
      <c r="I63" t="n">
        <v>0</v>
      </c>
      <c r="J63" t="n">
        <v>0</v>
      </c>
      <c r="K63" t="n">
        <v>0</v>
      </c>
      <c r="L63" t="n">
        <v>0</v>
      </c>
      <c r="M63" t="n">
        <v>0</v>
      </c>
      <c r="N63" t="n">
        <v>0</v>
      </c>
      <c r="O63" t="n">
        <v>0</v>
      </c>
      <c r="P63" t="n">
        <v>0</v>
      </c>
      <c r="Q63" t="n">
        <v>0</v>
      </c>
      <c r="R63" s="2" t="inlineStr"/>
    </row>
    <row r="64" ht="15" customHeight="1">
      <c r="A64" t="inlineStr">
        <is>
          <t>A 37822-2019</t>
        </is>
      </c>
      <c r="B64" s="1" t="n">
        <v>43682</v>
      </c>
      <c r="C64" s="1" t="n">
        <v>45511</v>
      </c>
      <c r="D64" t="inlineStr">
        <is>
          <t>DALARNAS LÄN</t>
        </is>
      </c>
      <c r="E64" t="inlineStr">
        <is>
          <t>LEKSAND</t>
        </is>
      </c>
      <c r="G64" t="n">
        <v>8.9</v>
      </c>
      <c r="H64" t="n">
        <v>0</v>
      </c>
      <c r="I64" t="n">
        <v>0</v>
      </c>
      <c r="J64" t="n">
        <v>0</v>
      </c>
      <c r="K64" t="n">
        <v>0</v>
      </c>
      <c r="L64" t="n">
        <v>0</v>
      </c>
      <c r="M64" t="n">
        <v>0</v>
      </c>
      <c r="N64" t="n">
        <v>0</v>
      </c>
      <c r="O64" t="n">
        <v>0</v>
      </c>
      <c r="P64" t="n">
        <v>0</v>
      </c>
      <c r="Q64" t="n">
        <v>0</v>
      </c>
      <c r="R64" s="2" t="inlineStr"/>
    </row>
    <row r="65" ht="15" customHeight="1">
      <c r="A65" t="inlineStr">
        <is>
          <t>A 38350-2019</t>
        </is>
      </c>
      <c r="B65" s="1" t="n">
        <v>43685</v>
      </c>
      <c r="C65" s="1" t="n">
        <v>45511</v>
      </c>
      <c r="D65" t="inlineStr">
        <is>
          <t>DALARNAS LÄN</t>
        </is>
      </c>
      <c r="E65" t="inlineStr">
        <is>
          <t>LEKSAND</t>
        </is>
      </c>
      <c r="G65" t="n">
        <v>0.5</v>
      </c>
      <c r="H65" t="n">
        <v>0</v>
      </c>
      <c r="I65" t="n">
        <v>0</v>
      </c>
      <c r="J65" t="n">
        <v>0</v>
      </c>
      <c r="K65" t="n">
        <v>0</v>
      </c>
      <c r="L65" t="n">
        <v>0</v>
      </c>
      <c r="M65" t="n">
        <v>0</v>
      </c>
      <c r="N65" t="n">
        <v>0</v>
      </c>
      <c r="O65" t="n">
        <v>0</v>
      </c>
      <c r="P65" t="n">
        <v>0</v>
      </c>
      <c r="Q65" t="n">
        <v>0</v>
      </c>
      <c r="R65" s="2" t="inlineStr"/>
    </row>
    <row r="66" ht="15" customHeight="1">
      <c r="A66" t="inlineStr">
        <is>
          <t>A 39025-2019</t>
        </is>
      </c>
      <c r="B66" s="1" t="n">
        <v>43689</v>
      </c>
      <c r="C66" s="1" t="n">
        <v>45511</v>
      </c>
      <c r="D66" t="inlineStr">
        <is>
          <t>DALARNAS LÄN</t>
        </is>
      </c>
      <c r="E66" t="inlineStr">
        <is>
          <t>LEKSAND</t>
        </is>
      </c>
      <c r="F66" t="inlineStr">
        <is>
          <t>Bergvik skog väst AB</t>
        </is>
      </c>
      <c r="G66" t="n">
        <v>10.1</v>
      </c>
      <c r="H66" t="n">
        <v>0</v>
      </c>
      <c r="I66" t="n">
        <v>0</v>
      </c>
      <c r="J66" t="n">
        <v>0</v>
      </c>
      <c r="K66" t="n">
        <v>0</v>
      </c>
      <c r="L66" t="n">
        <v>0</v>
      </c>
      <c r="M66" t="n">
        <v>0</v>
      </c>
      <c r="N66" t="n">
        <v>0</v>
      </c>
      <c r="O66" t="n">
        <v>0</v>
      </c>
      <c r="P66" t="n">
        <v>0</v>
      </c>
      <c r="Q66" t="n">
        <v>0</v>
      </c>
      <c r="R66" s="2" t="inlineStr"/>
    </row>
    <row r="67" ht="15" customHeight="1">
      <c r="A67" t="inlineStr">
        <is>
          <t>A 41329-2019</t>
        </is>
      </c>
      <c r="B67" s="1" t="n">
        <v>43698</v>
      </c>
      <c r="C67" s="1" t="n">
        <v>45511</v>
      </c>
      <c r="D67" t="inlineStr">
        <is>
          <t>DALARNAS LÄN</t>
        </is>
      </c>
      <c r="E67" t="inlineStr">
        <is>
          <t>LEKSAND</t>
        </is>
      </c>
      <c r="G67" t="n">
        <v>2</v>
      </c>
      <c r="H67" t="n">
        <v>0</v>
      </c>
      <c r="I67" t="n">
        <v>0</v>
      </c>
      <c r="J67" t="n">
        <v>0</v>
      </c>
      <c r="K67" t="n">
        <v>0</v>
      </c>
      <c r="L67" t="n">
        <v>0</v>
      </c>
      <c r="M67" t="n">
        <v>0</v>
      </c>
      <c r="N67" t="n">
        <v>0</v>
      </c>
      <c r="O67" t="n">
        <v>0</v>
      </c>
      <c r="P67" t="n">
        <v>0</v>
      </c>
      <c r="Q67" t="n">
        <v>0</v>
      </c>
      <c r="R67" s="2" t="inlineStr"/>
    </row>
    <row r="68" ht="15" customHeight="1">
      <c r="A68" t="inlineStr">
        <is>
          <t>A 43082-2019</t>
        </is>
      </c>
      <c r="B68" s="1" t="n">
        <v>43705</v>
      </c>
      <c r="C68" s="1" t="n">
        <v>45511</v>
      </c>
      <c r="D68" t="inlineStr">
        <is>
          <t>DALARNAS LÄN</t>
        </is>
      </c>
      <c r="E68" t="inlineStr">
        <is>
          <t>LEKSAND</t>
        </is>
      </c>
      <c r="F68" t="inlineStr">
        <is>
          <t>Bergvik skog väst AB</t>
        </is>
      </c>
      <c r="G68" t="n">
        <v>2.4</v>
      </c>
      <c r="H68" t="n">
        <v>0</v>
      </c>
      <c r="I68" t="n">
        <v>0</v>
      </c>
      <c r="J68" t="n">
        <v>0</v>
      </c>
      <c r="K68" t="n">
        <v>0</v>
      </c>
      <c r="L68" t="n">
        <v>0</v>
      </c>
      <c r="M68" t="n">
        <v>0</v>
      </c>
      <c r="N68" t="n">
        <v>0</v>
      </c>
      <c r="O68" t="n">
        <v>0</v>
      </c>
      <c r="P68" t="n">
        <v>0</v>
      </c>
      <c r="Q68" t="n">
        <v>0</v>
      </c>
      <c r="R68" s="2" t="inlineStr"/>
    </row>
    <row r="69" ht="15" customHeight="1">
      <c r="A69" t="inlineStr">
        <is>
          <t>A 43887-2019</t>
        </is>
      </c>
      <c r="B69" s="1" t="n">
        <v>43707</v>
      </c>
      <c r="C69" s="1" t="n">
        <v>45511</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43884-2019</t>
        </is>
      </c>
      <c r="B70" s="1" t="n">
        <v>43707</v>
      </c>
      <c r="C70" s="1" t="n">
        <v>45511</v>
      </c>
      <c r="D70" t="inlineStr">
        <is>
          <t>DALARNAS LÄN</t>
        </is>
      </c>
      <c r="E70" t="inlineStr">
        <is>
          <t>LEKSAND</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44058-2019</t>
        </is>
      </c>
      <c r="B71" s="1" t="n">
        <v>43710</v>
      </c>
      <c r="C71" s="1" t="n">
        <v>45511</v>
      </c>
      <c r="D71" t="inlineStr">
        <is>
          <t>DALARNAS LÄN</t>
        </is>
      </c>
      <c r="E71" t="inlineStr">
        <is>
          <t>LEKSAND</t>
        </is>
      </c>
      <c r="F71" t="inlineStr">
        <is>
          <t>Kyrkan</t>
        </is>
      </c>
      <c r="G71" t="n">
        <v>1.3</v>
      </c>
      <c r="H71" t="n">
        <v>0</v>
      </c>
      <c r="I71" t="n">
        <v>0</v>
      </c>
      <c r="J71" t="n">
        <v>0</v>
      </c>
      <c r="K71" t="n">
        <v>0</v>
      </c>
      <c r="L71" t="n">
        <v>0</v>
      </c>
      <c r="M71" t="n">
        <v>0</v>
      </c>
      <c r="N71" t="n">
        <v>0</v>
      </c>
      <c r="O71" t="n">
        <v>0</v>
      </c>
      <c r="P71" t="n">
        <v>0</v>
      </c>
      <c r="Q71" t="n">
        <v>0</v>
      </c>
      <c r="R71" s="2" t="inlineStr"/>
    </row>
    <row r="72" ht="15" customHeight="1">
      <c r="A72" t="inlineStr">
        <is>
          <t>A 45526-2019</t>
        </is>
      </c>
      <c r="B72" s="1" t="n">
        <v>43714</v>
      </c>
      <c r="C72" s="1" t="n">
        <v>45511</v>
      </c>
      <c r="D72" t="inlineStr">
        <is>
          <t>DALARNAS LÄN</t>
        </is>
      </c>
      <c r="E72" t="inlineStr">
        <is>
          <t>LEKSAND</t>
        </is>
      </c>
      <c r="F72" t="inlineStr">
        <is>
          <t>Bergvik skog väst AB</t>
        </is>
      </c>
      <c r="G72" t="n">
        <v>5.9</v>
      </c>
      <c r="H72" t="n">
        <v>0</v>
      </c>
      <c r="I72" t="n">
        <v>0</v>
      </c>
      <c r="J72" t="n">
        <v>0</v>
      </c>
      <c r="K72" t="n">
        <v>0</v>
      </c>
      <c r="L72" t="n">
        <v>0</v>
      </c>
      <c r="M72" t="n">
        <v>0</v>
      </c>
      <c r="N72" t="n">
        <v>0</v>
      </c>
      <c r="O72" t="n">
        <v>0</v>
      </c>
      <c r="P72" t="n">
        <v>0</v>
      </c>
      <c r="Q72" t="n">
        <v>0</v>
      </c>
      <c r="R72" s="2" t="inlineStr"/>
    </row>
    <row r="73" ht="15" customHeight="1">
      <c r="A73" t="inlineStr">
        <is>
          <t>A 45572-2019</t>
        </is>
      </c>
      <c r="B73" s="1" t="n">
        <v>43716</v>
      </c>
      <c r="C73" s="1" t="n">
        <v>45511</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46739-2019</t>
        </is>
      </c>
      <c r="B74" s="1" t="n">
        <v>43719</v>
      </c>
      <c r="C74" s="1" t="n">
        <v>45511</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46740-2019</t>
        </is>
      </c>
      <c r="B75" s="1" t="n">
        <v>43719</v>
      </c>
      <c r="C75" s="1" t="n">
        <v>45511</v>
      </c>
      <c r="D75" t="inlineStr">
        <is>
          <t>DALARNAS LÄN</t>
        </is>
      </c>
      <c r="E75" t="inlineStr">
        <is>
          <t>LEKSAND</t>
        </is>
      </c>
      <c r="G75" t="n">
        <v>0.3</v>
      </c>
      <c r="H75" t="n">
        <v>0</v>
      </c>
      <c r="I75" t="n">
        <v>0</v>
      </c>
      <c r="J75" t="n">
        <v>0</v>
      </c>
      <c r="K75" t="n">
        <v>0</v>
      </c>
      <c r="L75" t="n">
        <v>0</v>
      </c>
      <c r="M75" t="n">
        <v>0</v>
      </c>
      <c r="N75" t="n">
        <v>0</v>
      </c>
      <c r="O75" t="n">
        <v>0</v>
      </c>
      <c r="P75" t="n">
        <v>0</v>
      </c>
      <c r="Q75" t="n">
        <v>0</v>
      </c>
      <c r="R75" s="2" t="inlineStr"/>
    </row>
    <row r="76" ht="15" customHeight="1">
      <c r="A76" t="inlineStr">
        <is>
          <t>A 47532-2019</t>
        </is>
      </c>
      <c r="B76" s="1" t="n">
        <v>43724</v>
      </c>
      <c r="C76" s="1" t="n">
        <v>45511</v>
      </c>
      <c r="D76" t="inlineStr">
        <is>
          <t>DALARNAS LÄN</t>
        </is>
      </c>
      <c r="E76" t="inlineStr">
        <is>
          <t>LEKSAND</t>
        </is>
      </c>
      <c r="G76" t="n">
        <v>2.3</v>
      </c>
      <c r="H76" t="n">
        <v>0</v>
      </c>
      <c r="I76" t="n">
        <v>0</v>
      </c>
      <c r="J76" t="n">
        <v>0</v>
      </c>
      <c r="K76" t="n">
        <v>0</v>
      </c>
      <c r="L76" t="n">
        <v>0</v>
      </c>
      <c r="M76" t="n">
        <v>0</v>
      </c>
      <c r="N76" t="n">
        <v>0</v>
      </c>
      <c r="O76" t="n">
        <v>0</v>
      </c>
      <c r="P76" t="n">
        <v>0</v>
      </c>
      <c r="Q76" t="n">
        <v>0</v>
      </c>
      <c r="R76" s="2" t="inlineStr"/>
    </row>
    <row r="77" ht="15" customHeight="1">
      <c r="A77" t="inlineStr">
        <is>
          <t>A 49132-2019</t>
        </is>
      </c>
      <c r="B77" s="1" t="n">
        <v>43728</v>
      </c>
      <c r="C77" s="1" t="n">
        <v>45511</v>
      </c>
      <c r="D77" t="inlineStr">
        <is>
          <t>DALARNAS LÄN</t>
        </is>
      </c>
      <c r="E77" t="inlineStr">
        <is>
          <t>LEKSAND</t>
        </is>
      </c>
      <c r="G77" t="n">
        <v>1.9</v>
      </c>
      <c r="H77" t="n">
        <v>0</v>
      </c>
      <c r="I77" t="n">
        <v>0</v>
      </c>
      <c r="J77" t="n">
        <v>0</v>
      </c>
      <c r="K77" t="n">
        <v>0</v>
      </c>
      <c r="L77" t="n">
        <v>0</v>
      </c>
      <c r="M77" t="n">
        <v>0</v>
      </c>
      <c r="N77" t="n">
        <v>0</v>
      </c>
      <c r="O77" t="n">
        <v>0</v>
      </c>
      <c r="P77" t="n">
        <v>0</v>
      </c>
      <c r="Q77" t="n">
        <v>0</v>
      </c>
      <c r="R77" s="2" t="inlineStr"/>
    </row>
    <row r="78" ht="15" customHeight="1">
      <c r="A78" t="inlineStr">
        <is>
          <t>A 51390-2019</t>
        </is>
      </c>
      <c r="B78" s="1" t="n">
        <v>43733</v>
      </c>
      <c r="C78" s="1" t="n">
        <v>45511</v>
      </c>
      <c r="D78" t="inlineStr">
        <is>
          <t>DALARNAS LÄN</t>
        </is>
      </c>
      <c r="E78" t="inlineStr">
        <is>
          <t>LEKSAND</t>
        </is>
      </c>
      <c r="G78" t="n">
        <v>4.7</v>
      </c>
      <c r="H78" t="n">
        <v>0</v>
      </c>
      <c r="I78" t="n">
        <v>0</v>
      </c>
      <c r="J78" t="n">
        <v>0</v>
      </c>
      <c r="K78" t="n">
        <v>0</v>
      </c>
      <c r="L78" t="n">
        <v>0</v>
      </c>
      <c r="M78" t="n">
        <v>0</v>
      </c>
      <c r="N78" t="n">
        <v>0</v>
      </c>
      <c r="O78" t="n">
        <v>0</v>
      </c>
      <c r="P78" t="n">
        <v>0</v>
      </c>
      <c r="Q78" t="n">
        <v>0</v>
      </c>
      <c r="R78" s="2" t="inlineStr"/>
    </row>
    <row r="79" ht="15" customHeight="1">
      <c r="A79" t="inlineStr">
        <is>
          <t>A 50532-2019</t>
        </is>
      </c>
      <c r="B79" s="1" t="n">
        <v>43735</v>
      </c>
      <c r="C79" s="1" t="n">
        <v>45511</v>
      </c>
      <c r="D79" t="inlineStr">
        <is>
          <t>DALARNAS LÄN</t>
        </is>
      </c>
      <c r="E79" t="inlineStr">
        <is>
          <t>LEKSAND</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52130-2019</t>
        </is>
      </c>
      <c r="B80" s="1" t="n">
        <v>43735</v>
      </c>
      <c r="C80" s="1" t="n">
        <v>45511</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52827-2019</t>
        </is>
      </c>
      <c r="B81" s="1" t="n">
        <v>43746</v>
      </c>
      <c r="C81" s="1" t="n">
        <v>45511</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52957-2019</t>
        </is>
      </c>
      <c r="B82" s="1" t="n">
        <v>43747</v>
      </c>
      <c r="C82" s="1" t="n">
        <v>45511</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53553-2019</t>
        </is>
      </c>
      <c r="B83" s="1" t="n">
        <v>43749</v>
      </c>
      <c r="C83" s="1" t="n">
        <v>45511</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56844-2019</t>
        </is>
      </c>
      <c r="B84" s="1" t="n">
        <v>43765</v>
      </c>
      <c r="C84" s="1" t="n">
        <v>45511</v>
      </c>
      <c r="D84" t="inlineStr">
        <is>
          <t>DALARNAS LÄN</t>
        </is>
      </c>
      <c r="E84" t="inlineStr">
        <is>
          <t>LEKSAND</t>
        </is>
      </c>
      <c r="G84" t="n">
        <v>0.7</v>
      </c>
      <c r="H84" t="n">
        <v>0</v>
      </c>
      <c r="I84" t="n">
        <v>0</v>
      </c>
      <c r="J84" t="n">
        <v>0</v>
      </c>
      <c r="K84" t="n">
        <v>0</v>
      </c>
      <c r="L84" t="n">
        <v>0</v>
      </c>
      <c r="M84" t="n">
        <v>0</v>
      </c>
      <c r="N84" t="n">
        <v>0</v>
      </c>
      <c r="O84" t="n">
        <v>0</v>
      </c>
      <c r="P84" t="n">
        <v>0</v>
      </c>
      <c r="Q84" t="n">
        <v>0</v>
      </c>
      <c r="R84" s="2" t="inlineStr"/>
    </row>
    <row r="85" ht="15" customHeight="1">
      <c r="A85" t="inlineStr">
        <is>
          <t>A 57221-2019</t>
        </is>
      </c>
      <c r="B85" s="1" t="n">
        <v>43767</v>
      </c>
      <c r="C85" s="1" t="n">
        <v>45511</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58237-2019</t>
        </is>
      </c>
      <c r="B86" s="1" t="n">
        <v>43770</v>
      </c>
      <c r="C86" s="1" t="n">
        <v>45511</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59714-2019</t>
        </is>
      </c>
      <c r="B87" s="1" t="n">
        <v>43776</v>
      </c>
      <c r="C87" s="1" t="n">
        <v>45511</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59721-2019</t>
        </is>
      </c>
      <c r="B88" s="1" t="n">
        <v>43776</v>
      </c>
      <c r="C88" s="1" t="n">
        <v>45511</v>
      </c>
      <c r="D88" t="inlineStr">
        <is>
          <t>DALARNAS LÄN</t>
        </is>
      </c>
      <c r="E88" t="inlineStr">
        <is>
          <t>LEKSAND</t>
        </is>
      </c>
      <c r="F88" t="inlineStr">
        <is>
          <t>Bergvik skog väst AB</t>
        </is>
      </c>
      <c r="G88" t="n">
        <v>4.8</v>
      </c>
      <c r="H88" t="n">
        <v>0</v>
      </c>
      <c r="I88" t="n">
        <v>0</v>
      </c>
      <c r="J88" t="n">
        <v>0</v>
      </c>
      <c r="K88" t="n">
        <v>0</v>
      </c>
      <c r="L88" t="n">
        <v>0</v>
      </c>
      <c r="M88" t="n">
        <v>0</v>
      </c>
      <c r="N88" t="n">
        <v>0</v>
      </c>
      <c r="O88" t="n">
        <v>0</v>
      </c>
      <c r="P88" t="n">
        <v>0</v>
      </c>
      <c r="Q88" t="n">
        <v>0</v>
      </c>
      <c r="R88" s="2" t="inlineStr"/>
    </row>
    <row r="89" ht="15" customHeight="1">
      <c r="A89" t="inlineStr">
        <is>
          <t>A 60809-2019</t>
        </is>
      </c>
      <c r="B89" s="1" t="n">
        <v>43780</v>
      </c>
      <c r="C89" s="1" t="n">
        <v>45511</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61111-2019</t>
        </is>
      </c>
      <c r="B90" s="1" t="n">
        <v>43782</v>
      </c>
      <c r="C90" s="1" t="n">
        <v>45511</v>
      </c>
      <c r="D90" t="inlineStr">
        <is>
          <t>DALARNAS LÄN</t>
        </is>
      </c>
      <c r="E90" t="inlineStr">
        <is>
          <t>LEKSAND</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61113-2019</t>
        </is>
      </c>
      <c r="B91" s="1" t="n">
        <v>43782</v>
      </c>
      <c r="C91" s="1" t="n">
        <v>45511</v>
      </c>
      <c r="D91" t="inlineStr">
        <is>
          <t>DALARNAS LÄN</t>
        </is>
      </c>
      <c r="E91" t="inlineStr">
        <is>
          <t>LEKSAND</t>
        </is>
      </c>
      <c r="F91" t="inlineStr">
        <is>
          <t>Bergvik skog väst AB</t>
        </is>
      </c>
      <c r="G91" t="n">
        <v>0.2</v>
      </c>
      <c r="H91" t="n">
        <v>0</v>
      </c>
      <c r="I91" t="n">
        <v>0</v>
      </c>
      <c r="J91" t="n">
        <v>0</v>
      </c>
      <c r="K91" t="n">
        <v>0</v>
      </c>
      <c r="L91" t="n">
        <v>0</v>
      </c>
      <c r="M91" t="n">
        <v>0</v>
      </c>
      <c r="N91" t="n">
        <v>0</v>
      </c>
      <c r="O91" t="n">
        <v>0</v>
      </c>
      <c r="P91" t="n">
        <v>0</v>
      </c>
      <c r="Q91" t="n">
        <v>0</v>
      </c>
      <c r="R91" s="2" t="inlineStr"/>
    </row>
    <row r="92" ht="15" customHeight="1">
      <c r="A92" t="inlineStr">
        <is>
          <t>A 64635-2019</t>
        </is>
      </c>
      <c r="B92" s="1" t="n">
        <v>43794</v>
      </c>
      <c r="C92" s="1" t="n">
        <v>45511</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66288-2019</t>
        </is>
      </c>
      <c r="B93" s="1" t="n">
        <v>43808</v>
      </c>
      <c r="C93" s="1" t="n">
        <v>45511</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66822-2019</t>
        </is>
      </c>
      <c r="B94" s="1" t="n">
        <v>43810</v>
      </c>
      <c r="C94" s="1" t="n">
        <v>45511</v>
      </c>
      <c r="D94" t="inlineStr">
        <is>
          <t>DALARNAS LÄN</t>
        </is>
      </c>
      <c r="E94" t="inlineStr">
        <is>
          <t>LEKSAND</t>
        </is>
      </c>
      <c r="G94" t="n">
        <v>5.2</v>
      </c>
      <c r="H94" t="n">
        <v>0</v>
      </c>
      <c r="I94" t="n">
        <v>0</v>
      </c>
      <c r="J94" t="n">
        <v>0</v>
      </c>
      <c r="K94" t="n">
        <v>0</v>
      </c>
      <c r="L94" t="n">
        <v>0</v>
      </c>
      <c r="M94" t="n">
        <v>0</v>
      </c>
      <c r="N94" t="n">
        <v>0</v>
      </c>
      <c r="O94" t="n">
        <v>0</v>
      </c>
      <c r="P94" t="n">
        <v>0</v>
      </c>
      <c r="Q94" t="n">
        <v>0</v>
      </c>
      <c r="R94" s="2" t="inlineStr"/>
    </row>
    <row r="95" ht="15" customHeight="1">
      <c r="A95" t="inlineStr">
        <is>
          <t>A 67123-2019</t>
        </is>
      </c>
      <c r="B95" s="1" t="n">
        <v>43811</v>
      </c>
      <c r="C95" s="1" t="n">
        <v>45511</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68808-2019</t>
        </is>
      </c>
      <c r="B96" s="1" t="n">
        <v>43815</v>
      </c>
      <c r="C96" s="1" t="n">
        <v>45511</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1604-2020</t>
        </is>
      </c>
      <c r="B97" s="1" t="n">
        <v>43829</v>
      </c>
      <c r="C97" s="1" t="n">
        <v>45511</v>
      </c>
      <c r="D97" t="inlineStr">
        <is>
          <t>DALARNAS LÄN</t>
        </is>
      </c>
      <c r="E97" t="inlineStr">
        <is>
          <t>LEKSAND</t>
        </is>
      </c>
      <c r="G97" t="n">
        <v>1.3</v>
      </c>
      <c r="H97" t="n">
        <v>0</v>
      </c>
      <c r="I97" t="n">
        <v>0</v>
      </c>
      <c r="J97" t="n">
        <v>0</v>
      </c>
      <c r="K97" t="n">
        <v>0</v>
      </c>
      <c r="L97" t="n">
        <v>0</v>
      </c>
      <c r="M97" t="n">
        <v>0</v>
      </c>
      <c r="N97" t="n">
        <v>0</v>
      </c>
      <c r="O97" t="n">
        <v>0</v>
      </c>
      <c r="P97" t="n">
        <v>0</v>
      </c>
      <c r="Q97" t="n">
        <v>0</v>
      </c>
      <c r="R97" s="2" t="inlineStr"/>
    </row>
    <row r="98" ht="15" customHeight="1">
      <c r="A98" t="inlineStr">
        <is>
          <t>A 1915-2020</t>
        </is>
      </c>
      <c r="B98" s="1" t="n">
        <v>43837</v>
      </c>
      <c r="C98" s="1" t="n">
        <v>45511</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1778-2020</t>
        </is>
      </c>
      <c r="B99" s="1" t="n">
        <v>43844</v>
      </c>
      <c r="C99" s="1" t="n">
        <v>45511</v>
      </c>
      <c r="D99" t="inlineStr">
        <is>
          <t>DALARNAS LÄN</t>
        </is>
      </c>
      <c r="E99" t="inlineStr">
        <is>
          <t>LEKSAND</t>
        </is>
      </c>
      <c r="G99" t="n">
        <v>1.3</v>
      </c>
      <c r="H99" t="n">
        <v>0</v>
      </c>
      <c r="I99" t="n">
        <v>0</v>
      </c>
      <c r="J99" t="n">
        <v>0</v>
      </c>
      <c r="K99" t="n">
        <v>0</v>
      </c>
      <c r="L99" t="n">
        <v>0</v>
      </c>
      <c r="M99" t="n">
        <v>0</v>
      </c>
      <c r="N99" t="n">
        <v>0</v>
      </c>
      <c r="O99" t="n">
        <v>0</v>
      </c>
      <c r="P99" t="n">
        <v>0</v>
      </c>
      <c r="Q99" t="n">
        <v>0</v>
      </c>
      <c r="R99" s="2" t="inlineStr"/>
    </row>
    <row r="100" ht="15" customHeight="1">
      <c r="A100" t="inlineStr">
        <is>
          <t>A 2670-2020</t>
        </is>
      </c>
      <c r="B100" s="1" t="n">
        <v>43849</v>
      </c>
      <c r="C100" s="1" t="n">
        <v>45511</v>
      </c>
      <c r="D100" t="inlineStr">
        <is>
          <t>DALARNAS LÄN</t>
        </is>
      </c>
      <c r="E100" t="inlineStr">
        <is>
          <t>LEKSAND</t>
        </is>
      </c>
      <c r="G100" t="n">
        <v>2.4</v>
      </c>
      <c r="H100" t="n">
        <v>0</v>
      </c>
      <c r="I100" t="n">
        <v>0</v>
      </c>
      <c r="J100" t="n">
        <v>0</v>
      </c>
      <c r="K100" t="n">
        <v>0</v>
      </c>
      <c r="L100" t="n">
        <v>0</v>
      </c>
      <c r="M100" t="n">
        <v>0</v>
      </c>
      <c r="N100" t="n">
        <v>0</v>
      </c>
      <c r="O100" t="n">
        <v>0</v>
      </c>
      <c r="P100" t="n">
        <v>0</v>
      </c>
      <c r="Q100" t="n">
        <v>0</v>
      </c>
      <c r="R100" s="2" t="inlineStr"/>
    </row>
    <row r="101" ht="15" customHeight="1">
      <c r="A101" t="inlineStr">
        <is>
          <t>A 4479-2020</t>
        </is>
      </c>
      <c r="B101" s="1" t="n">
        <v>43850</v>
      </c>
      <c r="C101" s="1" t="n">
        <v>45511</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4004-2020</t>
        </is>
      </c>
      <c r="B102" s="1" t="n">
        <v>43856</v>
      </c>
      <c r="C102" s="1" t="n">
        <v>45511</v>
      </c>
      <c r="D102" t="inlineStr">
        <is>
          <t>DALARNAS LÄN</t>
        </is>
      </c>
      <c r="E102" t="inlineStr">
        <is>
          <t>LEKSAND</t>
        </is>
      </c>
      <c r="G102" t="n">
        <v>6</v>
      </c>
      <c r="H102" t="n">
        <v>0</v>
      </c>
      <c r="I102" t="n">
        <v>0</v>
      </c>
      <c r="J102" t="n">
        <v>0</v>
      </c>
      <c r="K102" t="n">
        <v>0</v>
      </c>
      <c r="L102" t="n">
        <v>0</v>
      </c>
      <c r="M102" t="n">
        <v>0</v>
      </c>
      <c r="N102" t="n">
        <v>0</v>
      </c>
      <c r="O102" t="n">
        <v>0</v>
      </c>
      <c r="P102" t="n">
        <v>0</v>
      </c>
      <c r="Q102" t="n">
        <v>0</v>
      </c>
      <c r="R102" s="2" t="inlineStr"/>
    </row>
    <row r="103" ht="15" customHeight="1">
      <c r="A103" t="inlineStr">
        <is>
          <t>A 6002-2020</t>
        </is>
      </c>
      <c r="B103" s="1" t="n">
        <v>43864</v>
      </c>
      <c r="C103" s="1" t="n">
        <v>45511</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6017-2020</t>
        </is>
      </c>
      <c r="B104" s="1" t="n">
        <v>43864</v>
      </c>
      <c r="C104" s="1" t="n">
        <v>45511</v>
      </c>
      <c r="D104" t="inlineStr">
        <is>
          <t>DALARNAS LÄN</t>
        </is>
      </c>
      <c r="E104" t="inlineStr">
        <is>
          <t>LEKSAND</t>
        </is>
      </c>
      <c r="G104" t="n">
        <v>2.6</v>
      </c>
      <c r="H104" t="n">
        <v>0</v>
      </c>
      <c r="I104" t="n">
        <v>0</v>
      </c>
      <c r="J104" t="n">
        <v>0</v>
      </c>
      <c r="K104" t="n">
        <v>0</v>
      </c>
      <c r="L104" t="n">
        <v>0</v>
      </c>
      <c r="M104" t="n">
        <v>0</v>
      </c>
      <c r="N104" t="n">
        <v>0</v>
      </c>
      <c r="O104" t="n">
        <v>0</v>
      </c>
      <c r="P104" t="n">
        <v>0</v>
      </c>
      <c r="Q104" t="n">
        <v>0</v>
      </c>
      <c r="R104" s="2" t="inlineStr"/>
    </row>
    <row r="105" ht="15" customHeight="1">
      <c r="A105" t="inlineStr">
        <is>
          <t>A 6751-2020</t>
        </is>
      </c>
      <c r="B105" s="1" t="n">
        <v>43866</v>
      </c>
      <c r="C105" s="1" t="n">
        <v>45511</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7351-2020</t>
        </is>
      </c>
      <c r="B106" s="1" t="n">
        <v>43871</v>
      </c>
      <c r="C106" s="1" t="n">
        <v>45511</v>
      </c>
      <c r="D106" t="inlineStr">
        <is>
          <t>DALARNAS LÄN</t>
        </is>
      </c>
      <c r="E106" t="inlineStr">
        <is>
          <t>LEKSAND</t>
        </is>
      </c>
      <c r="F106" t="inlineStr">
        <is>
          <t>Bergvik skog väst AB</t>
        </is>
      </c>
      <c r="G106" t="n">
        <v>5.4</v>
      </c>
      <c r="H106" t="n">
        <v>0</v>
      </c>
      <c r="I106" t="n">
        <v>0</v>
      </c>
      <c r="J106" t="n">
        <v>0</v>
      </c>
      <c r="K106" t="n">
        <v>0</v>
      </c>
      <c r="L106" t="n">
        <v>0</v>
      </c>
      <c r="M106" t="n">
        <v>0</v>
      </c>
      <c r="N106" t="n">
        <v>0</v>
      </c>
      <c r="O106" t="n">
        <v>0</v>
      </c>
      <c r="P106" t="n">
        <v>0</v>
      </c>
      <c r="Q106" t="n">
        <v>0</v>
      </c>
      <c r="R106" s="2" t="inlineStr"/>
    </row>
    <row r="107" ht="15" customHeight="1">
      <c r="A107" t="inlineStr">
        <is>
          <t>A 7868-2020</t>
        </is>
      </c>
      <c r="B107" s="1" t="n">
        <v>43873</v>
      </c>
      <c r="C107" s="1" t="n">
        <v>45511</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9710-2020</t>
        </is>
      </c>
      <c r="B108" s="1" t="n">
        <v>43881</v>
      </c>
      <c r="C108" s="1" t="n">
        <v>45511</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11372-2020</t>
        </is>
      </c>
      <c r="B109" s="1" t="n">
        <v>43892</v>
      </c>
      <c r="C109" s="1" t="n">
        <v>45511</v>
      </c>
      <c r="D109" t="inlineStr">
        <is>
          <t>DALARNAS LÄN</t>
        </is>
      </c>
      <c r="E109" t="inlineStr">
        <is>
          <t>LEKSAND</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12176-2020</t>
        </is>
      </c>
      <c r="B110" s="1" t="n">
        <v>43895</v>
      </c>
      <c r="C110" s="1" t="n">
        <v>45511</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12247-2020</t>
        </is>
      </c>
      <c r="B111" s="1" t="n">
        <v>43895</v>
      </c>
      <c r="C111" s="1" t="n">
        <v>45511</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13340-2020</t>
        </is>
      </c>
      <c r="B112" s="1" t="n">
        <v>43902</v>
      </c>
      <c r="C112" s="1" t="n">
        <v>45511</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13356-2020</t>
        </is>
      </c>
      <c r="B113" s="1" t="n">
        <v>43902</v>
      </c>
      <c r="C113" s="1" t="n">
        <v>45511</v>
      </c>
      <c r="D113" t="inlineStr">
        <is>
          <t>DALARNAS LÄN</t>
        </is>
      </c>
      <c r="E113" t="inlineStr">
        <is>
          <t>LEKSAND</t>
        </is>
      </c>
      <c r="G113" t="n">
        <v>0.4</v>
      </c>
      <c r="H113" t="n">
        <v>0</v>
      </c>
      <c r="I113" t="n">
        <v>0</v>
      </c>
      <c r="J113" t="n">
        <v>0</v>
      </c>
      <c r="K113" t="n">
        <v>0</v>
      </c>
      <c r="L113" t="n">
        <v>0</v>
      </c>
      <c r="M113" t="n">
        <v>0</v>
      </c>
      <c r="N113" t="n">
        <v>0</v>
      </c>
      <c r="O113" t="n">
        <v>0</v>
      </c>
      <c r="P113" t="n">
        <v>0</v>
      </c>
      <c r="Q113" t="n">
        <v>0</v>
      </c>
      <c r="R113" s="2" t="inlineStr"/>
    </row>
    <row r="114" ht="15" customHeight="1">
      <c r="A114" t="inlineStr">
        <is>
          <t>A 13352-2020</t>
        </is>
      </c>
      <c r="B114" s="1" t="n">
        <v>43902</v>
      </c>
      <c r="C114" s="1" t="n">
        <v>45511</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15165-2020</t>
        </is>
      </c>
      <c r="B115" s="1" t="n">
        <v>43912</v>
      </c>
      <c r="C115" s="1" t="n">
        <v>45511</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16288-2020</t>
        </is>
      </c>
      <c r="B116" s="1" t="n">
        <v>43917</v>
      </c>
      <c r="C116" s="1" t="n">
        <v>45511</v>
      </c>
      <c r="D116" t="inlineStr">
        <is>
          <t>DALARNAS LÄN</t>
        </is>
      </c>
      <c r="E116" t="inlineStr">
        <is>
          <t>LEKSAND</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18803-2020</t>
        </is>
      </c>
      <c r="B117" s="1" t="n">
        <v>43933</v>
      </c>
      <c r="C117" s="1" t="n">
        <v>45511</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19361-2020</t>
        </is>
      </c>
      <c r="B118" s="1" t="n">
        <v>43938</v>
      </c>
      <c r="C118" s="1" t="n">
        <v>45511</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21141-2020</t>
        </is>
      </c>
      <c r="B119" s="1" t="n">
        <v>43951</v>
      </c>
      <c r="C119" s="1" t="n">
        <v>45511</v>
      </c>
      <c r="D119" t="inlineStr">
        <is>
          <t>DALARNAS LÄN</t>
        </is>
      </c>
      <c r="E119" t="inlineStr">
        <is>
          <t>LEKSAND</t>
        </is>
      </c>
      <c r="F119" t="inlineStr">
        <is>
          <t>Bergvik skog väst AB</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22718-2020</t>
        </is>
      </c>
      <c r="B120" s="1" t="n">
        <v>43964</v>
      </c>
      <c r="C120" s="1" t="n">
        <v>45511</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24207-2020</t>
        </is>
      </c>
      <c r="B121" s="1" t="n">
        <v>43973</v>
      </c>
      <c r="C121" s="1" t="n">
        <v>45511</v>
      </c>
      <c r="D121" t="inlineStr">
        <is>
          <t>DALARNAS LÄN</t>
        </is>
      </c>
      <c r="E121" t="inlineStr">
        <is>
          <t>LEKSAND</t>
        </is>
      </c>
      <c r="G121" t="n">
        <v>2.2</v>
      </c>
      <c r="H121" t="n">
        <v>0</v>
      </c>
      <c r="I121" t="n">
        <v>0</v>
      </c>
      <c r="J121" t="n">
        <v>0</v>
      </c>
      <c r="K121" t="n">
        <v>0</v>
      </c>
      <c r="L121" t="n">
        <v>0</v>
      </c>
      <c r="M121" t="n">
        <v>0</v>
      </c>
      <c r="N121" t="n">
        <v>0</v>
      </c>
      <c r="O121" t="n">
        <v>0</v>
      </c>
      <c r="P121" t="n">
        <v>0</v>
      </c>
      <c r="Q121" t="n">
        <v>0</v>
      </c>
      <c r="R121" s="2" t="inlineStr"/>
    </row>
    <row r="122" ht="15" customHeight="1">
      <c r="A122" t="inlineStr">
        <is>
          <t>A 25156-2020</t>
        </is>
      </c>
      <c r="B122" s="1" t="n">
        <v>43978</v>
      </c>
      <c r="C122" s="1" t="n">
        <v>45511</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25720-2020</t>
        </is>
      </c>
      <c r="B123" s="1" t="n">
        <v>43984</v>
      </c>
      <c r="C123" s="1" t="n">
        <v>45511</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25989-2020</t>
        </is>
      </c>
      <c r="B124" s="1" t="n">
        <v>43985</v>
      </c>
      <c r="C124" s="1" t="n">
        <v>45511</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26456-2020</t>
        </is>
      </c>
      <c r="B125" s="1" t="n">
        <v>43986</v>
      </c>
      <c r="C125" s="1" t="n">
        <v>45511</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26560-2020</t>
        </is>
      </c>
      <c r="B126" s="1" t="n">
        <v>43987</v>
      </c>
      <c r="C126" s="1" t="n">
        <v>45511</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28161-2020</t>
        </is>
      </c>
      <c r="B127" s="1" t="n">
        <v>43997</v>
      </c>
      <c r="C127" s="1" t="n">
        <v>45511</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28796-2020</t>
        </is>
      </c>
      <c r="B128" s="1" t="n">
        <v>44000</v>
      </c>
      <c r="C128" s="1" t="n">
        <v>45511</v>
      </c>
      <c r="D128" t="inlineStr">
        <is>
          <t>DALARNAS LÄN</t>
        </is>
      </c>
      <c r="E128" t="inlineStr">
        <is>
          <t>LEKSAND</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29089-2020</t>
        </is>
      </c>
      <c r="B129" s="1" t="n">
        <v>44002</v>
      </c>
      <c r="C129" s="1" t="n">
        <v>45511</v>
      </c>
      <c r="D129" t="inlineStr">
        <is>
          <t>DALARNAS LÄN</t>
        </is>
      </c>
      <c r="E129" t="inlineStr">
        <is>
          <t>LEKSAND</t>
        </is>
      </c>
      <c r="G129" t="n">
        <v>1.8</v>
      </c>
      <c r="H129" t="n">
        <v>0</v>
      </c>
      <c r="I129" t="n">
        <v>0</v>
      </c>
      <c r="J129" t="n">
        <v>0</v>
      </c>
      <c r="K129" t="n">
        <v>0</v>
      </c>
      <c r="L129" t="n">
        <v>0</v>
      </c>
      <c r="M129" t="n">
        <v>0</v>
      </c>
      <c r="N129" t="n">
        <v>0</v>
      </c>
      <c r="O129" t="n">
        <v>0</v>
      </c>
      <c r="P129" t="n">
        <v>0</v>
      </c>
      <c r="Q129" t="n">
        <v>0</v>
      </c>
      <c r="R129" s="2" t="inlineStr"/>
    </row>
    <row r="130" ht="15" customHeight="1">
      <c r="A130" t="inlineStr">
        <is>
          <t>A 29088-2020</t>
        </is>
      </c>
      <c r="B130" s="1" t="n">
        <v>44002</v>
      </c>
      <c r="C130" s="1" t="n">
        <v>45511</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29672-2020</t>
        </is>
      </c>
      <c r="B131" s="1" t="n">
        <v>44005</v>
      </c>
      <c r="C131" s="1" t="n">
        <v>45511</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31629-2020</t>
        </is>
      </c>
      <c r="B132" s="1" t="n">
        <v>44013</v>
      </c>
      <c r="C132" s="1" t="n">
        <v>45511</v>
      </c>
      <c r="D132" t="inlineStr">
        <is>
          <t>DALARNAS LÄN</t>
        </is>
      </c>
      <c r="E132" t="inlineStr">
        <is>
          <t>LEKSAND</t>
        </is>
      </c>
      <c r="G132" t="n">
        <v>5.4</v>
      </c>
      <c r="H132" t="n">
        <v>0</v>
      </c>
      <c r="I132" t="n">
        <v>0</v>
      </c>
      <c r="J132" t="n">
        <v>0</v>
      </c>
      <c r="K132" t="n">
        <v>0</v>
      </c>
      <c r="L132" t="n">
        <v>0</v>
      </c>
      <c r="M132" t="n">
        <v>0</v>
      </c>
      <c r="N132" t="n">
        <v>0</v>
      </c>
      <c r="O132" t="n">
        <v>0</v>
      </c>
      <c r="P132" t="n">
        <v>0</v>
      </c>
      <c r="Q132" t="n">
        <v>0</v>
      </c>
      <c r="R132" s="2" t="inlineStr"/>
    </row>
    <row r="133" ht="15" customHeight="1">
      <c r="A133" t="inlineStr">
        <is>
          <t>A 36306-2020</t>
        </is>
      </c>
      <c r="B133" s="1" t="n">
        <v>44049</v>
      </c>
      <c r="C133" s="1" t="n">
        <v>45511</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37568-2020</t>
        </is>
      </c>
      <c r="B134" s="1" t="n">
        <v>44056</v>
      </c>
      <c r="C134" s="1" t="n">
        <v>45511</v>
      </c>
      <c r="D134" t="inlineStr">
        <is>
          <t>DALARNAS LÄN</t>
        </is>
      </c>
      <c r="E134" t="inlineStr">
        <is>
          <t>LEKSAND</t>
        </is>
      </c>
      <c r="G134" t="n">
        <v>3.4</v>
      </c>
      <c r="H134" t="n">
        <v>0</v>
      </c>
      <c r="I134" t="n">
        <v>0</v>
      </c>
      <c r="J134" t="n">
        <v>0</v>
      </c>
      <c r="K134" t="n">
        <v>0</v>
      </c>
      <c r="L134" t="n">
        <v>0</v>
      </c>
      <c r="M134" t="n">
        <v>0</v>
      </c>
      <c r="N134" t="n">
        <v>0</v>
      </c>
      <c r="O134" t="n">
        <v>0</v>
      </c>
      <c r="P134" t="n">
        <v>0</v>
      </c>
      <c r="Q134" t="n">
        <v>0</v>
      </c>
      <c r="R134" s="2" t="inlineStr"/>
    </row>
    <row r="135" ht="15" customHeight="1">
      <c r="A135" t="inlineStr">
        <is>
          <t>A 41093-2020</t>
        </is>
      </c>
      <c r="B135" s="1" t="n">
        <v>44071</v>
      </c>
      <c r="C135" s="1" t="n">
        <v>45511</v>
      </c>
      <c r="D135" t="inlineStr">
        <is>
          <t>DALARNAS LÄN</t>
        </is>
      </c>
      <c r="E135" t="inlineStr">
        <is>
          <t>LEKSAND</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41200-2020</t>
        </is>
      </c>
      <c r="B136" s="1" t="n">
        <v>44071</v>
      </c>
      <c r="C136" s="1" t="n">
        <v>45511</v>
      </c>
      <c r="D136" t="inlineStr">
        <is>
          <t>DALARNAS LÄN</t>
        </is>
      </c>
      <c r="E136" t="inlineStr">
        <is>
          <t>LEKSAND</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41432-2020</t>
        </is>
      </c>
      <c r="B137" s="1" t="n">
        <v>44073</v>
      </c>
      <c r="C137" s="1" t="n">
        <v>45511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42890-2020</t>
        </is>
      </c>
      <c r="B138" s="1" t="n">
        <v>44078</v>
      </c>
      <c r="C138" s="1" t="n">
        <v>45511</v>
      </c>
      <c r="D138" t="inlineStr">
        <is>
          <t>DALARNAS LÄN</t>
        </is>
      </c>
      <c r="E138" t="inlineStr">
        <is>
          <t>LEKSAND</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44665-2020</t>
        </is>
      </c>
      <c r="B139" s="1" t="n">
        <v>44085</v>
      </c>
      <c r="C139" s="1" t="n">
        <v>45511</v>
      </c>
      <c r="D139" t="inlineStr">
        <is>
          <t>DALARNAS LÄN</t>
        </is>
      </c>
      <c r="E139" t="inlineStr">
        <is>
          <t>LEKSAND</t>
        </is>
      </c>
      <c r="F139" t="inlineStr">
        <is>
          <t>Bergvik skog väst AB</t>
        </is>
      </c>
      <c r="G139" t="n">
        <v>5.1</v>
      </c>
      <c r="H139" t="n">
        <v>0</v>
      </c>
      <c r="I139" t="n">
        <v>0</v>
      </c>
      <c r="J139" t="n">
        <v>0</v>
      </c>
      <c r="K139" t="n">
        <v>0</v>
      </c>
      <c r="L139" t="n">
        <v>0</v>
      </c>
      <c r="M139" t="n">
        <v>0</v>
      </c>
      <c r="N139" t="n">
        <v>0</v>
      </c>
      <c r="O139" t="n">
        <v>0</v>
      </c>
      <c r="P139" t="n">
        <v>0</v>
      </c>
      <c r="Q139" t="n">
        <v>0</v>
      </c>
      <c r="R139" s="2" t="inlineStr"/>
    </row>
    <row r="140" ht="15" customHeight="1">
      <c r="A140" t="inlineStr">
        <is>
          <t>A 45995-2020</t>
        </is>
      </c>
      <c r="B140" s="1" t="n">
        <v>44088</v>
      </c>
      <c r="C140" s="1" t="n">
        <v>45511</v>
      </c>
      <c r="D140" t="inlineStr">
        <is>
          <t>DALARNAS LÄN</t>
        </is>
      </c>
      <c r="E140" t="inlineStr">
        <is>
          <t>LEKSAND</t>
        </is>
      </c>
      <c r="G140" t="n">
        <v>7.8</v>
      </c>
      <c r="H140" t="n">
        <v>0</v>
      </c>
      <c r="I140" t="n">
        <v>0</v>
      </c>
      <c r="J140" t="n">
        <v>0</v>
      </c>
      <c r="K140" t="n">
        <v>0</v>
      </c>
      <c r="L140" t="n">
        <v>0</v>
      </c>
      <c r="M140" t="n">
        <v>0</v>
      </c>
      <c r="N140" t="n">
        <v>0</v>
      </c>
      <c r="O140" t="n">
        <v>0</v>
      </c>
      <c r="P140" t="n">
        <v>0</v>
      </c>
      <c r="Q140" t="n">
        <v>0</v>
      </c>
      <c r="R140" s="2" t="inlineStr"/>
    </row>
    <row r="141" ht="15" customHeight="1">
      <c r="A141" t="inlineStr">
        <is>
          <t>A 45950-2020</t>
        </is>
      </c>
      <c r="B141" s="1" t="n">
        <v>44088</v>
      </c>
      <c r="C141" s="1" t="n">
        <v>45511</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45991-2020</t>
        </is>
      </c>
      <c r="B142" s="1" t="n">
        <v>44088</v>
      </c>
      <c r="C142" s="1" t="n">
        <v>45511</v>
      </c>
      <c r="D142" t="inlineStr">
        <is>
          <t>DALARNAS LÄN</t>
        </is>
      </c>
      <c r="E142" t="inlineStr">
        <is>
          <t>LEKSAND</t>
        </is>
      </c>
      <c r="G142" t="n">
        <v>9.9</v>
      </c>
      <c r="H142" t="n">
        <v>0</v>
      </c>
      <c r="I142" t="n">
        <v>0</v>
      </c>
      <c r="J142" t="n">
        <v>0</v>
      </c>
      <c r="K142" t="n">
        <v>0</v>
      </c>
      <c r="L142" t="n">
        <v>0</v>
      </c>
      <c r="M142" t="n">
        <v>0</v>
      </c>
      <c r="N142" t="n">
        <v>0</v>
      </c>
      <c r="O142" t="n">
        <v>0</v>
      </c>
      <c r="P142" t="n">
        <v>0</v>
      </c>
      <c r="Q142" t="n">
        <v>0</v>
      </c>
      <c r="R142" s="2" t="inlineStr"/>
    </row>
    <row r="143" ht="15" customHeight="1">
      <c r="A143" t="inlineStr">
        <is>
          <t>A 46854-2020</t>
        </is>
      </c>
      <c r="B143" s="1" t="n">
        <v>44090</v>
      </c>
      <c r="C143" s="1" t="n">
        <v>45511</v>
      </c>
      <c r="D143" t="inlineStr">
        <is>
          <t>DALARNAS LÄN</t>
        </is>
      </c>
      <c r="E143" t="inlineStr">
        <is>
          <t>LEKSAND</t>
        </is>
      </c>
      <c r="G143" t="n">
        <v>1.6</v>
      </c>
      <c r="H143" t="n">
        <v>0</v>
      </c>
      <c r="I143" t="n">
        <v>0</v>
      </c>
      <c r="J143" t="n">
        <v>0</v>
      </c>
      <c r="K143" t="n">
        <v>0</v>
      </c>
      <c r="L143" t="n">
        <v>0</v>
      </c>
      <c r="M143" t="n">
        <v>0</v>
      </c>
      <c r="N143" t="n">
        <v>0</v>
      </c>
      <c r="O143" t="n">
        <v>0</v>
      </c>
      <c r="P143" t="n">
        <v>0</v>
      </c>
      <c r="Q143" t="n">
        <v>0</v>
      </c>
      <c r="R143" s="2" t="inlineStr"/>
    </row>
    <row r="144" ht="15" customHeight="1">
      <c r="A144" t="inlineStr">
        <is>
          <t>A 47004-2020</t>
        </is>
      </c>
      <c r="B144" s="1" t="n">
        <v>44091</v>
      </c>
      <c r="C144" s="1" t="n">
        <v>45511</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47069-2020</t>
        </is>
      </c>
      <c r="B145" s="1" t="n">
        <v>44096</v>
      </c>
      <c r="C145" s="1" t="n">
        <v>45511</v>
      </c>
      <c r="D145" t="inlineStr">
        <is>
          <t>DALARNAS LÄN</t>
        </is>
      </c>
      <c r="E145" t="inlineStr">
        <is>
          <t>LEKSAND</t>
        </is>
      </c>
      <c r="G145" t="n">
        <v>5.5</v>
      </c>
      <c r="H145" t="n">
        <v>0</v>
      </c>
      <c r="I145" t="n">
        <v>0</v>
      </c>
      <c r="J145" t="n">
        <v>0</v>
      </c>
      <c r="K145" t="n">
        <v>0</v>
      </c>
      <c r="L145" t="n">
        <v>0</v>
      </c>
      <c r="M145" t="n">
        <v>0</v>
      </c>
      <c r="N145" t="n">
        <v>0</v>
      </c>
      <c r="O145" t="n">
        <v>0</v>
      </c>
      <c r="P145" t="n">
        <v>0</v>
      </c>
      <c r="Q145" t="n">
        <v>0</v>
      </c>
      <c r="R145" s="2" t="inlineStr"/>
    </row>
    <row r="146" ht="15" customHeight="1">
      <c r="A146" t="inlineStr">
        <is>
          <t>A 50123-2020</t>
        </is>
      </c>
      <c r="B146" s="1" t="n">
        <v>44104</v>
      </c>
      <c r="C146" s="1" t="n">
        <v>45511</v>
      </c>
      <c r="D146" t="inlineStr">
        <is>
          <t>DALARNAS LÄN</t>
        </is>
      </c>
      <c r="E146" t="inlineStr">
        <is>
          <t>LEKSAND</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50102-2020</t>
        </is>
      </c>
      <c r="B147" s="1" t="n">
        <v>44104</v>
      </c>
      <c r="C147" s="1" t="n">
        <v>45511</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60920-2020</t>
        </is>
      </c>
      <c r="B148" s="1" t="n">
        <v>44153</v>
      </c>
      <c r="C148" s="1" t="n">
        <v>45511</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60963-2020</t>
        </is>
      </c>
      <c r="B149" s="1" t="n">
        <v>44154</v>
      </c>
      <c r="C149" s="1" t="n">
        <v>45511</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62118-2020</t>
        </is>
      </c>
      <c r="B150" s="1" t="n">
        <v>44159</v>
      </c>
      <c r="C150" s="1" t="n">
        <v>45511</v>
      </c>
      <c r="D150" t="inlineStr">
        <is>
          <t>DALARNAS LÄN</t>
        </is>
      </c>
      <c r="E150" t="inlineStr">
        <is>
          <t>LEKSAND</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63481-2020</t>
        </is>
      </c>
      <c r="B151" s="1" t="n">
        <v>44161</v>
      </c>
      <c r="C151" s="1" t="n">
        <v>45511</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64109-2020</t>
        </is>
      </c>
      <c r="B152" s="1" t="n">
        <v>44167</v>
      </c>
      <c r="C152" s="1" t="n">
        <v>45511</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64449-2020</t>
        </is>
      </c>
      <c r="B153" s="1" t="n">
        <v>44168</v>
      </c>
      <c r="C153" s="1" t="n">
        <v>45511</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64876-2020</t>
        </is>
      </c>
      <c r="B154" s="1" t="n">
        <v>44171</v>
      </c>
      <c r="C154" s="1" t="n">
        <v>45511</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65058-2020</t>
        </is>
      </c>
      <c r="B155" s="1" t="n">
        <v>44172</v>
      </c>
      <c r="C155" s="1" t="n">
        <v>45511</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66169-2020</t>
        </is>
      </c>
      <c r="B156" s="1" t="n">
        <v>44174</v>
      </c>
      <c r="C156" s="1" t="n">
        <v>45511</v>
      </c>
      <c r="D156" t="inlineStr">
        <is>
          <t>DALARNAS LÄN</t>
        </is>
      </c>
      <c r="E156" t="inlineStr">
        <is>
          <t>LEKSAND</t>
        </is>
      </c>
      <c r="G156" t="n">
        <v>5.3</v>
      </c>
      <c r="H156" t="n">
        <v>0</v>
      </c>
      <c r="I156" t="n">
        <v>0</v>
      </c>
      <c r="J156" t="n">
        <v>0</v>
      </c>
      <c r="K156" t="n">
        <v>0</v>
      </c>
      <c r="L156" t="n">
        <v>0</v>
      </c>
      <c r="M156" t="n">
        <v>0</v>
      </c>
      <c r="N156" t="n">
        <v>0</v>
      </c>
      <c r="O156" t="n">
        <v>0</v>
      </c>
      <c r="P156" t="n">
        <v>0</v>
      </c>
      <c r="Q156" t="n">
        <v>0</v>
      </c>
      <c r="R156" s="2" t="inlineStr"/>
    </row>
    <row r="157" ht="15" customHeight="1">
      <c r="A157" t="inlineStr">
        <is>
          <t>A 67100-2020</t>
        </is>
      </c>
      <c r="B157" s="1" t="n">
        <v>44179</v>
      </c>
      <c r="C157" s="1" t="n">
        <v>45511</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67307-2020</t>
        </is>
      </c>
      <c r="B158" s="1" t="n">
        <v>44181</v>
      </c>
      <c r="C158" s="1" t="n">
        <v>45511</v>
      </c>
      <c r="D158" t="inlineStr">
        <is>
          <t>DALARNAS LÄN</t>
        </is>
      </c>
      <c r="E158" t="inlineStr">
        <is>
          <t>LEKSAND</t>
        </is>
      </c>
      <c r="G158" t="n">
        <v>5.9</v>
      </c>
      <c r="H158" t="n">
        <v>0</v>
      </c>
      <c r="I158" t="n">
        <v>0</v>
      </c>
      <c r="J158" t="n">
        <v>0</v>
      </c>
      <c r="K158" t="n">
        <v>0</v>
      </c>
      <c r="L158" t="n">
        <v>0</v>
      </c>
      <c r="M158" t="n">
        <v>0</v>
      </c>
      <c r="N158" t="n">
        <v>0</v>
      </c>
      <c r="O158" t="n">
        <v>0</v>
      </c>
      <c r="P158" t="n">
        <v>0</v>
      </c>
      <c r="Q158" t="n">
        <v>0</v>
      </c>
      <c r="R158" s="2" t="inlineStr"/>
    </row>
    <row r="159" ht="15" customHeight="1">
      <c r="A159" t="inlineStr">
        <is>
          <t>A 68058-2020</t>
        </is>
      </c>
      <c r="B159" s="1" t="n">
        <v>44183</v>
      </c>
      <c r="C159" s="1" t="n">
        <v>45511</v>
      </c>
      <c r="D159" t="inlineStr">
        <is>
          <t>DALARNAS LÄN</t>
        </is>
      </c>
      <c r="E159" t="inlineStr">
        <is>
          <t>LEKSAND</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776-2021</t>
        </is>
      </c>
      <c r="B160" s="1" t="n">
        <v>44203</v>
      </c>
      <c r="C160" s="1" t="n">
        <v>45511</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1078-2021</t>
        </is>
      </c>
      <c r="B161" s="1" t="n">
        <v>44207</v>
      </c>
      <c r="C161" s="1" t="n">
        <v>45511</v>
      </c>
      <c r="D161" t="inlineStr">
        <is>
          <t>DALARNAS LÄN</t>
        </is>
      </c>
      <c r="E161" t="inlineStr">
        <is>
          <t>LEKSAND</t>
        </is>
      </c>
      <c r="G161" t="n">
        <v>4.9</v>
      </c>
      <c r="H161" t="n">
        <v>0</v>
      </c>
      <c r="I161" t="n">
        <v>0</v>
      </c>
      <c r="J161" t="n">
        <v>0</v>
      </c>
      <c r="K161" t="n">
        <v>0</v>
      </c>
      <c r="L161" t="n">
        <v>0</v>
      </c>
      <c r="M161" t="n">
        <v>0</v>
      </c>
      <c r="N161" t="n">
        <v>0</v>
      </c>
      <c r="O161" t="n">
        <v>0</v>
      </c>
      <c r="P161" t="n">
        <v>0</v>
      </c>
      <c r="Q161" t="n">
        <v>0</v>
      </c>
      <c r="R161" s="2" t="inlineStr"/>
    </row>
    <row r="162" ht="15" customHeight="1">
      <c r="A162" t="inlineStr">
        <is>
          <t>A 2311-2021</t>
        </is>
      </c>
      <c r="B162" s="1" t="n">
        <v>44213</v>
      </c>
      <c r="C162" s="1" t="n">
        <v>45511</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9131-2021</t>
        </is>
      </c>
      <c r="B163" s="1" t="n">
        <v>44249</v>
      </c>
      <c r="C163" s="1" t="n">
        <v>45511</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9133-2021</t>
        </is>
      </c>
      <c r="B164" s="1" t="n">
        <v>44249</v>
      </c>
      <c r="C164" s="1" t="n">
        <v>45511</v>
      </c>
      <c r="D164" t="inlineStr">
        <is>
          <t>DALARNAS LÄN</t>
        </is>
      </c>
      <c r="E164" t="inlineStr">
        <is>
          <t>LEKSAND</t>
        </is>
      </c>
      <c r="G164" t="n">
        <v>2.5</v>
      </c>
      <c r="H164" t="n">
        <v>0</v>
      </c>
      <c r="I164" t="n">
        <v>0</v>
      </c>
      <c r="J164" t="n">
        <v>0</v>
      </c>
      <c r="K164" t="n">
        <v>0</v>
      </c>
      <c r="L164" t="n">
        <v>0</v>
      </c>
      <c r="M164" t="n">
        <v>0</v>
      </c>
      <c r="N164" t="n">
        <v>0</v>
      </c>
      <c r="O164" t="n">
        <v>0</v>
      </c>
      <c r="P164" t="n">
        <v>0</v>
      </c>
      <c r="Q164" t="n">
        <v>0</v>
      </c>
      <c r="R164" s="2" t="inlineStr"/>
    </row>
    <row r="165" ht="15" customHeight="1">
      <c r="A165" t="inlineStr">
        <is>
          <t>A 13705-2021</t>
        </is>
      </c>
      <c r="B165" s="1" t="n">
        <v>44274</v>
      </c>
      <c r="C165" s="1" t="n">
        <v>45511</v>
      </c>
      <c r="D165" t="inlineStr">
        <is>
          <t>DALARNAS LÄN</t>
        </is>
      </c>
      <c r="E165" t="inlineStr">
        <is>
          <t>LEKSAND</t>
        </is>
      </c>
      <c r="G165" t="n">
        <v>3.8</v>
      </c>
      <c r="H165" t="n">
        <v>0</v>
      </c>
      <c r="I165" t="n">
        <v>0</v>
      </c>
      <c r="J165" t="n">
        <v>0</v>
      </c>
      <c r="K165" t="n">
        <v>0</v>
      </c>
      <c r="L165" t="n">
        <v>0</v>
      </c>
      <c r="M165" t="n">
        <v>0</v>
      </c>
      <c r="N165" t="n">
        <v>0</v>
      </c>
      <c r="O165" t="n">
        <v>0</v>
      </c>
      <c r="P165" t="n">
        <v>0</v>
      </c>
      <c r="Q165" t="n">
        <v>0</v>
      </c>
      <c r="R165" s="2" t="inlineStr"/>
    </row>
    <row r="166" ht="15" customHeight="1">
      <c r="A166" t="inlineStr">
        <is>
          <t>A 16231-2021</t>
        </is>
      </c>
      <c r="B166" s="1" t="n">
        <v>44292</v>
      </c>
      <c r="C166" s="1" t="n">
        <v>45511</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17615-2021</t>
        </is>
      </c>
      <c r="B167" s="1" t="n">
        <v>44299</v>
      </c>
      <c r="C167" s="1" t="n">
        <v>45511</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18267-2021</t>
        </is>
      </c>
      <c r="B168" s="1" t="n">
        <v>44305</v>
      </c>
      <c r="C168" s="1" t="n">
        <v>45511</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18706-2021</t>
        </is>
      </c>
      <c r="B169" s="1" t="n">
        <v>44307</v>
      </c>
      <c r="C169" s="1" t="n">
        <v>45511</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19677-2021</t>
        </is>
      </c>
      <c r="B170" s="1" t="n">
        <v>44312</v>
      </c>
      <c r="C170" s="1" t="n">
        <v>45511</v>
      </c>
      <c r="D170" t="inlineStr">
        <is>
          <t>DALARNAS LÄN</t>
        </is>
      </c>
      <c r="E170" t="inlineStr">
        <is>
          <t>LEKSAND</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21132-2021</t>
        </is>
      </c>
      <c r="B171" s="1" t="n">
        <v>44319</v>
      </c>
      <c r="C171" s="1" t="n">
        <v>45511</v>
      </c>
      <c r="D171" t="inlineStr">
        <is>
          <t>DALARNAS LÄN</t>
        </is>
      </c>
      <c r="E171" t="inlineStr">
        <is>
          <t>LEKSAND</t>
        </is>
      </c>
      <c r="G171" t="n">
        <v>6.8</v>
      </c>
      <c r="H171" t="n">
        <v>0</v>
      </c>
      <c r="I171" t="n">
        <v>0</v>
      </c>
      <c r="J171" t="n">
        <v>0</v>
      </c>
      <c r="K171" t="n">
        <v>0</v>
      </c>
      <c r="L171" t="n">
        <v>0</v>
      </c>
      <c r="M171" t="n">
        <v>0</v>
      </c>
      <c r="N171" t="n">
        <v>0</v>
      </c>
      <c r="O171" t="n">
        <v>0</v>
      </c>
      <c r="P171" t="n">
        <v>0</v>
      </c>
      <c r="Q171" t="n">
        <v>0</v>
      </c>
      <c r="R171" s="2" t="inlineStr"/>
    </row>
    <row r="172" ht="15" customHeight="1">
      <c r="A172" t="inlineStr">
        <is>
          <t>A 21968-2021</t>
        </is>
      </c>
      <c r="B172" s="1" t="n">
        <v>44323</v>
      </c>
      <c r="C172" s="1" t="n">
        <v>45511</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21969-2021</t>
        </is>
      </c>
      <c r="B173" s="1" t="n">
        <v>44323</v>
      </c>
      <c r="C173" s="1" t="n">
        <v>45511</v>
      </c>
      <c r="D173" t="inlineStr">
        <is>
          <t>DALARNAS LÄN</t>
        </is>
      </c>
      <c r="E173" t="inlineStr">
        <is>
          <t>LEKSAND</t>
        </is>
      </c>
      <c r="G173" t="n">
        <v>3.8</v>
      </c>
      <c r="H173" t="n">
        <v>0</v>
      </c>
      <c r="I173" t="n">
        <v>0</v>
      </c>
      <c r="J173" t="n">
        <v>0</v>
      </c>
      <c r="K173" t="n">
        <v>0</v>
      </c>
      <c r="L173" t="n">
        <v>0</v>
      </c>
      <c r="M173" t="n">
        <v>0</v>
      </c>
      <c r="N173" t="n">
        <v>0</v>
      </c>
      <c r="O173" t="n">
        <v>0</v>
      </c>
      <c r="P173" t="n">
        <v>0</v>
      </c>
      <c r="Q173" t="n">
        <v>0</v>
      </c>
      <c r="R173" s="2" t="inlineStr"/>
    </row>
    <row r="174" ht="15" customHeight="1">
      <c r="A174" t="inlineStr">
        <is>
          <t>A 21965-2021</t>
        </is>
      </c>
      <c r="B174" s="1" t="n">
        <v>44323</v>
      </c>
      <c r="C174" s="1" t="n">
        <v>45511</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22431-2021</t>
        </is>
      </c>
      <c r="B175" s="1" t="n">
        <v>44326</v>
      </c>
      <c r="C175" s="1" t="n">
        <v>45511</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22703-2021</t>
        </is>
      </c>
      <c r="B176" s="1" t="n">
        <v>44327</v>
      </c>
      <c r="C176" s="1" t="n">
        <v>45511</v>
      </c>
      <c r="D176" t="inlineStr">
        <is>
          <t>DALARNAS LÄN</t>
        </is>
      </c>
      <c r="E176" t="inlineStr">
        <is>
          <t>LEKSAND</t>
        </is>
      </c>
      <c r="F176" t="inlineStr">
        <is>
          <t>Bergvik skog väst AB</t>
        </is>
      </c>
      <c r="G176" t="n">
        <v>3.4</v>
      </c>
      <c r="H176" t="n">
        <v>0</v>
      </c>
      <c r="I176" t="n">
        <v>0</v>
      </c>
      <c r="J176" t="n">
        <v>0</v>
      </c>
      <c r="K176" t="n">
        <v>0</v>
      </c>
      <c r="L176" t="n">
        <v>0</v>
      </c>
      <c r="M176" t="n">
        <v>0</v>
      </c>
      <c r="N176" t="n">
        <v>0</v>
      </c>
      <c r="O176" t="n">
        <v>0</v>
      </c>
      <c r="P176" t="n">
        <v>0</v>
      </c>
      <c r="Q176" t="n">
        <v>0</v>
      </c>
      <c r="R176" s="2" t="inlineStr"/>
      <c r="U176">
        <f>HYPERLINK("https://klasma.github.io/Logging_2029/knärot/A 22703-2021 karta knärot.png", "A 22703-2021")</f>
        <v/>
      </c>
      <c r="V176">
        <f>HYPERLINK("https://klasma.github.io/Logging_2029/klagomål/A 22703-2021 FSC-klagomål.docx", "A 22703-2021")</f>
        <v/>
      </c>
      <c r="W176">
        <f>HYPERLINK("https://klasma.github.io/Logging_2029/klagomålsmail/A 22703-2021 FSC-klagomål mail.docx", "A 22703-2021")</f>
        <v/>
      </c>
      <c r="X176">
        <f>HYPERLINK("https://klasma.github.io/Logging_2029/tillsyn/A 22703-2021 tillsynsbegäran.docx", "A 22703-2021")</f>
        <v/>
      </c>
      <c r="Y176">
        <f>HYPERLINK("https://klasma.github.io/Logging_2029/tillsynsmail/A 22703-2021 tillsynsbegäran mail.docx", "A 22703-2021")</f>
        <v/>
      </c>
    </row>
    <row r="177" ht="15" customHeight="1">
      <c r="A177" t="inlineStr">
        <is>
          <t>A 22684-2021</t>
        </is>
      </c>
      <c r="B177" s="1" t="n">
        <v>44327</v>
      </c>
      <c r="C177" s="1" t="n">
        <v>45511</v>
      </c>
      <c r="D177" t="inlineStr">
        <is>
          <t>DALARNAS LÄN</t>
        </is>
      </c>
      <c r="E177" t="inlineStr">
        <is>
          <t>LEKSAND</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22999-2021</t>
        </is>
      </c>
      <c r="B178" s="1" t="n">
        <v>44328</v>
      </c>
      <c r="C178" s="1" t="n">
        <v>45511</v>
      </c>
      <c r="D178" t="inlineStr">
        <is>
          <t>DALARNAS LÄN</t>
        </is>
      </c>
      <c r="E178" t="inlineStr">
        <is>
          <t>LEKSAND</t>
        </is>
      </c>
      <c r="F178" t="inlineStr">
        <is>
          <t>Bergvik skog väst AB</t>
        </is>
      </c>
      <c r="G178" t="n">
        <v>8.5</v>
      </c>
      <c r="H178" t="n">
        <v>0</v>
      </c>
      <c r="I178" t="n">
        <v>0</v>
      </c>
      <c r="J178" t="n">
        <v>0</v>
      </c>
      <c r="K178" t="n">
        <v>0</v>
      </c>
      <c r="L178" t="n">
        <v>0</v>
      </c>
      <c r="M178" t="n">
        <v>0</v>
      </c>
      <c r="N178" t="n">
        <v>0</v>
      </c>
      <c r="O178" t="n">
        <v>0</v>
      </c>
      <c r="P178" t="n">
        <v>0</v>
      </c>
      <c r="Q178" t="n">
        <v>0</v>
      </c>
      <c r="R178" s="2" t="inlineStr"/>
    </row>
    <row r="179" ht="15" customHeight="1">
      <c r="A179" t="inlineStr">
        <is>
          <t>A 23824-2021</t>
        </is>
      </c>
      <c r="B179" s="1" t="n">
        <v>44335</v>
      </c>
      <c r="C179" s="1" t="n">
        <v>45511</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24142-2021</t>
        </is>
      </c>
      <c r="B180" s="1" t="n">
        <v>44336</v>
      </c>
      <c r="C180" s="1" t="n">
        <v>45511</v>
      </c>
      <c r="D180" t="inlineStr">
        <is>
          <t>DALARNAS LÄN</t>
        </is>
      </c>
      <c r="E180" t="inlineStr">
        <is>
          <t>LEKSAND</t>
        </is>
      </c>
      <c r="F180" t="inlineStr">
        <is>
          <t>Bergvik skog väst AB</t>
        </is>
      </c>
      <c r="G180" t="n">
        <v>18.9</v>
      </c>
      <c r="H180" t="n">
        <v>0</v>
      </c>
      <c r="I180" t="n">
        <v>0</v>
      </c>
      <c r="J180" t="n">
        <v>0</v>
      </c>
      <c r="K180" t="n">
        <v>0</v>
      </c>
      <c r="L180" t="n">
        <v>0</v>
      </c>
      <c r="M180" t="n">
        <v>0</v>
      </c>
      <c r="N180" t="n">
        <v>0</v>
      </c>
      <c r="O180" t="n">
        <v>0</v>
      </c>
      <c r="P180" t="n">
        <v>0</v>
      </c>
      <c r="Q180" t="n">
        <v>0</v>
      </c>
      <c r="R180" s="2" t="inlineStr"/>
    </row>
    <row r="181" ht="15" customHeight="1">
      <c r="A181" t="inlineStr">
        <is>
          <t>A 24479-2021</t>
        </is>
      </c>
      <c r="B181" s="1" t="n">
        <v>44337</v>
      </c>
      <c r="C181" s="1" t="n">
        <v>45511</v>
      </c>
      <c r="D181" t="inlineStr">
        <is>
          <t>DALARNAS LÄN</t>
        </is>
      </c>
      <c r="E181" t="inlineStr">
        <is>
          <t>LEKSAND</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26738-2021</t>
        </is>
      </c>
      <c r="B182" s="1" t="n">
        <v>44349</v>
      </c>
      <c r="C182" s="1" t="n">
        <v>45511</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27154-2021</t>
        </is>
      </c>
      <c r="B183" s="1" t="n">
        <v>44350</v>
      </c>
      <c r="C183" s="1" t="n">
        <v>45511</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27317-2021</t>
        </is>
      </c>
      <c r="B184" s="1" t="n">
        <v>44351</v>
      </c>
      <c r="C184" s="1" t="n">
        <v>45511</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32152-2021</t>
        </is>
      </c>
      <c r="B185" s="1" t="n">
        <v>44371</v>
      </c>
      <c r="C185" s="1" t="n">
        <v>45511</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32635-2021</t>
        </is>
      </c>
      <c r="B186" s="1" t="n">
        <v>44374</v>
      </c>
      <c r="C186" s="1" t="n">
        <v>45511</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33072-2021</t>
        </is>
      </c>
      <c r="B187" s="1" t="n">
        <v>44375</v>
      </c>
      <c r="C187" s="1" t="n">
        <v>45511</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33170-2021</t>
        </is>
      </c>
      <c r="B188" s="1" t="n">
        <v>44376</v>
      </c>
      <c r="C188" s="1" t="n">
        <v>45511</v>
      </c>
      <c r="D188" t="inlineStr">
        <is>
          <t>DALARNAS LÄN</t>
        </is>
      </c>
      <c r="E188" t="inlineStr">
        <is>
          <t>LEKSAND</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34869-2021</t>
        </is>
      </c>
      <c r="B189" s="1" t="n">
        <v>44383</v>
      </c>
      <c r="C189" s="1" t="n">
        <v>45511</v>
      </c>
      <c r="D189" t="inlineStr">
        <is>
          <t>DALARNAS LÄN</t>
        </is>
      </c>
      <c r="E189" t="inlineStr">
        <is>
          <t>LEKSAND</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34867-2021</t>
        </is>
      </c>
      <c r="B190" s="1" t="n">
        <v>44383</v>
      </c>
      <c r="C190" s="1" t="n">
        <v>45511</v>
      </c>
      <c r="D190" t="inlineStr">
        <is>
          <t>DALARNAS LÄN</t>
        </is>
      </c>
      <c r="E190" t="inlineStr">
        <is>
          <t>LEKSAND</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34911-2021</t>
        </is>
      </c>
      <c r="B191" s="1" t="n">
        <v>44383</v>
      </c>
      <c r="C191" s="1" t="n">
        <v>45511</v>
      </c>
      <c r="D191" t="inlineStr">
        <is>
          <t>DALARNAS LÄN</t>
        </is>
      </c>
      <c r="E191" t="inlineStr">
        <is>
          <t>LEKSAND</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36438-2021</t>
        </is>
      </c>
      <c r="B192" s="1" t="n">
        <v>44390</v>
      </c>
      <c r="C192" s="1" t="n">
        <v>45511</v>
      </c>
      <c r="D192" t="inlineStr">
        <is>
          <t>DALARNAS LÄN</t>
        </is>
      </c>
      <c r="E192" t="inlineStr">
        <is>
          <t>LEKSAND</t>
        </is>
      </c>
      <c r="G192" t="n">
        <v>5</v>
      </c>
      <c r="H192" t="n">
        <v>0</v>
      </c>
      <c r="I192" t="n">
        <v>0</v>
      </c>
      <c r="J192" t="n">
        <v>0</v>
      </c>
      <c r="K192" t="n">
        <v>0</v>
      </c>
      <c r="L192" t="n">
        <v>0</v>
      </c>
      <c r="M192" t="n">
        <v>0</v>
      </c>
      <c r="N192" t="n">
        <v>0</v>
      </c>
      <c r="O192" t="n">
        <v>0</v>
      </c>
      <c r="P192" t="n">
        <v>0</v>
      </c>
      <c r="Q192" t="n">
        <v>0</v>
      </c>
      <c r="R192" s="2" t="inlineStr"/>
    </row>
    <row r="193" ht="15" customHeight="1">
      <c r="A193" t="inlineStr">
        <is>
          <t>A 36956-2021</t>
        </is>
      </c>
      <c r="B193" s="1" t="n">
        <v>44393</v>
      </c>
      <c r="C193" s="1" t="n">
        <v>45511</v>
      </c>
      <c r="D193" t="inlineStr">
        <is>
          <t>DALARNAS LÄN</t>
        </is>
      </c>
      <c r="E193" t="inlineStr">
        <is>
          <t>LEKSAND</t>
        </is>
      </c>
      <c r="G193" t="n">
        <v>4.1</v>
      </c>
      <c r="H193" t="n">
        <v>0</v>
      </c>
      <c r="I193" t="n">
        <v>0</v>
      </c>
      <c r="J193" t="n">
        <v>0</v>
      </c>
      <c r="K193" t="n">
        <v>0</v>
      </c>
      <c r="L193" t="n">
        <v>0</v>
      </c>
      <c r="M193" t="n">
        <v>0</v>
      </c>
      <c r="N193" t="n">
        <v>0</v>
      </c>
      <c r="O193" t="n">
        <v>0</v>
      </c>
      <c r="P193" t="n">
        <v>0</v>
      </c>
      <c r="Q193" t="n">
        <v>0</v>
      </c>
      <c r="R193" s="2" t="inlineStr"/>
    </row>
    <row r="194" ht="15" customHeight="1">
      <c r="A194" t="inlineStr">
        <is>
          <t>A 37073-2021</t>
        </is>
      </c>
      <c r="B194" s="1" t="n">
        <v>44394</v>
      </c>
      <c r="C194" s="1" t="n">
        <v>45511</v>
      </c>
      <c r="D194" t="inlineStr">
        <is>
          <t>DALARNAS LÄN</t>
        </is>
      </c>
      <c r="E194" t="inlineStr">
        <is>
          <t>LEKSAND</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37283-2021</t>
        </is>
      </c>
      <c r="B195" s="1" t="n">
        <v>44397</v>
      </c>
      <c r="C195" s="1" t="n">
        <v>45511</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37531-2021</t>
        </is>
      </c>
      <c r="B196" s="1" t="n">
        <v>44399</v>
      </c>
      <c r="C196" s="1" t="n">
        <v>45511</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38192-2021</t>
        </is>
      </c>
      <c r="B197" s="1" t="n">
        <v>44405</v>
      </c>
      <c r="C197" s="1" t="n">
        <v>45511</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38619-2021</t>
        </is>
      </c>
      <c r="B198" s="1" t="n">
        <v>44409</v>
      </c>
      <c r="C198" s="1" t="n">
        <v>45511</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39203-2021</t>
        </is>
      </c>
      <c r="B199" s="1" t="n">
        <v>44413</v>
      </c>
      <c r="C199" s="1" t="n">
        <v>45511</v>
      </c>
      <c r="D199" t="inlineStr">
        <is>
          <t>DALARNAS LÄN</t>
        </is>
      </c>
      <c r="E199" t="inlineStr">
        <is>
          <t>LEKSAND</t>
        </is>
      </c>
      <c r="G199" t="n">
        <v>5</v>
      </c>
      <c r="H199" t="n">
        <v>0</v>
      </c>
      <c r="I199" t="n">
        <v>0</v>
      </c>
      <c r="J199" t="n">
        <v>0</v>
      </c>
      <c r="K199" t="n">
        <v>0</v>
      </c>
      <c r="L199" t="n">
        <v>0</v>
      </c>
      <c r="M199" t="n">
        <v>0</v>
      </c>
      <c r="N199" t="n">
        <v>0</v>
      </c>
      <c r="O199" t="n">
        <v>0</v>
      </c>
      <c r="P199" t="n">
        <v>0</v>
      </c>
      <c r="Q199" t="n">
        <v>0</v>
      </c>
      <c r="R199" s="2" t="inlineStr"/>
    </row>
    <row r="200" ht="15" customHeight="1">
      <c r="A200" t="inlineStr">
        <is>
          <t>A 40584-2021</t>
        </is>
      </c>
      <c r="B200" s="1" t="n">
        <v>44420</v>
      </c>
      <c r="C200" s="1" t="n">
        <v>45511</v>
      </c>
      <c r="D200" t="inlineStr">
        <is>
          <t>DALARNAS LÄN</t>
        </is>
      </c>
      <c r="E200" t="inlineStr">
        <is>
          <t>LEKSAND</t>
        </is>
      </c>
      <c r="G200" t="n">
        <v>6</v>
      </c>
      <c r="H200" t="n">
        <v>0</v>
      </c>
      <c r="I200" t="n">
        <v>0</v>
      </c>
      <c r="J200" t="n">
        <v>0</v>
      </c>
      <c r="K200" t="n">
        <v>0</v>
      </c>
      <c r="L200" t="n">
        <v>0</v>
      </c>
      <c r="M200" t="n">
        <v>0</v>
      </c>
      <c r="N200" t="n">
        <v>0</v>
      </c>
      <c r="O200" t="n">
        <v>0</v>
      </c>
      <c r="P200" t="n">
        <v>0</v>
      </c>
      <c r="Q200" t="n">
        <v>0</v>
      </c>
      <c r="R200" s="2" t="inlineStr"/>
    </row>
    <row r="201" ht="15" customHeight="1">
      <c r="A201" t="inlineStr">
        <is>
          <t>A 42952-2021</t>
        </is>
      </c>
      <c r="B201" s="1" t="n">
        <v>44431</v>
      </c>
      <c r="C201" s="1" t="n">
        <v>45511</v>
      </c>
      <c r="D201" t="inlineStr">
        <is>
          <t>DALARNAS LÄN</t>
        </is>
      </c>
      <c r="E201" t="inlineStr">
        <is>
          <t>LEKSAND</t>
        </is>
      </c>
      <c r="G201" t="n">
        <v>5.4</v>
      </c>
      <c r="H201" t="n">
        <v>0</v>
      </c>
      <c r="I201" t="n">
        <v>0</v>
      </c>
      <c r="J201" t="n">
        <v>0</v>
      </c>
      <c r="K201" t="n">
        <v>0</v>
      </c>
      <c r="L201" t="n">
        <v>0</v>
      </c>
      <c r="M201" t="n">
        <v>0</v>
      </c>
      <c r="N201" t="n">
        <v>0</v>
      </c>
      <c r="O201" t="n">
        <v>0</v>
      </c>
      <c r="P201" t="n">
        <v>0</v>
      </c>
      <c r="Q201" t="n">
        <v>0</v>
      </c>
      <c r="R201" s="2" t="inlineStr"/>
    </row>
    <row r="202" ht="15" customHeight="1">
      <c r="A202" t="inlineStr">
        <is>
          <t>A 43410-2021</t>
        </is>
      </c>
      <c r="B202" s="1" t="n">
        <v>44432</v>
      </c>
      <c r="C202" s="1" t="n">
        <v>45511</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44922-2021</t>
        </is>
      </c>
      <c r="B203" s="1" t="n">
        <v>44438</v>
      </c>
      <c r="C203" s="1" t="n">
        <v>45511</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45155-2021</t>
        </is>
      </c>
      <c r="B204" s="1" t="n">
        <v>44439</v>
      </c>
      <c r="C204" s="1" t="n">
        <v>45511</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45788-2021</t>
        </is>
      </c>
      <c r="B205" s="1" t="n">
        <v>44441</v>
      </c>
      <c r="C205" s="1" t="n">
        <v>45511</v>
      </c>
      <c r="D205" t="inlineStr">
        <is>
          <t>DALARNAS LÄN</t>
        </is>
      </c>
      <c r="E205" t="inlineStr">
        <is>
          <t>LEKSAND</t>
        </is>
      </c>
      <c r="G205" t="n">
        <v>3</v>
      </c>
      <c r="H205" t="n">
        <v>0</v>
      </c>
      <c r="I205" t="n">
        <v>0</v>
      </c>
      <c r="J205" t="n">
        <v>0</v>
      </c>
      <c r="K205" t="n">
        <v>0</v>
      </c>
      <c r="L205" t="n">
        <v>0</v>
      </c>
      <c r="M205" t="n">
        <v>0</v>
      </c>
      <c r="N205" t="n">
        <v>0</v>
      </c>
      <c r="O205" t="n">
        <v>0</v>
      </c>
      <c r="P205" t="n">
        <v>0</v>
      </c>
      <c r="Q205" t="n">
        <v>0</v>
      </c>
      <c r="R205" s="2" t="inlineStr"/>
    </row>
    <row r="206" ht="15" customHeight="1">
      <c r="A206" t="inlineStr">
        <is>
          <t>A 47121-2021</t>
        </is>
      </c>
      <c r="B206" s="1" t="n">
        <v>44446</v>
      </c>
      <c r="C206" s="1" t="n">
        <v>45511</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48949-2021</t>
        </is>
      </c>
      <c r="B207" s="1" t="n">
        <v>44453</v>
      </c>
      <c r="C207" s="1" t="n">
        <v>45511</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53625-2021</t>
        </is>
      </c>
      <c r="B208" s="1" t="n">
        <v>44469</v>
      </c>
      <c r="C208" s="1" t="n">
        <v>45511</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56153-2021</t>
        </is>
      </c>
      <c r="B209" s="1" t="n">
        <v>44477</v>
      </c>
      <c r="C209" s="1" t="n">
        <v>45511</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58569-2021</t>
        </is>
      </c>
      <c r="B210" s="1" t="n">
        <v>44488</v>
      </c>
      <c r="C210" s="1" t="n">
        <v>45511</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59422-2021</t>
        </is>
      </c>
      <c r="B211" s="1" t="n">
        <v>44491</v>
      </c>
      <c r="C211" s="1" t="n">
        <v>45511</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61546-2021</t>
        </is>
      </c>
      <c r="B212" s="1" t="n">
        <v>44501</v>
      </c>
      <c r="C212" s="1" t="n">
        <v>45511</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61669-2021</t>
        </is>
      </c>
      <c r="B213" s="1" t="n">
        <v>44501</v>
      </c>
      <c r="C213" s="1" t="n">
        <v>45511</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61676-2021</t>
        </is>
      </c>
      <c r="B214" s="1" t="n">
        <v>44501</v>
      </c>
      <c r="C214" s="1" t="n">
        <v>45511</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62279-2021</t>
        </is>
      </c>
      <c r="B215" s="1" t="n">
        <v>44503</v>
      </c>
      <c r="C215" s="1" t="n">
        <v>45511</v>
      </c>
      <c r="D215" t="inlineStr">
        <is>
          <t>DALARNAS LÄN</t>
        </is>
      </c>
      <c r="E215" t="inlineStr">
        <is>
          <t>LEKSAND</t>
        </is>
      </c>
      <c r="G215" t="n">
        <v>1.8</v>
      </c>
      <c r="H215" t="n">
        <v>0</v>
      </c>
      <c r="I215" t="n">
        <v>0</v>
      </c>
      <c r="J215" t="n">
        <v>0</v>
      </c>
      <c r="K215" t="n">
        <v>0</v>
      </c>
      <c r="L215" t="n">
        <v>0</v>
      </c>
      <c r="M215" t="n">
        <v>0</v>
      </c>
      <c r="N215" t="n">
        <v>0</v>
      </c>
      <c r="O215" t="n">
        <v>0</v>
      </c>
      <c r="P215" t="n">
        <v>0</v>
      </c>
      <c r="Q215" t="n">
        <v>0</v>
      </c>
      <c r="R215" s="2" t="inlineStr"/>
    </row>
    <row r="216" ht="15" customHeight="1">
      <c r="A216" t="inlineStr">
        <is>
          <t>A 64718-2021</t>
        </is>
      </c>
      <c r="B216" s="1" t="n">
        <v>44512</v>
      </c>
      <c r="C216" s="1" t="n">
        <v>45511</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68573-2021</t>
        </is>
      </c>
      <c r="B217" s="1" t="n">
        <v>44529</v>
      </c>
      <c r="C217" s="1" t="n">
        <v>45511</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68617-2021</t>
        </is>
      </c>
      <c r="B218" s="1" t="n">
        <v>44529</v>
      </c>
      <c r="C218" s="1" t="n">
        <v>45511</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69525-2021</t>
        </is>
      </c>
      <c r="B219" s="1" t="n">
        <v>44531</v>
      </c>
      <c r="C219" s="1" t="n">
        <v>45511</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70098-2021</t>
        </is>
      </c>
      <c r="B220" s="1" t="n">
        <v>44533</v>
      </c>
      <c r="C220" s="1" t="n">
        <v>45511</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70099-2021</t>
        </is>
      </c>
      <c r="B221" s="1" t="n">
        <v>44533</v>
      </c>
      <c r="C221" s="1" t="n">
        <v>45511</v>
      </c>
      <c r="D221" t="inlineStr">
        <is>
          <t>DALARNAS LÄN</t>
        </is>
      </c>
      <c r="E221" t="inlineStr">
        <is>
          <t>LEKSAND</t>
        </is>
      </c>
      <c r="G221" t="n">
        <v>2.8</v>
      </c>
      <c r="H221" t="n">
        <v>0</v>
      </c>
      <c r="I221" t="n">
        <v>0</v>
      </c>
      <c r="J221" t="n">
        <v>0</v>
      </c>
      <c r="K221" t="n">
        <v>0</v>
      </c>
      <c r="L221" t="n">
        <v>0</v>
      </c>
      <c r="M221" t="n">
        <v>0</v>
      </c>
      <c r="N221" t="n">
        <v>0</v>
      </c>
      <c r="O221" t="n">
        <v>0</v>
      </c>
      <c r="P221" t="n">
        <v>0</v>
      </c>
      <c r="Q221" t="n">
        <v>0</v>
      </c>
      <c r="R221" s="2" t="inlineStr"/>
    </row>
    <row r="222" ht="15" customHeight="1">
      <c r="A222" t="inlineStr">
        <is>
          <t>A 70026-2021</t>
        </is>
      </c>
      <c r="B222" s="1" t="n">
        <v>44533</v>
      </c>
      <c r="C222" s="1" t="n">
        <v>45511</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70296-2021</t>
        </is>
      </c>
      <c r="B223" s="1" t="n">
        <v>44536</v>
      </c>
      <c r="C223" s="1" t="n">
        <v>45511</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70451-2021</t>
        </is>
      </c>
      <c r="B224" s="1" t="n">
        <v>44536</v>
      </c>
      <c r="C224" s="1" t="n">
        <v>45511</v>
      </c>
      <c r="D224" t="inlineStr">
        <is>
          <t>DALARNAS LÄN</t>
        </is>
      </c>
      <c r="E224" t="inlineStr">
        <is>
          <t>LEKSAND</t>
        </is>
      </c>
      <c r="G224" t="n">
        <v>3.7</v>
      </c>
      <c r="H224" t="n">
        <v>0</v>
      </c>
      <c r="I224" t="n">
        <v>0</v>
      </c>
      <c r="J224" t="n">
        <v>0</v>
      </c>
      <c r="K224" t="n">
        <v>0</v>
      </c>
      <c r="L224" t="n">
        <v>0</v>
      </c>
      <c r="M224" t="n">
        <v>0</v>
      </c>
      <c r="N224" t="n">
        <v>0</v>
      </c>
      <c r="O224" t="n">
        <v>0</v>
      </c>
      <c r="P224" t="n">
        <v>0</v>
      </c>
      <c r="Q224" t="n">
        <v>0</v>
      </c>
      <c r="R224" s="2" t="inlineStr"/>
    </row>
    <row r="225" ht="15" customHeight="1">
      <c r="A225" t="inlineStr">
        <is>
          <t>A 71311-2021</t>
        </is>
      </c>
      <c r="B225" s="1" t="n">
        <v>44539</v>
      </c>
      <c r="C225" s="1" t="n">
        <v>45511</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71754-2021</t>
        </is>
      </c>
      <c r="B226" s="1" t="n">
        <v>44543</v>
      </c>
      <c r="C226" s="1" t="n">
        <v>45511</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71817-2021</t>
        </is>
      </c>
      <c r="B227" s="1" t="n">
        <v>44543</v>
      </c>
      <c r="C227" s="1" t="n">
        <v>45511</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72155-2021</t>
        </is>
      </c>
      <c r="B228" s="1" t="n">
        <v>44543</v>
      </c>
      <c r="C228" s="1" t="n">
        <v>45511</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72000-2021</t>
        </is>
      </c>
      <c r="B229" s="1" t="n">
        <v>44544</v>
      </c>
      <c r="C229" s="1" t="n">
        <v>45511</v>
      </c>
      <c r="D229" t="inlineStr">
        <is>
          <t>DALARNAS LÄN</t>
        </is>
      </c>
      <c r="E229" t="inlineStr">
        <is>
          <t>LEKSAND</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72001-2021</t>
        </is>
      </c>
      <c r="B230" s="1" t="n">
        <v>44544</v>
      </c>
      <c r="C230" s="1" t="n">
        <v>45511</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72581-2021</t>
        </is>
      </c>
      <c r="B231" s="1" t="n">
        <v>44546</v>
      </c>
      <c r="C231" s="1" t="n">
        <v>45511</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72531-2021</t>
        </is>
      </c>
      <c r="B232" s="1" t="n">
        <v>44546</v>
      </c>
      <c r="C232" s="1" t="n">
        <v>45511</v>
      </c>
      <c r="D232" t="inlineStr">
        <is>
          <t>DALARNAS LÄN</t>
        </is>
      </c>
      <c r="E232" t="inlineStr">
        <is>
          <t>LEKSAND</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72575-2021</t>
        </is>
      </c>
      <c r="B233" s="1" t="n">
        <v>44546</v>
      </c>
      <c r="C233" s="1" t="n">
        <v>45511</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74067-2021</t>
        </is>
      </c>
      <c r="B234" s="1" t="n">
        <v>44553</v>
      </c>
      <c r="C234" s="1" t="n">
        <v>45511</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791-2022</t>
        </is>
      </c>
      <c r="B235" s="1" t="n">
        <v>44570</v>
      </c>
      <c r="C235" s="1" t="n">
        <v>45511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1775-2022</t>
        </is>
      </c>
      <c r="B236" s="1" t="n">
        <v>44574</v>
      </c>
      <c r="C236" s="1" t="n">
        <v>45511</v>
      </c>
      <c r="D236" t="inlineStr">
        <is>
          <t>DALARNAS LÄN</t>
        </is>
      </c>
      <c r="E236" t="inlineStr">
        <is>
          <t>LEKSAND</t>
        </is>
      </c>
      <c r="G236" t="n">
        <v>2</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45511</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4257-2022</t>
        </is>
      </c>
      <c r="B238" s="1" t="n">
        <v>44588</v>
      </c>
      <c r="C238" s="1" t="n">
        <v>45511</v>
      </c>
      <c r="D238" t="inlineStr">
        <is>
          <t>DALARNAS LÄN</t>
        </is>
      </c>
      <c r="E238" t="inlineStr">
        <is>
          <t>LEKSAND</t>
        </is>
      </c>
      <c r="G238" t="n">
        <v>6.8</v>
      </c>
      <c r="H238" t="n">
        <v>0</v>
      </c>
      <c r="I238" t="n">
        <v>0</v>
      </c>
      <c r="J238" t="n">
        <v>0</v>
      </c>
      <c r="K238" t="n">
        <v>0</v>
      </c>
      <c r="L238" t="n">
        <v>0</v>
      </c>
      <c r="M238" t="n">
        <v>0</v>
      </c>
      <c r="N238" t="n">
        <v>0</v>
      </c>
      <c r="O238" t="n">
        <v>0</v>
      </c>
      <c r="P238" t="n">
        <v>0</v>
      </c>
      <c r="Q238" t="n">
        <v>0</v>
      </c>
      <c r="R238" s="2" t="inlineStr"/>
    </row>
    <row r="239" ht="15" customHeight="1">
      <c r="A239" t="inlineStr">
        <is>
          <t>A 4609-2022</t>
        </is>
      </c>
      <c r="B239" s="1" t="n">
        <v>44592</v>
      </c>
      <c r="C239" s="1" t="n">
        <v>45511</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8501-2022</t>
        </is>
      </c>
      <c r="B240" s="1" t="n">
        <v>44613</v>
      </c>
      <c r="C240" s="1" t="n">
        <v>45511</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11015-2022</t>
        </is>
      </c>
      <c r="B241" s="1" t="n">
        <v>44628</v>
      </c>
      <c r="C241" s="1" t="n">
        <v>45511</v>
      </c>
      <c r="D241" t="inlineStr">
        <is>
          <t>DALARNAS LÄN</t>
        </is>
      </c>
      <c r="E241" t="inlineStr">
        <is>
          <t>LEKSAND</t>
        </is>
      </c>
      <c r="G241" t="n">
        <v>1.4</v>
      </c>
      <c r="H241" t="n">
        <v>0</v>
      </c>
      <c r="I241" t="n">
        <v>0</v>
      </c>
      <c r="J241" t="n">
        <v>0</v>
      </c>
      <c r="K241" t="n">
        <v>0</v>
      </c>
      <c r="L241" t="n">
        <v>0</v>
      </c>
      <c r="M241" t="n">
        <v>0</v>
      </c>
      <c r="N241" t="n">
        <v>0</v>
      </c>
      <c r="O241" t="n">
        <v>0</v>
      </c>
      <c r="P241" t="n">
        <v>0</v>
      </c>
      <c r="Q241" t="n">
        <v>0</v>
      </c>
      <c r="R241" s="2" t="inlineStr"/>
    </row>
    <row r="242" ht="15" customHeight="1">
      <c r="A242" t="inlineStr">
        <is>
          <t>A 11412-2022</t>
        </is>
      </c>
      <c r="B242" s="1" t="n">
        <v>44630</v>
      </c>
      <c r="C242" s="1" t="n">
        <v>45511</v>
      </c>
      <c r="D242" t="inlineStr">
        <is>
          <t>DALARNAS LÄN</t>
        </is>
      </c>
      <c r="E242" t="inlineStr">
        <is>
          <t>LEKSAND</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12992-2022</t>
        </is>
      </c>
      <c r="B243" s="1" t="n">
        <v>44643</v>
      </c>
      <c r="C243" s="1" t="n">
        <v>45511</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14140-2022</t>
        </is>
      </c>
      <c r="B244" s="1" t="n">
        <v>44651</v>
      </c>
      <c r="C244" s="1" t="n">
        <v>45511</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14806-2022</t>
        </is>
      </c>
      <c r="B245" s="1" t="n">
        <v>44656</v>
      </c>
      <c r="C245" s="1" t="n">
        <v>45511</v>
      </c>
      <c r="D245" t="inlineStr">
        <is>
          <t>DALARNAS LÄN</t>
        </is>
      </c>
      <c r="E245" t="inlineStr">
        <is>
          <t>LEKSAND</t>
        </is>
      </c>
      <c r="F245" t="inlineStr">
        <is>
          <t>Bergvik skog väst AB</t>
        </is>
      </c>
      <c r="G245" t="n">
        <v>1</v>
      </c>
      <c r="H245" t="n">
        <v>0</v>
      </c>
      <c r="I245" t="n">
        <v>0</v>
      </c>
      <c r="J245" t="n">
        <v>0</v>
      </c>
      <c r="K245" t="n">
        <v>0</v>
      </c>
      <c r="L245" t="n">
        <v>0</v>
      </c>
      <c r="M245" t="n">
        <v>0</v>
      </c>
      <c r="N245" t="n">
        <v>0</v>
      </c>
      <c r="O245" t="n">
        <v>0</v>
      </c>
      <c r="P245" t="n">
        <v>0</v>
      </c>
      <c r="Q245" t="n">
        <v>0</v>
      </c>
      <c r="R245" s="2" t="inlineStr"/>
    </row>
    <row r="246" ht="15" customHeight="1">
      <c r="A246" t="inlineStr">
        <is>
          <t>A 16353-2022</t>
        </is>
      </c>
      <c r="B246" s="1" t="n">
        <v>44670</v>
      </c>
      <c r="C246" s="1" t="n">
        <v>45511</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16375-2022</t>
        </is>
      </c>
      <c r="B247" s="1" t="n">
        <v>44671</v>
      </c>
      <c r="C247" s="1" t="n">
        <v>45511</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16976-2022</t>
        </is>
      </c>
      <c r="B248" s="1" t="n">
        <v>44676</v>
      </c>
      <c r="C248" s="1" t="n">
        <v>45511</v>
      </c>
      <c r="D248" t="inlineStr">
        <is>
          <t>DALARNAS LÄN</t>
        </is>
      </c>
      <c r="E248" t="inlineStr">
        <is>
          <t>LEKSAND</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17455-2022</t>
        </is>
      </c>
      <c r="B249" s="1" t="n">
        <v>44679</v>
      </c>
      <c r="C249" s="1" t="n">
        <v>45511</v>
      </c>
      <c r="D249" t="inlineStr">
        <is>
          <t>DALARNAS LÄN</t>
        </is>
      </c>
      <c r="E249" t="inlineStr">
        <is>
          <t>LEKSAND</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18140-2022</t>
        </is>
      </c>
      <c r="B250" s="1" t="n">
        <v>44684</v>
      </c>
      <c r="C250" s="1" t="n">
        <v>45511</v>
      </c>
      <c r="D250" t="inlineStr">
        <is>
          <t>DALARNAS LÄN</t>
        </is>
      </c>
      <c r="E250" t="inlineStr">
        <is>
          <t>LEKSAND</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18866-2022</t>
        </is>
      </c>
      <c r="B251" s="1" t="n">
        <v>44690</v>
      </c>
      <c r="C251" s="1" t="n">
        <v>45511</v>
      </c>
      <c r="D251" t="inlineStr">
        <is>
          <t>DALARNAS LÄN</t>
        </is>
      </c>
      <c r="E251" t="inlineStr">
        <is>
          <t>LEKSAND</t>
        </is>
      </c>
      <c r="F251" t="inlineStr">
        <is>
          <t>Övriga Aktiebolag</t>
        </is>
      </c>
      <c r="G251" t="n">
        <v>5.1</v>
      </c>
      <c r="H251" t="n">
        <v>0</v>
      </c>
      <c r="I251" t="n">
        <v>0</v>
      </c>
      <c r="J251" t="n">
        <v>0</v>
      </c>
      <c r="K251" t="n">
        <v>0</v>
      </c>
      <c r="L251" t="n">
        <v>0</v>
      </c>
      <c r="M251" t="n">
        <v>0</v>
      </c>
      <c r="N251" t="n">
        <v>0</v>
      </c>
      <c r="O251" t="n">
        <v>0</v>
      </c>
      <c r="P251" t="n">
        <v>0</v>
      </c>
      <c r="Q251" t="n">
        <v>0</v>
      </c>
      <c r="R251" s="2" t="inlineStr"/>
    </row>
    <row r="252" ht="15" customHeight="1">
      <c r="A252" t="inlineStr">
        <is>
          <t>A 18870-2022</t>
        </is>
      </c>
      <c r="B252" s="1" t="n">
        <v>44690</v>
      </c>
      <c r="C252" s="1" t="n">
        <v>45511</v>
      </c>
      <c r="D252" t="inlineStr">
        <is>
          <t>DALARNAS LÄN</t>
        </is>
      </c>
      <c r="E252" t="inlineStr">
        <is>
          <t>LEKSAND</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19467-2022</t>
        </is>
      </c>
      <c r="B253" s="1" t="n">
        <v>44693</v>
      </c>
      <c r="C253" s="1" t="n">
        <v>45511</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19480-2022</t>
        </is>
      </c>
      <c r="B254" s="1" t="n">
        <v>44693</v>
      </c>
      <c r="C254" s="1" t="n">
        <v>45511</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19993-2022</t>
        </is>
      </c>
      <c r="B255" s="1" t="n">
        <v>44697</v>
      </c>
      <c r="C255" s="1" t="n">
        <v>45511</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20274-2022</t>
        </is>
      </c>
      <c r="B256" s="1" t="n">
        <v>44698</v>
      </c>
      <c r="C256" s="1" t="n">
        <v>45511</v>
      </c>
      <c r="D256" t="inlineStr">
        <is>
          <t>DALARNAS LÄN</t>
        </is>
      </c>
      <c r="E256" t="inlineStr">
        <is>
          <t>LEKSAND</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21565-2022</t>
        </is>
      </c>
      <c r="B257" s="1" t="n">
        <v>44704</v>
      </c>
      <c r="C257" s="1" t="n">
        <v>45511</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21841-2022</t>
        </is>
      </c>
      <c r="B258" s="1" t="n">
        <v>44711</v>
      </c>
      <c r="C258" s="1" t="n">
        <v>45511</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21839-2022</t>
        </is>
      </c>
      <c r="B259" s="1" t="n">
        <v>44711</v>
      </c>
      <c r="C259" s="1" t="n">
        <v>45511</v>
      </c>
      <c r="D259" t="inlineStr">
        <is>
          <t>DALARNAS LÄN</t>
        </is>
      </c>
      <c r="E259" t="inlineStr">
        <is>
          <t>LEKSAND</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21840-2022</t>
        </is>
      </c>
      <c r="B260" s="1" t="n">
        <v>44711</v>
      </c>
      <c r="C260" s="1" t="n">
        <v>45511</v>
      </c>
      <c r="D260" t="inlineStr">
        <is>
          <t>DALARNAS LÄN</t>
        </is>
      </c>
      <c r="E260" t="inlineStr">
        <is>
          <t>LEKSAND</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22683-2022</t>
        </is>
      </c>
      <c r="B261" s="1" t="n">
        <v>44714</v>
      </c>
      <c r="C261" s="1" t="n">
        <v>45511</v>
      </c>
      <c r="D261" t="inlineStr">
        <is>
          <t>DALARNAS LÄN</t>
        </is>
      </c>
      <c r="E261" t="inlineStr">
        <is>
          <t>LEKSAND</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22681-2022</t>
        </is>
      </c>
      <c r="B262" s="1" t="n">
        <v>44714</v>
      </c>
      <c r="C262" s="1" t="n">
        <v>45511</v>
      </c>
      <c r="D262" t="inlineStr">
        <is>
          <t>DALARNAS LÄN</t>
        </is>
      </c>
      <c r="E262" t="inlineStr">
        <is>
          <t>LEKSAND</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22684-2022</t>
        </is>
      </c>
      <c r="B263" s="1" t="n">
        <v>44714</v>
      </c>
      <c r="C263" s="1" t="n">
        <v>45511</v>
      </c>
      <c r="D263" t="inlineStr">
        <is>
          <t>DALARNAS LÄN</t>
        </is>
      </c>
      <c r="E263" t="inlineStr">
        <is>
          <t>LEKSAND</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23137-2022</t>
        </is>
      </c>
      <c r="B264" s="1" t="n">
        <v>44719</v>
      </c>
      <c r="C264" s="1" t="n">
        <v>45511</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25329-2022</t>
        </is>
      </c>
      <c r="B265" s="1" t="n">
        <v>44731</v>
      </c>
      <c r="C265" s="1" t="n">
        <v>45511</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26289-2022</t>
        </is>
      </c>
      <c r="B266" s="1" t="n">
        <v>44735</v>
      </c>
      <c r="C266" s="1" t="n">
        <v>45511</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26882-2022</t>
        </is>
      </c>
      <c r="B267" s="1" t="n">
        <v>44740</v>
      </c>
      <c r="C267" s="1" t="n">
        <v>45511</v>
      </c>
      <c r="D267" t="inlineStr">
        <is>
          <t>DALARNAS LÄN</t>
        </is>
      </c>
      <c r="E267" t="inlineStr">
        <is>
          <t>LEKSAND</t>
        </is>
      </c>
      <c r="G267" t="n">
        <v>2.2</v>
      </c>
      <c r="H267" t="n">
        <v>0</v>
      </c>
      <c r="I267" t="n">
        <v>0</v>
      </c>
      <c r="J267" t="n">
        <v>0</v>
      </c>
      <c r="K267" t="n">
        <v>0</v>
      </c>
      <c r="L267" t="n">
        <v>0</v>
      </c>
      <c r="M267" t="n">
        <v>0</v>
      </c>
      <c r="N267" t="n">
        <v>0</v>
      </c>
      <c r="O267" t="n">
        <v>0</v>
      </c>
      <c r="P267" t="n">
        <v>0</v>
      </c>
      <c r="Q267" t="n">
        <v>0</v>
      </c>
      <c r="R267" s="2" t="inlineStr"/>
    </row>
    <row r="268" ht="15" customHeight="1">
      <c r="A268" t="inlineStr">
        <is>
          <t>A 28128-2022</t>
        </is>
      </c>
      <c r="B268" s="1" t="n">
        <v>44746</v>
      </c>
      <c r="C268" s="1" t="n">
        <v>45511</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28911-2022</t>
        </is>
      </c>
      <c r="B269" s="1" t="n">
        <v>44749</v>
      </c>
      <c r="C269" s="1" t="n">
        <v>45511</v>
      </c>
      <c r="D269" t="inlineStr">
        <is>
          <t>DALARNAS LÄN</t>
        </is>
      </c>
      <c r="E269" t="inlineStr">
        <is>
          <t>LEKSAND</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28892-2022</t>
        </is>
      </c>
      <c r="B270" s="1" t="n">
        <v>44749</v>
      </c>
      <c r="C270" s="1" t="n">
        <v>45511</v>
      </c>
      <c r="D270" t="inlineStr">
        <is>
          <t>DALARNAS LÄN</t>
        </is>
      </c>
      <c r="E270" t="inlineStr">
        <is>
          <t>LEKSAND</t>
        </is>
      </c>
      <c r="F270" t="inlineStr">
        <is>
          <t>Bergvik skog väst AB</t>
        </is>
      </c>
      <c r="G270" t="n">
        <v>9.1</v>
      </c>
      <c r="H270" t="n">
        <v>0</v>
      </c>
      <c r="I270" t="n">
        <v>0</v>
      </c>
      <c r="J270" t="n">
        <v>0</v>
      </c>
      <c r="K270" t="n">
        <v>0</v>
      </c>
      <c r="L270" t="n">
        <v>0</v>
      </c>
      <c r="M270" t="n">
        <v>0</v>
      </c>
      <c r="N270" t="n">
        <v>0</v>
      </c>
      <c r="O270" t="n">
        <v>0</v>
      </c>
      <c r="P270" t="n">
        <v>0</v>
      </c>
      <c r="Q270" t="n">
        <v>0</v>
      </c>
      <c r="R270" s="2" t="inlineStr"/>
    </row>
    <row r="271" ht="15" customHeight="1">
      <c r="A271" t="inlineStr">
        <is>
          <t>A 28912-2022</t>
        </is>
      </c>
      <c r="B271" s="1" t="n">
        <v>44749</v>
      </c>
      <c r="C271" s="1" t="n">
        <v>45511</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29205-2022</t>
        </is>
      </c>
      <c r="B272" s="1" t="n">
        <v>44750</v>
      </c>
      <c r="C272" s="1" t="n">
        <v>45511</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29157-2022</t>
        </is>
      </c>
      <c r="B273" s="1" t="n">
        <v>44750</v>
      </c>
      <c r="C273" s="1" t="n">
        <v>45511</v>
      </c>
      <c r="D273" t="inlineStr">
        <is>
          <t>DALARNAS LÄN</t>
        </is>
      </c>
      <c r="E273" t="inlineStr">
        <is>
          <t>LEKSAND</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30449-2022</t>
        </is>
      </c>
      <c r="B274" s="1" t="n">
        <v>44761</v>
      </c>
      <c r="C274" s="1" t="n">
        <v>45511</v>
      </c>
      <c r="D274" t="inlineStr">
        <is>
          <t>DALARNAS LÄN</t>
        </is>
      </c>
      <c r="E274" t="inlineStr">
        <is>
          <t>LEKSAND</t>
        </is>
      </c>
      <c r="G274" t="n">
        <v>5.7</v>
      </c>
      <c r="H274" t="n">
        <v>0</v>
      </c>
      <c r="I274" t="n">
        <v>0</v>
      </c>
      <c r="J274" t="n">
        <v>0</v>
      </c>
      <c r="K274" t="n">
        <v>0</v>
      </c>
      <c r="L274" t="n">
        <v>0</v>
      </c>
      <c r="M274" t="n">
        <v>0</v>
      </c>
      <c r="N274" t="n">
        <v>0</v>
      </c>
      <c r="O274" t="n">
        <v>0</v>
      </c>
      <c r="P274" t="n">
        <v>0</v>
      </c>
      <c r="Q274" t="n">
        <v>0</v>
      </c>
      <c r="R274" s="2" t="inlineStr"/>
    </row>
    <row r="275" ht="15" customHeight="1">
      <c r="A275" t="inlineStr">
        <is>
          <t>A 31746-2022</t>
        </is>
      </c>
      <c r="B275" s="1" t="n">
        <v>44776</v>
      </c>
      <c r="C275" s="1" t="n">
        <v>45511</v>
      </c>
      <c r="D275" t="inlineStr">
        <is>
          <t>DALARNAS LÄN</t>
        </is>
      </c>
      <c r="E275" t="inlineStr">
        <is>
          <t>LEKSAND</t>
        </is>
      </c>
      <c r="G275" t="n">
        <v>3.3</v>
      </c>
      <c r="H275" t="n">
        <v>0</v>
      </c>
      <c r="I275" t="n">
        <v>0</v>
      </c>
      <c r="J275" t="n">
        <v>0</v>
      </c>
      <c r="K275" t="n">
        <v>0</v>
      </c>
      <c r="L275" t="n">
        <v>0</v>
      </c>
      <c r="M275" t="n">
        <v>0</v>
      </c>
      <c r="N275" t="n">
        <v>0</v>
      </c>
      <c r="O275" t="n">
        <v>0</v>
      </c>
      <c r="P275" t="n">
        <v>0</v>
      </c>
      <c r="Q275" t="n">
        <v>0</v>
      </c>
      <c r="R275" s="2" t="inlineStr"/>
    </row>
    <row r="276" ht="15" customHeight="1">
      <c r="A276" t="inlineStr">
        <is>
          <t>A 31871-2022</t>
        </is>
      </c>
      <c r="B276" s="1" t="n">
        <v>44777</v>
      </c>
      <c r="C276" s="1" t="n">
        <v>45511</v>
      </c>
      <c r="D276" t="inlineStr">
        <is>
          <t>DALARNAS LÄN</t>
        </is>
      </c>
      <c r="E276" t="inlineStr">
        <is>
          <t>LEKSAND</t>
        </is>
      </c>
      <c r="G276" t="n">
        <v>4.1</v>
      </c>
      <c r="H276" t="n">
        <v>0</v>
      </c>
      <c r="I276" t="n">
        <v>0</v>
      </c>
      <c r="J276" t="n">
        <v>0</v>
      </c>
      <c r="K276" t="n">
        <v>0</v>
      </c>
      <c r="L276" t="n">
        <v>0</v>
      </c>
      <c r="M276" t="n">
        <v>0</v>
      </c>
      <c r="N276" t="n">
        <v>0</v>
      </c>
      <c r="O276" t="n">
        <v>0</v>
      </c>
      <c r="P276" t="n">
        <v>0</v>
      </c>
      <c r="Q276" t="n">
        <v>0</v>
      </c>
      <c r="R276" s="2" t="inlineStr"/>
    </row>
    <row r="277" ht="15" customHeight="1">
      <c r="A277" t="inlineStr">
        <is>
          <t>A 32225-2022</t>
        </is>
      </c>
      <c r="B277" s="1" t="n">
        <v>44781</v>
      </c>
      <c r="C277" s="1" t="n">
        <v>45511</v>
      </c>
      <c r="D277" t="inlineStr">
        <is>
          <t>DALARNAS LÄN</t>
        </is>
      </c>
      <c r="E277" t="inlineStr">
        <is>
          <t>LEKSAND</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32476-2022</t>
        </is>
      </c>
      <c r="B278" s="1" t="n">
        <v>44782</v>
      </c>
      <c r="C278" s="1" t="n">
        <v>45511</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32791-2022</t>
        </is>
      </c>
      <c r="B279" s="1" t="n">
        <v>44784</v>
      </c>
      <c r="C279" s="1" t="n">
        <v>45511</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33198-2022</t>
        </is>
      </c>
      <c r="B280" s="1" t="n">
        <v>44785</v>
      </c>
      <c r="C280" s="1" t="n">
        <v>45511</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34317-2022</t>
        </is>
      </c>
      <c r="B281" s="1" t="n">
        <v>44792</v>
      </c>
      <c r="C281" s="1" t="n">
        <v>45511</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34482-2022</t>
        </is>
      </c>
      <c r="B282" s="1" t="n">
        <v>44792</v>
      </c>
      <c r="C282" s="1" t="n">
        <v>45511</v>
      </c>
      <c r="D282" t="inlineStr">
        <is>
          <t>DALARNAS LÄN</t>
        </is>
      </c>
      <c r="E282" t="inlineStr">
        <is>
          <t>LEKSAND</t>
        </is>
      </c>
      <c r="G282" t="n">
        <v>2.6</v>
      </c>
      <c r="H282" t="n">
        <v>0</v>
      </c>
      <c r="I282" t="n">
        <v>0</v>
      </c>
      <c r="J282" t="n">
        <v>0</v>
      </c>
      <c r="K282" t="n">
        <v>0</v>
      </c>
      <c r="L282" t="n">
        <v>0</v>
      </c>
      <c r="M282" t="n">
        <v>0</v>
      </c>
      <c r="N282" t="n">
        <v>0</v>
      </c>
      <c r="O282" t="n">
        <v>0</v>
      </c>
      <c r="P282" t="n">
        <v>0</v>
      </c>
      <c r="Q282" t="n">
        <v>0</v>
      </c>
      <c r="R282" s="2" t="inlineStr"/>
    </row>
    <row r="283" ht="15" customHeight="1">
      <c r="A283" t="inlineStr">
        <is>
          <t>A 35080-2022</t>
        </is>
      </c>
      <c r="B283" s="1" t="n">
        <v>44797</v>
      </c>
      <c r="C283" s="1" t="n">
        <v>45511</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35087-2022</t>
        </is>
      </c>
      <c r="B284" s="1" t="n">
        <v>44797</v>
      </c>
      <c r="C284" s="1" t="n">
        <v>45511</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35801-2022</t>
        </is>
      </c>
      <c r="B285" s="1" t="n">
        <v>44802</v>
      </c>
      <c r="C285" s="1" t="n">
        <v>45511</v>
      </c>
      <c r="D285" t="inlineStr">
        <is>
          <t>DALARNAS LÄN</t>
        </is>
      </c>
      <c r="E285" t="inlineStr">
        <is>
          <t>LEKSAND</t>
        </is>
      </c>
      <c r="F285" t="inlineStr">
        <is>
          <t>Bergvik skog väst AB</t>
        </is>
      </c>
      <c r="G285" t="n">
        <v>6.4</v>
      </c>
      <c r="H285" t="n">
        <v>0</v>
      </c>
      <c r="I285" t="n">
        <v>0</v>
      </c>
      <c r="J285" t="n">
        <v>0</v>
      </c>
      <c r="K285" t="n">
        <v>0</v>
      </c>
      <c r="L285" t="n">
        <v>0</v>
      </c>
      <c r="M285" t="n">
        <v>0</v>
      </c>
      <c r="N285" t="n">
        <v>0</v>
      </c>
      <c r="O285" t="n">
        <v>0</v>
      </c>
      <c r="P285" t="n">
        <v>0</v>
      </c>
      <c r="Q285" t="n">
        <v>0</v>
      </c>
      <c r="R285" s="2" t="inlineStr"/>
    </row>
    <row r="286" ht="15" customHeight="1">
      <c r="A286" t="inlineStr">
        <is>
          <t>A 35952-2022</t>
        </is>
      </c>
      <c r="B286" s="1" t="n">
        <v>44802</v>
      </c>
      <c r="C286" s="1" t="n">
        <v>45511</v>
      </c>
      <c r="D286" t="inlineStr">
        <is>
          <t>DALARNAS LÄN</t>
        </is>
      </c>
      <c r="E286" t="inlineStr">
        <is>
          <t>LEKSAND</t>
        </is>
      </c>
      <c r="G286" t="n">
        <v>4.6</v>
      </c>
      <c r="H286" t="n">
        <v>0</v>
      </c>
      <c r="I286" t="n">
        <v>0</v>
      </c>
      <c r="J286" t="n">
        <v>0</v>
      </c>
      <c r="K286" t="n">
        <v>0</v>
      </c>
      <c r="L286" t="n">
        <v>0</v>
      </c>
      <c r="M286" t="n">
        <v>0</v>
      </c>
      <c r="N286" t="n">
        <v>0</v>
      </c>
      <c r="O286" t="n">
        <v>0</v>
      </c>
      <c r="P286" t="n">
        <v>0</v>
      </c>
      <c r="Q286" t="n">
        <v>0</v>
      </c>
      <c r="R286" s="2" t="inlineStr"/>
    </row>
    <row r="287" ht="15" customHeight="1">
      <c r="A287" t="inlineStr">
        <is>
          <t>A 37300-2022</t>
        </is>
      </c>
      <c r="B287" s="1" t="n">
        <v>44808</v>
      </c>
      <c r="C287" s="1" t="n">
        <v>45511</v>
      </c>
      <c r="D287" t="inlineStr">
        <is>
          <t>DALARNAS LÄN</t>
        </is>
      </c>
      <c r="E287" t="inlineStr">
        <is>
          <t>LEKSAND</t>
        </is>
      </c>
      <c r="G287" t="n">
        <v>6.3</v>
      </c>
      <c r="H287" t="n">
        <v>0</v>
      </c>
      <c r="I287" t="n">
        <v>0</v>
      </c>
      <c r="J287" t="n">
        <v>0</v>
      </c>
      <c r="K287" t="n">
        <v>0</v>
      </c>
      <c r="L287" t="n">
        <v>0</v>
      </c>
      <c r="M287" t="n">
        <v>0</v>
      </c>
      <c r="N287" t="n">
        <v>0</v>
      </c>
      <c r="O287" t="n">
        <v>0</v>
      </c>
      <c r="P287" t="n">
        <v>0</v>
      </c>
      <c r="Q287" t="n">
        <v>0</v>
      </c>
      <c r="R287" s="2" t="inlineStr"/>
    </row>
    <row r="288" ht="15" customHeight="1">
      <c r="A288" t="inlineStr">
        <is>
          <t>A 37928-2022</t>
        </is>
      </c>
      <c r="B288" s="1" t="n">
        <v>44811</v>
      </c>
      <c r="C288" s="1" t="n">
        <v>45511</v>
      </c>
      <c r="D288" t="inlineStr">
        <is>
          <t>DALARNAS LÄN</t>
        </is>
      </c>
      <c r="E288" t="inlineStr">
        <is>
          <t>LEKSAND</t>
        </is>
      </c>
      <c r="G288" t="n">
        <v>1.8</v>
      </c>
      <c r="H288" t="n">
        <v>0</v>
      </c>
      <c r="I288" t="n">
        <v>0</v>
      </c>
      <c r="J288" t="n">
        <v>0</v>
      </c>
      <c r="K288" t="n">
        <v>0</v>
      </c>
      <c r="L288" t="n">
        <v>0</v>
      </c>
      <c r="M288" t="n">
        <v>0</v>
      </c>
      <c r="N288" t="n">
        <v>0</v>
      </c>
      <c r="O288" t="n">
        <v>0</v>
      </c>
      <c r="P288" t="n">
        <v>0</v>
      </c>
      <c r="Q288" t="n">
        <v>0</v>
      </c>
      <c r="R288" s="2" t="inlineStr"/>
    </row>
    <row r="289" ht="15" customHeight="1">
      <c r="A289" t="inlineStr">
        <is>
          <t>A 38236-2022</t>
        </is>
      </c>
      <c r="B289" s="1" t="n">
        <v>44812</v>
      </c>
      <c r="C289" s="1" t="n">
        <v>45511</v>
      </c>
      <c r="D289" t="inlineStr">
        <is>
          <t>DALARNAS LÄN</t>
        </is>
      </c>
      <c r="E289" t="inlineStr">
        <is>
          <t>LEKSAND</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38258-2022</t>
        </is>
      </c>
      <c r="B290" s="1" t="n">
        <v>44812</v>
      </c>
      <c r="C290" s="1" t="n">
        <v>45511</v>
      </c>
      <c r="D290" t="inlineStr">
        <is>
          <t>DALARNAS LÄN</t>
        </is>
      </c>
      <c r="E290" t="inlineStr">
        <is>
          <t>LEKSAND</t>
        </is>
      </c>
      <c r="G290" t="n">
        <v>3.9</v>
      </c>
      <c r="H290" t="n">
        <v>0</v>
      </c>
      <c r="I290" t="n">
        <v>0</v>
      </c>
      <c r="J290" t="n">
        <v>0</v>
      </c>
      <c r="K290" t="n">
        <v>0</v>
      </c>
      <c r="L290" t="n">
        <v>0</v>
      </c>
      <c r="M290" t="n">
        <v>0</v>
      </c>
      <c r="N290" t="n">
        <v>0</v>
      </c>
      <c r="O290" t="n">
        <v>0</v>
      </c>
      <c r="P290" t="n">
        <v>0</v>
      </c>
      <c r="Q290" t="n">
        <v>0</v>
      </c>
      <c r="R290" s="2" t="inlineStr"/>
    </row>
    <row r="291" ht="15" customHeight="1">
      <c r="A291" t="inlineStr">
        <is>
          <t>A 38764-2022</t>
        </is>
      </c>
      <c r="B291" s="1" t="n">
        <v>44816</v>
      </c>
      <c r="C291" s="1" t="n">
        <v>45511</v>
      </c>
      <c r="D291" t="inlineStr">
        <is>
          <t>DALARNAS LÄN</t>
        </is>
      </c>
      <c r="E291" t="inlineStr">
        <is>
          <t>LEKSAND</t>
        </is>
      </c>
      <c r="G291" t="n">
        <v>0.6</v>
      </c>
      <c r="H291" t="n">
        <v>0</v>
      </c>
      <c r="I291" t="n">
        <v>0</v>
      </c>
      <c r="J291" t="n">
        <v>0</v>
      </c>
      <c r="K291" t="n">
        <v>0</v>
      </c>
      <c r="L291" t="n">
        <v>0</v>
      </c>
      <c r="M291" t="n">
        <v>0</v>
      </c>
      <c r="N291" t="n">
        <v>0</v>
      </c>
      <c r="O291" t="n">
        <v>0</v>
      </c>
      <c r="P291" t="n">
        <v>0</v>
      </c>
      <c r="Q291" t="n">
        <v>0</v>
      </c>
      <c r="R291" s="2" t="inlineStr"/>
    </row>
    <row r="292" ht="15" customHeight="1">
      <c r="A292" t="inlineStr">
        <is>
          <t>A 39658-2022</t>
        </is>
      </c>
      <c r="B292" s="1" t="n">
        <v>44818</v>
      </c>
      <c r="C292" s="1" t="n">
        <v>45511</v>
      </c>
      <c r="D292" t="inlineStr">
        <is>
          <t>DALARNAS LÄN</t>
        </is>
      </c>
      <c r="E292" t="inlineStr">
        <is>
          <t>LEKSAND</t>
        </is>
      </c>
      <c r="G292" t="n">
        <v>5.4</v>
      </c>
      <c r="H292" t="n">
        <v>0</v>
      </c>
      <c r="I292" t="n">
        <v>0</v>
      </c>
      <c r="J292" t="n">
        <v>0</v>
      </c>
      <c r="K292" t="n">
        <v>0</v>
      </c>
      <c r="L292" t="n">
        <v>0</v>
      </c>
      <c r="M292" t="n">
        <v>0</v>
      </c>
      <c r="N292" t="n">
        <v>0</v>
      </c>
      <c r="O292" t="n">
        <v>0</v>
      </c>
      <c r="P292" t="n">
        <v>0</v>
      </c>
      <c r="Q292" t="n">
        <v>0</v>
      </c>
      <c r="R292" s="2" t="inlineStr"/>
    </row>
    <row r="293" ht="15" customHeight="1">
      <c r="A293" t="inlineStr">
        <is>
          <t>A 40165-2022</t>
        </is>
      </c>
      <c r="B293" s="1" t="n">
        <v>44820</v>
      </c>
      <c r="C293" s="1" t="n">
        <v>45511</v>
      </c>
      <c r="D293" t="inlineStr">
        <is>
          <t>DALARNAS LÄN</t>
        </is>
      </c>
      <c r="E293" t="inlineStr">
        <is>
          <t>LEKSAND</t>
        </is>
      </c>
      <c r="G293" t="n">
        <v>1.9</v>
      </c>
      <c r="H293" t="n">
        <v>0</v>
      </c>
      <c r="I293" t="n">
        <v>0</v>
      </c>
      <c r="J293" t="n">
        <v>0</v>
      </c>
      <c r="K293" t="n">
        <v>0</v>
      </c>
      <c r="L293" t="n">
        <v>0</v>
      </c>
      <c r="M293" t="n">
        <v>0</v>
      </c>
      <c r="N293" t="n">
        <v>0</v>
      </c>
      <c r="O293" t="n">
        <v>0</v>
      </c>
      <c r="P293" t="n">
        <v>0</v>
      </c>
      <c r="Q293" t="n">
        <v>0</v>
      </c>
      <c r="R293" s="2" t="inlineStr"/>
    </row>
    <row r="294" ht="15" customHeight="1">
      <c r="A294" t="inlineStr">
        <is>
          <t>A 41351-2022</t>
        </is>
      </c>
      <c r="B294" s="1" t="n">
        <v>44824</v>
      </c>
      <c r="C294" s="1" t="n">
        <v>45511</v>
      </c>
      <c r="D294" t="inlineStr">
        <is>
          <t>DALARNAS LÄN</t>
        </is>
      </c>
      <c r="E294" t="inlineStr">
        <is>
          <t>LEKSAND</t>
        </is>
      </c>
      <c r="G294" t="n">
        <v>2.7</v>
      </c>
      <c r="H294" t="n">
        <v>0</v>
      </c>
      <c r="I294" t="n">
        <v>0</v>
      </c>
      <c r="J294" t="n">
        <v>0</v>
      </c>
      <c r="K294" t="n">
        <v>0</v>
      </c>
      <c r="L294" t="n">
        <v>0</v>
      </c>
      <c r="M294" t="n">
        <v>0</v>
      </c>
      <c r="N294" t="n">
        <v>0</v>
      </c>
      <c r="O294" t="n">
        <v>0</v>
      </c>
      <c r="P294" t="n">
        <v>0</v>
      </c>
      <c r="Q294" t="n">
        <v>0</v>
      </c>
      <c r="R294" s="2" t="inlineStr"/>
    </row>
    <row r="295" ht="15" customHeight="1">
      <c r="A295" t="inlineStr">
        <is>
          <t>A 43275-2022</t>
        </is>
      </c>
      <c r="B295" s="1" t="n">
        <v>44824</v>
      </c>
      <c r="C295" s="1" t="n">
        <v>45511</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41869-2022</t>
        </is>
      </c>
      <c r="B296" s="1" t="n">
        <v>44829</v>
      </c>
      <c r="C296" s="1" t="n">
        <v>45511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43300-2022</t>
        </is>
      </c>
      <c r="B297" s="1" t="n">
        <v>44834</v>
      </c>
      <c r="C297" s="1" t="n">
        <v>45511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43304-2022</t>
        </is>
      </c>
      <c r="B298" s="1" t="n">
        <v>44834</v>
      </c>
      <c r="C298" s="1" t="n">
        <v>45511</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43604-2022</t>
        </is>
      </c>
      <c r="B299" s="1" t="n">
        <v>44837</v>
      </c>
      <c r="C299" s="1" t="n">
        <v>45511</v>
      </c>
      <c r="D299" t="inlineStr">
        <is>
          <t>DALARNAS LÄN</t>
        </is>
      </c>
      <c r="E299" t="inlineStr">
        <is>
          <t>LEKSAND</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43693-2022</t>
        </is>
      </c>
      <c r="B300" s="1" t="n">
        <v>44837</v>
      </c>
      <c r="C300" s="1" t="n">
        <v>45511</v>
      </c>
      <c r="D300" t="inlineStr">
        <is>
          <t>DALARNAS LÄN</t>
        </is>
      </c>
      <c r="E300" t="inlineStr">
        <is>
          <t>LEKSAND</t>
        </is>
      </c>
      <c r="G300" t="n">
        <v>2.7</v>
      </c>
      <c r="H300" t="n">
        <v>0</v>
      </c>
      <c r="I300" t="n">
        <v>0</v>
      </c>
      <c r="J300" t="n">
        <v>0</v>
      </c>
      <c r="K300" t="n">
        <v>0</v>
      </c>
      <c r="L300" t="n">
        <v>0</v>
      </c>
      <c r="M300" t="n">
        <v>0</v>
      </c>
      <c r="N300" t="n">
        <v>0</v>
      </c>
      <c r="O300" t="n">
        <v>0</v>
      </c>
      <c r="P300" t="n">
        <v>0</v>
      </c>
      <c r="Q300" t="n">
        <v>0</v>
      </c>
      <c r="R300" s="2" t="inlineStr"/>
    </row>
    <row r="301" ht="15" customHeight="1">
      <c r="A301" t="inlineStr">
        <is>
          <t>A 43735-2022</t>
        </is>
      </c>
      <c r="B301" s="1" t="n">
        <v>44837</v>
      </c>
      <c r="C301" s="1" t="n">
        <v>45511</v>
      </c>
      <c r="D301" t="inlineStr">
        <is>
          <t>DALARNAS LÄN</t>
        </is>
      </c>
      <c r="E301" t="inlineStr">
        <is>
          <t>LEKSAND</t>
        </is>
      </c>
      <c r="G301" t="n">
        <v>2.9</v>
      </c>
      <c r="H301" t="n">
        <v>0</v>
      </c>
      <c r="I301" t="n">
        <v>0</v>
      </c>
      <c r="J301" t="n">
        <v>0</v>
      </c>
      <c r="K301" t="n">
        <v>0</v>
      </c>
      <c r="L301" t="n">
        <v>0</v>
      </c>
      <c r="M301" t="n">
        <v>0</v>
      </c>
      <c r="N301" t="n">
        <v>0</v>
      </c>
      <c r="O301" t="n">
        <v>0</v>
      </c>
      <c r="P301" t="n">
        <v>0</v>
      </c>
      <c r="Q301" t="n">
        <v>0</v>
      </c>
      <c r="R301" s="2" t="inlineStr"/>
    </row>
    <row r="302" ht="15" customHeight="1">
      <c r="A302" t="inlineStr">
        <is>
          <t>A 44124-2022</t>
        </is>
      </c>
      <c r="B302" s="1" t="n">
        <v>44839</v>
      </c>
      <c r="C302" s="1" t="n">
        <v>45511</v>
      </c>
      <c r="D302" t="inlineStr">
        <is>
          <t>DALARNAS LÄN</t>
        </is>
      </c>
      <c r="E302" t="inlineStr">
        <is>
          <t>LEKSAND</t>
        </is>
      </c>
      <c r="G302" t="n">
        <v>8</v>
      </c>
      <c r="H302" t="n">
        <v>0</v>
      </c>
      <c r="I302" t="n">
        <v>0</v>
      </c>
      <c r="J302" t="n">
        <v>0</v>
      </c>
      <c r="K302" t="n">
        <v>0</v>
      </c>
      <c r="L302" t="n">
        <v>0</v>
      </c>
      <c r="M302" t="n">
        <v>0</v>
      </c>
      <c r="N302" t="n">
        <v>0</v>
      </c>
      <c r="O302" t="n">
        <v>0</v>
      </c>
      <c r="P302" t="n">
        <v>0</v>
      </c>
      <c r="Q302" t="n">
        <v>0</v>
      </c>
      <c r="R302" s="2" t="inlineStr"/>
    </row>
    <row r="303" ht="15" customHeight="1">
      <c r="A303" t="inlineStr">
        <is>
          <t>A 44700-2022</t>
        </is>
      </c>
      <c r="B303" s="1" t="n">
        <v>44840</v>
      </c>
      <c r="C303" s="1" t="n">
        <v>45511</v>
      </c>
      <c r="D303" t="inlineStr">
        <is>
          <t>DALARNAS LÄN</t>
        </is>
      </c>
      <c r="E303" t="inlineStr">
        <is>
          <t>LEKSAND</t>
        </is>
      </c>
      <c r="G303" t="n">
        <v>3.1</v>
      </c>
      <c r="H303" t="n">
        <v>0</v>
      </c>
      <c r="I303" t="n">
        <v>0</v>
      </c>
      <c r="J303" t="n">
        <v>0</v>
      </c>
      <c r="K303" t="n">
        <v>0</v>
      </c>
      <c r="L303" t="n">
        <v>0</v>
      </c>
      <c r="M303" t="n">
        <v>0</v>
      </c>
      <c r="N303" t="n">
        <v>0</v>
      </c>
      <c r="O303" t="n">
        <v>0</v>
      </c>
      <c r="P303" t="n">
        <v>0</v>
      </c>
      <c r="Q303" t="n">
        <v>0</v>
      </c>
      <c r="R303" s="2" t="inlineStr"/>
    </row>
    <row r="304" ht="15" customHeight="1">
      <c r="A304" t="inlineStr">
        <is>
          <t>A 45943-2022</t>
        </is>
      </c>
      <c r="B304" s="1" t="n">
        <v>44846</v>
      </c>
      <c r="C304" s="1" t="n">
        <v>45511</v>
      </c>
      <c r="D304" t="inlineStr">
        <is>
          <t>DALARNAS LÄN</t>
        </is>
      </c>
      <c r="E304" t="inlineStr">
        <is>
          <t>LEKSAND</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46141-2022</t>
        </is>
      </c>
      <c r="B305" s="1" t="n">
        <v>44846</v>
      </c>
      <c r="C305" s="1" t="n">
        <v>45511</v>
      </c>
      <c r="D305" t="inlineStr">
        <is>
          <t>DALARNAS LÄN</t>
        </is>
      </c>
      <c r="E305" t="inlineStr">
        <is>
          <t>LEKSAND</t>
        </is>
      </c>
      <c r="G305" t="n">
        <v>2.8</v>
      </c>
      <c r="H305" t="n">
        <v>0</v>
      </c>
      <c r="I305" t="n">
        <v>0</v>
      </c>
      <c r="J305" t="n">
        <v>0</v>
      </c>
      <c r="K305" t="n">
        <v>0</v>
      </c>
      <c r="L305" t="n">
        <v>0</v>
      </c>
      <c r="M305" t="n">
        <v>0</v>
      </c>
      <c r="N305" t="n">
        <v>0</v>
      </c>
      <c r="O305" t="n">
        <v>0</v>
      </c>
      <c r="P305" t="n">
        <v>0</v>
      </c>
      <c r="Q305" t="n">
        <v>0</v>
      </c>
      <c r="R305" s="2" t="inlineStr"/>
    </row>
    <row r="306" ht="15" customHeight="1">
      <c r="A306" t="inlineStr">
        <is>
          <t>A 46672-2022</t>
        </is>
      </c>
      <c r="B306" s="1" t="n">
        <v>44851</v>
      </c>
      <c r="C306" s="1" t="n">
        <v>45511</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46916-2022</t>
        </is>
      </c>
      <c r="B307" s="1" t="n">
        <v>44851</v>
      </c>
      <c r="C307" s="1" t="n">
        <v>45511</v>
      </c>
      <c r="D307" t="inlineStr">
        <is>
          <t>DALARNAS LÄN</t>
        </is>
      </c>
      <c r="E307" t="inlineStr">
        <is>
          <t>LEKSAND</t>
        </is>
      </c>
      <c r="F307" t="inlineStr">
        <is>
          <t>Bergvik skog väst AB</t>
        </is>
      </c>
      <c r="G307" t="n">
        <v>9.5</v>
      </c>
      <c r="H307" t="n">
        <v>0</v>
      </c>
      <c r="I307" t="n">
        <v>0</v>
      </c>
      <c r="J307" t="n">
        <v>0</v>
      </c>
      <c r="K307" t="n">
        <v>0</v>
      </c>
      <c r="L307" t="n">
        <v>0</v>
      </c>
      <c r="M307" t="n">
        <v>0</v>
      </c>
      <c r="N307" t="n">
        <v>0</v>
      </c>
      <c r="O307" t="n">
        <v>0</v>
      </c>
      <c r="P307" t="n">
        <v>0</v>
      </c>
      <c r="Q307" t="n">
        <v>0</v>
      </c>
      <c r="R307" s="2" t="inlineStr"/>
    </row>
    <row r="308" ht="15" customHeight="1">
      <c r="A308" t="inlineStr">
        <is>
          <t>A 47441-2022</t>
        </is>
      </c>
      <c r="B308" s="1" t="n">
        <v>44853</v>
      </c>
      <c r="C308" s="1" t="n">
        <v>45511</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49342-2022</t>
        </is>
      </c>
      <c r="B309" s="1" t="n">
        <v>44861</v>
      </c>
      <c r="C309" s="1" t="n">
        <v>45511</v>
      </c>
      <c r="D309" t="inlineStr">
        <is>
          <t>DALARNAS LÄN</t>
        </is>
      </c>
      <c r="E309" t="inlineStr">
        <is>
          <t>LEKSAND</t>
        </is>
      </c>
      <c r="F309" t="inlineStr">
        <is>
          <t>Bergvik skog väst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49345-2022</t>
        </is>
      </c>
      <c r="B310" s="1" t="n">
        <v>44861</v>
      </c>
      <c r="C310" s="1" t="n">
        <v>45511</v>
      </c>
      <c r="D310" t="inlineStr">
        <is>
          <t>DALARNAS LÄN</t>
        </is>
      </c>
      <c r="E310" t="inlineStr">
        <is>
          <t>LEKSAND</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49581-2022</t>
        </is>
      </c>
      <c r="B311" s="1" t="n">
        <v>44862</v>
      </c>
      <c r="C311" s="1" t="n">
        <v>45511</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50219-2022</t>
        </is>
      </c>
      <c r="B312" s="1" t="n">
        <v>44865</v>
      </c>
      <c r="C312" s="1" t="n">
        <v>45511</v>
      </c>
      <c r="D312" t="inlineStr">
        <is>
          <t>DALARNAS LÄN</t>
        </is>
      </c>
      <c r="E312" t="inlineStr">
        <is>
          <t>LEKSAND</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50353-2022</t>
        </is>
      </c>
      <c r="B313" s="1" t="n">
        <v>44866</v>
      </c>
      <c r="C313" s="1" t="n">
        <v>45511</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50352-2022</t>
        </is>
      </c>
      <c r="B314" s="1" t="n">
        <v>44866</v>
      </c>
      <c r="C314" s="1" t="n">
        <v>45511</v>
      </c>
      <c r="D314" t="inlineStr">
        <is>
          <t>DALARNAS LÄN</t>
        </is>
      </c>
      <c r="E314" t="inlineStr">
        <is>
          <t>LEKSAND</t>
        </is>
      </c>
      <c r="F314" t="inlineStr">
        <is>
          <t>Bergvik skog väst AB</t>
        </is>
      </c>
      <c r="G314" t="n">
        <v>1.2</v>
      </c>
      <c r="H314" t="n">
        <v>0</v>
      </c>
      <c r="I314" t="n">
        <v>0</v>
      </c>
      <c r="J314" t="n">
        <v>0</v>
      </c>
      <c r="K314" t="n">
        <v>0</v>
      </c>
      <c r="L314" t="n">
        <v>0</v>
      </c>
      <c r="M314" t="n">
        <v>0</v>
      </c>
      <c r="N314" t="n">
        <v>0</v>
      </c>
      <c r="O314" t="n">
        <v>0</v>
      </c>
      <c r="P314" t="n">
        <v>0</v>
      </c>
      <c r="Q314" t="n">
        <v>0</v>
      </c>
      <c r="R314" s="2" t="inlineStr"/>
    </row>
    <row r="315" ht="15" customHeight="1">
      <c r="A315" t="inlineStr">
        <is>
          <t>A 50354-2022</t>
        </is>
      </c>
      <c r="B315" s="1" t="n">
        <v>44866</v>
      </c>
      <c r="C315" s="1" t="n">
        <v>45511</v>
      </c>
      <c r="D315" t="inlineStr">
        <is>
          <t>DALARNAS LÄN</t>
        </is>
      </c>
      <c r="E315" t="inlineStr">
        <is>
          <t>LEKSAND</t>
        </is>
      </c>
      <c r="F315" t="inlineStr">
        <is>
          <t>Bergvik skog väst AB</t>
        </is>
      </c>
      <c r="G315" t="n">
        <v>7.4</v>
      </c>
      <c r="H315" t="n">
        <v>0</v>
      </c>
      <c r="I315" t="n">
        <v>0</v>
      </c>
      <c r="J315" t="n">
        <v>0</v>
      </c>
      <c r="K315" t="n">
        <v>0</v>
      </c>
      <c r="L315" t="n">
        <v>0</v>
      </c>
      <c r="M315" t="n">
        <v>0</v>
      </c>
      <c r="N315" t="n">
        <v>0</v>
      </c>
      <c r="O315" t="n">
        <v>0</v>
      </c>
      <c r="P315" t="n">
        <v>0</v>
      </c>
      <c r="Q315" t="n">
        <v>0</v>
      </c>
      <c r="R315" s="2" t="inlineStr"/>
    </row>
    <row r="316" ht="15" customHeight="1">
      <c r="A316" t="inlineStr">
        <is>
          <t>A 51857-2022</t>
        </is>
      </c>
      <c r="B316" s="1" t="n">
        <v>44867</v>
      </c>
      <c r="C316" s="1" t="n">
        <v>45511</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51449-2022</t>
        </is>
      </c>
      <c r="B317" s="1" t="n">
        <v>44869</v>
      </c>
      <c r="C317" s="1" t="n">
        <v>45511</v>
      </c>
      <c r="D317" t="inlineStr">
        <is>
          <t>DALARNAS LÄN</t>
        </is>
      </c>
      <c r="E317" t="inlineStr">
        <is>
          <t>LEKSAND</t>
        </is>
      </c>
      <c r="F317" t="inlineStr">
        <is>
          <t>Bergvik skog väst AB</t>
        </is>
      </c>
      <c r="G317" t="n">
        <v>5</v>
      </c>
      <c r="H317" t="n">
        <v>0</v>
      </c>
      <c r="I317" t="n">
        <v>0</v>
      </c>
      <c r="J317" t="n">
        <v>0</v>
      </c>
      <c r="K317" t="n">
        <v>0</v>
      </c>
      <c r="L317" t="n">
        <v>0</v>
      </c>
      <c r="M317" t="n">
        <v>0</v>
      </c>
      <c r="N317" t="n">
        <v>0</v>
      </c>
      <c r="O317" t="n">
        <v>0</v>
      </c>
      <c r="P317" t="n">
        <v>0</v>
      </c>
      <c r="Q317" t="n">
        <v>0</v>
      </c>
      <c r="R317" s="2" t="inlineStr"/>
    </row>
    <row r="318" ht="15" customHeight="1">
      <c r="A318" t="inlineStr">
        <is>
          <t>A 51480-2022</t>
        </is>
      </c>
      <c r="B318" s="1" t="n">
        <v>44869</v>
      </c>
      <c r="C318" s="1" t="n">
        <v>45511</v>
      </c>
      <c r="D318" t="inlineStr">
        <is>
          <t>DALARNAS LÄN</t>
        </is>
      </c>
      <c r="E318" t="inlineStr">
        <is>
          <t>LEKSAND</t>
        </is>
      </c>
      <c r="F318" t="inlineStr">
        <is>
          <t>Bergvik skog väst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51502-2022</t>
        </is>
      </c>
      <c r="B319" s="1" t="n">
        <v>44869</v>
      </c>
      <c r="C319" s="1" t="n">
        <v>45511</v>
      </c>
      <c r="D319" t="inlineStr">
        <is>
          <t>DALARNAS LÄN</t>
        </is>
      </c>
      <c r="E319" t="inlineStr">
        <is>
          <t>LEKSAND</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51498-2022</t>
        </is>
      </c>
      <c r="B320" s="1" t="n">
        <v>44869</v>
      </c>
      <c r="C320" s="1" t="n">
        <v>45511</v>
      </c>
      <c r="D320" t="inlineStr">
        <is>
          <t>DALARNAS LÄN</t>
        </is>
      </c>
      <c r="E320" t="inlineStr">
        <is>
          <t>LEKSAND</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51842-2022</t>
        </is>
      </c>
      <c r="B321" s="1" t="n">
        <v>44872</v>
      </c>
      <c r="C321" s="1" t="n">
        <v>45511</v>
      </c>
      <c r="D321" t="inlineStr">
        <is>
          <t>DALARNAS LÄN</t>
        </is>
      </c>
      <c r="E321" t="inlineStr">
        <is>
          <t>LEKSAND</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52977-2022</t>
        </is>
      </c>
      <c r="B322" s="1" t="n">
        <v>44875</v>
      </c>
      <c r="C322" s="1" t="n">
        <v>45511</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53293-2022</t>
        </is>
      </c>
      <c r="B323" s="1" t="n">
        <v>44877</v>
      </c>
      <c r="C323" s="1" t="n">
        <v>45511</v>
      </c>
      <c r="D323" t="inlineStr">
        <is>
          <t>DALARNAS LÄN</t>
        </is>
      </c>
      <c r="E323" t="inlineStr">
        <is>
          <t>LEKSAND</t>
        </is>
      </c>
      <c r="G323" t="n">
        <v>0.4</v>
      </c>
      <c r="H323" t="n">
        <v>0</v>
      </c>
      <c r="I323" t="n">
        <v>0</v>
      </c>
      <c r="J323" t="n">
        <v>0</v>
      </c>
      <c r="K323" t="n">
        <v>0</v>
      </c>
      <c r="L323" t="n">
        <v>0</v>
      </c>
      <c r="M323" t="n">
        <v>0</v>
      </c>
      <c r="N323" t="n">
        <v>0</v>
      </c>
      <c r="O323" t="n">
        <v>0</v>
      </c>
      <c r="P323" t="n">
        <v>0</v>
      </c>
      <c r="Q323" t="n">
        <v>0</v>
      </c>
      <c r="R323" s="2" t="inlineStr"/>
    </row>
    <row r="324" ht="15" customHeight="1">
      <c r="A324" t="inlineStr">
        <is>
          <t>A 53787-2022</t>
        </is>
      </c>
      <c r="B324" s="1" t="n">
        <v>44880</v>
      </c>
      <c r="C324" s="1" t="n">
        <v>45511</v>
      </c>
      <c r="D324" t="inlineStr">
        <is>
          <t>DALARNAS LÄN</t>
        </is>
      </c>
      <c r="E324" t="inlineStr">
        <is>
          <t>LEKSAND</t>
        </is>
      </c>
      <c r="G324" t="n">
        <v>7.6</v>
      </c>
      <c r="H324" t="n">
        <v>0</v>
      </c>
      <c r="I324" t="n">
        <v>0</v>
      </c>
      <c r="J324" t="n">
        <v>0</v>
      </c>
      <c r="K324" t="n">
        <v>0</v>
      </c>
      <c r="L324" t="n">
        <v>0</v>
      </c>
      <c r="M324" t="n">
        <v>0</v>
      </c>
      <c r="N324" t="n">
        <v>0</v>
      </c>
      <c r="O324" t="n">
        <v>0</v>
      </c>
      <c r="P324" t="n">
        <v>0</v>
      </c>
      <c r="Q324" t="n">
        <v>0</v>
      </c>
      <c r="R324" s="2" t="inlineStr"/>
    </row>
    <row r="325" ht="15" customHeight="1">
      <c r="A325" t="inlineStr">
        <is>
          <t>A 54070-2022</t>
        </is>
      </c>
      <c r="B325" s="1" t="n">
        <v>44881</v>
      </c>
      <c r="C325" s="1" t="n">
        <v>45511</v>
      </c>
      <c r="D325" t="inlineStr">
        <is>
          <t>DALARNAS LÄN</t>
        </is>
      </c>
      <c r="E325" t="inlineStr">
        <is>
          <t>LEKSAND</t>
        </is>
      </c>
      <c r="G325" t="n">
        <v>4.7</v>
      </c>
      <c r="H325" t="n">
        <v>0</v>
      </c>
      <c r="I325" t="n">
        <v>0</v>
      </c>
      <c r="J325" t="n">
        <v>0</v>
      </c>
      <c r="K325" t="n">
        <v>0</v>
      </c>
      <c r="L325" t="n">
        <v>0</v>
      </c>
      <c r="M325" t="n">
        <v>0</v>
      </c>
      <c r="N325" t="n">
        <v>0</v>
      </c>
      <c r="O325" t="n">
        <v>0</v>
      </c>
      <c r="P325" t="n">
        <v>0</v>
      </c>
      <c r="Q325" t="n">
        <v>0</v>
      </c>
      <c r="R325" s="2" t="inlineStr"/>
    </row>
    <row r="326" ht="15" customHeight="1">
      <c r="A326" t="inlineStr">
        <is>
          <t>A 56330-2022</t>
        </is>
      </c>
      <c r="B326" s="1" t="n">
        <v>44890</v>
      </c>
      <c r="C326" s="1" t="n">
        <v>45511</v>
      </c>
      <c r="D326" t="inlineStr">
        <is>
          <t>DALARNAS LÄN</t>
        </is>
      </c>
      <c r="E326" t="inlineStr">
        <is>
          <t>LEKSAND</t>
        </is>
      </c>
      <c r="G326" t="n">
        <v>4.9</v>
      </c>
      <c r="H326" t="n">
        <v>0</v>
      </c>
      <c r="I326" t="n">
        <v>0</v>
      </c>
      <c r="J326" t="n">
        <v>0</v>
      </c>
      <c r="K326" t="n">
        <v>0</v>
      </c>
      <c r="L326" t="n">
        <v>0</v>
      </c>
      <c r="M326" t="n">
        <v>0</v>
      </c>
      <c r="N326" t="n">
        <v>0</v>
      </c>
      <c r="O326" t="n">
        <v>0</v>
      </c>
      <c r="P326" t="n">
        <v>0</v>
      </c>
      <c r="Q326" t="n">
        <v>0</v>
      </c>
      <c r="R326" s="2" t="inlineStr"/>
    </row>
    <row r="327" ht="15" customHeight="1">
      <c r="A327" t="inlineStr">
        <is>
          <t>A 56702-2022</t>
        </is>
      </c>
      <c r="B327" s="1" t="n">
        <v>44893</v>
      </c>
      <c r="C327" s="1" t="n">
        <v>45511</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57415-2022</t>
        </is>
      </c>
      <c r="B328" s="1" t="n">
        <v>44896</v>
      </c>
      <c r="C328" s="1" t="n">
        <v>45511</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57438-2022</t>
        </is>
      </c>
      <c r="B329" s="1" t="n">
        <v>44896</v>
      </c>
      <c r="C329" s="1" t="n">
        <v>45511</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58619-2022</t>
        </is>
      </c>
      <c r="B330" s="1" t="n">
        <v>44902</v>
      </c>
      <c r="C330" s="1" t="n">
        <v>45511</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60300-2022</t>
        </is>
      </c>
      <c r="B331" s="1" t="n">
        <v>44903</v>
      </c>
      <c r="C331" s="1" t="n">
        <v>45511</v>
      </c>
      <c r="D331" t="inlineStr">
        <is>
          <t>DALARNAS LÄN</t>
        </is>
      </c>
      <c r="E331" t="inlineStr">
        <is>
          <t>LEKSAND</t>
        </is>
      </c>
      <c r="G331" t="n">
        <v>2.7</v>
      </c>
      <c r="H331" t="n">
        <v>0</v>
      </c>
      <c r="I331" t="n">
        <v>0</v>
      </c>
      <c r="J331" t="n">
        <v>0</v>
      </c>
      <c r="K331" t="n">
        <v>0</v>
      </c>
      <c r="L331" t="n">
        <v>0</v>
      </c>
      <c r="M331" t="n">
        <v>0</v>
      </c>
      <c r="N331" t="n">
        <v>0</v>
      </c>
      <c r="O331" t="n">
        <v>0</v>
      </c>
      <c r="P331" t="n">
        <v>0</v>
      </c>
      <c r="Q331" t="n">
        <v>0</v>
      </c>
      <c r="R331" s="2" t="inlineStr"/>
    </row>
    <row r="332" ht="15" customHeight="1">
      <c r="A332" t="inlineStr">
        <is>
          <t>A 60095-2022</t>
        </is>
      </c>
      <c r="B332" s="1" t="n">
        <v>44909</v>
      </c>
      <c r="C332" s="1" t="n">
        <v>45511</v>
      </c>
      <c r="D332" t="inlineStr">
        <is>
          <t>DALARNAS LÄN</t>
        </is>
      </c>
      <c r="E332" t="inlineStr">
        <is>
          <t>LEKSAND</t>
        </is>
      </c>
      <c r="G332" t="n">
        <v>2.4</v>
      </c>
      <c r="H332" t="n">
        <v>0</v>
      </c>
      <c r="I332" t="n">
        <v>0</v>
      </c>
      <c r="J332" t="n">
        <v>0</v>
      </c>
      <c r="K332" t="n">
        <v>0</v>
      </c>
      <c r="L332" t="n">
        <v>0</v>
      </c>
      <c r="M332" t="n">
        <v>0</v>
      </c>
      <c r="N332" t="n">
        <v>0</v>
      </c>
      <c r="O332" t="n">
        <v>0</v>
      </c>
      <c r="P332" t="n">
        <v>0</v>
      </c>
      <c r="Q332" t="n">
        <v>0</v>
      </c>
      <c r="R332" s="2" t="inlineStr"/>
    </row>
    <row r="333" ht="15" customHeight="1">
      <c r="A333" t="inlineStr">
        <is>
          <t>A 60113-2022</t>
        </is>
      </c>
      <c r="B333" s="1" t="n">
        <v>44909</v>
      </c>
      <c r="C333" s="1" t="n">
        <v>45511</v>
      </c>
      <c r="D333" t="inlineStr">
        <is>
          <t>DALARNAS LÄN</t>
        </is>
      </c>
      <c r="E333" t="inlineStr">
        <is>
          <t>LEKSAND</t>
        </is>
      </c>
      <c r="G333" t="n">
        <v>3.7</v>
      </c>
      <c r="H333" t="n">
        <v>0</v>
      </c>
      <c r="I333" t="n">
        <v>0</v>
      </c>
      <c r="J333" t="n">
        <v>0</v>
      </c>
      <c r="K333" t="n">
        <v>0</v>
      </c>
      <c r="L333" t="n">
        <v>0</v>
      </c>
      <c r="M333" t="n">
        <v>0</v>
      </c>
      <c r="N333" t="n">
        <v>0</v>
      </c>
      <c r="O333" t="n">
        <v>0</v>
      </c>
      <c r="P333" t="n">
        <v>0</v>
      </c>
      <c r="Q333" t="n">
        <v>0</v>
      </c>
      <c r="R333" s="2" t="inlineStr"/>
    </row>
    <row r="334" ht="15" customHeight="1">
      <c r="A334" t="inlineStr">
        <is>
          <t>A 61269-2022</t>
        </is>
      </c>
      <c r="B334" s="1" t="n">
        <v>44909</v>
      </c>
      <c r="C334" s="1" t="n">
        <v>45511</v>
      </c>
      <c r="D334" t="inlineStr">
        <is>
          <t>DALARNAS LÄN</t>
        </is>
      </c>
      <c r="E334" t="inlineStr">
        <is>
          <t>LEKSAND</t>
        </is>
      </c>
      <c r="G334" t="n">
        <v>4.2</v>
      </c>
      <c r="H334" t="n">
        <v>0</v>
      </c>
      <c r="I334" t="n">
        <v>0</v>
      </c>
      <c r="J334" t="n">
        <v>0</v>
      </c>
      <c r="K334" t="n">
        <v>0</v>
      </c>
      <c r="L334" t="n">
        <v>0</v>
      </c>
      <c r="M334" t="n">
        <v>0</v>
      </c>
      <c r="N334" t="n">
        <v>0</v>
      </c>
      <c r="O334" t="n">
        <v>0</v>
      </c>
      <c r="P334" t="n">
        <v>0</v>
      </c>
      <c r="Q334" t="n">
        <v>0</v>
      </c>
      <c r="R334" s="2" t="inlineStr"/>
    </row>
    <row r="335" ht="15" customHeight="1">
      <c r="A335" t="inlineStr">
        <is>
          <t>A 60550-2022</t>
        </is>
      </c>
      <c r="B335" s="1" t="n">
        <v>44911</v>
      </c>
      <c r="C335" s="1" t="n">
        <v>45511</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60715-2022</t>
        </is>
      </c>
      <c r="B336" s="1" t="n">
        <v>44912</v>
      </c>
      <c r="C336" s="1" t="n">
        <v>45511</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60913-2022</t>
        </is>
      </c>
      <c r="B337" s="1" t="n">
        <v>44914</v>
      </c>
      <c r="C337" s="1" t="n">
        <v>45511</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61288-2022</t>
        </is>
      </c>
      <c r="B338" s="1" t="n">
        <v>44915</v>
      </c>
      <c r="C338" s="1" t="n">
        <v>45511</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61786-2022</t>
        </is>
      </c>
      <c r="B339" s="1" t="n">
        <v>44917</v>
      </c>
      <c r="C339" s="1" t="n">
        <v>45511</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61787-2022</t>
        </is>
      </c>
      <c r="B340" s="1" t="n">
        <v>44917</v>
      </c>
      <c r="C340" s="1" t="n">
        <v>45511</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45511</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151-2023</t>
        </is>
      </c>
      <c r="B342" s="1" t="n">
        <v>44918</v>
      </c>
      <c r="C342" s="1" t="n">
        <v>45511</v>
      </c>
      <c r="D342" t="inlineStr">
        <is>
          <t>DALARNAS LÄN</t>
        </is>
      </c>
      <c r="E342" t="inlineStr">
        <is>
          <t>LEKSAND</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167-2023</t>
        </is>
      </c>
      <c r="B343" s="1" t="n">
        <v>44918</v>
      </c>
      <c r="C343" s="1" t="n">
        <v>45511</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325-2023</t>
        </is>
      </c>
      <c r="B344" s="1" t="n">
        <v>44929</v>
      </c>
      <c r="C344" s="1" t="n">
        <v>45511</v>
      </c>
      <c r="D344" t="inlineStr">
        <is>
          <t>DALARNAS LÄN</t>
        </is>
      </c>
      <c r="E344" t="inlineStr">
        <is>
          <t>LEKSAND</t>
        </is>
      </c>
      <c r="F344" t="inlineStr">
        <is>
          <t>Övriga Aktiebolag</t>
        </is>
      </c>
      <c r="G344" t="n">
        <v>7.1</v>
      </c>
      <c r="H344" t="n">
        <v>0</v>
      </c>
      <c r="I344" t="n">
        <v>0</v>
      </c>
      <c r="J344" t="n">
        <v>0</v>
      </c>
      <c r="K344" t="n">
        <v>0</v>
      </c>
      <c r="L344" t="n">
        <v>0</v>
      </c>
      <c r="M344" t="n">
        <v>0</v>
      </c>
      <c r="N344" t="n">
        <v>0</v>
      </c>
      <c r="O344" t="n">
        <v>0</v>
      </c>
      <c r="P344" t="n">
        <v>0</v>
      </c>
      <c r="Q344" t="n">
        <v>0</v>
      </c>
      <c r="R344" s="2" t="inlineStr"/>
    </row>
    <row r="345" ht="15" customHeight="1">
      <c r="A345" t="inlineStr">
        <is>
          <t>A 315-2023</t>
        </is>
      </c>
      <c r="B345" s="1" t="n">
        <v>44929</v>
      </c>
      <c r="C345" s="1" t="n">
        <v>45511</v>
      </c>
      <c r="D345" t="inlineStr">
        <is>
          <t>DALARNAS LÄN</t>
        </is>
      </c>
      <c r="E345" t="inlineStr">
        <is>
          <t>LEKSAND</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320-2023</t>
        </is>
      </c>
      <c r="B346" s="1" t="n">
        <v>44929</v>
      </c>
      <c r="C346" s="1" t="n">
        <v>45511</v>
      </c>
      <c r="D346" t="inlineStr">
        <is>
          <t>DALARNAS LÄN</t>
        </is>
      </c>
      <c r="E346" t="inlineStr">
        <is>
          <t>LEKSAND</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391-2023</t>
        </is>
      </c>
      <c r="B347" s="1" t="n">
        <v>44929</v>
      </c>
      <c r="C347" s="1" t="n">
        <v>45511</v>
      </c>
      <c r="D347" t="inlineStr">
        <is>
          <t>DALARNAS LÄN</t>
        </is>
      </c>
      <c r="E347" t="inlineStr">
        <is>
          <t>LEKSAND</t>
        </is>
      </c>
      <c r="F347" t="inlineStr">
        <is>
          <t>Övriga Aktiebolag</t>
        </is>
      </c>
      <c r="G347" t="n">
        <v>10</v>
      </c>
      <c r="H347" t="n">
        <v>0</v>
      </c>
      <c r="I347" t="n">
        <v>0</v>
      </c>
      <c r="J347" t="n">
        <v>0</v>
      </c>
      <c r="K347" t="n">
        <v>0</v>
      </c>
      <c r="L347" t="n">
        <v>0</v>
      </c>
      <c r="M347" t="n">
        <v>0</v>
      </c>
      <c r="N347" t="n">
        <v>0</v>
      </c>
      <c r="O347" t="n">
        <v>0</v>
      </c>
      <c r="P347" t="n">
        <v>0</v>
      </c>
      <c r="Q347" t="n">
        <v>0</v>
      </c>
      <c r="R347" s="2" t="inlineStr"/>
    </row>
    <row r="348" ht="15" customHeight="1">
      <c r="A348" t="inlineStr">
        <is>
          <t>A 784-2023</t>
        </is>
      </c>
      <c r="B348" s="1" t="n">
        <v>44931</v>
      </c>
      <c r="C348" s="1" t="n">
        <v>45511</v>
      </c>
      <c r="D348" t="inlineStr">
        <is>
          <t>DALARNAS LÄN</t>
        </is>
      </c>
      <c r="E348" t="inlineStr">
        <is>
          <t>LEKSAND</t>
        </is>
      </c>
      <c r="G348" t="n">
        <v>2.3</v>
      </c>
      <c r="H348" t="n">
        <v>0</v>
      </c>
      <c r="I348" t="n">
        <v>0</v>
      </c>
      <c r="J348" t="n">
        <v>0</v>
      </c>
      <c r="K348" t="n">
        <v>0</v>
      </c>
      <c r="L348" t="n">
        <v>0</v>
      </c>
      <c r="M348" t="n">
        <v>0</v>
      </c>
      <c r="N348" t="n">
        <v>0</v>
      </c>
      <c r="O348" t="n">
        <v>0</v>
      </c>
      <c r="P348" t="n">
        <v>0</v>
      </c>
      <c r="Q348" t="n">
        <v>0</v>
      </c>
      <c r="R348" s="2" t="inlineStr"/>
    </row>
    <row r="349" ht="15" customHeight="1">
      <c r="A349" t="inlineStr">
        <is>
          <t>A 1510-2023</t>
        </is>
      </c>
      <c r="B349" s="1" t="n">
        <v>44937</v>
      </c>
      <c r="C349" s="1" t="n">
        <v>45511</v>
      </c>
      <c r="D349" t="inlineStr">
        <is>
          <t>DALARNAS LÄN</t>
        </is>
      </c>
      <c r="E349" t="inlineStr">
        <is>
          <t>LEKSAND</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3262-2023</t>
        </is>
      </c>
      <c r="B350" s="1" t="n">
        <v>44948</v>
      </c>
      <c r="C350" s="1" t="n">
        <v>45511</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3445-2023</t>
        </is>
      </c>
      <c r="B351" s="1" t="n">
        <v>44949</v>
      </c>
      <c r="C351" s="1" t="n">
        <v>45511</v>
      </c>
      <c r="D351" t="inlineStr">
        <is>
          <t>DALARNAS LÄN</t>
        </is>
      </c>
      <c r="E351" t="inlineStr">
        <is>
          <t>LEKSAND</t>
        </is>
      </c>
      <c r="G351" t="n">
        <v>2.8</v>
      </c>
      <c r="H351" t="n">
        <v>0</v>
      </c>
      <c r="I351" t="n">
        <v>0</v>
      </c>
      <c r="J351" t="n">
        <v>0</v>
      </c>
      <c r="K351" t="n">
        <v>0</v>
      </c>
      <c r="L351" t="n">
        <v>0</v>
      </c>
      <c r="M351" t="n">
        <v>0</v>
      </c>
      <c r="N351" t="n">
        <v>0</v>
      </c>
      <c r="O351" t="n">
        <v>0</v>
      </c>
      <c r="P351" t="n">
        <v>0</v>
      </c>
      <c r="Q351" t="n">
        <v>0</v>
      </c>
      <c r="R351" s="2" t="inlineStr"/>
    </row>
    <row r="352" ht="15" customHeight="1">
      <c r="A352" t="inlineStr">
        <is>
          <t>A 3737-2023</t>
        </is>
      </c>
      <c r="B352" s="1" t="n">
        <v>44951</v>
      </c>
      <c r="C352" s="1" t="n">
        <v>45511</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4182-2023</t>
        </is>
      </c>
      <c r="B353" s="1" t="n">
        <v>44951</v>
      </c>
      <c r="C353" s="1" t="n">
        <v>45511</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4217-2023</t>
        </is>
      </c>
      <c r="B354" s="1" t="n">
        <v>44953</v>
      </c>
      <c r="C354" s="1" t="n">
        <v>45511</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6057-2023</t>
        </is>
      </c>
      <c r="B355" s="1" t="n">
        <v>44959</v>
      </c>
      <c r="C355" s="1" t="n">
        <v>45511</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6039-2023</t>
        </is>
      </c>
      <c r="B356" s="1" t="n">
        <v>44959</v>
      </c>
      <c r="C356" s="1" t="n">
        <v>45511</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6079-2023</t>
        </is>
      </c>
      <c r="B357" s="1" t="n">
        <v>44959</v>
      </c>
      <c r="C357" s="1" t="n">
        <v>45511</v>
      </c>
      <c r="D357" t="inlineStr">
        <is>
          <t>DALARNAS LÄN</t>
        </is>
      </c>
      <c r="E357" t="inlineStr">
        <is>
          <t>LEKSAND</t>
        </is>
      </c>
      <c r="G357" t="n">
        <v>4.1</v>
      </c>
      <c r="H357" t="n">
        <v>0</v>
      </c>
      <c r="I357" t="n">
        <v>0</v>
      </c>
      <c r="J357" t="n">
        <v>0</v>
      </c>
      <c r="K357" t="n">
        <v>0</v>
      </c>
      <c r="L357" t="n">
        <v>0</v>
      </c>
      <c r="M357" t="n">
        <v>0</v>
      </c>
      <c r="N357" t="n">
        <v>0</v>
      </c>
      <c r="O357" t="n">
        <v>0</v>
      </c>
      <c r="P357" t="n">
        <v>0</v>
      </c>
      <c r="Q357" t="n">
        <v>0</v>
      </c>
      <c r="R357" s="2" t="inlineStr"/>
    </row>
    <row r="358" ht="15" customHeight="1">
      <c r="A358" t="inlineStr">
        <is>
          <t>A 6050-2023</t>
        </is>
      </c>
      <c r="B358" s="1" t="n">
        <v>44959</v>
      </c>
      <c r="C358" s="1" t="n">
        <v>45511</v>
      </c>
      <c r="D358" t="inlineStr">
        <is>
          <t>DALARNAS LÄN</t>
        </is>
      </c>
      <c r="E358" t="inlineStr">
        <is>
          <t>LEKSAND</t>
        </is>
      </c>
      <c r="G358" t="n">
        <v>6.2</v>
      </c>
      <c r="H358" t="n">
        <v>0</v>
      </c>
      <c r="I358" t="n">
        <v>0</v>
      </c>
      <c r="J358" t="n">
        <v>0</v>
      </c>
      <c r="K358" t="n">
        <v>0</v>
      </c>
      <c r="L358" t="n">
        <v>0</v>
      </c>
      <c r="M358" t="n">
        <v>0</v>
      </c>
      <c r="N358" t="n">
        <v>0</v>
      </c>
      <c r="O358" t="n">
        <v>0</v>
      </c>
      <c r="P358" t="n">
        <v>0</v>
      </c>
      <c r="Q358" t="n">
        <v>0</v>
      </c>
      <c r="R358" s="2" t="inlineStr"/>
    </row>
    <row r="359" ht="15" customHeight="1">
      <c r="A359" t="inlineStr">
        <is>
          <t>A 5738-2023</t>
        </is>
      </c>
      <c r="B359" s="1" t="n">
        <v>44962</v>
      </c>
      <c r="C359" s="1" t="n">
        <v>45511</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6074-2023</t>
        </is>
      </c>
      <c r="B360" s="1" t="n">
        <v>44964</v>
      </c>
      <c r="C360" s="1" t="n">
        <v>45511</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7441-2023</t>
        </is>
      </c>
      <c r="B361" s="1" t="n">
        <v>44966</v>
      </c>
      <c r="C361" s="1" t="n">
        <v>45511</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7467-2023</t>
        </is>
      </c>
      <c r="B362" s="1" t="n">
        <v>44966</v>
      </c>
      <c r="C362" s="1" t="n">
        <v>45511</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6846-2023</t>
        </is>
      </c>
      <c r="B363" s="1" t="n">
        <v>44967</v>
      </c>
      <c r="C363" s="1" t="n">
        <v>45511</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8170-2023</t>
        </is>
      </c>
      <c r="B364" s="1" t="n">
        <v>44971</v>
      </c>
      <c r="C364" s="1" t="n">
        <v>45511</v>
      </c>
      <c r="D364" t="inlineStr">
        <is>
          <t>DALARNAS LÄN</t>
        </is>
      </c>
      <c r="E364" t="inlineStr">
        <is>
          <t>LEKSAND</t>
        </is>
      </c>
      <c r="G364" t="n">
        <v>2.6</v>
      </c>
      <c r="H364" t="n">
        <v>0</v>
      </c>
      <c r="I364" t="n">
        <v>0</v>
      </c>
      <c r="J364" t="n">
        <v>0</v>
      </c>
      <c r="K364" t="n">
        <v>0</v>
      </c>
      <c r="L364" t="n">
        <v>0</v>
      </c>
      <c r="M364" t="n">
        <v>0</v>
      </c>
      <c r="N364" t="n">
        <v>0</v>
      </c>
      <c r="O364" t="n">
        <v>0</v>
      </c>
      <c r="P364" t="n">
        <v>0</v>
      </c>
      <c r="Q364" t="n">
        <v>0</v>
      </c>
      <c r="R364" s="2" t="inlineStr"/>
    </row>
    <row r="365" ht="15" customHeight="1">
      <c r="A365" t="inlineStr">
        <is>
          <t>A 7450-2023</t>
        </is>
      </c>
      <c r="B365" s="1" t="n">
        <v>44971</v>
      </c>
      <c r="C365" s="1" t="n">
        <v>45511</v>
      </c>
      <c r="D365" t="inlineStr">
        <is>
          <t>DALARNAS LÄN</t>
        </is>
      </c>
      <c r="E365" t="inlineStr">
        <is>
          <t>LEKSAND</t>
        </is>
      </c>
      <c r="G365" t="n">
        <v>3</v>
      </c>
      <c r="H365" t="n">
        <v>0</v>
      </c>
      <c r="I365" t="n">
        <v>0</v>
      </c>
      <c r="J365" t="n">
        <v>0</v>
      </c>
      <c r="K365" t="n">
        <v>0</v>
      </c>
      <c r="L365" t="n">
        <v>0</v>
      </c>
      <c r="M365" t="n">
        <v>0</v>
      </c>
      <c r="N365" t="n">
        <v>0</v>
      </c>
      <c r="O365" t="n">
        <v>0</v>
      </c>
      <c r="P365" t="n">
        <v>0</v>
      </c>
      <c r="Q365" t="n">
        <v>0</v>
      </c>
      <c r="R365" s="2" t="inlineStr"/>
    </row>
    <row r="366" ht="15" customHeight="1">
      <c r="A366" t="inlineStr">
        <is>
          <t>A 7928-2023</t>
        </is>
      </c>
      <c r="B366" s="1" t="n">
        <v>44973</v>
      </c>
      <c r="C366" s="1" t="n">
        <v>45511</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8211-2023</t>
        </is>
      </c>
      <c r="B367" s="1" t="n">
        <v>44974</v>
      </c>
      <c r="C367" s="1" t="n">
        <v>45511</v>
      </c>
      <c r="D367" t="inlineStr">
        <is>
          <t>DALARNAS LÄN</t>
        </is>
      </c>
      <c r="E367" t="inlineStr">
        <is>
          <t>LEKSAND</t>
        </is>
      </c>
      <c r="G367" t="n">
        <v>5.2</v>
      </c>
      <c r="H367" t="n">
        <v>0</v>
      </c>
      <c r="I367" t="n">
        <v>0</v>
      </c>
      <c r="J367" t="n">
        <v>0</v>
      </c>
      <c r="K367" t="n">
        <v>0</v>
      </c>
      <c r="L367" t="n">
        <v>0</v>
      </c>
      <c r="M367" t="n">
        <v>0</v>
      </c>
      <c r="N367" t="n">
        <v>0</v>
      </c>
      <c r="O367" t="n">
        <v>0</v>
      </c>
      <c r="P367" t="n">
        <v>0</v>
      </c>
      <c r="Q367" t="n">
        <v>0</v>
      </c>
      <c r="R367" s="2" t="inlineStr"/>
    </row>
    <row r="368" ht="15" customHeight="1">
      <c r="A368" t="inlineStr">
        <is>
          <t>A 8936-2023</t>
        </is>
      </c>
      <c r="B368" s="1" t="n">
        <v>44974</v>
      </c>
      <c r="C368" s="1" t="n">
        <v>45511</v>
      </c>
      <c r="D368" t="inlineStr">
        <is>
          <t>DALARNAS LÄN</t>
        </is>
      </c>
      <c r="E368" t="inlineStr">
        <is>
          <t>LEKSAND</t>
        </is>
      </c>
      <c r="G368" t="n">
        <v>7</v>
      </c>
      <c r="H368" t="n">
        <v>0</v>
      </c>
      <c r="I368" t="n">
        <v>0</v>
      </c>
      <c r="J368" t="n">
        <v>0</v>
      </c>
      <c r="K368" t="n">
        <v>0</v>
      </c>
      <c r="L368" t="n">
        <v>0</v>
      </c>
      <c r="M368" t="n">
        <v>0</v>
      </c>
      <c r="N368" t="n">
        <v>0</v>
      </c>
      <c r="O368" t="n">
        <v>0</v>
      </c>
      <c r="P368" t="n">
        <v>0</v>
      </c>
      <c r="Q368" t="n">
        <v>0</v>
      </c>
      <c r="R368" s="2" t="inlineStr"/>
    </row>
    <row r="369" ht="15" customHeight="1">
      <c r="A369" t="inlineStr">
        <is>
          <t>A 9143-2023</t>
        </is>
      </c>
      <c r="B369" s="1" t="n">
        <v>44974</v>
      </c>
      <c r="C369" s="1" t="n">
        <v>45511</v>
      </c>
      <c r="D369" t="inlineStr">
        <is>
          <t>DALARNAS LÄN</t>
        </is>
      </c>
      <c r="E369" t="inlineStr">
        <is>
          <t>LEKSAND</t>
        </is>
      </c>
      <c r="G369" t="n">
        <v>4.3</v>
      </c>
      <c r="H369" t="n">
        <v>0</v>
      </c>
      <c r="I369" t="n">
        <v>0</v>
      </c>
      <c r="J369" t="n">
        <v>0</v>
      </c>
      <c r="K369" t="n">
        <v>0</v>
      </c>
      <c r="L369" t="n">
        <v>0</v>
      </c>
      <c r="M369" t="n">
        <v>0</v>
      </c>
      <c r="N369" t="n">
        <v>0</v>
      </c>
      <c r="O369" t="n">
        <v>0</v>
      </c>
      <c r="P369" t="n">
        <v>0</v>
      </c>
      <c r="Q369" t="n">
        <v>0</v>
      </c>
      <c r="R369" s="2" t="inlineStr"/>
    </row>
    <row r="370" ht="15" customHeight="1">
      <c r="A370" t="inlineStr">
        <is>
          <t>A 8940-2023</t>
        </is>
      </c>
      <c r="B370" s="1" t="n">
        <v>44974</v>
      </c>
      <c r="C370" s="1" t="n">
        <v>45511</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9138-2023</t>
        </is>
      </c>
      <c r="B371" s="1" t="n">
        <v>44974</v>
      </c>
      <c r="C371" s="1" t="n">
        <v>45511</v>
      </c>
      <c r="D371" t="inlineStr">
        <is>
          <t>DALARNAS LÄN</t>
        </is>
      </c>
      <c r="E371" t="inlineStr">
        <is>
          <t>LEKSAND</t>
        </is>
      </c>
      <c r="G371" t="n">
        <v>4.6</v>
      </c>
      <c r="H371" t="n">
        <v>0</v>
      </c>
      <c r="I371" t="n">
        <v>0</v>
      </c>
      <c r="J371" t="n">
        <v>0</v>
      </c>
      <c r="K371" t="n">
        <v>0</v>
      </c>
      <c r="L371" t="n">
        <v>0</v>
      </c>
      <c r="M371" t="n">
        <v>0</v>
      </c>
      <c r="N371" t="n">
        <v>0</v>
      </c>
      <c r="O371" t="n">
        <v>0</v>
      </c>
      <c r="P371" t="n">
        <v>0</v>
      </c>
      <c r="Q371" t="n">
        <v>0</v>
      </c>
      <c r="R371" s="2" t="inlineStr"/>
    </row>
    <row r="372" ht="15" customHeight="1">
      <c r="A372" t="inlineStr">
        <is>
          <t>A 9141-2023</t>
        </is>
      </c>
      <c r="B372" s="1" t="n">
        <v>44974</v>
      </c>
      <c r="C372" s="1" t="n">
        <v>45511</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9459-2023</t>
        </is>
      </c>
      <c r="B373" s="1" t="n">
        <v>44977</v>
      </c>
      <c r="C373" s="1" t="n">
        <v>45511</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8773-2023</t>
        </is>
      </c>
      <c r="B374" s="1" t="n">
        <v>44978</v>
      </c>
      <c r="C374" s="1" t="n">
        <v>45511</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8695-2023</t>
        </is>
      </c>
      <c r="B375" s="1" t="n">
        <v>44978</v>
      </c>
      <c r="C375" s="1" t="n">
        <v>45511</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8743-2023</t>
        </is>
      </c>
      <c r="B376" s="1" t="n">
        <v>44978</v>
      </c>
      <c r="C376" s="1" t="n">
        <v>45511</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8755-2023</t>
        </is>
      </c>
      <c r="B377" s="1" t="n">
        <v>44978</v>
      </c>
      <c r="C377" s="1" t="n">
        <v>45511</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9324-2023</t>
        </is>
      </c>
      <c r="B378" s="1" t="n">
        <v>44980</v>
      </c>
      <c r="C378" s="1" t="n">
        <v>45511</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9336-2023</t>
        </is>
      </c>
      <c r="B379" s="1" t="n">
        <v>44980</v>
      </c>
      <c r="C379" s="1" t="n">
        <v>45511</v>
      </c>
      <c r="D379" t="inlineStr">
        <is>
          <t>DALARNAS LÄN</t>
        </is>
      </c>
      <c r="E379" t="inlineStr">
        <is>
          <t>LEKSAND</t>
        </is>
      </c>
      <c r="G379" t="n">
        <v>0.6</v>
      </c>
      <c r="H379" t="n">
        <v>0</v>
      </c>
      <c r="I379" t="n">
        <v>0</v>
      </c>
      <c r="J379" t="n">
        <v>0</v>
      </c>
      <c r="K379" t="n">
        <v>0</v>
      </c>
      <c r="L379" t="n">
        <v>0</v>
      </c>
      <c r="M379" t="n">
        <v>0</v>
      </c>
      <c r="N379" t="n">
        <v>0</v>
      </c>
      <c r="O379" t="n">
        <v>0</v>
      </c>
      <c r="P379" t="n">
        <v>0</v>
      </c>
      <c r="Q379" t="n">
        <v>0</v>
      </c>
      <c r="R379" s="2" t="inlineStr"/>
    </row>
    <row r="380" ht="15" customHeight="1">
      <c r="A380" t="inlineStr">
        <is>
          <t>A 9938-2023</t>
        </is>
      </c>
      <c r="B380" s="1" t="n">
        <v>44985</v>
      </c>
      <c r="C380" s="1" t="n">
        <v>45511</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9947-2023</t>
        </is>
      </c>
      <c r="B381" s="1" t="n">
        <v>44985</v>
      </c>
      <c r="C381" s="1" t="n">
        <v>45511</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11010-2023</t>
        </is>
      </c>
      <c r="B382" s="1" t="n">
        <v>44986</v>
      </c>
      <c r="C382" s="1" t="n">
        <v>45511</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11004-2023</t>
        </is>
      </c>
      <c r="B383" s="1" t="n">
        <v>44986</v>
      </c>
      <c r="C383" s="1" t="n">
        <v>45511</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10367-2023</t>
        </is>
      </c>
      <c r="B384" s="1" t="n">
        <v>44987</v>
      </c>
      <c r="C384" s="1" t="n">
        <v>45511</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10373-2023</t>
        </is>
      </c>
      <c r="B385" s="1" t="n">
        <v>44987</v>
      </c>
      <c r="C385" s="1" t="n">
        <v>45511</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10368-2023</t>
        </is>
      </c>
      <c r="B386" s="1" t="n">
        <v>44987</v>
      </c>
      <c r="C386" s="1" t="n">
        <v>45511</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11398-2023</t>
        </is>
      </c>
      <c r="B387" s="1" t="n">
        <v>44988</v>
      </c>
      <c r="C387" s="1" t="n">
        <v>45511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11423-2023</t>
        </is>
      </c>
      <c r="B388" s="1" t="n">
        <v>44988</v>
      </c>
      <c r="C388" s="1" t="n">
        <v>45511</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11420-2023</t>
        </is>
      </c>
      <c r="B389" s="1" t="n">
        <v>44988</v>
      </c>
      <c r="C389" s="1" t="n">
        <v>45511</v>
      </c>
      <c r="D389" t="inlineStr">
        <is>
          <t>DALARNAS LÄN</t>
        </is>
      </c>
      <c r="E389" t="inlineStr">
        <is>
          <t>LEKSAND</t>
        </is>
      </c>
      <c r="G389" t="n">
        <v>6.5</v>
      </c>
      <c r="H389" t="n">
        <v>0</v>
      </c>
      <c r="I389" t="n">
        <v>0</v>
      </c>
      <c r="J389" t="n">
        <v>0</v>
      </c>
      <c r="K389" t="n">
        <v>0</v>
      </c>
      <c r="L389" t="n">
        <v>0</v>
      </c>
      <c r="M389" t="n">
        <v>0</v>
      </c>
      <c r="N389" t="n">
        <v>0</v>
      </c>
      <c r="O389" t="n">
        <v>0</v>
      </c>
      <c r="P389" t="n">
        <v>0</v>
      </c>
      <c r="Q389" t="n">
        <v>0</v>
      </c>
      <c r="R389" s="2" t="inlineStr"/>
    </row>
    <row r="390" ht="15" customHeight="1">
      <c r="A390" t="inlineStr">
        <is>
          <t>A 10828-2023</t>
        </is>
      </c>
      <c r="B390" s="1" t="n">
        <v>44990</v>
      </c>
      <c r="C390" s="1" t="n">
        <v>45511</v>
      </c>
      <c r="D390" t="inlineStr">
        <is>
          <t>DALARNAS LÄN</t>
        </is>
      </c>
      <c r="E390" t="inlineStr">
        <is>
          <t>LEKSAND</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10833-2023</t>
        </is>
      </c>
      <c r="B391" s="1" t="n">
        <v>44990</v>
      </c>
      <c r="C391" s="1" t="n">
        <v>45511</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10967-2023</t>
        </is>
      </c>
      <c r="B392" s="1" t="n">
        <v>44991</v>
      </c>
      <c r="C392" s="1" t="n">
        <v>45511</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10987-2023</t>
        </is>
      </c>
      <c r="B393" s="1" t="n">
        <v>44991</v>
      </c>
      <c r="C393" s="1" t="n">
        <v>45511</v>
      </c>
      <c r="D393" t="inlineStr">
        <is>
          <t>DALARNAS LÄN</t>
        </is>
      </c>
      <c r="E393" t="inlineStr">
        <is>
          <t>LEKSAND</t>
        </is>
      </c>
      <c r="G393" t="n">
        <v>2.7</v>
      </c>
      <c r="H393" t="n">
        <v>0</v>
      </c>
      <c r="I393" t="n">
        <v>0</v>
      </c>
      <c r="J393" t="n">
        <v>0</v>
      </c>
      <c r="K393" t="n">
        <v>0</v>
      </c>
      <c r="L393" t="n">
        <v>0</v>
      </c>
      <c r="M393" t="n">
        <v>0</v>
      </c>
      <c r="N393" t="n">
        <v>0</v>
      </c>
      <c r="O393" t="n">
        <v>0</v>
      </c>
      <c r="P393" t="n">
        <v>0</v>
      </c>
      <c r="Q393" t="n">
        <v>0</v>
      </c>
      <c r="R393" s="2" t="inlineStr"/>
    </row>
    <row r="394" ht="15" customHeight="1">
      <c r="A394" t="inlineStr">
        <is>
          <t>A 10869-2023</t>
        </is>
      </c>
      <c r="B394" s="1" t="n">
        <v>44991</v>
      </c>
      <c r="C394" s="1" t="n">
        <v>45511</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10974-2023</t>
        </is>
      </c>
      <c r="B395" s="1" t="n">
        <v>44991</v>
      </c>
      <c r="C395" s="1" t="n">
        <v>45511</v>
      </c>
      <c r="D395" t="inlineStr">
        <is>
          <t>DALARNAS LÄN</t>
        </is>
      </c>
      <c r="E395" t="inlineStr">
        <is>
          <t>LEKSAND</t>
        </is>
      </c>
      <c r="G395" t="n">
        <v>0.3</v>
      </c>
      <c r="H395" t="n">
        <v>0</v>
      </c>
      <c r="I395" t="n">
        <v>0</v>
      </c>
      <c r="J395" t="n">
        <v>0</v>
      </c>
      <c r="K395" t="n">
        <v>0</v>
      </c>
      <c r="L395" t="n">
        <v>0</v>
      </c>
      <c r="M395" t="n">
        <v>0</v>
      </c>
      <c r="N395" t="n">
        <v>0</v>
      </c>
      <c r="O395" t="n">
        <v>0</v>
      </c>
      <c r="P395" t="n">
        <v>0</v>
      </c>
      <c r="Q395" t="n">
        <v>0</v>
      </c>
      <c r="R395" s="2" t="inlineStr"/>
    </row>
    <row r="396" ht="15" customHeight="1">
      <c r="A396" t="inlineStr">
        <is>
          <t>A 10896-2023</t>
        </is>
      </c>
      <c r="B396" s="1" t="n">
        <v>44991</v>
      </c>
      <c r="C396" s="1" t="n">
        <v>45511</v>
      </c>
      <c r="D396" t="inlineStr">
        <is>
          <t>DALARNAS LÄN</t>
        </is>
      </c>
      <c r="E396" t="inlineStr">
        <is>
          <t>LEKSAND</t>
        </is>
      </c>
      <c r="G396" t="n">
        <v>4.1</v>
      </c>
      <c r="H396" t="n">
        <v>0</v>
      </c>
      <c r="I396" t="n">
        <v>0</v>
      </c>
      <c r="J396" t="n">
        <v>0</v>
      </c>
      <c r="K396" t="n">
        <v>0</v>
      </c>
      <c r="L396" t="n">
        <v>0</v>
      </c>
      <c r="M396" t="n">
        <v>0</v>
      </c>
      <c r="N396" t="n">
        <v>0</v>
      </c>
      <c r="O396" t="n">
        <v>0</v>
      </c>
      <c r="P396" t="n">
        <v>0</v>
      </c>
      <c r="Q396" t="n">
        <v>0</v>
      </c>
      <c r="R396" s="2" t="inlineStr"/>
    </row>
    <row r="397" ht="15" customHeight="1">
      <c r="A397" t="inlineStr">
        <is>
          <t>A 11233-2023</t>
        </is>
      </c>
      <c r="B397" s="1" t="n">
        <v>44992</v>
      </c>
      <c r="C397" s="1" t="n">
        <v>45511</v>
      </c>
      <c r="D397" t="inlineStr">
        <is>
          <t>DALARNAS LÄN</t>
        </is>
      </c>
      <c r="E397" t="inlineStr">
        <is>
          <t>LEKSAND</t>
        </is>
      </c>
      <c r="G397" t="n">
        <v>4.2</v>
      </c>
      <c r="H397" t="n">
        <v>0</v>
      </c>
      <c r="I397" t="n">
        <v>0</v>
      </c>
      <c r="J397" t="n">
        <v>0</v>
      </c>
      <c r="K397" t="n">
        <v>0</v>
      </c>
      <c r="L397" t="n">
        <v>0</v>
      </c>
      <c r="M397" t="n">
        <v>0</v>
      </c>
      <c r="N397" t="n">
        <v>0</v>
      </c>
      <c r="O397" t="n">
        <v>0</v>
      </c>
      <c r="P397" t="n">
        <v>0</v>
      </c>
      <c r="Q397" t="n">
        <v>0</v>
      </c>
      <c r="R397" s="2" t="inlineStr"/>
    </row>
    <row r="398" ht="15" customHeight="1">
      <c r="A398" t="inlineStr">
        <is>
          <t>A 11238-2023</t>
        </is>
      </c>
      <c r="B398" s="1" t="n">
        <v>44992</v>
      </c>
      <c r="C398" s="1" t="n">
        <v>45511</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11092-2023</t>
        </is>
      </c>
      <c r="B399" s="1" t="n">
        <v>44992</v>
      </c>
      <c r="C399" s="1" t="n">
        <v>45511</v>
      </c>
      <c r="D399" t="inlineStr">
        <is>
          <t>DALARNAS LÄN</t>
        </is>
      </c>
      <c r="E399" t="inlineStr">
        <is>
          <t>LEKSAND</t>
        </is>
      </c>
      <c r="G399" t="n">
        <v>0.5</v>
      </c>
      <c r="H399" t="n">
        <v>0</v>
      </c>
      <c r="I399" t="n">
        <v>0</v>
      </c>
      <c r="J399" t="n">
        <v>0</v>
      </c>
      <c r="K399" t="n">
        <v>0</v>
      </c>
      <c r="L399" t="n">
        <v>0</v>
      </c>
      <c r="M399" t="n">
        <v>0</v>
      </c>
      <c r="N399" t="n">
        <v>0</v>
      </c>
      <c r="O399" t="n">
        <v>0</v>
      </c>
      <c r="P399" t="n">
        <v>0</v>
      </c>
      <c r="Q399" t="n">
        <v>0</v>
      </c>
      <c r="R399" s="2" t="inlineStr"/>
    </row>
    <row r="400" ht="15" customHeight="1">
      <c r="A400" t="inlineStr">
        <is>
          <t>A 11248-2023</t>
        </is>
      </c>
      <c r="B400" s="1" t="n">
        <v>44992</v>
      </c>
      <c r="C400" s="1" t="n">
        <v>45511</v>
      </c>
      <c r="D400" t="inlineStr">
        <is>
          <t>DALARNAS LÄN</t>
        </is>
      </c>
      <c r="E400" t="inlineStr">
        <is>
          <t>LEKSAND</t>
        </is>
      </c>
      <c r="G400" t="n">
        <v>3.5</v>
      </c>
      <c r="H400" t="n">
        <v>0</v>
      </c>
      <c r="I400" t="n">
        <v>0</v>
      </c>
      <c r="J400" t="n">
        <v>0</v>
      </c>
      <c r="K400" t="n">
        <v>0</v>
      </c>
      <c r="L400" t="n">
        <v>0</v>
      </c>
      <c r="M400" t="n">
        <v>0</v>
      </c>
      <c r="N400" t="n">
        <v>0</v>
      </c>
      <c r="O400" t="n">
        <v>0</v>
      </c>
      <c r="P400" t="n">
        <v>0</v>
      </c>
      <c r="Q400" t="n">
        <v>0</v>
      </c>
      <c r="R400" s="2" t="inlineStr"/>
    </row>
    <row r="401" ht="15" customHeight="1">
      <c r="A401" t="inlineStr">
        <is>
          <t>A 11128-2023</t>
        </is>
      </c>
      <c r="B401" s="1" t="n">
        <v>44992</v>
      </c>
      <c r="C401" s="1" t="n">
        <v>45511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11080-2023</t>
        </is>
      </c>
      <c r="B402" s="1" t="n">
        <v>44992</v>
      </c>
      <c r="C402" s="1" t="n">
        <v>45511</v>
      </c>
      <c r="D402" t="inlineStr">
        <is>
          <t>DALARNAS LÄN</t>
        </is>
      </c>
      <c r="E402" t="inlineStr">
        <is>
          <t>LEKSAND</t>
        </is>
      </c>
      <c r="G402" t="n">
        <v>6.9</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45511</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11218-2023</t>
        </is>
      </c>
      <c r="B404" s="1" t="n">
        <v>44992</v>
      </c>
      <c r="C404" s="1" t="n">
        <v>45511</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11225-2023</t>
        </is>
      </c>
      <c r="B405" s="1" t="n">
        <v>44992</v>
      </c>
      <c r="C405" s="1" t="n">
        <v>45511</v>
      </c>
      <c r="D405" t="inlineStr">
        <is>
          <t>DALARNAS LÄN</t>
        </is>
      </c>
      <c r="E405" t="inlineStr">
        <is>
          <t>LEKSAND</t>
        </is>
      </c>
      <c r="G405" t="n">
        <v>6.1</v>
      </c>
      <c r="H405" t="n">
        <v>0</v>
      </c>
      <c r="I405" t="n">
        <v>0</v>
      </c>
      <c r="J405" t="n">
        <v>0</v>
      </c>
      <c r="K405" t="n">
        <v>0</v>
      </c>
      <c r="L405" t="n">
        <v>0</v>
      </c>
      <c r="M405" t="n">
        <v>0</v>
      </c>
      <c r="N405" t="n">
        <v>0</v>
      </c>
      <c r="O405" t="n">
        <v>0</v>
      </c>
      <c r="P405" t="n">
        <v>0</v>
      </c>
      <c r="Q405" t="n">
        <v>0</v>
      </c>
      <c r="R405" s="2" t="inlineStr"/>
    </row>
    <row r="406" ht="15" customHeight="1">
      <c r="A406" t="inlineStr">
        <is>
          <t>A 11347-2023</t>
        </is>
      </c>
      <c r="B406" s="1" t="n">
        <v>44993</v>
      </c>
      <c r="C406" s="1" t="n">
        <v>45511</v>
      </c>
      <c r="D406" t="inlineStr">
        <is>
          <t>DALARNAS LÄN</t>
        </is>
      </c>
      <c r="E406" t="inlineStr">
        <is>
          <t>LEKSAND</t>
        </is>
      </c>
      <c r="G406" t="n">
        <v>6.7</v>
      </c>
      <c r="H406" t="n">
        <v>0</v>
      </c>
      <c r="I406" t="n">
        <v>0</v>
      </c>
      <c r="J406" t="n">
        <v>0</v>
      </c>
      <c r="K406" t="n">
        <v>0</v>
      </c>
      <c r="L406" t="n">
        <v>0</v>
      </c>
      <c r="M406" t="n">
        <v>0</v>
      </c>
      <c r="N406" t="n">
        <v>0</v>
      </c>
      <c r="O406" t="n">
        <v>0</v>
      </c>
      <c r="P406" t="n">
        <v>0</v>
      </c>
      <c r="Q406" t="n">
        <v>0</v>
      </c>
      <c r="R406" s="2" t="inlineStr"/>
    </row>
    <row r="407" ht="15" customHeight="1">
      <c r="A407" t="inlineStr">
        <is>
          <t>A 11392-2023</t>
        </is>
      </c>
      <c r="B407" s="1" t="n">
        <v>44993</v>
      </c>
      <c r="C407" s="1" t="n">
        <v>45511</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45511</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11418-2023</t>
        </is>
      </c>
      <c r="B409" s="1" t="n">
        <v>44993</v>
      </c>
      <c r="C409" s="1" t="n">
        <v>45511</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11747-2023</t>
        </is>
      </c>
      <c r="B410" s="1" t="n">
        <v>44993</v>
      </c>
      <c r="C410" s="1" t="n">
        <v>45511</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11913-2023</t>
        </is>
      </c>
      <c r="B411" s="1" t="n">
        <v>44993</v>
      </c>
      <c r="C411" s="1" t="n">
        <v>45511</v>
      </c>
      <c r="D411" t="inlineStr">
        <is>
          <t>DALARNAS LÄN</t>
        </is>
      </c>
      <c r="E411" t="inlineStr">
        <is>
          <t>LEKSAND</t>
        </is>
      </c>
      <c r="G411" t="n">
        <v>7</v>
      </c>
      <c r="H411" t="n">
        <v>0</v>
      </c>
      <c r="I411" t="n">
        <v>0</v>
      </c>
      <c r="J411" t="n">
        <v>0</v>
      </c>
      <c r="K411" t="n">
        <v>0</v>
      </c>
      <c r="L411" t="n">
        <v>0</v>
      </c>
      <c r="M411" t="n">
        <v>0</v>
      </c>
      <c r="N411" t="n">
        <v>0</v>
      </c>
      <c r="O411" t="n">
        <v>0</v>
      </c>
      <c r="P411" t="n">
        <v>0</v>
      </c>
      <c r="Q411" t="n">
        <v>0</v>
      </c>
      <c r="R411" s="2" t="inlineStr"/>
    </row>
    <row r="412" ht="15" customHeight="1">
      <c r="A412" t="inlineStr">
        <is>
          <t>A 11582-2023</t>
        </is>
      </c>
      <c r="B412" s="1" t="n">
        <v>44994</v>
      </c>
      <c r="C412" s="1" t="n">
        <v>45511</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11592-2023</t>
        </is>
      </c>
      <c r="B413" s="1" t="n">
        <v>44994</v>
      </c>
      <c r="C413" s="1" t="n">
        <v>45511</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11678-2023</t>
        </is>
      </c>
      <c r="B414" s="1" t="n">
        <v>44994</v>
      </c>
      <c r="C414" s="1" t="n">
        <v>45511</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12144-2023</t>
        </is>
      </c>
      <c r="B415" s="1" t="n">
        <v>44998</v>
      </c>
      <c r="C415" s="1" t="n">
        <v>45511</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12117-2023</t>
        </is>
      </c>
      <c r="B416" s="1" t="n">
        <v>44998</v>
      </c>
      <c r="C416" s="1" t="n">
        <v>45511</v>
      </c>
      <c r="D416" t="inlineStr">
        <is>
          <t>DALARNAS LÄN</t>
        </is>
      </c>
      <c r="E416" t="inlineStr">
        <is>
          <t>LEKSAND</t>
        </is>
      </c>
      <c r="G416" t="n">
        <v>2.5</v>
      </c>
      <c r="H416" t="n">
        <v>0</v>
      </c>
      <c r="I416" t="n">
        <v>0</v>
      </c>
      <c r="J416" t="n">
        <v>0</v>
      </c>
      <c r="K416" t="n">
        <v>0</v>
      </c>
      <c r="L416" t="n">
        <v>0</v>
      </c>
      <c r="M416" t="n">
        <v>0</v>
      </c>
      <c r="N416" t="n">
        <v>0</v>
      </c>
      <c r="O416" t="n">
        <v>0</v>
      </c>
      <c r="P416" t="n">
        <v>0</v>
      </c>
      <c r="Q416" t="n">
        <v>0</v>
      </c>
      <c r="R416" s="2" t="inlineStr"/>
    </row>
    <row r="417" ht="15" customHeight="1">
      <c r="A417" t="inlineStr">
        <is>
          <t>A 12120-2023</t>
        </is>
      </c>
      <c r="B417" s="1" t="n">
        <v>44998</v>
      </c>
      <c r="C417" s="1" t="n">
        <v>45511</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12356-2023</t>
        </is>
      </c>
      <c r="B418" s="1" t="n">
        <v>44998</v>
      </c>
      <c r="C418" s="1" t="n">
        <v>45511</v>
      </c>
      <c r="D418" t="inlineStr">
        <is>
          <t>DALARNAS LÄN</t>
        </is>
      </c>
      <c r="E418" t="inlineStr">
        <is>
          <t>LEKSAND</t>
        </is>
      </c>
      <c r="G418" t="n">
        <v>1.6</v>
      </c>
      <c r="H418" t="n">
        <v>0</v>
      </c>
      <c r="I418" t="n">
        <v>0</v>
      </c>
      <c r="J418" t="n">
        <v>0</v>
      </c>
      <c r="K418" t="n">
        <v>0</v>
      </c>
      <c r="L418" t="n">
        <v>0</v>
      </c>
      <c r="M418" t="n">
        <v>0</v>
      </c>
      <c r="N418" t="n">
        <v>0</v>
      </c>
      <c r="O418" t="n">
        <v>0</v>
      </c>
      <c r="P418" t="n">
        <v>0</v>
      </c>
      <c r="Q418" t="n">
        <v>0</v>
      </c>
      <c r="R418" s="2" t="inlineStr"/>
    </row>
    <row r="419" ht="15" customHeight="1">
      <c r="A419" t="inlineStr">
        <is>
          <t>A 12363-2023</t>
        </is>
      </c>
      <c r="B419" s="1" t="n">
        <v>44998</v>
      </c>
      <c r="C419" s="1" t="n">
        <v>45511</v>
      </c>
      <c r="D419" t="inlineStr">
        <is>
          <t>DALARNAS LÄN</t>
        </is>
      </c>
      <c r="E419" t="inlineStr">
        <is>
          <t>LEKSAND</t>
        </is>
      </c>
      <c r="G419" t="n">
        <v>10</v>
      </c>
      <c r="H419" t="n">
        <v>0</v>
      </c>
      <c r="I419" t="n">
        <v>0</v>
      </c>
      <c r="J419" t="n">
        <v>0</v>
      </c>
      <c r="K419" t="n">
        <v>0</v>
      </c>
      <c r="L419" t="n">
        <v>0</v>
      </c>
      <c r="M419" t="n">
        <v>0</v>
      </c>
      <c r="N419" t="n">
        <v>0</v>
      </c>
      <c r="O419" t="n">
        <v>0</v>
      </c>
      <c r="P419" t="n">
        <v>0</v>
      </c>
      <c r="Q419" t="n">
        <v>0</v>
      </c>
      <c r="R419" s="2" t="inlineStr"/>
    </row>
    <row r="420" ht="15" customHeight="1">
      <c r="A420" t="inlineStr">
        <is>
          <t>A 12414-2023</t>
        </is>
      </c>
      <c r="B420" s="1" t="n">
        <v>44999</v>
      </c>
      <c r="C420" s="1" t="n">
        <v>45511</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12857-2023</t>
        </is>
      </c>
      <c r="B421" s="1" t="n">
        <v>45001</v>
      </c>
      <c r="C421" s="1" t="n">
        <v>45511</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12851-2023</t>
        </is>
      </c>
      <c r="B422" s="1" t="n">
        <v>45001</v>
      </c>
      <c r="C422" s="1" t="n">
        <v>45511</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13024-2023</t>
        </is>
      </c>
      <c r="B423" s="1" t="n">
        <v>45001</v>
      </c>
      <c r="C423" s="1" t="n">
        <v>45511</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13063-2023</t>
        </is>
      </c>
      <c r="B424" s="1" t="n">
        <v>45001</v>
      </c>
      <c r="C424" s="1" t="n">
        <v>45511</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13027-2023</t>
        </is>
      </c>
      <c r="B425" s="1" t="n">
        <v>45001</v>
      </c>
      <c r="C425" s="1" t="n">
        <v>45511</v>
      </c>
      <c r="D425" t="inlineStr">
        <is>
          <t>DALARNAS LÄN</t>
        </is>
      </c>
      <c r="E425" t="inlineStr">
        <is>
          <t>LEKSAND</t>
        </is>
      </c>
      <c r="G425" t="n">
        <v>2.8</v>
      </c>
      <c r="H425" t="n">
        <v>0</v>
      </c>
      <c r="I425" t="n">
        <v>0</v>
      </c>
      <c r="J425" t="n">
        <v>0</v>
      </c>
      <c r="K425" t="n">
        <v>0</v>
      </c>
      <c r="L425" t="n">
        <v>0</v>
      </c>
      <c r="M425" t="n">
        <v>0</v>
      </c>
      <c r="N425" t="n">
        <v>0</v>
      </c>
      <c r="O425" t="n">
        <v>0</v>
      </c>
      <c r="P425" t="n">
        <v>0</v>
      </c>
      <c r="Q425" t="n">
        <v>0</v>
      </c>
      <c r="R425" s="2" t="inlineStr"/>
    </row>
    <row r="426" ht="15" customHeight="1">
      <c r="A426" t="inlineStr">
        <is>
          <t>A 13079-2023</t>
        </is>
      </c>
      <c r="B426" s="1" t="n">
        <v>45001</v>
      </c>
      <c r="C426" s="1" t="n">
        <v>45511</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13165-2023</t>
        </is>
      </c>
      <c r="B427" s="1" t="n">
        <v>45002</v>
      </c>
      <c r="C427" s="1" t="n">
        <v>45511</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13288-2023</t>
        </is>
      </c>
      <c r="B428" s="1" t="n">
        <v>45004</v>
      </c>
      <c r="C428" s="1" t="n">
        <v>45511</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13397-2023</t>
        </is>
      </c>
      <c r="B429" s="1" t="n">
        <v>45005</v>
      </c>
      <c r="C429" s="1" t="n">
        <v>45511</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13401-2023</t>
        </is>
      </c>
      <c r="B430" s="1" t="n">
        <v>45005</v>
      </c>
      <c r="C430" s="1" t="n">
        <v>45511</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13376-2023</t>
        </is>
      </c>
      <c r="B431" s="1" t="n">
        <v>45005</v>
      </c>
      <c r="C431" s="1" t="n">
        <v>45511</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13760-2023</t>
        </is>
      </c>
      <c r="B432" s="1" t="n">
        <v>45007</v>
      </c>
      <c r="C432" s="1" t="n">
        <v>45511</v>
      </c>
      <c r="D432" t="inlineStr">
        <is>
          <t>DALARNAS LÄN</t>
        </is>
      </c>
      <c r="E432" t="inlineStr">
        <is>
          <t>LEKSAND</t>
        </is>
      </c>
      <c r="G432" t="n">
        <v>7.9</v>
      </c>
      <c r="H432" t="n">
        <v>0</v>
      </c>
      <c r="I432" t="n">
        <v>0</v>
      </c>
      <c r="J432" t="n">
        <v>0</v>
      </c>
      <c r="K432" t="n">
        <v>0</v>
      </c>
      <c r="L432" t="n">
        <v>0</v>
      </c>
      <c r="M432" t="n">
        <v>0</v>
      </c>
      <c r="N432" t="n">
        <v>0</v>
      </c>
      <c r="O432" t="n">
        <v>0</v>
      </c>
      <c r="P432" t="n">
        <v>0</v>
      </c>
      <c r="Q432" t="n">
        <v>0</v>
      </c>
      <c r="R432" s="2" t="inlineStr"/>
    </row>
    <row r="433" ht="15" customHeight="1">
      <c r="A433" t="inlineStr">
        <is>
          <t>A 14339-2023</t>
        </is>
      </c>
      <c r="B433" s="1" t="n">
        <v>45012</v>
      </c>
      <c r="C433" s="1" t="n">
        <v>45511</v>
      </c>
      <c r="D433" t="inlineStr">
        <is>
          <t>DALARNAS LÄN</t>
        </is>
      </c>
      <c r="E433" t="inlineStr">
        <is>
          <t>LEKSAND</t>
        </is>
      </c>
      <c r="G433" t="n">
        <v>5.3</v>
      </c>
      <c r="H433" t="n">
        <v>0</v>
      </c>
      <c r="I433" t="n">
        <v>0</v>
      </c>
      <c r="J433" t="n">
        <v>0</v>
      </c>
      <c r="K433" t="n">
        <v>0</v>
      </c>
      <c r="L433" t="n">
        <v>0</v>
      </c>
      <c r="M433" t="n">
        <v>0</v>
      </c>
      <c r="N433" t="n">
        <v>0</v>
      </c>
      <c r="O433" t="n">
        <v>0</v>
      </c>
      <c r="P433" t="n">
        <v>0</v>
      </c>
      <c r="Q433" t="n">
        <v>0</v>
      </c>
      <c r="R433" s="2" t="inlineStr"/>
    </row>
    <row r="434" ht="15" customHeight="1">
      <c r="A434" t="inlineStr">
        <is>
          <t>A 14558-2023</t>
        </is>
      </c>
      <c r="B434" s="1" t="n">
        <v>45013</v>
      </c>
      <c r="C434" s="1" t="n">
        <v>45511</v>
      </c>
      <c r="D434" t="inlineStr">
        <is>
          <t>DALARNAS LÄN</t>
        </is>
      </c>
      <c r="E434" t="inlineStr">
        <is>
          <t>LEKSAND</t>
        </is>
      </c>
      <c r="G434" t="n">
        <v>3.9</v>
      </c>
      <c r="H434" t="n">
        <v>0</v>
      </c>
      <c r="I434" t="n">
        <v>0</v>
      </c>
      <c r="J434" t="n">
        <v>0</v>
      </c>
      <c r="K434" t="n">
        <v>0</v>
      </c>
      <c r="L434" t="n">
        <v>0</v>
      </c>
      <c r="M434" t="n">
        <v>0</v>
      </c>
      <c r="N434" t="n">
        <v>0</v>
      </c>
      <c r="O434" t="n">
        <v>0</v>
      </c>
      <c r="P434" t="n">
        <v>0</v>
      </c>
      <c r="Q434" t="n">
        <v>0</v>
      </c>
      <c r="R434" s="2" t="inlineStr"/>
    </row>
    <row r="435" ht="15" customHeight="1">
      <c r="A435" t="inlineStr">
        <is>
          <t>A 14809-2023</t>
        </is>
      </c>
      <c r="B435" s="1" t="n">
        <v>45014</v>
      </c>
      <c r="C435" s="1" t="n">
        <v>45511</v>
      </c>
      <c r="D435" t="inlineStr">
        <is>
          <t>DALARNAS LÄN</t>
        </is>
      </c>
      <c r="E435" t="inlineStr">
        <is>
          <t>LEKSAND</t>
        </is>
      </c>
      <c r="G435" t="n">
        <v>4.9</v>
      </c>
      <c r="H435" t="n">
        <v>0</v>
      </c>
      <c r="I435" t="n">
        <v>0</v>
      </c>
      <c r="J435" t="n">
        <v>0</v>
      </c>
      <c r="K435" t="n">
        <v>0</v>
      </c>
      <c r="L435" t="n">
        <v>0</v>
      </c>
      <c r="M435" t="n">
        <v>0</v>
      </c>
      <c r="N435" t="n">
        <v>0</v>
      </c>
      <c r="O435" t="n">
        <v>0</v>
      </c>
      <c r="P435" t="n">
        <v>0</v>
      </c>
      <c r="Q435" t="n">
        <v>0</v>
      </c>
      <c r="R435" s="2" t="inlineStr"/>
    </row>
    <row r="436" ht="15" customHeight="1">
      <c r="A436" t="inlineStr">
        <is>
          <t>A 14943-2023</t>
        </is>
      </c>
      <c r="B436" s="1" t="n">
        <v>45015</v>
      </c>
      <c r="C436" s="1" t="n">
        <v>45511</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14967-2023</t>
        </is>
      </c>
      <c r="B437" s="1" t="n">
        <v>45015</v>
      </c>
      <c r="C437" s="1" t="n">
        <v>45511</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15020-2023</t>
        </is>
      </c>
      <c r="B438" s="1" t="n">
        <v>45015</v>
      </c>
      <c r="C438" s="1" t="n">
        <v>45511</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15025-2023</t>
        </is>
      </c>
      <c r="B439" s="1" t="n">
        <v>45015</v>
      </c>
      <c r="C439" s="1" t="n">
        <v>45511</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15120-2023</t>
        </is>
      </c>
      <c r="B440" s="1" t="n">
        <v>45016</v>
      </c>
      <c r="C440" s="1" t="n">
        <v>45511</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15261-2023</t>
        </is>
      </c>
      <c r="B441" s="1" t="n">
        <v>45019</v>
      </c>
      <c r="C441" s="1" t="n">
        <v>45511</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15271-2023</t>
        </is>
      </c>
      <c r="B442" s="1" t="n">
        <v>45019</v>
      </c>
      <c r="C442" s="1" t="n">
        <v>45511</v>
      </c>
      <c r="D442" t="inlineStr">
        <is>
          <t>DALARNAS LÄN</t>
        </is>
      </c>
      <c r="E442" t="inlineStr">
        <is>
          <t>LEKSAND</t>
        </is>
      </c>
      <c r="G442" t="n">
        <v>5.5</v>
      </c>
      <c r="H442" t="n">
        <v>0</v>
      </c>
      <c r="I442" t="n">
        <v>0</v>
      </c>
      <c r="J442" t="n">
        <v>0</v>
      </c>
      <c r="K442" t="n">
        <v>0</v>
      </c>
      <c r="L442" t="n">
        <v>0</v>
      </c>
      <c r="M442" t="n">
        <v>0</v>
      </c>
      <c r="N442" t="n">
        <v>0</v>
      </c>
      <c r="O442" t="n">
        <v>0</v>
      </c>
      <c r="P442" t="n">
        <v>0</v>
      </c>
      <c r="Q442" t="n">
        <v>0</v>
      </c>
      <c r="R442" s="2" t="inlineStr"/>
    </row>
    <row r="443" ht="15" customHeight="1">
      <c r="A443" t="inlineStr">
        <is>
          <t>A 15435-2023</t>
        </is>
      </c>
      <c r="B443" s="1" t="n">
        <v>45020</v>
      </c>
      <c r="C443" s="1" t="n">
        <v>45511</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15436-2023</t>
        </is>
      </c>
      <c r="B444" s="1" t="n">
        <v>45020</v>
      </c>
      <c r="C444" s="1" t="n">
        <v>45511</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15433-2023</t>
        </is>
      </c>
      <c r="B445" s="1" t="n">
        <v>45020</v>
      </c>
      <c r="C445" s="1" t="n">
        <v>45511</v>
      </c>
      <c r="D445" t="inlineStr">
        <is>
          <t>DALARNAS LÄN</t>
        </is>
      </c>
      <c r="E445" t="inlineStr">
        <is>
          <t>LEKSAND</t>
        </is>
      </c>
      <c r="G445" t="n">
        <v>3</v>
      </c>
      <c r="H445" t="n">
        <v>0</v>
      </c>
      <c r="I445" t="n">
        <v>0</v>
      </c>
      <c r="J445" t="n">
        <v>0</v>
      </c>
      <c r="K445" t="n">
        <v>0</v>
      </c>
      <c r="L445" t="n">
        <v>0</v>
      </c>
      <c r="M445" t="n">
        <v>0</v>
      </c>
      <c r="N445" t="n">
        <v>0</v>
      </c>
      <c r="O445" t="n">
        <v>0</v>
      </c>
      <c r="P445" t="n">
        <v>0</v>
      </c>
      <c r="Q445" t="n">
        <v>0</v>
      </c>
      <c r="R445" s="2" t="inlineStr"/>
    </row>
    <row r="446" ht="15" customHeight="1">
      <c r="A446" t="inlineStr">
        <is>
          <t>A 15882-2023</t>
        </is>
      </c>
      <c r="B446" s="1" t="n">
        <v>45022</v>
      </c>
      <c r="C446" s="1" t="n">
        <v>45511</v>
      </c>
      <c r="D446" t="inlineStr">
        <is>
          <t>DALARNAS LÄN</t>
        </is>
      </c>
      <c r="E446" t="inlineStr">
        <is>
          <t>LEKSAND</t>
        </is>
      </c>
      <c r="G446" t="n">
        <v>0.1</v>
      </c>
      <c r="H446" t="n">
        <v>0</v>
      </c>
      <c r="I446" t="n">
        <v>0</v>
      </c>
      <c r="J446" t="n">
        <v>0</v>
      </c>
      <c r="K446" t="n">
        <v>0</v>
      </c>
      <c r="L446" t="n">
        <v>0</v>
      </c>
      <c r="M446" t="n">
        <v>0</v>
      </c>
      <c r="N446" t="n">
        <v>0</v>
      </c>
      <c r="O446" t="n">
        <v>0</v>
      </c>
      <c r="P446" t="n">
        <v>0</v>
      </c>
      <c r="Q446" t="n">
        <v>0</v>
      </c>
      <c r="R446" s="2" t="inlineStr"/>
    </row>
    <row r="447" ht="15" customHeight="1">
      <c r="A447" t="inlineStr">
        <is>
          <t>A 16051-2023</t>
        </is>
      </c>
      <c r="B447" s="1" t="n">
        <v>45027</v>
      </c>
      <c r="C447" s="1" t="n">
        <v>45511</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16139-2023</t>
        </is>
      </c>
      <c r="B448" s="1" t="n">
        <v>45027</v>
      </c>
      <c r="C448" s="1" t="n">
        <v>45511</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16143-2023</t>
        </is>
      </c>
      <c r="B449" s="1" t="n">
        <v>45027</v>
      </c>
      <c r="C449" s="1" t="n">
        <v>45511</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16137-2023</t>
        </is>
      </c>
      <c r="B450" s="1" t="n">
        <v>45027</v>
      </c>
      <c r="C450" s="1" t="n">
        <v>45511</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16135-2023</t>
        </is>
      </c>
      <c r="B451" s="1" t="n">
        <v>45027</v>
      </c>
      <c r="C451" s="1" t="n">
        <v>45511</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16333-2023</t>
        </is>
      </c>
      <c r="B452" s="1" t="n">
        <v>45028</v>
      </c>
      <c r="C452" s="1" t="n">
        <v>45511</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16332-2023</t>
        </is>
      </c>
      <c r="B453" s="1" t="n">
        <v>45028</v>
      </c>
      <c r="C453" s="1" t="n">
        <v>45511</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16592-2023</t>
        </is>
      </c>
      <c r="B454" s="1" t="n">
        <v>45030</v>
      </c>
      <c r="C454" s="1" t="n">
        <v>45511</v>
      </c>
      <c r="D454" t="inlineStr">
        <is>
          <t>DALARNAS LÄN</t>
        </is>
      </c>
      <c r="E454" t="inlineStr">
        <is>
          <t>LEKSAND</t>
        </is>
      </c>
      <c r="G454" t="n">
        <v>11.5</v>
      </c>
      <c r="H454" t="n">
        <v>0</v>
      </c>
      <c r="I454" t="n">
        <v>0</v>
      </c>
      <c r="J454" t="n">
        <v>0</v>
      </c>
      <c r="K454" t="n">
        <v>0</v>
      </c>
      <c r="L454" t="n">
        <v>0</v>
      </c>
      <c r="M454" t="n">
        <v>0</v>
      </c>
      <c r="N454" t="n">
        <v>0</v>
      </c>
      <c r="O454" t="n">
        <v>0</v>
      </c>
      <c r="P454" t="n">
        <v>0</v>
      </c>
      <c r="Q454" t="n">
        <v>0</v>
      </c>
      <c r="R454" s="2" t="inlineStr"/>
    </row>
    <row r="455" ht="15" customHeight="1">
      <c r="A455" t="inlineStr">
        <is>
          <t>A 16818-2023</t>
        </is>
      </c>
      <c r="B455" s="1" t="n">
        <v>45033</v>
      </c>
      <c r="C455" s="1" t="n">
        <v>45511</v>
      </c>
      <c r="D455" t="inlineStr">
        <is>
          <t>DALARNAS LÄN</t>
        </is>
      </c>
      <c r="E455" t="inlineStr">
        <is>
          <t>LEKSAND</t>
        </is>
      </c>
      <c r="F455" t="inlineStr">
        <is>
          <t>Övriga statliga verk och myndigheter</t>
        </is>
      </c>
      <c r="G455" t="n">
        <v>1.3</v>
      </c>
      <c r="H455" t="n">
        <v>0</v>
      </c>
      <c r="I455" t="n">
        <v>0</v>
      </c>
      <c r="J455" t="n">
        <v>0</v>
      </c>
      <c r="K455" t="n">
        <v>0</v>
      </c>
      <c r="L455" t="n">
        <v>0</v>
      </c>
      <c r="M455" t="n">
        <v>0</v>
      </c>
      <c r="N455" t="n">
        <v>0</v>
      </c>
      <c r="O455" t="n">
        <v>0</v>
      </c>
      <c r="P455" t="n">
        <v>0</v>
      </c>
      <c r="Q455" t="n">
        <v>0</v>
      </c>
      <c r="R455" s="2" t="inlineStr"/>
    </row>
    <row r="456" ht="15" customHeight="1">
      <c r="A456" t="inlineStr">
        <is>
          <t>A 16882-2023</t>
        </is>
      </c>
      <c r="B456" s="1" t="n">
        <v>45033</v>
      </c>
      <c r="C456" s="1" t="n">
        <v>45511</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16926-2023</t>
        </is>
      </c>
      <c r="B457" s="1" t="n">
        <v>45033</v>
      </c>
      <c r="C457" s="1" t="n">
        <v>45511</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17078-2023</t>
        </is>
      </c>
      <c r="B458" s="1" t="n">
        <v>45034</v>
      </c>
      <c r="C458" s="1" t="n">
        <v>45511</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17070-2023</t>
        </is>
      </c>
      <c r="B459" s="1" t="n">
        <v>45034</v>
      </c>
      <c r="C459" s="1" t="n">
        <v>45511</v>
      </c>
      <c r="D459" t="inlineStr">
        <is>
          <t>DALARNAS LÄN</t>
        </is>
      </c>
      <c r="E459" t="inlineStr">
        <is>
          <t>LEKSAND</t>
        </is>
      </c>
      <c r="G459" t="n">
        <v>5.9</v>
      </c>
      <c r="H459" t="n">
        <v>0</v>
      </c>
      <c r="I459" t="n">
        <v>0</v>
      </c>
      <c r="J459" t="n">
        <v>0</v>
      </c>
      <c r="K459" t="n">
        <v>0</v>
      </c>
      <c r="L459" t="n">
        <v>0</v>
      </c>
      <c r="M459" t="n">
        <v>0</v>
      </c>
      <c r="N459" t="n">
        <v>0</v>
      </c>
      <c r="O459" t="n">
        <v>0</v>
      </c>
      <c r="P459" t="n">
        <v>0</v>
      </c>
      <c r="Q459" t="n">
        <v>0</v>
      </c>
      <c r="R459" s="2" t="inlineStr"/>
    </row>
    <row r="460" ht="15" customHeight="1">
      <c r="A460" t="inlineStr">
        <is>
          <t>A 17076-2023</t>
        </is>
      </c>
      <c r="B460" s="1" t="n">
        <v>45034</v>
      </c>
      <c r="C460" s="1" t="n">
        <v>45511</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17072-2023</t>
        </is>
      </c>
      <c r="B461" s="1" t="n">
        <v>45034</v>
      </c>
      <c r="C461" s="1" t="n">
        <v>45511</v>
      </c>
      <c r="D461" t="inlineStr">
        <is>
          <t>DALARNAS LÄN</t>
        </is>
      </c>
      <c r="E461" t="inlineStr">
        <is>
          <t>LEKSAND</t>
        </is>
      </c>
      <c r="G461" t="n">
        <v>5.3</v>
      </c>
      <c r="H461" t="n">
        <v>0</v>
      </c>
      <c r="I461" t="n">
        <v>0</v>
      </c>
      <c r="J461" t="n">
        <v>0</v>
      </c>
      <c r="K461" t="n">
        <v>0</v>
      </c>
      <c r="L461" t="n">
        <v>0</v>
      </c>
      <c r="M461" t="n">
        <v>0</v>
      </c>
      <c r="N461" t="n">
        <v>0</v>
      </c>
      <c r="O461" t="n">
        <v>0</v>
      </c>
      <c r="P461" t="n">
        <v>0</v>
      </c>
      <c r="Q461" t="n">
        <v>0</v>
      </c>
      <c r="R461" s="2" t="inlineStr"/>
    </row>
    <row r="462" ht="15" customHeight="1">
      <c r="A462" t="inlineStr">
        <is>
          <t>A 17084-2023</t>
        </is>
      </c>
      <c r="B462" s="1" t="n">
        <v>45034</v>
      </c>
      <c r="C462" s="1" t="n">
        <v>45511</v>
      </c>
      <c r="D462" t="inlineStr">
        <is>
          <t>DALARNAS LÄN</t>
        </is>
      </c>
      <c r="E462" t="inlineStr">
        <is>
          <t>LEKSAND</t>
        </is>
      </c>
      <c r="G462" t="n">
        <v>3.1</v>
      </c>
      <c r="H462" t="n">
        <v>0</v>
      </c>
      <c r="I462" t="n">
        <v>0</v>
      </c>
      <c r="J462" t="n">
        <v>0</v>
      </c>
      <c r="K462" t="n">
        <v>0</v>
      </c>
      <c r="L462" t="n">
        <v>0</v>
      </c>
      <c r="M462" t="n">
        <v>0</v>
      </c>
      <c r="N462" t="n">
        <v>0</v>
      </c>
      <c r="O462" t="n">
        <v>0</v>
      </c>
      <c r="P462" t="n">
        <v>0</v>
      </c>
      <c r="Q462" t="n">
        <v>0</v>
      </c>
      <c r="R462" s="2" t="inlineStr"/>
    </row>
    <row r="463" ht="15" customHeight="1">
      <c r="A463" t="inlineStr">
        <is>
          <t>A 17089-2023</t>
        </is>
      </c>
      <c r="B463" s="1" t="n">
        <v>45034</v>
      </c>
      <c r="C463" s="1" t="n">
        <v>45511</v>
      </c>
      <c r="D463" t="inlineStr">
        <is>
          <t>DALARNAS LÄN</t>
        </is>
      </c>
      <c r="E463" t="inlineStr">
        <is>
          <t>LEKSAND</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17233-2023</t>
        </is>
      </c>
      <c r="B464" s="1" t="n">
        <v>45035</v>
      </c>
      <c r="C464" s="1" t="n">
        <v>45511</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17231-2023</t>
        </is>
      </c>
      <c r="B465" s="1" t="n">
        <v>45035</v>
      </c>
      <c r="C465" s="1" t="n">
        <v>45511</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17331-2023</t>
        </is>
      </c>
      <c r="B466" s="1" t="n">
        <v>45035</v>
      </c>
      <c r="C466" s="1" t="n">
        <v>45511</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17413-2023</t>
        </is>
      </c>
      <c r="B467" s="1" t="n">
        <v>45035</v>
      </c>
      <c r="C467" s="1" t="n">
        <v>45511</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17533-2023</t>
        </is>
      </c>
      <c r="B468" s="1" t="n">
        <v>45036</v>
      </c>
      <c r="C468" s="1" t="n">
        <v>45511</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17759-2023</t>
        </is>
      </c>
      <c r="B469" s="1" t="n">
        <v>45037</v>
      </c>
      <c r="C469" s="1" t="n">
        <v>45511</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17947-2023</t>
        </is>
      </c>
      <c r="B470" s="1" t="n">
        <v>45040</v>
      </c>
      <c r="C470" s="1" t="n">
        <v>45511</v>
      </c>
      <c r="D470" t="inlineStr">
        <is>
          <t>DALARNAS LÄN</t>
        </is>
      </c>
      <c r="E470" t="inlineStr">
        <is>
          <t>LEKSAND</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18351-2023</t>
        </is>
      </c>
      <c r="B471" s="1" t="n">
        <v>45041</v>
      </c>
      <c r="C471" s="1" t="n">
        <v>45511</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18383-2023</t>
        </is>
      </c>
      <c r="B472" s="1" t="n">
        <v>45042</v>
      </c>
      <c r="C472" s="1" t="n">
        <v>45511</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18407-2023</t>
        </is>
      </c>
      <c r="B473" s="1" t="n">
        <v>45042</v>
      </c>
      <c r="C473" s="1" t="n">
        <v>45511</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18677-2023</t>
        </is>
      </c>
      <c r="B474" s="1" t="n">
        <v>45043</v>
      </c>
      <c r="C474" s="1" t="n">
        <v>45511</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18632-2023</t>
        </is>
      </c>
      <c r="B475" s="1" t="n">
        <v>45043</v>
      </c>
      <c r="C475" s="1" t="n">
        <v>45511</v>
      </c>
      <c r="D475" t="inlineStr">
        <is>
          <t>DALARNAS LÄN</t>
        </is>
      </c>
      <c r="E475" t="inlineStr">
        <is>
          <t>LEKSAND</t>
        </is>
      </c>
      <c r="G475" t="n">
        <v>6.8</v>
      </c>
      <c r="H475" t="n">
        <v>0</v>
      </c>
      <c r="I475" t="n">
        <v>0</v>
      </c>
      <c r="J475" t="n">
        <v>0</v>
      </c>
      <c r="K475" t="n">
        <v>0</v>
      </c>
      <c r="L475" t="n">
        <v>0</v>
      </c>
      <c r="M475" t="n">
        <v>0</v>
      </c>
      <c r="N475" t="n">
        <v>0</v>
      </c>
      <c r="O475" t="n">
        <v>0</v>
      </c>
      <c r="P475" t="n">
        <v>0</v>
      </c>
      <c r="Q475" t="n">
        <v>0</v>
      </c>
      <c r="R475" s="2" t="inlineStr"/>
    </row>
    <row r="476" ht="15" customHeight="1">
      <c r="A476" t="inlineStr">
        <is>
          <t>A 18666-2023</t>
        </is>
      </c>
      <c r="B476" s="1" t="n">
        <v>45043</v>
      </c>
      <c r="C476" s="1" t="n">
        <v>45511</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18909-2023</t>
        </is>
      </c>
      <c r="B477" s="1" t="n">
        <v>45044</v>
      </c>
      <c r="C477" s="1" t="n">
        <v>45511</v>
      </c>
      <c r="D477" t="inlineStr">
        <is>
          <t>DALARNAS LÄN</t>
        </is>
      </c>
      <c r="E477" t="inlineStr">
        <is>
          <t>LEKSAND</t>
        </is>
      </c>
      <c r="G477" t="n">
        <v>10.7</v>
      </c>
      <c r="H477" t="n">
        <v>0</v>
      </c>
      <c r="I477" t="n">
        <v>0</v>
      </c>
      <c r="J477" t="n">
        <v>0</v>
      </c>
      <c r="K477" t="n">
        <v>0</v>
      </c>
      <c r="L477" t="n">
        <v>0</v>
      </c>
      <c r="M477" t="n">
        <v>0</v>
      </c>
      <c r="N477" t="n">
        <v>0</v>
      </c>
      <c r="O477" t="n">
        <v>0</v>
      </c>
      <c r="P477" t="n">
        <v>0</v>
      </c>
      <c r="Q477" t="n">
        <v>0</v>
      </c>
      <c r="R477" s="2" t="inlineStr"/>
    </row>
    <row r="478" ht="15" customHeight="1">
      <c r="A478" t="inlineStr">
        <is>
          <t>A 18837-2023</t>
        </is>
      </c>
      <c r="B478" s="1" t="n">
        <v>45044</v>
      </c>
      <c r="C478" s="1" t="n">
        <v>45511</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19103-2023</t>
        </is>
      </c>
      <c r="B479" s="1" t="n">
        <v>45048</v>
      </c>
      <c r="C479" s="1" t="n">
        <v>45511</v>
      </c>
      <c r="D479" t="inlineStr">
        <is>
          <t>DALARNAS LÄN</t>
        </is>
      </c>
      <c r="E479" t="inlineStr">
        <is>
          <t>LEKSAND</t>
        </is>
      </c>
      <c r="G479" t="n">
        <v>7.1</v>
      </c>
      <c r="H479" t="n">
        <v>0</v>
      </c>
      <c r="I479" t="n">
        <v>0</v>
      </c>
      <c r="J479" t="n">
        <v>0</v>
      </c>
      <c r="K479" t="n">
        <v>0</v>
      </c>
      <c r="L479" t="n">
        <v>0</v>
      </c>
      <c r="M479" t="n">
        <v>0</v>
      </c>
      <c r="N479" t="n">
        <v>0</v>
      </c>
      <c r="O479" t="n">
        <v>0</v>
      </c>
      <c r="P479" t="n">
        <v>0</v>
      </c>
      <c r="Q479" t="n">
        <v>0</v>
      </c>
      <c r="R479" s="2" t="inlineStr"/>
    </row>
    <row r="480" ht="15" customHeight="1">
      <c r="A480" t="inlineStr">
        <is>
          <t>A 19316-2023</t>
        </is>
      </c>
      <c r="B480" s="1" t="n">
        <v>45049</v>
      </c>
      <c r="C480" s="1" t="n">
        <v>45511</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19331-2023</t>
        </is>
      </c>
      <c r="B481" s="1" t="n">
        <v>45049</v>
      </c>
      <c r="C481" s="1" t="n">
        <v>45511</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19550-2023</t>
        </is>
      </c>
      <c r="B482" s="1" t="n">
        <v>45049</v>
      </c>
      <c r="C482" s="1" t="n">
        <v>45511</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19590-2023</t>
        </is>
      </c>
      <c r="B483" s="1" t="n">
        <v>45049</v>
      </c>
      <c r="C483" s="1" t="n">
        <v>45511</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19559-2023</t>
        </is>
      </c>
      <c r="B484" s="1" t="n">
        <v>45050</v>
      </c>
      <c r="C484" s="1" t="n">
        <v>45511</v>
      </c>
      <c r="D484" t="inlineStr">
        <is>
          <t>DALARNAS LÄN</t>
        </is>
      </c>
      <c r="E484" t="inlineStr">
        <is>
          <t>LEKSAND</t>
        </is>
      </c>
      <c r="G484" t="n">
        <v>0.1</v>
      </c>
      <c r="H484" t="n">
        <v>0</v>
      </c>
      <c r="I484" t="n">
        <v>0</v>
      </c>
      <c r="J484" t="n">
        <v>0</v>
      </c>
      <c r="K484" t="n">
        <v>0</v>
      </c>
      <c r="L484" t="n">
        <v>0</v>
      </c>
      <c r="M484" t="n">
        <v>0</v>
      </c>
      <c r="N484" t="n">
        <v>0</v>
      </c>
      <c r="O484" t="n">
        <v>0</v>
      </c>
      <c r="P484" t="n">
        <v>0</v>
      </c>
      <c r="Q484" t="n">
        <v>0</v>
      </c>
      <c r="R484" s="2" t="inlineStr"/>
    </row>
    <row r="485" ht="15" customHeight="1">
      <c r="A485" t="inlineStr">
        <is>
          <t>A 19689-2023</t>
        </is>
      </c>
      <c r="B485" s="1" t="n">
        <v>45051</v>
      </c>
      <c r="C485" s="1" t="n">
        <v>45511</v>
      </c>
      <c r="D485" t="inlineStr">
        <is>
          <t>DALARNAS LÄN</t>
        </is>
      </c>
      <c r="E485" t="inlineStr">
        <is>
          <t>LEKSAND</t>
        </is>
      </c>
      <c r="G485" t="n">
        <v>15.9</v>
      </c>
      <c r="H485" t="n">
        <v>0</v>
      </c>
      <c r="I485" t="n">
        <v>0</v>
      </c>
      <c r="J485" t="n">
        <v>0</v>
      </c>
      <c r="K485" t="n">
        <v>0</v>
      </c>
      <c r="L485" t="n">
        <v>0</v>
      </c>
      <c r="M485" t="n">
        <v>0</v>
      </c>
      <c r="N485" t="n">
        <v>0</v>
      </c>
      <c r="O485" t="n">
        <v>0</v>
      </c>
      <c r="P485" t="n">
        <v>0</v>
      </c>
      <c r="Q485" t="n">
        <v>0</v>
      </c>
      <c r="R485" s="2" t="inlineStr"/>
    </row>
    <row r="486" ht="15" customHeight="1">
      <c r="A486" t="inlineStr">
        <is>
          <t>A 20150-2023</t>
        </is>
      </c>
      <c r="B486" s="1" t="n">
        <v>45051</v>
      </c>
      <c r="C486" s="1" t="n">
        <v>45511</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20514-2023</t>
        </is>
      </c>
      <c r="B487" s="1" t="n">
        <v>45054</v>
      </c>
      <c r="C487" s="1" t="n">
        <v>45511</v>
      </c>
      <c r="D487" t="inlineStr">
        <is>
          <t>DALARNAS LÄN</t>
        </is>
      </c>
      <c r="E487" t="inlineStr">
        <is>
          <t>LEKSAND</t>
        </is>
      </c>
      <c r="G487" t="n">
        <v>3.2</v>
      </c>
      <c r="H487" t="n">
        <v>0</v>
      </c>
      <c r="I487" t="n">
        <v>0</v>
      </c>
      <c r="J487" t="n">
        <v>0</v>
      </c>
      <c r="K487" t="n">
        <v>0</v>
      </c>
      <c r="L487" t="n">
        <v>0</v>
      </c>
      <c r="M487" t="n">
        <v>0</v>
      </c>
      <c r="N487" t="n">
        <v>0</v>
      </c>
      <c r="O487" t="n">
        <v>0</v>
      </c>
      <c r="P487" t="n">
        <v>0</v>
      </c>
      <c r="Q487" t="n">
        <v>0</v>
      </c>
      <c r="R487" s="2" t="inlineStr"/>
    </row>
    <row r="488" ht="15" customHeight="1">
      <c r="A488" t="inlineStr">
        <is>
          <t>A 20222-2023</t>
        </is>
      </c>
      <c r="B488" s="1" t="n">
        <v>45055</v>
      </c>
      <c r="C488" s="1" t="n">
        <v>45511</v>
      </c>
      <c r="D488" t="inlineStr">
        <is>
          <t>DALARNAS LÄN</t>
        </is>
      </c>
      <c r="E488" t="inlineStr">
        <is>
          <t>LEKSAND</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20114-2023</t>
        </is>
      </c>
      <c r="B489" s="1" t="n">
        <v>45055</v>
      </c>
      <c r="C489" s="1" t="n">
        <v>45511</v>
      </c>
      <c r="D489" t="inlineStr">
        <is>
          <t>DALARNAS LÄN</t>
        </is>
      </c>
      <c r="E489" t="inlineStr">
        <is>
          <t>LEKSAND</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20936-2023</t>
        </is>
      </c>
      <c r="B490" s="1" t="n">
        <v>45061</v>
      </c>
      <c r="C490" s="1" t="n">
        <v>45511</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20946-2023</t>
        </is>
      </c>
      <c r="B491" s="1" t="n">
        <v>45061</v>
      </c>
      <c r="C491" s="1" t="n">
        <v>45511</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21402-2023</t>
        </is>
      </c>
      <c r="B492" s="1" t="n">
        <v>45061</v>
      </c>
      <c r="C492" s="1" t="n">
        <v>45511</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21299-2023</t>
        </is>
      </c>
      <c r="B493" s="1" t="n">
        <v>45062</v>
      </c>
      <c r="C493" s="1" t="n">
        <v>45511</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21817-2023</t>
        </is>
      </c>
      <c r="B494" s="1" t="n">
        <v>45068</v>
      </c>
      <c r="C494" s="1" t="n">
        <v>45511</v>
      </c>
      <c r="D494" t="inlineStr">
        <is>
          <t>DALARNAS LÄN</t>
        </is>
      </c>
      <c r="E494" t="inlineStr">
        <is>
          <t>LEKSAND</t>
        </is>
      </c>
      <c r="G494" t="n">
        <v>3.5</v>
      </c>
      <c r="H494" t="n">
        <v>0</v>
      </c>
      <c r="I494" t="n">
        <v>0</v>
      </c>
      <c r="J494" t="n">
        <v>0</v>
      </c>
      <c r="K494" t="n">
        <v>0</v>
      </c>
      <c r="L494" t="n">
        <v>0</v>
      </c>
      <c r="M494" t="n">
        <v>0</v>
      </c>
      <c r="N494" t="n">
        <v>0</v>
      </c>
      <c r="O494" t="n">
        <v>0</v>
      </c>
      <c r="P494" t="n">
        <v>0</v>
      </c>
      <c r="Q494" t="n">
        <v>0</v>
      </c>
      <c r="R494" s="2" t="inlineStr"/>
    </row>
    <row r="495" ht="15" customHeight="1">
      <c r="A495" t="inlineStr">
        <is>
          <t>A 21910-2023</t>
        </is>
      </c>
      <c r="B495" s="1" t="n">
        <v>45068</v>
      </c>
      <c r="C495" s="1" t="n">
        <v>45511</v>
      </c>
      <c r="D495" t="inlineStr">
        <is>
          <t>DALARNAS LÄN</t>
        </is>
      </c>
      <c r="E495" t="inlineStr">
        <is>
          <t>LEKSAND</t>
        </is>
      </c>
      <c r="F495" t="inlineStr">
        <is>
          <t>Bergvik skog väst AB</t>
        </is>
      </c>
      <c r="G495" t="n">
        <v>9.4</v>
      </c>
      <c r="H495" t="n">
        <v>0</v>
      </c>
      <c r="I495" t="n">
        <v>0</v>
      </c>
      <c r="J495" t="n">
        <v>0</v>
      </c>
      <c r="K495" t="n">
        <v>0</v>
      </c>
      <c r="L495" t="n">
        <v>0</v>
      </c>
      <c r="M495" t="n">
        <v>0</v>
      </c>
      <c r="N495" t="n">
        <v>0</v>
      </c>
      <c r="O495" t="n">
        <v>0</v>
      </c>
      <c r="P495" t="n">
        <v>0</v>
      </c>
      <c r="Q495" t="n">
        <v>0</v>
      </c>
      <c r="R495" s="2" t="inlineStr"/>
    </row>
    <row r="496" ht="15" customHeight="1">
      <c r="A496" t="inlineStr">
        <is>
          <t>A 21849-2023</t>
        </is>
      </c>
      <c r="B496" s="1" t="n">
        <v>45068</v>
      </c>
      <c r="C496" s="1" t="n">
        <v>45511</v>
      </c>
      <c r="D496" t="inlineStr">
        <is>
          <t>DALARNAS LÄN</t>
        </is>
      </c>
      <c r="E496" t="inlineStr">
        <is>
          <t>LEKSAND</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21954-2023</t>
        </is>
      </c>
      <c r="B497" s="1" t="n">
        <v>45068</v>
      </c>
      <c r="C497" s="1" t="n">
        <v>45511</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22196-2023</t>
        </is>
      </c>
      <c r="B498" s="1" t="n">
        <v>45069</v>
      </c>
      <c r="C498" s="1" t="n">
        <v>45511</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22197-2023</t>
        </is>
      </c>
      <c r="B499" s="1" t="n">
        <v>45069</v>
      </c>
      <c r="C499" s="1" t="n">
        <v>45511</v>
      </c>
      <c r="D499" t="inlineStr">
        <is>
          <t>DALARNAS LÄN</t>
        </is>
      </c>
      <c r="E499" t="inlineStr">
        <is>
          <t>LEKSAND</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22570-2023</t>
        </is>
      </c>
      <c r="B500" s="1" t="n">
        <v>45071</v>
      </c>
      <c r="C500" s="1" t="n">
        <v>45511</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22684-2023</t>
        </is>
      </c>
      <c r="B501" s="1" t="n">
        <v>45071</v>
      </c>
      <c r="C501" s="1" t="n">
        <v>45511</v>
      </c>
      <c r="D501" t="inlineStr">
        <is>
          <t>DALARNAS LÄN</t>
        </is>
      </c>
      <c r="E501" t="inlineStr">
        <is>
          <t>LEKSAND</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23226-2023</t>
        </is>
      </c>
      <c r="B502" s="1" t="n">
        <v>45075</v>
      </c>
      <c r="C502" s="1" t="n">
        <v>45511</v>
      </c>
      <c r="D502" t="inlineStr">
        <is>
          <t>DALARNAS LÄN</t>
        </is>
      </c>
      <c r="E502" t="inlineStr">
        <is>
          <t>LEKSAND</t>
        </is>
      </c>
      <c r="G502" t="n">
        <v>2</v>
      </c>
      <c r="H502" t="n">
        <v>0</v>
      </c>
      <c r="I502" t="n">
        <v>0</v>
      </c>
      <c r="J502" t="n">
        <v>0</v>
      </c>
      <c r="K502" t="n">
        <v>0</v>
      </c>
      <c r="L502" t="n">
        <v>0</v>
      </c>
      <c r="M502" t="n">
        <v>0</v>
      </c>
      <c r="N502" t="n">
        <v>0</v>
      </c>
      <c r="O502" t="n">
        <v>0</v>
      </c>
      <c r="P502" t="n">
        <v>0</v>
      </c>
      <c r="Q502" t="n">
        <v>0</v>
      </c>
      <c r="R502" s="2" t="inlineStr"/>
    </row>
    <row r="503" ht="15" customHeight="1">
      <c r="A503" t="inlineStr">
        <is>
          <t>A 23323-2023</t>
        </is>
      </c>
      <c r="B503" s="1" t="n">
        <v>45076</v>
      </c>
      <c r="C503" s="1" t="n">
        <v>45511</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23348-2023</t>
        </is>
      </c>
      <c r="B504" s="1" t="n">
        <v>45076</v>
      </c>
      <c r="C504" s="1" t="n">
        <v>45511</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23509-2023</t>
        </is>
      </c>
      <c r="B505" s="1" t="n">
        <v>45076</v>
      </c>
      <c r="C505" s="1" t="n">
        <v>45511</v>
      </c>
      <c r="D505" t="inlineStr">
        <is>
          <t>DALARNAS LÄN</t>
        </is>
      </c>
      <c r="E505" t="inlineStr">
        <is>
          <t>LEKSAND</t>
        </is>
      </c>
      <c r="G505" t="n">
        <v>2.1</v>
      </c>
      <c r="H505" t="n">
        <v>0</v>
      </c>
      <c r="I505" t="n">
        <v>0</v>
      </c>
      <c r="J505" t="n">
        <v>0</v>
      </c>
      <c r="K505" t="n">
        <v>0</v>
      </c>
      <c r="L505" t="n">
        <v>0</v>
      </c>
      <c r="M505" t="n">
        <v>0</v>
      </c>
      <c r="N505" t="n">
        <v>0</v>
      </c>
      <c r="O505" t="n">
        <v>0</v>
      </c>
      <c r="P505" t="n">
        <v>0</v>
      </c>
      <c r="Q505" t="n">
        <v>0</v>
      </c>
      <c r="R505" s="2" t="inlineStr"/>
    </row>
    <row r="506" ht="15" customHeight="1">
      <c r="A506" t="inlineStr">
        <is>
          <t>A 23882-2023</t>
        </is>
      </c>
      <c r="B506" s="1" t="n">
        <v>45078</v>
      </c>
      <c r="C506" s="1" t="n">
        <v>45511</v>
      </c>
      <c r="D506" t="inlineStr">
        <is>
          <t>DALARNAS LÄN</t>
        </is>
      </c>
      <c r="E506" t="inlineStr">
        <is>
          <t>LEKSAND</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23910-2023</t>
        </is>
      </c>
      <c r="B507" s="1" t="n">
        <v>45078</v>
      </c>
      <c r="C507" s="1" t="n">
        <v>45511</v>
      </c>
      <c r="D507" t="inlineStr">
        <is>
          <t>DALARNAS LÄN</t>
        </is>
      </c>
      <c r="E507" t="inlineStr">
        <is>
          <t>LEKSAND</t>
        </is>
      </c>
      <c r="G507" t="n">
        <v>3.8</v>
      </c>
      <c r="H507" t="n">
        <v>0</v>
      </c>
      <c r="I507" t="n">
        <v>0</v>
      </c>
      <c r="J507" t="n">
        <v>0</v>
      </c>
      <c r="K507" t="n">
        <v>0</v>
      </c>
      <c r="L507" t="n">
        <v>0</v>
      </c>
      <c r="M507" t="n">
        <v>0</v>
      </c>
      <c r="N507" t="n">
        <v>0</v>
      </c>
      <c r="O507" t="n">
        <v>0</v>
      </c>
      <c r="P507" t="n">
        <v>0</v>
      </c>
      <c r="Q507" t="n">
        <v>0</v>
      </c>
      <c r="R507" s="2" t="inlineStr"/>
    </row>
    <row r="508" ht="15" customHeight="1">
      <c r="A508" t="inlineStr">
        <is>
          <t>A 24728-2023</t>
        </is>
      </c>
      <c r="B508" s="1" t="n">
        <v>45084</v>
      </c>
      <c r="C508" s="1" t="n">
        <v>45511</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24823-2023</t>
        </is>
      </c>
      <c r="B509" s="1" t="n">
        <v>45084</v>
      </c>
      <c r="C509" s="1" t="n">
        <v>45511</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24814-2023</t>
        </is>
      </c>
      <c r="B510" s="1" t="n">
        <v>45084</v>
      </c>
      <c r="C510" s="1" t="n">
        <v>45511</v>
      </c>
      <c r="D510" t="inlineStr">
        <is>
          <t>DALARNAS LÄN</t>
        </is>
      </c>
      <c r="E510" t="inlineStr">
        <is>
          <t>LEKSAND</t>
        </is>
      </c>
      <c r="G510" t="n">
        <v>5.6</v>
      </c>
      <c r="H510" t="n">
        <v>0</v>
      </c>
      <c r="I510" t="n">
        <v>0</v>
      </c>
      <c r="J510" t="n">
        <v>0</v>
      </c>
      <c r="K510" t="n">
        <v>0</v>
      </c>
      <c r="L510" t="n">
        <v>0</v>
      </c>
      <c r="M510" t="n">
        <v>0</v>
      </c>
      <c r="N510" t="n">
        <v>0</v>
      </c>
      <c r="O510" t="n">
        <v>0</v>
      </c>
      <c r="P510" t="n">
        <v>0</v>
      </c>
      <c r="Q510" t="n">
        <v>0</v>
      </c>
      <c r="R510" s="2" t="inlineStr"/>
    </row>
    <row r="511" ht="15" customHeight="1">
      <c r="A511" t="inlineStr">
        <is>
          <t>A 25025-2023</t>
        </is>
      </c>
      <c r="B511" s="1" t="n">
        <v>45086</v>
      </c>
      <c r="C511" s="1" t="n">
        <v>45511</v>
      </c>
      <c r="D511" t="inlineStr">
        <is>
          <t>DALARNAS LÄN</t>
        </is>
      </c>
      <c r="E511" t="inlineStr">
        <is>
          <t>LEKSAND</t>
        </is>
      </c>
      <c r="G511" t="n">
        <v>3</v>
      </c>
      <c r="H511" t="n">
        <v>0</v>
      </c>
      <c r="I511" t="n">
        <v>0</v>
      </c>
      <c r="J511" t="n">
        <v>0</v>
      </c>
      <c r="K511" t="n">
        <v>0</v>
      </c>
      <c r="L511" t="n">
        <v>0</v>
      </c>
      <c r="M511" t="n">
        <v>0</v>
      </c>
      <c r="N511" t="n">
        <v>0</v>
      </c>
      <c r="O511" t="n">
        <v>0</v>
      </c>
      <c r="P511" t="n">
        <v>0</v>
      </c>
      <c r="Q511" t="n">
        <v>0</v>
      </c>
      <c r="R511" s="2" t="inlineStr"/>
    </row>
    <row r="512" ht="15" customHeight="1">
      <c r="A512" t="inlineStr">
        <is>
          <t>A 25067-2023</t>
        </is>
      </c>
      <c r="B512" s="1" t="n">
        <v>45086</v>
      </c>
      <c r="C512" s="1" t="n">
        <v>45511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25038-2023</t>
        </is>
      </c>
      <c r="B513" s="1" t="n">
        <v>45085</v>
      </c>
      <c r="C513" s="1" t="n">
        <v>45511</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25627-2023</t>
        </is>
      </c>
      <c r="B514" s="1" t="n">
        <v>45089</v>
      </c>
      <c r="C514" s="1" t="n">
        <v>45511</v>
      </c>
      <c r="D514" t="inlineStr">
        <is>
          <t>DALARNAS LÄN</t>
        </is>
      </c>
      <c r="E514" t="inlineStr">
        <is>
          <t>LEKSAND</t>
        </is>
      </c>
      <c r="F514" t="inlineStr">
        <is>
          <t>Bergvik skog väst AB</t>
        </is>
      </c>
      <c r="G514" t="n">
        <v>8.4</v>
      </c>
      <c r="H514" t="n">
        <v>0</v>
      </c>
      <c r="I514" t="n">
        <v>0</v>
      </c>
      <c r="J514" t="n">
        <v>0</v>
      </c>
      <c r="K514" t="n">
        <v>0</v>
      </c>
      <c r="L514" t="n">
        <v>0</v>
      </c>
      <c r="M514" t="n">
        <v>0</v>
      </c>
      <c r="N514" t="n">
        <v>0</v>
      </c>
      <c r="O514" t="n">
        <v>0</v>
      </c>
      <c r="P514" t="n">
        <v>0</v>
      </c>
      <c r="Q514" t="n">
        <v>0</v>
      </c>
      <c r="R514" s="2" t="inlineStr"/>
    </row>
    <row r="515" ht="15" customHeight="1">
      <c r="A515" t="inlineStr">
        <is>
          <t>A 25637-2023</t>
        </is>
      </c>
      <c r="B515" s="1" t="n">
        <v>45089</v>
      </c>
      <c r="C515" s="1" t="n">
        <v>45511</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25652-2023</t>
        </is>
      </c>
      <c r="B516" s="1" t="n">
        <v>45089</v>
      </c>
      <c r="C516" s="1" t="n">
        <v>45511</v>
      </c>
      <c r="D516" t="inlineStr">
        <is>
          <t>DALARNAS LÄN</t>
        </is>
      </c>
      <c r="E516" t="inlineStr">
        <is>
          <t>LEKSAND</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25715-2023</t>
        </is>
      </c>
      <c r="B517" s="1" t="n">
        <v>45090</v>
      </c>
      <c r="C517" s="1" t="n">
        <v>45511</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25907-2023</t>
        </is>
      </c>
      <c r="B518" s="1" t="n">
        <v>45090</v>
      </c>
      <c r="C518" s="1" t="n">
        <v>45511</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26742-2023</t>
        </is>
      </c>
      <c r="B519" s="1" t="n">
        <v>45090</v>
      </c>
      <c r="C519" s="1" t="n">
        <v>45511</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26038-2023</t>
        </is>
      </c>
      <c r="B520" s="1" t="n">
        <v>45091</v>
      </c>
      <c r="C520" s="1" t="n">
        <v>45511</v>
      </c>
      <c r="D520" t="inlineStr">
        <is>
          <t>DALARNAS LÄN</t>
        </is>
      </c>
      <c r="E520" t="inlineStr">
        <is>
          <t>LEKSAND</t>
        </is>
      </c>
      <c r="G520" t="n">
        <v>6.8</v>
      </c>
      <c r="H520" t="n">
        <v>0</v>
      </c>
      <c r="I520" t="n">
        <v>0</v>
      </c>
      <c r="J520" t="n">
        <v>0</v>
      </c>
      <c r="K520" t="n">
        <v>0</v>
      </c>
      <c r="L520" t="n">
        <v>0</v>
      </c>
      <c r="M520" t="n">
        <v>0</v>
      </c>
      <c r="N520" t="n">
        <v>0</v>
      </c>
      <c r="O520" t="n">
        <v>0</v>
      </c>
      <c r="P520" t="n">
        <v>0</v>
      </c>
      <c r="Q520" t="n">
        <v>0</v>
      </c>
      <c r="R520" s="2" t="inlineStr"/>
    </row>
    <row r="521" ht="15" customHeight="1">
      <c r="A521" t="inlineStr">
        <is>
          <t>A 26044-2023</t>
        </is>
      </c>
      <c r="B521" s="1" t="n">
        <v>45091</v>
      </c>
      <c r="C521" s="1" t="n">
        <v>45511</v>
      </c>
      <c r="D521" t="inlineStr">
        <is>
          <t>DALARNAS LÄN</t>
        </is>
      </c>
      <c r="E521" t="inlineStr">
        <is>
          <t>LEKSAND</t>
        </is>
      </c>
      <c r="G521" t="n">
        <v>5.3</v>
      </c>
      <c r="H521" t="n">
        <v>0</v>
      </c>
      <c r="I521" t="n">
        <v>0</v>
      </c>
      <c r="J521" t="n">
        <v>0</v>
      </c>
      <c r="K521" t="n">
        <v>0</v>
      </c>
      <c r="L521" t="n">
        <v>0</v>
      </c>
      <c r="M521" t="n">
        <v>0</v>
      </c>
      <c r="N521" t="n">
        <v>0</v>
      </c>
      <c r="O521" t="n">
        <v>0</v>
      </c>
      <c r="P521" t="n">
        <v>0</v>
      </c>
      <c r="Q521" t="n">
        <v>0</v>
      </c>
      <c r="R521" s="2" t="inlineStr"/>
    </row>
    <row r="522" ht="15" customHeight="1">
      <c r="A522" t="inlineStr">
        <is>
          <t>A 26107-2023</t>
        </is>
      </c>
      <c r="B522" s="1" t="n">
        <v>45091</v>
      </c>
      <c r="C522" s="1" t="n">
        <v>45511</v>
      </c>
      <c r="D522" t="inlineStr">
        <is>
          <t>DALARNAS LÄN</t>
        </is>
      </c>
      <c r="E522" t="inlineStr">
        <is>
          <t>LEKSAND</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26847-2023</t>
        </is>
      </c>
      <c r="B523" s="1" t="n">
        <v>45093</v>
      </c>
      <c r="C523" s="1" t="n">
        <v>45511</v>
      </c>
      <c r="D523" t="inlineStr">
        <is>
          <t>DALARNAS LÄN</t>
        </is>
      </c>
      <c r="E523" t="inlineStr">
        <is>
          <t>LEKSAND</t>
        </is>
      </c>
      <c r="G523" t="n">
        <v>3.9</v>
      </c>
      <c r="H523" t="n">
        <v>0</v>
      </c>
      <c r="I523" t="n">
        <v>0</v>
      </c>
      <c r="J523" t="n">
        <v>0</v>
      </c>
      <c r="K523" t="n">
        <v>0</v>
      </c>
      <c r="L523" t="n">
        <v>0</v>
      </c>
      <c r="M523" t="n">
        <v>0</v>
      </c>
      <c r="N523" t="n">
        <v>0</v>
      </c>
      <c r="O523" t="n">
        <v>0</v>
      </c>
      <c r="P523" t="n">
        <v>0</v>
      </c>
      <c r="Q523" t="n">
        <v>0</v>
      </c>
      <c r="R523" s="2" t="inlineStr"/>
    </row>
    <row r="524" ht="15" customHeight="1">
      <c r="A524" t="inlineStr">
        <is>
          <t>A 26957-2023</t>
        </is>
      </c>
      <c r="B524" s="1" t="n">
        <v>45093</v>
      </c>
      <c r="C524" s="1" t="n">
        <v>45511</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26924-2023</t>
        </is>
      </c>
      <c r="B525" s="1" t="n">
        <v>45093</v>
      </c>
      <c r="C525" s="1" t="n">
        <v>45511</v>
      </c>
      <c r="D525" t="inlineStr">
        <is>
          <t>DALARNAS LÄN</t>
        </is>
      </c>
      <c r="E525" t="inlineStr">
        <is>
          <t>LEKSAND</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26959-2023</t>
        </is>
      </c>
      <c r="B526" s="1" t="n">
        <v>45093</v>
      </c>
      <c r="C526" s="1" t="n">
        <v>45511</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26931-2023</t>
        </is>
      </c>
      <c r="B527" s="1" t="n">
        <v>45093</v>
      </c>
      <c r="C527" s="1" t="n">
        <v>45511</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26946-2023</t>
        </is>
      </c>
      <c r="B528" s="1" t="n">
        <v>45093</v>
      </c>
      <c r="C528" s="1" t="n">
        <v>45511</v>
      </c>
      <c r="D528" t="inlineStr">
        <is>
          <t>DALARNAS LÄN</t>
        </is>
      </c>
      <c r="E528" t="inlineStr">
        <is>
          <t>LEKSAND</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27047-2023</t>
        </is>
      </c>
      <c r="B529" s="1" t="n">
        <v>45095</v>
      </c>
      <c r="C529" s="1" t="n">
        <v>45511</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27055-2023</t>
        </is>
      </c>
      <c r="B530" s="1" t="n">
        <v>45095</v>
      </c>
      <c r="C530" s="1" t="n">
        <v>45511</v>
      </c>
      <c r="D530" t="inlineStr">
        <is>
          <t>DALARNAS LÄN</t>
        </is>
      </c>
      <c r="E530" t="inlineStr">
        <is>
          <t>LEKSAND</t>
        </is>
      </c>
      <c r="G530" t="n">
        <v>1.4</v>
      </c>
      <c r="H530" t="n">
        <v>0</v>
      </c>
      <c r="I530" t="n">
        <v>0</v>
      </c>
      <c r="J530" t="n">
        <v>0</v>
      </c>
      <c r="K530" t="n">
        <v>0</v>
      </c>
      <c r="L530" t="n">
        <v>0</v>
      </c>
      <c r="M530" t="n">
        <v>0</v>
      </c>
      <c r="N530" t="n">
        <v>0</v>
      </c>
      <c r="O530" t="n">
        <v>0</v>
      </c>
      <c r="P530" t="n">
        <v>0</v>
      </c>
      <c r="Q530" t="n">
        <v>0</v>
      </c>
      <c r="R530" s="2" t="inlineStr"/>
      <c r="U530">
        <f>HYPERLINK("https://klasma.github.io/Logging_2029/knärot/A 27055-2023 karta knärot.png", "A 27055-2023")</f>
        <v/>
      </c>
      <c r="V530">
        <f>HYPERLINK("https://klasma.github.io/Logging_2029/klagomål/A 27055-2023 FSC-klagomål.docx", "A 27055-2023")</f>
        <v/>
      </c>
      <c r="W530">
        <f>HYPERLINK("https://klasma.github.io/Logging_2029/klagomålsmail/A 27055-2023 FSC-klagomål mail.docx", "A 27055-2023")</f>
        <v/>
      </c>
      <c r="X530">
        <f>HYPERLINK("https://klasma.github.io/Logging_2029/tillsyn/A 27055-2023 tillsynsbegäran.docx", "A 27055-2023")</f>
        <v/>
      </c>
      <c r="Y530">
        <f>HYPERLINK("https://klasma.github.io/Logging_2029/tillsynsmail/A 27055-2023 tillsynsbegäran mail.docx", "A 27055-2023")</f>
        <v/>
      </c>
    </row>
    <row r="531" ht="15" customHeight="1">
      <c r="A531" t="inlineStr">
        <is>
          <t>A 27048-2023</t>
        </is>
      </c>
      <c r="B531" s="1" t="n">
        <v>45095</v>
      </c>
      <c r="C531" s="1" t="n">
        <v>45511</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27046-2023</t>
        </is>
      </c>
      <c r="B532" s="1" t="n">
        <v>45095</v>
      </c>
      <c r="C532" s="1" t="n">
        <v>45511</v>
      </c>
      <c r="D532" t="inlineStr">
        <is>
          <t>DALARNAS LÄN</t>
        </is>
      </c>
      <c r="E532" t="inlineStr">
        <is>
          <t>LEKSAND</t>
        </is>
      </c>
      <c r="G532" t="n">
        <v>4</v>
      </c>
      <c r="H532" t="n">
        <v>0</v>
      </c>
      <c r="I532" t="n">
        <v>0</v>
      </c>
      <c r="J532" t="n">
        <v>0</v>
      </c>
      <c r="K532" t="n">
        <v>0</v>
      </c>
      <c r="L532" t="n">
        <v>0</v>
      </c>
      <c r="M532" t="n">
        <v>0</v>
      </c>
      <c r="N532" t="n">
        <v>0</v>
      </c>
      <c r="O532" t="n">
        <v>0</v>
      </c>
      <c r="P532" t="n">
        <v>0</v>
      </c>
      <c r="Q532" t="n">
        <v>0</v>
      </c>
      <c r="R532" s="2" t="inlineStr"/>
    </row>
    <row r="533" ht="15" customHeight="1">
      <c r="A533" t="inlineStr">
        <is>
          <t>A 27054-2023</t>
        </is>
      </c>
      <c r="B533" s="1" t="n">
        <v>45095</v>
      </c>
      <c r="C533" s="1" t="n">
        <v>45511</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27244-2023</t>
        </is>
      </c>
      <c r="B534" s="1" t="n">
        <v>45096</v>
      </c>
      <c r="C534" s="1" t="n">
        <v>45511</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27348-2023</t>
        </is>
      </c>
      <c r="B535" s="1" t="n">
        <v>45096</v>
      </c>
      <c r="C535" s="1" t="n">
        <v>45511</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27511-2023</t>
        </is>
      </c>
      <c r="B536" s="1" t="n">
        <v>45097</v>
      </c>
      <c r="C536" s="1" t="n">
        <v>45511</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45511</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27543-2023</t>
        </is>
      </c>
      <c r="B538" s="1" t="n">
        <v>45097</v>
      </c>
      <c r="C538" s="1" t="n">
        <v>45511</v>
      </c>
      <c r="D538" t="inlineStr">
        <is>
          <t>DALARNAS LÄN</t>
        </is>
      </c>
      <c r="E538" t="inlineStr">
        <is>
          <t>LEKSAND</t>
        </is>
      </c>
      <c r="G538" t="n">
        <v>3.4</v>
      </c>
      <c r="H538" t="n">
        <v>0</v>
      </c>
      <c r="I538" t="n">
        <v>0</v>
      </c>
      <c r="J538" t="n">
        <v>0</v>
      </c>
      <c r="K538" t="n">
        <v>0</v>
      </c>
      <c r="L538" t="n">
        <v>0</v>
      </c>
      <c r="M538" t="n">
        <v>0</v>
      </c>
      <c r="N538" t="n">
        <v>0</v>
      </c>
      <c r="O538" t="n">
        <v>0</v>
      </c>
      <c r="P538" t="n">
        <v>0</v>
      </c>
      <c r="Q538" t="n">
        <v>0</v>
      </c>
      <c r="R538" s="2" t="inlineStr"/>
    </row>
    <row r="539" ht="15" customHeight="1">
      <c r="A539" t="inlineStr">
        <is>
          <t>A 27791-2023</t>
        </is>
      </c>
      <c r="B539" s="1" t="n">
        <v>45098</v>
      </c>
      <c r="C539" s="1" t="n">
        <v>45511</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28103-2023</t>
        </is>
      </c>
      <c r="B540" s="1" t="n">
        <v>45099</v>
      </c>
      <c r="C540" s="1" t="n">
        <v>45511</v>
      </c>
      <c r="D540" t="inlineStr">
        <is>
          <t>DALARNAS LÄN</t>
        </is>
      </c>
      <c r="E540" t="inlineStr">
        <is>
          <t>LEKSAND</t>
        </is>
      </c>
      <c r="F540" t="inlineStr">
        <is>
          <t>Bergvik skog väst AB</t>
        </is>
      </c>
      <c r="G540" t="n">
        <v>15.3</v>
      </c>
      <c r="H540" t="n">
        <v>0</v>
      </c>
      <c r="I540" t="n">
        <v>0</v>
      </c>
      <c r="J540" t="n">
        <v>0</v>
      </c>
      <c r="K540" t="n">
        <v>0</v>
      </c>
      <c r="L540" t="n">
        <v>0</v>
      </c>
      <c r="M540" t="n">
        <v>0</v>
      </c>
      <c r="N540" t="n">
        <v>0</v>
      </c>
      <c r="O540" t="n">
        <v>0</v>
      </c>
      <c r="P540" t="n">
        <v>0</v>
      </c>
      <c r="Q540" t="n">
        <v>0</v>
      </c>
      <c r="R540" s="2" t="inlineStr"/>
    </row>
    <row r="541" ht="15" customHeight="1">
      <c r="A541" t="inlineStr">
        <is>
          <t>A 28108-2023</t>
        </is>
      </c>
      <c r="B541" s="1" t="n">
        <v>45099</v>
      </c>
      <c r="C541" s="1" t="n">
        <v>45511</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28578-2023</t>
        </is>
      </c>
      <c r="B542" s="1" t="n">
        <v>45103</v>
      </c>
      <c r="C542" s="1" t="n">
        <v>45511</v>
      </c>
      <c r="D542" t="inlineStr">
        <is>
          <t>DALARNAS LÄN</t>
        </is>
      </c>
      <c r="E542" t="inlineStr">
        <is>
          <t>LEKSAND</t>
        </is>
      </c>
      <c r="G542" t="n">
        <v>4.4</v>
      </c>
      <c r="H542" t="n">
        <v>0</v>
      </c>
      <c r="I542" t="n">
        <v>0</v>
      </c>
      <c r="J542" t="n">
        <v>0</v>
      </c>
      <c r="K542" t="n">
        <v>0</v>
      </c>
      <c r="L542" t="n">
        <v>0</v>
      </c>
      <c r="M542" t="n">
        <v>0</v>
      </c>
      <c r="N542" t="n">
        <v>0</v>
      </c>
      <c r="O542" t="n">
        <v>0</v>
      </c>
      <c r="P542" t="n">
        <v>0</v>
      </c>
      <c r="Q542" t="n">
        <v>0</v>
      </c>
      <c r="R542" s="2" t="inlineStr"/>
    </row>
    <row r="543" ht="15" customHeight="1">
      <c r="A543" t="inlineStr">
        <is>
          <t>A 28592-2023</t>
        </is>
      </c>
      <c r="B543" s="1" t="n">
        <v>45103</v>
      </c>
      <c r="C543" s="1" t="n">
        <v>45511</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28633-2023</t>
        </is>
      </c>
      <c r="B544" s="1" t="n">
        <v>45103</v>
      </c>
      <c r="C544" s="1" t="n">
        <v>45511</v>
      </c>
      <c r="D544" t="inlineStr">
        <is>
          <t>DALARNAS LÄN</t>
        </is>
      </c>
      <c r="E544" t="inlineStr">
        <is>
          <t>LEKSAND</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28630-2023</t>
        </is>
      </c>
      <c r="B545" s="1" t="n">
        <v>45103</v>
      </c>
      <c r="C545" s="1" t="n">
        <v>45511</v>
      </c>
      <c r="D545" t="inlineStr">
        <is>
          <t>DALARNAS LÄN</t>
        </is>
      </c>
      <c r="E545" t="inlineStr">
        <is>
          <t>LEKSAND</t>
        </is>
      </c>
      <c r="F545" t="inlineStr">
        <is>
          <t>Bergvik skog väst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28946-2023</t>
        </is>
      </c>
      <c r="B546" s="1" t="n">
        <v>45104</v>
      </c>
      <c r="C546" s="1" t="n">
        <v>45511</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28935-2023</t>
        </is>
      </c>
      <c r="B547" s="1" t="n">
        <v>45104</v>
      </c>
      <c r="C547" s="1" t="n">
        <v>45511</v>
      </c>
      <c r="D547" t="inlineStr">
        <is>
          <t>DALARNAS LÄN</t>
        </is>
      </c>
      <c r="E547" t="inlineStr">
        <is>
          <t>LEKSAND</t>
        </is>
      </c>
      <c r="G547" t="n">
        <v>2.6</v>
      </c>
      <c r="H547" t="n">
        <v>0</v>
      </c>
      <c r="I547" t="n">
        <v>0</v>
      </c>
      <c r="J547" t="n">
        <v>0</v>
      </c>
      <c r="K547" t="n">
        <v>0</v>
      </c>
      <c r="L547" t="n">
        <v>0</v>
      </c>
      <c r="M547" t="n">
        <v>0</v>
      </c>
      <c r="N547" t="n">
        <v>0</v>
      </c>
      <c r="O547" t="n">
        <v>0</v>
      </c>
      <c r="P547" t="n">
        <v>0</v>
      </c>
      <c r="Q547" t="n">
        <v>0</v>
      </c>
      <c r="R547" s="2" t="inlineStr"/>
    </row>
    <row r="548" ht="15" customHeight="1">
      <c r="A548" t="inlineStr">
        <is>
          <t>A 28965-2023</t>
        </is>
      </c>
      <c r="B548" s="1" t="n">
        <v>45104</v>
      </c>
      <c r="C548" s="1" t="n">
        <v>45511</v>
      </c>
      <c r="D548" t="inlineStr">
        <is>
          <t>DALARNAS LÄN</t>
        </is>
      </c>
      <c r="E548" t="inlineStr">
        <is>
          <t>LEKSAND</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31401-2023</t>
        </is>
      </c>
      <c r="B549" s="1" t="n">
        <v>45104</v>
      </c>
      <c r="C549" s="1" t="n">
        <v>45511</v>
      </c>
      <c r="D549" t="inlineStr">
        <is>
          <t>DALARNAS LÄN</t>
        </is>
      </c>
      <c r="E549" t="inlineStr">
        <is>
          <t>LEKSAND</t>
        </is>
      </c>
      <c r="G549" t="n">
        <v>4.9</v>
      </c>
      <c r="H549" t="n">
        <v>0</v>
      </c>
      <c r="I549" t="n">
        <v>0</v>
      </c>
      <c r="J549" t="n">
        <v>0</v>
      </c>
      <c r="K549" t="n">
        <v>0</v>
      </c>
      <c r="L549" t="n">
        <v>0</v>
      </c>
      <c r="M549" t="n">
        <v>0</v>
      </c>
      <c r="N549" t="n">
        <v>0</v>
      </c>
      <c r="O549" t="n">
        <v>0</v>
      </c>
      <c r="P549" t="n">
        <v>0</v>
      </c>
      <c r="Q549" t="n">
        <v>0</v>
      </c>
      <c r="R549" s="2" t="inlineStr"/>
    </row>
    <row r="550" ht="15" customHeight="1">
      <c r="A550" t="inlineStr">
        <is>
          <t>A 28921-2023</t>
        </is>
      </c>
      <c r="B550" s="1" t="n">
        <v>45104</v>
      </c>
      <c r="C550" s="1" t="n">
        <v>45511</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31422-2023</t>
        </is>
      </c>
      <c r="B551" s="1" t="n">
        <v>45104</v>
      </c>
      <c r="C551" s="1" t="n">
        <v>45511</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29122-2023</t>
        </is>
      </c>
      <c r="B552" s="1" t="n">
        <v>45105</v>
      </c>
      <c r="C552" s="1" t="n">
        <v>45511</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29139-2023</t>
        </is>
      </c>
      <c r="B553" s="1" t="n">
        <v>45105</v>
      </c>
      <c r="C553" s="1" t="n">
        <v>45511</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29222-2023</t>
        </is>
      </c>
      <c r="B554" s="1" t="n">
        <v>45105</v>
      </c>
      <c r="C554" s="1" t="n">
        <v>45511</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29916-2023</t>
        </is>
      </c>
      <c r="B555" s="1" t="n">
        <v>45107</v>
      </c>
      <c r="C555" s="1" t="n">
        <v>45511</v>
      </c>
      <c r="D555" t="inlineStr">
        <is>
          <t>DALARNAS LÄN</t>
        </is>
      </c>
      <c r="E555" t="inlineStr">
        <is>
          <t>LEKSAND</t>
        </is>
      </c>
      <c r="F555" t="inlineStr">
        <is>
          <t>Bergvik skog väst AB</t>
        </is>
      </c>
      <c r="G555" t="n">
        <v>9.4</v>
      </c>
      <c r="H555" t="n">
        <v>0</v>
      </c>
      <c r="I555" t="n">
        <v>0</v>
      </c>
      <c r="J555" t="n">
        <v>0</v>
      </c>
      <c r="K555" t="n">
        <v>0</v>
      </c>
      <c r="L555" t="n">
        <v>0</v>
      </c>
      <c r="M555" t="n">
        <v>0</v>
      </c>
      <c r="N555" t="n">
        <v>0</v>
      </c>
      <c r="O555" t="n">
        <v>0</v>
      </c>
      <c r="P555" t="n">
        <v>0</v>
      </c>
      <c r="Q555" t="n">
        <v>0</v>
      </c>
      <c r="R555" s="2" t="inlineStr"/>
    </row>
    <row r="556" ht="15" customHeight="1">
      <c r="A556" t="inlineStr">
        <is>
          <t>A 29881-2023</t>
        </is>
      </c>
      <c r="B556" s="1" t="n">
        <v>45107</v>
      </c>
      <c r="C556" s="1" t="n">
        <v>45511</v>
      </c>
      <c r="D556" t="inlineStr">
        <is>
          <t>DALARNAS LÄN</t>
        </is>
      </c>
      <c r="E556" t="inlineStr">
        <is>
          <t>LEKSAND</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29694-2023</t>
        </is>
      </c>
      <c r="B557" s="1" t="n">
        <v>45107</v>
      </c>
      <c r="C557" s="1" t="n">
        <v>45511</v>
      </c>
      <c r="D557" t="inlineStr">
        <is>
          <t>DALARNAS LÄN</t>
        </is>
      </c>
      <c r="E557" t="inlineStr">
        <is>
          <t>LEKSAND</t>
        </is>
      </c>
      <c r="G557" t="n">
        <v>4.8</v>
      </c>
      <c r="H557" t="n">
        <v>0</v>
      </c>
      <c r="I557" t="n">
        <v>0</v>
      </c>
      <c r="J557" t="n">
        <v>0</v>
      </c>
      <c r="K557" t="n">
        <v>0</v>
      </c>
      <c r="L557" t="n">
        <v>0</v>
      </c>
      <c r="M557" t="n">
        <v>0</v>
      </c>
      <c r="N557" t="n">
        <v>0</v>
      </c>
      <c r="O557" t="n">
        <v>0</v>
      </c>
      <c r="P557" t="n">
        <v>0</v>
      </c>
      <c r="Q557" t="n">
        <v>0</v>
      </c>
      <c r="R557" s="2" t="inlineStr"/>
    </row>
    <row r="558" ht="15" customHeight="1">
      <c r="A558" t="inlineStr">
        <is>
          <t>A 32261-2023</t>
        </is>
      </c>
      <c r="B558" s="1" t="n">
        <v>45108</v>
      </c>
      <c r="C558" s="1" t="n">
        <v>45511</v>
      </c>
      <c r="D558" t="inlineStr">
        <is>
          <t>DALARNAS LÄN</t>
        </is>
      </c>
      <c r="E558" t="inlineStr">
        <is>
          <t>LEKSAND</t>
        </is>
      </c>
      <c r="G558" t="n">
        <v>2.9</v>
      </c>
      <c r="H558" t="n">
        <v>0</v>
      </c>
      <c r="I558" t="n">
        <v>0</v>
      </c>
      <c r="J558" t="n">
        <v>0</v>
      </c>
      <c r="K558" t="n">
        <v>0</v>
      </c>
      <c r="L558" t="n">
        <v>0</v>
      </c>
      <c r="M558" t="n">
        <v>0</v>
      </c>
      <c r="N558" t="n">
        <v>0</v>
      </c>
      <c r="O558" t="n">
        <v>0</v>
      </c>
      <c r="P558" t="n">
        <v>0</v>
      </c>
      <c r="Q558" t="n">
        <v>0</v>
      </c>
      <c r="R558" s="2" t="inlineStr"/>
    </row>
    <row r="559" ht="15" customHeight="1">
      <c r="A559" t="inlineStr">
        <is>
          <t>A 30000-2023</t>
        </is>
      </c>
      <c r="B559" s="1" t="n">
        <v>45109</v>
      </c>
      <c r="C559" s="1" t="n">
        <v>45511</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30082-2023</t>
        </is>
      </c>
      <c r="B560" s="1" t="n">
        <v>45110</v>
      </c>
      <c r="C560" s="1" t="n">
        <v>45511</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30169-2023</t>
        </is>
      </c>
      <c r="B561" s="1" t="n">
        <v>45110</v>
      </c>
      <c r="C561" s="1" t="n">
        <v>45511</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30135-2023</t>
        </is>
      </c>
      <c r="B562" s="1" t="n">
        <v>45110</v>
      </c>
      <c r="C562" s="1" t="n">
        <v>45511</v>
      </c>
      <c r="D562" t="inlineStr">
        <is>
          <t>DALARNAS LÄN</t>
        </is>
      </c>
      <c r="E562" t="inlineStr">
        <is>
          <t>LEKSAND</t>
        </is>
      </c>
      <c r="F562" t="inlineStr">
        <is>
          <t>Bergvik skog väst AB</t>
        </is>
      </c>
      <c r="G562" t="n">
        <v>8.4</v>
      </c>
      <c r="H562" t="n">
        <v>0</v>
      </c>
      <c r="I562" t="n">
        <v>0</v>
      </c>
      <c r="J562" t="n">
        <v>0</v>
      </c>
      <c r="K562" t="n">
        <v>0</v>
      </c>
      <c r="L562" t="n">
        <v>0</v>
      </c>
      <c r="M562" t="n">
        <v>0</v>
      </c>
      <c r="N562" t="n">
        <v>0</v>
      </c>
      <c r="O562" t="n">
        <v>0</v>
      </c>
      <c r="P562" t="n">
        <v>0</v>
      </c>
      <c r="Q562" t="n">
        <v>0</v>
      </c>
      <c r="R562" s="2" t="inlineStr"/>
    </row>
    <row r="563" ht="15" customHeight="1">
      <c r="A563" t="inlineStr">
        <is>
          <t>A 30195-2023</t>
        </is>
      </c>
      <c r="B563" s="1" t="n">
        <v>45110</v>
      </c>
      <c r="C563" s="1" t="n">
        <v>45511</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30196-2023</t>
        </is>
      </c>
      <c r="B564" s="1" t="n">
        <v>45110</v>
      </c>
      <c r="C564" s="1" t="n">
        <v>45511</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30175-2023</t>
        </is>
      </c>
      <c r="B565" s="1" t="n">
        <v>45110</v>
      </c>
      <c r="C565" s="1" t="n">
        <v>45511</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30523-2023</t>
        </is>
      </c>
      <c r="B566" s="1" t="n">
        <v>45111</v>
      </c>
      <c r="C566" s="1" t="n">
        <v>45511</v>
      </c>
      <c r="D566" t="inlineStr">
        <is>
          <t>DALARNAS LÄN</t>
        </is>
      </c>
      <c r="E566" t="inlineStr">
        <is>
          <t>LEKSAND</t>
        </is>
      </c>
      <c r="G566" t="n">
        <v>5.6</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45511</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30611-2023</t>
        </is>
      </c>
      <c r="B568" s="1" t="n">
        <v>45112</v>
      </c>
      <c r="C568" s="1" t="n">
        <v>45511</v>
      </c>
      <c r="D568" t="inlineStr">
        <is>
          <t>DALARNAS LÄN</t>
        </is>
      </c>
      <c r="E568" t="inlineStr">
        <is>
          <t>LEKSAND</t>
        </is>
      </c>
      <c r="G568" t="n">
        <v>3.1</v>
      </c>
      <c r="H568" t="n">
        <v>0</v>
      </c>
      <c r="I568" t="n">
        <v>0</v>
      </c>
      <c r="J568" t="n">
        <v>0</v>
      </c>
      <c r="K568" t="n">
        <v>0</v>
      </c>
      <c r="L568" t="n">
        <v>0</v>
      </c>
      <c r="M568" t="n">
        <v>0</v>
      </c>
      <c r="N568" t="n">
        <v>0</v>
      </c>
      <c r="O568" t="n">
        <v>0</v>
      </c>
      <c r="P568" t="n">
        <v>0</v>
      </c>
      <c r="Q568" t="n">
        <v>0</v>
      </c>
      <c r="R568" s="2" t="inlineStr"/>
    </row>
    <row r="569" ht="15" customHeight="1">
      <c r="A569" t="inlineStr">
        <is>
          <t>A 30700-2023</t>
        </is>
      </c>
      <c r="B569" s="1" t="n">
        <v>45112</v>
      </c>
      <c r="C569" s="1" t="n">
        <v>45511</v>
      </c>
      <c r="D569" t="inlineStr">
        <is>
          <t>DALARNAS LÄN</t>
        </is>
      </c>
      <c r="E569" t="inlineStr">
        <is>
          <t>LEKSAND</t>
        </is>
      </c>
      <c r="G569" t="n">
        <v>2.1</v>
      </c>
      <c r="H569" t="n">
        <v>0</v>
      </c>
      <c r="I569" t="n">
        <v>0</v>
      </c>
      <c r="J569" t="n">
        <v>0</v>
      </c>
      <c r="K569" t="n">
        <v>0</v>
      </c>
      <c r="L569" t="n">
        <v>0</v>
      </c>
      <c r="M569" t="n">
        <v>0</v>
      </c>
      <c r="N569" t="n">
        <v>0</v>
      </c>
      <c r="O569" t="n">
        <v>0</v>
      </c>
      <c r="P569" t="n">
        <v>0</v>
      </c>
      <c r="Q569" t="n">
        <v>0</v>
      </c>
      <c r="R569" s="2" t="inlineStr"/>
    </row>
    <row r="570" ht="15" customHeight="1">
      <c r="A570" t="inlineStr">
        <is>
          <t>A 30654-2023</t>
        </is>
      </c>
      <c r="B570" s="1" t="n">
        <v>45112</v>
      </c>
      <c r="C570" s="1" t="n">
        <v>45511</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30880-2023</t>
        </is>
      </c>
      <c r="B571" s="1" t="n">
        <v>45113</v>
      </c>
      <c r="C571" s="1" t="n">
        <v>45511</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30992-2023</t>
        </is>
      </c>
      <c r="B572" s="1" t="n">
        <v>45113</v>
      </c>
      <c r="C572" s="1" t="n">
        <v>45511</v>
      </c>
      <c r="D572" t="inlineStr">
        <is>
          <t>DALARNAS LÄN</t>
        </is>
      </c>
      <c r="E572" t="inlineStr">
        <is>
          <t>LEKSAND</t>
        </is>
      </c>
      <c r="G572" t="n">
        <v>2.7</v>
      </c>
      <c r="H572" t="n">
        <v>0</v>
      </c>
      <c r="I572" t="n">
        <v>0</v>
      </c>
      <c r="J572" t="n">
        <v>0</v>
      </c>
      <c r="K572" t="n">
        <v>0</v>
      </c>
      <c r="L572" t="n">
        <v>0</v>
      </c>
      <c r="M572" t="n">
        <v>0</v>
      </c>
      <c r="N572" t="n">
        <v>0</v>
      </c>
      <c r="O572" t="n">
        <v>0</v>
      </c>
      <c r="P572" t="n">
        <v>0</v>
      </c>
      <c r="Q572" t="n">
        <v>0</v>
      </c>
      <c r="R572" s="2" t="inlineStr"/>
    </row>
    <row r="573" ht="15" customHeight="1">
      <c r="A573" t="inlineStr">
        <is>
          <t>A 30994-2023</t>
        </is>
      </c>
      <c r="B573" s="1" t="n">
        <v>45113</v>
      </c>
      <c r="C573" s="1" t="n">
        <v>45511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30998-2023</t>
        </is>
      </c>
      <c r="B574" s="1" t="n">
        <v>45113</v>
      </c>
      <c r="C574" s="1" t="n">
        <v>45511</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32989-2023</t>
        </is>
      </c>
      <c r="B575" s="1" t="n">
        <v>45113</v>
      </c>
      <c r="C575" s="1" t="n">
        <v>45511</v>
      </c>
      <c r="D575" t="inlineStr">
        <is>
          <t>DALARNAS LÄN</t>
        </is>
      </c>
      <c r="E575" t="inlineStr">
        <is>
          <t>LEKSAND</t>
        </is>
      </c>
      <c r="G575" t="n">
        <v>4.4</v>
      </c>
      <c r="H575" t="n">
        <v>0</v>
      </c>
      <c r="I575" t="n">
        <v>0</v>
      </c>
      <c r="J575" t="n">
        <v>0</v>
      </c>
      <c r="K575" t="n">
        <v>0</v>
      </c>
      <c r="L575" t="n">
        <v>0</v>
      </c>
      <c r="M575" t="n">
        <v>0</v>
      </c>
      <c r="N575" t="n">
        <v>0</v>
      </c>
      <c r="O575" t="n">
        <v>0</v>
      </c>
      <c r="P575" t="n">
        <v>0</v>
      </c>
      <c r="Q575" t="n">
        <v>0</v>
      </c>
      <c r="R575" s="2" t="inlineStr"/>
    </row>
    <row r="576" ht="15" customHeight="1">
      <c r="A576" t="inlineStr">
        <is>
          <t>A 31255-2023</t>
        </is>
      </c>
      <c r="B576" s="1" t="n">
        <v>45114</v>
      </c>
      <c r="C576" s="1" t="n">
        <v>45511</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31250-2023</t>
        </is>
      </c>
      <c r="B577" s="1" t="n">
        <v>45114</v>
      </c>
      <c r="C577" s="1" t="n">
        <v>45511</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31254-2023</t>
        </is>
      </c>
      <c r="B578" s="1" t="n">
        <v>45114</v>
      </c>
      <c r="C578" s="1" t="n">
        <v>45511</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31761-2023</t>
        </is>
      </c>
      <c r="B579" s="1" t="n">
        <v>45118</v>
      </c>
      <c r="C579" s="1" t="n">
        <v>45511</v>
      </c>
      <c r="D579" t="inlineStr">
        <is>
          <t>DALARNAS LÄN</t>
        </is>
      </c>
      <c r="E579" t="inlineStr">
        <is>
          <t>LEKSAND</t>
        </is>
      </c>
      <c r="G579" t="n">
        <v>6</v>
      </c>
      <c r="H579" t="n">
        <v>0</v>
      </c>
      <c r="I579" t="n">
        <v>0</v>
      </c>
      <c r="J579" t="n">
        <v>0</v>
      </c>
      <c r="K579" t="n">
        <v>0</v>
      </c>
      <c r="L579" t="n">
        <v>0</v>
      </c>
      <c r="M579" t="n">
        <v>0</v>
      </c>
      <c r="N579" t="n">
        <v>0</v>
      </c>
      <c r="O579" t="n">
        <v>0</v>
      </c>
      <c r="P579" t="n">
        <v>0</v>
      </c>
      <c r="Q579" t="n">
        <v>0</v>
      </c>
      <c r="R579" s="2" t="inlineStr"/>
    </row>
    <row r="580" ht="15" customHeight="1">
      <c r="A580" t="inlineStr">
        <is>
          <t>A 32307-2023</t>
        </is>
      </c>
      <c r="B580" s="1" t="n">
        <v>45120</v>
      </c>
      <c r="C580" s="1" t="n">
        <v>45511</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32311-2023</t>
        </is>
      </c>
      <c r="B581" s="1" t="n">
        <v>45120</v>
      </c>
      <c r="C581" s="1" t="n">
        <v>45511</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32544-2023</t>
        </is>
      </c>
      <c r="B582" s="1" t="n">
        <v>45121</v>
      </c>
      <c r="C582" s="1" t="n">
        <v>45511</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32666-2023</t>
        </is>
      </c>
      <c r="B583" s="1" t="n">
        <v>45121</v>
      </c>
      <c r="C583" s="1" t="n">
        <v>45511</v>
      </c>
      <c r="D583" t="inlineStr">
        <is>
          <t>DALARNAS LÄN</t>
        </is>
      </c>
      <c r="E583" t="inlineStr">
        <is>
          <t>LEKSAND</t>
        </is>
      </c>
      <c r="G583" t="n">
        <v>9.9</v>
      </c>
      <c r="H583" t="n">
        <v>0</v>
      </c>
      <c r="I583" t="n">
        <v>0</v>
      </c>
      <c r="J583" t="n">
        <v>0</v>
      </c>
      <c r="K583" t="n">
        <v>0</v>
      </c>
      <c r="L583" t="n">
        <v>0</v>
      </c>
      <c r="M583" t="n">
        <v>0</v>
      </c>
      <c r="N583" t="n">
        <v>0</v>
      </c>
      <c r="O583" t="n">
        <v>0</v>
      </c>
      <c r="P583" t="n">
        <v>0</v>
      </c>
      <c r="Q583" t="n">
        <v>0</v>
      </c>
      <c r="R583" s="2" t="inlineStr"/>
    </row>
    <row r="584" ht="15" customHeight="1">
      <c r="A584" t="inlineStr">
        <is>
          <t>A 33788-2023</t>
        </is>
      </c>
      <c r="B584" s="1" t="n">
        <v>45121</v>
      </c>
      <c r="C584" s="1" t="n">
        <v>45511</v>
      </c>
      <c r="D584" t="inlineStr">
        <is>
          <t>DALARNAS LÄN</t>
        </is>
      </c>
      <c r="E584" t="inlineStr">
        <is>
          <t>LEKSAND</t>
        </is>
      </c>
      <c r="G584" t="n">
        <v>2.5</v>
      </c>
      <c r="H584" t="n">
        <v>0</v>
      </c>
      <c r="I584" t="n">
        <v>0</v>
      </c>
      <c r="J584" t="n">
        <v>0</v>
      </c>
      <c r="K584" t="n">
        <v>0</v>
      </c>
      <c r="L584" t="n">
        <v>0</v>
      </c>
      <c r="M584" t="n">
        <v>0</v>
      </c>
      <c r="N584" t="n">
        <v>0</v>
      </c>
      <c r="O584" t="n">
        <v>0</v>
      </c>
      <c r="P584" t="n">
        <v>0</v>
      </c>
      <c r="Q584" t="n">
        <v>0</v>
      </c>
      <c r="R584" s="2" t="inlineStr"/>
    </row>
    <row r="585" ht="15" customHeight="1">
      <c r="A585" t="inlineStr">
        <is>
          <t>A 33001-2023</t>
        </is>
      </c>
      <c r="B585" s="1" t="n">
        <v>45125</v>
      </c>
      <c r="C585" s="1" t="n">
        <v>45511</v>
      </c>
      <c r="D585" t="inlineStr">
        <is>
          <t>DALARNAS LÄN</t>
        </is>
      </c>
      <c r="E585" t="inlineStr">
        <is>
          <t>LEKSAND</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33308-2023</t>
        </is>
      </c>
      <c r="B586" s="1" t="n">
        <v>45127</v>
      </c>
      <c r="C586" s="1" t="n">
        <v>45511</v>
      </c>
      <c r="D586" t="inlineStr">
        <is>
          <t>DALARNAS LÄN</t>
        </is>
      </c>
      <c r="E586" t="inlineStr">
        <is>
          <t>LEKSAND</t>
        </is>
      </c>
      <c r="G586" t="n">
        <v>3.2</v>
      </c>
      <c r="H586" t="n">
        <v>0</v>
      </c>
      <c r="I586" t="n">
        <v>0</v>
      </c>
      <c r="J586" t="n">
        <v>0</v>
      </c>
      <c r="K586" t="n">
        <v>0</v>
      </c>
      <c r="L586" t="n">
        <v>0</v>
      </c>
      <c r="M586" t="n">
        <v>0</v>
      </c>
      <c r="N586" t="n">
        <v>0</v>
      </c>
      <c r="O586" t="n">
        <v>0</v>
      </c>
      <c r="P586" t="n">
        <v>0</v>
      </c>
      <c r="Q586" t="n">
        <v>0</v>
      </c>
      <c r="R586" s="2" t="inlineStr"/>
    </row>
    <row r="587" ht="15" customHeight="1">
      <c r="A587" t="inlineStr">
        <is>
          <t>A 33318-2023</t>
        </is>
      </c>
      <c r="B587" s="1" t="n">
        <v>45127</v>
      </c>
      <c r="C587" s="1" t="n">
        <v>45511</v>
      </c>
      <c r="D587" t="inlineStr">
        <is>
          <t>DALARNAS LÄN</t>
        </is>
      </c>
      <c r="E587" t="inlineStr">
        <is>
          <t>LEKSAND</t>
        </is>
      </c>
      <c r="G587" t="n">
        <v>5.5</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45511</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33312-2023</t>
        </is>
      </c>
      <c r="B589" s="1" t="n">
        <v>45127</v>
      </c>
      <c r="C589" s="1" t="n">
        <v>45511</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33316-2023</t>
        </is>
      </c>
      <c r="B590" s="1" t="n">
        <v>45127</v>
      </c>
      <c r="C590" s="1" t="n">
        <v>45511</v>
      </c>
      <c r="D590" t="inlineStr">
        <is>
          <t>DALARNAS LÄN</t>
        </is>
      </c>
      <c r="E590" t="inlineStr">
        <is>
          <t>LEKSAND</t>
        </is>
      </c>
      <c r="G590" t="n">
        <v>8.9</v>
      </c>
      <c r="H590" t="n">
        <v>0</v>
      </c>
      <c r="I590" t="n">
        <v>0</v>
      </c>
      <c r="J590" t="n">
        <v>0</v>
      </c>
      <c r="K590" t="n">
        <v>0</v>
      </c>
      <c r="L590" t="n">
        <v>0</v>
      </c>
      <c r="M590" t="n">
        <v>0</v>
      </c>
      <c r="N590" t="n">
        <v>0</v>
      </c>
      <c r="O590" t="n">
        <v>0</v>
      </c>
      <c r="P590" t="n">
        <v>0</v>
      </c>
      <c r="Q590" t="n">
        <v>0</v>
      </c>
      <c r="R590" s="2" t="inlineStr"/>
    </row>
    <row r="591" ht="15" customHeight="1">
      <c r="A591" t="inlineStr">
        <is>
          <t>A 33310-2023</t>
        </is>
      </c>
      <c r="B591" s="1" t="n">
        <v>45127</v>
      </c>
      <c r="C591" s="1" t="n">
        <v>45511</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33317-2023</t>
        </is>
      </c>
      <c r="B592" s="1" t="n">
        <v>45127</v>
      </c>
      <c r="C592" s="1" t="n">
        <v>45511</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33480-2023</t>
        </is>
      </c>
      <c r="B593" s="1" t="n">
        <v>45131</v>
      </c>
      <c r="C593" s="1" t="n">
        <v>45511</v>
      </c>
      <c r="D593" t="inlineStr">
        <is>
          <t>DALARNAS LÄN</t>
        </is>
      </c>
      <c r="E593" t="inlineStr">
        <is>
          <t>LEKSAND</t>
        </is>
      </c>
      <c r="G593" t="n">
        <v>1.8</v>
      </c>
      <c r="H593" t="n">
        <v>0</v>
      </c>
      <c r="I593" t="n">
        <v>0</v>
      </c>
      <c r="J593" t="n">
        <v>0</v>
      </c>
      <c r="K593" t="n">
        <v>0</v>
      </c>
      <c r="L593" t="n">
        <v>0</v>
      </c>
      <c r="M593" t="n">
        <v>0</v>
      </c>
      <c r="N593" t="n">
        <v>0</v>
      </c>
      <c r="O593" t="n">
        <v>0</v>
      </c>
      <c r="P593" t="n">
        <v>0</v>
      </c>
      <c r="Q593" t="n">
        <v>0</v>
      </c>
      <c r="R593" s="2" t="inlineStr"/>
    </row>
    <row r="594" ht="15" customHeight="1">
      <c r="A594" t="inlineStr">
        <is>
          <t>A 33462-2023</t>
        </is>
      </c>
      <c r="B594" s="1" t="n">
        <v>45131</v>
      </c>
      <c r="C594" s="1" t="n">
        <v>45511</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33463-2023</t>
        </is>
      </c>
      <c r="B595" s="1" t="n">
        <v>45131</v>
      </c>
      <c r="C595" s="1" t="n">
        <v>45511</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33566-2023</t>
        </is>
      </c>
      <c r="B596" s="1" t="n">
        <v>45131</v>
      </c>
      <c r="C596" s="1" t="n">
        <v>45511</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33674-2023</t>
        </is>
      </c>
      <c r="B597" s="1" t="n">
        <v>45132</v>
      </c>
      <c r="C597" s="1" t="n">
        <v>45511</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34294-2023</t>
        </is>
      </c>
      <c r="B598" s="1" t="n">
        <v>45138</v>
      </c>
      <c r="C598" s="1" t="n">
        <v>45511</v>
      </c>
      <c r="D598" t="inlineStr">
        <is>
          <t>DALARNAS LÄN</t>
        </is>
      </c>
      <c r="E598" t="inlineStr">
        <is>
          <t>LEKSAND</t>
        </is>
      </c>
      <c r="G598" t="n">
        <v>6.1</v>
      </c>
      <c r="H598" t="n">
        <v>0</v>
      </c>
      <c r="I598" t="n">
        <v>0</v>
      </c>
      <c r="J598" t="n">
        <v>0</v>
      </c>
      <c r="K598" t="n">
        <v>0</v>
      </c>
      <c r="L598" t="n">
        <v>0</v>
      </c>
      <c r="M598" t="n">
        <v>0</v>
      </c>
      <c r="N598" t="n">
        <v>0</v>
      </c>
      <c r="O598" t="n">
        <v>0</v>
      </c>
      <c r="P598" t="n">
        <v>0</v>
      </c>
      <c r="Q598" t="n">
        <v>0</v>
      </c>
      <c r="R598" s="2" t="inlineStr"/>
    </row>
    <row r="599" ht="15" customHeight="1">
      <c r="A599" t="inlineStr">
        <is>
          <t>A 35228-2023</t>
        </is>
      </c>
      <c r="B599" s="1" t="n">
        <v>45145</v>
      </c>
      <c r="C599" s="1" t="n">
        <v>45511</v>
      </c>
      <c r="D599" t="inlineStr">
        <is>
          <t>DALARNAS LÄN</t>
        </is>
      </c>
      <c r="E599" t="inlineStr">
        <is>
          <t>LEKSAND</t>
        </is>
      </c>
      <c r="G599" t="n">
        <v>3.7</v>
      </c>
      <c r="H599" t="n">
        <v>0</v>
      </c>
      <c r="I599" t="n">
        <v>0</v>
      </c>
      <c r="J599" t="n">
        <v>0</v>
      </c>
      <c r="K599" t="n">
        <v>0</v>
      </c>
      <c r="L599" t="n">
        <v>0</v>
      </c>
      <c r="M599" t="n">
        <v>0</v>
      </c>
      <c r="N599" t="n">
        <v>0</v>
      </c>
      <c r="O599" t="n">
        <v>0</v>
      </c>
      <c r="P599" t="n">
        <v>0</v>
      </c>
      <c r="Q599" t="n">
        <v>0</v>
      </c>
      <c r="R599" s="2" t="inlineStr"/>
    </row>
    <row r="600" ht="15" customHeight="1">
      <c r="A600" t="inlineStr">
        <is>
          <t>A 35173-2023</t>
        </is>
      </c>
      <c r="B600" s="1" t="n">
        <v>45145</v>
      </c>
      <c r="C600" s="1" t="n">
        <v>45511</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35189-2023</t>
        </is>
      </c>
      <c r="B601" s="1" t="n">
        <v>45145</v>
      </c>
      <c r="C601" s="1" t="n">
        <v>45511</v>
      </c>
      <c r="D601" t="inlineStr">
        <is>
          <t>DALARNAS LÄN</t>
        </is>
      </c>
      <c r="E601" t="inlineStr">
        <is>
          <t>LEKSAND</t>
        </is>
      </c>
      <c r="G601" t="n">
        <v>3.7</v>
      </c>
      <c r="H601" t="n">
        <v>0</v>
      </c>
      <c r="I601" t="n">
        <v>0</v>
      </c>
      <c r="J601" t="n">
        <v>0</v>
      </c>
      <c r="K601" t="n">
        <v>0</v>
      </c>
      <c r="L601" t="n">
        <v>0</v>
      </c>
      <c r="M601" t="n">
        <v>0</v>
      </c>
      <c r="N601" t="n">
        <v>0</v>
      </c>
      <c r="O601" t="n">
        <v>0</v>
      </c>
      <c r="P601" t="n">
        <v>0</v>
      </c>
      <c r="Q601" t="n">
        <v>0</v>
      </c>
      <c r="R601" s="2" t="inlineStr"/>
    </row>
    <row r="602" ht="15" customHeight="1">
      <c r="A602" t="inlineStr">
        <is>
          <t>A 36261-2023</t>
        </is>
      </c>
      <c r="B602" s="1" t="n">
        <v>45151</v>
      </c>
      <c r="C602" s="1" t="n">
        <v>45511</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36262-2023</t>
        </is>
      </c>
      <c r="B603" s="1" t="n">
        <v>45151</v>
      </c>
      <c r="C603" s="1" t="n">
        <v>45511</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36444-2023</t>
        </is>
      </c>
      <c r="B604" s="1" t="n">
        <v>45152</v>
      </c>
      <c r="C604" s="1" t="n">
        <v>45511</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36450-2023</t>
        </is>
      </c>
      <c r="B605" s="1" t="n">
        <v>45152</v>
      </c>
      <c r="C605" s="1" t="n">
        <v>45511</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36515-2023</t>
        </is>
      </c>
      <c r="B606" s="1" t="n">
        <v>45153</v>
      </c>
      <c r="C606" s="1" t="n">
        <v>45511</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36932-2023</t>
        </is>
      </c>
      <c r="B607" s="1" t="n">
        <v>45154</v>
      </c>
      <c r="C607" s="1" t="n">
        <v>45511</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37397-2023</t>
        </is>
      </c>
      <c r="B608" s="1" t="n">
        <v>45156</v>
      </c>
      <c r="C608" s="1" t="n">
        <v>45511</v>
      </c>
      <c r="D608" t="inlineStr">
        <is>
          <t>DALARNAS LÄN</t>
        </is>
      </c>
      <c r="E608" t="inlineStr">
        <is>
          <t>LEKSAND</t>
        </is>
      </c>
      <c r="F608" t="inlineStr">
        <is>
          <t>Kommuner</t>
        </is>
      </c>
      <c r="G608" t="n">
        <v>2.9</v>
      </c>
      <c r="H608" t="n">
        <v>0</v>
      </c>
      <c r="I608" t="n">
        <v>0</v>
      </c>
      <c r="J608" t="n">
        <v>0</v>
      </c>
      <c r="K608" t="n">
        <v>0</v>
      </c>
      <c r="L608" t="n">
        <v>0</v>
      </c>
      <c r="M608" t="n">
        <v>0</v>
      </c>
      <c r="N608" t="n">
        <v>0</v>
      </c>
      <c r="O608" t="n">
        <v>0</v>
      </c>
      <c r="P608" t="n">
        <v>0</v>
      </c>
      <c r="Q608" t="n">
        <v>0</v>
      </c>
      <c r="R608" s="2" t="inlineStr"/>
    </row>
    <row r="609" ht="15" customHeight="1">
      <c r="A609" t="inlineStr">
        <is>
          <t>A 37516-2023</t>
        </is>
      </c>
      <c r="B609" s="1" t="n">
        <v>45158</v>
      </c>
      <c r="C609" s="1" t="n">
        <v>45511</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37832-2023</t>
        </is>
      </c>
      <c r="B610" s="1" t="n">
        <v>45160</v>
      </c>
      <c r="C610" s="1" t="n">
        <v>45511</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37919-2023</t>
        </is>
      </c>
      <c r="B611" s="1" t="n">
        <v>45160</v>
      </c>
      <c r="C611" s="1" t="n">
        <v>45511</v>
      </c>
      <c r="D611" t="inlineStr">
        <is>
          <t>DALARNAS LÄN</t>
        </is>
      </c>
      <c r="E611" t="inlineStr">
        <is>
          <t>LEKSAND</t>
        </is>
      </c>
      <c r="G611" t="n">
        <v>1.7</v>
      </c>
      <c r="H611" t="n">
        <v>0</v>
      </c>
      <c r="I611" t="n">
        <v>0</v>
      </c>
      <c r="J611" t="n">
        <v>0</v>
      </c>
      <c r="K611" t="n">
        <v>0</v>
      </c>
      <c r="L611" t="n">
        <v>0</v>
      </c>
      <c r="M611" t="n">
        <v>0</v>
      </c>
      <c r="N611" t="n">
        <v>0</v>
      </c>
      <c r="O611" t="n">
        <v>0</v>
      </c>
      <c r="P611" t="n">
        <v>0</v>
      </c>
      <c r="Q611" t="n">
        <v>0</v>
      </c>
      <c r="R611" s="2" t="inlineStr"/>
    </row>
    <row r="612" ht="15" customHeight="1">
      <c r="A612" t="inlineStr">
        <is>
          <t>A 38058-2023</t>
        </is>
      </c>
      <c r="B612" s="1" t="n">
        <v>45160</v>
      </c>
      <c r="C612" s="1" t="n">
        <v>45511</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38001-2023</t>
        </is>
      </c>
      <c r="B613" s="1" t="n">
        <v>45160</v>
      </c>
      <c r="C613" s="1" t="n">
        <v>45511</v>
      </c>
      <c r="D613" t="inlineStr">
        <is>
          <t>DALARNAS LÄN</t>
        </is>
      </c>
      <c r="E613" t="inlineStr">
        <is>
          <t>LEKSAND</t>
        </is>
      </c>
      <c r="G613" t="n">
        <v>3.6</v>
      </c>
      <c r="H613" t="n">
        <v>0</v>
      </c>
      <c r="I613" t="n">
        <v>0</v>
      </c>
      <c r="J613" t="n">
        <v>0</v>
      </c>
      <c r="K613" t="n">
        <v>0</v>
      </c>
      <c r="L613" t="n">
        <v>0</v>
      </c>
      <c r="M613" t="n">
        <v>0</v>
      </c>
      <c r="N613" t="n">
        <v>0</v>
      </c>
      <c r="O613" t="n">
        <v>0</v>
      </c>
      <c r="P613" t="n">
        <v>0</v>
      </c>
      <c r="Q613" t="n">
        <v>0</v>
      </c>
      <c r="R613" s="2" t="inlineStr"/>
    </row>
    <row r="614" ht="15" customHeight="1">
      <c r="A614" t="inlineStr">
        <is>
          <t>A 38145-2023</t>
        </is>
      </c>
      <c r="B614" s="1" t="n">
        <v>45160</v>
      </c>
      <c r="C614" s="1" t="n">
        <v>45511</v>
      </c>
      <c r="D614" t="inlineStr">
        <is>
          <t>DALARNAS LÄN</t>
        </is>
      </c>
      <c r="E614" t="inlineStr">
        <is>
          <t>LEKSAND</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38273-2023</t>
        </is>
      </c>
      <c r="B615" s="1" t="n">
        <v>45161</v>
      </c>
      <c r="C615" s="1" t="n">
        <v>45511</v>
      </c>
      <c r="D615" t="inlineStr">
        <is>
          <t>DALARNAS LÄN</t>
        </is>
      </c>
      <c r="E615" t="inlineStr">
        <is>
          <t>LEKSAND</t>
        </is>
      </c>
      <c r="F615" t="inlineStr">
        <is>
          <t>Bergvik skog väst AB</t>
        </is>
      </c>
      <c r="G615" t="n">
        <v>4.1</v>
      </c>
      <c r="H615" t="n">
        <v>0</v>
      </c>
      <c r="I615" t="n">
        <v>0</v>
      </c>
      <c r="J615" t="n">
        <v>0</v>
      </c>
      <c r="K615" t="n">
        <v>0</v>
      </c>
      <c r="L615" t="n">
        <v>0</v>
      </c>
      <c r="M615" t="n">
        <v>0</v>
      </c>
      <c r="N615" t="n">
        <v>0</v>
      </c>
      <c r="O615" t="n">
        <v>0</v>
      </c>
      <c r="P615" t="n">
        <v>0</v>
      </c>
      <c r="Q615" t="n">
        <v>0</v>
      </c>
      <c r="R615" s="2" t="inlineStr"/>
    </row>
    <row r="616" ht="15" customHeight="1">
      <c r="A616" t="inlineStr">
        <is>
          <t>A 38277-2023</t>
        </is>
      </c>
      <c r="B616" s="1" t="n">
        <v>45161</v>
      </c>
      <c r="C616" s="1" t="n">
        <v>45511</v>
      </c>
      <c r="D616" t="inlineStr">
        <is>
          <t>DALARNAS LÄN</t>
        </is>
      </c>
      <c r="E616" t="inlineStr">
        <is>
          <t>LEKSAND</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38117-2023</t>
        </is>
      </c>
      <c r="B617" s="1" t="n">
        <v>45161</v>
      </c>
      <c r="C617" s="1" t="n">
        <v>45511</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39136-2023</t>
        </is>
      </c>
      <c r="B618" s="1" t="n">
        <v>45165</v>
      </c>
      <c r="C618" s="1" t="n">
        <v>45511</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39387-2023</t>
        </is>
      </c>
      <c r="B619" s="1" t="n">
        <v>45166</v>
      </c>
      <c r="C619" s="1" t="n">
        <v>45511</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39332-2023</t>
        </is>
      </c>
      <c r="B620" s="1" t="n">
        <v>45166</v>
      </c>
      <c r="C620" s="1" t="n">
        <v>45511</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39354-2023</t>
        </is>
      </c>
      <c r="B621" s="1" t="n">
        <v>45166</v>
      </c>
      <c r="C621" s="1" t="n">
        <v>45511</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39595-2023</t>
        </is>
      </c>
      <c r="B622" s="1" t="n">
        <v>45167</v>
      </c>
      <c r="C622" s="1" t="n">
        <v>45511</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39558-2023</t>
        </is>
      </c>
      <c r="B623" s="1" t="n">
        <v>45167</v>
      </c>
      <c r="C623" s="1" t="n">
        <v>45511</v>
      </c>
      <c r="D623" t="inlineStr">
        <is>
          <t>DALARNAS LÄN</t>
        </is>
      </c>
      <c r="E623" t="inlineStr">
        <is>
          <t>LEKSAND</t>
        </is>
      </c>
      <c r="G623" t="n">
        <v>39.9</v>
      </c>
      <c r="H623" t="n">
        <v>0</v>
      </c>
      <c r="I623" t="n">
        <v>0</v>
      </c>
      <c r="J623" t="n">
        <v>0</v>
      </c>
      <c r="K623" t="n">
        <v>0</v>
      </c>
      <c r="L623" t="n">
        <v>0</v>
      </c>
      <c r="M623" t="n">
        <v>0</v>
      </c>
      <c r="N623" t="n">
        <v>0</v>
      </c>
      <c r="O623" t="n">
        <v>0</v>
      </c>
      <c r="P623" t="n">
        <v>0</v>
      </c>
      <c r="Q623" t="n">
        <v>0</v>
      </c>
      <c r="R623" s="2" t="inlineStr"/>
    </row>
    <row r="624" ht="15" customHeight="1">
      <c r="A624" t="inlineStr">
        <is>
          <t>A 39577-2023</t>
        </is>
      </c>
      <c r="B624" s="1" t="n">
        <v>45167</v>
      </c>
      <c r="C624" s="1" t="n">
        <v>45511</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39665-2023</t>
        </is>
      </c>
      <c r="B625" s="1" t="n">
        <v>45167</v>
      </c>
      <c r="C625" s="1" t="n">
        <v>45511</v>
      </c>
      <c r="D625" t="inlineStr">
        <is>
          <t>DALARNAS LÄN</t>
        </is>
      </c>
      <c r="E625" t="inlineStr">
        <is>
          <t>LEKSAND</t>
        </is>
      </c>
      <c r="F625" t="inlineStr">
        <is>
          <t>Bergvik skog väst AB</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40201-2023</t>
        </is>
      </c>
      <c r="B626" s="1" t="n">
        <v>45169</v>
      </c>
      <c r="C626" s="1" t="n">
        <v>45511</v>
      </c>
      <c r="D626" t="inlineStr">
        <is>
          <t>DALARNAS LÄN</t>
        </is>
      </c>
      <c r="E626" t="inlineStr">
        <is>
          <t>LEKSAND</t>
        </is>
      </c>
      <c r="G626" t="n">
        <v>3.2</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45511</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40230-2023</t>
        </is>
      </c>
      <c r="B628" s="1" t="n">
        <v>45169</v>
      </c>
      <c r="C628" s="1" t="n">
        <v>45511</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40642-2023</t>
        </is>
      </c>
      <c r="B629" s="1" t="n">
        <v>45169</v>
      </c>
      <c r="C629" s="1" t="n">
        <v>45511</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40183-2023</t>
        </is>
      </c>
      <c r="B630" s="1" t="n">
        <v>45169</v>
      </c>
      <c r="C630" s="1" t="n">
        <v>45511</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40580-2023</t>
        </is>
      </c>
      <c r="B631" s="1" t="n">
        <v>45170</v>
      </c>
      <c r="C631" s="1" t="n">
        <v>45511</v>
      </c>
      <c r="D631" t="inlineStr">
        <is>
          <t>DALARNAS LÄN</t>
        </is>
      </c>
      <c r="E631" t="inlineStr">
        <is>
          <t>LEKSAND</t>
        </is>
      </c>
      <c r="F631" t="inlineStr">
        <is>
          <t>Bergvik skog väst AB</t>
        </is>
      </c>
      <c r="G631" t="n">
        <v>5.8</v>
      </c>
      <c r="H631" t="n">
        <v>0</v>
      </c>
      <c r="I631" t="n">
        <v>0</v>
      </c>
      <c r="J631" t="n">
        <v>0</v>
      </c>
      <c r="K631" t="n">
        <v>0</v>
      </c>
      <c r="L631" t="n">
        <v>0</v>
      </c>
      <c r="M631" t="n">
        <v>0</v>
      </c>
      <c r="N631" t="n">
        <v>0</v>
      </c>
      <c r="O631" t="n">
        <v>0</v>
      </c>
      <c r="P631" t="n">
        <v>0</v>
      </c>
      <c r="Q631" t="n">
        <v>0</v>
      </c>
      <c r="R631" s="2" t="inlineStr"/>
    </row>
    <row r="632" ht="15" customHeight="1">
      <c r="A632" t="inlineStr">
        <is>
          <t>A 40634-2023</t>
        </is>
      </c>
      <c r="B632" s="1" t="n">
        <v>45170</v>
      </c>
      <c r="C632" s="1" t="n">
        <v>45511</v>
      </c>
      <c r="D632" t="inlineStr">
        <is>
          <t>DALARNAS LÄN</t>
        </is>
      </c>
      <c r="E632" t="inlineStr">
        <is>
          <t>LEKSAND</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40640-2023</t>
        </is>
      </c>
      <c r="B633" s="1" t="n">
        <v>45170</v>
      </c>
      <c r="C633" s="1" t="n">
        <v>45511</v>
      </c>
      <c r="D633" t="inlineStr">
        <is>
          <t>DALARNAS LÄN</t>
        </is>
      </c>
      <c r="E633" t="inlineStr">
        <is>
          <t>LEKSAND</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40577-2023</t>
        </is>
      </c>
      <c r="B634" s="1" t="n">
        <v>45170</v>
      </c>
      <c r="C634" s="1" t="n">
        <v>45511</v>
      </c>
      <c r="D634" t="inlineStr">
        <is>
          <t>DALARNAS LÄN</t>
        </is>
      </c>
      <c r="E634" t="inlineStr">
        <is>
          <t>LEKSAND</t>
        </is>
      </c>
      <c r="F634" t="inlineStr">
        <is>
          <t>Bergvik skog väst AB</t>
        </is>
      </c>
      <c r="G634" t="n">
        <v>20.6</v>
      </c>
      <c r="H634" t="n">
        <v>0</v>
      </c>
      <c r="I634" t="n">
        <v>0</v>
      </c>
      <c r="J634" t="n">
        <v>0</v>
      </c>
      <c r="K634" t="n">
        <v>0</v>
      </c>
      <c r="L634" t="n">
        <v>0</v>
      </c>
      <c r="M634" t="n">
        <v>0</v>
      </c>
      <c r="N634" t="n">
        <v>0</v>
      </c>
      <c r="O634" t="n">
        <v>0</v>
      </c>
      <c r="P634" t="n">
        <v>0</v>
      </c>
      <c r="Q634" t="n">
        <v>0</v>
      </c>
      <c r="R634" s="2" t="inlineStr"/>
    </row>
    <row r="635" ht="15" customHeight="1">
      <c r="A635" t="inlineStr">
        <is>
          <t>A 40627-2023</t>
        </is>
      </c>
      <c r="B635" s="1" t="n">
        <v>45170</v>
      </c>
      <c r="C635" s="1" t="n">
        <v>45511</v>
      </c>
      <c r="D635" t="inlineStr">
        <is>
          <t>DALARNAS LÄN</t>
        </is>
      </c>
      <c r="E635" t="inlineStr">
        <is>
          <t>LEKSAND</t>
        </is>
      </c>
      <c r="F635" t="inlineStr">
        <is>
          <t>Bergvik skog väst AB</t>
        </is>
      </c>
      <c r="G635" t="n">
        <v>3.3</v>
      </c>
      <c r="H635" t="n">
        <v>0</v>
      </c>
      <c r="I635" t="n">
        <v>0</v>
      </c>
      <c r="J635" t="n">
        <v>0</v>
      </c>
      <c r="K635" t="n">
        <v>0</v>
      </c>
      <c r="L635" t="n">
        <v>0</v>
      </c>
      <c r="M635" t="n">
        <v>0</v>
      </c>
      <c r="N635" t="n">
        <v>0</v>
      </c>
      <c r="O635" t="n">
        <v>0</v>
      </c>
      <c r="P635" t="n">
        <v>0</v>
      </c>
      <c r="Q635" t="n">
        <v>0</v>
      </c>
      <c r="R635" s="2" t="inlineStr"/>
    </row>
    <row r="636" ht="15" customHeight="1">
      <c r="A636" t="inlineStr">
        <is>
          <t>A 41853-2023</t>
        </is>
      </c>
      <c r="B636" s="1" t="n">
        <v>45176</v>
      </c>
      <c r="C636" s="1" t="n">
        <v>45511</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42230-2023</t>
        </is>
      </c>
      <c r="B637" s="1" t="n">
        <v>45180</v>
      </c>
      <c r="C637" s="1" t="n">
        <v>45511</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42305-2023</t>
        </is>
      </c>
      <c r="B638" s="1" t="n">
        <v>45180</v>
      </c>
      <c r="C638" s="1" t="n">
        <v>45511</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42290-2023</t>
        </is>
      </c>
      <c r="B639" s="1" t="n">
        <v>45180</v>
      </c>
      <c r="C639" s="1" t="n">
        <v>45511</v>
      </c>
      <c r="D639" t="inlineStr">
        <is>
          <t>DALARNAS LÄN</t>
        </is>
      </c>
      <c r="E639" t="inlineStr">
        <is>
          <t>LEKSAND</t>
        </is>
      </c>
      <c r="G639" t="n">
        <v>6.8</v>
      </c>
      <c r="H639" t="n">
        <v>0</v>
      </c>
      <c r="I639" t="n">
        <v>0</v>
      </c>
      <c r="J639" t="n">
        <v>0</v>
      </c>
      <c r="K639" t="n">
        <v>0</v>
      </c>
      <c r="L639" t="n">
        <v>0</v>
      </c>
      <c r="M639" t="n">
        <v>0</v>
      </c>
      <c r="N639" t="n">
        <v>0</v>
      </c>
      <c r="O639" t="n">
        <v>0</v>
      </c>
      <c r="P639" t="n">
        <v>0</v>
      </c>
      <c r="Q639" t="n">
        <v>0</v>
      </c>
      <c r="R639" s="2" t="inlineStr"/>
    </row>
    <row r="640" ht="15" customHeight="1">
      <c r="A640" t="inlineStr">
        <is>
          <t>A 42739-2023</t>
        </is>
      </c>
      <c r="B640" s="1" t="n">
        <v>45181</v>
      </c>
      <c r="C640" s="1" t="n">
        <v>45511</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42774-2023</t>
        </is>
      </c>
      <c r="B641" s="1" t="n">
        <v>45181</v>
      </c>
      <c r="C641" s="1" t="n">
        <v>45511</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42771-2023</t>
        </is>
      </c>
      <c r="B642" s="1" t="n">
        <v>45181</v>
      </c>
      <c r="C642" s="1" t="n">
        <v>45511</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44491-2023</t>
        </is>
      </c>
      <c r="B643" s="1" t="n">
        <v>45183</v>
      </c>
      <c r="C643" s="1" t="n">
        <v>45511</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43436-2023</t>
        </is>
      </c>
      <c r="B644" s="1" t="n">
        <v>45184</v>
      </c>
      <c r="C644" s="1" t="n">
        <v>45511</v>
      </c>
      <c r="D644" t="inlineStr">
        <is>
          <t>DALARNAS LÄN</t>
        </is>
      </c>
      <c r="E644" t="inlineStr">
        <is>
          <t>LEKSAND</t>
        </is>
      </c>
      <c r="G644" t="n">
        <v>6</v>
      </c>
      <c r="H644" t="n">
        <v>0</v>
      </c>
      <c r="I644" t="n">
        <v>0</v>
      </c>
      <c r="J644" t="n">
        <v>0</v>
      </c>
      <c r="K644" t="n">
        <v>0</v>
      </c>
      <c r="L644" t="n">
        <v>0</v>
      </c>
      <c r="M644" t="n">
        <v>0</v>
      </c>
      <c r="N644" t="n">
        <v>0</v>
      </c>
      <c r="O644" t="n">
        <v>0</v>
      </c>
      <c r="P644" t="n">
        <v>0</v>
      </c>
      <c r="Q644" t="n">
        <v>0</v>
      </c>
      <c r="R644" s="2" t="inlineStr"/>
    </row>
    <row r="645" ht="15" customHeight="1">
      <c r="A645" t="inlineStr">
        <is>
          <t>A 43440-2023</t>
        </is>
      </c>
      <c r="B645" s="1" t="n">
        <v>45184</v>
      </c>
      <c r="C645" s="1" t="n">
        <v>45511</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43508-2023</t>
        </is>
      </c>
      <c r="B646" s="1" t="n">
        <v>45184</v>
      </c>
      <c r="C646" s="1" t="n">
        <v>45511</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43642-2023</t>
        </is>
      </c>
      <c r="B647" s="1" t="n">
        <v>45186</v>
      </c>
      <c r="C647" s="1" t="n">
        <v>45511</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43650-2023</t>
        </is>
      </c>
      <c r="B648" s="1" t="n">
        <v>45187</v>
      </c>
      <c r="C648" s="1" t="n">
        <v>45511</v>
      </c>
      <c r="D648" t="inlineStr">
        <is>
          <t>DALARNAS LÄN</t>
        </is>
      </c>
      <c r="E648" t="inlineStr">
        <is>
          <t>LEKSAND</t>
        </is>
      </c>
      <c r="G648" t="n">
        <v>4.5</v>
      </c>
      <c r="H648" t="n">
        <v>0</v>
      </c>
      <c r="I648" t="n">
        <v>0</v>
      </c>
      <c r="J648" t="n">
        <v>0</v>
      </c>
      <c r="K648" t="n">
        <v>0</v>
      </c>
      <c r="L648" t="n">
        <v>0</v>
      </c>
      <c r="M648" t="n">
        <v>0</v>
      </c>
      <c r="N648" t="n">
        <v>0</v>
      </c>
      <c r="O648" t="n">
        <v>0</v>
      </c>
      <c r="P648" t="n">
        <v>0</v>
      </c>
      <c r="Q648" t="n">
        <v>0</v>
      </c>
      <c r="R648" s="2" t="inlineStr"/>
    </row>
    <row r="649" ht="15" customHeight="1">
      <c r="A649" t="inlineStr">
        <is>
          <t>A 44712-2023</t>
        </is>
      </c>
      <c r="B649" s="1" t="n">
        <v>45190</v>
      </c>
      <c r="C649" s="1" t="n">
        <v>45511</v>
      </c>
      <c r="D649" t="inlineStr">
        <is>
          <t>DALARNAS LÄN</t>
        </is>
      </c>
      <c r="E649" t="inlineStr">
        <is>
          <t>LEKSAND</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45254-2023</t>
        </is>
      </c>
      <c r="B650" s="1" t="n">
        <v>45191</v>
      </c>
      <c r="C650" s="1" t="n">
        <v>45511</v>
      </c>
      <c r="D650" t="inlineStr">
        <is>
          <t>DALARNAS LÄN</t>
        </is>
      </c>
      <c r="E650" t="inlineStr">
        <is>
          <t>LEKSAND</t>
        </is>
      </c>
      <c r="G650" t="n">
        <v>16.9</v>
      </c>
      <c r="H650" t="n">
        <v>0</v>
      </c>
      <c r="I650" t="n">
        <v>0</v>
      </c>
      <c r="J650" t="n">
        <v>0</v>
      </c>
      <c r="K650" t="n">
        <v>0</v>
      </c>
      <c r="L650" t="n">
        <v>0</v>
      </c>
      <c r="M650" t="n">
        <v>0</v>
      </c>
      <c r="N650" t="n">
        <v>0</v>
      </c>
      <c r="O650" t="n">
        <v>0</v>
      </c>
      <c r="P650" t="n">
        <v>0</v>
      </c>
      <c r="Q650" t="n">
        <v>0</v>
      </c>
      <c r="R650" s="2" t="inlineStr"/>
    </row>
    <row r="651" ht="15" customHeight="1">
      <c r="A651" t="inlineStr">
        <is>
          <t>A 45633-2023</t>
        </is>
      </c>
      <c r="B651" s="1" t="n">
        <v>45194</v>
      </c>
      <c r="C651" s="1" t="n">
        <v>45511</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45512-2023</t>
        </is>
      </c>
      <c r="B652" s="1" t="n">
        <v>45194</v>
      </c>
      <c r="C652" s="1" t="n">
        <v>45511</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45768-2023</t>
        </is>
      </c>
      <c r="B653" s="1" t="n">
        <v>45195</v>
      </c>
      <c r="C653" s="1" t="n">
        <v>45511</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45679-2023</t>
        </is>
      </c>
      <c r="B654" s="1" t="n">
        <v>45195</v>
      </c>
      <c r="C654" s="1" t="n">
        <v>45511</v>
      </c>
      <c r="D654" t="inlineStr">
        <is>
          <t>DALARNAS LÄN</t>
        </is>
      </c>
      <c r="E654" t="inlineStr">
        <is>
          <t>LEKSAND</t>
        </is>
      </c>
      <c r="G654" t="n">
        <v>1.1</v>
      </c>
      <c r="H654" t="n">
        <v>0</v>
      </c>
      <c r="I654" t="n">
        <v>0</v>
      </c>
      <c r="J654" t="n">
        <v>0</v>
      </c>
      <c r="K654" t="n">
        <v>0</v>
      </c>
      <c r="L654" t="n">
        <v>0</v>
      </c>
      <c r="M654" t="n">
        <v>0</v>
      </c>
      <c r="N654" t="n">
        <v>0</v>
      </c>
      <c r="O654" t="n">
        <v>0</v>
      </c>
      <c r="P654" t="n">
        <v>0</v>
      </c>
      <c r="Q654" t="n">
        <v>0</v>
      </c>
      <c r="R654" s="2" t="inlineStr"/>
    </row>
    <row r="655" ht="15" customHeight="1">
      <c r="A655" t="inlineStr">
        <is>
          <t>A 45813-2023</t>
        </is>
      </c>
      <c r="B655" s="1" t="n">
        <v>45195</v>
      </c>
      <c r="C655" s="1" t="n">
        <v>45511</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46163-2023</t>
        </is>
      </c>
      <c r="B656" s="1" t="n">
        <v>45196</v>
      </c>
      <c r="C656" s="1" t="n">
        <v>45511</v>
      </c>
      <c r="D656" t="inlineStr">
        <is>
          <t>DALARNAS LÄN</t>
        </is>
      </c>
      <c r="E656" t="inlineStr">
        <is>
          <t>LEKSAND</t>
        </is>
      </c>
      <c r="G656" t="n">
        <v>7.3</v>
      </c>
      <c r="H656" t="n">
        <v>0</v>
      </c>
      <c r="I656" t="n">
        <v>0</v>
      </c>
      <c r="J656" t="n">
        <v>0</v>
      </c>
      <c r="K656" t="n">
        <v>0</v>
      </c>
      <c r="L656" t="n">
        <v>0</v>
      </c>
      <c r="M656" t="n">
        <v>0</v>
      </c>
      <c r="N656" t="n">
        <v>0</v>
      </c>
      <c r="O656" t="n">
        <v>0</v>
      </c>
      <c r="P656" t="n">
        <v>0</v>
      </c>
      <c r="Q656" t="n">
        <v>0</v>
      </c>
      <c r="R656" s="2" t="inlineStr"/>
    </row>
    <row r="657" ht="15" customHeight="1">
      <c r="A657" t="inlineStr">
        <is>
          <t>A 46446-2023</t>
        </is>
      </c>
      <c r="B657" s="1" t="n">
        <v>45197</v>
      </c>
      <c r="C657" s="1" t="n">
        <v>45511</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46505-2023</t>
        </is>
      </c>
      <c r="B658" s="1" t="n">
        <v>45197</v>
      </c>
      <c r="C658" s="1" t="n">
        <v>45511</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46593-2023</t>
        </is>
      </c>
      <c r="B659" s="1" t="n">
        <v>45198</v>
      </c>
      <c r="C659" s="1" t="n">
        <v>45511</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46669-2023</t>
        </is>
      </c>
      <c r="B660" s="1" t="n">
        <v>45198</v>
      </c>
      <c r="C660" s="1" t="n">
        <v>45511</v>
      </c>
      <c r="D660" t="inlineStr">
        <is>
          <t>DALARNAS LÄN</t>
        </is>
      </c>
      <c r="E660" t="inlineStr">
        <is>
          <t>LEKSAND</t>
        </is>
      </c>
      <c r="G660" t="n">
        <v>3.5</v>
      </c>
      <c r="H660" t="n">
        <v>0</v>
      </c>
      <c r="I660" t="n">
        <v>0</v>
      </c>
      <c r="J660" t="n">
        <v>0</v>
      </c>
      <c r="K660" t="n">
        <v>0</v>
      </c>
      <c r="L660" t="n">
        <v>0</v>
      </c>
      <c r="M660" t="n">
        <v>0</v>
      </c>
      <c r="N660" t="n">
        <v>0</v>
      </c>
      <c r="O660" t="n">
        <v>0</v>
      </c>
      <c r="P660" t="n">
        <v>0</v>
      </c>
      <c r="Q660" t="n">
        <v>0</v>
      </c>
      <c r="R660" s="2" t="inlineStr"/>
    </row>
    <row r="661" ht="15" customHeight="1">
      <c r="A661" t="inlineStr">
        <is>
          <t>A 46594-2023</t>
        </is>
      </c>
      <c r="B661" s="1" t="n">
        <v>45198</v>
      </c>
      <c r="C661" s="1" t="n">
        <v>45511</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46600-2023</t>
        </is>
      </c>
      <c r="B662" s="1" t="n">
        <v>45198</v>
      </c>
      <c r="C662" s="1" t="n">
        <v>45511</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46665-2023</t>
        </is>
      </c>
      <c r="B663" s="1" t="n">
        <v>45198</v>
      </c>
      <c r="C663" s="1" t="n">
        <v>45511</v>
      </c>
      <c r="D663" t="inlineStr">
        <is>
          <t>DALARNAS LÄN</t>
        </is>
      </c>
      <c r="E663" t="inlineStr">
        <is>
          <t>LEKSAND</t>
        </is>
      </c>
      <c r="G663" t="n">
        <v>0.6</v>
      </c>
      <c r="H663" t="n">
        <v>0</v>
      </c>
      <c r="I663" t="n">
        <v>0</v>
      </c>
      <c r="J663" t="n">
        <v>0</v>
      </c>
      <c r="K663" t="n">
        <v>0</v>
      </c>
      <c r="L663" t="n">
        <v>0</v>
      </c>
      <c r="M663" t="n">
        <v>0</v>
      </c>
      <c r="N663" t="n">
        <v>0</v>
      </c>
      <c r="O663" t="n">
        <v>0</v>
      </c>
      <c r="P663" t="n">
        <v>0</v>
      </c>
      <c r="Q663" t="n">
        <v>0</v>
      </c>
      <c r="R663" s="2" t="inlineStr"/>
    </row>
    <row r="664" ht="15" customHeight="1">
      <c r="A664" t="inlineStr">
        <is>
          <t>A 46635-2023</t>
        </is>
      </c>
      <c r="B664" s="1" t="n">
        <v>45198</v>
      </c>
      <c r="C664" s="1" t="n">
        <v>45511</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46834-2023</t>
        </is>
      </c>
      <c r="B665" s="1" t="n">
        <v>45199</v>
      </c>
      <c r="C665" s="1" t="n">
        <v>45511</v>
      </c>
      <c r="D665" t="inlineStr">
        <is>
          <t>DALARNAS LÄN</t>
        </is>
      </c>
      <c r="E665" t="inlineStr">
        <is>
          <t>LEKSAND</t>
        </is>
      </c>
      <c r="G665" t="n">
        <v>16.3</v>
      </c>
      <c r="H665" t="n">
        <v>0</v>
      </c>
      <c r="I665" t="n">
        <v>0</v>
      </c>
      <c r="J665" t="n">
        <v>0</v>
      </c>
      <c r="K665" t="n">
        <v>0</v>
      </c>
      <c r="L665" t="n">
        <v>0</v>
      </c>
      <c r="M665" t="n">
        <v>0</v>
      </c>
      <c r="N665" t="n">
        <v>0</v>
      </c>
      <c r="O665" t="n">
        <v>0</v>
      </c>
      <c r="P665" t="n">
        <v>0</v>
      </c>
      <c r="Q665" t="n">
        <v>0</v>
      </c>
      <c r="R665" s="2" t="inlineStr"/>
    </row>
    <row r="666" ht="15" customHeight="1">
      <c r="A666" t="inlineStr">
        <is>
          <t>A 46876-2023</t>
        </is>
      </c>
      <c r="B666" s="1" t="n">
        <v>45200</v>
      </c>
      <c r="C666" s="1" t="n">
        <v>45511</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47039-2023</t>
        </is>
      </c>
      <c r="B667" s="1" t="n">
        <v>45201</v>
      </c>
      <c r="C667" s="1" t="n">
        <v>45511</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46931-2023</t>
        </is>
      </c>
      <c r="B668" s="1" t="n">
        <v>45201</v>
      </c>
      <c r="C668" s="1" t="n">
        <v>45511</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47011-2023</t>
        </is>
      </c>
      <c r="B669" s="1" t="n">
        <v>45201</v>
      </c>
      <c r="C669" s="1" t="n">
        <v>45511</v>
      </c>
      <c r="D669" t="inlineStr">
        <is>
          <t>DALARNAS LÄN</t>
        </is>
      </c>
      <c r="E669" t="inlineStr">
        <is>
          <t>LEKSAND</t>
        </is>
      </c>
      <c r="G669" t="n">
        <v>4</v>
      </c>
      <c r="H669" t="n">
        <v>0</v>
      </c>
      <c r="I669" t="n">
        <v>0</v>
      </c>
      <c r="J669" t="n">
        <v>0</v>
      </c>
      <c r="K669" t="n">
        <v>0</v>
      </c>
      <c r="L669" t="n">
        <v>0</v>
      </c>
      <c r="M669" t="n">
        <v>0</v>
      </c>
      <c r="N669" t="n">
        <v>0</v>
      </c>
      <c r="O669" t="n">
        <v>0</v>
      </c>
      <c r="P669" t="n">
        <v>0</v>
      </c>
      <c r="Q669" t="n">
        <v>0</v>
      </c>
      <c r="R669" s="2" t="inlineStr"/>
    </row>
    <row r="670" ht="15" customHeight="1">
      <c r="A670" t="inlineStr">
        <is>
          <t>A 47203-2023</t>
        </is>
      </c>
      <c r="B670" s="1" t="n">
        <v>45202</v>
      </c>
      <c r="C670" s="1" t="n">
        <v>45511</v>
      </c>
      <c r="D670" t="inlineStr">
        <is>
          <t>DALARNAS LÄN</t>
        </is>
      </c>
      <c r="E670" t="inlineStr">
        <is>
          <t>LEKSAND</t>
        </is>
      </c>
      <c r="G670" t="n">
        <v>2.1</v>
      </c>
      <c r="H670" t="n">
        <v>0</v>
      </c>
      <c r="I670" t="n">
        <v>0</v>
      </c>
      <c r="J670" t="n">
        <v>0</v>
      </c>
      <c r="K670" t="n">
        <v>0</v>
      </c>
      <c r="L670" t="n">
        <v>0</v>
      </c>
      <c r="M670" t="n">
        <v>0</v>
      </c>
      <c r="N670" t="n">
        <v>0</v>
      </c>
      <c r="O670" t="n">
        <v>0</v>
      </c>
      <c r="P670" t="n">
        <v>0</v>
      </c>
      <c r="Q670" t="n">
        <v>0</v>
      </c>
      <c r="R670" s="2" t="inlineStr"/>
    </row>
    <row r="671" ht="15" customHeight="1">
      <c r="A671" t="inlineStr">
        <is>
          <t>A 47673-2023</t>
        </is>
      </c>
      <c r="B671" s="1" t="n">
        <v>45203</v>
      </c>
      <c r="C671" s="1" t="n">
        <v>45511</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47655-2023</t>
        </is>
      </c>
      <c r="B672" s="1" t="n">
        <v>45203</v>
      </c>
      <c r="C672" s="1" t="n">
        <v>45511</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48714-2023</t>
        </is>
      </c>
      <c r="B673" s="1" t="n">
        <v>45203</v>
      </c>
      <c r="C673" s="1" t="n">
        <v>45511</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48721-2023</t>
        </is>
      </c>
      <c r="B674" s="1" t="n">
        <v>45203</v>
      </c>
      <c r="C674" s="1" t="n">
        <v>45511</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48029-2023</t>
        </is>
      </c>
      <c r="B675" s="1" t="n">
        <v>45204</v>
      </c>
      <c r="C675" s="1" t="n">
        <v>45511</v>
      </c>
      <c r="D675" t="inlineStr">
        <is>
          <t>DALARNAS LÄN</t>
        </is>
      </c>
      <c r="E675" t="inlineStr">
        <is>
          <t>LEKSAND</t>
        </is>
      </c>
      <c r="G675" t="n">
        <v>2.1</v>
      </c>
      <c r="H675" t="n">
        <v>0</v>
      </c>
      <c r="I675" t="n">
        <v>0</v>
      </c>
      <c r="J675" t="n">
        <v>0</v>
      </c>
      <c r="K675" t="n">
        <v>0</v>
      </c>
      <c r="L675" t="n">
        <v>0</v>
      </c>
      <c r="M675" t="n">
        <v>0</v>
      </c>
      <c r="N675" t="n">
        <v>0</v>
      </c>
      <c r="O675" t="n">
        <v>0</v>
      </c>
      <c r="P675" t="n">
        <v>0</v>
      </c>
      <c r="Q675" t="n">
        <v>0</v>
      </c>
      <c r="R675" s="2" t="inlineStr"/>
    </row>
    <row r="676" ht="15" customHeight="1">
      <c r="A676" t="inlineStr">
        <is>
          <t>A 48644-2023</t>
        </is>
      </c>
      <c r="B676" s="1" t="n">
        <v>45208</v>
      </c>
      <c r="C676" s="1" t="n">
        <v>45511</v>
      </c>
      <c r="D676" t="inlineStr">
        <is>
          <t>DALARNAS LÄN</t>
        </is>
      </c>
      <c r="E676" t="inlineStr">
        <is>
          <t>LEKSAND</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50374-2023</t>
        </is>
      </c>
      <c r="B677" s="1" t="n">
        <v>45209</v>
      </c>
      <c r="C677" s="1" t="n">
        <v>45511</v>
      </c>
      <c r="D677" t="inlineStr">
        <is>
          <t>DALARNAS LÄN</t>
        </is>
      </c>
      <c r="E677" t="inlineStr">
        <is>
          <t>LEKSAND</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50082-2023</t>
        </is>
      </c>
      <c r="B678" s="1" t="n">
        <v>45215</v>
      </c>
      <c r="C678" s="1" t="n">
        <v>45511</v>
      </c>
      <c r="D678" t="inlineStr">
        <is>
          <t>DALARNAS LÄN</t>
        </is>
      </c>
      <c r="E678" t="inlineStr">
        <is>
          <t>LEKSAND</t>
        </is>
      </c>
      <c r="G678" t="n">
        <v>3.4</v>
      </c>
      <c r="H678" t="n">
        <v>0</v>
      </c>
      <c r="I678" t="n">
        <v>0</v>
      </c>
      <c r="J678" t="n">
        <v>0</v>
      </c>
      <c r="K678" t="n">
        <v>0</v>
      </c>
      <c r="L678" t="n">
        <v>0</v>
      </c>
      <c r="M678" t="n">
        <v>0</v>
      </c>
      <c r="N678" t="n">
        <v>0</v>
      </c>
      <c r="O678" t="n">
        <v>0</v>
      </c>
      <c r="P678" t="n">
        <v>0</v>
      </c>
      <c r="Q678" t="n">
        <v>0</v>
      </c>
      <c r="R678" s="2" t="inlineStr"/>
    </row>
    <row r="679" ht="15" customHeight="1">
      <c r="A679" t="inlineStr">
        <is>
          <t>A 50447-2023</t>
        </is>
      </c>
      <c r="B679" s="1" t="n">
        <v>45216</v>
      </c>
      <c r="C679" s="1" t="n">
        <v>45511</v>
      </c>
      <c r="D679" t="inlineStr">
        <is>
          <t>DALARNAS LÄN</t>
        </is>
      </c>
      <c r="E679" t="inlineStr">
        <is>
          <t>LEKSAND</t>
        </is>
      </c>
      <c r="G679" t="n">
        <v>1.1</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v>
      </c>
      <c r="C680" s="1" t="n">
        <v>45511</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50553-2023</t>
        </is>
      </c>
      <c r="B681" s="1" t="n">
        <v>45217</v>
      </c>
      <c r="C681" s="1" t="n">
        <v>45511</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51090-2023</t>
        </is>
      </c>
      <c r="B682" s="1" t="n">
        <v>45218</v>
      </c>
      <c r="C682" s="1" t="n">
        <v>45511</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45511</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52801-2023</t>
        </is>
      </c>
      <c r="B684" s="1" t="n">
        <v>45219</v>
      </c>
      <c r="C684" s="1" t="n">
        <v>45511</v>
      </c>
      <c r="D684" t="inlineStr">
        <is>
          <t>DALARNAS LÄN</t>
        </is>
      </c>
      <c r="E684" t="inlineStr">
        <is>
          <t>LEKSAND</t>
        </is>
      </c>
      <c r="G684" t="n">
        <v>4.9</v>
      </c>
      <c r="H684" t="n">
        <v>0</v>
      </c>
      <c r="I684" t="n">
        <v>0</v>
      </c>
      <c r="J684" t="n">
        <v>0</v>
      </c>
      <c r="K684" t="n">
        <v>0</v>
      </c>
      <c r="L684" t="n">
        <v>0</v>
      </c>
      <c r="M684" t="n">
        <v>0</v>
      </c>
      <c r="N684" t="n">
        <v>0</v>
      </c>
      <c r="O684" t="n">
        <v>0</v>
      </c>
      <c r="P684" t="n">
        <v>0</v>
      </c>
      <c r="Q684" t="n">
        <v>0</v>
      </c>
      <c r="R684" s="2" t="inlineStr"/>
    </row>
    <row r="685" ht="15" customHeight="1">
      <c r="A685" t="inlineStr">
        <is>
          <t>A 52216-2023</t>
        </is>
      </c>
      <c r="B685" s="1" t="n">
        <v>45219</v>
      </c>
      <c r="C685" s="1" t="n">
        <v>45511</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51320-2023</t>
        </is>
      </c>
      <c r="B686" s="1" t="n">
        <v>45219</v>
      </c>
      <c r="C686" s="1" t="n">
        <v>45511</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51736-2023</t>
        </is>
      </c>
      <c r="B687" s="1" t="n">
        <v>45222</v>
      </c>
      <c r="C687" s="1" t="n">
        <v>45511</v>
      </c>
      <c r="D687" t="inlineStr">
        <is>
          <t>DALARNAS LÄN</t>
        </is>
      </c>
      <c r="E687" t="inlineStr">
        <is>
          <t>LEKSAND</t>
        </is>
      </c>
      <c r="G687" t="n">
        <v>2.8</v>
      </c>
      <c r="H687" t="n">
        <v>0</v>
      </c>
      <c r="I687" t="n">
        <v>0</v>
      </c>
      <c r="J687" t="n">
        <v>0</v>
      </c>
      <c r="K687" t="n">
        <v>0</v>
      </c>
      <c r="L687" t="n">
        <v>0</v>
      </c>
      <c r="M687" t="n">
        <v>0</v>
      </c>
      <c r="N687" t="n">
        <v>0</v>
      </c>
      <c r="O687" t="n">
        <v>0</v>
      </c>
      <c r="P687" t="n">
        <v>0</v>
      </c>
      <c r="Q687" t="n">
        <v>0</v>
      </c>
      <c r="R687" s="2" t="inlineStr"/>
    </row>
    <row r="688" ht="15" customHeight="1">
      <c r="A688" t="inlineStr">
        <is>
          <t>A 52959-2023</t>
        </is>
      </c>
      <c r="B688" s="1" t="n">
        <v>45222</v>
      </c>
      <c r="C688" s="1" t="n">
        <v>45511</v>
      </c>
      <c r="D688" t="inlineStr">
        <is>
          <t>DALARNAS LÄN</t>
        </is>
      </c>
      <c r="E688" t="inlineStr">
        <is>
          <t>LEKSAND</t>
        </is>
      </c>
      <c r="G688" t="n">
        <v>6.5</v>
      </c>
      <c r="H688" t="n">
        <v>0</v>
      </c>
      <c r="I688" t="n">
        <v>0</v>
      </c>
      <c r="J688" t="n">
        <v>0</v>
      </c>
      <c r="K688" t="n">
        <v>0</v>
      </c>
      <c r="L688" t="n">
        <v>0</v>
      </c>
      <c r="M688" t="n">
        <v>0</v>
      </c>
      <c r="N688" t="n">
        <v>0</v>
      </c>
      <c r="O688" t="n">
        <v>0</v>
      </c>
      <c r="P688" t="n">
        <v>0</v>
      </c>
      <c r="Q688" t="n">
        <v>0</v>
      </c>
      <c r="R688" s="2" t="inlineStr"/>
    </row>
    <row r="689" ht="15" customHeight="1">
      <c r="A689" t="inlineStr">
        <is>
          <t>A 52016-2023</t>
        </is>
      </c>
      <c r="B689" s="1" t="n">
        <v>45223</v>
      </c>
      <c r="C689" s="1" t="n">
        <v>45511</v>
      </c>
      <c r="D689" t="inlineStr">
        <is>
          <t>DALARNAS LÄN</t>
        </is>
      </c>
      <c r="E689" t="inlineStr">
        <is>
          <t>LEKSAND</t>
        </is>
      </c>
      <c r="F689" t="inlineStr">
        <is>
          <t>Bergvik skog väst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52732-2023</t>
        </is>
      </c>
      <c r="B690" s="1" t="n">
        <v>45226</v>
      </c>
      <c r="C690" s="1" t="n">
        <v>45511</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53120-2023</t>
        </is>
      </c>
      <c r="B691" s="1" t="n">
        <v>45228</v>
      </c>
      <c r="C691" s="1" t="n">
        <v>45511</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53122-2023</t>
        </is>
      </c>
      <c r="B692" s="1" t="n">
        <v>45228</v>
      </c>
      <c r="C692" s="1" t="n">
        <v>45511</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53248-2023</t>
        </is>
      </c>
      <c r="B693" s="1" t="n">
        <v>45229</v>
      </c>
      <c r="C693" s="1" t="n">
        <v>45511</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53128-2023</t>
        </is>
      </c>
      <c r="B694" s="1" t="n">
        <v>45229</v>
      </c>
      <c r="C694" s="1" t="n">
        <v>45511</v>
      </c>
      <c r="D694" t="inlineStr">
        <is>
          <t>DALARNAS LÄN</t>
        </is>
      </c>
      <c r="E694" t="inlineStr">
        <is>
          <t>LEKSAND</t>
        </is>
      </c>
      <c r="G694" t="n">
        <v>3.6</v>
      </c>
      <c r="H694" t="n">
        <v>0</v>
      </c>
      <c r="I694" t="n">
        <v>0</v>
      </c>
      <c r="J694" t="n">
        <v>0</v>
      </c>
      <c r="K694" t="n">
        <v>0</v>
      </c>
      <c r="L694" t="n">
        <v>0</v>
      </c>
      <c r="M694" t="n">
        <v>0</v>
      </c>
      <c r="N694" t="n">
        <v>0</v>
      </c>
      <c r="O694" t="n">
        <v>0</v>
      </c>
      <c r="P694" t="n">
        <v>0</v>
      </c>
      <c r="Q694" t="n">
        <v>0</v>
      </c>
      <c r="R694" s="2" t="inlineStr"/>
    </row>
    <row r="695" ht="15" customHeight="1">
      <c r="A695" t="inlineStr">
        <is>
          <t>A 53291-2023</t>
        </is>
      </c>
      <c r="B695" s="1" t="n">
        <v>45229</v>
      </c>
      <c r="C695" s="1" t="n">
        <v>45511</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53621-2023</t>
        </is>
      </c>
      <c r="B696" s="1" t="n">
        <v>45230</v>
      </c>
      <c r="C696" s="1" t="n">
        <v>45511</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53636-2023</t>
        </is>
      </c>
      <c r="B697" s="1" t="n">
        <v>45230</v>
      </c>
      <c r="C697" s="1" t="n">
        <v>45511</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53717-2023</t>
        </is>
      </c>
      <c r="B698" s="1" t="n">
        <v>45230</v>
      </c>
      <c r="C698" s="1" t="n">
        <v>45511</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55196-2023</t>
        </is>
      </c>
      <c r="B699" s="1" t="n">
        <v>45230</v>
      </c>
      <c r="C699" s="1" t="n">
        <v>45511</v>
      </c>
      <c r="D699" t="inlineStr">
        <is>
          <t>DALARNAS LÄN</t>
        </is>
      </c>
      <c r="E699" t="inlineStr">
        <is>
          <t>LEKSAND</t>
        </is>
      </c>
      <c r="G699" t="n">
        <v>5.7</v>
      </c>
      <c r="H699" t="n">
        <v>0</v>
      </c>
      <c r="I699" t="n">
        <v>0</v>
      </c>
      <c r="J699" t="n">
        <v>0</v>
      </c>
      <c r="K699" t="n">
        <v>0</v>
      </c>
      <c r="L699" t="n">
        <v>0</v>
      </c>
      <c r="M699" t="n">
        <v>0</v>
      </c>
      <c r="N699" t="n">
        <v>0</v>
      </c>
      <c r="O699" t="n">
        <v>0</v>
      </c>
      <c r="P699" t="n">
        <v>0</v>
      </c>
      <c r="Q699" t="n">
        <v>0</v>
      </c>
      <c r="R699" s="2" t="inlineStr"/>
    </row>
    <row r="700" ht="15" customHeight="1">
      <c r="A700" t="inlineStr">
        <is>
          <t>A 53799-2023</t>
        </is>
      </c>
      <c r="B700" s="1" t="n">
        <v>45231</v>
      </c>
      <c r="C700" s="1" t="n">
        <v>45511</v>
      </c>
      <c r="D700" t="inlineStr">
        <is>
          <t>DALARNAS LÄN</t>
        </is>
      </c>
      <c r="E700" t="inlineStr">
        <is>
          <t>LEKSAND</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53823-2023</t>
        </is>
      </c>
      <c r="B701" s="1" t="n">
        <v>45231</v>
      </c>
      <c r="C701" s="1" t="n">
        <v>45511</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53817-2023</t>
        </is>
      </c>
      <c r="B702" s="1" t="n">
        <v>45231</v>
      </c>
      <c r="C702" s="1" t="n">
        <v>45511</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54251-2023</t>
        </is>
      </c>
      <c r="B703" s="1" t="n">
        <v>45232</v>
      </c>
      <c r="C703" s="1" t="n">
        <v>45511</v>
      </c>
      <c r="D703" t="inlineStr">
        <is>
          <t>DALARNAS LÄN</t>
        </is>
      </c>
      <c r="E703" t="inlineStr">
        <is>
          <t>LEKSAND</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54289-2023</t>
        </is>
      </c>
      <c r="B704" s="1" t="n">
        <v>45232</v>
      </c>
      <c r="C704" s="1" t="n">
        <v>45511</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54682-2023</t>
        </is>
      </c>
      <c r="B705" s="1" t="n">
        <v>45235</v>
      </c>
      <c r="C705" s="1" t="n">
        <v>45511</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54690-2023</t>
        </is>
      </c>
      <c r="B706" s="1" t="n">
        <v>45236</v>
      </c>
      <c r="C706" s="1" t="n">
        <v>45511</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55418-2023</t>
        </is>
      </c>
      <c r="B707" s="1" t="n">
        <v>45238</v>
      </c>
      <c r="C707" s="1" t="n">
        <v>45511</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55438-2023</t>
        </is>
      </c>
      <c r="B708" s="1" t="n">
        <v>45238</v>
      </c>
      <c r="C708" s="1" t="n">
        <v>45511</v>
      </c>
      <c r="D708" t="inlineStr">
        <is>
          <t>DALARNAS LÄN</t>
        </is>
      </c>
      <c r="E708" t="inlineStr">
        <is>
          <t>LEKSAND</t>
        </is>
      </c>
      <c r="G708" t="n">
        <v>0.8</v>
      </c>
      <c r="H708" t="n">
        <v>0</v>
      </c>
      <c r="I708" t="n">
        <v>0</v>
      </c>
      <c r="J708" t="n">
        <v>0</v>
      </c>
      <c r="K708" t="n">
        <v>0</v>
      </c>
      <c r="L708" t="n">
        <v>0</v>
      </c>
      <c r="M708" t="n">
        <v>0</v>
      </c>
      <c r="N708" t="n">
        <v>0</v>
      </c>
      <c r="O708" t="n">
        <v>0</v>
      </c>
      <c r="P708" t="n">
        <v>0</v>
      </c>
      <c r="Q708" t="n">
        <v>0</v>
      </c>
      <c r="R708" s="2" t="inlineStr"/>
    </row>
    <row r="709" ht="15" customHeight="1">
      <c r="A709" t="inlineStr">
        <is>
          <t>A 55464-2023</t>
        </is>
      </c>
      <c r="B709" s="1" t="n">
        <v>45238</v>
      </c>
      <c r="C709" s="1" t="n">
        <v>45511</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55430-2023</t>
        </is>
      </c>
      <c r="B710" s="1" t="n">
        <v>45238</v>
      </c>
      <c r="C710" s="1" t="n">
        <v>45511</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56221-2023</t>
        </is>
      </c>
      <c r="B711" s="1" t="n">
        <v>45240</v>
      </c>
      <c r="C711" s="1" t="n">
        <v>45511</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56211-2023</t>
        </is>
      </c>
      <c r="B712" s="1" t="n">
        <v>45240</v>
      </c>
      <c r="C712" s="1" t="n">
        <v>45511</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56099-2023</t>
        </is>
      </c>
      <c r="B713" s="1" t="n">
        <v>45240</v>
      </c>
      <c r="C713" s="1" t="n">
        <v>45511</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56067-2023</t>
        </is>
      </c>
      <c r="B714" s="1" t="n">
        <v>45240</v>
      </c>
      <c r="C714" s="1" t="n">
        <v>45511</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56065-2023</t>
        </is>
      </c>
      <c r="B715" s="1" t="n">
        <v>45240</v>
      </c>
      <c r="C715" s="1" t="n">
        <v>45511</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56350-2023</t>
        </is>
      </c>
      <c r="B716" s="1" t="n">
        <v>45243</v>
      </c>
      <c r="C716" s="1" t="n">
        <v>45511</v>
      </c>
      <c r="D716" t="inlineStr">
        <is>
          <t>DALARNAS LÄN</t>
        </is>
      </c>
      <c r="E716" t="inlineStr">
        <is>
          <t>LEKSAND</t>
        </is>
      </c>
      <c r="G716" t="n">
        <v>4</v>
      </c>
      <c r="H716" t="n">
        <v>0</v>
      </c>
      <c r="I716" t="n">
        <v>0</v>
      </c>
      <c r="J716" t="n">
        <v>0</v>
      </c>
      <c r="K716" t="n">
        <v>0</v>
      </c>
      <c r="L716" t="n">
        <v>0</v>
      </c>
      <c r="M716" t="n">
        <v>0</v>
      </c>
      <c r="N716" t="n">
        <v>0</v>
      </c>
      <c r="O716" t="n">
        <v>0</v>
      </c>
      <c r="P716" t="n">
        <v>0</v>
      </c>
      <c r="Q716" t="n">
        <v>0</v>
      </c>
      <c r="R716" s="2" t="inlineStr"/>
    </row>
    <row r="717" ht="15" customHeight="1">
      <c r="A717" t="inlineStr">
        <is>
          <t>A 56632-2023</t>
        </is>
      </c>
      <c r="B717" s="1" t="n">
        <v>45243</v>
      </c>
      <c r="C717" s="1" t="n">
        <v>45511</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56753-2023</t>
        </is>
      </c>
      <c r="B718" s="1" t="n">
        <v>45244</v>
      </c>
      <c r="C718" s="1" t="n">
        <v>45511</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56810-2023</t>
        </is>
      </c>
      <c r="B719" s="1" t="n">
        <v>45244</v>
      </c>
      <c r="C719" s="1" t="n">
        <v>45511</v>
      </c>
      <c r="D719" t="inlineStr">
        <is>
          <t>DALARNAS LÄN</t>
        </is>
      </c>
      <c r="E719" t="inlineStr">
        <is>
          <t>LEKSAND</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56812-2023</t>
        </is>
      </c>
      <c r="B720" s="1" t="n">
        <v>45244</v>
      </c>
      <c r="C720" s="1" t="n">
        <v>45511</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57013-2023</t>
        </is>
      </c>
      <c r="B721" s="1" t="n">
        <v>45244</v>
      </c>
      <c r="C721" s="1" t="n">
        <v>45511</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57323-2023</t>
        </is>
      </c>
      <c r="B722" s="1" t="n">
        <v>45245</v>
      </c>
      <c r="C722" s="1" t="n">
        <v>45511</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57106-2023</t>
        </is>
      </c>
      <c r="B723" s="1" t="n">
        <v>45245</v>
      </c>
      <c r="C723" s="1" t="n">
        <v>45511</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57093-2023</t>
        </is>
      </c>
      <c r="B724" s="1" t="n">
        <v>45245</v>
      </c>
      <c r="C724" s="1" t="n">
        <v>45511</v>
      </c>
      <c r="D724" t="inlineStr">
        <is>
          <t>DALARNAS LÄN</t>
        </is>
      </c>
      <c r="E724" t="inlineStr">
        <is>
          <t>LEKSAND</t>
        </is>
      </c>
      <c r="G724" t="n">
        <v>3.3</v>
      </c>
      <c r="H724" t="n">
        <v>0</v>
      </c>
      <c r="I724" t="n">
        <v>0</v>
      </c>
      <c r="J724" t="n">
        <v>0</v>
      </c>
      <c r="K724" t="n">
        <v>0</v>
      </c>
      <c r="L724" t="n">
        <v>0</v>
      </c>
      <c r="M724" t="n">
        <v>0</v>
      </c>
      <c r="N724" t="n">
        <v>0</v>
      </c>
      <c r="O724" t="n">
        <v>0</v>
      </c>
      <c r="P724" t="n">
        <v>0</v>
      </c>
      <c r="Q724" t="n">
        <v>0</v>
      </c>
      <c r="R724" s="2" t="inlineStr"/>
    </row>
    <row r="725" ht="15" customHeight="1">
      <c r="A725" t="inlineStr">
        <is>
          <t>A 57468-2023</t>
        </is>
      </c>
      <c r="B725" s="1" t="n">
        <v>45246</v>
      </c>
      <c r="C725" s="1" t="n">
        <v>45511</v>
      </c>
      <c r="D725" t="inlineStr">
        <is>
          <t>DALARNAS LÄN</t>
        </is>
      </c>
      <c r="E725" t="inlineStr">
        <is>
          <t>LEKSAND</t>
        </is>
      </c>
      <c r="G725" t="n">
        <v>4.6</v>
      </c>
      <c r="H725" t="n">
        <v>0</v>
      </c>
      <c r="I725" t="n">
        <v>0</v>
      </c>
      <c r="J725" t="n">
        <v>0</v>
      </c>
      <c r="K725" t="n">
        <v>0</v>
      </c>
      <c r="L725" t="n">
        <v>0</v>
      </c>
      <c r="M725" t="n">
        <v>0</v>
      </c>
      <c r="N725" t="n">
        <v>0</v>
      </c>
      <c r="O725" t="n">
        <v>0</v>
      </c>
      <c r="P725" t="n">
        <v>0</v>
      </c>
      <c r="Q725" t="n">
        <v>0</v>
      </c>
      <c r="R725" s="2" t="inlineStr"/>
    </row>
    <row r="726" ht="15" customHeight="1">
      <c r="A726" t="inlineStr">
        <is>
          <t>A 57635-2023</t>
        </is>
      </c>
      <c r="B726" s="1" t="n">
        <v>45246</v>
      </c>
      <c r="C726" s="1" t="n">
        <v>45511</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57681-2023</t>
        </is>
      </c>
      <c r="B727" s="1" t="n">
        <v>45246</v>
      </c>
      <c r="C727" s="1" t="n">
        <v>45511</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57665-2023</t>
        </is>
      </c>
      <c r="B728" s="1" t="n">
        <v>45246</v>
      </c>
      <c r="C728" s="1" t="n">
        <v>45511</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57852-2023</t>
        </is>
      </c>
      <c r="B729" s="1" t="n">
        <v>45247</v>
      </c>
      <c r="C729" s="1" t="n">
        <v>45511</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58405-2023</t>
        </is>
      </c>
      <c r="B730" s="1" t="n">
        <v>45250</v>
      </c>
      <c r="C730" s="1" t="n">
        <v>45511</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58402-2023</t>
        </is>
      </c>
      <c r="B731" s="1" t="n">
        <v>45250</v>
      </c>
      <c r="C731" s="1" t="n">
        <v>45511</v>
      </c>
      <c r="D731" t="inlineStr">
        <is>
          <t>DALARNAS LÄN</t>
        </is>
      </c>
      <c r="E731" t="inlineStr">
        <is>
          <t>LEKSAND</t>
        </is>
      </c>
      <c r="G731" t="n">
        <v>4.5</v>
      </c>
      <c r="H731" t="n">
        <v>0</v>
      </c>
      <c r="I731" t="n">
        <v>0</v>
      </c>
      <c r="J731" t="n">
        <v>0</v>
      </c>
      <c r="K731" t="n">
        <v>0</v>
      </c>
      <c r="L731" t="n">
        <v>0</v>
      </c>
      <c r="M731" t="n">
        <v>0</v>
      </c>
      <c r="N731" t="n">
        <v>0</v>
      </c>
      <c r="O731" t="n">
        <v>0</v>
      </c>
      <c r="P731" t="n">
        <v>0</v>
      </c>
      <c r="Q731" t="n">
        <v>0</v>
      </c>
      <c r="R731" s="2" t="inlineStr"/>
    </row>
    <row r="732" ht="15" customHeight="1">
      <c r="A732" t="inlineStr">
        <is>
          <t>A 58495-2023</t>
        </is>
      </c>
      <c r="B732" s="1" t="n">
        <v>45251</v>
      </c>
      <c r="C732" s="1" t="n">
        <v>45511</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58730-2023</t>
        </is>
      </c>
      <c r="B733" s="1" t="n">
        <v>45251</v>
      </c>
      <c r="C733" s="1" t="n">
        <v>45511</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58877-2023</t>
        </is>
      </c>
      <c r="B734" s="1" t="n">
        <v>45252</v>
      </c>
      <c r="C734" s="1" t="n">
        <v>45511</v>
      </c>
      <c r="D734" t="inlineStr">
        <is>
          <t>DALARNAS LÄN</t>
        </is>
      </c>
      <c r="E734" t="inlineStr">
        <is>
          <t>LEKSAND</t>
        </is>
      </c>
      <c r="G734" t="n">
        <v>1.9</v>
      </c>
      <c r="H734" t="n">
        <v>0</v>
      </c>
      <c r="I734" t="n">
        <v>0</v>
      </c>
      <c r="J734" t="n">
        <v>0</v>
      </c>
      <c r="K734" t="n">
        <v>0</v>
      </c>
      <c r="L734" t="n">
        <v>0</v>
      </c>
      <c r="M734" t="n">
        <v>0</v>
      </c>
      <c r="N734" t="n">
        <v>0</v>
      </c>
      <c r="O734" t="n">
        <v>0</v>
      </c>
      <c r="P734" t="n">
        <v>0</v>
      </c>
      <c r="Q734" t="n">
        <v>0</v>
      </c>
      <c r="R734" s="2" t="inlineStr"/>
    </row>
    <row r="735" ht="15" customHeight="1">
      <c r="A735" t="inlineStr">
        <is>
          <t>A 58950-2023</t>
        </is>
      </c>
      <c r="B735" s="1" t="n">
        <v>45252</v>
      </c>
      <c r="C735" s="1" t="n">
        <v>45511</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58949-2023</t>
        </is>
      </c>
      <c r="B736" s="1" t="n">
        <v>45252</v>
      </c>
      <c r="C736" s="1" t="n">
        <v>45511</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59011-2023</t>
        </is>
      </c>
      <c r="B737" s="1" t="n">
        <v>45252</v>
      </c>
      <c r="C737" s="1" t="n">
        <v>45511</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58853-2023</t>
        </is>
      </c>
      <c r="B738" s="1" t="n">
        <v>45252</v>
      </c>
      <c r="C738" s="1" t="n">
        <v>45511</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58880-2023</t>
        </is>
      </c>
      <c r="B739" s="1" t="n">
        <v>45252</v>
      </c>
      <c r="C739" s="1" t="n">
        <v>45511</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59222-2023</t>
        </is>
      </c>
      <c r="B740" s="1" t="n">
        <v>45252</v>
      </c>
      <c r="C740" s="1" t="n">
        <v>45511</v>
      </c>
      <c r="D740" t="inlineStr">
        <is>
          <t>DALARNAS LÄN</t>
        </is>
      </c>
      <c r="E740" t="inlineStr">
        <is>
          <t>LEKSAND</t>
        </is>
      </c>
      <c r="G740" t="n">
        <v>1.7</v>
      </c>
      <c r="H740" t="n">
        <v>0</v>
      </c>
      <c r="I740" t="n">
        <v>0</v>
      </c>
      <c r="J740" t="n">
        <v>0</v>
      </c>
      <c r="K740" t="n">
        <v>0</v>
      </c>
      <c r="L740" t="n">
        <v>0</v>
      </c>
      <c r="M740" t="n">
        <v>0</v>
      </c>
      <c r="N740" t="n">
        <v>0</v>
      </c>
      <c r="O740" t="n">
        <v>0</v>
      </c>
      <c r="P740" t="n">
        <v>0</v>
      </c>
      <c r="Q740" t="n">
        <v>0</v>
      </c>
      <c r="R740" s="2" t="inlineStr"/>
    </row>
    <row r="741" ht="15" customHeight="1">
      <c r="A741" t="inlineStr">
        <is>
          <t>A 59392-2023</t>
        </is>
      </c>
      <c r="B741" s="1" t="n">
        <v>45253</v>
      </c>
      <c r="C741" s="1" t="n">
        <v>45511</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59562-2023</t>
        </is>
      </c>
      <c r="B742" s="1" t="n">
        <v>45253</v>
      </c>
      <c r="C742" s="1" t="n">
        <v>45511</v>
      </c>
      <c r="D742" t="inlineStr">
        <is>
          <t>DALARNAS LÄN</t>
        </is>
      </c>
      <c r="E742" t="inlineStr">
        <is>
          <t>LEKSAND</t>
        </is>
      </c>
      <c r="G742" t="n">
        <v>2.1</v>
      </c>
      <c r="H742" t="n">
        <v>0</v>
      </c>
      <c r="I742" t="n">
        <v>0</v>
      </c>
      <c r="J742" t="n">
        <v>0</v>
      </c>
      <c r="K742" t="n">
        <v>0</v>
      </c>
      <c r="L742" t="n">
        <v>0</v>
      </c>
      <c r="M742" t="n">
        <v>0</v>
      </c>
      <c r="N742" t="n">
        <v>0</v>
      </c>
      <c r="O742" t="n">
        <v>0</v>
      </c>
      <c r="P742" t="n">
        <v>0</v>
      </c>
      <c r="Q742" t="n">
        <v>0</v>
      </c>
      <c r="R742" s="2" t="inlineStr"/>
    </row>
    <row r="743" ht="15" customHeight="1">
      <c r="A743" t="inlineStr">
        <is>
          <t>A 59809-2023</t>
        </is>
      </c>
      <c r="B743" s="1" t="n">
        <v>45254</v>
      </c>
      <c r="C743" s="1" t="n">
        <v>45511</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59803-2023</t>
        </is>
      </c>
      <c r="B744" s="1" t="n">
        <v>45254</v>
      </c>
      <c r="C744" s="1" t="n">
        <v>45511</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59826-2023</t>
        </is>
      </c>
      <c r="B745" s="1" t="n">
        <v>45254</v>
      </c>
      <c r="C745" s="1" t="n">
        <v>45511</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59673-2023</t>
        </is>
      </c>
      <c r="B746" s="1" t="n">
        <v>45255</v>
      </c>
      <c r="C746" s="1" t="n">
        <v>45511</v>
      </c>
      <c r="D746" t="inlineStr">
        <is>
          <t>DALARNAS LÄN</t>
        </is>
      </c>
      <c r="E746" t="inlineStr">
        <is>
          <t>LEKSAND</t>
        </is>
      </c>
      <c r="G746" t="n">
        <v>12.2</v>
      </c>
      <c r="H746" t="n">
        <v>0</v>
      </c>
      <c r="I746" t="n">
        <v>0</v>
      </c>
      <c r="J746" t="n">
        <v>0</v>
      </c>
      <c r="K746" t="n">
        <v>0</v>
      </c>
      <c r="L746" t="n">
        <v>0</v>
      </c>
      <c r="M746" t="n">
        <v>0</v>
      </c>
      <c r="N746" t="n">
        <v>0</v>
      </c>
      <c r="O746" t="n">
        <v>0</v>
      </c>
      <c r="P746" t="n">
        <v>0</v>
      </c>
      <c r="Q746" t="n">
        <v>0</v>
      </c>
      <c r="R746" s="2" t="inlineStr"/>
    </row>
    <row r="747" ht="15" customHeight="1">
      <c r="A747" t="inlineStr">
        <is>
          <t>A 60042-2023</t>
        </is>
      </c>
      <c r="B747" s="1" t="n">
        <v>45256</v>
      </c>
      <c r="C747" s="1" t="n">
        <v>45511</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60040-2023</t>
        </is>
      </c>
      <c r="B748" s="1" t="n">
        <v>45256</v>
      </c>
      <c r="C748" s="1" t="n">
        <v>45511</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59718-2023</t>
        </is>
      </c>
      <c r="B749" s="1" t="n">
        <v>45257</v>
      </c>
      <c r="C749" s="1" t="n">
        <v>45511</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59763-2023</t>
        </is>
      </c>
      <c r="B750" s="1" t="n">
        <v>45257</v>
      </c>
      <c r="C750" s="1" t="n">
        <v>45511</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59859-2023</t>
        </is>
      </c>
      <c r="B751" s="1" t="n">
        <v>45257</v>
      </c>
      <c r="C751" s="1" t="n">
        <v>45511</v>
      </c>
      <c r="D751" t="inlineStr">
        <is>
          <t>DALARNAS LÄN</t>
        </is>
      </c>
      <c r="E751" t="inlineStr">
        <is>
          <t>LEKSAND</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60132-2023</t>
        </is>
      </c>
      <c r="B752" s="1" t="n">
        <v>45258</v>
      </c>
      <c r="C752" s="1" t="n">
        <v>45511</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60024-2023</t>
        </is>
      </c>
      <c r="B753" s="1" t="n">
        <v>45258</v>
      </c>
      <c r="C753" s="1" t="n">
        <v>45511</v>
      </c>
      <c r="D753" t="inlineStr">
        <is>
          <t>DALARNAS LÄN</t>
        </is>
      </c>
      <c r="E753" t="inlineStr">
        <is>
          <t>LEKSAND</t>
        </is>
      </c>
      <c r="G753" t="n">
        <v>4.2</v>
      </c>
      <c r="H753" t="n">
        <v>0</v>
      </c>
      <c r="I753" t="n">
        <v>0</v>
      </c>
      <c r="J753" t="n">
        <v>0</v>
      </c>
      <c r="K753" t="n">
        <v>0</v>
      </c>
      <c r="L753" t="n">
        <v>0</v>
      </c>
      <c r="M753" t="n">
        <v>0</v>
      </c>
      <c r="N753" t="n">
        <v>0</v>
      </c>
      <c r="O753" t="n">
        <v>0</v>
      </c>
      <c r="P753" t="n">
        <v>0</v>
      </c>
      <c r="Q753" t="n">
        <v>0</v>
      </c>
      <c r="R753" s="2" t="inlineStr"/>
    </row>
    <row r="754" ht="15" customHeight="1">
      <c r="A754" t="inlineStr">
        <is>
          <t>A 60028-2023</t>
        </is>
      </c>
      <c r="B754" s="1" t="n">
        <v>45258</v>
      </c>
      <c r="C754" s="1" t="n">
        <v>45511</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60044-2023</t>
        </is>
      </c>
      <c r="B755" s="1" t="n">
        <v>45258</v>
      </c>
      <c r="C755" s="1" t="n">
        <v>45511</v>
      </c>
      <c r="D755" t="inlineStr">
        <is>
          <t>DALARNAS LÄN</t>
        </is>
      </c>
      <c r="E755" t="inlineStr">
        <is>
          <t>LEKSAND</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60080-2023</t>
        </is>
      </c>
      <c r="B756" s="1" t="n">
        <v>45258</v>
      </c>
      <c r="C756" s="1" t="n">
        <v>45511</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60045-2023</t>
        </is>
      </c>
      <c r="B757" s="1" t="n">
        <v>45258</v>
      </c>
      <c r="C757" s="1" t="n">
        <v>45511</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60120-2023</t>
        </is>
      </c>
      <c r="B758" s="1" t="n">
        <v>45258</v>
      </c>
      <c r="C758" s="1" t="n">
        <v>45511</v>
      </c>
      <c r="D758" t="inlineStr">
        <is>
          <t>DALARNAS LÄN</t>
        </is>
      </c>
      <c r="E758" t="inlineStr">
        <is>
          <t>LEKSAND</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60129-2023</t>
        </is>
      </c>
      <c r="B759" s="1" t="n">
        <v>45258</v>
      </c>
      <c r="C759" s="1" t="n">
        <v>45511</v>
      </c>
      <c r="D759" t="inlineStr">
        <is>
          <t>DALARNAS LÄN</t>
        </is>
      </c>
      <c r="E759" t="inlineStr">
        <is>
          <t>LEKSAND</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60189-2023</t>
        </is>
      </c>
      <c r="B760" s="1" t="n">
        <v>45258</v>
      </c>
      <c r="C760" s="1" t="n">
        <v>45511</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60310-2023</t>
        </is>
      </c>
      <c r="B761" s="1" t="n">
        <v>45258</v>
      </c>
      <c r="C761" s="1" t="n">
        <v>45511</v>
      </c>
      <c r="D761" t="inlineStr">
        <is>
          <t>DALARNAS LÄN</t>
        </is>
      </c>
      <c r="E761" t="inlineStr">
        <is>
          <t>LEKSAND</t>
        </is>
      </c>
      <c r="G761" t="n">
        <v>4.9</v>
      </c>
      <c r="H761" t="n">
        <v>0</v>
      </c>
      <c r="I761" t="n">
        <v>0</v>
      </c>
      <c r="J761" t="n">
        <v>0</v>
      </c>
      <c r="K761" t="n">
        <v>0</v>
      </c>
      <c r="L761" t="n">
        <v>0</v>
      </c>
      <c r="M761" t="n">
        <v>0</v>
      </c>
      <c r="N761" t="n">
        <v>0</v>
      </c>
      <c r="O761" t="n">
        <v>0</v>
      </c>
      <c r="P761" t="n">
        <v>0</v>
      </c>
      <c r="Q761" t="n">
        <v>0</v>
      </c>
      <c r="R761" s="2" t="inlineStr"/>
    </row>
    <row r="762" ht="15" customHeight="1">
      <c r="A762" t="inlineStr">
        <is>
          <t>A 60309-2023</t>
        </is>
      </c>
      <c r="B762" s="1" t="n">
        <v>45258</v>
      </c>
      <c r="C762" s="1" t="n">
        <v>45511</v>
      </c>
      <c r="D762" t="inlineStr">
        <is>
          <t>DALARNAS LÄN</t>
        </is>
      </c>
      <c r="E762" t="inlineStr">
        <is>
          <t>LEKSAND</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60315-2023</t>
        </is>
      </c>
      <c r="B763" s="1" t="n">
        <v>45258</v>
      </c>
      <c r="C763" s="1" t="n">
        <v>45511</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60546-2023</t>
        </is>
      </c>
      <c r="B764" s="1" t="n">
        <v>45259</v>
      </c>
      <c r="C764" s="1" t="n">
        <v>45511</v>
      </c>
      <c r="D764" t="inlineStr">
        <is>
          <t>DALARNAS LÄN</t>
        </is>
      </c>
      <c r="E764" t="inlineStr">
        <is>
          <t>LEKSAND</t>
        </is>
      </c>
      <c r="G764" t="n">
        <v>6.6</v>
      </c>
      <c r="H764" t="n">
        <v>0</v>
      </c>
      <c r="I764" t="n">
        <v>0</v>
      </c>
      <c r="J764" t="n">
        <v>0</v>
      </c>
      <c r="K764" t="n">
        <v>0</v>
      </c>
      <c r="L764" t="n">
        <v>0</v>
      </c>
      <c r="M764" t="n">
        <v>0</v>
      </c>
      <c r="N764" t="n">
        <v>0</v>
      </c>
      <c r="O764" t="n">
        <v>0</v>
      </c>
      <c r="P764" t="n">
        <v>0</v>
      </c>
      <c r="Q764" t="n">
        <v>0</v>
      </c>
      <c r="R764" s="2" t="inlineStr"/>
    </row>
    <row r="765" ht="15" customHeight="1">
      <c r="A765" t="inlineStr">
        <is>
          <t>A 60878-2023</t>
        </is>
      </c>
      <c r="B765" s="1" t="n">
        <v>45259</v>
      </c>
      <c r="C765" s="1" t="n">
        <v>45511</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60692-2023</t>
        </is>
      </c>
      <c r="B766" s="1" t="n">
        <v>45260</v>
      </c>
      <c r="C766" s="1" t="n">
        <v>45511</v>
      </c>
      <c r="D766" t="inlineStr">
        <is>
          <t>DALARNAS LÄN</t>
        </is>
      </c>
      <c r="E766" t="inlineStr">
        <is>
          <t>LEKSAND</t>
        </is>
      </c>
      <c r="G766" t="n">
        <v>1.2</v>
      </c>
      <c r="H766" t="n">
        <v>0</v>
      </c>
      <c r="I766" t="n">
        <v>0</v>
      </c>
      <c r="J766" t="n">
        <v>0</v>
      </c>
      <c r="K766" t="n">
        <v>0</v>
      </c>
      <c r="L766" t="n">
        <v>0</v>
      </c>
      <c r="M766" t="n">
        <v>0</v>
      </c>
      <c r="N766" t="n">
        <v>0</v>
      </c>
      <c r="O766" t="n">
        <v>0</v>
      </c>
      <c r="P766" t="n">
        <v>0</v>
      </c>
      <c r="Q766" t="n">
        <v>0</v>
      </c>
      <c r="R766" s="2" t="inlineStr"/>
    </row>
    <row r="767" ht="15" customHeight="1">
      <c r="A767" t="inlineStr">
        <is>
          <t>A 60755-2023</t>
        </is>
      </c>
      <c r="B767" s="1" t="n">
        <v>45260</v>
      </c>
      <c r="C767" s="1" t="n">
        <v>45511</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61208-2023</t>
        </is>
      </c>
      <c r="B768" s="1" t="n">
        <v>45260</v>
      </c>
      <c r="C768" s="1" t="n">
        <v>45511</v>
      </c>
      <c r="D768" t="inlineStr">
        <is>
          <t>DALARNAS LÄN</t>
        </is>
      </c>
      <c r="E768" t="inlineStr">
        <is>
          <t>LEKSAND</t>
        </is>
      </c>
      <c r="G768" t="n">
        <v>1.7</v>
      </c>
      <c r="H768" t="n">
        <v>0</v>
      </c>
      <c r="I768" t="n">
        <v>0</v>
      </c>
      <c r="J768" t="n">
        <v>0</v>
      </c>
      <c r="K768" t="n">
        <v>0</v>
      </c>
      <c r="L768" t="n">
        <v>0</v>
      </c>
      <c r="M768" t="n">
        <v>0</v>
      </c>
      <c r="N768" t="n">
        <v>0</v>
      </c>
      <c r="O768" t="n">
        <v>0</v>
      </c>
      <c r="P768" t="n">
        <v>0</v>
      </c>
      <c r="Q768" t="n">
        <v>0</v>
      </c>
      <c r="R768" s="2" t="inlineStr"/>
    </row>
    <row r="769" ht="15" customHeight="1">
      <c r="A769" t="inlineStr">
        <is>
          <t>A 61244-2023</t>
        </is>
      </c>
      <c r="B769" s="1" t="n">
        <v>45260</v>
      </c>
      <c r="C769" s="1" t="n">
        <v>45511</v>
      </c>
      <c r="D769" t="inlineStr">
        <is>
          <t>DALARNAS LÄN</t>
        </is>
      </c>
      <c r="E769" t="inlineStr">
        <is>
          <t>LEKSAND</t>
        </is>
      </c>
      <c r="G769" t="n">
        <v>1.4</v>
      </c>
      <c r="H769" t="n">
        <v>0</v>
      </c>
      <c r="I769" t="n">
        <v>0</v>
      </c>
      <c r="J769" t="n">
        <v>0</v>
      </c>
      <c r="K769" t="n">
        <v>0</v>
      </c>
      <c r="L769" t="n">
        <v>0</v>
      </c>
      <c r="M769" t="n">
        <v>0</v>
      </c>
      <c r="N769" t="n">
        <v>0</v>
      </c>
      <c r="O769" t="n">
        <v>0</v>
      </c>
      <c r="P769" t="n">
        <v>0</v>
      </c>
      <c r="Q769" t="n">
        <v>0</v>
      </c>
      <c r="R769" s="2" t="inlineStr"/>
    </row>
    <row r="770" ht="15" customHeight="1">
      <c r="A770" t="inlineStr">
        <is>
          <t>A 60873-2023</t>
        </is>
      </c>
      <c r="B770" s="1" t="n">
        <v>45261</v>
      </c>
      <c r="C770" s="1" t="n">
        <v>45511</v>
      </c>
      <c r="D770" t="inlineStr">
        <is>
          <t>DALARNAS LÄN</t>
        </is>
      </c>
      <c r="E770" t="inlineStr">
        <is>
          <t>LEKSAND</t>
        </is>
      </c>
      <c r="G770" t="n">
        <v>5.2</v>
      </c>
      <c r="H770" t="n">
        <v>0</v>
      </c>
      <c r="I770" t="n">
        <v>0</v>
      </c>
      <c r="J770" t="n">
        <v>0</v>
      </c>
      <c r="K770" t="n">
        <v>0</v>
      </c>
      <c r="L770" t="n">
        <v>0</v>
      </c>
      <c r="M770" t="n">
        <v>0</v>
      </c>
      <c r="N770" t="n">
        <v>0</v>
      </c>
      <c r="O770" t="n">
        <v>0</v>
      </c>
      <c r="P770" t="n">
        <v>0</v>
      </c>
      <c r="Q770" t="n">
        <v>0</v>
      </c>
      <c r="R770" s="2" t="inlineStr"/>
    </row>
    <row r="771" ht="15" customHeight="1">
      <c r="A771" t="inlineStr">
        <is>
          <t>A 61052-2023</t>
        </is>
      </c>
      <c r="B771" s="1" t="n">
        <v>45261</v>
      </c>
      <c r="C771" s="1" t="n">
        <v>45511</v>
      </c>
      <c r="D771" t="inlineStr">
        <is>
          <t>DALARNAS LÄN</t>
        </is>
      </c>
      <c r="E771" t="inlineStr">
        <is>
          <t>LEKSAND</t>
        </is>
      </c>
      <c r="G771" t="n">
        <v>8.6</v>
      </c>
      <c r="H771" t="n">
        <v>0</v>
      </c>
      <c r="I771" t="n">
        <v>0</v>
      </c>
      <c r="J771" t="n">
        <v>0</v>
      </c>
      <c r="K771" t="n">
        <v>0</v>
      </c>
      <c r="L771" t="n">
        <v>0</v>
      </c>
      <c r="M771" t="n">
        <v>0</v>
      </c>
      <c r="N771" t="n">
        <v>0</v>
      </c>
      <c r="O771" t="n">
        <v>0</v>
      </c>
      <c r="P771" t="n">
        <v>0</v>
      </c>
      <c r="Q771" t="n">
        <v>0</v>
      </c>
      <c r="R771" s="2" t="inlineStr"/>
    </row>
    <row r="772" ht="15" customHeight="1">
      <c r="A772" t="inlineStr">
        <is>
          <t>A 61056-2023</t>
        </is>
      </c>
      <c r="B772" s="1" t="n">
        <v>45261</v>
      </c>
      <c r="C772" s="1" t="n">
        <v>45511</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61054-2023</t>
        </is>
      </c>
      <c r="B773" s="1" t="n">
        <v>45261</v>
      </c>
      <c r="C773" s="1" t="n">
        <v>45511</v>
      </c>
      <c r="D773" t="inlineStr">
        <is>
          <t>DALARNAS LÄN</t>
        </is>
      </c>
      <c r="E773" t="inlineStr">
        <is>
          <t>LEKSAND</t>
        </is>
      </c>
      <c r="G773" t="n">
        <v>0.4</v>
      </c>
      <c r="H773" t="n">
        <v>0</v>
      </c>
      <c r="I773" t="n">
        <v>0</v>
      </c>
      <c r="J773" t="n">
        <v>0</v>
      </c>
      <c r="K773" t="n">
        <v>0</v>
      </c>
      <c r="L773" t="n">
        <v>0</v>
      </c>
      <c r="M773" t="n">
        <v>0</v>
      </c>
      <c r="N773" t="n">
        <v>0</v>
      </c>
      <c r="O773" t="n">
        <v>0</v>
      </c>
      <c r="P773" t="n">
        <v>0</v>
      </c>
      <c r="Q773" t="n">
        <v>0</v>
      </c>
      <c r="R773" s="2" t="inlineStr"/>
    </row>
    <row r="774" ht="15" customHeight="1">
      <c r="A774" t="inlineStr">
        <is>
          <t>A 61055-2023</t>
        </is>
      </c>
      <c r="B774" s="1" t="n">
        <v>45261</v>
      </c>
      <c r="C774" s="1" t="n">
        <v>45511</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61252-2023</t>
        </is>
      </c>
      <c r="B775" s="1" t="n">
        <v>45261</v>
      </c>
      <c r="C775" s="1" t="n">
        <v>45511</v>
      </c>
      <c r="D775" t="inlineStr">
        <is>
          <t>DALARNAS LÄN</t>
        </is>
      </c>
      <c r="E775" t="inlineStr">
        <is>
          <t>LEKSAND</t>
        </is>
      </c>
      <c r="G775" t="n">
        <v>1.9</v>
      </c>
      <c r="H775" t="n">
        <v>0</v>
      </c>
      <c r="I775" t="n">
        <v>0</v>
      </c>
      <c r="J775" t="n">
        <v>0</v>
      </c>
      <c r="K775" t="n">
        <v>0</v>
      </c>
      <c r="L775" t="n">
        <v>0</v>
      </c>
      <c r="M775" t="n">
        <v>0</v>
      </c>
      <c r="N775" t="n">
        <v>0</v>
      </c>
      <c r="O775" t="n">
        <v>0</v>
      </c>
      <c r="P775" t="n">
        <v>0</v>
      </c>
      <c r="Q775" t="n">
        <v>0</v>
      </c>
      <c r="R775" s="2" t="inlineStr"/>
    </row>
    <row r="776" ht="15" customHeight="1">
      <c r="A776" t="inlineStr">
        <is>
          <t>A 61617-2023</t>
        </is>
      </c>
      <c r="B776" s="1" t="n">
        <v>45261</v>
      </c>
      <c r="C776" s="1" t="n">
        <v>45511</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61637-2023</t>
        </is>
      </c>
      <c r="B777" s="1" t="n">
        <v>45261</v>
      </c>
      <c r="C777" s="1" t="n">
        <v>45511</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61614-2023</t>
        </is>
      </c>
      <c r="B778" s="1" t="n">
        <v>45261</v>
      </c>
      <c r="C778" s="1" t="n">
        <v>45511</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61627-2023</t>
        </is>
      </c>
      <c r="B779" s="1" t="n">
        <v>45261</v>
      </c>
      <c r="C779" s="1" t="n">
        <v>45511</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61225-2023</t>
        </is>
      </c>
      <c r="B780" s="1" t="n">
        <v>45264</v>
      </c>
      <c r="C780" s="1" t="n">
        <v>45511</v>
      </c>
      <c r="D780" t="inlineStr">
        <is>
          <t>DALARNAS LÄN</t>
        </is>
      </c>
      <c r="E780" t="inlineStr">
        <is>
          <t>LEKSAND</t>
        </is>
      </c>
      <c r="G780" t="n">
        <v>7</v>
      </c>
      <c r="H780" t="n">
        <v>0</v>
      </c>
      <c r="I780" t="n">
        <v>0</v>
      </c>
      <c r="J780" t="n">
        <v>0</v>
      </c>
      <c r="K780" t="n">
        <v>0</v>
      </c>
      <c r="L780" t="n">
        <v>0</v>
      </c>
      <c r="M780" t="n">
        <v>0</v>
      </c>
      <c r="N780" t="n">
        <v>0</v>
      </c>
      <c r="O780" t="n">
        <v>0</v>
      </c>
      <c r="P780" t="n">
        <v>0</v>
      </c>
      <c r="Q780" t="n">
        <v>0</v>
      </c>
      <c r="R780" s="2" t="inlineStr"/>
    </row>
    <row r="781" ht="15" customHeight="1">
      <c r="A781" t="inlineStr">
        <is>
          <t>A 61502-2023</t>
        </is>
      </c>
      <c r="B781" s="1" t="n">
        <v>45264</v>
      </c>
      <c r="C781" s="1" t="n">
        <v>45511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61652-2023</t>
        </is>
      </c>
      <c r="B782" s="1" t="n">
        <v>45265</v>
      </c>
      <c r="C782" s="1" t="n">
        <v>45511</v>
      </c>
      <c r="D782" t="inlineStr">
        <is>
          <t>DALARNAS LÄN</t>
        </is>
      </c>
      <c r="E782" t="inlineStr">
        <is>
          <t>LEKSAND</t>
        </is>
      </c>
      <c r="G782" t="n">
        <v>1.1</v>
      </c>
      <c r="H782" t="n">
        <v>0</v>
      </c>
      <c r="I782" t="n">
        <v>0</v>
      </c>
      <c r="J782" t="n">
        <v>0</v>
      </c>
      <c r="K782" t="n">
        <v>0</v>
      </c>
      <c r="L782" t="n">
        <v>0</v>
      </c>
      <c r="M782" t="n">
        <v>0</v>
      </c>
      <c r="N782" t="n">
        <v>0</v>
      </c>
      <c r="O782" t="n">
        <v>0</v>
      </c>
      <c r="P782" t="n">
        <v>0</v>
      </c>
      <c r="Q782" t="n">
        <v>0</v>
      </c>
      <c r="R782" s="2" t="inlineStr"/>
    </row>
    <row r="783" ht="15" customHeight="1">
      <c r="A783" t="inlineStr">
        <is>
          <t>A 61598-2023</t>
        </is>
      </c>
      <c r="B783" s="1" t="n">
        <v>45265</v>
      </c>
      <c r="C783" s="1" t="n">
        <v>45511</v>
      </c>
      <c r="D783" t="inlineStr">
        <is>
          <t>DALARNAS LÄN</t>
        </is>
      </c>
      <c r="E783" t="inlineStr">
        <is>
          <t>LEKSAND</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61633-2023</t>
        </is>
      </c>
      <c r="B784" s="1" t="n">
        <v>45265</v>
      </c>
      <c r="C784" s="1" t="n">
        <v>45511</v>
      </c>
      <c r="D784" t="inlineStr">
        <is>
          <t>DALARNAS LÄN</t>
        </is>
      </c>
      <c r="E784" t="inlineStr">
        <is>
          <t>LEKSAND</t>
        </is>
      </c>
      <c r="G784" t="n">
        <v>5.3</v>
      </c>
      <c r="H784" t="n">
        <v>0</v>
      </c>
      <c r="I784" t="n">
        <v>0</v>
      </c>
      <c r="J784" t="n">
        <v>0</v>
      </c>
      <c r="K784" t="n">
        <v>0</v>
      </c>
      <c r="L784" t="n">
        <v>0</v>
      </c>
      <c r="M784" t="n">
        <v>0</v>
      </c>
      <c r="N784" t="n">
        <v>0</v>
      </c>
      <c r="O784" t="n">
        <v>0</v>
      </c>
      <c r="P784" t="n">
        <v>0</v>
      </c>
      <c r="Q784" t="n">
        <v>0</v>
      </c>
      <c r="R784" s="2" t="inlineStr"/>
    </row>
    <row r="785" ht="15" customHeight="1">
      <c r="A785" t="inlineStr">
        <is>
          <t>A 61910-2023</t>
        </is>
      </c>
      <c r="B785" s="1" t="n">
        <v>45266</v>
      </c>
      <c r="C785" s="1" t="n">
        <v>45511</v>
      </c>
      <c r="D785" t="inlineStr">
        <is>
          <t>DALARNAS LÄN</t>
        </is>
      </c>
      <c r="E785" t="inlineStr">
        <is>
          <t>LEKSAND</t>
        </is>
      </c>
      <c r="G785" t="n">
        <v>7.3</v>
      </c>
      <c r="H785" t="n">
        <v>0</v>
      </c>
      <c r="I785" t="n">
        <v>0</v>
      </c>
      <c r="J785" t="n">
        <v>0</v>
      </c>
      <c r="K785" t="n">
        <v>0</v>
      </c>
      <c r="L785" t="n">
        <v>0</v>
      </c>
      <c r="M785" t="n">
        <v>0</v>
      </c>
      <c r="N785" t="n">
        <v>0</v>
      </c>
      <c r="O785" t="n">
        <v>0</v>
      </c>
      <c r="P785" t="n">
        <v>0</v>
      </c>
      <c r="Q785" t="n">
        <v>0</v>
      </c>
      <c r="R785" s="2" t="inlineStr"/>
    </row>
    <row r="786" ht="15" customHeight="1">
      <c r="A786" t="inlineStr">
        <is>
          <t>A 61933-2023</t>
        </is>
      </c>
      <c r="B786" s="1" t="n">
        <v>45266</v>
      </c>
      <c r="C786" s="1" t="n">
        <v>45511</v>
      </c>
      <c r="D786" t="inlineStr">
        <is>
          <t>DALARNAS LÄN</t>
        </is>
      </c>
      <c r="E786" t="inlineStr">
        <is>
          <t>LEKSAND</t>
        </is>
      </c>
      <c r="G786" t="n">
        <v>0.2</v>
      </c>
      <c r="H786" t="n">
        <v>0</v>
      </c>
      <c r="I786" t="n">
        <v>0</v>
      </c>
      <c r="J786" t="n">
        <v>0</v>
      </c>
      <c r="K786" t="n">
        <v>0</v>
      </c>
      <c r="L786" t="n">
        <v>0</v>
      </c>
      <c r="M786" t="n">
        <v>0</v>
      </c>
      <c r="N786" t="n">
        <v>0</v>
      </c>
      <c r="O786" t="n">
        <v>0</v>
      </c>
      <c r="P786" t="n">
        <v>0</v>
      </c>
      <c r="Q786" t="n">
        <v>0</v>
      </c>
      <c r="R786" s="2" t="inlineStr"/>
    </row>
    <row r="787" ht="15" customHeight="1">
      <c r="A787" t="inlineStr">
        <is>
          <t>A 61953-2023</t>
        </is>
      </c>
      <c r="B787" s="1" t="n">
        <v>45266</v>
      </c>
      <c r="C787" s="1" t="n">
        <v>45511</v>
      </c>
      <c r="D787" t="inlineStr">
        <is>
          <t>DALARNAS LÄN</t>
        </is>
      </c>
      <c r="E787" t="inlineStr">
        <is>
          <t>LEKSAND</t>
        </is>
      </c>
      <c r="G787" t="n">
        <v>0.1</v>
      </c>
      <c r="H787" t="n">
        <v>0</v>
      </c>
      <c r="I787" t="n">
        <v>0</v>
      </c>
      <c r="J787" t="n">
        <v>0</v>
      </c>
      <c r="K787" t="n">
        <v>0</v>
      </c>
      <c r="L787" t="n">
        <v>0</v>
      </c>
      <c r="M787" t="n">
        <v>0</v>
      </c>
      <c r="N787" t="n">
        <v>0</v>
      </c>
      <c r="O787" t="n">
        <v>0</v>
      </c>
      <c r="P787" t="n">
        <v>0</v>
      </c>
      <c r="Q787" t="n">
        <v>0</v>
      </c>
      <c r="R787" s="2" t="inlineStr"/>
    </row>
    <row r="788" ht="15" customHeight="1">
      <c r="A788" t="inlineStr">
        <is>
          <t>A 61957-2023</t>
        </is>
      </c>
      <c r="B788" s="1" t="n">
        <v>45266</v>
      </c>
      <c r="C788" s="1" t="n">
        <v>45511</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61938-2023</t>
        </is>
      </c>
      <c r="B789" s="1" t="n">
        <v>45266</v>
      </c>
      <c r="C789" s="1" t="n">
        <v>45511</v>
      </c>
      <c r="D789" t="inlineStr">
        <is>
          <t>DALARNAS LÄN</t>
        </is>
      </c>
      <c r="E789" t="inlineStr">
        <is>
          <t>LEKSAND</t>
        </is>
      </c>
      <c r="G789" t="n">
        <v>1.3</v>
      </c>
      <c r="H789" t="n">
        <v>0</v>
      </c>
      <c r="I789" t="n">
        <v>0</v>
      </c>
      <c r="J789" t="n">
        <v>0</v>
      </c>
      <c r="K789" t="n">
        <v>0</v>
      </c>
      <c r="L789" t="n">
        <v>0</v>
      </c>
      <c r="M789" t="n">
        <v>0</v>
      </c>
      <c r="N789" t="n">
        <v>0</v>
      </c>
      <c r="O789" t="n">
        <v>0</v>
      </c>
      <c r="P789" t="n">
        <v>0</v>
      </c>
      <c r="Q789" t="n">
        <v>0</v>
      </c>
      <c r="R789" s="2" t="inlineStr"/>
    </row>
    <row r="790" ht="15" customHeight="1">
      <c r="A790" t="inlineStr">
        <is>
          <t>A 61950-2023</t>
        </is>
      </c>
      <c r="B790" s="1" t="n">
        <v>45266</v>
      </c>
      <c r="C790" s="1" t="n">
        <v>45511</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61884-2023</t>
        </is>
      </c>
      <c r="B791" s="1" t="n">
        <v>45266</v>
      </c>
      <c r="C791" s="1" t="n">
        <v>45511</v>
      </c>
      <c r="D791" t="inlineStr">
        <is>
          <t>DALARNAS LÄN</t>
        </is>
      </c>
      <c r="E791" t="inlineStr">
        <is>
          <t>LEKSAND</t>
        </is>
      </c>
      <c r="G791" t="n">
        <v>4.4</v>
      </c>
      <c r="H791" t="n">
        <v>0</v>
      </c>
      <c r="I791" t="n">
        <v>0</v>
      </c>
      <c r="J791" t="n">
        <v>0</v>
      </c>
      <c r="K791" t="n">
        <v>0</v>
      </c>
      <c r="L791" t="n">
        <v>0</v>
      </c>
      <c r="M791" t="n">
        <v>0</v>
      </c>
      <c r="N791" t="n">
        <v>0</v>
      </c>
      <c r="O791" t="n">
        <v>0</v>
      </c>
      <c r="P791" t="n">
        <v>0</v>
      </c>
      <c r="Q791" t="n">
        <v>0</v>
      </c>
      <c r="R791" s="2" t="inlineStr"/>
    </row>
    <row r="792" ht="15" customHeight="1">
      <c r="A792" t="inlineStr">
        <is>
          <t>A 62306-2023</t>
        </is>
      </c>
      <c r="B792" s="1" t="n">
        <v>45266</v>
      </c>
      <c r="C792" s="1" t="n">
        <v>45511</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62307-2023</t>
        </is>
      </c>
      <c r="B793" s="1" t="n">
        <v>45266</v>
      </c>
      <c r="C793" s="1" t="n">
        <v>45511</v>
      </c>
      <c r="D793" t="inlineStr">
        <is>
          <t>DALARNAS LÄN</t>
        </is>
      </c>
      <c r="E793" t="inlineStr">
        <is>
          <t>LEKSAND</t>
        </is>
      </c>
      <c r="G793" t="n">
        <v>3.9</v>
      </c>
      <c r="H793" t="n">
        <v>0</v>
      </c>
      <c r="I793" t="n">
        <v>0</v>
      </c>
      <c r="J793" t="n">
        <v>0</v>
      </c>
      <c r="K793" t="n">
        <v>0</v>
      </c>
      <c r="L793" t="n">
        <v>0</v>
      </c>
      <c r="M793" t="n">
        <v>0</v>
      </c>
      <c r="N793" t="n">
        <v>0</v>
      </c>
      <c r="O793" t="n">
        <v>0</v>
      </c>
      <c r="P793" t="n">
        <v>0</v>
      </c>
      <c r="Q793" t="n">
        <v>0</v>
      </c>
      <c r="R793" s="2" t="inlineStr"/>
    </row>
    <row r="794" ht="15" customHeight="1">
      <c r="A794" t="inlineStr">
        <is>
          <t>A 62133-2023</t>
        </is>
      </c>
      <c r="B794" s="1" t="n">
        <v>45267</v>
      </c>
      <c r="C794" s="1" t="n">
        <v>45511</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62295-2023</t>
        </is>
      </c>
      <c r="B795" s="1" t="n">
        <v>45267</v>
      </c>
      <c r="C795" s="1" t="n">
        <v>45511</v>
      </c>
      <c r="D795" t="inlineStr">
        <is>
          <t>DALARNAS LÄN</t>
        </is>
      </c>
      <c r="E795" t="inlineStr">
        <is>
          <t>LEKSAND</t>
        </is>
      </c>
      <c r="G795" t="n">
        <v>2.5</v>
      </c>
      <c r="H795" t="n">
        <v>0</v>
      </c>
      <c r="I795" t="n">
        <v>0</v>
      </c>
      <c r="J795" t="n">
        <v>0</v>
      </c>
      <c r="K795" t="n">
        <v>0</v>
      </c>
      <c r="L795" t="n">
        <v>0</v>
      </c>
      <c r="M795" t="n">
        <v>0</v>
      </c>
      <c r="N795" t="n">
        <v>0</v>
      </c>
      <c r="O795" t="n">
        <v>0</v>
      </c>
      <c r="P795" t="n">
        <v>0</v>
      </c>
      <c r="Q795" t="n">
        <v>0</v>
      </c>
      <c r="R795" s="2" t="inlineStr"/>
    </row>
    <row r="796" ht="15" customHeight="1">
      <c r="A796" t="inlineStr">
        <is>
          <t>A 62305-2023</t>
        </is>
      </c>
      <c r="B796" s="1" t="n">
        <v>45267</v>
      </c>
      <c r="C796" s="1" t="n">
        <v>45511</v>
      </c>
      <c r="D796" t="inlineStr">
        <is>
          <t>DALARNAS LÄN</t>
        </is>
      </c>
      <c r="E796" t="inlineStr">
        <is>
          <t>LEKSAND</t>
        </is>
      </c>
      <c r="G796" t="n">
        <v>0.9</v>
      </c>
      <c r="H796" t="n">
        <v>0</v>
      </c>
      <c r="I796" t="n">
        <v>0</v>
      </c>
      <c r="J796" t="n">
        <v>0</v>
      </c>
      <c r="K796" t="n">
        <v>0</v>
      </c>
      <c r="L796" t="n">
        <v>0</v>
      </c>
      <c r="M796" t="n">
        <v>0</v>
      </c>
      <c r="N796" t="n">
        <v>0</v>
      </c>
      <c r="O796" t="n">
        <v>0</v>
      </c>
      <c r="P796" t="n">
        <v>0</v>
      </c>
      <c r="Q796" t="n">
        <v>0</v>
      </c>
      <c r="R796" s="2" t="inlineStr"/>
    </row>
    <row r="797" ht="15" customHeight="1">
      <c r="A797" t="inlineStr">
        <is>
          <t>A 62587-2023</t>
        </is>
      </c>
      <c r="B797" s="1" t="n">
        <v>45270</v>
      </c>
      <c r="C797" s="1" t="n">
        <v>45511</v>
      </c>
      <c r="D797" t="inlineStr">
        <is>
          <t>DALARNAS LÄN</t>
        </is>
      </c>
      <c r="E797" t="inlineStr">
        <is>
          <t>LEKSAND</t>
        </is>
      </c>
      <c r="G797" t="n">
        <v>4.8</v>
      </c>
      <c r="H797" t="n">
        <v>0</v>
      </c>
      <c r="I797" t="n">
        <v>0</v>
      </c>
      <c r="J797" t="n">
        <v>0</v>
      </c>
      <c r="K797" t="n">
        <v>0</v>
      </c>
      <c r="L797" t="n">
        <v>0</v>
      </c>
      <c r="M797" t="n">
        <v>0</v>
      </c>
      <c r="N797" t="n">
        <v>0</v>
      </c>
      <c r="O797" t="n">
        <v>0</v>
      </c>
      <c r="P797" t="n">
        <v>0</v>
      </c>
      <c r="Q797" t="n">
        <v>0</v>
      </c>
      <c r="R797" s="2" t="inlineStr"/>
    </row>
    <row r="798" ht="15" customHeight="1">
      <c r="A798" t="inlineStr">
        <is>
          <t>A 62863-2023</t>
        </is>
      </c>
      <c r="B798" s="1" t="n">
        <v>45272</v>
      </c>
      <c r="C798" s="1" t="n">
        <v>45511</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62993-2023</t>
        </is>
      </c>
      <c r="B799" s="1" t="n">
        <v>45272</v>
      </c>
      <c r="C799" s="1" t="n">
        <v>45511</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63105-2023</t>
        </is>
      </c>
      <c r="B800" s="1" t="n">
        <v>45273</v>
      </c>
      <c r="C800" s="1" t="n">
        <v>45511</v>
      </c>
      <c r="D800" t="inlineStr">
        <is>
          <t>DALARNAS LÄN</t>
        </is>
      </c>
      <c r="E800" t="inlineStr">
        <is>
          <t>LEKSAND</t>
        </is>
      </c>
      <c r="G800" t="n">
        <v>3.7</v>
      </c>
      <c r="H800" t="n">
        <v>0</v>
      </c>
      <c r="I800" t="n">
        <v>0</v>
      </c>
      <c r="J800" t="n">
        <v>0</v>
      </c>
      <c r="K800" t="n">
        <v>0</v>
      </c>
      <c r="L800" t="n">
        <v>0</v>
      </c>
      <c r="M800" t="n">
        <v>0</v>
      </c>
      <c r="N800" t="n">
        <v>0</v>
      </c>
      <c r="O800" t="n">
        <v>0</v>
      </c>
      <c r="P800" t="n">
        <v>0</v>
      </c>
      <c r="Q800" t="n">
        <v>0</v>
      </c>
      <c r="R800" s="2" t="inlineStr"/>
    </row>
    <row r="801" ht="15" customHeight="1">
      <c r="A801" t="inlineStr">
        <is>
          <t>A 63107-2023</t>
        </is>
      </c>
      <c r="B801" s="1" t="n">
        <v>45273</v>
      </c>
      <c r="C801" s="1" t="n">
        <v>45511</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63514-2023</t>
        </is>
      </c>
      <c r="B802" s="1" t="n">
        <v>45274</v>
      </c>
      <c r="C802" s="1" t="n">
        <v>45511</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63513-2023</t>
        </is>
      </c>
      <c r="B803" s="1" t="n">
        <v>45274</v>
      </c>
      <c r="C803" s="1" t="n">
        <v>45511</v>
      </c>
      <c r="D803" t="inlineStr">
        <is>
          <t>DALARNAS LÄN</t>
        </is>
      </c>
      <c r="E803" t="inlineStr">
        <is>
          <t>LEKSAND</t>
        </is>
      </c>
      <c r="G803" t="n">
        <v>2.3</v>
      </c>
      <c r="H803" t="n">
        <v>0</v>
      </c>
      <c r="I803" t="n">
        <v>0</v>
      </c>
      <c r="J803" t="n">
        <v>0</v>
      </c>
      <c r="K803" t="n">
        <v>0</v>
      </c>
      <c r="L803" t="n">
        <v>0</v>
      </c>
      <c r="M803" t="n">
        <v>0</v>
      </c>
      <c r="N803" t="n">
        <v>0</v>
      </c>
      <c r="O803" t="n">
        <v>0</v>
      </c>
      <c r="P803" t="n">
        <v>0</v>
      </c>
      <c r="Q803" t="n">
        <v>0</v>
      </c>
      <c r="R803" s="2" t="inlineStr"/>
    </row>
    <row r="804" ht="15" customHeight="1">
      <c r="A804" t="inlineStr">
        <is>
          <t>A 63544-2023</t>
        </is>
      </c>
      <c r="B804" s="1" t="n">
        <v>45275</v>
      </c>
      <c r="C804" s="1" t="n">
        <v>45511</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63548-2023</t>
        </is>
      </c>
      <c r="B805" s="1" t="n">
        <v>45275</v>
      </c>
      <c r="C805" s="1" t="n">
        <v>45511</v>
      </c>
      <c r="D805" t="inlineStr">
        <is>
          <t>DALARNAS LÄN</t>
        </is>
      </c>
      <c r="E805" t="inlineStr">
        <is>
          <t>LEKSAND</t>
        </is>
      </c>
      <c r="G805" t="n">
        <v>1.7</v>
      </c>
      <c r="H805" t="n">
        <v>0</v>
      </c>
      <c r="I805" t="n">
        <v>0</v>
      </c>
      <c r="J805" t="n">
        <v>0</v>
      </c>
      <c r="K805" t="n">
        <v>0</v>
      </c>
      <c r="L805" t="n">
        <v>0</v>
      </c>
      <c r="M805" t="n">
        <v>0</v>
      </c>
      <c r="N805" t="n">
        <v>0</v>
      </c>
      <c r="O805" t="n">
        <v>0</v>
      </c>
      <c r="P805" t="n">
        <v>0</v>
      </c>
      <c r="Q805" t="n">
        <v>0</v>
      </c>
      <c r="R805" s="2" t="inlineStr"/>
    </row>
    <row r="806" ht="15" customHeight="1">
      <c r="A806" t="inlineStr">
        <is>
          <t>A 64146-2023</t>
        </is>
      </c>
      <c r="B806" s="1" t="n">
        <v>45279</v>
      </c>
      <c r="C806" s="1" t="n">
        <v>45511</v>
      </c>
      <c r="D806" t="inlineStr">
        <is>
          <t>DALARNAS LÄN</t>
        </is>
      </c>
      <c r="E806" t="inlineStr">
        <is>
          <t>LEKSAND</t>
        </is>
      </c>
      <c r="G806" t="n">
        <v>4.3</v>
      </c>
      <c r="H806" t="n">
        <v>0</v>
      </c>
      <c r="I806" t="n">
        <v>0</v>
      </c>
      <c r="J806" t="n">
        <v>0</v>
      </c>
      <c r="K806" t="n">
        <v>0</v>
      </c>
      <c r="L806" t="n">
        <v>0</v>
      </c>
      <c r="M806" t="n">
        <v>0</v>
      </c>
      <c r="N806" t="n">
        <v>0</v>
      </c>
      <c r="O806" t="n">
        <v>0</v>
      </c>
      <c r="P806" t="n">
        <v>0</v>
      </c>
      <c r="Q806" t="n">
        <v>0</v>
      </c>
      <c r="R806" s="2" t="inlineStr"/>
    </row>
    <row r="807" ht="15" customHeight="1">
      <c r="A807" t="inlineStr">
        <is>
          <t>A 64418-2023</t>
        </is>
      </c>
      <c r="B807" s="1" t="n">
        <v>45280</v>
      </c>
      <c r="C807" s="1" t="n">
        <v>45511</v>
      </c>
      <c r="D807" t="inlineStr">
        <is>
          <t>DALARNAS LÄN</t>
        </is>
      </c>
      <c r="E807" t="inlineStr">
        <is>
          <t>LEKSAND</t>
        </is>
      </c>
      <c r="G807" t="n">
        <v>3.4</v>
      </c>
      <c r="H807" t="n">
        <v>0</v>
      </c>
      <c r="I807" t="n">
        <v>0</v>
      </c>
      <c r="J807" t="n">
        <v>0</v>
      </c>
      <c r="K807" t="n">
        <v>0</v>
      </c>
      <c r="L807" t="n">
        <v>0</v>
      </c>
      <c r="M807" t="n">
        <v>0</v>
      </c>
      <c r="N807" t="n">
        <v>0</v>
      </c>
      <c r="O807" t="n">
        <v>0</v>
      </c>
      <c r="P807" t="n">
        <v>0</v>
      </c>
      <c r="Q807" t="n">
        <v>0</v>
      </c>
      <c r="R807" s="2" t="inlineStr"/>
    </row>
    <row r="808" ht="15" customHeight="1">
      <c r="A808" t="inlineStr">
        <is>
          <t>A 64516-2023</t>
        </is>
      </c>
      <c r="B808" s="1" t="n">
        <v>45280</v>
      </c>
      <c r="C808" s="1" t="n">
        <v>45511</v>
      </c>
      <c r="D808" t="inlineStr">
        <is>
          <t>DALARNAS LÄN</t>
        </is>
      </c>
      <c r="E808" t="inlineStr">
        <is>
          <t>LEKSAND</t>
        </is>
      </c>
      <c r="G808" t="n">
        <v>4.4</v>
      </c>
      <c r="H808" t="n">
        <v>0</v>
      </c>
      <c r="I808" t="n">
        <v>0</v>
      </c>
      <c r="J808" t="n">
        <v>0</v>
      </c>
      <c r="K808" t="n">
        <v>0</v>
      </c>
      <c r="L808" t="n">
        <v>0</v>
      </c>
      <c r="M808" t="n">
        <v>0</v>
      </c>
      <c r="N808" t="n">
        <v>0</v>
      </c>
      <c r="O808" t="n">
        <v>0</v>
      </c>
      <c r="P808" t="n">
        <v>0</v>
      </c>
      <c r="Q808" t="n">
        <v>0</v>
      </c>
      <c r="R808" s="2" t="inlineStr"/>
    </row>
    <row r="809" ht="15" customHeight="1">
      <c r="A809" t="inlineStr">
        <is>
          <t>A 64515-2023</t>
        </is>
      </c>
      <c r="B809" s="1" t="n">
        <v>45280</v>
      </c>
      <c r="C809" s="1" t="n">
        <v>45511</v>
      </c>
      <c r="D809" t="inlineStr">
        <is>
          <t>DALARNAS LÄN</t>
        </is>
      </c>
      <c r="E809" t="inlineStr">
        <is>
          <t>LEKSAND</t>
        </is>
      </c>
      <c r="G809" t="n">
        <v>9.1</v>
      </c>
      <c r="H809" t="n">
        <v>0</v>
      </c>
      <c r="I809" t="n">
        <v>0</v>
      </c>
      <c r="J809" t="n">
        <v>0</v>
      </c>
      <c r="K809" t="n">
        <v>0</v>
      </c>
      <c r="L809" t="n">
        <v>0</v>
      </c>
      <c r="M809" t="n">
        <v>0</v>
      </c>
      <c r="N809" t="n">
        <v>0</v>
      </c>
      <c r="O809" t="n">
        <v>0</v>
      </c>
      <c r="P809" t="n">
        <v>0</v>
      </c>
      <c r="Q809" t="n">
        <v>0</v>
      </c>
      <c r="R809" s="2" t="inlineStr"/>
    </row>
    <row r="810" ht="15" customHeight="1">
      <c r="A810" t="inlineStr">
        <is>
          <t>A 64677-2023</t>
        </is>
      </c>
      <c r="B810" s="1" t="n">
        <v>45281</v>
      </c>
      <c r="C810" s="1" t="n">
        <v>45511</v>
      </c>
      <c r="D810" t="inlineStr">
        <is>
          <t>DALARNAS LÄN</t>
        </is>
      </c>
      <c r="E810" t="inlineStr">
        <is>
          <t>LEKSAND</t>
        </is>
      </c>
      <c r="G810" t="n">
        <v>2.7</v>
      </c>
      <c r="H810" t="n">
        <v>0</v>
      </c>
      <c r="I810" t="n">
        <v>0</v>
      </c>
      <c r="J810" t="n">
        <v>0</v>
      </c>
      <c r="K810" t="n">
        <v>0</v>
      </c>
      <c r="L810" t="n">
        <v>0</v>
      </c>
      <c r="M810" t="n">
        <v>0</v>
      </c>
      <c r="N810" t="n">
        <v>0</v>
      </c>
      <c r="O810" t="n">
        <v>0</v>
      </c>
      <c r="P810" t="n">
        <v>0</v>
      </c>
      <c r="Q810" t="n">
        <v>0</v>
      </c>
      <c r="R810" s="2" t="inlineStr"/>
    </row>
    <row r="811" ht="15" customHeight="1">
      <c r="A811" t="inlineStr">
        <is>
          <t>A 64612-2023</t>
        </is>
      </c>
      <c r="B811" s="1" t="n">
        <v>45281</v>
      </c>
      <c r="C811" s="1" t="n">
        <v>45511</v>
      </c>
      <c r="D811" t="inlineStr">
        <is>
          <t>DALARNAS LÄN</t>
        </is>
      </c>
      <c r="E811" t="inlineStr">
        <is>
          <t>LEKSAND</t>
        </is>
      </c>
      <c r="G811" t="n">
        <v>3.6</v>
      </c>
      <c r="H811" t="n">
        <v>0</v>
      </c>
      <c r="I811" t="n">
        <v>0</v>
      </c>
      <c r="J811" t="n">
        <v>0</v>
      </c>
      <c r="K811" t="n">
        <v>0</v>
      </c>
      <c r="L811" t="n">
        <v>0</v>
      </c>
      <c r="M811" t="n">
        <v>0</v>
      </c>
      <c r="N811" t="n">
        <v>0</v>
      </c>
      <c r="O811" t="n">
        <v>0</v>
      </c>
      <c r="P811" t="n">
        <v>0</v>
      </c>
      <c r="Q811" t="n">
        <v>0</v>
      </c>
      <c r="R811" s="2" t="inlineStr"/>
    </row>
    <row r="812" ht="15" customHeight="1">
      <c r="A812" t="inlineStr">
        <is>
          <t>A 64867-2023</t>
        </is>
      </c>
      <c r="B812" s="1" t="n">
        <v>45282</v>
      </c>
      <c r="C812" s="1" t="n">
        <v>45511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64931-2023</t>
        </is>
      </c>
      <c r="B813" s="1" t="n">
        <v>45282</v>
      </c>
      <c r="C813" s="1" t="n">
        <v>45511</v>
      </c>
      <c r="D813" t="inlineStr">
        <is>
          <t>DALARNAS LÄN</t>
        </is>
      </c>
      <c r="E813" t="inlineStr">
        <is>
          <t>LEKSAND</t>
        </is>
      </c>
      <c r="G813" t="n">
        <v>6.3</v>
      </c>
      <c r="H813" t="n">
        <v>0</v>
      </c>
      <c r="I813" t="n">
        <v>0</v>
      </c>
      <c r="J813" t="n">
        <v>0</v>
      </c>
      <c r="K813" t="n">
        <v>0</v>
      </c>
      <c r="L813" t="n">
        <v>0</v>
      </c>
      <c r="M813" t="n">
        <v>0</v>
      </c>
      <c r="N813" t="n">
        <v>0</v>
      </c>
      <c r="O813" t="n">
        <v>0</v>
      </c>
      <c r="P813" t="n">
        <v>0</v>
      </c>
      <c r="Q813" t="n">
        <v>0</v>
      </c>
      <c r="R813" s="2" t="inlineStr"/>
    </row>
    <row r="814" ht="15" customHeight="1">
      <c r="A814" t="inlineStr">
        <is>
          <t>A 64933-2023</t>
        </is>
      </c>
      <c r="B814" s="1" t="n">
        <v>45282</v>
      </c>
      <c r="C814" s="1" t="n">
        <v>45511</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65047-2023</t>
        </is>
      </c>
      <c r="B815" s="1" t="n">
        <v>45283</v>
      </c>
      <c r="C815" s="1" t="n">
        <v>45511</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23-2024</t>
        </is>
      </c>
      <c r="B816" s="1" t="n">
        <v>45293</v>
      </c>
      <c r="C816" s="1" t="n">
        <v>45511</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32-2024</t>
        </is>
      </c>
      <c r="B817" s="1" t="n">
        <v>45293</v>
      </c>
      <c r="C817" s="1" t="n">
        <v>45511</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121-2024</t>
        </is>
      </c>
      <c r="B818" s="1" t="n">
        <v>45294</v>
      </c>
      <c r="C818" s="1" t="n">
        <v>45511</v>
      </c>
      <c r="D818" t="inlineStr">
        <is>
          <t>DALARNAS LÄN</t>
        </is>
      </c>
      <c r="E818" t="inlineStr">
        <is>
          <t>LEKSAND</t>
        </is>
      </c>
      <c r="G818" t="n">
        <v>8.6</v>
      </c>
      <c r="H818" t="n">
        <v>0</v>
      </c>
      <c r="I818" t="n">
        <v>0</v>
      </c>
      <c r="J818" t="n">
        <v>0</v>
      </c>
      <c r="K818" t="n">
        <v>0</v>
      </c>
      <c r="L818" t="n">
        <v>0</v>
      </c>
      <c r="M818" t="n">
        <v>0</v>
      </c>
      <c r="N818" t="n">
        <v>0</v>
      </c>
      <c r="O818" t="n">
        <v>0</v>
      </c>
      <c r="P818" t="n">
        <v>0</v>
      </c>
      <c r="Q818" t="n">
        <v>0</v>
      </c>
      <c r="R818" s="2" t="inlineStr"/>
    </row>
    <row r="819" ht="15" customHeight="1">
      <c r="A819" t="inlineStr">
        <is>
          <t>A 402-2024</t>
        </is>
      </c>
      <c r="B819" s="1" t="n">
        <v>45296</v>
      </c>
      <c r="C819" s="1" t="n">
        <v>45511</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412-2024</t>
        </is>
      </c>
      <c r="B820" s="1" t="n">
        <v>45296</v>
      </c>
      <c r="C820" s="1" t="n">
        <v>45511</v>
      </c>
      <c r="D820" t="inlineStr">
        <is>
          <t>DALARNAS LÄN</t>
        </is>
      </c>
      <c r="E820" t="inlineStr">
        <is>
          <t>LEKSAND</t>
        </is>
      </c>
      <c r="G820" t="n">
        <v>1.9</v>
      </c>
      <c r="H820" t="n">
        <v>0</v>
      </c>
      <c r="I820" t="n">
        <v>0</v>
      </c>
      <c r="J820" t="n">
        <v>0</v>
      </c>
      <c r="K820" t="n">
        <v>0</v>
      </c>
      <c r="L820" t="n">
        <v>0</v>
      </c>
      <c r="M820" t="n">
        <v>0</v>
      </c>
      <c r="N820" t="n">
        <v>0</v>
      </c>
      <c r="O820" t="n">
        <v>0</v>
      </c>
      <c r="P820" t="n">
        <v>0</v>
      </c>
      <c r="Q820" t="n">
        <v>0</v>
      </c>
      <c r="R820" s="2" t="inlineStr"/>
    </row>
    <row r="821" ht="15" customHeight="1">
      <c r="A821" t="inlineStr">
        <is>
          <t>A 481-2024</t>
        </is>
      </c>
      <c r="B821" s="1" t="n">
        <v>45298</v>
      </c>
      <c r="C821" s="1" t="n">
        <v>45511</v>
      </c>
      <c r="D821" t="inlineStr">
        <is>
          <t>DALARNAS LÄN</t>
        </is>
      </c>
      <c r="E821" t="inlineStr">
        <is>
          <t>LEKSAND</t>
        </is>
      </c>
      <c r="G821" t="n">
        <v>7</v>
      </c>
      <c r="H821" t="n">
        <v>0</v>
      </c>
      <c r="I821" t="n">
        <v>0</v>
      </c>
      <c r="J821" t="n">
        <v>0</v>
      </c>
      <c r="K821" t="n">
        <v>0</v>
      </c>
      <c r="L821" t="n">
        <v>0</v>
      </c>
      <c r="M821" t="n">
        <v>0</v>
      </c>
      <c r="N821" t="n">
        <v>0</v>
      </c>
      <c r="O821" t="n">
        <v>0</v>
      </c>
      <c r="P821" t="n">
        <v>0</v>
      </c>
      <c r="Q821" t="n">
        <v>0</v>
      </c>
      <c r="R821" s="2" t="inlineStr"/>
    </row>
    <row r="822" ht="15" customHeight="1">
      <c r="A822" t="inlineStr">
        <is>
          <t>A 511-2024</t>
        </is>
      </c>
      <c r="B822" s="1" t="n">
        <v>45299</v>
      </c>
      <c r="C822" s="1" t="n">
        <v>45511</v>
      </c>
      <c r="D822" t="inlineStr">
        <is>
          <t>DALARNAS LÄN</t>
        </is>
      </c>
      <c r="E822" t="inlineStr">
        <is>
          <t>LEKSAND</t>
        </is>
      </c>
      <c r="G822" t="n">
        <v>1.1</v>
      </c>
      <c r="H822" t="n">
        <v>0</v>
      </c>
      <c r="I822" t="n">
        <v>0</v>
      </c>
      <c r="J822" t="n">
        <v>0</v>
      </c>
      <c r="K822" t="n">
        <v>0</v>
      </c>
      <c r="L822" t="n">
        <v>0</v>
      </c>
      <c r="M822" t="n">
        <v>0</v>
      </c>
      <c r="N822" t="n">
        <v>0</v>
      </c>
      <c r="O822" t="n">
        <v>0</v>
      </c>
      <c r="P822" t="n">
        <v>0</v>
      </c>
      <c r="Q822" t="n">
        <v>0</v>
      </c>
      <c r="R822" s="2" t="inlineStr"/>
    </row>
    <row r="823" ht="15" customHeight="1">
      <c r="A823" t="inlineStr">
        <is>
          <t>A 613-2024</t>
        </is>
      </c>
      <c r="B823" s="1" t="n">
        <v>45299</v>
      </c>
      <c r="C823" s="1" t="n">
        <v>45511</v>
      </c>
      <c r="D823" t="inlineStr">
        <is>
          <t>DALARNAS LÄN</t>
        </is>
      </c>
      <c r="E823" t="inlineStr">
        <is>
          <t>LEKSAND</t>
        </is>
      </c>
      <c r="G823" t="n">
        <v>1.4</v>
      </c>
      <c r="H823" t="n">
        <v>0</v>
      </c>
      <c r="I823" t="n">
        <v>0</v>
      </c>
      <c r="J823" t="n">
        <v>0</v>
      </c>
      <c r="K823" t="n">
        <v>0</v>
      </c>
      <c r="L823" t="n">
        <v>0</v>
      </c>
      <c r="M823" t="n">
        <v>0</v>
      </c>
      <c r="N823" t="n">
        <v>0</v>
      </c>
      <c r="O823" t="n">
        <v>0</v>
      </c>
      <c r="P823" t="n">
        <v>0</v>
      </c>
      <c r="Q823" t="n">
        <v>0</v>
      </c>
      <c r="R823" s="2" t="inlineStr"/>
    </row>
    <row r="824" ht="15" customHeight="1">
      <c r="A824" t="inlineStr">
        <is>
          <t>A 962-2024</t>
        </is>
      </c>
      <c r="B824" s="1" t="n">
        <v>45301</v>
      </c>
      <c r="C824" s="1" t="n">
        <v>45511</v>
      </c>
      <c r="D824" t="inlineStr">
        <is>
          <t>DALARNAS LÄN</t>
        </is>
      </c>
      <c r="E824" t="inlineStr">
        <is>
          <t>LEKSAND</t>
        </is>
      </c>
      <c r="G824" t="n">
        <v>3.8</v>
      </c>
      <c r="H824" t="n">
        <v>0</v>
      </c>
      <c r="I824" t="n">
        <v>0</v>
      </c>
      <c r="J824" t="n">
        <v>0</v>
      </c>
      <c r="K824" t="n">
        <v>0</v>
      </c>
      <c r="L824" t="n">
        <v>0</v>
      </c>
      <c r="M824" t="n">
        <v>0</v>
      </c>
      <c r="N824" t="n">
        <v>0</v>
      </c>
      <c r="O824" t="n">
        <v>0</v>
      </c>
      <c r="P824" t="n">
        <v>0</v>
      </c>
      <c r="Q824" t="n">
        <v>0</v>
      </c>
      <c r="R824" s="2" t="inlineStr"/>
    </row>
    <row r="825" ht="15" customHeight="1">
      <c r="A825" t="inlineStr">
        <is>
          <t>A 1179-2024</t>
        </is>
      </c>
      <c r="B825" s="1" t="n">
        <v>45302</v>
      </c>
      <c r="C825" s="1" t="n">
        <v>45511</v>
      </c>
      <c r="D825" t="inlineStr">
        <is>
          <t>DALARNAS LÄN</t>
        </is>
      </c>
      <c r="E825" t="inlineStr">
        <is>
          <t>LEKSAND</t>
        </is>
      </c>
      <c r="G825" t="n">
        <v>2.8</v>
      </c>
      <c r="H825" t="n">
        <v>0</v>
      </c>
      <c r="I825" t="n">
        <v>0</v>
      </c>
      <c r="J825" t="n">
        <v>0</v>
      </c>
      <c r="K825" t="n">
        <v>0</v>
      </c>
      <c r="L825" t="n">
        <v>0</v>
      </c>
      <c r="M825" t="n">
        <v>0</v>
      </c>
      <c r="N825" t="n">
        <v>0</v>
      </c>
      <c r="O825" t="n">
        <v>0</v>
      </c>
      <c r="P825" t="n">
        <v>0</v>
      </c>
      <c r="Q825" t="n">
        <v>0</v>
      </c>
      <c r="R825" s="2" t="inlineStr"/>
    </row>
    <row r="826" ht="15" customHeight="1">
      <c r="A826" t="inlineStr">
        <is>
          <t>A 1215-2024</t>
        </is>
      </c>
      <c r="B826" s="1" t="n">
        <v>45302</v>
      </c>
      <c r="C826" s="1" t="n">
        <v>45511</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1458-2024</t>
        </is>
      </c>
      <c r="B827" s="1" t="n">
        <v>45303</v>
      </c>
      <c r="C827" s="1" t="n">
        <v>45511</v>
      </c>
      <c r="D827" t="inlineStr">
        <is>
          <t>DALARNAS LÄN</t>
        </is>
      </c>
      <c r="E827" t="inlineStr">
        <is>
          <t>LEKSAND</t>
        </is>
      </c>
      <c r="G827" t="n">
        <v>2</v>
      </c>
      <c r="H827" t="n">
        <v>0</v>
      </c>
      <c r="I827" t="n">
        <v>0</v>
      </c>
      <c r="J827" t="n">
        <v>0</v>
      </c>
      <c r="K827" t="n">
        <v>0</v>
      </c>
      <c r="L827" t="n">
        <v>0</v>
      </c>
      <c r="M827" t="n">
        <v>0</v>
      </c>
      <c r="N827" t="n">
        <v>0</v>
      </c>
      <c r="O827" t="n">
        <v>0</v>
      </c>
      <c r="P827" t="n">
        <v>0</v>
      </c>
      <c r="Q827" t="n">
        <v>0</v>
      </c>
      <c r="R827" s="2" t="inlineStr"/>
    </row>
    <row r="828" ht="15" customHeight="1">
      <c r="A828" t="inlineStr">
        <is>
          <t>A 1443-2024</t>
        </is>
      </c>
      <c r="B828" s="1" t="n">
        <v>45303</v>
      </c>
      <c r="C828" s="1" t="n">
        <v>45511</v>
      </c>
      <c r="D828" t="inlineStr">
        <is>
          <t>DALARNAS LÄN</t>
        </is>
      </c>
      <c r="E828" t="inlineStr">
        <is>
          <t>LEKSAND</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1457-2024</t>
        </is>
      </c>
      <c r="B829" s="1" t="n">
        <v>45303</v>
      </c>
      <c r="C829" s="1" t="n">
        <v>45511</v>
      </c>
      <c r="D829" t="inlineStr">
        <is>
          <t>DALARNAS LÄN</t>
        </is>
      </c>
      <c r="E829" t="inlineStr">
        <is>
          <t>LEKSAND</t>
        </is>
      </c>
      <c r="G829" t="n">
        <v>4.4</v>
      </c>
      <c r="H829" t="n">
        <v>0</v>
      </c>
      <c r="I829" t="n">
        <v>0</v>
      </c>
      <c r="J829" t="n">
        <v>0</v>
      </c>
      <c r="K829" t="n">
        <v>0</v>
      </c>
      <c r="L829" t="n">
        <v>0</v>
      </c>
      <c r="M829" t="n">
        <v>0</v>
      </c>
      <c r="N829" t="n">
        <v>0</v>
      </c>
      <c r="O829" t="n">
        <v>0</v>
      </c>
      <c r="P829" t="n">
        <v>0</v>
      </c>
      <c r="Q829" t="n">
        <v>0</v>
      </c>
      <c r="R829" s="2" t="inlineStr"/>
    </row>
    <row r="830" ht="15" customHeight="1">
      <c r="A830" t="inlineStr">
        <is>
          <t>A 1461-2024</t>
        </is>
      </c>
      <c r="B830" s="1" t="n">
        <v>45303</v>
      </c>
      <c r="C830" s="1" t="n">
        <v>45511</v>
      </c>
      <c r="D830" t="inlineStr">
        <is>
          <t>DALARNAS LÄN</t>
        </is>
      </c>
      <c r="E830" t="inlineStr">
        <is>
          <t>LEKSAND</t>
        </is>
      </c>
      <c r="G830" t="n">
        <v>2.4</v>
      </c>
      <c r="H830" t="n">
        <v>0</v>
      </c>
      <c r="I830" t="n">
        <v>0</v>
      </c>
      <c r="J830" t="n">
        <v>0</v>
      </c>
      <c r="K830" t="n">
        <v>0</v>
      </c>
      <c r="L830" t="n">
        <v>0</v>
      </c>
      <c r="M830" t="n">
        <v>0</v>
      </c>
      <c r="N830" t="n">
        <v>0</v>
      </c>
      <c r="O830" t="n">
        <v>0</v>
      </c>
      <c r="P830" t="n">
        <v>0</v>
      </c>
      <c r="Q830" t="n">
        <v>0</v>
      </c>
      <c r="R830" s="2" t="inlineStr"/>
    </row>
    <row r="831" ht="15" customHeight="1">
      <c r="A831" t="inlineStr">
        <is>
          <t>A 1463-2024</t>
        </is>
      </c>
      <c r="B831" s="1" t="n">
        <v>45303</v>
      </c>
      <c r="C831" s="1" t="n">
        <v>45511</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1476-2024</t>
        </is>
      </c>
      <c r="B832" s="1" t="n">
        <v>45304</v>
      </c>
      <c r="C832" s="1" t="n">
        <v>45511</v>
      </c>
      <c r="D832" t="inlineStr">
        <is>
          <t>DALARNAS LÄN</t>
        </is>
      </c>
      <c r="E832" t="inlineStr">
        <is>
          <t>LEKSAND</t>
        </is>
      </c>
      <c r="G832" t="n">
        <v>4.3</v>
      </c>
      <c r="H832" t="n">
        <v>0</v>
      </c>
      <c r="I832" t="n">
        <v>0</v>
      </c>
      <c r="J832" t="n">
        <v>0</v>
      </c>
      <c r="K832" t="n">
        <v>0</v>
      </c>
      <c r="L832" t="n">
        <v>0</v>
      </c>
      <c r="M832" t="n">
        <v>0</v>
      </c>
      <c r="N832" t="n">
        <v>0</v>
      </c>
      <c r="O832" t="n">
        <v>0</v>
      </c>
      <c r="P832" t="n">
        <v>0</v>
      </c>
      <c r="Q832" t="n">
        <v>0</v>
      </c>
      <c r="R832" s="2" t="inlineStr"/>
    </row>
    <row r="833" ht="15" customHeight="1">
      <c r="A833" t="inlineStr">
        <is>
          <t>A 1519-2024</t>
        </is>
      </c>
      <c r="B833" s="1" t="n">
        <v>45306</v>
      </c>
      <c r="C833" s="1" t="n">
        <v>45511</v>
      </c>
      <c r="D833" t="inlineStr">
        <is>
          <t>DALARNAS LÄN</t>
        </is>
      </c>
      <c r="E833" t="inlineStr">
        <is>
          <t>LEKSAND</t>
        </is>
      </c>
      <c r="G833" t="n">
        <v>3.3</v>
      </c>
      <c r="H833" t="n">
        <v>0</v>
      </c>
      <c r="I833" t="n">
        <v>0</v>
      </c>
      <c r="J833" t="n">
        <v>0</v>
      </c>
      <c r="K833" t="n">
        <v>0</v>
      </c>
      <c r="L833" t="n">
        <v>0</v>
      </c>
      <c r="M833" t="n">
        <v>0</v>
      </c>
      <c r="N833" t="n">
        <v>0</v>
      </c>
      <c r="O833" t="n">
        <v>0</v>
      </c>
      <c r="P833" t="n">
        <v>0</v>
      </c>
      <c r="Q833" t="n">
        <v>0</v>
      </c>
      <c r="R833" s="2" t="inlineStr"/>
    </row>
    <row r="834" ht="15" customHeight="1">
      <c r="A834" t="inlineStr">
        <is>
          <t>A 1616-2024</t>
        </is>
      </c>
      <c r="B834" s="1" t="n">
        <v>45306</v>
      </c>
      <c r="C834" s="1" t="n">
        <v>45511</v>
      </c>
      <c r="D834" t="inlineStr">
        <is>
          <t>DALARNAS LÄN</t>
        </is>
      </c>
      <c r="E834" t="inlineStr">
        <is>
          <t>LEKSAND</t>
        </is>
      </c>
      <c r="G834" t="n">
        <v>2.1</v>
      </c>
      <c r="H834" t="n">
        <v>0</v>
      </c>
      <c r="I834" t="n">
        <v>0</v>
      </c>
      <c r="J834" t="n">
        <v>0</v>
      </c>
      <c r="K834" t="n">
        <v>0</v>
      </c>
      <c r="L834" t="n">
        <v>0</v>
      </c>
      <c r="M834" t="n">
        <v>0</v>
      </c>
      <c r="N834" t="n">
        <v>0</v>
      </c>
      <c r="O834" t="n">
        <v>0</v>
      </c>
      <c r="P834" t="n">
        <v>0</v>
      </c>
      <c r="Q834" t="n">
        <v>0</v>
      </c>
      <c r="R834" s="2" t="inlineStr"/>
    </row>
    <row r="835" ht="15" customHeight="1">
      <c r="A835" t="inlineStr">
        <is>
          <t>A 1849-2024</t>
        </is>
      </c>
      <c r="B835" s="1" t="n">
        <v>45307</v>
      </c>
      <c r="C835" s="1" t="n">
        <v>45511</v>
      </c>
      <c r="D835" t="inlineStr">
        <is>
          <t>DALARNAS LÄN</t>
        </is>
      </c>
      <c r="E835" t="inlineStr">
        <is>
          <t>LEKSAND</t>
        </is>
      </c>
      <c r="F835" t="inlineStr">
        <is>
          <t>Kommuner</t>
        </is>
      </c>
      <c r="G835" t="n">
        <v>5</v>
      </c>
      <c r="H835" t="n">
        <v>0</v>
      </c>
      <c r="I835" t="n">
        <v>0</v>
      </c>
      <c r="J835" t="n">
        <v>0</v>
      </c>
      <c r="K835" t="n">
        <v>0</v>
      </c>
      <c r="L835" t="n">
        <v>0</v>
      </c>
      <c r="M835" t="n">
        <v>0</v>
      </c>
      <c r="N835" t="n">
        <v>0</v>
      </c>
      <c r="O835" t="n">
        <v>0</v>
      </c>
      <c r="P835" t="n">
        <v>0</v>
      </c>
      <c r="Q835" t="n">
        <v>0</v>
      </c>
      <c r="R835" s="2" t="inlineStr"/>
    </row>
    <row r="836" ht="15" customHeight="1">
      <c r="A836" t="inlineStr">
        <is>
          <t>A 1706-2024</t>
        </is>
      </c>
      <c r="B836" s="1" t="n">
        <v>45307</v>
      </c>
      <c r="C836" s="1" t="n">
        <v>45511</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1719-2024</t>
        </is>
      </c>
      <c r="B837" s="1" t="n">
        <v>45307</v>
      </c>
      <c r="C837" s="1" t="n">
        <v>45511</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1946-2024</t>
        </is>
      </c>
      <c r="B838" s="1" t="n">
        <v>45308</v>
      </c>
      <c r="C838" s="1" t="n">
        <v>45511</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2158-2024</t>
        </is>
      </c>
      <c r="B839" s="1" t="n">
        <v>45309</v>
      </c>
      <c r="C839" s="1" t="n">
        <v>45511</v>
      </c>
      <c r="D839" t="inlineStr">
        <is>
          <t>DALARNAS LÄN</t>
        </is>
      </c>
      <c r="E839" t="inlineStr">
        <is>
          <t>LEKSAND</t>
        </is>
      </c>
      <c r="G839" t="n">
        <v>2.1</v>
      </c>
      <c r="H839" t="n">
        <v>0</v>
      </c>
      <c r="I839" t="n">
        <v>0</v>
      </c>
      <c r="J839" t="n">
        <v>0</v>
      </c>
      <c r="K839" t="n">
        <v>0</v>
      </c>
      <c r="L839" t="n">
        <v>0</v>
      </c>
      <c r="M839" t="n">
        <v>0</v>
      </c>
      <c r="N839" t="n">
        <v>0</v>
      </c>
      <c r="O839" t="n">
        <v>0</v>
      </c>
      <c r="P839" t="n">
        <v>0</v>
      </c>
      <c r="Q839" t="n">
        <v>0</v>
      </c>
      <c r="R839" s="2" t="inlineStr"/>
    </row>
    <row r="840" ht="15" customHeight="1">
      <c r="A840" t="inlineStr">
        <is>
          <t>A 2140-2024</t>
        </is>
      </c>
      <c r="B840" s="1" t="n">
        <v>45309</v>
      </c>
      <c r="C840" s="1" t="n">
        <v>45511</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2517-2024</t>
        </is>
      </c>
      <c r="B841" s="1" t="n">
        <v>45313</v>
      </c>
      <c r="C841" s="1" t="n">
        <v>45511</v>
      </c>
      <c r="D841" t="inlineStr">
        <is>
          <t>DALARNAS LÄN</t>
        </is>
      </c>
      <c r="E841" t="inlineStr">
        <is>
          <t>LEKSAND</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2536-2024</t>
        </is>
      </c>
      <c r="B842" s="1" t="n">
        <v>45313</v>
      </c>
      <c r="C842" s="1" t="n">
        <v>45511</v>
      </c>
      <c r="D842" t="inlineStr">
        <is>
          <t>DALARNAS LÄN</t>
        </is>
      </c>
      <c r="E842" t="inlineStr">
        <is>
          <t>LEKSAND</t>
        </is>
      </c>
      <c r="G842" t="n">
        <v>2.2</v>
      </c>
      <c r="H842" t="n">
        <v>0</v>
      </c>
      <c r="I842" t="n">
        <v>0</v>
      </c>
      <c r="J842" t="n">
        <v>0</v>
      </c>
      <c r="K842" t="n">
        <v>0</v>
      </c>
      <c r="L842" t="n">
        <v>0</v>
      </c>
      <c r="M842" t="n">
        <v>0</v>
      </c>
      <c r="N842" t="n">
        <v>0</v>
      </c>
      <c r="O842" t="n">
        <v>0</v>
      </c>
      <c r="P842" t="n">
        <v>0</v>
      </c>
      <c r="Q842" t="n">
        <v>0</v>
      </c>
      <c r="R842" s="2" t="inlineStr"/>
    </row>
    <row r="843" ht="15" customHeight="1">
      <c r="A843" t="inlineStr">
        <is>
          <t>A 2820-2024</t>
        </is>
      </c>
      <c r="B843" s="1" t="n">
        <v>45314</v>
      </c>
      <c r="C843" s="1" t="n">
        <v>45511</v>
      </c>
      <c r="D843" t="inlineStr">
        <is>
          <t>DALARNAS LÄN</t>
        </is>
      </c>
      <c r="E843" t="inlineStr">
        <is>
          <t>LEKSAND</t>
        </is>
      </c>
      <c r="G843" t="n">
        <v>1.7</v>
      </c>
      <c r="H843" t="n">
        <v>0</v>
      </c>
      <c r="I843" t="n">
        <v>0</v>
      </c>
      <c r="J843" t="n">
        <v>0</v>
      </c>
      <c r="K843" t="n">
        <v>0</v>
      </c>
      <c r="L843" t="n">
        <v>0</v>
      </c>
      <c r="M843" t="n">
        <v>0</v>
      </c>
      <c r="N843" t="n">
        <v>0</v>
      </c>
      <c r="O843" t="n">
        <v>0</v>
      </c>
      <c r="P843" t="n">
        <v>0</v>
      </c>
      <c r="Q843" t="n">
        <v>0</v>
      </c>
      <c r="R843" s="2" t="inlineStr"/>
    </row>
    <row r="844" ht="15" customHeight="1">
      <c r="A844" t="inlineStr">
        <is>
          <t>A 2822-2024</t>
        </is>
      </c>
      <c r="B844" s="1" t="n">
        <v>45314</v>
      </c>
      <c r="C844" s="1" t="n">
        <v>45511</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3138-2024</t>
        </is>
      </c>
      <c r="B845" s="1" t="n">
        <v>45316</v>
      </c>
      <c r="C845" s="1" t="n">
        <v>45511</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3048-2024</t>
        </is>
      </c>
      <c r="B846" s="1" t="n">
        <v>45316</v>
      </c>
      <c r="C846" s="1" t="n">
        <v>45511</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3205-2024</t>
        </is>
      </c>
      <c r="B847" s="1" t="n">
        <v>45316</v>
      </c>
      <c r="C847" s="1" t="n">
        <v>45511</v>
      </c>
      <c r="D847" t="inlineStr">
        <is>
          <t>DALARNAS LÄN</t>
        </is>
      </c>
      <c r="E847" t="inlineStr">
        <is>
          <t>LEKSAND</t>
        </is>
      </c>
      <c r="G847" t="n">
        <v>0.8</v>
      </c>
      <c r="H847" t="n">
        <v>0</v>
      </c>
      <c r="I847" t="n">
        <v>0</v>
      </c>
      <c r="J847" t="n">
        <v>0</v>
      </c>
      <c r="K847" t="n">
        <v>0</v>
      </c>
      <c r="L847" t="n">
        <v>0</v>
      </c>
      <c r="M847" t="n">
        <v>0</v>
      </c>
      <c r="N847" t="n">
        <v>0</v>
      </c>
      <c r="O847" t="n">
        <v>0</v>
      </c>
      <c r="P847" t="n">
        <v>0</v>
      </c>
      <c r="Q847" t="n">
        <v>0</v>
      </c>
      <c r="R847" s="2" t="inlineStr"/>
    </row>
    <row r="848" ht="15" customHeight="1">
      <c r="A848" t="inlineStr">
        <is>
          <t>A 3202-2024</t>
        </is>
      </c>
      <c r="B848" s="1" t="n">
        <v>45316</v>
      </c>
      <c r="C848" s="1" t="n">
        <v>45511</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3352-2024</t>
        </is>
      </c>
      <c r="B849" s="1" t="n">
        <v>45317</v>
      </c>
      <c r="C849" s="1" t="n">
        <v>45511</v>
      </c>
      <c r="D849" t="inlineStr">
        <is>
          <t>DALARNAS LÄN</t>
        </is>
      </c>
      <c r="E849" t="inlineStr">
        <is>
          <t>LEKSAND</t>
        </is>
      </c>
      <c r="G849" t="n">
        <v>1.2</v>
      </c>
      <c r="H849" t="n">
        <v>0</v>
      </c>
      <c r="I849" t="n">
        <v>0</v>
      </c>
      <c r="J849" t="n">
        <v>0</v>
      </c>
      <c r="K849" t="n">
        <v>0</v>
      </c>
      <c r="L849" t="n">
        <v>0</v>
      </c>
      <c r="M849" t="n">
        <v>0</v>
      </c>
      <c r="N849" t="n">
        <v>0</v>
      </c>
      <c r="O849" t="n">
        <v>0</v>
      </c>
      <c r="P849" t="n">
        <v>0</v>
      </c>
      <c r="Q849" t="n">
        <v>0</v>
      </c>
      <c r="R849" s="2" t="inlineStr"/>
    </row>
    <row r="850" ht="15" customHeight="1">
      <c r="A850" t="inlineStr">
        <is>
          <t>A 3970-2024</t>
        </is>
      </c>
      <c r="B850" s="1" t="n">
        <v>45322</v>
      </c>
      <c r="C850" s="1" t="n">
        <v>45511</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3974-2024</t>
        </is>
      </c>
      <c r="B851" s="1" t="n">
        <v>45322</v>
      </c>
      <c r="C851" s="1" t="n">
        <v>45511</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3901-2024</t>
        </is>
      </c>
      <c r="B852" s="1" t="n">
        <v>45322</v>
      </c>
      <c r="C852" s="1" t="n">
        <v>45511</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4121-2024</t>
        </is>
      </c>
      <c r="B853" s="1" t="n">
        <v>45323</v>
      </c>
      <c r="C853" s="1" t="n">
        <v>45511</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4248-2024</t>
        </is>
      </c>
      <c r="B854" s="1" t="n">
        <v>45324</v>
      </c>
      <c r="C854" s="1" t="n">
        <v>45511</v>
      </c>
      <c r="D854" t="inlineStr">
        <is>
          <t>DALARNAS LÄN</t>
        </is>
      </c>
      <c r="E854" t="inlineStr">
        <is>
          <t>LEKSAND</t>
        </is>
      </c>
      <c r="G854" t="n">
        <v>3.6</v>
      </c>
      <c r="H854" t="n">
        <v>0</v>
      </c>
      <c r="I854" t="n">
        <v>0</v>
      </c>
      <c r="J854" t="n">
        <v>0</v>
      </c>
      <c r="K854" t="n">
        <v>0</v>
      </c>
      <c r="L854" t="n">
        <v>0</v>
      </c>
      <c r="M854" t="n">
        <v>0</v>
      </c>
      <c r="N854" t="n">
        <v>0</v>
      </c>
      <c r="O854" t="n">
        <v>0</v>
      </c>
      <c r="P854" t="n">
        <v>0</v>
      </c>
      <c r="Q854" t="n">
        <v>0</v>
      </c>
      <c r="R854" s="2" t="inlineStr"/>
    </row>
    <row r="855" ht="15" customHeight="1">
      <c r="A855" t="inlineStr">
        <is>
          <t>A 4938-2024</t>
        </is>
      </c>
      <c r="B855" s="1" t="n">
        <v>45329</v>
      </c>
      <c r="C855" s="1" t="n">
        <v>45511</v>
      </c>
      <c r="D855" t="inlineStr">
        <is>
          <t>DALARNAS LÄN</t>
        </is>
      </c>
      <c r="E855" t="inlineStr">
        <is>
          <t>LEKSAND</t>
        </is>
      </c>
      <c r="G855" t="n">
        <v>7.7</v>
      </c>
      <c r="H855" t="n">
        <v>0</v>
      </c>
      <c r="I855" t="n">
        <v>0</v>
      </c>
      <c r="J855" t="n">
        <v>0</v>
      </c>
      <c r="K855" t="n">
        <v>0</v>
      </c>
      <c r="L855" t="n">
        <v>0</v>
      </c>
      <c r="M855" t="n">
        <v>0</v>
      </c>
      <c r="N855" t="n">
        <v>0</v>
      </c>
      <c r="O855" t="n">
        <v>0</v>
      </c>
      <c r="P855" t="n">
        <v>0</v>
      </c>
      <c r="Q855" t="n">
        <v>0</v>
      </c>
      <c r="R855" s="2" t="inlineStr"/>
    </row>
    <row r="856" ht="15" customHeight="1">
      <c r="A856" t="inlineStr">
        <is>
          <t>A 4956-2024</t>
        </is>
      </c>
      <c r="B856" s="1" t="n">
        <v>45329</v>
      </c>
      <c r="C856" s="1" t="n">
        <v>45511</v>
      </c>
      <c r="D856" t="inlineStr">
        <is>
          <t>DALARNAS LÄN</t>
        </is>
      </c>
      <c r="E856" t="inlineStr">
        <is>
          <t>LEKSAND</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5231-2024</t>
        </is>
      </c>
      <c r="B857" s="1" t="n">
        <v>45330</v>
      </c>
      <c r="C857" s="1" t="n">
        <v>45511</v>
      </c>
      <c r="D857" t="inlineStr">
        <is>
          <t>DALARNAS LÄN</t>
        </is>
      </c>
      <c r="E857" t="inlineStr">
        <is>
          <t>LEKSAND</t>
        </is>
      </c>
      <c r="F857" t="inlineStr">
        <is>
          <t>Bergvik skog väst AB</t>
        </is>
      </c>
      <c r="G857" t="n">
        <v>11.2</v>
      </c>
      <c r="H857" t="n">
        <v>0</v>
      </c>
      <c r="I857" t="n">
        <v>0</v>
      </c>
      <c r="J857" t="n">
        <v>0</v>
      </c>
      <c r="K857" t="n">
        <v>0</v>
      </c>
      <c r="L857" t="n">
        <v>0</v>
      </c>
      <c r="M857" t="n">
        <v>0</v>
      </c>
      <c r="N857" t="n">
        <v>0</v>
      </c>
      <c r="O857" t="n">
        <v>0</v>
      </c>
      <c r="P857" t="n">
        <v>0</v>
      </c>
      <c r="Q857" t="n">
        <v>0</v>
      </c>
      <c r="R857" s="2" t="inlineStr"/>
    </row>
    <row r="858" ht="15" customHeight="1">
      <c r="A858" t="inlineStr">
        <is>
          <t>A 5369-2024</t>
        </is>
      </c>
      <c r="B858" s="1" t="n">
        <v>45331</v>
      </c>
      <c r="C858" s="1" t="n">
        <v>45511</v>
      </c>
      <c r="D858" t="inlineStr">
        <is>
          <t>DALARNAS LÄN</t>
        </is>
      </c>
      <c r="E858" t="inlineStr">
        <is>
          <t>LEKSAND</t>
        </is>
      </c>
      <c r="F858" t="inlineStr">
        <is>
          <t>Kommuner</t>
        </is>
      </c>
      <c r="G858" t="n">
        <v>2.9</v>
      </c>
      <c r="H858" t="n">
        <v>0</v>
      </c>
      <c r="I858" t="n">
        <v>0</v>
      </c>
      <c r="J858" t="n">
        <v>0</v>
      </c>
      <c r="K858" t="n">
        <v>0</v>
      </c>
      <c r="L858" t="n">
        <v>0</v>
      </c>
      <c r="M858" t="n">
        <v>0</v>
      </c>
      <c r="N858" t="n">
        <v>0</v>
      </c>
      <c r="O858" t="n">
        <v>0</v>
      </c>
      <c r="P858" t="n">
        <v>0</v>
      </c>
      <c r="Q858" t="n">
        <v>0</v>
      </c>
      <c r="R858" s="2" t="inlineStr"/>
    </row>
    <row r="859" ht="15" customHeight="1">
      <c r="A859" t="inlineStr">
        <is>
          <t>A 5514-2024</t>
        </is>
      </c>
      <c r="B859" s="1" t="n">
        <v>45334</v>
      </c>
      <c r="C859" s="1" t="n">
        <v>45511</v>
      </c>
      <c r="D859" t="inlineStr">
        <is>
          <t>DALARNAS LÄN</t>
        </is>
      </c>
      <c r="E859" t="inlineStr">
        <is>
          <t>LEKSAND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5570-2024</t>
        </is>
      </c>
      <c r="B860" s="1" t="n">
        <v>45334</v>
      </c>
      <c r="C860" s="1" t="n">
        <v>45511</v>
      </c>
      <c r="D860" t="inlineStr">
        <is>
          <t>DALARNAS LÄN</t>
        </is>
      </c>
      <c r="E860" t="inlineStr">
        <is>
          <t>LEKSAND</t>
        </is>
      </c>
      <c r="G860" t="n">
        <v>0.3</v>
      </c>
      <c r="H860" t="n">
        <v>0</v>
      </c>
      <c r="I860" t="n">
        <v>0</v>
      </c>
      <c r="J860" t="n">
        <v>0</v>
      </c>
      <c r="K860" t="n">
        <v>0</v>
      </c>
      <c r="L860" t="n">
        <v>0</v>
      </c>
      <c r="M860" t="n">
        <v>0</v>
      </c>
      <c r="N860" t="n">
        <v>0</v>
      </c>
      <c r="O860" t="n">
        <v>0</v>
      </c>
      <c r="P860" t="n">
        <v>0</v>
      </c>
      <c r="Q860" t="n">
        <v>0</v>
      </c>
      <c r="R860" s="2" t="inlineStr"/>
    </row>
    <row r="861" ht="15" customHeight="1">
      <c r="A861" t="inlineStr">
        <is>
          <t>A 5574-2024</t>
        </is>
      </c>
      <c r="B861" s="1" t="n">
        <v>45334</v>
      </c>
      <c r="C861" s="1" t="n">
        <v>45511</v>
      </c>
      <c r="D861" t="inlineStr">
        <is>
          <t>DALARNAS LÄN</t>
        </is>
      </c>
      <c r="E861" t="inlineStr">
        <is>
          <t>LEKSAND</t>
        </is>
      </c>
      <c r="G861" t="n">
        <v>0.4</v>
      </c>
      <c r="H861" t="n">
        <v>0</v>
      </c>
      <c r="I861" t="n">
        <v>0</v>
      </c>
      <c r="J861" t="n">
        <v>0</v>
      </c>
      <c r="K861" t="n">
        <v>0</v>
      </c>
      <c r="L861" t="n">
        <v>0</v>
      </c>
      <c r="M861" t="n">
        <v>0</v>
      </c>
      <c r="N861" t="n">
        <v>0</v>
      </c>
      <c r="O861" t="n">
        <v>0</v>
      </c>
      <c r="P861" t="n">
        <v>0</v>
      </c>
      <c r="Q861" t="n">
        <v>0</v>
      </c>
      <c r="R861" s="2" t="inlineStr"/>
    </row>
    <row r="862" ht="15" customHeight="1">
      <c r="A862" t="inlineStr">
        <is>
          <t>A 5583-2024</t>
        </is>
      </c>
      <c r="B862" s="1" t="n">
        <v>45334</v>
      </c>
      <c r="C862" s="1" t="n">
        <v>45511</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5584-2024</t>
        </is>
      </c>
      <c r="B863" s="1" t="n">
        <v>45334</v>
      </c>
      <c r="C863" s="1" t="n">
        <v>45511</v>
      </c>
      <c r="D863" t="inlineStr">
        <is>
          <t>DALARNAS LÄN</t>
        </is>
      </c>
      <c r="E863" t="inlineStr">
        <is>
          <t>LEKSAND</t>
        </is>
      </c>
      <c r="F863" t="inlineStr">
        <is>
          <t>Kyrkan</t>
        </is>
      </c>
      <c r="G863" t="n">
        <v>0.4</v>
      </c>
      <c r="H863" t="n">
        <v>0</v>
      </c>
      <c r="I863" t="n">
        <v>0</v>
      </c>
      <c r="J863" t="n">
        <v>0</v>
      </c>
      <c r="K863" t="n">
        <v>0</v>
      </c>
      <c r="L863" t="n">
        <v>0</v>
      </c>
      <c r="M863" t="n">
        <v>0</v>
      </c>
      <c r="N863" t="n">
        <v>0</v>
      </c>
      <c r="O863" t="n">
        <v>0</v>
      </c>
      <c r="P863" t="n">
        <v>0</v>
      </c>
      <c r="Q863" t="n">
        <v>0</v>
      </c>
      <c r="R863" s="2" t="inlineStr"/>
    </row>
    <row r="864" ht="15" customHeight="1">
      <c r="A864" t="inlineStr">
        <is>
          <t>A 5582-2024</t>
        </is>
      </c>
      <c r="B864" s="1" t="n">
        <v>45334</v>
      </c>
      <c r="C864" s="1" t="n">
        <v>45511</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5900-2024</t>
        </is>
      </c>
      <c r="B865" s="1" t="n">
        <v>45335</v>
      </c>
      <c r="C865" s="1" t="n">
        <v>45511</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6758-2024</t>
        </is>
      </c>
      <c r="B866" s="1" t="n">
        <v>45342</v>
      </c>
      <c r="C866" s="1" t="n">
        <v>45511</v>
      </c>
      <c r="D866" t="inlineStr">
        <is>
          <t>DALARNAS LÄN</t>
        </is>
      </c>
      <c r="E866" t="inlineStr">
        <is>
          <t>LEKSAND</t>
        </is>
      </c>
      <c r="F866" t="inlineStr">
        <is>
          <t>Bergvik skog väst AB</t>
        </is>
      </c>
      <c r="G866" t="n">
        <v>6.2</v>
      </c>
      <c r="H866" t="n">
        <v>0</v>
      </c>
      <c r="I866" t="n">
        <v>0</v>
      </c>
      <c r="J866" t="n">
        <v>0</v>
      </c>
      <c r="K866" t="n">
        <v>0</v>
      </c>
      <c r="L866" t="n">
        <v>0</v>
      </c>
      <c r="M866" t="n">
        <v>0</v>
      </c>
      <c r="N866" t="n">
        <v>0</v>
      </c>
      <c r="O866" t="n">
        <v>0</v>
      </c>
      <c r="P866" t="n">
        <v>0</v>
      </c>
      <c r="Q866" t="n">
        <v>0</v>
      </c>
      <c r="R866" s="2" t="inlineStr"/>
    </row>
    <row r="867" ht="15" customHeight="1">
      <c r="A867" t="inlineStr">
        <is>
          <t>A 7417-2024</t>
        </is>
      </c>
      <c r="B867" s="1" t="n">
        <v>45345</v>
      </c>
      <c r="C867" s="1" t="n">
        <v>45511</v>
      </c>
      <c r="D867" t="inlineStr">
        <is>
          <t>DALARNAS LÄN</t>
        </is>
      </c>
      <c r="E867" t="inlineStr">
        <is>
          <t>LEKSAND</t>
        </is>
      </c>
      <c r="G867" t="n">
        <v>2.8</v>
      </c>
      <c r="H867" t="n">
        <v>0</v>
      </c>
      <c r="I867" t="n">
        <v>0</v>
      </c>
      <c r="J867" t="n">
        <v>0</v>
      </c>
      <c r="K867" t="n">
        <v>0</v>
      </c>
      <c r="L867" t="n">
        <v>0</v>
      </c>
      <c r="M867" t="n">
        <v>0</v>
      </c>
      <c r="N867" t="n">
        <v>0</v>
      </c>
      <c r="O867" t="n">
        <v>0</v>
      </c>
      <c r="P867" t="n">
        <v>0</v>
      </c>
      <c r="Q867" t="n">
        <v>0</v>
      </c>
      <c r="R867" s="2" t="inlineStr"/>
    </row>
    <row r="868" ht="15" customHeight="1">
      <c r="A868" t="inlineStr">
        <is>
          <t>A 7775-2024</t>
        </is>
      </c>
      <c r="B868" s="1" t="n">
        <v>45349</v>
      </c>
      <c r="C868" s="1" t="n">
        <v>45511</v>
      </c>
      <c r="D868" t="inlineStr">
        <is>
          <t>DALARNAS LÄN</t>
        </is>
      </c>
      <c r="E868" t="inlineStr">
        <is>
          <t>LEKSAND</t>
        </is>
      </c>
      <c r="G868" t="n">
        <v>1.9</v>
      </c>
      <c r="H868" t="n">
        <v>0</v>
      </c>
      <c r="I868" t="n">
        <v>0</v>
      </c>
      <c r="J868" t="n">
        <v>0</v>
      </c>
      <c r="K868" t="n">
        <v>0</v>
      </c>
      <c r="L868" t="n">
        <v>0</v>
      </c>
      <c r="M868" t="n">
        <v>0</v>
      </c>
      <c r="N868" t="n">
        <v>0</v>
      </c>
      <c r="O868" t="n">
        <v>0</v>
      </c>
      <c r="P868" t="n">
        <v>0</v>
      </c>
      <c r="Q868" t="n">
        <v>0</v>
      </c>
      <c r="R868" s="2" t="inlineStr"/>
    </row>
    <row r="869" ht="15" customHeight="1">
      <c r="A869" t="inlineStr">
        <is>
          <t>A 7768-2024</t>
        </is>
      </c>
      <c r="B869" s="1" t="n">
        <v>45349</v>
      </c>
      <c r="C869" s="1" t="n">
        <v>45511</v>
      </c>
      <c r="D869" t="inlineStr">
        <is>
          <t>DALARNAS LÄN</t>
        </is>
      </c>
      <c r="E869" t="inlineStr">
        <is>
          <t>LEKSAND</t>
        </is>
      </c>
      <c r="G869" t="n">
        <v>5.4</v>
      </c>
      <c r="H869" t="n">
        <v>0</v>
      </c>
      <c r="I869" t="n">
        <v>0</v>
      </c>
      <c r="J869" t="n">
        <v>0</v>
      </c>
      <c r="K869" t="n">
        <v>0</v>
      </c>
      <c r="L869" t="n">
        <v>0</v>
      </c>
      <c r="M869" t="n">
        <v>0</v>
      </c>
      <c r="N869" t="n">
        <v>0</v>
      </c>
      <c r="O869" t="n">
        <v>0</v>
      </c>
      <c r="P869" t="n">
        <v>0</v>
      </c>
      <c r="Q869" t="n">
        <v>0</v>
      </c>
      <c r="R869" s="2" t="inlineStr"/>
    </row>
    <row r="870" ht="15" customHeight="1">
      <c r="A870" t="inlineStr">
        <is>
          <t>A 7773-2024</t>
        </is>
      </c>
      <c r="B870" s="1" t="n">
        <v>45349</v>
      </c>
      <c r="C870" s="1" t="n">
        <v>45511</v>
      </c>
      <c r="D870" t="inlineStr">
        <is>
          <t>DALARNAS LÄN</t>
        </is>
      </c>
      <c r="E870" t="inlineStr">
        <is>
          <t>LEKSAND</t>
        </is>
      </c>
      <c r="G870" t="n">
        <v>1.2</v>
      </c>
      <c r="H870" t="n">
        <v>0</v>
      </c>
      <c r="I870" t="n">
        <v>0</v>
      </c>
      <c r="J870" t="n">
        <v>0</v>
      </c>
      <c r="K870" t="n">
        <v>0</v>
      </c>
      <c r="L870" t="n">
        <v>0</v>
      </c>
      <c r="M870" t="n">
        <v>0</v>
      </c>
      <c r="N870" t="n">
        <v>0</v>
      </c>
      <c r="O870" t="n">
        <v>0</v>
      </c>
      <c r="P870" t="n">
        <v>0</v>
      </c>
      <c r="Q870" t="n">
        <v>0</v>
      </c>
      <c r="R870" s="2" t="inlineStr"/>
    </row>
    <row r="871" ht="15" customHeight="1">
      <c r="A871" t="inlineStr">
        <is>
          <t>A 7827-2024</t>
        </is>
      </c>
      <c r="B871" s="1" t="n">
        <v>45349</v>
      </c>
      <c r="C871" s="1" t="n">
        <v>45511</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7861-2024</t>
        </is>
      </c>
      <c r="B872" s="1" t="n">
        <v>45350</v>
      </c>
      <c r="C872" s="1" t="n">
        <v>45511</v>
      </c>
      <c r="D872" t="inlineStr">
        <is>
          <t>DALARNAS LÄN</t>
        </is>
      </c>
      <c r="E872" t="inlineStr">
        <is>
          <t>LEKSAND</t>
        </is>
      </c>
      <c r="G872" t="n">
        <v>1.8</v>
      </c>
      <c r="H872" t="n">
        <v>0</v>
      </c>
      <c r="I872" t="n">
        <v>0</v>
      </c>
      <c r="J872" t="n">
        <v>0</v>
      </c>
      <c r="K872" t="n">
        <v>0</v>
      </c>
      <c r="L872" t="n">
        <v>0</v>
      </c>
      <c r="M872" t="n">
        <v>0</v>
      </c>
      <c r="N872" t="n">
        <v>0</v>
      </c>
      <c r="O872" t="n">
        <v>0</v>
      </c>
      <c r="P872" t="n">
        <v>0</v>
      </c>
      <c r="Q872" t="n">
        <v>0</v>
      </c>
      <c r="R872" s="2" t="inlineStr"/>
    </row>
    <row r="873" ht="15" customHeight="1">
      <c r="A873" t="inlineStr">
        <is>
          <t>A 8046-2024</t>
        </is>
      </c>
      <c r="B873" s="1" t="n">
        <v>45351</v>
      </c>
      <c r="C873" s="1" t="n">
        <v>45511</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8045-2024</t>
        </is>
      </c>
      <c r="B874" s="1" t="n">
        <v>45351</v>
      </c>
      <c r="C874" s="1" t="n">
        <v>45511</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9781-2024</t>
        </is>
      </c>
      <c r="B875" s="1" t="n">
        <v>45362</v>
      </c>
      <c r="C875" s="1" t="n">
        <v>45511</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10299-2024</t>
        </is>
      </c>
      <c r="B876" s="1" t="n">
        <v>45365</v>
      </c>
      <c r="C876" s="1" t="n">
        <v>45511</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10462-2024</t>
        </is>
      </c>
      <c r="B877" s="1" t="n">
        <v>45366</v>
      </c>
      <c r="C877" s="1" t="n">
        <v>45511</v>
      </c>
      <c r="D877" t="inlineStr">
        <is>
          <t>DALARNAS LÄN</t>
        </is>
      </c>
      <c r="E877" t="inlineStr">
        <is>
          <t>LEKSAND</t>
        </is>
      </c>
      <c r="G877" t="n">
        <v>1.2</v>
      </c>
      <c r="H877" t="n">
        <v>0</v>
      </c>
      <c r="I877" t="n">
        <v>0</v>
      </c>
      <c r="J877" t="n">
        <v>0</v>
      </c>
      <c r="K877" t="n">
        <v>0</v>
      </c>
      <c r="L877" t="n">
        <v>0</v>
      </c>
      <c r="M877" t="n">
        <v>0</v>
      </c>
      <c r="N877" t="n">
        <v>0</v>
      </c>
      <c r="O877" t="n">
        <v>0</v>
      </c>
      <c r="P877" t="n">
        <v>0</v>
      </c>
      <c r="Q877" t="n">
        <v>0</v>
      </c>
      <c r="R877" s="2" t="inlineStr"/>
    </row>
    <row r="878" ht="15" customHeight="1">
      <c r="A878" t="inlineStr">
        <is>
          <t>A 10743-2024</t>
        </is>
      </c>
      <c r="B878" s="1" t="n">
        <v>45369</v>
      </c>
      <c r="C878" s="1" t="n">
        <v>45511</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10771-2024</t>
        </is>
      </c>
      <c r="B879" s="1" t="n">
        <v>45369</v>
      </c>
      <c r="C879" s="1" t="n">
        <v>45511</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11617-2024</t>
        </is>
      </c>
      <c r="B880" s="1" t="n">
        <v>45373</v>
      </c>
      <c r="C880" s="1" t="n">
        <v>45511</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11869-2024</t>
        </is>
      </c>
      <c r="B881" s="1" t="n">
        <v>45376</v>
      </c>
      <c r="C881" s="1" t="n">
        <v>45511</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11855-2024</t>
        </is>
      </c>
      <c r="B882" s="1" t="n">
        <v>45376</v>
      </c>
      <c r="C882" s="1" t="n">
        <v>45511</v>
      </c>
      <c r="D882" t="inlineStr">
        <is>
          <t>DALARNAS LÄN</t>
        </is>
      </c>
      <c r="E882" t="inlineStr">
        <is>
          <t>LEKSAND</t>
        </is>
      </c>
      <c r="G882" t="n">
        <v>4</v>
      </c>
      <c r="H882" t="n">
        <v>0</v>
      </c>
      <c r="I882" t="n">
        <v>0</v>
      </c>
      <c r="J882" t="n">
        <v>0</v>
      </c>
      <c r="K882" t="n">
        <v>0</v>
      </c>
      <c r="L882" t="n">
        <v>0</v>
      </c>
      <c r="M882" t="n">
        <v>0</v>
      </c>
      <c r="N882" t="n">
        <v>0</v>
      </c>
      <c r="O882" t="n">
        <v>0</v>
      </c>
      <c r="P882" t="n">
        <v>0</v>
      </c>
      <c r="Q882" t="n">
        <v>0</v>
      </c>
      <c r="R882" s="2" t="inlineStr"/>
      <c r="U882">
        <f>HYPERLINK("https://klasma.github.io/Logging_2029/knärot/A 11855-2024 karta knärot.png", "A 11855-2024")</f>
        <v/>
      </c>
      <c r="V882">
        <f>HYPERLINK("https://klasma.github.io/Logging_2029/klagomål/A 11855-2024 FSC-klagomål.docx", "A 11855-2024")</f>
        <v/>
      </c>
      <c r="W882">
        <f>HYPERLINK("https://klasma.github.io/Logging_2029/klagomålsmail/A 11855-2024 FSC-klagomål mail.docx", "A 11855-2024")</f>
        <v/>
      </c>
      <c r="X882">
        <f>HYPERLINK("https://klasma.github.io/Logging_2029/tillsyn/A 11855-2024 tillsynsbegäran.docx", "A 11855-2024")</f>
        <v/>
      </c>
      <c r="Y882">
        <f>HYPERLINK("https://klasma.github.io/Logging_2029/tillsynsmail/A 11855-2024 tillsynsbegäran mail.docx", "A 11855-2024")</f>
        <v/>
      </c>
    </row>
    <row r="883" ht="15" customHeight="1">
      <c r="A883" t="inlineStr">
        <is>
          <t>A 11859-2024</t>
        </is>
      </c>
      <c r="B883" s="1" t="n">
        <v>45376</v>
      </c>
      <c r="C883" s="1" t="n">
        <v>45511</v>
      </c>
      <c r="D883" t="inlineStr">
        <is>
          <t>DALARNAS LÄN</t>
        </is>
      </c>
      <c r="E883" t="inlineStr">
        <is>
          <t>LEKSAND</t>
        </is>
      </c>
      <c r="G883" t="n">
        <v>2.1</v>
      </c>
      <c r="H883" t="n">
        <v>0</v>
      </c>
      <c r="I883" t="n">
        <v>0</v>
      </c>
      <c r="J883" t="n">
        <v>0</v>
      </c>
      <c r="K883" t="n">
        <v>0</v>
      </c>
      <c r="L883" t="n">
        <v>0</v>
      </c>
      <c r="M883" t="n">
        <v>0</v>
      </c>
      <c r="N883" t="n">
        <v>0</v>
      </c>
      <c r="O883" t="n">
        <v>0</v>
      </c>
      <c r="P883" t="n">
        <v>0</v>
      </c>
      <c r="Q883" t="n">
        <v>0</v>
      </c>
      <c r="R883" s="2" t="inlineStr"/>
    </row>
    <row r="884" ht="15" customHeight="1">
      <c r="A884" t="inlineStr">
        <is>
          <t>A 11872-2024</t>
        </is>
      </c>
      <c r="B884" s="1" t="n">
        <v>45376</v>
      </c>
      <c r="C884" s="1" t="n">
        <v>45511</v>
      </c>
      <c r="D884" t="inlineStr">
        <is>
          <t>DALARNAS LÄN</t>
        </is>
      </c>
      <c r="E884" t="inlineStr">
        <is>
          <t>LEKSAND</t>
        </is>
      </c>
      <c r="G884" t="n">
        <v>3.1</v>
      </c>
      <c r="H884" t="n">
        <v>0</v>
      </c>
      <c r="I884" t="n">
        <v>0</v>
      </c>
      <c r="J884" t="n">
        <v>0</v>
      </c>
      <c r="K884" t="n">
        <v>0</v>
      </c>
      <c r="L884" t="n">
        <v>0</v>
      </c>
      <c r="M884" t="n">
        <v>0</v>
      </c>
      <c r="N884" t="n">
        <v>0</v>
      </c>
      <c r="O884" t="n">
        <v>0</v>
      </c>
      <c r="P884" t="n">
        <v>0</v>
      </c>
      <c r="Q884" t="n">
        <v>0</v>
      </c>
      <c r="R884" s="2" t="inlineStr"/>
    </row>
    <row r="885" ht="15" customHeight="1">
      <c r="A885" t="inlineStr">
        <is>
          <t>A 11870-2024</t>
        </is>
      </c>
      <c r="B885" s="1" t="n">
        <v>45376</v>
      </c>
      <c r="C885" s="1" t="n">
        <v>45511</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ht="15" customHeight="1">
      <c r="A886" t="inlineStr">
        <is>
          <t>A 12290-2024</t>
        </is>
      </c>
      <c r="B886" s="1" t="n">
        <v>45378</v>
      </c>
      <c r="C886" s="1" t="n">
        <v>45511</v>
      </c>
      <c r="D886" t="inlineStr">
        <is>
          <t>DALARNAS LÄN</t>
        </is>
      </c>
      <c r="E886" t="inlineStr">
        <is>
          <t>LEKSAND</t>
        </is>
      </c>
      <c r="G886" t="n">
        <v>2.5</v>
      </c>
      <c r="H886" t="n">
        <v>0</v>
      </c>
      <c r="I886" t="n">
        <v>0</v>
      </c>
      <c r="J886" t="n">
        <v>0</v>
      </c>
      <c r="K886" t="n">
        <v>0</v>
      </c>
      <c r="L886" t="n">
        <v>0</v>
      </c>
      <c r="M886" t="n">
        <v>0</v>
      </c>
      <c r="N886" t="n">
        <v>0</v>
      </c>
      <c r="O886" t="n">
        <v>0</v>
      </c>
      <c r="P886" t="n">
        <v>0</v>
      </c>
      <c r="Q886" t="n">
        <v>0</v>
      </c>
      <c r="R886" s="2" t="inlineStr"/>
    </row>
    <row r="887" ht="15" customHeight="1">
      <c r="A887" t="inlineStr">
        <is>
          <t>A 12481-2024</t>
        </is>
      </c>
      <c r="B887" s="1" t="n">
        <v>45379</v>
      </c>
      <c r="C887" s="1" t="n">
        <v>45511</v>
      </c>
      <c r="D887" t="inlineStr">
        <is>
          <t>DALARNAS LÄN</t>
        </is>
      </c>
      <c r="E887" t="inlineStr">
        <is>
          <t>LEKSAND</t>
        </is>
      </c>
      <c r="G887" t="n">
        <v>4.6</v>
      </c>
      <c r="H887" t="n">
        <v>0</v>
      </c>
      <c r="I887" t="n">
        <v>0</v>
      </c>
      <c r="J887" t="n">
        <v>0</v>
      </c>
      <c r="K887" t="n">
        <v>0</v>
      </c>
      <c r="L887" t="n">
        <v>0</v>
      </c>
      <c r="M887" t="n">
        <v>0</v>
      </c>
      <c r="N887" t="n">
        <v>0</v>
      </c>
      <c r="O887" t="n">
        <v>0</v>
      </c>
      <c r="P887" t="n">
        <v>0</v>
      </c>
      <c r="Q887" t="n">
        <v>0</v>
      </c>
      <c r="R887" s="2" t="inlineStr"/>
    </row>
    <row r="888" ht="15" customHeight="1">
      <c r="A888" t="inlineStr">
        <is>
          <t>A 13161-2024</t>
        </is>
      </c>
      <c r="B888" s="1" t="n">
        <v>45386</v>
      </c>
      <c r="C888" s="1" t="n">
        <v>45511</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13165-2024</t>
        </is>
      </c>
      <c r="B889" s="1" t="n">
        <v>45386</v>
      </c>
      <c r="C889" s="1" t="n">
        <v>45511</v>
      </c>
      <c r="D889" t="inlineStr">
        <is>
          <t>DALARNAS LÄN</t>
        </is>
      </c>
      <c r="E889" t="inlineStr">
        <is>
          <t>LEKSAND</t>
        </is>
      </c>
      <c r="G889" t="n">
        <v>3.4</v>
      </c>
      <c r="H889" t="n">
        <v>0</v>
      </c>
      <c r="I889" t="n">
        <v>0</v>
      </c>
      <c r="J889" t="n">
        <v>0</v>
      </c>
      <c r="K889" t="n">
        <v>0</v>
      </c>
      <c r="L889" t="n">
        <v>0</v>
      </c>
      <c r="M889" t="n">
        <v>0</v>
      </c>
      <c r="N889" t="n">
        <v>0</v>
      </c>
      <c r="O889" t="n">
        <v>0</v>
      </c>
      <c r="P889" t="n">
        <v>0</v>
      </c>
      <c r="Q889" t="n">
        <v>0</v>
      </c>
      <c r="R889" s="2" t="inlineStr"/>
    </row>
    <row r="890" ht="15" customHeight="1">
      <c r="A890" t="inlineStr">
        <is>
          <t>A 13741-2024</t>
        </is>
      </c>
      <c r="B890" s="1" t="n">
        <v>45390</v>
      </c>
      <c r="C890" s="1" t="n">
        <v>45511</v>
      </c>
      <c r="D890" t="inlineStr">
        <is>
          <t>DALARNAS LÄN</t>
        </is>
      </c>
      <c r="E890" t="inlineStr">
        <is>
          <t>LEKSAND</t>
        </is>
      </c>
      <c r="G890" t="n">
        <v>5.9</v>
      </c>
      <c r="H890" t="n">
        <v>0</v>
      </c>
      <c r="I890" t="n">
        <v>0</v>
      </c>
      <c r="J890" t="n">
        <v>0</v>
      </c>
      <c r="K890" t="n">
        <v>0</v>
      </c>
      <c r="L890" t="n">
        <v>0</v>
      </c>
      <c r="M890" t="n">
        <v>0</v>
      </c>
      <c r="N890" t="n">
        <v>0</v>
      </c>
      <c r="O890" t="n">
        <v>0</v>
      </c>
      <c r="P890" t="n">
        <v>0</v>
      </c>
      <c r="Q890" t="n">
        <v>0</v>
      </c>
      <c r="R890" s="2" t="inlineStr"/>
    </row>
    <row r="891" ht="15" customHeight="1">
      <c r="A891" t="inlineStr">
        <is>
          <t>A 13783-2024</t>
        </is>
      </c>
      <c r="B891" s="1" t="n">
        <v>45391</v>
      </c>
      <c r="C891" s="1" t="n">
        <v>45511</v>
      </c>
      <c r="D891" t="inlineStr">
        <is>
          <t>DALARNAS LÄN</t>
        </is>
      </c>
      <c r="E891" t="inlineStr">
        <is>
          <t>LEKSAND</t>
        </is>
      </c>
      <c r="G891" t="n">
        <v>1.3</v>
      </c>
      <c r="H891" t="n">
        <v>0</v>
      </c>
      <c r="I891" t="n">
        <v>0</v>
      </c>
      <c r="J891" t="n">
        <v>0</v>
      </c>
      <c r="K891" t="n">
        <v>0</v>
      </c>
      <c r="L891" t="n">
        <v>0</v>
      </c>
      <c r="M891" t="n">
        <v>0</v>
      </c>
      <c r="N891" t="n">
        <v>0</v>
      </c>
      <c r="O891" t="n">
        <v>0</v>
      </c>
      <c r="P891" t="n">
        <v>0</v>
      </c>
      <c r="Q891" t="n">
        <v>0</v>
      </c>
      <c r="R891" s="2" t="inlineStr"/>
    </row>
    <row r="892" ht="15" customHeight="1">
      <c r="A892" t="inlineStr">
        <is>
          <t>A 13811-2024</t>
        </is>
      </c>
      <c r="B892" s="1" t="n">
        <v>45391</v>
      </c>
      <c r="C892" s="1" t="n">
        <v>45511</v>
      </c>
      <c r="D892" t="inlineStr">
        <is>
          <t>DALARNAS LÄN</t>
        </is>
      </c>
      <c r="E892" t="inlineStr">
        <is>
          <t>LEKSAND</t>
        </is>
      </c>
      <c r="G892" t="n">
        <v>0.8</v>
      </c>
      <c r="H892" t="n">
        <v>0</v>
      </c>
      <c r="I892" t="n">
        <v>0</v>
      </c>
      <c r="J892" t="n">
        <v>0</v>
      </c>
      <c r="K892" t="n">
        <v>0</v>
      </c>
      <c r="L892" t="n">
        <v>0</v>
      </c>
      <c r="M892" t="n">
        <v>0</v>
      </c>
      <c r="N892" t="n">
        <v>0</v>
      </c>
      <c r="O892" t="n">
        <v>0</v>
      </c>
      <c r="P892" t="n">
        <v>0</v>
      </c>
      <c r="Q892" t="n">
        <v>0</v>
      </c>
      <c r="R892" s="2" t="inlineStr"/>
    </row>
    <row r="893" ht="15" customHeight="1">
      <c r="A893" t="inlineStr">
        <is>
          <t>A 13990-2024</t>
        </is>
      </c>
      <c r="B893" s="1" t="n">
        <v>45392</v>
      </c>
      <c r="C893" s="1" t="n">
        <v>45511</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14276-2024</t>
        </is>
      </c>
      <c r="B894" s="1" t="n">
        <v>45393</v>
      </c>
      <c r="C894" s="1" t="n">
        <v>45511</v>
      </c>
      <c r="D894" t="inlineStr">
        <is>
          <t>DALARNAS LÄN</t>
        </is>
      </c>
      <c r="E894" t="inlineStr">
        <is>
          <t>LEKSAND</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14616-2024</t>
        </is>
      </c>
      <c r="B895" s="1" t="n">
        <v>45397</v>
      </c>
      <c r="C895" s="1" t="n">
        <v>45511</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14615-2024</t>
        </is>
      </c>
      <c r="B896" s="1" t="n">
        <v>45397</v>
      </c>
      <c r="C896" s="1" t="n">
        <v>45511</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14614-2024</t>
        </is>
      </c>
      <c r="B897" s="1" t="n">
        <v>45397</v>
      </c>
      <c r="C897" s="1" t="n">
        <v>45511</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14661-2024</t>
        </is>
      </c>
      <c r="B898" s="1" t="n">
        <v>45397</v>
      </c>
      <c r="C898" s="1" t="n">
        <v>45511</v>
      </c>
      <c r="D898" t="inlineStr">
        <is>
          <t>DALARNAS LÄN</t>
        </is>
      </c>
      <c r="E898" t="inlineStr">
        <is>
          <t>LEKSAND</t>
        </is>
      </c>
      <c r="G898" t="n">
        <v>1</v>
      </c>
      <c r="H898" t="n">
        <v>0</v>
      </c>
      <c r="I898" t="n">
        <v>0</v>
      </c>
      <c r="J898" t="n">
        <v>0</v>
      </c>
      <c r="K898" t="n">
        <v>0</v>
      </c>
      <c r="L898" t="n">
        <v>0</v>
      </c>
      <c r="M898" t="n">
        <v>0</v>
      </c>
      <c r="N898" t="n">
        <v>0</v>
      </c>
      <c r="O898" t="n">
        <v>0</v>
      </c>
      <c r="P898" t="n">
        <v>0</v>
      </c>
      <c r="Q898" t="n">
        <v>0</v>
      </c>
      <c r="R898" s="2" t="inlineStr"/>
    </row>
    <row r="899" ht="15" customHeight="1">
      <c r="A899" t="inlineStr">
        <is>
          <t>A 14688-2024</t>
        </is>
      </c>
      <c r="B899" s="1" t="n">
        <v>45397</v>
      </c>
      <c r="C899" s="1" t="n">
        <v>45511</v>
      </c>
      <c r="D899" t="inlineStr">
        <is>
          <t>DALARNAS LÄN</t>
        </is>
      </c>
      <c r="E899" t="inlineStr">
        <is>
          <t>LEKSAND</t>
        </is>
      </c>
      <c r="G899" t="n">
        <v>3.2</v>
      </c>
      <c r="H899" t="n">
        <v>0</v>
      </c>
      <c r="I899" t="n">
        <v>0</v>
      </c>
      <c r="J899" t="n">
        <v>0</v>
      </c>
      <c r="K899" t="n">
        <v>0</v>
      </c>
      <c r="L899" t="n">
        <v>0</v>
      </c>
      <c r="M899" t="n">
        <v>0</v>
      </c>
      <c r="N899" t="n">
        <v>0</v>
      </c>
      <c r="O899" t="n">
        <v>0</v>
      </c>
      <c r="P899" t="n">
        <v>0</v>
      </c>
      <c r="Q899" t="n">
        <v>0</v>
      </c>
      <c r="R899" s="2" t="inlineStr"/>
    </row>
    <row r="900" ht="15" customHeight="1">
      <c r="A900" t="inlineStr">
        <is>
          <t>A 14792-2024</t>
        </is>
      </c>
      <c r="B900" s="1" t="n">
        <v>45397</v>
      </c>
      <c r="C900" s="1" t="n">
        <v>45511</v>
      </c>
      <c r="D900" t="inlineStr">
        <is>
          <t>DALARNAS LÄN</t>
        </is>
      </c>
      <c r="E900" t="inlineStr">
        <is>
          <t>LEKSAND</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14617-2024</t>
        </is>
      </c>
      <c r="B901" s="1" t="n">
        <v>45397</v>
      </c>
      <c r="C901" s="1" t="n">
        <v>45511</v>
      </c>
      <c r="D901" t="inlineStr">
        <is>
          <t>DALARNAS LÄN</t>
        </is>
      </c>
      <c r="E901" t="inlineStr">
        <is>
          <t>LEKSAND</t>
        </is>
      </c>
      <c r="G901" t="n">
        <v>0.2</v>
      </c>
      <c r="H901" t="n">
        <v>0</v>
      </c>
      <c r="I901" t="n">
        <v>0</v>
      </c>
      <c r="J901" t="n">
        <v>0</v>
      </c>
      <c r="K901" t="n">
        <v>0</v>
      </c>
      <c r="L901" t="n">
        <v>0</v>
      </c>
      <c r="M901" t="n">
        <v>0</v>
      </c>
      <c r="N901" t="n">
        <v>0</v>
      </c>
      <c r="O901" t="n">
        <v>0</v>
      </c>
      <c r="P901" t="n">
        <v>0</v>
      </c>
      <c r="Q901" t="n">
        <v>0</v>
      </c>
      <c r="R901" s="2" t="inlineStr"/>
    </row>
    <row r="902" ht="15" customHeight="1">
      <c r="A902" t="inlineStr">
        <is>
          <t>A 14659-2024</t>
        </is>
      </c>
      <c r="B902" s="1" t="n">
        <v>45397</v>
      </c>
      <c r="C902" s="1" t="n">
        <v>45511</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14908-2024</t>
        </is>
      </c>
      <c r="B903" s="1" t="n">
        <v>45398</v>
      </c>
      <c r="C903" s="1" t="n">
        <v>45511</v>
      </c>
      <c r="D903" t="inlineStr">
        <is>
          <t>DALARNAS LÄN</t>
        </is>
      </c>
      <c r="E903" t="inlineStr">
        <is>
          <t>LEKSAND</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14957-2024</t>
        </is>
      </c>
      <c r="B904" s="1" t="n">
        <v>45398</v>
      </c>
      <c r="C904" s="1" t="n">
        <v>45511</v>
      </c>
      <c r="D904" t="inlineStr">
        <is>
          <t>DALARNAS LÄN</t>
        </is>
      </c>
      <c r="E904" t="inlineStr">
        <is>
          <t>LEKSAND</t>
        </is>
      </c>
      <c r="G904" t="n">
        <v>11.5</v>
      </c>
      <c r="H904" t="n">
        <v>0</v>
      </c>
      <c r="I904" t="n">
        <v>0</v>
      </c>
      <c r="J904" t="n">
        <v>0</v>
      </c>
      <c r="K904" t="n">
        <v>0</v>
      </c>
      <c r="L904" t="n">
        <v>0</v>
      </c>
      <c r="M904" t="n">
        <v>0</v>
      </c>
      <c r="N904" t="n">
        <v>0</v>
      </c>
      <c r="O904" t="n">
        <v>0</v>
      </c>
      <c r="P904" t="n">
        <v>0</v>
      </c>
      <c r="Q904" t="n">
        <v>0</v>
      </c>
      <c r="R904" s="2" t="inlineStr"/>
    </row>
    <row r="905" ht="15" customHeight="1">
      <c r="A905" t="inlineStr">
        <is>
          <t>A 14903-2024</t>
        </is>
      </c>
      <c r="B905" s="1" t="n">
        <v>45398</v>
      </c>
      <c r="C905" s="1" t="n">
        <v>45511</v>
      </c>
      <c r="D905" t="inlineStr">
        <is>
          <t>DALARNAS LÄN</t>
        </is>
      </c>
      <c r="E905" t="inlineStr">
        <is>
          <t>LEKSAND</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15621-2024</t>
        </is>
      </c>
      <c r="B906" s="1" t="n">
        <v>45402</v>
      </c>
      <c r="C906" s="1" t="n">
        <v>45511</v>
      </c>
      <c r="D906" t="inlineStr">
        <is>
          <t>DALARNAS LÄN</t>
        </is>
      </c>
      <c r="E906" t="inlineStr">
        <is>
          <t>LEKSAND</t>
        </is>
      </c>
      <c r="G906" t="n">
        <v>1.6</v>
      </c>
      <c r="H906" t="n">
        <v>0</v>
      </c>
      <c r="I906" t="n">
        <v>0</v>
      </c>
      <c r="J906" t="n">
        <v>0</v>
      </c>
      <c r="K906" t="n">
        <v>0</v>
      </c>
      <c r="L906" t="n">
        <v>0</v>
      </c>
      <c r="M906" t="n">
        <v>0</v>
      </c>
      <c r="N906" t="n">
        <v>0</v>
      </c>
      <c r="O906" t="n">
        <v>0</v>
      </c>
      <c r="P906" t="n">
        <v>0</v>
      </c>
      <c r="Q906" t="n">
        <v>0</v>
      </c>
      <c r="R906" s="2" t="inlineStr"/>
    </row>
    <row r="907" ht="15" customHeight="1">
      <c r="A907" t="inlineStr">
        <is>
          <t>A 15680-2024</t>
        </is>
      </c>
      <c r="B907" s="1" t="n">
        <v>45404</v>
      </c>
      <c r="C907" s="1" t="n">
        <v>45511</v>
      </c>
      <c r="D907" t="inlineStr">
        <is>
          <t>DALARNAS LÄN</t>
        </is>
      </c>
      <c r="E907" t="inlineStr">
        <is>
          <t>LEKSAND</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15681-2024</t>
        </is>
      </c>
      <c r="B908" s="1" t="n">
        <v>45404</v>
      </c>
      <c r="C908" s="1" t="n">
        <v>45511</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15808-2024</t>
        </is>
      </c>
      <c r="B909" s="1" t="n">
        <v>45404</v>
      </c>
      <c r="C909" s="1" t="n">
        <v>45511</v>
      </c>
      <c r="D909" t="inlineStr">
        <is>
          <t>DALARNAS LÄN</t>
        </is>
      </c>
      <c r="E909" t="inlineStr">
        <is>
          <t>LEKSAND</t>
        </is>
      </c>
      <c r="G909" t="n">
        <v>2.8</v>
      </c>
      <c r="H909" t="n">
        <v>0</v>
      </c>
      <c r="I909" t="n">
        <v>0</v>
      </c>
      <c r="J909" t="n">
        <v>0</v>
      </c>
      <c r="K909" t="n">
        <v>0</v>
      </c>
      <c r="L909" t="n">
        <v>0</v>
      </c>
      <c r="M909" t="n">
        <v>0</v>
      </c>
      <c r="N909" t="n">
        <v>0</v>
      </c>
      <c r="O909" t="n">
        <v>0</v>
      </c>
      <c r="P909" t="n">
        <v>0</v>
      </c>
      <c r="Q909" t="n">
        <v>0</v>
      </c>
      <c r="R909" s="2" t="inlineStr"/>
    </row>
    <row r="910" ht="15" customHeight="1">
      <c r="A910" t="inlineStr">
        <is>
          <t>A 16197-2024</t>
        </is>
      </c>
      <c r="B910" s="1" t="n">
        <v>45406</v>
      </c>
      <c r="C910" s="1" t="n">
        <v>45511</v>
      </c>
      <c r="D910" t="inlineStr">
        <is>
          <t>DALARNAS LÄN</t>
        </is>
      </c>
      <c r="E910" t="inlineStr">
        <is>
          <t>LEKSAND</t>
        </is>
      </c>
      <c r="G910" t="n">
        <v>2.4</v>
      </c>
      <c r="H910" t="n">
        <v>0</v>
      </c>
      <c r="I910" t="n">
        <v>0</v>
      </c>
      <c r="J910" t="n">
        <v>0</v>
      </c>
      <c r="K910" t="n">
        <v>0</v>
      </c>
      <c r="L910" t="n">
        <v>0</v>
      </c>
      <c r="M910" t="n">
        <v>0</v>
      </c>
      <c r="N910" t="n">
        <v>0</v>
      </c>
      <c r="O910" t="n">
        <v>0</v>
      </c>
      <c r="P910" t="n">
        <v>0</v>
      </c>
      <c r="Q910" t="n">
        <v>0</v>
      </c>
      <c r="R910" s="2" t="inlineStr"/>
    </row>
    <row r="911" ht="15" customHeight="1">
      <c r="A911" t="inlineStr">
        <is>
          <t>A 16265-2024</t>
        </is>
      </c>
      <c r="B911" s="1" t="n">
        <v>45407</v>
      </c>
      <c r="C911" s="1" t="n">
        <v>45511</v>
      </c>
      <c r="D911" t="inlineStr">
        <is>
          <t>DALARNAS LÄN</t>
        </is>
      </c>
      <c r="E911" t="inlineStr">
        <is>
          <t>LEKSAND</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16417-2024</t>
        </is>
      </c>
      <c r="B912" s="1" t="n">
        <v>45407</v>
      </c>
      <c r="C912" s="1" t="n">
        <v>45511</v>
      </c>
      <c r="D912" t="inlineStr">
        <is>
          <t>DALARNAS LÄN</t>
        </is>
      </c>
      <c r="E912" t="inlineStr">
        <is>
          <t>LEKSAND</t>
        </is>
      </c>
      <c r="F912" t="inlineStr">
        <is>
          <t>Bergvik skog väst AB</t>
        </is>
      </c>
      <c r="G912" t="n">
        <v>17.4</v>
      </c>
      <c r="H912" t="n">
        <v>0</v>
      </c>
      <c r="I912" t="n">
        <v>0</v>
      </c>
      <c r="J912" t="n">
        <v>0</v>
      </c>
      <c r="K912" t="n">
        <v>0</v>
      </c>
      <c r="L912" t="n">
        <v>0</v>
      </c>
      <c r="M912" t="n">
        <v>0</v>
      </c>
      <c r="N912" t="n">
        <v>0</v>
      </c>
      <c r="O912" t="n">
        <v>0</v>
      </c>
      <c r="P912" t="n">
        <v>0</v>
      </c>
      <c r="Q912" t="n">
        <v>0</v>
      </c>
      <c r="R912" s="2" t="inlineStr"/>
    </row>
    <row r="913" ht="15" customHeight="1">
      <c r="A913" t="inlineStr">
        <is>
          <t>A 16264-2024</t>
        </is>
      </c>
      <c r="B913" s="1" t="n">
        <v>45407</v>
      </c>
      <c r="C913" s="1" t="n">
        <v>45511</v>
      </c>
      <c r="D913" t="inlineStr">
        <is>
          <t>DALARNAS LÄN</t>
        </is>
      </c>
      <c r="E913" t="inlineStr">
        <is>
          <t>LEKSAND</t>
        </is>
      </c>
      <c r="F913" t="inlineStr">
        <is>
          <t>Bergvik skog väst AB</t>
        </is>
      </c>
      <c r="G913" t="n">
        <v>1.8</v>
      </c>
      <c r="H913" t="n">
        <v>0</v>
      </c>
      <c r="I913" t="n">
        <v>0</v>
      </c>
      <c r="J913" t="n">
        <v>0</v>
      </c>
      <c r="K913" t="n">
        <v>0</v>
      </c>
      <c r="L913" t="n">
        <v>0</v>
      </c>
      <c r="M913" t="n">
        <v>0</v>
      </c>
      <c r="N913" t="n">
        <v>0</v>
      </c>
      <c r="O913" t="n">
        <v>0</v>
      </c>
      <c r="P913" t="n">
        <v>0</v>
      </c>
      <c r="Q913" t="n">
        <v>0</v>
      </c>
      <c r="R913" s="2" t="inlineStr"/>
    </row>
    <row r="914" ht="15" customHeight="1">
      <c r="A914" t="inlineStr">
        <is>
          <t>A 16420-2024</t>
        </is>
      </c>
      <c r="B914" s="1" t="n">
        <v>45407</v>
      </c>
      <c r="C914" s="1" t="n">
        <v>45511</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16581-2024</t>
        </is>
      </c>
      <c r="B915" s="1" t="n">
        <v>45408</v>
      </c>
      <c r="C915" s="1" t="n">
        <v>45511</v>
      </c>
      <c r="D915" t="inlineStr">
        <is>
          <t>DALARNAS LÄN</t>
        </is>
      </c>
      <c r="E915" t="inlineStr">
        <is>
          <t>LEKSAND</t>
        </is>
      </c>
      <c r="G915" t="n">
        <v>2.6</v>
      </c>
      <c r="H915" t="n">
        <v>0</v>
      </c>
      <c r="I915" t="n">
        <v>0</v>
      </c>
      <c r="J915" t="n">
        <v>0</v>
      </c>
      <c r="K915" t="n">
        <v>0</v>
      </c>
      <c r="L915" t="n">
        <v>0</v>
      </c>
      <c r="M915" t="n">
        <v>0</v>
      </c>
      <c r="N915" t="n">
        <v>0</v>
      </c>
      <c r="O915" t="n">
        <v>0</v>
      </c>
      <c r="P915" t="n">
        <v>0</v>
      </c>
      <c r="Q915" t="n">
        <v>0</v>
      </c>
      <c r="R915" s="2" t="inlineStr"/>
    </row>
    <row r="916" ht="15" customHeight="1">
      <c r="A916" t="inlineStr">
        <is>
          <t>A 16611-2024</t>
        </is>
      </c>
      <c r="B916" s="1" t="n">
        <v>45408</v>
      </c>
      <c r="C916" s="1" t="n">
        <v>45511</v>
      </c>
      <c r="D916" t="inlineStr">
        <is>
          <t>DALARNAS LÄN</t>
        </is>
      </c>
      <c r="E916" t="inlineStr">
        <is>
          <t>LEKSAND</t>
        </is>
      </c>
      <c r="G916" t="n">
        <v>5.9</v>
      </c>
      <c r="H916" t="n">
        <v>0</v>
      </c>
      <c r="I916" t="n">
        <v>0</v>
      </c>
      <c r="J916" t="n">
        <v>0</v>
      </c>
      <c r="K916" t="n">
        <v>0</v>
      </c>
      <c r="L916" t="n">
        <v>0</v>
      </c>
      <c r="M916" t="n">
        <v>0</v>
      </c>
      <c r="N916" t="n">
        <v>0</v>
      </c>
      <c r="O916" t="n">
        <v>0</v>
      </c>
      <c r="P916" t="n">
        <v>0</v>
      </c>
      <c r="Q916" t="n">
        <v>0</v>
      </c>
      <c r="R916" s="2" t="inlineStr"/>
    </row>
    <row r="917" ht="15" customHeight="1">
      <c r="A917" t="inlineStr">
        <is>
          <t>A 16894-2024</t>
        </is>
      </c>
      <c r="B917" s="1" t="n">
        <v>45411</v>
      </c>
      <c r="C917" s="1" t="n">
        <v>45511</v>
      </c>
      <c r="D917" t="inlineStr">
        <is>
          <t>DALARNAS LÄN</t>
        </is>
      </c>
      <c r="E917" t="inlineStr">
        <is>
          <t>LEKSAND</t>
        </is>
      </c>
      <c r="F917" t="inlineStr">
        <is>
          <t>Bergvik skog väst AB</t>
        </is>
      </c>
      <c r="G917" t="n">
        <v>3.7</v>
      </c>
      <c r="H917" t="n">
        <v>0</v>
      </c>
      <c r="I917" t="n">
        <v>0</v>
      </c>
      <c r="J917" t="n">
        <v>0</v>
      </c>
      <c r="K917" t="n">
        <v>0</v>
      </c>
      <c r="L917" t="n">
        <v>0</v>
      </c>
      <c r="M917" t="n">
        <v>0</v>
      </c>
      <c r="N917" t="n">
        <v>0</v>
      </c>
      <c r="O917" t="n">
        <v>0</v>
      </c>
      <c r="P917" t="n">
        <v>0</v>
      </c>
      <c r="Q917" t="n">
        <v>0</v>
      </c>
      <c r="R917" s="2" t="inlineStr"/>
    </row>
    <row r="918" ht="15" customHeight="1">
      <c r="A918" t="inlineStr">
        <is>
          <t>A 17198-2024</t>
        </is>
      </c>
      <c r="B918" s="1" t="n">
        <v>45413</v>
      </c>
      <c r="C918" s="1" t="n">
        <v>45511</v>
      </c>
      <c r="D918" t="inlineStr">
        <is>
          <t>DALARNAS LÄN</t>
        </is>
      </c>
      <c r="E918" t="inlineStr">
        <is>
          <t>LEKSAND</t>
        </is>
      </c>
      <c r="G918" t="n">
        <v>4.8</v>
      </c>
      <c r="H918" t="n">
        <v>0</v>
      </c>
      <c r="I918" t="n">
        <v>0</v>
      </c>
      <c r="J918" t="n">
        <v>0</v>
      </c>
      <c r="K918" t="n">
        <v>0</v>
      </c>
      <c r="L918" t="n">
        <v>0</v>
      </c>
      <c r="M918" t="n">
        <v>0</v>
      </c>
      <c r="N918" t="n">
        <v>0</v>
      </c>
      <c r="O918" t="n">
        <v>0</v>
      </c>
      <c r="P918" t="n">
        <v>0</v>
      </c>
      <c r="Q918" t="n">
        <v>0</v>
      </c>
      <c r="R918" s="2" t="inlineStr"/>
    </row>
    <row r="919" ht="15" customHeight="1">
      <c r="A919" t="inlineStr">
        <is>
          <t>A 17353-2024</t>
        </is>
      </c>
      <c r="B919" s="1" t="n">
        <v>45414</v>
      </c>
      <c r="C919" s="1" t="n">
        <v>45511</v>
      </c>
      <c r="D919" t="inlineStr">
        <is>
          <t>DALARNAS LÄN</t>
        </is>
      </c>
      <c r="E919" t="inlineStr">
        <is>
          <t>LEKSAND</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17606-2024</t>
        </is>
      </c>
      <c r="B920" s="1" t="n">
        <v>45415</v>
      </c>
      <c r="C920" s="1" t="n">
        <v>45511</v>
      </c>
      <c r="D920" t="inlineStr">
        <is>
          <t>DALARNAS LÄN</t>
        </is>
      </c>
      <c r="E920" t="inlineStr">
        <is>
          <t>LEKSAND</t>
        </is>
      </c>
      <c r="G920" t="n">
        <v>0.6</v>
      </c>
      <c r="H920" t="n">
        <v>0</v>
      </c>
      <c r="I920" t="n">
        <v>0</v>
      </c>
      <c r="J920" t="n">
        <v>0</v>
      </c>
      <c r="K920" t="n">
        <v>0</v>
      </c>
      <c r="L920" t="n">
        <v>0</v>
      </c>
      <c r="M920" t="n">
        <v>0</v>
      </c>
      <c r="N920" t="n">
        <v>0</v>
      </c>
      <c r="O920" t="n">
        <v>0</v>
      </c>
      <c r="P920" t="n">
        <v>0</v>
      </c>
      <c r="Q920" t="n">
        <v>0</v>
      </c>
      <c r="R920" s="2" t="inlineStr"/>
    </row>
    <row r="921" ht="15" customHeight="1">
      <c r="A921" t="inlineStr">
        <is>
          <t>A 17796-2024</t>
        </is>
      </c>
      <c r="B921" s="1" t="n">
        <v>45418</v>
      </c>
      <c r="C921" s="1" t="n">
        <v>45511</v>
      </c>
      <c r="D921" t="inlineStr">
        <is>
          <t>DALARNAS LÄN</t>
        </is>
      </c>
      <c r="E921" t="inlineStr">
        <is>
          <t>LEKSAND</t>
        </is>
      </c>
      <c r="G921" t="n">
        <v>3.4</v>
      </c>
      <c r="H921" t="n">
        <v>0</v>
      </c>
      <c r="I921" t="n">
        <v>0</v>
      </c>
      <c r="J921" t="n">
        <v>0</v>
      </c>
      <c r="K921" t="n">
        <v>0</v>
      </c>
      <c r="L921" t="n">
        <v>0</v>
      </c>
      <c r="M921" t="n">
        <v>0</v>
      </c>
      <c r="N921" t="n">
        <v>0</v>
      </c>
      <c r="O921" t="n">
        <v>0</v>
      </c>
      <c r="P921" t="n">
        <v>0</v>
      </c>
      <c r="Q921" t="n">
        <v>0</v>
      </c>
      <c r="R921" s="2" t="inlineStr"/>
    </row>
    <row r="922" ht="15" customHeight="1">
      <c r="A922" t="inlineStr">
        <is>
          <t>A 17726-2024</t>
        </is>
      </c>
      <c r="B922" s="1" t="n">
        <v>45418</v>
      </c>
      <c r="C922" s="1" t="n">
        <v>45511</v>
      </c>
      <c r="D922" t="inlineStr">
        <is>
          <t>DALARNAS LÄN</t>
        </is>
      </c>
      <c r="E922" t="inlineStr">
        <is>
          <t>LEKSAND</t>
        </is>
      </c>
      <c r="G922" t="n">
        <v>5.2</v>
      </c>
      <c r="H922" t="n">
        <v>0</v>
      </c>
      <c r="I922" t="n">
        <v>0</v>
      </c>
      <c r="J922" t="n">
        <v>0</v>
      </c>
      <c r="K922" t="n">
        <v>0</v>
      </c>
      <c r="L922" t="n">
        <v>0</v>
      </c>
      <c r="M922" t="n">
        <v>0</v>
      </c>
      <c r="N922" t="n">
        <v>0</v>
      </c>
      <c r="O922" t="n">
        <v>0</v>
      </c>
      <c r="P922" t="n">
        <v>0</v>
      </c>
      <c r="Q922" t="n">
        <v>0</v>
      </c>
      <c r="R922" s="2" t="inlineStr"/>
    </row>
    <row r="923" ht="15" customHeight="1">
      <c r="A923" t="inlineStr">
        <is>
          <t>A 17730-2024</t>
        </is>
      </c>
      <c r="B923" s="1" t="n">
        <v>45418</v>
      </c>
      <c r="C923" s="1" t="n">
        <v>45511</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17938-2024</t>
        </is>
      </c>
      <c r="B924" s="1" t="n">
        <v>45419</v>
      </c>
      <c r="C924" s="1" t="n">
        <v>45511</v>
      </c>
      <c r="D924" t="inlineStr">
        <is>
          <t>DALARNAS LÄN</t>
        </is>
      </c>
      <c r="E924" t="inlineStr">
        <is>
          <t>LEKSAND</t>
        </is>
      </c>
      <c r="G924" t="n">
        <v>3.8</v>
      </c>
      <c r="H924" t="n">
        <v>0</v>
      </c>
      <c r="I924" t="n">
        <v>0</v>
      </c>
      <c r="J924" t="n">
        <v>0</v>
      </c>
      <c r="K924" t="n">
        <v>0</v>
      </c>
      <c r="L924" t="n">
        <v>0</v>
      </c>
      <c r="M924" t="n">
        <v>0</v>
      </c>
      <c r="N924" t="n">
        <v>0</v>
      </c>
      <c r="O924" t="n">
        <v>0</v>
      </c>
      <c r="P924" t="n">
        <v>0</v>
      </c>
      <c r="Q924" t="n">
        <v>0</v>
      </c>
      <c r="R924" s="2" t="inlineStr"/>
    </row>
    <row r="925" ht="15" customHeight="1">
      <c r="A925" t="inlineStr">
        <is>
          <t>A 17944-2024</t>
        </is>
      </c>
      <c r="B925" s="1" t="n">
        <v>45419</v>
      </c>
      <c r="C925" s="1" t="n">
        <v>45511</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ht="15" customHeight="1">
      <c r="A926" t="inlineStr">
        <is>
          <t>A 18040-2024</t>
        </is>
      </c>
      <c r="B926" s="1" t="n">
        <v>45420</v>
      </c>
      <c r="C926" s="1" t="n">
        <v>45511</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18176-2024</t>
        </is>
      </c>
      <c r="B927" s="1" t="n">
        <v>45420</v>
      </c>
      <c r="C927" s="1" t="n">
        <v>45511</v>
      </c>
      <c r="D927" t="inlineStr">
        <is>
          <t>DALARNAS LÄN</t>
        </is>
      </c>
      <c r="E927" t="inlineStr">
        <is>
          <t>LEKSAND</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18484-2024</t>
        </is>
      </c>
      <c r="B928" s="1" t="n">
        <v>45425</v>
      </c>
      <c r="C928" s="1" t="n">
        <v>45511</v>
      </c>
      <c r="D928" t="inlineStr">
        <is>
          <t>DALARNAS LÄN</t>
        </is>
      </c>
      <c r="E928" t="inlineStr">
        <is>
          <t>LEKSAND</t>
        </is>
      </c>
      <c r="G928" t="n">
        <v>2</v>
      </c>
      <c r="H928" t="n">
        <v>0</v>
      </c>
      <c r="I928" t="n">
        <v>0</v>
      </c>
      <c r="J928" t="n">
        <v>0</v>
      </c>
      <c r="K928" t="n">
        <v>0</v>
      </c>
      <c r="L928" t="n">
        <v>0</v>
      </c>
      <c r="M928" t="n">
        <v>0</v>
      </c>
      <c r="N928" t="n">
        <v>0</v>
      </c>
      <c r="O928" t="n">
        <v>0</v>
      </c>
      <c r="P928" t="n">
        <v>0</v>
      </c>
      <c r="Q928" t="n">
        <v>0</v>
      </c>
      <c r="R928" s="2" t="inlineStr"/>
    </row>
    <row r="929" ht="15" customHeight="1">
      <c r="A929" t="inlineStr">
        <is>
          <t>A 18481-2024</t>
        </is>
      </c>
      <c r="B929" s="1" t="n">
        <v>45425</v>
      </c>
      <c r="C929" s="1" t="n">
        <v>45511</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18483-2024</t>
        </is>
      </c>
      <c r="B930" s="1" t="n">
        <v>45425</v>
      </c>
      <c r="C930" s="1" t="n">
        <v>45511</v>
      </c>
      <c r="D930" t="inlineStr">
        <is>
          <t>DALARNAS LÄN</t>
        </is>
      </c>
      <c r="E930" t="inlineStr">
        <is>
          <t>LEKSAND</t>
        </is>
      </c>
      <c r="G930" t="n">
        <v>2</v>
      </c>
      <c r="H930" t="n">
        <v>0</v>
      </c>
      <c r="I930" t="n">
        <v>0</v>
      </c>
      <c r="J930" t="n">
        <v>0</v>
      </c>
      <c r="K930" t="n">
        <v>0</v>
      </c>
      <c r="L930" t="n">
        <v>0</v>
      </c>
      <c r="M930" t="n">
        <v>0</v>
      </c>
      <c r="N930" t="n">
        <v>0</v>
      </c>
      <c r="O930" t="n">
        <v>0</v>
      </c>
      <c r="P930" t="n">
        <v>0</v>
      </c>
      <c r="Q930" t="n">
        <v>0</v>
      </c>
      <c r="R930" s="2" t="inlineStr"/>
    </row>
    <row r="931" ht="15" customHeight="1">
      <c r="A931" t="inlineStr">
        <is>
          <t>A 18791-2024</t>
        </is>
      </c>
      <c r="B931" s="1" t="n">
        <v>45426</v>
      </c>
      <c r="C931" s="1" t="n">
        <v>45511</v>
      </c>
      <c r="D931" t="inlineStr">
        <is>
          <t>DALARNAS LÄN</t>
        </is>
      </c>
      <c r="E931" t="inlineStr">
        <is>
          <t>LEKSAND</t>
        </is>
      </c>
      <c r="G931" t="n">
        <v>2.2</v>
      </c>
      <c r="H931" t="n">
        <v>0</v>
      </c>
      <c r="I931" t="n">
        <v>0</v>
      </c>
      <c r="J931" t="n">
        <v>0</v>
      </c>
      <c r="K931" t="n">
        <v>0</v>
      </c>
      <c r="L931" t="n">
        <v>0</v>
      </c>
      <c r="M931" t="n">
        <v>0</v>
      </c>
      <c r="N931" t="n">
        <v>0</v>
      </c>
      <c r="O931" t="n">
        <v>0</v>
      </c>
      <c r="P931" t="n">
        <v>0</v>
      </c>
      <c r="Q931" t="n">
        <v>0</v>
      </c>
      <c r="R931" s="2" t="inlineStr"/>
    </row>
    <row r="932" ht="15" customHeight="1">
      <c r="A932" t="inlineStr">
        <is>
          <t>A 19075-2024</t>
        </is>
      </c>
      <c r="B932" s="1" t="n">
        <v>45428</v>
      </c>
      <c r="C932" s="1" t="n">
        <v>45511</v>
      </c>
      <c r="D932" t="inlineStr">
        <is>
          <t>DALARNAS LÄN</t>
        </is>
      </c>
      <c r="E932" t="inlineStr">
        <is>
          <t>LEKSAND</t>
        </is>
      </c>
      <c r="G932" t="n">
        <v>4.9</v>
      </c>
      <c r="H932" t="n">
        <v>0</v>
      </c>
      <c r="I932" t="n">
        <v>0</v>
      </c>
      <c r="J932" t="n">
        <v>0</v>
      </c>
      <c r="K932" t="n">
        <v>0</v>
      </c>
      <c r="L932" t="n">
        <v>0</v>
      </c>
      <c r="M932" t="n">
        <v>0</v>
      </c>
      <c r="N932" t="n">
        <v>0</v>
      </c>
      <c r="O932" t="n">
        <v>0</v>
      </c>
      <c r="P932" t="n">
        <v>0</v>
      </c>
      <c r="Q932" t="n">
        <v>0</v>
      </c>
      <c r="R932" s="2" t="inlineStr"/>
    </row>
    <row r="933" ht="15" customHeight="1">
      <c r="A933" t="inlineStr">
        <is>
          <t>A 18991-2024</t>
        </is>
      </c>
      <c r="B933" s="1" t="n">
        <v>45427</v>
      </c>
      <c r="C933" s="1" t="n">
        <v>45511</v>
      </c>
      <c r="D933" t="inlineStr">
        <is>
          <t>DALARNAS LÄN</t>
        </is>
      </c>
      <c r="E933" t="inlineStr">
        <is>
          <t>LEKSAND</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19295-2024</t>
        </is>
      </c>
      <c r="B934" s="1" t="n">
        <v>45428</v>
      </c>
      <c r="C934" s="1" t="n">
        <v>45511</v>
      </c>
      <c r="D934" t="inlineStr">
        <is>
          <t>DALARNAS LÄN</t>
        </is>
      </c>
      <c r="E934" t="inlineStr">
        <is>
          <t>LEKSAND</t>
        </is>
      </c>
      <c r="G934" t="n">
        <v>1.6</v>
      </c>
      <c r="H934" t="n">
        <v>0</v>
      </c>
      <c r="I934" t="n">
        <v>0</v>
      </c>
      <c r="J934" t="n">
        <v>0</v>
      </c>
      <c r="K934" t="n">
        <v>0</v>
      </c>
      <c r="L934" t="n">
        <v>0</v>
      </c>
      <c r="M934" t="n">
        <v>0</v>
      </c>
      <c r="N934" t="n">
        <v>0</v>
      </c>
      <c r="O934" t="n">
        <v>0</v>
      </c>
      <c r="P934" t="n">
        <v>0</v>
      </c>
      <c r="Q934" t="n">
        <v>0</v>
      </c>
      <c r="R934" s="2" t="inlineStr"/>
    </row>
    <row r="935" ht="15" customHeight="1">
      <c r="A935" t="inlineStr">
        <is>
          <t>A 19296-2024</t>
        </is>
      </c>
      <c r="B935" s="1" t="n">
        <v>45428</v>
      </c>
      <c r="C935" s="1" t="n">
        <v>45511</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19371-2024</t>
        </is>
      </c>
      <c r="B936" s="1" t="n">
        <v>45429</v>
      </c>
      <c r="C936" s="1" t="n">
        <v>45511</v>
      </c>
      <c r="D936" t="inlineStr">
        <is>
          <t>DALARNAS LÄN</t>
        </is>
      </c>
      <c r="E936" t="inlineStr">
        <is>
          <t>LEKSAND</t>
        </is>
      </c>
      <c r="G936" t="n">
        <v>0.6</v>
      </c>
      <c r="H936" t="n">
        <v>0</v>
      </c>
      <c r="I936" t="n">
        <v>0</v>
      </c>
      <c r="J936" t="n">
        <v>0</v>
      </c>
      <c r="K936" t="n">
        <v>0</v>
      </c>
      <c r="L936" t="n">
        <v>0</v>
      </c>
      <c r="M936" t="n">
        <v>0</v>
      </c>
      <c r="N936" t="n">
        <v>0</v>
      </c>
      <c r="O936" t="n">
        <v>0</v>
      </c>
      <c r="P936" t="n">
        <v>0</v>
      </c>
      <c r="Q936" t="n">
        <v>0</v>
      </c>
      <c r="R936" s="2" t="inlineStr"/>
    </row>
    <row r="937" ht="15" customHeight="1">
      <c r="A937" t="inlineStr">
        <is>
          <t>A 19670-2024</t>
        </is>
      </c>
      <c r="B937" s="1" t="n">
        <v>45432</v>
      </c>
      <c r="C937" s="1" t="n">
        <v>45511</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19738-2024</t>
        </is>
      </c>
      <c r="B938" s="1" t="n">
        <v>45432</v>
      </c>
      <c r="C938" s="1" t="n">
        <v>45511</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19741-2024</t>
        </is>
      </c>
      <c r="B939" s="1" t="n">
        <v>45432</v>
      </c>
      <c r="C939" s="1" t="n">
        <v>45511</v>
      </c>
      <c r="D939" t="inlineStr">
        <is>
          <t>DALARNAS LÄN</t>
        </is>
      </c>
      <c r="E939" t="inlineStr">
        <is>
          <t>LEKSAND</t>
        </is>
      </c>
      <c r="G939" t="n">
        <v>1.1</v>
      </c>
      <c r="H939" t="n">
        <v>0</v>
      </c>
      <c r="I939" t="n">
        <v>0</v>
      </c>
      <c r="J939" t="n">
        <v>0</v>
      </c>
      <c r="K939" t="n">
        <v>0</v>
      </c>
      <c r="L939" t="n">
        <v>0</v>
      </c>
      <c r="M939" t="n">
        <v>0</v>
      </c>
      <c r="N939" t="n">
        <v>0</v>
      </c>
      <c r="O939" t="n">
        <v>0</v>
      </c>
      <c r="P939" t="n">
        <v>0</v>
      </c>
      <c r="Q939" t="n">
        <v>0</v>
      </c>
      <c r="R939" s="2" t="inlineStr"/>
    </row>
    <row r="940" ht="15" customHeight="1">
      <c r="A940" t="inlineStr">
        <is>
          <t>A 19618-2024</t>
        </is>
      </c>
      <c r="B940" s="1" t="n">
        <v>45432</v>
      </c>
      <c r="C940" s="1" t="n">
        <v>45511</v>
      </c>
      <c r="D940" t="inlineStr">
        <is>
          <t>DALARNAS LÄN</t>
        </is>
      </c>
      <c r="E940" t="inlineStr">
        <is>
          <t>LEKSAND</t>
        </is>
      </c>
      <c r="G940" t="n">
        <v>1.5</v>
      </c>
      <c r="H940" t="n">
        <v>0</v>
      </c>
      <c r="I940" t="n">
        <v>0</v>
      </c>
      <c r="J940" t="n">
        <v>0</v>
      </c>
      <c r="K940" t="n">
        <v>0</v>
      </c>
      <c r="L940" t="n">
        <v>0</v>
      </c>
      <c r="M940" t="n">
        <v>0</v>
      </c>
      <c r="N940" t="n">
        <v>0</v>
      </c>
      <c r="O940" t="n">
        <v>0</v>
      </c>
      <c r="P940" t="n">
        <v>0</v>
      </c>
      <c r="Q940" t="n">
        <v>0</v>
      </c>
      <c r="R940" s="2" t="inlineStr"/>
    </row>
    <row r="941" ht="15" customHeight="1">
      <c r="A941" t="inlineStr">
        <is>
          <t>A 19622-2024</t>
        </is>
      </c>
      <c r="B941" s="1" t="n">
        <v>45432</v>
      </c>
      <c r="C941" s="1" t="n">
        <v>45511</v>
      </c>
      <c r="D941" t="inlineStr">
        <is>
          <t>DALARNAS LÄN</t>
        </is>
      </c>
      <c r="E941" t="inlineStr">
        <is>
          <t>LEKSAND</t>
        </is>
      </c>
      <c r="G941" t="n">
        <v>1.3</v>
      </c>
      <c r="H941" t="n">
        <v>0</v>
      </c>
      <c r="I941" t="n">
        <v>0</v>
      </c>
      <c r="J941" t="n">
        <v>0</v>
      </c>
      <c r="K941" t="n">
        <v>0</v>
      </c>
      <c r="L941" t="n">
        <v>0</v>
      </c>
      <c r="M941" t="n">
        <v>0</v>
      </c>
      <c r="N941" t="n">
        <v>0</v>
      </c>
      <c r="O941" t="n">
        <v>0</v>
      </c>
      <c r="P941" t="n">
        <v>0</v>
      </c>
      <c r="Q941" t="n">
        <v>0</v>
      </c>
      <c r="R941" s="2" t="inlineStr"/>
    </row>
    <row r="942" ht="15" customHeight="1">
      <c r="A942" t="inlineStr">
        <is>
          <t>A 19820-2024</t>
        </is>
      </c>
      <c r="B942" s="1" t="n">
        <v>45433</v>
      </c>
      <c r="C942" s="1" t="n">
        <v>45511</v>
      </c>
      <c r="D942" t="inlineStr">
        <is>
          <t>DALARNAS LÄN</t>
        </is>
      </c>
      <c r="E942" t="inlineStr">
        <is>
          <t>LEKSAND</t>
        </is>
      </c>
      <c r="G942" t="n">
        <v>0.7</v>
      </c>
      <c r="H942" t="n">
        <v>0</v>
      </c>
      <c r="I942" t="n">
        <v>0</v>
      </c>
      <c r="J942" t="n">
        <v>0</v>
      </c>
      <c r="K942" t="n">
        <v>0</v>
      </c>
      <c r="L942" t="n">
        <v>0</v>
      </c>
      <c r="M942" t="n">
        <v>0</v>
      </c>
      <c r="N942" t="n">
        <v>0</v>
      </c>
      <c r="O942" t="n">
        <v>0</v>
      </c>
      <c r="P942" t="n">
        <v>0</v>
      </c>
      <c r="Q942" t="n">
        <v>0</v>
      </c>
      <c r="R942" s="2" t="inlineStr"/>
    </row>
    <row r="943" ht="15" customHeight="1">
      <c r="A943" t="inlineStr">
        <is>
          <t>A 19823-2024</t>
        </is>
      </c>
      <c r="B943" s="1" t="n">
        <v>45433</v>
      </c>
      <c r="C943" s="1" t="n">
        <v>45511</v>
      </c>
      <c r="D943" t="inlineStr">
        <is>
          <t>DALARNAS LÄN</t>
        </is>
      </c>
      <c r="E943" t="inlineStr">
        <is>
          <t>LEKSAND</t>
        </is>
      </c>
      <c r="G943" t="n">
        <v>0.3</v>
      </c>
      <c r="H943" t="n">
        <v>0</v>
      </c>
      <c r="I943" t="n">
        <v>0</v>
      </c>
      <c r="J943" t="n">
        <v>0</v>
      </c>
      <c r="K943" t="n">
        <v>0</v>
      </c>
      <c r="L943" t="n">
        <v>0</v>
      </c>
      <c r="M943" t="n">
        <v>0</v>
      </c>
      <c r="N943" t="n">
        <v>0</v>
      </c>
      <c r="O943" t="n">
        <v>0</v>
      </c>
      <c r="P943" t="n">
        <v>0</v>
      </c>
      <c r="Q943" t="n">
        <v>0</v>
      </c>
      <c r="R943" s="2" t="inlineStr"/>
    </row>
    <row r="944" ht="15" customHeight="1">
      <c r="A944" t="inlineStr">
        <is>
          <t>A 20110-2024</t>
        </is>
      </c>
      <c r="B944" s="1" t="n">
        <v>45434</v>
      </c>
      <c r="C944" s="1" t="n">
        <v>45511</v>
      </c>
      <c r="D944" t="inlineStr">
        <is>
          <t>DALARNAS LÄN</t>
        </is>
      </c>
      <c r="E944" t="inlineStr">
        <is>
          <t>LEKSAND</t>
        </is>
      </c>
      <c r="G944" t="n">
        <v>1.8</v>
      </c>
      <c r="H944" t="n">
        <v>0</v>
      </c>
      <c r="I944" t="n">
        <v>0</v>
      </c>
      <c r="J944" t="n">
        <v>0</v>
      </c>
      <c r="K944" t="n">
        <v>0</v>
      </c>
      <c r="L944" t="n">
        <v>0</v>
      </c>
      <c r="M944" t="n">
        <v>0</v>
      </c>
      <c r="N944" t="n">
        <v>0</v>
      </c>
      <c r="O944" t="n">
        <v>0</v>
      </c>
      <c r="P944" t="n">
        <v>0</v>
      </c>
      <c r="Q944" t="n">
        <v>0</v>
      </c>
      <c r="R944" s="2" t="inlineStr"/>
    </row>
    <row r="945" ht="15" customHeight="1">
      <c r="A945" t="inlineStr">
        <is>
          <t>A 20590-2024</t>
        </is>
      </c>
      <c r="B945" s="1" t="n">
        <v>45436</v>
      </c>
      <c r="C945" s="1" t="n">
        <v>45511</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20588-2024</t>
        </is>
      </c>
      <c r="B946" s="1" t="n">
        <v>45436</v>
      </c>
      <c r="C946" s="1" t="n">
        <v>45511</v>
      </c>
      <c r="D946" t="inlineStr">
        <is>
          <t>DALARNAS LÄN</t>
        </is>
      </c>
      <c r="E946" t="inlineStr">
        <is>
          <t>LEKSAND</t>
        </is>
      </c>
      <c r="F946" t="inlineStr">
        <is>
          <t>Bergvik skog väst AB</t>
        </is>
      </c>
      <c r="G946" t="n">
        <v>34.4</v>
      </c>
      <c r="H946" t="n">
        <v>0</v>
      </c>
      <c r="I946" t="n">
        <v>0</v>
      </c>
      <c r="J946" t="n">
        <v>0</v>
      </c>
      <c r="K946" t="n">
        <v>0</v>
      </c>
      <c r="L946" t="n">
        <v>0</v>
      </c>
      <c r="M946" t="n">
        <v>0</v>
      </c>
      <c r="N946" t="n">
        <v>0</v>
      </c>
      <c r="O946" t="n">
        <v>0</v>
      </c>
      <c r="P946" t="n">
        <v>0</v>
      </c>
      <c r="Q946" t="n">
        <v>0</v>
      </c>
      <c r="R946" s="2" t="inlineStr"/>
    </row>
    <row r="947" ht="15" customHeight="1">
      <c r="A947" t="inlineStr">
        <is>
          <t>A 20718-2024</t>
        </is>
      </c>
      <c r="B947" s="1" t="n">
        <v>45436</v>
      </c>
      <c r="C947" s="1" t="n">
        <v>45511</v>
      </c>
      <c r="D947" t="inlineStr">
        <is>
          <t>DALARNAS LÄN</t>
        </is>
      </c>
      <c r="E947" t="inlineStr">
        <is>
          <t>LEKSAND</t>
        </is>
      </c>
      <c r="F947" t="inlineStr">
        <is>
          <t>Bergvik skog väst AB</t>
        </is>
      </c>
      <c r="G947" t="n">
        <v>4.7</v>
      </c>
      <c r="H947" t="n">
        <v>0</v>
      </c>
      <c r="I947" t="n">
        <v>0</v>
      </c>
      <c r="J947" t="n">
        <v>0</v>
      </c>
      <c r="K947" t="n">
        <v>0</v>
      </c>
      <c r="L947" t="n">
        <v>0</v>
      </c>
      <c r="M947" t="n">
        <v>0</v>
      </c>
      <c r="N947" t="n">
        <v>0</v>
      </c>
      <c r="O947" t="n">
        <v>0</v>
      </c>
      <c r="P947" t="n">
        <v>0</v>
      </c>
      <c r="Q947" t="n">
        <v>0</v>
      </c>
      <c r="R947" s="2" t="inlineStr"/>
    </row>
    <row r="948" ht="15" customHeight="1">
      <c r="A948" t="inlineStr">
        <is>
          <t>A 21017-2024</t>
        </is>
      </c>
      <c r="B948" s="1" t="n">
        <v>45439</v>
      </c>
      <c r="C948" s="1" t="n">
        <v>45511</v>
      </c>
      <c r="D948" t="inlineStr">
        <is>
          <t>DALARNAS LÄN</t>
        </is>
      </c>
      <c r="E948" t="inlineStr">
        <is>
          <t>LEKSAND</t>
        </is>
      </c>
      <c r="G948" t="n">
        <v>2.8</v>
      </c>
      <c r="H948" t="n">
        <v>0</v>
      </c>
      <c r="I948" t="n">
        <v>0</v>
      </c>
      <c r="J948" t="n">
        <v>0</v>
      </c>
      <c r="K948" t="n">
        <v>0</v>
      </c>
      <c r="L948" t="n">
        <v>0</v>
      </c>
      <c r="M948" t="n">
        <v>0</v>
      </c>
      <c r="N948" t="n">
        <v>0</v>
      </c>
      <c r="O948" t="n">
        <v>0</v>
      </c>
      <c r="P948" t="n">
        <v>0</v>
      </c>
      <c r="Q948" t="n">
        <v>0</v>
      </c>
      <c r="R948" s="2" t="inlineStr"/>
    </row>
    <row r="949" ht="15" customHeight="1">
      <c r="A949" t="inlineStr">
        <is>
          <t>A 21035-2024</t>
        </is>
      </c>
      <c r="B949" s="1" t="n">
        <v>45439</v>
      </c>
      <c r="C949" s="1" t="n">
        <v>45511</v>
      </c>
      <c r="D949" t="inlineStr">
        <is>
          <t>DALARNAS LÄN</t>
        </is>
      </c>
      <c r="E949" t="inlineStr">
        <is>
          <t>LEKSAND</t>
        </is>
      </c>
      <c r="G949" t="n">
        <v>11.6</v>
      </c>
      <c r="H949" t="n">
        <v>0</v>
      </c>
      <c r="I949" t="n">
        <v>0</v>
      </c>
      <c r="J949" t="n">
        <v>0</v>
      </c>
      <c r="K949" t="n">
        <v>0</v>
      </c>
      <c r="L949" t="n">
        <v>0</v>
      </c>
      <c r="M949" t="n">
        <v>0</v>
      </c>
      <c r="N949" t="n">
        <v>0</v>
      </c>
      <c r="O949" t="n">
        <v>0</v>
      </c>
      <c r="P949" t="n">
        <v>0</v>
      </c>
      <c r="Q949" t="n">
        <v>0</v>
      </c>
      <c r="R949" s="2" t="inlineStr"/>
    </row>
    <row r="950" ht="15" customHeight="1">
      <c r="A950" t="inlineStr">
        <is>
          <t>A 21556-2024</t>
        </is>
      </c>
      <c r="B950" s="1" t="n">
        <v>45441</v>
      </c>
      <c r="C950" s="1" t="n">
        <v>45511</v>
      </c>
      <c r="D950" t="inlineStr">
        <is>
          <t>DALARNAS LÄN</t>
        </is>
      </c>
      <c r="E950" t="inlineStr">
        <is>
          <t>LEKSAND</t>
        </is>
      </c>
      <c r="G950" t="n">
        <v>2.9</v>
      </c>
      <c r="H950" t="n">
        <v>0</v>
      </c>
      <c r="I950" t="n">
        <v>0</v>
      </c>
      <c r="J950" t="n">
        <v>0</v>
      </c>
      <c r="K950" t="n">
        <v>0</v>
      </c>
      <c r="L950" t="n">
        <v>0</v>
      </c>
      <c r="M950" t="n">
        <v>0</v>
      </c>
      <c r="N950" t="n">
        <v>0</v>
      </c>
      <c r="O950" t="n">
        <v>0</v>
      </c>
      <c r="P950" t="n">
        <v>0</v>
      </c>
      <c r="Q950" t="n">
        <v>0</v>
      </c>
      <c r="R950" s="2" t="inlineStr"/>
    </row>
    <row r="951" ht="15" customHeight="1">
      <c r="A951" t="inlineStr">
        <is>
          <t>A 21676-2024</t>
        </is>
      </c>
      <c r="B951" s="1" t="n">
        <v>45442</v>
      </c>
      <c r="C951" s="1" t="n">
        <v>45511</v>
      </c>
      <c r="D951" t="inlineStr">
        <is>
          <t>DALARNAS LÄN</t>
        </is>
      </c>
      <c r="E951" t="inlineStr">
        <is>
          <t>LEKSAND</t>
        </is>
      </c>
      <c r="F951" t="inlineStr">
        <is>
          <t>Bergvik skog väst AB</t>
        </is>
      </c>
      <c r="G951" t="n">
        <v>1.9</v>
      </c>
      <c r="H951" t="n">
        <v>0</v>
      </c>
      <c r="I951" t="n">
        <v>0</v>
      </c>
      <c r="J951" t="n">
        <v>0</v>
      </c>
      <c r="K951" t="n">
        <v>0</v>
      </c>
      <c r="L951" t="n">
        <v>0</v>
      </c>
      <c r="M951" t="n">
        <v>0</v>
      </c>
      <c r="N951" t="n">
        <v>0</v>
      </c>
      <c r="O951" t="n">
        <v>0</v>
      </c>
      <c r="P951" t="n">
        <v>0</v>
      </c>
      <c r="Q951" t="n">
        <v>0</v>
      </c>
      <c r="R951" s="2" t="inlineStr"/>
    </row>
    <row r="952" ht="15" customHeight="1">
      <c r="A952" t="inlineStr">
        <is>
          <t>A 22059-2024</t>
        </is>
      </c>
      <c r="B952" s="1" t="n">
        <v>45443</v>
      </c>
      <c r="C952" s="1" t="n">
        <v>45511</v>
      </c>
      <c r="D952" t="inlineStr">
        <is>
          <t>DALARNAS LÄN</t>
        </is>
      </c>
      <c r="E952" t="inlineStr">
        <is>
          <t>LEKSAND</t>
        </is>
      </c>
      <c r="G952" t="n">
        <v>13.4</v>
      </c>
      <c r="H952" t="n">
        <v>0</v>
      </c>
      <c r="I952" t="n">
        <v>0</v>
      </c>
      <c r="J952" t="n">
        <v>0</v>
      </c>
      <c r="K952" t="n">
        <v>0</v>
      </c>
      <c r="L952" t="n">
        <v>0</v>
      </c>
      <c r="M952" t="n">
        <v>0</v>
      </c>
      <c r="N952" t="n">
        <v>0</v>
      </c>
      <c r="O952" t="n">
        <v>0</v>
      </c>
      <c r="P952" t="n">
        <v>0</v>
      </c>
      <c r="Q952" t="n">
        <v>0</v>
      </c>
      <c r="R952" s="2" t="inlineStr"/>
    </row>
    <row r="953" ht="15" customHeight="1">
      <c r="A953" t="inlineStr">
        <is>
          <t>A 22354-2024</t>
        </is>
      </c>
      <c r="B953" s="1" t="n">
        <v>45446</v>
      </c>
      <c r="C953" s="1" t="n">
        <v>45511</v>
      </c>
      <c r="D953" t="inlineStr">
        <is>
          <t>DALARNAS LÄN</t>
        </is>
      </c>
      <c r="E953" t="inlineStr">
        <is>
          <t>LEKSAND</t>
        </is>
      </c>
      <c r="G953" t="n">
        <v>1</v>
      </c>
      <c r="H953" t="n">
        <v>0</v>
      </c>
      <c r="I953" t="n">
        <v>0</v>
      </c>
      <c r="J953" t="n">
        <v>0</v>
      </c>
      <c r="K953" t="n">
        <v>0</v>
      </c>
      <c r="L953" t="n">
        <v>0</v>
      </c>
      <c r="M953" t="n">
        <v>0</v>
      </c>
      <c r="N953" t="n">
        <v>0</v>
      </c>
      <c r="O953" t="n">
        <v>0</v>
      </c>
      <c r="P953" t="n">
        <v>0</v>
      </c>
      <c r="Q953" t="n">
        <v>0</v>
      </c>
      <c r="R953" s="2" t="inlineStr"/>
    </row>
    <row r="954" ht="15" customHeight="1">
      <c r="A954" t="inlineStr">
        <is>
          <t>A 22388-2024</t>
        </is>
      </c>
      <c r="B954" s="1" t="n">
        <v>45446</v>
      </c>
      <c r="C954" s="1" t="n">
        <v>45511</v>
      </c>
      <c r="D954" t="inlineStr">
        <is>
          <t>DALARNAS LÄN</t>
        </is>
      </c>
      <c r="E954" t="inlineStr">
        <is>
          <t>LEKSAND</t>
        </is>
      </c>
      <c r="F954" t="inlineStr">
        <is>
          <t>Bergvik skog väst AB</t>
        </is>
      </c>
      <c r="G954" t="n">
        <v>5.3</v>
      </c>
      <c r="H954" t="n">
        <v>0</v>
      </c>
      <c r="I954" t="n">
        <v>0</v>
      </c>
      <c r="J954" t="n">
        <v>0</v>
      </c>
      <c r="K954" t="n">
        <v>0</v>
      </c>
      <c r="L954" t="n">
        <v>0</v>
      </c>
      <c r="M954" t="n">
        <v>0</v>
      </c>
      <c r="N954" t="n">
        <v>0</v>
      </c>
      <c r="O954" t="n">
        <v>0</v>
      </c>
      <c r="P954" t="n">
        <v>0</v>
      </c>
      <c r="Q954" t="n">
        <v>0</v>
      </c>
      <c r="R954" s="2" t="inlineStr"/>
    </row>
    <row r="955" ht="15" customHeight="1">
      <c r="A955" t="inlineStr">
        <is>
          <t>A 22349-2024</t>
        </is>
      </c>
      <c r="B955" s="1" t="n">
        <v>45446</v>
      </c>
      <c r="C955" s="1" t="n">
        <v>45511</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22281-2024</t>
        </is>
      </c>
      <c r="B956" s="1" t="n">
        <v>45446</v>
      </c>
      <c r="C956" s="1" t="n">
        <v>45511</v>
      </c>
      <c r="D956" t="inlineStr">
        <is>
          <t>DALARNAS LÄN</t>
        </is>
      </c>
      <c r="E956" t="inlineStr">
        <is>
          <t>LEKSAND</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22612-2024</t>
        </is>
      </c>
      <c r="B957" s="1" t="n">
        <v>45447</v>
      </c>
      <c r="C957" s="1" t="n">
        <v>45511</v>
      </c>
      <c r="D957" t="inlineStr">
        <is>
          <t>DALARNAS LÄN</t>
        </is>
      </c>
      <c r="E957" t="inlineStr">
        <is>
          <t>LEKSAND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22517-2024</t>
        </is>
      </c>
      <c r="B958" s="1" t="n">
        <v>45447</v>
      </c>
      <c r="C958" s="1" t="n">
        <v>45511</v>
      </c>
      <c r="D958" t="inlineStr">
        <is>
          <t>DALARNAS LÄN</t>
        </is>
      </c>
      <c r="E958" t="inlineStr">
        <is>
          <t>LEKSAND</t>
        </is>
      </c>
      <c r="G958" t="n">
        <v>0.4</v>
      </c>
      <c r="H958" t="n">
        <v>0</v>
      </c>
      <c r="I958" t="n">
        <v>0</v>
      </c>
      <c r="J958" t="n">
        <v>0</v>
      </c>
      <c r="K958" t="n">
        <v>0</v>
      </c>
      <c r="L958" t="n">
        <v>0</v>
      </c>
      <c r="M958" t="n">
        <v>0</v>
      </c>
      <c r="N958" t="n">
        <v>0</v>
      </c>
      <c r="O958" t="n">
        <v>0</v>
      </c>
      <c r="P958" t="n">
        <v>0</v>
      </c>
      <c r="Q958" t="n">
        <v>0</v>
      </c>
      <c r="R958" s="2" t="inlineStr"/>
    </row>
    <row r="959" ht="15" customHeight="1">
      <c r="A959" t="inlineStr">
        <is>
          <t>A 22686-2024</t>
        </is>
      </c>
      <c r="B959" s="1" t="n">
        <v>45448</v>
      </c>
      <c r="C959" s="1" t="n">
        <v>45511</v>
      </c>
      <c r="D959" t="inlineStr">
        <is>
          <t>DALARNAS LÄN</t>
        </is>
      </c>
      <c r="E959" t="inlineStr">
        <is>
          <t>LEKSAND</t>
        </is>
      </c>
      <c r="G959" t="n">
        <v>2.3</v>
      </c>
      <c r="H959" t="n">
        <v>0</v>
      </c>
      <c r="I959" t="n">
        <v>0</v>
      </c>
      <c r="J959" t="n">
        <v>0</v>
      </c>
      <c r="K959" t="n">
        <v>0</v>
      </c>
      <c r="L959" t="n">
        <v>0</v>
      </c>
      <c r="M959" t="n">
        <v>0</v>
      </c>
      <c r="N959" t="n">
        <v>0</v>
      </c>
      <c r="O959" t="n">
        <v>0</v>
      </c>
      <c r="P959" t="n">
        <v>0</v>
      </c>
      <c r="Q959" t="n">
        <v>0</v>
      </c>
      <c r="R959" s="2" t="inlineStr"/>
    </row>
    <row r="960" ht="15" customHeight="1">
      <c r="A960" t="inlineStr">
        <is>
          <t>A 22708-2024</t>
        </is>
      </c>
      <c r="B960" s="1" t="n">
        <v>45448</v>
      </c>
      <c r="C960" s="1" t="n">
        <v>45511</v>
      </c>
      <c r="D960" t="inlineStr">
        <is>
          <t>DALARNAS LÄN</t>
        </is>
      </c>
      <c r="E960" t="inlineStr">
        <is>
          <t>LEKSAND</t>
        </is>
      </c>
      <c r="G960" t="n">
        <v>12</v>
      </c>
      <c r="H960" t="n">
        <v>0</v>
      </c>
      <c r="I960" t="n">
        <v>0</v>
      </c>
      <c r="J960" t="n">
        <v>0</v>
      </c>
      <c r="K960" t="n">
        <v>0</v>
      </c>
      <c r="L960" t="n">
        <v>0</v>
      </c>
      <c r="M960" t="n">
        <v>0</v>
      </c>
      <c r="N960" t="n">
        <v>0</v>
      </c>
      <c r="O960" t="n">
        <v>0</v>
      </c>
      <c r="P960" t="n">
        <v>0</v>
      </c>
      <c r="Q960" t="n">
        <v>0</v>
      </c>
      <c r="R960" s="2" t="inlineStr"/>
    </row>
    <row r="961" ht="15" customHeight="1">
      <c r="A961" t="inlineStr">
        <is>
          <t>A 23068-2024</t>
        </is>
      </c>
      <c r="B961" s="1" t="n">
        <v>45450</v>
      </c>
      <c r="C961" s="1" t="n">
        <v>45511</v>
      </c>
      <c r="D961" t="inlineStr">
        <is>
          <t>DALARNAS LÄN</t>
        </is>
      </c>
      <c r="E961" t="inlineStr">
        <is>
          <t>LEKSAND</t>
        </is>
      </c>
      <c r="G961" t="n">
        <v>2.4</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45511</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23320-2024</t>
        </is>
      </c>
      <c r="B963" s="1" t="n">
        <v>45453</v>
      </c>
      <c r="C963" s="1" t="n">
        <v>45511</v>
      </c>
      <c r="D963" t="inlineStr">
        <is>
          <t>DALARNAS LÄN</t>
        </is>
      </c>
      <c r="E963" t="inlineStr">
        <is>
          <t>LEKSAND</t>
        </is>
      </c>
      <c r="G963" t="n">
        <v>4.6</v>
      </c>
      <c r="H963" t="n">
        <v>0</v>
      </c>
      <c r="I963" t="n">
        <v>0</v>
      </c>
      <c r="J963" t="n">
        <v>0</v>
      </c>
      <c r="K963" t="n">
        <v>0</v>
      </c>
      <c r="L963" t="n">
        <v>0</v>
      </c>
      <c r="M963" t="n">
        <v>0</v>
      </c>
      <c r="N963" t="n">
        <v>0</v>
      </c>
      <c r="O963" t="n">
        <v>0</v>
      </c>
      <c r="P963" t="n">
        <v>0</v>
      </c>
      <c r="Q963" t="n">
        <v>0</v>
      </c>
      <c r="R963" s="2" t="inlineStr"/>
    </row>
    <row r="964" ht="15" customHeight="1">
      <c r="A964" t="inlineStr">
        <is>
          <t>A 23391-2024</t>
        </is>
      </c>
      <c r="B964" s="1" t="n">
        <v>45453</v>
      </c>
      <c r="C964" s="1" t="n">
        <v>45511</v>
      </c>
      <c r="D964" t="inlineStr">
        <is>
          <t>DALARNAS LÄN</t>
        </is>
      </c>
      <c r="E964" t="inlineStr">
        <is>
          <t>LEKSAND</t>
        </is>
      </c>
      <c r="G964" t="n">
        <v>2.2</v>
      </c>
      <c r="H964" t="n">
        <v>0</v>
      </c>
      <c r="I964" t="n">
        <v>0</v>
      </c>
      <c r="J964" t="n">
        <v>0</v>
      </c>
      <c r="K964" t="n">
        <v>0</v>
      </c>
      <c r="L964" t="n">
        <v>0</v>
      </c>
      <c r="M964" t="n">
        <v>0</v>
      </c>
      <c r="N964" t="n">
        <v>0</v>
      </c>
      <c r="O964" t="n">
        <v>0</v>
      </c>
      <c r="P964" t="n">
        <v>0</v>
      </c>
      <c r="Q964" t="n">
        <v>0</v>
      </c>
      <c r="R964" s="2" t="inlineStr"/>
    </row>
    <row r="965" ht="15" customHeight="1">
      <c r="A965" t="inlineStr">
        <is>
          <t>A 23395-2024</t>
        </is>
      </c>
      <c r="B965" s="1" t="n">
        <v>45453</v>
      </c>
      <c r="C965" s="1" t="n">
        <v>45511</v>
      </c>
      <c r="D965" t="inlineStr">
        <is>
          <t>DALARNAS LÄN</t>
        </is>
      </c>
      <c r="E965" t="inlineStr">
        <is>
          <t>LEKSAND</t>
        </is>
      </c>
      <c r="G965" t="n">
        <v>1.2</v>
      </c>
      <c r="H965" t="n">
        <v>0</v>
      </c>
      <c r="I965" t="n">
        <v>0</v>
      </c>
      <c r="J965" t="n">
        <v>0</v>
      </c>
      <c r="K965" t="n">
        <v>0</v>
      </c>
      <c r="L965" t="n">
        <v>0</v>
      </c>
      <c r="M965" t="n">
        <v>0</v>
      </c>
      <c r="N965" t="n">
        <v>0</v>
      </c>
      <c r="O965" t="n">
        <v>0</v>
      </c>
      <c r="P965" t="n">
        <v>0</v>
      </c>
      <c r="Q965" t="n">
        <v>0</v>
      </c>
      <c r="R965" s="2" t="inlineStr"/>
    </row>
    <row r="966" ht="15" customHeight="1">
      <c r="A966" t="inlineStr">
        <is>
          <t>A 23417-2024</t>
        </is>
      </c>
      <c r="B966" s="1" t="n">
        <v>45453</v>
      </c>
      <c r="C966" s="1" t="n">
        <v>45511</v>
      </c>
      <c r="D966" t="inlineStr">
        <is>
          <t>DALARNAS LÄN</t>
        </is>
      </c>
      <c r="E966" t="inlineStr">
        <is>
          <t>LEKSAND</t>
        </is>
      </c>
      <c r="F966" t="inlineStr">
        <is>
          <t>Bergvik skog väst AB</t>
        </is>
      </c>
      <c r="G966" t="n">
        <v>39.9</v>
      </c>
      <c r="H966" t="n">
        <v>0</v>
      </c>
      <c r="I966" t="n">
        <v>0</v>
      </c>
      <c r="J966" t="n">
        <v>0</v>
      </c>
      <c r="K966" t="n">
        <v>0</v>
      </c>
      <c r="L966" t="n">
        <v>0</v>
      </c>
      <c r="M966" t="n">
        <v>0</v>
      </c>
      <c r="N966" t="n">
        <v>0</v>
      </c>
      <c r="O966" t="n">
        <v>0</v>
      </c>
      <c r="P966" t="n">
        <v>0</v>
      </c>
      <c r="Q966" t="n">
        <v>0</v>
      </c>
      <c r="R966" s="2" t="inlineStr"/>
    </row>
    <row r="967" ht="15" customHeight="1">
      <c r="A967" t="inlineStr">
        <is>
          <t>A 23615-2024</t>
        </is>
      </c>
      <c r="B967" s="1" t="n">
        <v>45454</v>
      </c>
      <c r="C967" s="1" t="n">
        <v>45511</v>
      </c>
      <c r="D967" t="inlineStr">
        <is>
          <t>DALARNAS LÄN</t>
        </is>
      </c>
      <c r="E967" t="inlineStr">
        <is>
          <t>LEKSAND</t>
        </is>
      </c>
      <c r="G967" t="n">
        <v>1.7</v>
      </c>
      <c r="H967" t="n">
        <v>0</v>
      </c>
      <c r="I967" t="n">
        <v>0</v>
      </c>
      <c r="J967" t="n">
        <v>0</v>
      </c>
      <c r="K967" t="n">
        <v>0</v>
      </c>
      <c r="L967" t="n">
        <v>0</v>
      </c>
      <c r="M967" t="n">
        <v>0</v>
      </c>
      <c r="N967" t="n">
        <v>0</v>
      </c>
      <c r="O967" t="n">
        <v>0</v>
      </c>
      <c r="P967" t="n">
        <v>0</v>
      </c>
      <c r="Q967" t="n">
        <v>0</v>
      </c>
      <c r="R967" s="2" t="inlineStr"/>
    </row>
    <row r="968" ht="15" customHeight="1">
      <c r="A968" t="inlineStr">
        <is>
          <t>A 23663-2024</t>
        </is>
      </c>
      <c r="B968" s="1" t="n">
        <v>45454</v>
      </c>
      <c r="C968" s="1" t="n">
        <v>45511</v>
      </c>
      <c r="D968" t="inlineStr">
        <is>
          <t>DALARNAS LÄN</t>
        </is>
      </c>
      <c r="E968" t="inlineStr">
        <is>
          <t>LEKSAND</t>
        </is>
      </c>
      <c r="G968" t="n">
        <v>2.5</v>
      </c>
      <c r="H968" t="n">
        <v>0</v>
      </c>
      <c r="I968" t="n">
        <v>0</v>
      </c>
      <c r="J968" t="n">
        <v>0</v>
      </c>
      <c r="K968" t="n">
        <v>0</v>
      </c>
      <c r="L968" t="n">
        <v>0</v>
      </c>
      <c r="M968" t="n">
        <v>0</v>
      </c>
      <c r="N968" t="n">
        <v>0</v>
      </c>
      <c r="O968" t="n">
        <v>0</v>
      </c>
      <c r="P968" t="n">
        <v>0</v>
      </c>
      <c r="Q968" t="n">
        <v>0</v>
      </c>
      <c r="R968" s="2" t="inlineStr"/>
    </row>
    <row r="969" ht="15" customHeight="1">
      <c r="A969" t="inlineStr">
        <is>
          <t>A 23896-2024</t>
        </is>
      </c>
      <c r="B969" s="1" t="n">
        <v>45455</v>
      </c>
      <c r="C969" s="1" t="n">
        <v>45511</v>
      </c>
      <c r="D969" t="inlineStr">
        <is>
          <t>DALARNAS LÄN</t>
        </is>
      </c>
      <c r="E969" t="inlineStr">
        <is>
          <t>LEKSAND</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23743-2024</t>
        </is>
      </c>
      <c r="B970" s="1" t="n">
        <v>45455</v>
      </c>
      <c r="C970" s="1" t="n">
        <v>45511</v>
      </c>
      <c r="D970" t="inlineStr">
        <is>
          <t>DALARNAS LÄN</t>
        </is>
      </c>
      <c r="E970" t="inlineStr">
        <is>
          <t>LEKSAND</t>
        </is>
      </c>
      <c r="G970" t="n">
        <v>4.5</v>
      </c>
      <c r="H970" t="n">
        <v>0</v>
      </c>
      <c r="I970" t="n">
        <v>0</v>
      </c>
      <c r="J970" t="n">
        <v>0</v>
      </c>
      <c r="K970" t="n">
        <v>0</v>
      </c>
      <c r="L970" t="n">
        <v>0</v>
      </c>
      <c r="M970" t="n">
        <v>0</v>
      </c>
      <c r="N970" t="n">
        <v>0</v>
      </c>
      <c r="O970" t="n">
        <v>0</v>
      </c>
      <c r="P970" t="n">
        <v>0</v>
      </c>
      <c r="Q970" t="n">
        <v>0</v>
      </c>
      <c r="R970" s="2" t="inlineStr"/>
    </row>
    <row r="971" ht="15" customHeight="1">
      <c r="A971" t="inlineStr">
        <is>
          <t>A 23739-2024</t>
        </is>
      </c>
      <c r="B971" s="1" t="n">
        <v>45455</v>
      </c>
      <c r="C971" s="1" t="n">
        <v>45511</v>
      </c>
      <c r="D971" t="inlineStr">
        <is>
          <t>DALARNAS LÄN</t>
        </is>
      </c>
      <c r="E971" t="inlineStr">
        <is>
          <t>LEKSAND</t>
        </is>
      </c>
      <c r="G971" t="n">
        <v>0.6</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45511</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24005-2024</t>
        </is>
      </c>
      <c r="B973" s="1" t="n">
        <v>45456</v>
      </c>
      <c r="C973" s="1" t="n">
        <v>45511</v>
      </c>
      <c r="D973" t="inlineStr">
        <is>
          <t>DALARNAS LÄN</t>
        </is>
      </c>
      <c r="E973" t="inlineStr">
        <is>
          <t>LEKSAND</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24063-2024</t>
        </is>
      </c>
      <c r="B974" s="1" t="n">
        <v>45456</v>
      </c>
      <c r="C974" s="1" t="n">
        <v>45511</v>
      </c>
      <c r="D974" t="inlineStr">
        <is>
          <t>DALARNAS LÄN</t>
        </is>
      </c>
      <c r="E974" t="inlineStr">
        <is>
          <t>LEKSAND</t>
        </is>
      </c>
      <c r="F974" t="inlineStr">
        <is>
          <t>Bergvik skog väst AB</t>
        </is>
      </c>
      <c r="G974" t="n">
        <v>8.9</v>
      </c>
      <c r="H974" t="n">
        <v>0</v>
      </c>
      <c r="I974" t="n">
        <v>0</v>
      </c>
      <c r="J974" t="n">
        <v>0</v>
      </c>
      <c r="K974" t="n">
        <v>0</v>
      </c>
      <c r="L974" t="n">
        <v>0</v>
      </c>
      <c r="M974" t="n">
        <v>0</v>
      </c>
      <c r="N974" t="n">
        <v>0</v>
      </c>
      <c r="O974" t="n">
        <v>0</v>
      </c>
      <c r="P974" t="n">
        <v>0</v>
      </c>
      <c r="Q974" t="n">
        <v>0</v>
      </c>
      <c r="R974" s="2" t="inlineStr"/>
    </row>
    <row r="975" ht="15" customHeight="1">
      <c r="A975" t="inlineStr">
        <is>
          <t>A 24135-2024</t>
        </is>
      </c>
      <c r="B975" s="1" t="n">
        <v>45456</v>
      </c>
      <c r="C975" s="1" t="n">
        <v>45511</v>
      </c>
      <c r="D975" t="inlineStr">
        <is>
          <t>DALARNAS LÄN</t>
        </is>
      </c>
      <c r="E975" t="inlineStr">
        <is>
          <t>LEKSAND</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24481-2024</t>
        </is>
      </c>
      <c r="B976" s="1" t="n">
        <v>45459</v>
      </c>
      <c r="C976" s="1" t="n">
        <v>45511</v>
      </c>
      <c r="D976" t="inlineStr">
        <is>
          <t>DALARNAS LÄN</t>
        </is>
      </c>
      <c r="E976" t="inlineStr">
        <is>
          <t>LEKSAND</t>
        </is>
      </c>
      <c r="G976" t="n">
        <v>1</v>
      </c>
      <c r="H976" t="n">
        <v>0</v>
      </c>
      <c r="I976" t="n">
        <v>0</v>
      </c>
      <c r="J976" t="n">
        <v>0</v>
      </c>
      <c r="K976" t="n">
        <v>0</v>
      </c>
      <c r="L976" t="n">
        <v>0</v>
      </c>
      <c r="M976" t="n">
        <v>0</v>
      </c>
      <c r="N976" t="n">
        <v>0</v>
      </c>
      <c r="O976" t="n">
        <v>0</v>
      </c>
      <c r="P976" t="n">
        <v>0</v>
      </c>
      <c r="Q976" t="n">
        <v>0</v>
      </c>
      <c r="R976" s="2" t="inlineStr"/>
    </row>
    <row r="977" ht="15" customHeight="1">
      <c r="A977" t="inlineStr">
        <is>
          <t>A 24830-2024</t>
        </is>
      </c>
      <c r="B977" s="1" t="n">
        <v>45461</v>
      </c>
      <c r="C977" s="1" t="n">
        <v>45511</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24837-2024</t>
        </is>
      </c>
      <c r="B978" s="1" t="n">
        <v>45461</v>
      </c>
      <c r="C978" s="1" t="n">
        <v>45511</v>
      </c>
      <c r="D978" t="inlineStr">
        <is>
          <t>DALARNAS LÄN</t>
        </is>
      </c>
      <c r="E978" t="inlineStr">
        <is>
          <t>LEKSAND</t>
        </is>
      </c>
      <c r="G978" t="n">
        <v>1.5</v>
      </c>
      <c r="H978" t="n">
        <v>0</v>
      </c>
      <c r="I978" t="n">
        <v>0</v>
      </c>
      <c r="J978" t="n">
        <v>0</v>
      </c>
      <c r="K978" t="n">
        <v>0</v>
      </c>
      <c r="L978" t="n">
        <v>0</v>
      </c>
      <c r="M978" t="n">
        <v>0</v>
      </c>
      <c r="N978" t="n">
        <v>0</v>
      </c>
      <c r="O978" t="n">
        <v>0</v>
      </c>
      <c r="P978" t="n">
        <v>0</v>
      </c>
      <c r="Q978" t="n">
        <v>0</v>
      </c>
      <c r="R978" s="2" t="inlineStr"/>
    </row>
    <row r="979" ht="15" customHeight="1">
      <c r="A979" t="inlineStr">
        <is>
          <t>A 24917-2024</t>
        </is>
      </c>
      <c r="B979" s="1" t="n">
        <v>45461</v>
      </c>
      <c r="C979" s="1" t="n">
        <v>45511</v>
      </c>
      <c r="D979" t="inlineStr">
        <is>
          <t>DALARNAS LÄN</t>
        </is>
      </c>
      <c r="E979" t="inlineStr">
        <is>
          <t>LEKSAND</t>
        </is>
      </c>
      <c r="G979" t="n">
        <v>3.7</v>
      </c>
      <c r="H979" t="n">
        <v>0</v>
      </c>
      <c r="I979" t="n">
        <v>0</v>
      </c>
      <c r="J979" t="n">
        <v>0</v>
      </c>
      <c r="K979" t="n">
        <v>0</v>
      </c>
      <c r="L979" t="n">
        <v>0</v>
      </c>
      <c r="M979" t="n">
        <v>0</v>
      </c>
      <c r="N979" t="n">
        <v>0</v>
      </c>
      <c r="O979" t="n">
        <v>0</v>
      </c>
      <c r="P979" t="n">
        <v>0</v>
      </c>
      <c r="Q979" t="n">
        <v>0</v>
      </c>
      <c r="R979" s="2" t="inlineStr"/>
    </row>
    <row r="980" ht="15" customHeight="1">
      <c r="A980" t="inlineStr">
        <is>
          <t>A 24919-2024</t>
        </is>
      </c>
      <c r="B980" s="1" t="n">
        <v>45461</v>
      </c>
      <c r="C980" s="1" t="n">
        <v>45511</v>
      </c>
      <c r="D980" t="inlineStr">
        <is>
          <t>DALARNAS LÄN</t>
        </is>
      </c>
      <c r="E980" t="inlineStr">
        <is>
          <t>LEKSAND</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25253-2024</t>
        </is>
      </c>
      <c r="B981" s="1" t="n">
        <v>45462</v>
      </c>
      <c r="C981" s="1" t="n">
        <v>45511</v>
      </c>
      <c r="D981" t="inlineStr">
        <is>
          <t>DALARNAS LÄN</t>
        </is>
      </c>
      <c r="E981" t="inlineStr">
        <is>
          <t>LEKSAND</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45511</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25105-2024</t>
        </is>
      </c>
      <c r="B983" s="1" t="n">
        <v>45462</v>
      </c>
      <c r="C983" s="1" t="n">
        <v>45511</v>
      </c>
      <c r="D983" t="inlineStr">
        <is>
          <t>DALARNAS LÄN</t>
        </is>
      </c>
      <c r="E983" t="inlineStr">
        <is>
          <t>LEKSAND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25047-2024</t>
        </is>
      </c>
      <c r="B984" s="1" t="n">
        <v>45462</v>
      </c>
      <c r="C984" s="1" t="n">
        <v>45511</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25048-2024</t>
        </is>
      </c>
      <c r="B985" s="1" t="n">
        <v>45462</v>
      </c>
      <c r="C985" s="1" t="n">
        <v>45511</v>
      </c>
      <c r="D985" t="inlineStr">
        <is>
          <t>DALARNAS LÄN</t>
        </is>
      </c>
      <c r="E985" t="inlineStr">
        <is>
          <t>LEKSAND</t>
        </is>
      </c>
      <c r="G985" t="n">
        <v>2.7</v>
      </c>
      <c r="H985" t="n">
        <v>0</v>
      </c>
      <c r="I985" t="n">
        <v>0</v>
      </c>
      <c r="J985" t="n">
        <v>0</v>
      </c>
      <c r="K985" t="n">
        <v>0</v>
      </c>
      <c r="L985" t="n">
        <v>0</v>
      </c>
      <c r="M985" t="n">
        <v>0</v>
      </c>
      <c r="N985" t="n">
        <v>0</v>
      </c>
      <c r="O985" t="n">
        <v>0</v>
      </c>
      <c r="P985" t="n">
        <v>0</v>
      </c>
      <c r="Q985" t="n">
        <v>0</v>
      </c>
      <c r="R985" s="2" t="inlineStr"/>
    </row>
    <row r="986" ht="15" customHeight="1">
      <c r="A986" t="inlineStr">
        <is>
          <t>A 25251-2024</t>
        </is>
      </c>
      <c r="B986" s="1" t="n">
        <v>45462</v>
      </c>
      <c r="C986" s="1" t="n">
        <v>45511</v>
      </c>
      <c r="D986" t="inlineStr">
        <is>
          <t>DALARNAS LÄN</t>
        </is>
      </c>
      <c r="E986" t="inlineStr">
        <is>
          <t>LEKSAND</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25109-2024</t>
        </is>
      </c>
      <c r="B987" s="1" t="n">
        <v>45462</v>
      </c>
      <c r="C987" s="1" t="n">
        <v>45511</v>
      </c>
      <c r="D987" t="inlineStr">
        <is>
          <t>DALARNAS LÄN</t>
        </is>
      </c>
      <c r="E987" t="inlineStr">
        <is>
          <t>LEKSAND</t>
        </is>
      </c>
      <c r="G987" t="n">
        <v>3.2</v>
      </c>
      <c r="H987" t="n">
        <v>0</v>
      </c>
      <c r="I987" t="n">
        <v>0</v>
      </c>
      <c r="J987" t="n">
        <v>0</v>
      </c>
      <c r="K987" t="n">
        <v>0</v>
      </c>
      <c r="L987" t="n">
        <v>0</v>
      </c>
      <c r="M987" t="n">
        <v>0</v>
      </c>
      <c r="N987" t="n">
        <v>0</v>
      </c>
      <c r="O987" t="n">
        <v>0</v>
      </c>
      <c r="P987" t="n">
        <v>0</v>
      </c>
      <c r="Q987" t="n">
        <v>0</v>
      </c>
      <c r="R987" s="2" t="inlineStr"/>
    </row>
    <row r="988" ht="15" customHeight="1">
      <c r="A988" t="inlineStr">
        <is>
          <t>A 25042-2024</t>
        </is>
      </c>
      <c r="B988" s="1" t="n">
        <v>45462</v>
      </c>
      <c r="C988" s="1" t="n">
        <v>45511</v>
      </c>
      <c r="D988" t="inlineStr">
        <is>
          <t>DALARNAS LÄN</t>
        </is>
      </c>
      <c r="E988" t="inlineStr">
        <is>
          <t>LEKSAND</t>
        </is>
      </c>
      <c r="G988" t="n">
        <v>3.5</v>
      </c>
      <c r="H988" t="n">
        <v>0</v>
      </c>
      <c r="I988" t="n">
        <v>0</v>
      </c>
      <c r="J988" t="n">
        <v>0</v>
      </c>
      <c r="K988" t="n">
        <v>0</v>
      </c>
      <c r="L988" t="n">
        <v>0</v>
      </c>
      <c r="M988" t="n">
        <v>0</v>
      </c>
      <c r="N988" t="n">
        <v>0</v>
      </c>
      <c r="O988" t="n">
        <v>0</v>
      </c>
      <c r="P988" t="n">
        <v>0</v>
      </c>
      <c r="Q988" t="n">
        <v>0</v>
      </c>
      <c r="R988" s="2" t="inlineStr"/>
    </row>
    <row r="989" ht="15" customHeight="1">
      <c r="A989" t="inlineStr">
        <is>
          <t>A 25921-2024</t>
        </is>
      </c>
      <c r="B989" s="1" t="n">
        <v>45467</v>
      </c>
      <c r="C989" s="1" t="n">
        <v>45511</v>
      </c>
      <c r="D989" t="inlineStr">
        <is>
          <t>DALARNAS LÄN</t>
        </is>
      </c>
      <c r="E989" t="inlineStr">
        <is>
          <t>LEKSAND</t>
        </is>
      </c>
      <c r="G989" t="n">
        <v>2.8</v>
      </c>
      <c r="H989" t="n">
        <v>0</v>
      </c>
      <c r="I989" t="n">
        <v>0</v>
      </c>
      <c r="J989" t="n">
        <v>0</v>
      </c>
      <c r="K989" t="n">
        <v>0</v>
      </c>
      <c r="L989" t="n">
        <v>0</v>
      </c>
      <c r="M989" t="n">
        <v>0</v>
      </c>
      <c r="N989" t="n">
        <v>0</v>
      </c>
      <c r="O989" t="n">
        <v>0</v>
      </c>
      <c r="P989" t="n">
        <v>0</v>
      </c>
      <c r="Q989" t="n">
        <v>0</v>
      </c>
      <c r="R989" s="2" t="inlineStr"/>
    </row>
    <row r="990" ht="15" customHeight="1">
      <c r="A990" t="inlineStr">
        <is>
          <t>A 26062-2024</t>
        </is>
      </c>
      <c r="B990" s="1" t="n">
        <v>45468</v>
      </c>
      <c r="C990" s="1" t="n">
        <v>45511</v>
      </c>
      <c r="D990" t="inlineStr">
        <is>
          <t>DALARNAS LÄN</t>
        </is>
      </c>
      <c r="E990" t="inlineStr">
        <is>
          <t>LEKSAND</t>
        </is>
      </c>
      <c r="F990" t="inlineStr">
        <is>
          <t>Övriga statliga verk och myndigheter</t>
        </is>
      </c>
      <c r="G990" t="n">
        <v>6.4</v>
      </c>
      <c r="H990" t="n">
        <v>0</v>
      </c>
      <c r="I990" t="n">
        <v>0</v>
      </c>
      <c r="J990" t="n">
        <v>0</v>
      </c>
      <c r="K990" t="n">
        <v>0</v>
      </c>
      <c r="L990" t="n">
        <v>0</v>
      </c>
      <c r="M990" t="n">
        <v>0</v>
      </c>
      <c r="N990" t="n">
        <v>0</v>
      </c>
      <c r="O990" t="n">
        <v>0</v>
      </c>
      <c r="P990" t="n">
        <v>0</v>
      </c>
      <c r="Q990" t="n">
        <v>0</v>
      </c>
      <c r="R990" s="2" t="inlineStr"/>
    </row>
    <row r="991" ht="15" customHeight="1">
      <c r="A991" t="inlineStr">
        <is>
          <t>A 26680-2024</t>
        </is>
      </c>
      <c r="B991" s="1" t="n">
        <v>45470</v>
      </c>
      <c r="C991" s="1" t="n">
        <v>45511</v>
      </c>
      <c r="D991" t="inlineStr">
        <is>
          <t>DALARNAS LÄN</t>
        </is>
      </c>
      <c r="E991" t="inlineStr">
        <is>
          <t>LEKSAND</t>
        </is>
      </c>
      <c r="G991" t="n">
        <v>0.8</v>
      </c>
      <c r="H991" t="n">
        <v>0</v>
      </c>
      <c r="I991" t="n">
        <v>0</v>
      </c>
      <c r="J991" t="n">
        <v>0</v>
      </c>
      <c r="K991" t="n">
        <v>0</v>
      </c>
      <c r="L991" t="n">
        <v>0</v>
      </c>
      <c r="M991" t="n">
        <v>0</v>
      </c>
      <c r="N991" t="n">
        <v>0</v>
      </c>
      <c r="O991" t="n">
        <v>0</v>
      </c>
      <c r="P991" t="n">
        <v>0</v>
      </c>
      <c r="Q991" t="n">
        <v>0</v>
      </c>
      <c r="R991" s="2" t="inlineStr"/>
    </row>
    <row r="992" ht="15" customHeight="1">
      <c r="A992" t="inlineStr">
        <is>
          <t>A 27446-2024</t>
        </is>
      </c>
      <c r="B992" s="1" t="n">
        <v>45474</v>
      </c>
      <c r="C992" s="1" t="n">
        <v>45511</v>
      </c>
      <c r="D992" t="inlineStr">
        <is>
          <t>DALARNAS LÄN</t>
        </is>
      </c>
      <c r="E992" t="inlineStr">
        <is>
          <t>LEKSAND</t>
        </is>
      </c>
      <c r="G992" t="n">
        <v>2.9</v>
      </c>
      <c r="H992" t="n">
        <v>0</v>
      </c>
      <c r="I992" t="n">
        <v>0</v>
      </c>
      <c r="J992" t="n">
        <v>0</v>
      </c>
      <c r="K992" t="n">
        <v>0</v>
      </c>
      <c r="L992" t="n">
        <v>0</v>
      </c>
      <c r="M992" t="n">
        <v>0</v>
      </c>
      <c r="N992" t="n">
        <v>0</v>
      </c>
      <c r="O992" t="n">
        <v>0</v>
      </c>
      <c r="P992" t="n">
        <v>0</v>
      </c>
      <c r="Q992" t="n">
        <v>0</v>
      </c>
      <c r="R992" s="2" t="inlineStr"/>
    </row>
    <row r="993" ht="15" customHeight="1">
      <c r="A993" t="inlineStr">
        <is>
          <t>A 27445-2024</t>
        </is>
      </c>
      <c r="B993" s="1" t="n">
        <v>45474</v>
      </c>
      <c r="C993" s="1" t="n">
        <v>45511</v>
      </c>
      <c r="D993" t="inlineStr">
        <is>
          <t>DALARNAS LÄN</t>
        </is>
      </c>
      <c r="E993" t="inlineStr">
        <is>
          <t>LEKSAND</t>
        </is>
      </c>
      <c r="G993" t="n">
        <v>0.7</v>
      </c>
      <c r="H993" t="n">
        <v>0</v>
      </c>
      <c r="I993" t="n">
        <v>0</v>
      </c>
      <c r="J993" t="n">
        <v>0</v>
      </c>
      <c r="K993" t="n">
        <v>0</v>
      </c>
      <c r="L993" t="n">
        <v>0</v>
      </c>
      <c r="M993" t="n">
        <v>0</v>
      </c>
      <c r="N993" t="n">
        <v>0</v>
      </c>
      <c r="O993" t="n">
        <v>0</v>
      </c>
      <c r="P993" t="n">
        <v>0</v>
      </c>
      <c r="Q993" t="n">
        <v>0</v>
      </c>
      <c r="R993" s="2" t="inlineStr"/>
    </row>
    <row r="994" ht="15" customHeight="1">
      <c r="A994" t="inlineStr">
        <is>
          <t>A 28032-2024</t>
        </is>
      </c>
      <c r="B994" s="1" t="n">
        <v>45476</v>
      </c>
      <c r="C994" s="1" t="n">
        <v>45511</v>
      </c>
      <c r="D994" t="inlineStr">
        <is>
          <t>DALARNAS LÄN</t>
        </is>
      </c>
      <c r="E994" t="inlineStr">
        <is>
          <t>LEKSAND</t>
        </is>
      </c>
      <c r="G994" t="n">
        <v>2</v>
      </c>
      <c r="H994" t="n">
        <v>0</v>
      </c>
      <c r="I994" t="n">
        <v>0</v>
      </c>
      <c r="J994" t="n">
        <v>0</v>
      </c>
      <c r="K994" t="n">
        <v>0</v>
      </c>
      <c r="L994" t="n">
        <v>0</v>
      </c>
      <c r="M994" t="n">
        <v>0</v>
      </c>
      <c r="N994" t="n">
        <v>0</v>
      </c>
      <c r="O994" t="n">
        <v>0</v>
      </c>
      <c r="P994" t="n">
        <v>0</v>
      </c>
      <c r="Q994" t="n">
        <v>0</v>
      </c>
      <c r="R994" s="2" t="inlineStr"/>
    </row>
    <row r="995" ht="15" customHeight="1">
      <c r="A995" t="inlineStr">
        <is>
          <t>A 28366-2024</t>
        </is>
      </c>
      <c r="B995" s="1" t="n">
        <v>45477</v>
      </c>
      <c r="C995" s="1" t="n">
        <v>45511</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28674-2024</t>
        </is>
      </c>
      <c r="B996" s="1" t="n">
        <v>45478</v>
      </c>
      <c r="C996" s="1" t="n">
        <v>45511</v>
      </c>
      <c r="D996" t="inlineStr">
        <is>
          <t>DALARNAS LÄN</t>
        </is>
      </c>
      <c r="E996" t="inlineStr">
        <is>
          <t>LEKSAND</t>
        </is>
      </c>
      <c r="G996" t="n">
        <v>4.9</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45511</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28913-2024</t>
        </is>
      </c>
      <c r="B998" s="1" t="n">
        <v>45480</v>
      </c>
      <c r="C998" s="1" t="n">
        <v>45511</v>
      </c>
      <c r="D998" t="inlineStr">
        <is>
          <t>DALARNAS LÄN</t>
        </is>
      </c>
      <c r="E998" t="inlineStr">
        <is>
          <t>LEKSAND</t>
        </is>
      </c>
      <c r="G998" t="n">
        <v>1.5</v>
      </c>
      <c r="H998" t="n">
        <v>0</v>
      </c>
      <c r="I998" t="n">
        <v>0</v>
      </c>
      <c r="J998" t="n">
        <v>0</v>
      </c>
      <c r="K998" t="n">
        <v>0</v>
      </c>
      <c r="L998" t="n">
        <v>0</v>
      </c>
      <c r="M998" t="n">
        <v>0</v>
      </c>
      <c r="N998" t="n">
        <v>0</v>
      </c>
      <c r="O998" t="n">
        <v>0</v>
      </c>
      <c r="P998" t="n">
        <v>0</v>
      </c>
      <c r="Q998" t="n">
        <v>0</v>
      </c>
      <c r="R998" s="2" t="inlineStr"/>
    </row>
    <row r="999" ht="15" customHeight="1">
      <c r="A999" t="inlineStr">
        <is>
          <t>A 28985-2024</t>
        </is>
      </c>
      <c r="B999" s="1" t="n">
        <v>45481</v>
      </c>
      <c r="C999" s="1" t="n">
        <v>45511</v>
      </c>
      <c r="D999" t="inlineStr">
        <is>
          <t>DALARNAS LÄN</t>
        </is>
      </c>
      <c r="E999" t="inlineStr">
        <is>
          <t>LEKSAND</t>
        </is>
      </c>
      <c r="G999" t="n">
        <v>1.2</v>
      </c>
      <c r="H999" t="n">
        <v>0</v>
      </c>
      <c r="I999" t="n">
        <v>0</v>
      </c>
      <c r="J999" t="n">
        <v>0</v>
      </c>
      <c r="K999" t="n">
        <v>0</v>
      </c>
      <c r="L999" t="n">
        <v>0</v>
      </c>
      <c r="M999" t="n">
        <v>0</v>
      </c>
      <c r="N999" t="n">
        <v>0</v>
      </c>
      <c r="O999" t="n">
        <v>0</v>
      </c>
      <c r="P999" t="n">
        <v>0</v>
      </c>
      <c r="Q999" t="n">
        <v>0</v>
      </c>
      <c r="R999" s="2" t="inlineStr"/>
    </row>
    <row r="1000" ht="15" customHeight="1">
      <c r="A1000" t="inlineStr">
        <is>
          <t>A 29149-2024</t>
        </is>
      </c>
      <c r="B1000" s="1" t="n">
        <v>45482</v>
      </c>
      <c r="C1000" s="1" t="n">
        <v>45511</v>
      </c>
      <c r="D1000" t="inlineStr">
        <is>
          <t>DALARNAS LÄN</t>
        </is>
      </c>
      <c r="E1000" t="inlineStr">
        <is>
          <t>LEKSAND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29518-2024</t>
        </is>
      </c>
      <c r="B1001" s="1" t="n">
        <v>45484</v>
      </c>
      <c r="C1001" s="1" t="n">
        <v>45511</v>
      </c>
      <c r="D1001" t="inlineStr">
        <is>
          <t>DALARNAS LÄN</t>
        </is>
      </c>
      <c r="E1001" t="inlineStr">
        <is>
          <t>LEKSAND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29512-2024</t>
        </is>
      </c>
      <c r="B1002" s="1" t="n">
        <v>45484</v>
      </c>
      <c r="C1002" s="1" t="n">
        <v>45511</v>
      </c>
      <c r="D1002" t="inlineStr">
        <is>
          <t>DALARNAS LÄN</t>
        </is>
      </c>
      <c r="E1002" t="inlineStr">
        <is>
          <t>LEKSAND</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30204-2024</t>
        </is>
      </c>
      <c r="B1003" s="1" t="n">
        <v>45490</v>
      </c>
      <c r="C1003" s="1" t="n">
        <v>45511</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30198-2024</t>
        </is>
      </c>
      <c r="B1004" s="1" t="n">
        <v>45490</v>
      </c>
      <c r="C1004" s="1" t="n">
        <v>45511</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30201-2024</t>
        </is>
      </c>
      <c r="B1005" s="1" t="n">
        <v>45490</v>
      </c>
      <c r="C1005" s="1" t="n">
        <v>45511</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30670-2024</t>
        </is>
      </c>
      <c r="B1006" s="1" t="n">
        <v>45495</v>
      </c>
      <c r="C1006" s="1" t="n">
        <v>45511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30863-2024</t>
        </is>
      </c>
      <c r="B1007" s="1" t="n">
        <v>45497</v>
      </c>
      <c r="C1007" s="1" t="n">
        <v>45511</v>
      </c>
      <c r="D1007" t="inlineStr">
        <is>
          <t>DALARNAS LÄN</t>
        </is>
      </c>
      <c r="E1007" t="inlineStr">
        <is>
          <t>LEKSAND</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30858-2024</t>
        </is>
      </c>
      <c r="B1008" s="1" t="n">
        <v>45497</v>
      </c>
      <c r="C1008" s="1" t="n">
        <v>45511</v>
      </c>
      <c r="D1008" t="inlineStr">
        <is>
          <t>DALARNAS LÄN</t>
        </is>
      </c>
      <c r="E1008" t="inlineStr">
        <is>
          <t>LEKSAND</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30860-2024</t>
        </is>
      </c>
      <c r="B1009" s="1" t="n">
        <v>45497</v>
      </c>
      <c r="C1009" s="1" t="n">
        <v>45511</v>
      </c>
      <c r="D1009" t="inlineStr">
        <is>
          <t>DALARNAS LÄN</t>
        </is>
      </c>
      <c r="E1009" t="inlineStr">
        <is>
          <t>LEKSAND</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45511</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31019-2024</t>
        </is>
      </c>
      <c r="B1011" s="1" t="n">
        <v>45499</v>
      </c>
      <c r="C1011" s="1" t="n">
        <v>45511</v>
      </c>
      <c r="D1011" t="inlineStr">
        <is>
          <t>DALARNAS LÄN</t>
        </is>
      </c>
      <c r="E1011" t="inlineStr">
        <is>
          <t>LEKSAND</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31123-2024</t>
        </is>
      </c>
      <c r="B1012" s="1" t="n">
        <v>45502</v>
      </c>
      <c r="C1012" s="1" t="n">
        <v>45511</v>
      </c>
      <c r="D1012" t="inlineStr">
        <is>
          <t>DALARNAS LÄN</t>
        </is>
      </c>
      <c r="E1012" t="inlineStr">
        <is>
          <t>LEKSAND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31292-2024</t>
        </is>
      </c>
      <c r="B1013" s="1" t="n">
        <v>45504</v>
      </c>
      <c r="C1013" s="1" t="n">
        <v>45511</v>
      </c>
      <c r="D1013" t="inlineStr">
        <is>
          <t>DALARNAS LÄN</t>
        </is>
      </c>
      <c r="E1013" t="inlineStr">
        <is>
          <t>LEKSAND</t>
        </is>
      </c>
      <c r="F1013" t="inlineStr">
        <is>
          <t>Bergvik skog väst AB</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31391-2024</t>
        </is>
      </c>
      <c r="B1014" s="1" t="n">
        <v>45505</v>
      </c>
      <c r="C1014" s="1" t="n">
        <v>45511</v>
      </c>
      <c r="D1014" t="inlineStr">
        <is>
          <t>DALARNAS LÄN</t>
        </is>
      </c>
      <c r="E1014" t="inlineStr">
        <is>
          <t>LEKSAND</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31726-2024</t>
        </is>
      </c>
      <c r="B1015" s="1" t="n">
        <v>45509</v>
      </c>
      <c r="C1015" s="1" t="n">
        <v>45511</v>
      </c>
      <c r="D1015" t="inlineStr">
        <is>
          <t>DALARNAS LÄN</t>
        </is>
      </c>
      <c r="E1015" t="inlineStr">
        <is>
          <t>LEKSAND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31720-2024</t>
        </is>
      </c>
      <c r="B1016" s="1" t="n">
        <v>45509</v>
      </c>
      <c r="C1016" s="1" t="n">
        <v>45511</v>
      </c>
      <c r="D1016" t="inlineStr">
        <is>
          <t>DALARNAS LÄN</t>
        </is>
      </c>
      <c r="E1016" t="inlineStr">
        <is>
          <t>LEKSAND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31728-2024</t>
        </is>
      </c>
      <c r="B1017" s="1" t="n">
        <v>45509</v>
      </c>
      <c r="C1017" s="1" t="n">
        <v>45511</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45511</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31850-2024</t>
        </is>
      </c>
      <c r="B1019" s="1" t="n">
        <v>45509</v>
      </c>
      <c r="C1019" s="1" t="n">
        <v>45511</v>
      </c>
      <c r="D1019" t="inlineStr">
        <is>
          <t>DALARNAS LÄN</t>
        </is>
      </c>
      <c r="E1019" t="inlineStr">
        <is>
          <t>LEKSAND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31918-2024</t>
        </is>
      </c>
      <c r="B1020" s="1" t="n">
        <v>45510</v>
      </c>
      <c r="C1020" s="1" t="n">
        <v>45511</v>
      </c>
      <c r="D1020" t="inlineStr">
        <is>
          <t>DALARNAS LÄN</t>
        </is>
      </c>
      <c r="E1020" t="inlineStr">
        <is>
          <t>LEKSAND</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31971-2024</t>
        </is>
      </c>
      <c r="B1021" s="1" t="n">
        <v>45510</v>
      </c>
      <c r="C1021" s="1" t="n">
        <v>45511</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32073-2024</t>
        </is>
      </c>
      <c r="B1022" s="1" t="n">
        <v>45511</v>
      </c>
      <c r="C1022" s="1" t="n">
        <v>45511</v>
      </c>
      <c r="D1022" t="inlineStr">
        <is>
          <t>DALARNAS LÄN</t>
        </is>
      </c>
      <c r="E1022" t="inlineStr">
        <is>
          <t>LEKSAND</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45511</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c r="A1024" t="inlineStr">
        <is>
          <t>A 31915-2024</t>
        </is>
      </c>
      <c r="B1024" s="1" t="n">
        <v>45510</v>
      </c>
      <c r="C1024" s="1" t="n">
        <v>45511</v>
      </c>
      <c r="D1024" t="inlineStr">
        <is>
          <t>DALARNAS LÄN</t>
        </is>
      </c>
      <c r="E1024" t="inlineStr">
        <is>
          <t>LEKSAND</t>
        </is>
      </c>
      <c r="G1024" t="n">
        <v>1.9</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2024-08-07T10:43:52Z</dcterms:created>
  <dcterms:modified xmlns:dcterms="http://purl.org/dc/terms/" xmlns:xsi="http://www.w3.org/2001/XMLSchema-instance" xsi:type="dcterms:W3CDTF">2024-08-07T10:43:53Z</dcterms:modified>
</cp:coreProperties>
</file>