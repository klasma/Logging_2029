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45894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45894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45894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45894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45894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45894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45894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37044-2025</t>
        </is>
      </c>
      <c r="B10" s="1" t="n">
        <v>45875.3437037037</v>
      </c>
      <c r="C10" s="1" t="n">
        <v>45894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45894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45894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45894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45894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45894</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45894</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45894</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45894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45894</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55519-2021</t>
        </is>
      </c>
      <c r="B22" s="1" t="n">
        <v>44475</v>
      </c>
      <c r="C22" s="1" t="n">
        <v>45894</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18860-2025</t>
        </is>
      </c>
      <c r="B23" s="1" t="n">
        <v>45764.42738425926</v>
      </c>
      <c r="C23" s="1" t="n">
        <v>45894</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45894</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45894</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45894</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41718-2021</t>
        </is>
      </c>
      <c r="B27" s="1" t="n">
        <v>44425</v>
      </c>
      <c r="C27" s="1" t="n">
        <v>45894</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45894</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53633-2024</t>
        </is>
      </c>
      <c r="B29" s="1" t="n">
        <v>45614.83726851852</v>
      </c>
      <c r="C29" s="1" t="n">
        <v>45894</v>
      </c>
      <c r="D29" t="inlineStr">
        <is>
          <t>DALARNAS LÄN</t>
        </is>
      </c>
      <c r="E29" t="inlineStr">
        <is>
          <t>LEKSAND</t>
        </is>
      </c>
      <c r="G29" t="n">
        <v>1.6</v>
      </c>
      <c r="H29" t="n">
        <v>1</v>
      </c>
      <c r="I29" t="n">
        <v>0</v>
      </c>
      <c r="J29" t="n">
        <v>1</v>
      </c>
      <c r="K29" t="n">
        <v>0</v>
      </c>
      <c r="L29" t="n">
        <v>0</v>
      </c>
      <c r="M29" t="n">
        <v>0</v>
      </c>
      <c r="N29" t="n">
        <v>0</v>
      </c>
      <c r="O29" t="n">
        <v>1</v>
      </c>
      <c r="P29" t="n">
        <v>0</v>
      </c>
      <c r="Q29" t="n">
        <v>1</v>
      </c>
      <c r="R29" s="2" t="inlineStr">
        <is>
          <t>Tretåig hackspett</t>
        </is>
      </c>
      <c r="S29">
        <f>HYPERLINK("https://klasma.github.io/Logging_2029/artfynd/A 53633-2024 artfynd.xlsx", "A 53633-2024")</f>
        <v/>
      </c>
      <c r="T29">
        <f>HYPERLINK("https://klasma.github.io/Logging_2029/kartor/A 53633-2024 karta.png", "A 53633-2024")</f>
        <v/>
      </c>
      <c r="V29">
        <f>HYPERLINK("https://klasma.github.io/Logging_2029/klagomål/A 53633-2024 FSC-klagomål.docx", "A 53633-2024")</f>
        <v/>
      </c>
      <c r="W29">
        <f>HYPERLINK("https://klasma.github.io/Logging_2029/klagomålsmail/A 53633-2024 FSC-klagomål mail.docx", "A 53633-2024")</f>
        <v/>
      </c>
      <c r="X29">
        <f>HYPERLINK("https://klasma.github.io/Logging_2029/tillsyn/A 53633-2024 tillsynsbegäran.docx", "A 53633-2024")</f>
        <v/>
      </c>
      <c r="Y29">
        <f>HYPERLINK("https://klasma.github.io/Logging_2029/tillsynsmail/A 53633-2024 tillsynsbegäran mail.docx", "A 53633-2024")</f>
        <v/>
      </c>
      <c r="Z29">
        <f>HYPERLINK("https://klasma.github.io/Logging_2029/fåglar/A 53633-2024 prioriterade fågelarter.docx", "A 53633-2024")</f>
        <v/>
      </c>
    </row>
    <row r="30" ht="15" customHeight="1">
      <c r="A30" t="inlineStr">
        <is>
          <t>A 52600-2024</t>
        </is>
      </c>
      <c r="B30" s="1" t="n">
        <v>45609</v>
      </c>
      <c r="C30" s="1" t="n">
        <v>45894</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31124-2024</t>
        </is>
      </c>
      <c r="B31" s="1" t="n">
        <v>45502.62886574074</v>
      </c>
      <c r="C31" s="1" t="n">
        <v>45894</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4974-2025</t>
        </is>
      </c>
      <c r="B32" s="1" t="n">
        <v>45690.8478587963</v>
      </c>
      <c r="C32" s="1" t="n">
        <v>45894</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34993-2025</t>
        </is>
      </c>
      <c r="B33" s="1" t="n">
        <v>45849.82383101852</v>
      </c>
      <c r="C33" s="1" t="n">
        <v>45894</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45894</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41873-2022</t>
        </is>
      </c>
      <c r="B35" s="1" t="n">
        <v>44829</v>
      </c>
      <c r="C35" s="1" t="n">
        <v>45894</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45894</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31951-2025</t>
        </is>
      </c>
      <c r="B37" s="1" t="n">
        <v>45835.33481481481</v>
      </c>
      <c r="C37" s="1" t="n">
        <v>45894</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164-2024</t>
        </is>
      </c>
      <c r="B38" s="1" t="n">
        <v>45294.49954861111</v>
      </c>
      <c r="C38" s="1" t="n">
        <v>45894</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36778-2025</t>
        </is>
      </c>
      <c r="B39" s="1" t="n">
        <v>45873</v>
      </c>
      <c r="C39" s="1" t="n">
        <v>45894</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6029-2025</t>
        </is>
      </c>
      <c r="B40" s="1" t="n">
        <v>45695</v>
      </c>
      <c r="C40" s="1" t="n">
        <v>45894</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26287-2023</t>
        </is>
      </c>
      <c r="B41" s="1" t="n">
        <v>45091</v>
      </c>
      <c r="C41" s="1" t="n">
        <v>45894</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45894</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16735-2025</t>
        </is>
      </c>
      <c r="B43" s="1" t="n">
        <v>45754.54314814815</v>
      </c>
      <c r="C43" s="1" t="n">
        <v>45894</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45894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1078-2021</t>
        </is>
      </c>
      <c r="B45" s="1" t="n">
        <v>44207</v>
      </c>
      <c r="C45" s="1" t="n">
        <v>45894</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45894</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45894</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45894</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45894</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45894</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45894</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45894</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45894</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45894</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45894</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45894</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45894</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45894</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45894</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45894</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45894</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45894</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45894</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45894</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45894</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45894</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45894</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45894</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45894</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45894</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45894</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45894</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45894</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45894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45894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45894</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45894</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45894</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45894</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45894</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45894</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31871-2022</t>
        </is>
      </c>
      <c r="B82" s="1" t="n">
        <v>44777.37854166667</v>
      </c>
      <c r="C82" s="1" t="n">
        <v>45894</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14140-2022</t>
        </is>
      </c>
      <c r="B83" s="1" t="n">
        <v>44651</v>
      </c>
      <c r="C83" s="1" t="n">
        <v>45894</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45894</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45894</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47069-2020</t>
        </is>
      </c>
      <c r="B86" s="1" t="n">
        <v>44096</v>
      </c>
      <c r="C86" s="1" t="n">
        <v>45894</v>
      </c>
      <c r="D86" t="inlineStr">
        <is>
          <t>DALARNAS LÄN</t>
        </is>
      </c>
      <c r="E86" t="inlineStr">
        <is>
          <t>LEKSAND</t>
        </is>
      </c>
      <c r="G86" t="n">
        <v>5.5</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45894</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45894</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45894</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45894</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49581-2022</t>
        </is>
      </c>
      <c r="B91" s="1" t="n">
        <v>44862.36287037037</v>
      </c>
      <c r="C91" s="1" t="n">
        <v>45894</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45995-2020</t>
        </is>
      </c>
      <c r="B92" s="1" t="n">
        <v>44088</v>
      </c>
      <c r="C92" s="1" t="n">
        <v>45894</v>
      </c>
      <c r="D92" t="inlineStr">
        <is>
          <t>DALARNAS LÄN</t>
        </is>
      </c>
      <c r="E92" t="inlineStr">
        <is>
          <t>LEKSAND</t>
        </is>
      </c>
      <c r="G92" t="n">
        <v>7.8</v>
      </c>
      <c r="H92" t="n">
        <v>0</v>
      </c>
      <c r="I92" t="n">
        <v>0</v>
      </c>
      <c r="J92" t="n">
        <v>0</v>
      </c>
      <c r="K92" t="n">
        <v>0</v>
      </c>
      <c r="L92" t="n">
        <v>0</v>
      </c>
      <c r="M92" t="n">
        <v>0</v>
      </c>
      <c r="N92" t="n">
        <v>0</v>
      </c>
      <c r="O92" t="n">
        <v>0</v>
      </c>
      <c r="P92" t="n">
        <v>0</v>
      </c>
      <c r="Q92" t="n">
        <v>0</v>
      </c>
      <c r="R92" s="2" t="inlineStr"/>
    </row>
    <row r="93" ht="15" customHeight="1">
      <c r="A93" t="inlineStr">
        <is>
          <t>A 56153-2021</t>
        </is>
      </c>
      <c r="B93" s="1" t="n">
        <v>44477</v>
      </c>
      <c r="C93" s="1" t="n">
        <v>45894</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21965-2021</t>
        </is>
      </c>
      <c r="B94" s="1" t="n">
        <v>44323</v>
      </c>
      <c r="C94" s="1" t="n">
        <v>45894</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21969-2021</t>
        </is>
      </c>
      <c r="B95" s="1" t="n">
        <v>44323</v>
      </c>
      <c r="C95" s="1" t="n">
        <v>45894</v>
      </c>
      <c r="D95" t="inlineStr">
        <is>
          <t>DALARNAS LÄN</t>
        </is>
      </c>
      <c r="E95" t="inlineStr">
        <is>
          <t>LEKSAND</t>
        </is>
      </c>
      <c r="G95" t="n">
        <v>3.8</v>
      </c>
      <c r="H95" t="n">
        <v>0</v>
      </c>
      <c r="I95" t="n">
        <v>0</v>
      </c>
      <c r="J95" t="n">
        <v>0</v>
      </c>
      <c r="K95" t="n">
        <v>0</v>
      </c>
      <c r="L95" t="n">
        <v>0</v>
      </c>
      <c r="M95" t="n">
        <v>0</v>
      </c>
      <c r="N95" t="n">
        <v>0</v>
      </c>
      <c r="O95" t="n">
        <v>0</v>
      </c>
      <c r="P95" t="n">
        <v>0</v>
      </c>
      <c r="Q95" t="n">
        <v>0</v>
      </c>
      <c r="R95" s="2" t="inlineStr"/>
    </row>
    <row r="96" ht="15" customHeight="1">
      <c r="A96" t="inlineStr">
        <is>
          <t>A 35080-2022</t>
        </is>
      </c>
      <c r="B96" s="1" t="n">
        <v>44797</v>
      </c>
      <c r="C96" s="1" t="n">
        <v>45894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70098-2021</t>
        </is>
      </c>
      <c r="B97" s="1" t="n">
        <v>44533</v>
      </c>
      <c r="C97" s="1" t="n">
        <v>45894</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70296-2021</t>
        </is>
      </c>
      <c r="B98" s="1" t="n">
        <v>44536.40434027778</v>
      </c>
      <c r="C98" s="1" t="n">
        <v>45894</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45894</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45894</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45894</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45894</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40165-2022</t>
        </is>
      </c>
      <c r="B103" s="1" t="n">
        <v>44820.56857638889</v>
      </c>
      <c r="C103" s="1" t="n">
        <v>45894</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64449-2020</t>
        </is>
      </c>
      <c r="B104" s="1" t="n">
        <v>44168</v>
      </c>
      <c r="C104" s="1" t="n">
        <v>45894</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18866-2022</t>
        </is>
      </c>
      <c r="B105" s="1" t="n">
        <v>44690</v>
      </c>
      <c r="C105" s="1" t="n">
        <v>45894</v>
      </c>
      <c r="D105" t="inlineStr">
        <is>
          <t>DALARNAS LÄN</t>
        </is>
      </c>
      <c r="E105" t="inlineStr">
        <is>
          <t>LEKSAND</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45894</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32635-2021</t>
        </is>
      </c>
      <c r="B107" s="1" t="n">
        <v>44374</v>
      </c>
      <c r="C107" s="1" t="n">
        <v>45894</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43275-2022</t>
        </is>
      </c>
      <c r="B108" s="1" t="n">
        <v>44824</v>
      </c>
      <c r="C108" s="1" t="n">
        <v>45894</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43304-2022</t>
        </is>
      </c>
      <c r="B109" s="1" t="n">
        <v>44834</v>
      </c>
      <c r="C109" s="1" t="n">
        <v>45894</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45894</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19480-2022</t>
        </is>
      </c>
      <c r="B111" s="1" t="n">
        <v>44693</v>
      </c>
      <c r="C111" s="1" t="n">
        <v>45894</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45894</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8501-2022</t>
        </is>
      </c>
      <c r="B113" s="1" t="n">
        <v>44613.40672453704</v>
      </c>
      <c r="C113" s="1" t="n">
        <v>45894</v>
      </c>
      <c r="D113" t="inlineStr">
        <is>
          <t>DALARNAS LÄN</t>
        </is>
      </c>
      <c r="E113" t="inlineStr">
        <is>
          <t>LEKSAND</t>
        </is>
      </c>
      <c r="G113" t="n">
        <v>3</v>
      </c>
      <c r="H113" t="n">
        <v>0</v>
      </c>
      <c r="I113" t="n">
        <v>0</v>
      </c>
      <c r="J113" t="n">
        <v>0</v>
      </c>
      <c r="K113" t="n">
        <v>0</v>
      </c>
      <c r="L113" t="n">
        <v>0</v>
      </c>
      <c r="M113" t="n">
        <v>0</v>
      </c>
      <c r="N113" t="n">
        <v>0</v>
      </c>
      <c r="O113" t="n">
        <v>0</v>
      </c>
      <c r="P113" t="n">
        <v>0</v>
      </c>
      <c r="Q113" t="n">
        <v>0</v>
      </c>
      <c r="R113" s="2" t="inlineStr"/>
    </row>
    <row r="114" ht="15" customHeight="1">
      <c r="A114" t="inlineStr">
        <is>
          <t>A 18140-2022</t>
        </is>
      </c>
      <c r="B114" s="1" t="n">
        <v>44684.58278935185</v>
      </c>
      <c r="C114" s="1" t="n">
        <v>45894</v>
      </c>
      <c r="D114" t="inlineStr">
        <is>
          <t>DALARNAS LÄN</t>
        </is>
      </c>
      <c r="E114" t="inlineStr">
        <is>
          <t>LEKSAND</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67307-2020</t>
        </is>
      </c>
      <c r="B115" s="1" t="n">
        <v>44181</v>
      </c>
      <c r="C115" s="1" t="n">
        <v>45894</v>
      </c>
      <c r="D115" t="inlineStr">
        <is>
          <t>DALARNAS LÄN</t>
        </is>
      </c>
      <c r="E115" t="inlineStr">
        <is>
          <t>LEKSAND</t>
        </is>
      </c>
      <c r="G115" t="n">
        <v>5.9</v>
      </c>
      <c r="H115" t="n">
        <v>0</v>
      </c>
      <c r="I115" t="n">
        <v>0</v>
      </c>
      <c r="J115" t="n">
        <v>0</v>
      </c>
      <c r="K115" t="n">
        <v>0</v>
      </c>
      <c r="L115" t="n">
        <v>0</v>
      </c>
      <c r="M115" t="n">
        <v>0</v>
      </c>
      <c r="N115" t="n">
        <v>0</v>
      </c>
      <c r="O115" t="n">
        <v>0</v>
      </c>
      <c r="P115" t="n">
        <v>0</v>
      </c>
      <c r="Q115" t="n">
        <v>0</v>
      </c>
      <c r="R115" s="2" t="inlineStr"/>
    </row>
    <row r="116" ht="15" customHeight="1">
      <c r="A116" t="inlineStr">
        <is>
          <t>A 62279-2021</t>
        </is>
      </c>
      <c r="B116" s="1" t="n">
        <v>44503</v>
      </c>
      <c r="C116" s="1" t="n">
        <v>45894</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45894</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70026-2021</t>
        </is>
      </c>
      <c r="B118" s="1" t="n">
        <v>44533</v>
      </c>
      <c r="C118" s="1" t="n">
        <v>45894</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12356-2023</t>
        </is>
      </c>
      <c r="B119" s="1" t="n">
        <v>44998</v>
      </c>
      <c r="C119" s="1" t="n">
        <v>45894</v>
      </c>
      <c r="D119" t="inlineStr">
        <is>
          <t>DALARNAS LÄN</t>
        </is>
      </c>
      <c r="E119" t="inlineStr">
        <is>
          <t>LEKSAND</t>
        </is>
      </c>
      <c r="G119" t="n">
        <v>1.6</v>
      </c>
      <c r="H119" t="n">
        <v>0</v>
      </c>
      <c r="I119" t="n">
        <v>0</v>
      </c>
      <c r="J119" t="n">
        <v>0</v>
      </c>
      <c r="K119" t="n">
        <v>0</v>
      </c>
      <c r="L119" t="n">
        <v>0</v>
      </c>
      <c r="M119" t="n">
        <v>0</v>
      </c>
      <c r="N119" t="n">
        <v>0</v>
      </c>
      <c r="O119" t="n">
        <v>0</v>
      </c>
      <c r="P119" t="n">
        <v>0</v>
      </c>
      <c r="Q119" t="n">
        <v>0</v>
      </c>
      <c r="R119" s="2" t="inlineStr"/>
    </row>
    <row r="120" ht="15" customHeight="1">
      <c r="A120" t="inlineStr">
        <is>
          <t>A 12363-2023</t>
        </is>
      </c>
      <c r="B120" s="1" t="n">
        <v>44998</v>
      </c>
      <c r="C120" s="1" t="n">
        <v>45894</v>
      </c>
      <c r="D120" t="inlineStr">
        <is>
          <t>DALARNAS LÄN</t>
        </is>
      </c>
      <c r="E120" t="inlineStr">
        <is>
          <t>LEKSAND</t>
        </is>
      </c>
      <c r="G120" t="n">
        <v>10</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45894</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45894</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53799-2023</t>
        </is>
      </c>
      <c r="B123" s="1" t="n">
        <v>45231.35564814815</v>
      </c>
      <c r="C123" s="1" t="n">
        <v>45894</v>
      </c>
      <c r="D123" t="inlineStr">
        <is>
          <t>DALARNAS LÄN</t>
        </is>
      </c>
      <c r="E123" t="inlineStr">
        <is>
          <t>LEKSAND</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45894</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55015-2024</t>
        </is>
      </c>
      <c r="B125" s="1" t="n">
        <v>45621.35554398148</v>
      </c>
      <c r="C125" s="1" t="n">
        <v>45894</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62130-2024</t>
        </is>
      </c>
      <c r="B126" s="1" t="n">
        <v>45656.61827546296</v>
      </c>
      <c r="C126" s="1" t="n">
        <v>45894</v>
      </c>
      <c r="D126" t="inlineStr">
        <is>
          <t>DALARNAS LÄN</t>
        </is>
      </c>
      <c r="E126" t="inlineStr">
        <is>
          <t>LEKSAND</t>
        </is>
      </c>
      <c r="G126" t="n">
        <v>11.4</v>
      </c>
      <c r="H126" t="n">
        <v>0</v>
      </c>
      <c r="I126" t="n">
        <v>0</v>
      </c>
      <c r="J126" t="n">
        <v>0</v>
      </c>
      <c r="K126" t="n">
        <v>0</v>
      </c>
      <c r="L126" t="n">
        <v>0</v>
      </c>
      <c r="M126" t="n">
        <v>0</v>
      </c>
      <c r="N126" t="n">
        <v>0</v>
      </c>
      <c r="O126" t="n">
        <v>0</v>
      </c>
      <c r="P126" t="n">
        <v>0</v>
      </c>
      <c r="Q126" t="n">
        <v>0</v>
      </c>
      <c r="R126" s="2" t="inlineStr"/>
    </row>
    <row r="127" ht="15" customHeight="1">
      <c r="A127" t="inlineStr">
        <is>
          <t>A 41840-2024</t>
        </is>
      </c>
      <c r="B127" s="1" t="n">
        <v>45561.42170138889</v>
      </c>
      <c r="C127" s="1" t="n">
        <v>45894</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28674-2024</t>
        </is>
      </c>
      <c r="B128" s="1" t="n">
        <v>45478.47863425926</v>
      </c>
      <c r="C128" s="1" t="n">
        <v>45894</v>
      </c>
      <c r="D128" t="inlineStr">
        <is>
          <t>DALARNAS LÄN</t>
        </is>
      </c>
      <c r="E128" t="inlineStr">
        <is>
          <t>LEKSAND</t>
        </is>
      </c>
      <c r="G128" t="n">
        <v>4.9</v>
      </c>
      <c r="H128" t="n">
        <v>0</v>
      </c>
      <c r="I128" t="n">
        <v>0</v>
      </c>
      <c r="J128" t="n">
        <v>0</v>
      </c>
      <c r="K128" t="n">
        <v>0</v>
      </c>
      <c r="L128" t="n">
        <v>0</v>
      </c>
      <c r="M128" t="n">
        <v>0</v>
      </c>
      <c r="N128" t="n">
        <v>0</v>
      </c>
      <c r="O128" t="n">
        <v>0</v>
      </c>
      <c r="P128" t="n">
        <v>0</v>
      </c>
      <c r="Q128" t="n">
        <v>0</v>
      </c>
      <c r="R128" s="2" t="inlineStr"/>
    </row>
    <row r="129" ht="15" customHeight="1">
      <c r="A129" t="inlineStr">
        <is>
          <t>A 63513-2023</t>
        </is>
      </c>
      <c r="B129" s="1" t="n">
        <v>45274</v>
      </c>
      <c r="C129" s="1" t="n">
        <v>45894</v>
      </c>
      <c r="D129" t="inlineStr">
        <is>
          <t>DALARNAS LÄN</t>
        </is>
      </c>
      <c r="E129" t="inlineStr">
        <is>
          <t>LEKSAND</t>
        </is>
      </c>
      <c r="G129" t="n">
        <v>2.3</v>
      </c>
      <c r="H129" t="n">
        <v>0</v>
      </c>
      <c r="I129" t="n">
        <v>0</v>
      </c>
      <c r="J129" t="n">
        <v>0</v>
      </c>
      <c r="K129" t="n">
        <v>0</v>
      </c>
      <c r="L129" t="n">
        <v>0</v>
      </c>
      <c r="M129" t="n">
        <v>0</v>
      </c>
      <c r="N129" t="n">
        <v>0</v>
      </c>
      <c r="O129" t="n">
        <v>0</v>
      </c>
      <c r="P129" t="n">
        <v>0</v>
      </c>
      <c r="Q129" t="n">
        <v>0</v>
      </c>
      <c r="R129" s="2" t="inlineStr"/>
    </row>
    <row r="130" ht="15" customHeight="1">
      <c r="A130" t="inlineStr">
        <is>
          <t>A 16231-2021</t>
        </is>
      </c>
      <c r="B130" s="1" t="n">
        <v>44292</v>
      </c>
      <c r="C130" s="1" t="n">
        <v>45894</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56283-2024</t>
        </is>
      </c>
      <c r="B131" s="1" t="n">
        <v>45624.67864583333</v>
      </c>
      <c r="C131" s="1" t="n">
        <v>45894</v>
      </c>
      <c r="D131" t="inlineStr">
        <is>
          <t>DALARNAS LÄN</t>
        </is>
      </c>
      <c r="E131" t="inlineStr">
        <is>
          <t>LEKSAND</t>
        </is>
      </c>
      <c r="G131" t="n">
        <v>1.3</v>
      </c>
      <c r="H131" t="n">
        <v>0</v>
      </c>
      <c r="I131" t="n">
        <v>0</v>
      </c>
      <c r="J131" t="n">
        <v>0</v>
      </c>
      <c r="K131" t="n">
        <v>0</v>
      </c>
      <c r="L131" t="n">
        <v>0</v>
      </c>
      <c r="M131" t="n">
        <v>0</v>
      </c>
      <c r="N131" t="n">
        <v>0</v>
      </c>
      <c r="O131" t="n">
        <v>0</v>
      </c>
      <c r="P131" t="n">
        <v>0</v>
      </c>
      <c r="Q131" t="n">
        <v>0</v>
      </c>
      <c r="R131" s="2" t="inlineStr"/>
    </row>
    <row r="132" ht="15" customHeight="1">
      <c r="A132" t="inlineStr">
        <is>
          <t>A 53122-2023</t>
        </is>
      </c>
      <c r="B132" s="1" t="n">
        <v>45228</v>
      </c>
      <c r="C132" s="1" t="n">
        <v>45894</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36956-2021</t>
        </is>
      </c>
      <c r="B133" s="1" t="n">
        <v>44393.55643518519</v>
      </c>
      <c r="C133" s="1" t="n">
        <v>45894</v>
      </c>
      <c r="D133" t="inlineStr">
        <is>
          <t>DALARNAS LÄN</t>
        </is>
      </c>
      <c r="E133" t="inlineStr">
        <is>
          <t>LEKSAND</t>
        </is>
      </c>
      <c r="G133" t="n">
        <v>4.1</v>
      </c>
      <c r="H133" t="n">
        <v>0</v>
      </c>
      <c r="I133" t="n">
        <v>0</v>
      </c>
      <c r="J133" t="n">
        <v>0</v>
      </c>
      <c r="K133" t="n">
        <v>0</v>
      </c>
      <c r="L133" t="n">
        <v>0</v>
      </c>
      <c r="M133" t="n">
        <v>0</v>
      </c>
      <c r="N133" t="n">
        <v>0</v>
      </c>
      <c r="O133" t="n">
        <v>0</v>
      </c>
      <c r="P133" t="n">
        <v>0</v>
      </c>
      <c r="Q133" t="n">
        <v>0</v>
      </c>
      <c r="R133" s="2" t="inlineStr"/>
    </row>
    <row r="134" ht="15" customHeight="1">
      <c r="A134" t="inlineStr">
        <is>
          <t>A 28592-2023</t>
        </is>
      </c>
      <c r="B134" s="1" t="n">
        <v>45103</v>
      </c>
      <c r="C134" s="1" t="n">
        <v>45894</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19590-2023</t>
        </is>
      </c>
      <c r="B135" s="1" t="n">
        <v>45049</v>
      </c>
      <c r="C135" s="1" t="n">
        <v>45894</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30000-2023</t>
        </is>
      </c>
      <c r="B136" s="1" t="n">
        <v>45109.71128472222</v>
      </c>
      <c r="C136" s="1" t="n">
        <v>45894</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61933-2023</t>
        </is>
      </c>
      <c r="B137" s="1" t="n">
        <v>45266</v>
      </c>
      <c r="C137" s="1" t="n">
        <v>45894</v>
      </c>
      <c r="D137" t="inlineStr">
        <is>
          <t>DALARNAS LÄN</t>
        </is>
      </c>
      <c r="E137" t="inlineStr">
        <is>
          <t>LEKSAND</t>
        </is>
      </c>
      <c r="G137" t="n">
        <v>0.2</v>
      </c>
      <c r="H137" t="n">
        <v>0</v>
      </c>
      <c r="I137" t="n">
        <v>0</v>
      </c>
      <c r="J137" t="n">
        <v>0</v>
      </c>
      <c r="K137" t="n">
        <v>0</v>
      </c>
      <c r="L137" t="n">
        <v>0</v>
      </c>
      <c r="M137" t="n">
        <v>0</v>
      </c>
      <c r="N137" t="n">
        <v>0</v>
      </c>
      <c r="O137" t="n">
        <v>0</v>
      </c>
      <c r="P137" t="n">
        <v>0</v>
      </c>
      <c r="Q137" t="n">
        <v>0</v>
      </c>
      <c r="R137" s="2" t="inlineStr"/>
    </row>
    <row r="138" ht="15" customHeight="1">
      <c r="A138" t="inlineStr">
        <is>
          <t>A 41015-2024</t>
        </is>
      </c>
      <c r="B138" s="1" t="n">
        <v>45559.32537037037</v>
      </c>
      <c r="C138" s="1" t="n">
        <v>45894</v>
      </c>
      <c r="D138" t="inlineStr">
        <is>
          <t>DALARNAS LÄN</t>
        </is>
      </c>
      <c r="E138" t="inlineStr">
        <is>
          <t>LEKSAND</t>
        </is>
      </c>
      <c r="G138" t="n">
        <v>1.6</v>
      </c>
      <c r="H138" t="n">
        <v>0</v>
      </c>
      <c r="I138" t="n">
        <v>0</v>
      </c>
      <c r="J138" t="n">
        <v>0</v>
      </c>
      <c r="K138" t="n">
        <v>0</v>
      </c>
      <c r="L138" t="n">
        <v>0</v>
      </c>
      <c r="M138" t="n">
        <v>0</v>
      </c>
      <c r="N138" t="n">
        <v>0</v>
      </c>
      <c r="O138" t="n">
        <v>0</v>
      </c>
      <c r="P138" t="n">
        <v>0</v>
      </c>
      <c r="Q138" t="n">
        <v>0</v>
      </c>
      <c r="R138" s="2" t="inlineStr"/>
    </row>
    <row r="139" ht="15" customHeight="1">
      <c r="A139" t="inlineStr">
        <is>
          <t>A 18107-2025</t>
        </is>
      </c>
      <c r="B139" s="1" t="n">
        <v>45761.55939814815</v>
      </c>
      <c r="C139" s="1" t="n">
        <v>45894</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49395-2024</t>
        </is>
      </c>
      <c r="B140" s="1" t="n">
        <v>45595</v>
      </c>
      <c r="C140" s="1" t="n">
        <v>45894</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18484-2024</t>
        </is>
      </c>
      <c r="B141" s="1" t="n">
        <v>45425.52559027778</v>
      </c>
      <c r="C141" s="1" t="n">
        <v>45894</v>
      </c>
      <c r="D141" t="inlineStr">
        <is>
          <t>DALARNAS LÄN</t>
        </is>
      </c>
      <c r="E141" t="inlineStr">
        <is>
          <t>LEKSAND</t>
        </is>
      </c>
      <c r="G141" t="n">
        <v>2</v>
      </c>
      <c r="H141" t="n">
        <v>0</v>
      </c>
      <c r="I141" t="n">
        <v>0</v>
      </c>
      <c r="J141" t="n">
        <v>0</v>
      </c>
      <c r="K141" t="n">
        <v>0</v>
      </c>
      <c r="L141" t="n">
        <v>0</v>
      </c>
      <c r="M141" t="n">
        <v>0</v>
      </c>
      <c r="N141" t="n">
        <v>0</v>
      </c>
      <c r="O141" t="n">
        <v>0</v>
      </c>
      <c r="P141" t="n">
        <v>0</v>
      </c>
      <c r="Q141" t="n">
        <v>0</v>
      </c>
      <c r="R141" s="2" t="inlineStr"/>
    </row>
    <row r="142" ht="15" customHeight="1">
      <c r="A142" t="inlineStr">
        <is>
          <t>A 11418-2023</t>
        </is>
      </c>
      <c r="B142" s="1" t="n">
        <v>44993</v>
      </c>
      <c r="C142" s="1" t="n">
        <v>45894</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40407-2024</t>
        </is>
      </c>
      <c r="B143" s="1" t="n">
        <v>45555</v>
      </c>
      <c r="C143" s="1" t="n">
        <v>45894</v>
      </c>
      <c r="D143" t="inlineStr">
        <is>
          <t>DALARNAS LÄN</t>
        </is>
      </c>
      <c r="E143" t="inlineStr">
        <is>
          <t>LEKSAND</t>
        </is>
      </c>
      <c r="G143" t="n">
        <v>1.4</v>
      </c>
      <c r="H143" t="n">
        <v>0</v>
      </c>
      <c r="I143" t="n">
        <v>0</v>
      </c>
      <c r="J143" t="n">
        <v>0</v>
      </c>
      <c r="K143" t="n">
        <v>0</v>
      </c>
      <c r="L143" t="n">
        <v>0</v>
      </c>
      <c r="M143" t="n">
        <v>0</v>
      </c>
      <c r="N143" t="n">
        <v>0</v>
      </c>
      <c r="O143" t="n">
        <v>0</v>
      </c>
      <c r="P143" t="n">
        <v>0</v>
      </c>
      <c r="Q143" t="n">
        <v>0</v>
      </c>
      <c r="R143" s="2" t="inlineStr"/>
    </row>
    <row r="144" ht="15" customHeight="1">
      <c r="A144" t="inlineStr">
        <is>
          <t>A 33180-2024</t>
        </is>
      </c>
      <c r="B144" s="1" t="n">
        <v>45518.44481481481</v>
      </c>
      <c r="C144" s="1" t="n">
        <v>45894</v>
      </c>
      <c r="D144" t="inlineStr">
        <is>
          <t>DALARNAS LÄN</t>
        </is>
      </c>
      <c r="E144" t="inlineStr">
        <is>
          <t>LEKSAND</t>
        </is>
      </c>
      <c r="G144" t="n">
        <v>7.6</v>
      </c>
      <c r="H144" t="n">
        <v>0</v>
      </c>
      <c r="I144" t="n">
        <v>0</v>
      </c>
      <c r="J144" t="n">
        <v>0</v>
      </c>
      <c r="K144" t="n">
        <v>0</v>
      </c>
      <c r="L144" t="n">
        <v>0</v>
      </c>
      <c r="M144" t="n">
        <v>0</v>
      </c>
      <c r="N144" t="n">
        <v>0</v>
      </c>
      <c r="O144" t="n">
        <v>0</v>
      </c>
      <c r="P144" t="n">
        <v>0</v>
      </c>
      <c r="Q144" t="n">
        <v>0</v>
      </c>
      <c r="R144" s="2" t="inlineStr"/>
    </row>
    <row r="145" ht="15" customHeight="1">
      <c r="A145" t="inlineStr">
        <is>
          <t>A 70099-2021</t>
        </is>
      </c>
      <c r="B145" s="1" t="n">
        <v>44533</v>
      </c>
      <c r="C145" s="1" t="n">
        <v>45894</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481-2024</t>
        </is>
      </c>
      <c r="B146" s="1" t="n">
        <v>45298</v>
      </c>
      <c r="C146" s="1" t="n">
        <v>45894</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27791-2023</t>
        </is>
      </c>
      <c r="B147" s="1" t="n">
        <v>45098</v>
      </c>
      <c r="C147" s="1" t="n">
        <v>45894</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52801-2023</t>
        </is>
      </c>
      <c r="B148" s="1" t="n">
        <v>45219</v>
      </c>
      <c r="C148" s="1" t="n">
        <v>45894</v>
      </c>
      <c r="D148" t="inlineStr">
        <is>
          <t>DALARNAS LÄN</t>
        </is>
      </c>
      <c r="E148" t="inlineStr">
        <is>
          <t>LEKSAND</t>
        </is>
      </c>
      <c r="G148" t="n">
        <v>4.9</v>
      </c>
      <c r="H148" t="n">
        <v>0</v>
      </c>
      <c r="I148" t="n">
        <v>0</v>
      </c>
      <c r="J148" t="n">
        <v>0</v>
      </c>
      <c r="K148" t="n">
        <v>0</v>
      </c>
      <c r="L148" t="n">
        <v>0</v>
      </c>
      <c r="M148" t="n">
        <v>0</v>
      </c>
      <c r="N148" t="n">
        <v>0</v>
      </c>
      <c r="O148" t="n">
        <v>0</v>
      </c>
      <c r="P148" t="n">
        <v>0</v>
      </c>
      <c r="Q148" t="n">
        <v>0</v>
      </c>
      <c r="R148" s="2" t="inlineStr"/>
    </row>
    <row r="149" ht="15" customHeight="1">
      <c r="A149" t="inlineStr">
        <is>
          <t>A 9781-2024</t>
        </is>
      </c>
      <c r="B149" s="1" t="n">
        <v>45362.66299768518</v>
      </c>
      <c r="C149" s="1" t="n">
        <v>45894</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71817-2021</t>
        </is>
      </c>
      <c r="B150" s="1" t="n">
        <v>44543.59780092593</v>
      </c>
      <c r="C150" s="1" t="n">
        <v>45894</v>
      </c>
      <c r="D150" t="inlineStr">
        <is>
          <t>DALARNAS LÄN</t>
        </is>
      </c>
      <c r="E150" t="inlineStr">
        <is>
          <t>LEKSAND</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30175-2023</t>
        </is>
      </c>
      <c r="B151" s="1" t="n">
        <v>45110</v>
      </c>
      <c r="C151" s="1" t="n">
        <v>45894</v>
      </c>
      <c r="D151" t="inlineStr">
        <is>
          <t>DALARNAS LÄN</t>
        </is>
      </c>
      <c r="E151" t="inlineStr">
        <is>
          <t>LEKSAND</t>
        </is>
      </c>
      <c r="G151" t="n">
        <v>0.5</v>
      </c>
      <c r="H151" t="n">
        <v>0</v>
      </c>
      <c r="I151" t="n">
        <v>0</v>
      </c>
      <c r="J151" t="n">
        <v>0</v>
      </c>
      <c r="K151" t="n">
        <v>0</v>
      </c>
      <c r="L151" t="n">
        <v>0</v>
      </c>
      <c r="M151" t="n">
        <v>0</v>
      </c>
      <c r="N151" t="n">
        <v>0</v>
      </c>
      <c r="O151" t="n">
        <v>0</v>
      </c>
      <c r="P151" t="n">
        <v>0</v>
      </c>
      <c r="Q151" t="n">
        <v>0</v>
      </c>
      <c r="R151" s="2" t="inlineStr"/>
    </row>
    <row r="152" ht="15" customHeight="1">
      <c r="A152" t="inlineStr">
        <is>
          <t>A 6778-2025</t>
        </is>
      </c>
      <c r="B152" s="1" t="n">
        <v>45700.64615740741</v>
      </c>
      <c r="C152" s="1" t="n">
        <v>45894</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59103-2024</t>
        </is>
      </c>
      <c r="B153" s="1" t="n">
        <v>45637.34184027778</v>
      </c>
      <c r="C153" s="1" t="n">
        <v>45894</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11092-2023</t>
        </is>
      </c>
      <c r="B154" s="1" t="n">
        <v>44992</v>
      </c>
      <c r="C154" s="1" t="n">
        <v>45894</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28578-2023</t>
        </is>
      </c>
      <c r="B155" s="1" t="n">
        <v>45103</v>
      </c>
      <c r="C155" s="1" t="n">
        <v>45894</v>
      </c>
      <c r="D155" t="inlineStr">
        <is>
          <t>DALARNAS LÄN</t>
        </is>
      </c>
      <c r="E155" t="inlineStr">
        <is>
          <t>LEKSAND</t>
        </is>
      </c>
      <c r="G155" t="n">
        <v>4.4</v>
      </c>
      <c r="H155" t="n">
        <v>0</v>
      </c>
      <c r="I155" t="n">
        <v>0</v>
      </c>
      <c r="J155" t="n">
        <v>0</v>
      </c>
      <c r="K155" t="n">
        <v>0</v>
      </c>
      <c r="L155" t="n">
        <v>0</v>
      </c>
      <c r="M155" t="n">
        <v>0</v>
      </c>
      <c r="N155" t="n">
        <v>0</v>
      </c>
      <c r="O155" t="n">
        <v>0</v>
      </c>
      <c r="P155" t="n">
        <v>0</v>
      </c>
      <c r="Q155" t="n">
        <v>0</v>
      </c>
      <c r="R155" s="2" t="inlineStr"/>
    </row>
    <row r="156" ht="15" customHeight="1">
      <c r="A156" t="inlineStr">
        <is>
          <t>A 51677-2024</t>
        </is>
      </c>
      <c r="B156" s="1" t="n">
        <v>45607.30265046296</v>
      </c>
      <c r="C156" s="1" t="n">
        <v>45894</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164-2023</t>
        </is>
      </c>
      <c r="B157" s="1" t="n">
        <v>44918</v>
      </c>
      <c r="C157" s="1" t="n">
        <v>45894</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19371-2024</t>
        </is>
      </c>
      <c r="B158" s="1" t="n">
        <v>45429.34969907408</v>
      </c>
      <c r="C158" s="1" t="n">
        <v>45894</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27348-2023</t>
        </is>
      </c>
      <c r="B159" s="1" t="n">
        <v>45096</v>
      </c>
      <c r="C159" s="1" t="n">
        <v>45894</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50278-2023</t>
        </is>
      </c>
      <c r="B160" s="1" t="n">
        <v>45216.43444444444</v>
      </c>
      <c r="C160" s="1" t="n">
        <v>45894</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54911-2024</t>
        </is>
      </c>
      <c r="B161" s="1" t="n">
        <v>45618.68929398148</v>
      </c>
      <c r="C161" s="1" t="n">
        <v>45894</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40193-2024</t>
        </is>
      </c>
      <c r="B162" s="1" t="n">
        <v>45554.5734375</v>
      </c>
      <c r="C162" s="1" t="n">
        <v>45894</v>
      </c>
      <c r="D162" t="inlineStr">
        <is>
          <t>DALARNAS LÄN</t>
        </is>
      </c>
      <c r="E162" t="inlineStr">
        <is>
          <t>LEKSAND</t>
        </is>
      </c>
      <c r="F162" t="inlineStr">
        <is>
          <t>Övriga statliga verk och myndigheter</t>
        </is>
      </c>
      <c r="G162" t="n">
        <v>1</v>
      </c>
      <c r="H162" t="n">
        <v>0</v>
      </c>
      <c r="I162" t="n">
        <v>0</v>
      </c>
      <c r="J162" t="n">
        <v>0</v>
      </c>
      <c r="K162" t="n">
        <v>0</v>
      </c>
      <c r="L162" t="n">
        <v>0</v>
      </c>
      <c r="M162" t="n">
        <v>0</v>
      </c>
      <c r="N162" t="n">
        <v>0</v>
      </c>
      <c r="O162" t="n">
        <v>0</v>
      </c>
      <c r="P162" t="n">
        <v>0</v>
      </c>
      <c r="Q162" t="n">
        <v>0</v>
      </c>
      <c r="R162" s="2" t="inlineStr"/>
    </row>
    <row r="163" ht="15" customHeight="1">
      <c r="A163" t="inlineStr">
        <is>
          <t>A 13401-2023</t>
        </is>
      </c>
      <c r="B163" s="1" t="n">
        <v>45005</v>
      </c>
      <c r="C163" s="1" t="n">
        <v>45894</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39558-2023</t>
        </is>
      </c>
      <c r="B164" s="1" t="n">
        <v>45167.38664351852</v>
      </c>
      <c r="C164" s="1" t="n">
        <v>45894</v>
      </c>
      <c r="D164" t="inlineStr">
        <is>
          <t>DALARNAS LÄN</t>
        </is>
      </c>
      <c r="E164" t="inlineStr">
        <is>
          <t>LEKSAND</t>
        </is>
      </c>
      <c r="G164" t="n">
        <v>39.9</v>
      </c>
      <c r="H164" t="n">
        <v>0</v>
      </c>
      <c r="I164" t="n">
        <v>0</v>
      </c>
      <c r="J164" t="n">
        <v>0</v>
      </c>
      <c r="K164" t="n">
        <v>0</v>
      </c>
      <c r="L164" t="n">
        <v>0</v>
      </c>
      <c r="M164" t="n">
        <v>0</v>
      </c>
      <c r="N164" t="n">
        <v>0</v>
      </c>
      <c r="O164" t="n">
        <v>0</v>
      </c>
      <c r="P164" t="n">
        <v>0</v>
      </c>
      <c r="Q164" t="n">
        <v>0</v>
      </c>
      <c r="R164" s="2" t="inlineStr"/>
    </row>
    <row r="165" ht="15" customHeight="1">
      <c r="A165" t="inlineStr">
        <is>
          <t>A 11617-2024</t>
        </is>
      </c>
      <c r="B165" s="1" t="n">
        <v>45373.42898148148</v>
      </c>
      <c r="C165" s="1" t="n">
        <v>45894</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9138-2023</t>
        </is>
      </c>
      <c r="B166" s="1" t="n">
        <v>44974</v>
      </c>
      <c r="C166" s="1" t="n">
        <v>45894</v>
      </c>
      <c r="D166" t="inlineStr">
        <is>
          <t>DALARNAS LÄN</t>
        </is>
      </c>
      <c r="E166" t="inlineStr">
        <is>
          <t>LEKSAND</t>
        </is>
      </c>
      <c r="G166" t="n">
        <v>4.6</v>
      </c>
      <c r="H166" t="n">
        <v>0</v>
      </c>
      <c r="I166" t="n">
        <v>0</v>
      </c>
      <c r="J166" t="n">
        <v>0</v>
      </c>
      <c r="K166" t="n">
        <v>0</v>
      </c>
      <c r="L166" t="n">
        <v>0</v>
      </c>
      <c r="M166" t="n">
        <v>0</v>
      </c>
      <c r="N166" t="n">
        <v>0</v>
      </c>
      <c r="O166" t="n">
        <v>0</v>
      </c>
      <c r="P166" t="n">
        <v>0</v>
      </c>
      <c r="Q166" t="n">
        <v>0</v>
      </c>
      <c r="R166" s="2" t="inlineStr"/>
    </row>
    <row r="167" ht="15" customHeight="1">
      <c r="A167" t="inlineStr">
        <is>
          <t>A 9141-2023</t>
        </is>
      </c>
      <c r="B167" s="1" t="n">
        <v>44974</v>
      </c>
      <c r="C167" s="1" t="n">
        <v>45894</v>
      </c>
      <c r="D167" t="inlineStr">
        <is>
          <t>DALARNAS LÄN</t>
        </is>
      </c>
      <c r="E167" t="inlineStr">
        <is>
          <t>LEKSAND</t>
        </is>
      </c>
      <c r="G167" t="n">
        <v>1.9</v>
      </c>
      <c r="H167" t="n">
        <v>0</v>
      </c>
      <c r="I167" t="n">
        <v>0</v>
      </c>
      <c r="J167" t="n">
        <v>0</v>
      </c>
      <c r="K167" t="n">
        <v>0</v>
      </c>
      <c r="L167" t="n">
        <v>0</v>
      </c>
      <c r="M167" t="n">
        <v>0</v>
      </c>
      <c r="N167" t="n">
        <v>0</v>
      </c>
      <c r="O167" t="n">
        <v>0</v>
      </c>
      <c r="P167" t="n">
        <v>0</v>
      </c>
      <c r="Q167" t="n">
        <v>0</v>
      </c>
      <c r="R167" s="2" t="inlineStr"/>
    </row>
    <row r="168" ht="15" customHeight="1">
      <c r="A168" t="inlineStr">
        <is>
          <t>A 2630-2025</t>
        </is>
      </c>
      <c r="B168" s="1" t="n">
        <v>45675.85865740741</v>
      </c>
      <c r="C168" s="1" t="n">
        <v>45894</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15986-2025</t>
        </is>
      </c>
      <c r="B169" s="1" t="n">
        <v>45749.57331018519</v>
      </c>
      <c r="C169" s="1" t="n">
        <v>45894</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38117-2023</t>
        </is>
      </c>
      <c r="B170" s="1" t="n">
        <v>45161</v>
      </c>
      <c r="C170" s="1" t="n">
        <v>45894</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59763-2023</t>
        </is>
      </c>
      <c r="B171" s="1" t="n">
        <v>45257</v>
      </c>
      <c r="C171" s="1" t="n">
        <v>45894</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33674-2023</t>
        </is>
      </c>
      <c r="B172" s="1" t="n">
        <v>45132</v>
      </c>
      <c r="C172" s="1" t="n">
        <v>45894</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23323-2023</t>
        </is>
      </c>
      <c r="B173" s="1" t="n">
        <v>45076</v>
      </c>
      <c r="C173" s="1" t="n">
        <v>45894</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11678-2025</t>
        </is>
      </c>
      <c r="B174" s="1" t="n">
        <v>45726</v>
      </c>
      <c r="C174" s="1" t="n">
        <v>45894</v>
      </c>
      <c r="D174" t="inlineStr">
        <is>
          <t>DALARNAS LÄN</t>
        </is>
      </c>
      <c r="E174" t="inlineStr">
        <is>
          <t>LEKSAND</t>
        </is>
      </c>
      <c r="G174" t="n">
        <v>9.4</v>
      </c>
      <c r="H174" t="n">
        <v>0</v>
      </c>
      <c r="I174" t="n">
        <v>0</v>
      </c>
      <c r="J174" t="n">
        <v>0</v>
      </c>
      <c r="K174" t="n">
        <v>0</v>
      </c>
      <c r="L174" t="n">
        <v>0</v>
      </c>
      <c r="M174" t="n">
        <v>0</v>
      </c>
      <c r="N174" t="n">
        <v>0</v>
      </c>
      <c r="O174" t="n">
        <v>0</v>
      </c>
      <c r="P174" t="n">
        <v>0</v>
      </c>
      <c r="Q174" t="n">
        <v>0</v>
      </c>
      <c r="R174" s="2" t="inlineStr"/>
    </row>
    <row r="175" ht="15" customHeight="1">
      <c r="A175" t="inlineStr">
        <is>
          <t>A 62306-2023</t>
        </is>
      </c>
      <c r="B175" s="1" t="n">
        <v>45266</v>
      </c>
      <c r="C175" s="1" t="n">
        <v>45894</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17485-2025</t>
        </is>
      </c>
      <c r="B176" s="1" t="n">
        <v>45757.49976851852</v>
      </c>
      <c r="C176" s="1" t="n">
        <v>45894</v>
      </c>
      <c r="D176" t="inlineStr">
        <is>
          <t>DALARNAS LÄN</t>
        </is>
      </c>
      <c r="E176" t="inlineStr">
        <is>
          <t>LEKSAND</t>
        </is>
      </c>
      <c r="G176" t="n">
        <v>3.7</v>
      </c>
      <c r="H176" t="n">
        <v>0</v>
      </c>
      <c r="I176" t="n">
        <v>0</v>
      </c>
      <c r="J176" t="n">
        <v>0</v>
      </c>
      <c r="K176" t="n">
        <v>0</v>
      </c>
      <c r="L176" t="n">
        <v>0</v>
      </c>
      <c r="M176" t="n">
        <v>0</v>
      </c>
      <c r="N176" t="n">
        <v>0</v>
      </c>
      <c r="O176" t="n">
        <v>0</v>
      </c>
      <c r="P176" t="n">
        <v>0</v>
      </c>
      <c r="Q176" t="n">
        <v>0</v>
      </c>
      <c r="R176" s="2" t="inlineStr"/>
    </row>
    <row r="177" ht="15" customHeight="1">
      <c r="A177" t="inlineStr">
        <is>
          <t>A 18176-2024</t>
        </is>
      </c>
      <c r="B177" s="1" t="n">
        <v>45420.63901620371</v>
      </c>
      <c r="C177" s="1" t="n">
        <v>45894</v>
      </c>
      <c r="D177" t="inlineStr">
        <is>
          <t>DALARNAS LÄN</t>
        </is>
      </c>
      <c r="E177" t="inlineStr">
        <is>
          <t>LEKSAND</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31971-2024</t>
        </is>
      </c>
      <c r="B178" s="1" t="n">
        <v>45510.55171296297</v>
      </c>
      <c r="C178" s="1" t="n">
        <v>45894</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33072-2021</t>
        </is>
      </c>
      <c r="B179" s="1" t="n">
        <v>44375</v>
      </c>
      <c r="C179" s="1" t="n">
        <v>45894</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412-2024</t>
        </is>
      </c>
      <c r="B180" s="1" t="n">
        <v>45296</v>
      </c>
      <c r="C180" s="1" t="n">
        <v>45894</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62161-2024</t>
        </is>
      </c>
      <c r="B181" s="1" t="n">
        <v>45656.86009259259</v>
      </c>
      <c r="C181" s="1" t="n">
        <v>45894</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56330-2022</t>
        </is>
      </c>
      <c r="B182" s="1" t="n">
        <v>44890.62630787037</v>
      </c>
      <c r="C182" s="1" t="n">
        <v>45894</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1983-2025</t>
        </is>
      </c>
      <c r="B183" s="1" t="n">
        <v>45670</v>
      </c>
      <c r="C183" s="1" t="n">
        <v>45894</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22388-2024</t>
        </is>
      </c>
      <c r="B184" s="1" t="n">
        <v>45446</v>
      </c>
      <c r="C184" s="1" t="n">
        <v>45894</v>
      </c>
      <c r="D184" t="inlineStr">
        <is>
          <t>DALARNAS LÄN</t>
        </is>
      </c>
      <c r="E184" t="inlineStr">
        <is>
          <t>LEKSAND</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31728-2024</t>
        </is>
      </c>
      <c r="B185" s="1" t="n">
        <v>45509.34517361111</v>
      </c>
      <c r="C185" s="1" t="n">
        <v>45894</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48644-2023</t>
        </is>
      </c>
      <c r="B186" s="1" t="n">
        <v>45208.58997685185</v>
      </c>
      <c r="C186" s="1" t="n">
        <v>45894</v>
      </c>
      <c r="D186" t="inlineStr">
        <is>
          <t>DALARNAS LÄN</t>
        </is>
      </c>
      <c r="E186" t="inlineStr">
        <is>
          <t>LEKSAND</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59840-2024</t>
        </is>
      </c>
      <c r="B187" s="1" t="n">
        <v>45638</v>
      </c>
      <c r="C187" s="1" t="n">
        <v>45894</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33566-2023</t>
        </is>
      </c>
      <c r="B188" s="1" t="n">
        <v>45131.64390046296</v>
      </c>
      <c r="C188" s="1" t="n">
        <v>45894</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30611-2023</t>
        </is>
      </c>
      <c r="B189" s="1" t="n">
        <v>45112</v>
      </c>
      <c r="C189" s="1" t="n">
        <v>45894</v>
      </c>
      <c r="D189" t="inlineStr">
        <is>
          <t>DALARNAS LÄN</t>
        </is>
      </c>
      <c r="E189" t="inlineStr">
        <is>
          <t>LEKSAND</t>
        </is>
      </c>
      <c r="G189" t="n">
        <v>3.1</v>
      </c>
      <c r="H189" t="n">
        <v>0</v>
      </c>
      <c r="I189" t="n">
        <v>0</v>
      </c>
      <c r="J189" t="n">
        <v>0</v>
      </c>
      <c r="K189" t="n">
        <v>0</v>
      </c>
      <c r="L189" t="n">
        <v>0</v>
      </c>
      <c r="M189" t="n">
        <v>0</v>
      </c>
      <c r="N189" t="n">
        <v>0</v>
      </c>
      <c r="O189" t="n">
        <v>0</v>
      </c>
      <c r="P189" t="n">
        <v>0</v>
      </c>
      <c r="Q189" t="n">
        <v>0</v>
      </c>
      <c r="R189" s="2" t="inlineStr"/>
    </row>
    <row r="190" ht="15" customHeight="1">
      <c r="A190" t="inlineStr">
        <is>
          <t>A 25249-2024</t>
        </is>
      </c>
      <c r="B190" s="1" t="n">
        <v>45462.60643518518</v>
      </c>
      <c r="C190" s="1" t="n">
        <v>45894</v>
      </c>
      <c r="D190" t="inlineStr">
        <is>
          <t>DALARNAS LÄN</t>
        </is>
      </c>
      <c r="E190" t="inlineStr">
        <is>
          <t>LEKSAND</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325-2023</t>
        </is>
      </c>
      <c r="B191" s="1" t="n">
        <v>44929</v>
      </c>
      <c r="C191" s="1" t="n">
        <v>45894</v>
      </c>
      <c r="D191" t="inlineStr">
        <is>
          <t>DALARNAS LÄN</t>
        </is>
      </c>
      <c r="E191" t="inlineStr">
        <is>
          <t>LEKSAND</t>
        </is>
      </c>
      <c r="F191" t="inlineStr">
        <is>
          <t>Övriga Aktiebolag</t>
        </is>
      </c>
      <c r="G191" t="n">
        <v>7.1</v>
      </c>
      <c r="H191" t="n">
        <v>0</v>
      </c>
      <c r="I191" t="n">
        <v>0</v>
      </c>
      <c r="J191" t="n">
        <v>0</v>
      </c>
      <c r="K191" t="n">
        <v>0</v>
      </c>
      <c r="L191" t="n">
        <v>0</v>
      </c>
      <c r="M191" t="n">
        <v>0</v>
      </c>
      <c r="N191" t="n">
        <v>0</v>
      </c>
      <c r="O191" t="n">
        <v>0</v>
      </c>
      <c r="P191" t="n">
        <v>0</v>
      </c>
      <c r="Q191" t="n">
        <v>0</v>
      </c>
      <c r="R191" s="2" t="inlineStr"/>
    </row>
    <row r="192" ht="15" customHeight="1">
      <c r="A192" t="inlineStr">
        <is>
          <t>A 12621-2025</t>
        </is>
      </c>
      <c r="B192" s="1" t="n">
        <v>45733.3575</v>
      </c>
      <c r="C192" s="1" t="n">
        <v>45894</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59236-2024</t>
        </is>
      </c>
      <c r="B193" s="1" t="n">
        <v>45637.58795138889</v>
      </c>
      <c r="C193" s="1" t="n">
        <v>45894</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10299-2024</t>
        </is>
      </c>
      <c r="B194" s="1" t="n">
        <v>45365.50425925926</v>
      </c>
      <c r="C194" s="1" t="n">
        <v>45894</v>
      </c>
      <c r="D194" t="inlineStr">
        <is>
          <t>DALARNAS LÄN</t>
        </is>
      </c>
      <c r="E194" t="inlineStr">
        <is>
          <t>LEKSAND</t>
        </is>
      </c>
      <c r="G194" t="n">
        <v>3.6</v>
      </c>
      <c r="H194" t="n">
        <v>0</v>
      </c>
      <c r="I194" t="n">
        <v>0</v>
      </c>
      <c r="J194" t="n">
        <v>0</v>
      </c>
      <c r="K194" t="n">
        <v>0</v>
      </c>
      <c r="L194" t="n">
        <v>0</v>
      </c>
      <c r="M194" t="n">
        <v>0</v>
      </c>
      <c r="N194" t="n">
        <v>0</v>
      </c>
      <c r="O194" t="n">
        <v>0</v>
      </c>
      <c r="P194" t="n">
        <v>0</v>
      </c>
      <c r="Q194" t="n">
        <v>0</v>
      </c>
      <c r="R194" s="2" t="inlineStr"/>
    </row>
    <row r="195" ht="15" customHeight="1">
      <c r="A195" t="inlineStr">
        <is>
          <t>A 33317-2023</t>
        </is>
      </c>
      <c r="B195" s="1" t="n">
        <v>45127.84586805556</v>
      </c>
      <c r="C195" s="1" t="n">
        <v>45894</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33318-2023</t>
        </is>
      </c>
      <c r="B196" s="1" t="n">
        <v>45127</v>
      </c>
      <c r="C196" s="1" t="n">
        <v>45894</v>
      </c>
      <c r="D196" t="inlineStr">
        <is>
          <t>DALARNAS LÄN</t>
        </is>
      </c>
      <c r="E196" t="inlineStr">
        <is>
          <t>LEKSAND</t>
        </is>
      </c>
      <c r="G196" t="n">
        <v>5.5</v>
      </c>
      <c r="H196" t="n">
        <v>0</v>
      </c>
      <c r="I196" t="n">
        <v>0</v>
      </c>
      <c r="J196" t="n">
        <v>0</v>
      </c>
      <c r="K196" t="n">
        <v>0</v>
      </c>
      <c r="L196" t="n">
        <v>0</v>
      </c>
      <c r="M196" t="n">
        <v>0</v>
      </c>
      <c r="N196" t="n">
        <v>0</v>
      </c>
      <c r="O196" t="n">
        <v>0</v>
      </c>
      <c r="P196" t="n">
        <v>0</v>
      </c>
      <c r="Q196" t="n">
        <v>0</v>
      </c>
      <c r="R196" s="2" t="inlineStr"/>
    </row>
    <row r="197" ht="15" customHeight="1">
      <c r="A197" t="inlineStr">
        <is>
          <t>A 16135-2023</t>
        </is>
      </c>
      <c r="B197" s="1" t="n">
        <v>45027.63717592593</v>
      </c>
      <c r="C197" s="1" t="n">
        <v>45894</v>
      </c>
      <c r="D197" t="inlineStr">
        <is>
          <t>DALARNAS LÄN</t>
        </is>
      </c>
      <c r="E197" t="inlineStr">
        <is>
          <t>LEKSAND</t>
        </is>
      </c>
      <c r="G197" t="n">
        <v>4.9</v>
      </c>
      <c r="H197" t="n">
        <v>0</v>
      </c>
      <c r="I197" t="n">
        <v>0</v>
      </c>
      <c r="J197" t="n">
        <v>0</v>
      </c>
      <c r="K197" t="n">
        <v>0</v>
      </c>
      <c r="L197" t="n">
        <v>0</v>
      </c>
      <c r="M197" t="n">
        <v>0</v>
      </c>
      <c r="N197" t="n">
        <v>0</v>
      </c>
      <c r="O197" t="n">
        <v>0</v>
      </c>
      <c r="P197" t="n">
        <v>0</v>
      </c>
      <c r="Q197" t="n">
        <v>0</v>
      </c>
      <c r="R197" s="2" t="inlineStr"/>
    </row>
    <row r="198" ht="15" customHeight="1">
      <c r="A198" t="inlineStr">
        <is>
          <t>A 61055-2023</t>
        </is>
      </c>
      <c r="B198" s="1" t="n">
        <v>45261</v>
      </c>
      <c r="C198" s="1" t="n">
        <v>45894</v>
      </c>
      <c r="D198" t="inlineStr">
        <is>
          <t>DALARNAS LÄN</t>
        </is>
      </c>
      <c r="E198" t="inlineStr">
        <is>
          <t>LEKSAND</t>
        </is>
      </c>
      <c r="G198" t="n">
        <v>0.3</v>
      </c>
      <c r="H198" t="n">
        <v>0</v>
      </c>
      <c r="I198" t="n">
        <v>0</v>
      </c>
      <c r="J198" t="n">
        <v>0</v>
      </c>
      <c r="K198" t="n">
        <v>0</v>
      </c>
      <c r="L198" t="n">
        <v>0</v>
      </c>
      <c r="M198" t="n">
        <v>0</v>
      </c>
      <c r="N198" t="n">
        <v>0</v>
      </c>
      <c r="O198" t="n">
        <v>0</v>
      </c>
      <c r="P198" t="n">
        <v>0</v>
      </c>
      <c r="Q198" t="n">
        <v>0</v>
      </c>
      <c r="R198" s="2" t="inlineStr"/>
    </row>
    <row r="199" ht="15" customHeight="1">
      <c r="A199" t="inlineStr">
        <is>
          <t>A 59673-2023</t>
        </is>
      </c>
      <c r="B199" s="1" t="n">
        <v>45255.44603009259</v>
      </c>
      <c r="C199" s="1" t="n">
        <v>45894</v>
      </c>
      <c r="D199" t="inlineStr">
        <is>
          <t>DALARNAS LÄN</t>
        </is>
      </c>
      <c r="E199" t="inlineStr">
        <is>
          <t>LEKSAND</t>
        </is>
      </c>
      <c r="G199" t="n">
        <v>12.2</v>
      </c>
      <c r="H199" t="n">
        <v>0</v>
      </c>
      <c r="I199" t="n">
        <v>0</v>
      </c>
      <c r="J199" t="n">
        <v>0</v>
      </c>
      <c r="K199" t="n">
        <v>0</v>
      </c>
      <c r="L199" t="n">
        <v>0</v>
      </c>
      <c r="M199" t="n">
        <v>0</v>
      </c>
      <c r="N199" t="n">
        <v>0</v>
      </c>
      <c r="O199" t="n">
        <v>0</v>
      </c>
      <c r="P199" t="n">
        <v>0</v>
      </c>
      <c r="Q199" t="n">
        <v>0</v>
      </c>
      <c r="R199" s="2" t="inlineStr"/>
    </row>
    <row r="200" ht="15" customHeight="1">
      <c r="A200" t="inlineStr">
        <is>
          <t>A 17726-2024</t>
        </is>
      </c>
      <c r="B200" s="1" t="n">
        <v>45418.55609953704</v>
      </c>
      <c r="C200" s="1" t="n">
        <v>45894</v>
      </c>
      <c r="D200" t="inlineStr">
        <is>
          <t>DALARNAS LÄN</t>
        </is>
      </c>
      <c r="E200" t="inlineStr">
        <is>
          <t>LEKSAND</t>
        </is>
      </c>
      <c r="G200" t="n">
        <v>5.2</v>
      </c>
      <c r="H200" t="n">
        <v>0</v>
      </c>
      <c r="I200" t="n">
        <v>0</v>
      </c>
      <c r="J200" t="n">
        <v>0</v>
      </c>
      <c r="K200" t="n">
        <v>0</v>
      </c>
      <c r="L200" t="n">
        <v>0</v>
      </c>
      <c r="M200" t="n">
        <v>0</v>
      </c>
      <c r="N200" t="n">
        <v>0</v>
      </c>
      <c r="O200" t="n">
        <v>0</v>
      </c>
      <c r="P200" t="n">
        <v>0</v>
      </c>
      <c r="Q200" t="n">
        <v>0</v>
      </c>
      <c r="R200" s="2" t="inlineStr"/>
    </row>
    <row r="201" ht="15" customHeight="1">
      <c r="A201" t="inlineStr">
        <is>
          <t>A 32-2024</t>
        </is>
      </c>
      <c r="B201" s="1" t="n">
        <v>45293</v>
      </c>
      <c r="C201" s="1" t="n">
        <v>45894</v>
      </c>
      <c r="D201" t="inlineStr">
        <is>
          <t>DALARNAS LÄN</t>
        </is>
      </c>
      <c r="E201" t="inlineStr">
        <is>
          <t>LEKSAND</t>
        </is>
      </c>
      <c r="G201" t="n">
        <v>0.6</v>
      </c>
      <c r="H201" t="n">
        <v>0</v>
      </c>
      <c r="I201" t="n">
        <v>0</v>
      </c>
      <c r="J201" t="n">
        <v>0</v>
      </c>
      <c r="K201" t="n">
        <v>0</v>
      </c>
      <c r="L201" t="n">
        <v>0</v>
      </c>
      <c r="M201" t="n">
        <v>0</v>
      </c>
      <c r="N201" t="n">
        <v>0</v>
      </c>
      <c r="O201" t="n">
        <v>0</v>
      </c>
      <c r="P201" t="n">
        <v>0</v>
      </c>
      <c r="Q201" t="n">
        <v>0</v>
      </c>
      <c r="R201" s="2" t="inlineStr"/>
    </row>
    <row r="202" ht="15" customHeight="1">
      <c r="A202" t="inlineStr">
        <is>
          <t>A 1719-2024</t>
        </is>
      </c>
      <c r="B202" s="1" t="n">
        <v>45307</v>
      </c>
      <c r="C202" s="1" t="n">
        <v>45894</v>
      </c>
      <c r="D202" t="inlineStr">
        <is>
          <t>DALARNAS LÄN</t>
        </is>
      </c>
      <c r="E202" t="inlineStr">
        <is>
          <t>LEKSAND</t>
        </is>
      </c>
      <c r="G202" t="n">
        <v>2.8</v>
      </c>
      <c r="H202" t="n">
        <v>0</v>
      </c>
      <c r="I202" t="n">
        <v>0</v>
      </c>
      <c r="J202" t="n">
        <v>0</v>
      </c>
      <c r="K202" t="n">
        <v>0</v>
      </c>
      <c r="L202" t="n">
        <v>0</v>
      </c>
      <c r="M202" t="n">
        <v>0</v>
      </c>
      <c r="N202" t="n">
        <v>0</v>
      </c>
      <c r="O202" t="n">
        <v>0</v>
      </c>
      <c r="P202" t="n">
        <v>0</v>
      </c>
      <c r="Q202" t="n">
        <v>0</v>
      </c>
      <c r="R202" s="2" t="inlineStr"/>
    </row>
    <row r="203" ht="15" customHeight="1">
      <c r="A203" t="inlineStr">
        <is>
          <t>A 33463-2023</t>
        </is>
      </c>
      <c r="B203" s="1" t="n">
        <v>45131</v>
      </c>
      <c r="C203" s="1" t="n">
        <v>45894</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34038-2024</t>
        </is>
      </c>
      <c r="B204" s="1" t="n">
        <v>45523.59578703704</v>
      </c>
      <c r="C204" s="1" t="n">
        <v>45894</v>
      </c>
      <c r="D204" t="inlineStr">
        <is>
          <t>DALARNAS LÄN</t>
        </is>
      </c>
      <c r="E204" t="inlineStr">
        <is>
          <t>LEKSAND</t>
        </is>
      </c>
      <c r="G204" t="n">
        <v>0.3</v>
      </c>
      <c r="H204" t="n">
        <v>0</v>
      </c>
      <c r="I204" t="n">
        <v>0</v>
      </c>
      <c r="J204" t="n">
        <v>0</v>
      </c>
      <c r="K204" t="n">
        <v>0</v>
      </c>
      <c r="L204" t="n">
        <v>0</v>
      </c>
      <c r="M204" t="n">
        <v>0</v>
      </c>
      <c r="N204" t="n">
        <v>0</v>
      </c>
      <c r="O204" t="n">
        <v>0</v>
      </c>
      <c r="P204" t="n">
        <v>0</v>
      </c>
      <c r="Q204" t="n">
        <v>0</v>
      </c>
      <c r="R204" s="2" t="inlineStr"/>
    </row>
    <row r="205" ht="15" customHeight="1">
      <c r="A205" t="inlineStr">
        <is>
          <t>A 34041-2024</t>
        </is>
      </c>
      <c r="B205" s="1" t="n">
        <v>45523.59895833334</v>
      </c>
      <c r="C205" s="1" t="n">
        <v>45894</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59859-2023</t>
        </is>
      </c>
      <c r="B206" s="1" t="n">
        <v>45257</v>
      </c>
      <c r="C206" s="1" t="n">
        <v>45894</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23896-2024</t>
        </is>
      </c>
      <c r="B207" s="1" t="n">
        <v>45455.6758449074</v>
      </c>
      <c r="C207" s="1" t="n">
        <v>45894</v>
      </c>
      <c r="D207" t="inlineStr">
        <is>
          <t>DALARNAS LÄN</t>
        </is>
      </c>
      <c r="E207" t="inlineStr">
        <is>
          <t>LEKSAND</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39136-2023</t>
        </is>
      </c>
      <c r="B208" s="1" t="n">
        <v>45165</v>
      </c>
      <c r="C208" s="1" t="n">
        <v>45894</v>
      </c>
      <c r="D208" t="inlineStr">
        <is>
          <t>DALARNAS LÄN</t>
        </is>
      </c>
      <c r="E208" t="inlineStr">
        <is>
          <t>LEKSAND</t>
        </is>
      </c>
      <c r="G208" t="n">
        <v>0.3</v>
      </c>
      <c r="H208" t="n">
        <v>0</v>
      </c>
      <c r="I208" t="n">
        <v>0</v>
      </c>
      <c r="J208" t="n">
        <v>0</v>
      </c>
      <c r="K208" t="n">
        <v>0</v>
      </c>
      <c r="L208" t="n">
        <v>0</v>
      </c>
      <c r="M208" t="n">
        <v>0</v>
      </c>
      <c r="N208" t="n">
        <v>0</v>
      </c>
      <c r="O208" t="n">
        <v>0</v>
      </c>
      <c r="P208" t="n">
        <v>0</v>
      </c>
      <c r="Q208" t="n">
        <v>0</v>
      </c>
      <c r="R208" s="2" t="inlineStr"/>
    </row>
    <row r="209" ht="15" customHeight="1">
      <c r="A209" t="inlineStr">
        <is>
          <t>A 41093-2020</t>
        </is>
      </c>
      <c r="B209" s="1" t="n">
        <v>44071</v>
      </c>
      <c r="C209" s="1" t="n">
        <v>45894</v>
      </c>
      <c r="D209" t="inlineStr">
        <is>
          <t>DALARNAS LÄN</t>
        </is>
      </c>
      <c r="E209" t="inlineStr">
        <is>
          <t>LEKSAND</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55516-2024</t>
        </is>
      </c>
      <c r="B210" s="1" t="n">
        <v>45621</v>
      </c>
      <c r="C210" s="1" t="n">
        <v>45894</v>
      </c>
      <c r="D210" t="inlineStr">
        <is>
          <t>DALARNAS LÄN</t>
        </is>
      </c>
      <c r="E210" t="inlineStr">
        <is>
          <t>LEKSAND</t>
        </is>
      </c>
      <c r="G210" t="n">
        <v>1.4</v>
      </c>
      <c r="H210" t="n">
        <v>0</v>
      </c>
      <c r="I210" t="n">
        <v>0</v>
      </c>
      <c r="J210" t="n">
        <v>0</v>
      </c>
      <c r="K210" t="n">
        <v>0</v>
      </c>
      <c r="L210" t="n">
        <v>0</v>
      </c>
      <c r="M210" t="n">
        <v>0</v>
      </c>
      <c r="N210" t="n">
        <v>0</v>
      </c>
      <c r="O210" t="n">
        <v>0</v>
      </c>
      <c r="P210" t="n">
        <v>0</v>
      </c>
      <c r="Q210" t="n">
        <v>0</v>
      </c>
      <c r="R210" s="2" t="inlineStr"/>
    </row>
    <row r="211" ht="15" customHeight="1">
      <c r="A211" t="inlineStr">
        <is>
          <t>A 12992-2022</t>
        </is>
      </c>
      <c r="B211" s="1" t="n">
        <v>44643</v>
      </c>
      <c r="C211" s="1" t="n">
        <v>45894</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24142-2021</t>
        </is>
      </c>
      <c r="B212" s="1" t="n">
        <v>44336</v>
      </c>
      <c r="C212" s="1" t="n">
        <v>45894</v>
      </c>
      <c r="D212" t="inlineStr">
        <is>
          <t>DALARNAS LÄN</t>
        </is>
      </c>
      <c r="E212" t="inlineStr">
        <is>
          <t>LEKSAND</t>
        </is>
      </c>
      <c r="F212" t="inlineStr">
        <is>
          <t>Bergvik skog väst AB</t>
        </is>
      </c>
      <c r="G212" t="n">
        <v>18.9</v>
      </c>
      <c r="H212" t="n">
        <v>0</v>
      </c>
      <c r="I212" t="n">
        <v>0</v>
      </c>
      <c r="J212" t="n">
        <v>0</v>
      </c>
      <c r="K212" t="n">
        <v>0</v>
      </c>
      <c r="L212" t="n">
        <v>0</v>
      </c>
      <c r="M212" t="n">
        <v>0</v>
      </c>
      <c r="N212" t="n">
        <v>0</v>
      </c>
      <c r="O212" t="n">
        <v>0</v>
      </c>
      <c r="P212" t="n">
        <v>0</v>
      </c>
      <c r="Q212" t="n">
        <v>0</v>
      </c>
      <c r="R212" s="2" t="inlineStr"/>
    </row>
    <row r="213" ht="15" customHeight="1">
      <c r="A213" t="inlineStr">
        <is>
          <t>A 53193-2024</t>
        </is>
      </c>
      <c r="B213" s="1" t="n">
        <v>45610</v>
      </c>
      <c r="C213" s="1" t="n">
        <v>45894</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14661-2024</t>
        </is>
      </c>
      <c r="B214" s="1" t="n">
        <v>45397.41141203704</v>
      </c>
      <c r="C214" s="1" t="n">
        <v>45894</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14865-2025</t>
        </is>
      </c>
      <c r="B215" s="1" t="n">
        <v>45743.43929398148</v>
      </c>
      <c r="C215" s="1" t="n">
        <v>45894</v>
      </c>
      <c r="D215" t="inlineStr">
        <is>
          <t>DALARNAS LÄN</t>
        </is>
      </c>
      <c r="E215" t="inlineStr">
        <is>
          <t>LEKSAND</t>
        </is>
      </c>
      <c r="G215" t="n">
        <v>0.9</v>
      </c>
      <c r="H215" t="n">
        <v>0</v>
      </c>
      <c r="I215" t="n">
        <v>0</v>
      </c>
      <c r="J215" t="n">
        <v>0</v>
      </c>
      <c r="K215" t="n">
        <v>0</v>
      </c>
      <c r="L215" t="n">
        <v>0</v>
      </c>
      <c r="M215" t="n">
        <v>0</v>
      </c>
      <c r="N215" t="n">
        <v>0</v>
      </c>
      <c r="O215" t="n">
        <v>0</v>
      </c>
      <c r="P215" t="n">
        <v>0</v>
      </c>
      <c r="Q215" t="n">
        <v>0</v>
      </c>
      <c r="R215" s="2" t="inlineStr"/>
    </row>
    <row r="216" ht="15" customHeight="1">
      <c r="A216" t="inlineStr">
        <is>
          <t>A 28032-2024</t>
        </is>
      </c>
      <c r="B216" s="1" t="n">
        <v>45476.49346064815</v>
      </c>
      <c r="C216" s="1" t="n">
        <v>45894</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8211-2023</t>
        </is>
      </c>
      <c r="B217" s="1" t="n">
        <v>44974</v>
      </c>
      <c r="C217" s="1" t="n">
        <v>45894</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14615-2024</t>
        </is>
      </c>
      <c r="B218" s="1" t="n">
        <v>45397.26047453703</v>
      </c>
      <c r="C218" s="1" t="n">
        <v>45894</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23663-2024</t>
        </is>
      </c>
      <c r="B219" s="1" t="n">
        <v>45454.57049768518</v>
      </c>
      <c r="C219" s="1" t="n">
        <v>45894</v>
      </c>
      <c r="D219" t="inlineStr">
        <is>
          <t>DALARNAS LÄN</t>
        </is>
      </c>
      <c r="E219" t="inlineStr">
        <is>
          <t>LEKSAND</t>
        </is>
      </c>
      <c r="G219" t="n">
        <v>2.5</v>
      </c>
      <c r="H219" t="n">
        <v>0</v>
      </c>
      <c r="I219" t="n">
        <v>0</v>
      </c>
      <c r="J219" t="n">
        <v>0</v>
      </c>
      <c r="K219" t="n">
        <v>0</v>
      </c>
      <c r="L219" t="n">
        <v>0</v>
      </c>
      <c r="M219" t="n">
        <v>0</v>
      </c>
      <c r="N219" t="n">
        <v>0</v>
      </c>
      <c r="O219" t="n">
        <v>0</v>
      </c>
      <c r="P219" t="n">
        <v>0</v>
      </c>
      <c r="Q219" t="n">
        <v>0</v>
      </c>
      <c r="R219" s="2" t="inlineStr"/>
    </row>
    <row r="220" ht="15" customHeight="1">
      <c r="A220" t="inlineStr">
        <is>
          <t>A 18837-2023</t>
        </is>
      </c>
      <c r="B220" s="1" t="n">
        <v>45044.42940972222</v>
      </c>
      <c r="C220" s="1" t="n">
        <v>45894</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61288-2022</t>
        </is>
      </c>
      <c r="B221" s="1" t="n">
        <v>44915</v>
      </c>
      <c r="C221" s="1" t="n">
        <v>45894</v>
      </c>
      <c r="D221" t="inlineStr">
        <is>
          <t>DALARNAS LÄN</t>
        </is>
      </c>
      <c r="E221" t="inlineStr">
        <is>
          <t>LEKSAND</t>
        </is>
      </c>
      <c r="G221" t="n">
        <v>1.7</v>
      </c>
      <c r="H221" t="n">
        <v>0</v>
      </c>
      <c r="I221" t="n">
        <v>0</v>
      </c>
      <c r="J221" t="n">
        <v>0</v>
      </c>
      <c r="K221" t="n">
        <v>0</v>
      </c>
      <c r="L221" t="n">
        <v>0</v>
      </c>
      <c r="M221" t="n">
        <v>0</v>
      </c>
      <c r="N221" t="n">
        <v>0</v>
      </c>
      <c r="O221" t="n">
        <v>0</v>
      </c>
      <c r="P221" t="n">
        <v>0</v>
      </c>
      <c r="Q221" t="n">
        <v>0</v>
      </c>
      <c r="R221" s="2" t="inlineStr"/>
    </row>
    <row r="222" ht="15" customHeight="1">
      <c r="A222" t="inlineStr">
        <is>
          <t>A 7897-2025</t>
        </is>
      </c>
      <c r="B222" s="1" t="n">
        <v>45707.30969907407</v>
      </c>
      <c r="C222" s="1" t="n">
        <v>45894</v>
      </c>
      <c r="D222" t="inlineStr">
        <is>
          <t>DALARNAS LÄN</t>
        </is>
      </c>
      <c r="E222" t="inlineStr">
        <is>
          <t>LEKSAND</t>
        </is>
      </c>
      <c r="G222" t="n">
        <v>3.1</v>
      </c>
      <c r="H222" t="n">
        <v>0</v>
      </c>
      <c r="I222" t="n">
        <v>0</v>
      </c>
      <c r="J222" t="n">
        <v>0</v>
      </c>
      <c r="K222" t="n">
        <v>0</v>
      </c>
      <c r="L222" t="n">
        <v>0</v>
      </c>
      <c r="M222" t="n">
        <v>0</v>
      </c>
      <c r="N222" t="n">
        <v>0</v>
      </c>
      <c r="O222" t="n">
        <v>0</v>
      </c>
      <c r="P222" t="n">
        <v>0</v>
      </c>
      <c r="Q222" t="n">
        <v>0</v>
      </c>
      <c r="R222" s="2" t="inlineStr"/>
    </row>
    <row r="223" ht="15" customHeight="1">
      <c r="A223" t="inlineStr">
        <is>
          <t>A 1215-2024</t>
        </is>
      </c>
      <c r="B223" s="1" t="n">
        <v>45302</v>
      </c>
      <c r="C223" s="1" t="n">
        <v>45894</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61502-2023</t>
        </is>
      </c>
      <c r="B224" s="1" t="n">
        <v>45264</v>
      </c>
      <c r="C224" s="1" t="n">
        <v>45894</v>
      </c>
      <c r="D224" t="inlineStr">
        <is>
          <t>DALARNAS LÄN</t>
        </is>
      </c>
      <c r="E224" t="inlineStr">
        <is>
          <t>LEKSAND</t>
        </is>
      </c>
      <c r="G224" t="n">
        <v>5.2</v>
      </c>
      <c r="H224" t="n">
        <v>0</v>
      </c>
      <c r="I224" t="n">
        <v>0</v>
      </c>
      <c r="J224" t="n">
        <v>0</v>
      </c>
      <c r="K224" t="n">
        <v>0</v>
      </c>
      <c r="L224" t="n">
        <v>0</v>
      </c>
      <c r="M224" t="n">
        <v>0</v>
      </c>
      <c r="N224" t="n">
        <v>0</v>
      </c>
      <c r="O224" t="n">
        <v>0</v>
      </c>
      <c r="P224" t="n">
        <v>0</v>
      </c>
      <c r="Q224" t="n">
        <v>0</v>
      </c>
      <c r="R224" s="2" t="inlineStr"/>
    </row>
    <row r="225" ht="15" customHeight="1">
      <c r="A225" t="inlineStr">
        <is>
          <t>A 60040-2023</t>
        </is>
      </c>
      <c r="B225" s="1" t="n">
        <v>45256</v>
      </c>
      <c r="C225" s="1" t="n">
        <v>45894</v>
      </c>
      <c r="D225" t="inlineStr">
        <is>
          <t>DALARNAS LÄN</t>
        </is>
      </c>
      <c r="E225" t="inlineStr">
        <is>
          <t>LEKSAND</t>
        </is>
      </c>
      <c r="G225" t="n">
        <v>0.9</v>
      </c>
      <c r="H225" t="n">
        <v>0</v>
      </c>
      <c r="I225" t="n">
        <v>0</v>
      </c>
      <c r="J225" t="n">
        <v>0</v>
      </c>
      <c r="K225" t="n">
        <v>0</v>
      </c>
      <c r="L225" t="n">
        <v>0</v>
      </c>
      <c r="M225" t="n">
        <v>0</v>
      </c>
      <c r="N225" t="n">
        <v>0</v>
      </c>
      <c r="O225" t="n">
        <v>0</v>
      </c>
      <c r="P225" t="n">
        <v>0</v>
      </c>
      <c r="Q225" t="n">
        <v>0</v>
      </c>
      <c r="R225" s="2" t="inlineStr"/>
    </row>
    <row r="226" ht="15" customHeight="1">
      <c r="A226" t="inlineStr">
        <is>
          <t>A 19622-2024</t>
        </is>
      </c>
      <c r="B226" s="1" t="n">
        <v>45432.33592592592</v>
      </c>
      <c r="C226" s="1" t="n">
        <v>45894</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40230-2023</t>
        </is>
      </c>
      <c r="B227" s="1" t="n">
        <v>45169.46887731482</v>
      </c>
      <c r="C227" s="1" t="n">
        <v>45894</v>
      </c>
      <c r="D227" t="inlineStr">
        <is>
          <t>DALARNAS LÄN</t>
        </is>
      </c>
      <c r="E227" t="inlineStr">
        <is>
          <t>LEKSAND</t>
        </is>
      </c>
      <c r="G227" t="n">
        <v>0.5</v>
      </c>
      <c r="H227" t="n">
        <v>0</v>
      </c>
      <c r="I227" t="n">
        <v>0</v>
      </c>
      <c r="J227" t="n">
        <v>0</v>
      </c>
      <c r="K227" t="n">
        <v>0</v>
      </c>
      <c r="L227" t="n">
        <v>0</v>
      </c>
      <c r="M227" t="n">
        <v>0</v>
      </c>
      <c r="N227" t="n">
        <v>0</v>
      </c>
      <c r="O227" t="n">
        <v>0</v>
      </c>
      <c r="P227" t="n">
        <v>0</v>
      </c>
      <c r="Q227" t="n">
        <v>0</v>
      </c>
      <c r="R227" s="2" t="inlineStr"/>
    </row>
    <row r="228" ht="15" customHeight="1">
      <c r="A228" t="inlineStr">
        <is>
          <t>A 50447-2023</t>
        </is>
      </c>
      <c r="B228" s="1" t="n">
        <v>45216.72185185185</v>
      </c>
      <c r="C228" s="1" t="n">
        <v>45894</v>
      </c>
      <c r="D228" t="inlineStr">
        <is>
          <t>DALARNAS LÄN</t>
        </is>
      </c>
      <c r="E228" t="inlineStr">
        <is>
          <t>LEKSAND</t>
        </is>
      </c>
      <c r="G228" t="n">
        <v>1.1</v>
      </c>
      <c r="H228" t="n">
        <v>0</v>
      </c>
      <c r="I228" t="n">
        <v>0</v>
      </c>
      <c r="J228" t="n">
        <v>0</v>
      </c>
      <c r="K228" t="n">
        <v>0</v>
      </c>
      <c r="L228" t="n">
        <v>0</v>
      </c>
      <c r="M228" t="n">
        <v>0</v>
      </c>
      <c r="N228" t="n">
        <v>0</v>
      </c>
      <c r="O228" t="n">
        <v>0</v>
      </c>
      <c r="P228" t="n">
        <v>0</v>
      </c>
      <c r="Q228" t="n">
        <v>0</v>
      </c>
      <c r="R228" s="2" t="inlineStr"/>
    </row>
    <row r="229" ht="15" customHeight="1">
      <c r="A229" t="inlineStr">
        <is>
          <t>A 46876-2023</t>
        </is>
      </c>
      <c r="B229" s="1" t="n">
        <v>45200</v>
      </c>
      <c r="C229" s="1" t="n">
        <v>45894</v>
      </c>
      <c r="D229" t="inlineStr">
        <is>
          <t>DALARNAS LÄN</t>
        </is>
      </c>
      <c r="E229" t="inlineStr">
        <is>
          <t>LEKSAND</t>
        </is>
      </c>
      <c r="G229" t="n">
        <v>2.4</v>
      </c>
      <c r="H229" t="n">
        <v>0</v>
      </c>
      <c r="I229" t="n">
        <v>0</v>
      </c>
      <c r="J229" t="n">
        <v>0</v>
      </c>
      <c r="K229" t="n">
        <v>0</v>
      </c>
      <c r="L229" t="n">
        <v>0</v>
      </c>
      <c r="M229" t="n">
        <v>0</v>
      </c>
      <c r="N229" t="n">
        <v>0</v>
      </c>
      <c r="O229" t="n">
        <v>0</v>
      </c>
      <c r="P229" t="n">
        <v>0</v>
      </c>
      <c r="Q229" t="n">
        <v>0</v>
      </c>
      <c r="R229" s="2" t="inlineStr"/>
    </row>
    <row r="230" ht="15" customHeight="1">
      <c r="A230" t="inlineStr">
        <is>
          <t>A 52059-2024</t>
        </is>
      </c>
      <c r="B230" s="1" t="n">
        <v>45608.35609953704</v>
      </c>
      <c r="C230" s="1" t="n">
        <v>45894</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11712-2025</t>
        </is>
      </c>
      <c r="B231" s="1" t="n">
        <v>45727</v>
      </c>
      <c r="C231" s="1" t="n">
        <v>45894</v>
      </c>
      <c r="D231" t="inlineStr">
        <is>
          <t>DALARNAS LÄN</t>
        </is>
      </c>
      <c r="E231" t="inlineStr">
        <is>
          <t>LEKSAND</t>
        </is>
      </c>
      <c r="G231" t="n">
        <v>6</v>
      </c>
      <c r="H231" t="n">
        <v>0</v>
      </c>
      <c r="I231" t="n">
        <v>0</v>
      </c>
      <c r="J231" t="n">
        <v>0</v>
      </c>
      <c r="K231" t="n">
        <v>0</v>
      </c>
      <c r="L231" t="n">
        <v>0</v>
      </c>
      <c r="M231" t="n">
        <v>0</v>
      </c>
      <c r="N231" t="n">
        <v>0</v>
      </c>
      <c r="O231" t="n">
        <v>0</v>
      </c>
      <c r="P231" t="n">
        <v>0</v>
      </c>
      <c r="Q231" t="n">
        <v>0</v>
      </c>
      <c r="R231" s="2" t="inlineStr"/>
    </row>
    <row r="232" ht="15" customHeight="1">
      <c r="A232" t="inlineStr">
        <is>
          <t>A 21839-2022</t>
        </is>
      </c>
      <c r="B232" s="1" t="n">
        <v>44711</v>
      </c>
      <c r="C232" s="1" t="n">
        <v>45894</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6030-2025</t>
        </is>
      </c>
      <c r="B233" s="1" t="n">
        <v>45695</v>
      </c>
      <c r="C233" s="1" t="n">
        <v>45894</v>
      </c>
      <c r="D233" t="inlineStr">
        <is>
          <t>DALARNAS LÄN</t>
        </is>
      </c>
      <c r="E233" t="inlineStr">
        <is>
          <t>LEKSAND</t>
        </is>
      </c>
      <c r="G233" t="n">
        <v>1.4</v>
      </c>
      <c r="H233" t="n">
        <v>0</v>
      </c>
      <c r="I233" t="n">
        <v>0</v>
      </c>
      <c r="J233" t="n">
        <v>0</v>
      </c>
      <c r="K233" t="n">
        <v>0</v>
      </c>
      <c r="L233" t="n">
        <v>0</v>
      </c>
      <c r="M233" t="n">
        <v>0</v>
      </c>
      <c r="N233" t="n">
        <v>0</v>
      </c>
      <c r="O233" t="n">
        <v>0</v>
      </c>
      <c r="P233" t="n">
        <v>0</v>
      </c>
      <c r="Q233" t="n">
        <v>0</v>
      </c>
      <c r="R233" s="2" t="inlineStr"/>
    </row>
    <row r="234" ht="15" customHeight="1">
      <c r="A234" t="inlineStr">
        <is>
          <t>A 55512-2024</t>
        </is>
      </c>
      <c r="B234" s="1" t="n">
        <v>45621</v>
      </c>
      <c r="C234" s="1" t="n">
        <v>45894</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55268-2024</t>
        </is>
      </c>
      <c r="B235" s="1" t="n">
        <v>45621.61266203703</v>
      </c>
      <c r="C235" s="1" t="n">
        <v>45894</v>
      </c>
      <c r="D235" t="inlineStr">
        <is>
          <t>DALARNAS LÄN</t>
        </is>
      </c>
      <c r="E235" t="inlineStr">
        <is>
          <t>LEKSAND</t>
        </is>
      </c>
      <c r="G235" t="n">
        <v>4.2</v>
      </c>
      <c r="H235" t="n">
        <v>0</v>
      </c>
      <c r="I235" t="n">
        <v>0</v>
      </c>
      <c r="J235" t="n">
        <v>0</v>
      </c>
      <c r="K235" t="n">
        <v>0</v>
      </c>
      <c r="L235" t="n">
        <v>0</v>
      </c>
      <c r="M235" t="n">
        <v>0</v>
      </c>
      <c r="N235" t="n">
        <v>0</v>
      </c>
      <c r="O235" t="n">
        <v>0</v>
      </c>
      <c r="P235" t="n">
        <v>0</v>
      </c>
      <c r="Q235" t="n">
        <v>0</v>
      </c>
      <c r="R235" s="2" t="inlineStr"/>
    </row>
    <row r="236" ht="15" customHeight="1">
      <c r="A236" t="inlineStr">
        <is>
          <t>A 42230-2023</t>
        </is>
      </c>
      <c r="B236" s="1" t="n">
        <v>45180</v>
      </c>
      <c r="C236" s="1" t="n">
        <v>45894</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8743-2023</t>
        </is>
      </c>
      <c r="B237" s="1" t="n">
        <v>44978</v>
      </c>
      <c r="C237" s="1" t="n">
        <v>45894</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15020-2023</t>
        </is>
      </c>
      <c r="B238" s="1" t="n">
        <v>45015.6196412037</v>
      </c>
      <c r="C238" s="1" t="n">
        <v>45894</v>
      </c>
      <c r="D238" t="inlineStr">
        <is>
          <t>DALARNAS LÄN</t>
        </is>
      </c>
      <c r="E238" t="inlineStr">
        <is>
          <t>LEKSAND</t>
        </is>
      </c>
      <c r="G238" t="n">
        <v>2.6</v>
      </c>
      <c r="H238" t="n">
        <v>0</v>
      </c>
      <c r="I238" t="n">
        <v>0</v>
      </c>
      <c r="J238" t="n">
        <v>0</v>
      </c>
      <c r="K238" t="n">
        <v>0</v>
      </c>
      <c r="L238" t="n">
        <v>0</v>
      </c>
      <c r="M238" t="n">
        <v>0</v>
      </c>
      <c r="N238" t="n">
        <v>0</v>
      </c>
      <c r="O238" t="n">
        <v>0</v>
      </c>
      <c r="P238" t="n">
        <v>0</v>
      </c>
      <c r="Q238" t="n">
        <v>0</v>
      </c>
      <c r="R238" s="2" t="inlineStr"/>
    </row>
    <row r="239" ht="15" customHeight="1">
      <c r="A239" t="inlineStr">
        <is>
          <t>A 43470-2024</t>
        </is>
      </c>
      <c r="B239" s="1" t="n">
        <v>45568</v>
      </c>
      <c r="C239" s="1" t="n">
        <v>45894</v>
      </c>
      <c r="D239" t="inlineStr">
        <is>
          <t>DALARNAS LÄN</t>
        </is>
      </c>
      <c r="E239" t="inlineStr">
        <is>
          <t>LEKSAND</t>
        </is>
      </c>
      <c r="G239" t="n">
        <v>3.1</v>
      </c>
      <c r="H239" t="n">
        <v>0</v>
      </c>
      <c r="I239" t="n">
        <v>0</v>
      </c>
      <c r="J239" t="n">
        <v>0</v>
      </c>
      <c r="K239" t="n">
        <v>0</v>
      </c>
      <c r="L239" t="n">
        <v>0</v>
      </c>
      <c r="M239" t="n">
        <v>0</v>
      </c>
      <c r="N239" t="n">
        <v>0</v>
      </c>
      <c r="O239" t="n">
        <v>0</v>
      </c>
      <c r="P239" t="n">
        <v>0</v>
      </c>
      <c r="Q239" t="n">
        <v>0</v>
      </c>
      <c r="R239" s="2" t="inlineStr"/>
    </row>
    <row r="240" ht="15" customHeight="1">
      <c r="A240" t="inlineStr">
        <is>
          <t>A 55029-2024</t>
        </is>
      </c>
      <c r="B240" s="1" t="n">
        <v>45621.38016203704</v>
      </c>
      <c r="C240" s="1" t="n">
        <v>45894</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11606-2025</t>
        </is>
      </c>
      <c r="B241" s="1" t="n">
        <v>45727</v>
      </c>
      <c r="C241" s="1" t="n">
        <v>45894</v>
      </c>
      <c r="D241" t="inlineStr">
        <is>
          <t>DALARNAS LÄN</t>
        </is>
      </c>
      <c r="E241" t="inlineStr">
        <is>
          <t>LEKSAND</t>
        </is>
      </c>
      <c r="G241" t="n">
        <v>2.3</v>
      </c>
      <c r="H241" t="n">
        <v>0</v>
      </c>
      <c r="I241" t="n">
        <v>0</v>
      </c>
      <c r="J241" t="n">
        <v>0</v>
      </c>
      <c r="K241" t="n">
        <v>0</v>
      </c>
      <c r="L241" t="n">
        <v>0</v>
      </c>
      <c r="M241" t="n">
        <v>0</v>
      </c>
      <c r="N241" t="n">
        <v>0</v>
      </c>
      <c r="O241" t="n">
        <v>0</v>
      </c>
      <c r="P241" t="n">
        <v>0</v>
      </c>
      <c r="Q241" t="n">
        <v>0</v>
      </c>
      <c r="R241" s="2" t="inlineStr"/>
    </row>
    <row r="242" ht="15" customHeight="1">
      <c r="A242" t="inlineStr">
        <is>
          <t>A 56749-2024</t>
        </is>
      </c>
      <c r="B242" s="1" t="n">
        <v>45628.37487268518</v>
      </c>
      <c r="C242" s="1" t="n">
        <v>45894</v>
      </c>
      <c r="D242" t="inlineStr">
        <is>
          <t>DALARNAS LÄN</t>
        </is>
      </c>
      <c r="E242" t="inlineStr">
        <is>
          <t>LEKSAND</t>
        </is>
      </c>
      <c r="G242" t="n">
        <v>5</v>
      </c>
      <c r="H242" t="n">
        <v>0</v>
      </c>
      <c r="I242" t="n">
        <v>0</v>
      </c>
      <c r="J242" t="n">
        <v>0</v>
      </c>
      <c r="K242" t="n">
        <v>0</v>
      </c>
      <c r="L242" t="n">
        <v>0</v>
      </c>
      <c r="M242" t="n">
        <v>0</v>
      </c>
      <c r="N242" t="n">
        <v>0</v>
      </c>
      <c r="O242" t="n">
        <v>0</v>
      </c>
      <c r="P242" t="n">
        <v>0</v>
      </c>
      <c r="Q242" t="n">
        <v>0</v>
      </c>
      <c r="R242" s="2" t="inlineStr"/>
    </row>
    <row r="243" ht="15" customHeight="1">
      <c r="A243" t="inlineStr">
        <is>
          <t>A 47640-2024</t>
        </is>
      </c>
      <c r="B243" s="1" t="n">
        <v>45588.36508101852</v>
      </c>
      <c r="C243" s="1" t="n">
        <v>45894</v>
      </c>
      <c r="D243" t="inlineStr">
        <is>
          <t>DALARNAS LÄN</t>
        </is>
      </c>
      <c r="E243" t="inlineStr">
        <is>
          <t>LEKSAND</t>
        </is>
      </c>
      <c r="G243" t="n">
        <v>9.1</v>
      </c>
      <c r="H243" t="n">
        <v>0</v>
      </c>
      <c r="I243" t="n">
        <v>0</v>
      </c>
      <c r="J243" t="n">
        <v>0</v>
      </c>
      <c r="K243" t="n">
        <v>0</v>
      </c>
      <c r="L243" t="n">
        <v>0</v>
      </c>
      <c r="M243" t="n">
        <v>0</v>
      </c>
      <c r="N243" t="n">
        <v>0</v>
      </c>
      <c r="O243" t="n">
        <v>0</v>
      </c>
      <c r="P243" t="n">
        <v>0</v>
      </c>
      <c r="Q243" t="n">
        <v>0</v>
      </c>
      <c r="R243" s="2" t="inlineStr"/>
    </row>
    <row r="244" ht="15" customHeight="1">
      <c r="A244" t="inlineStr">
        <is>
          <t>A 22683-2022</t>
        </is>
      </c>
      <c r="B244" s="1" t="n">
        <v>44714</v>
      </c>
      <c r="C244" s="1" t="n">
        <v>45894</v>
      </c>
      <c r="D244" t="inlineStr">
        <is>
          <t>DALARNAS LÄN</t>
        </is>
      </c>
      <c r="E244" t="inlineStr">
        <is>
          <t>LEKSAND</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13161-2024</t>
        </is>
      </c>
      <c r="B245" s="1" t="n">
        <v>45386.38972222222</v>
      </c>
      <c r="C245" s="1" t="n">
        <v>45894</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61208-2023</t>
        </is>
      </c>
      <c r="B246" s="1" t="n">
        <v>45260</v>
      </c>
      <c r="C246" s="1" t="n">
        <v>45894</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26062-2024</t>
        </is>
      </c>
      <c r="B247" s="1" t="n">
        <v>45468.3509375</v>
      </c>
      <c r="C247" s="1" t="n">
        <v>45894</v>
      </c>
      <c r="D247" t="inlineStr">
        <is>
          <t>DALARNAS LÄN</t>
        </is>
      </c>
      <c r="E247" t="inlineStr">
        <is>
          <t>LEKSAND</t>
        </is>
      </c>
      <c r="F247" t="inlineStr">
        <is>
          <t>Övriga statliga verk och myndigheter</t>
        </is>
      </c>
      <c r="G247" t="n">
        <v>6.4</v>
      </c>
      <c r="H247" t="n">
        <v>0</v>
      </c>
      <c r="I247" t="n">
        <v>0</v>
      </c>
      <c r="J247" t="n">
        <v>0</v>
      </c>
      <c r="K247" t="n">
        <v>0</v>
      </c>
      <c r="L247" t="n">
        <v>0</v>
      </c>
      <c r="M247" t="n">
        <v>0</v>
      </c>
      <c r="N247" t="n">
        <v>0</v>
      </c>
      <c r="O247" t="n">
        <v>0</v>
      </c>
      <c r="P247" t="n">
        <v>0</v>
      </c>
      <c r="Q247" t="n">
        <v>0</v>
      </c>
      <c r="R247" s="2" t="inlineStr"/>
    </row>
    <row r="248" ht="15" customHeight="1">
      <c r="A248" t="inlineStr">
        <is>
          <t>A 22517-2024</t>
        </is>
      </c>
      <c r="B248" s="1" t="n">
        <v>45447.40143518519</v>
      </c>
      <c r="C248" s="1" t="n">
        <v>45894</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61953-2023</t>
        </is>
      </c>
      <c r="B249" s="1" t="n">
        <v>45266</v>
      </c>
      <c r="C249" s="1" t="n">
        <v>45894</v>
      </c>
      <c r="D249" t="inlineStr">
        <is>
          <t>DALARNAS LÄN</t>
        </is>
      </c>
      <c r="E249" t="inlineStr">
        <is>
          <t>LEKSAND</t>
        </is>
      </c>
      <c r="G249" t="n">
        <v>0.1</v>
      </c>
      <c r="H249" t="n">
        <v>0</v>
      </c>
      <c r="I249" t="n">
        <v>0</v>
      </c>
      <c r="J249" t="n">
        <v>0</v>
      </c>
      <c r="K249" t="n">
        <v>0</v>
      </c>
      <c r="L249" t="n">
        <v>0</v>
      </c>
      <c r="M249" t="n">
        <v>0</v>
      </c>
      <c r="N249" t="n">
        <v>0</v>
      </c>
      <c r="O249" t="n">
        <v>0</v>
      </c>
      <c r="P249" t="n">
        <v>0</v>
      </c>
      <c r="Q249" t="n">
        <v>0</v>
      </c>
      <c r="R249" s="2" t="inlineStr"/>
    </row>
    <row r="250" ht="15" customHeight="1">
      <c r="A250" t="inlineStr">
        <is>
          <t>A 16815-2025</t>
        </is>
      </c>
      <c r="B250" s="1" t="n">
        <v>45754</v>
      </c>
      <c r="C250" s="1" t="n">
        <v>45894</v>
      </c>
      <c r="D250" t="inlineStr">
        <is>
          <t>DALARNAS LÄN</t>
        </is>
      </c>
      <c r="E250" t="inlineStr">
        <is>
          <t>LEKSAND</t>
        </is>
      </c>
      <c r="G250" t="n">
        <v>2.8</v>
      </c>
      <c r="H250" t="n">
        <v>0</v>
      </c>
      <c r="I250" t="n">
        <v>0</v>
      </c>
      <c r="J250" t="n">
        <v>0</v>
      </c>
      <c r="K250" t="n">
        <v>0</v>
      </c>
      <c r="L250" t="n">
        <v>0</v>
      </c>
      <c r="M250" t="n">
        <v>0</v>
      </c>
      <c r="N250" t="n">
        <v>0</v>
      </c>
      <c r="O250" t="n">
        <v>0</v>
      </c>
      <c r="P250" t="n">
        <v>0</v>
      </c>
      <c r="Q250" t="n">
        <v>0</v>
      </c>
      <c r="R250" s="2" t="inlineStr"/>
    </row>
    <row r="251" ht="15" customHeight="1">
      <c r="A251" t="inlineStr">
        <is>
          <t>A 16854-2025</t>
        </is>
      </c>
      <c r="B251" s="1" t="n">
        <v>45754.72883101852</v>
      </c>
      <c r="C251" s="1" t="n">
        <v>45894</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62133-2023</t>
        </is>
      </c>
      <c r="B252" s="1" t="n">
        <v>45267.35582175926</v>
      </c>
      <c r="C252" s="1" t="n">
        <v>45894</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55643-2024</t>
        </is>
      </c>
      <c r="B253" s="1" t="n">
        <v>45621</v>
      </c>
      <c r="C253" s="1" t="n">
        <v>45894</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40009-2024</t>
        </is>
      </c>
      <c r="B254" s="1" t="n">
        <v>45553.65361111111</v>
      </c>
      <c r="C254" s="1" t="n">
        <v>45894</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10967-2023</t>
        </is>
      </c>
      <c r="B255" s="1" t="n">
        <v>44991.58001157407</v>
      </c>
      <c r="C255" s="1" t="n">
        <v>45894</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10974-2023</t>
        </is>
      </c>
      <c r="B256" s="1" t="n">
        <v>44991.59049768518</v>
      </c>
      <c r="C256" s="1" t="n">
        <v>45894</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17759-2023</t>
        </is>
      </c>
      <c r="B257" s="1" t="n">
        <v>45037.48765046296</v>
      </c>
      <c r="C257" s="1" t="n">
        <v>45894</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47203-2023</t>
        </is>
      </c>
      <c r="B258" s="1" t="n">
        <v>45202</v>
      </c>
      <c r="C258" s="1" t="n">
        <v>45894</v>
      </c>
      <c r="D258" t="inlineStr">
        <is>
          <t>DALARNAS LÄN</t>
        </is>
      </c>
      <c r="E258" t="inlineStr">
        <is>
          <t>LEKSAND</t>
        </is>
      </c>
      <c r="G258" t="n">
        <v>2.1</v>
      </c>
      <c r="H258" t="n">
        <v>0</v>
      </c>
      <c r="I258" t="n">
        <v>0</v>
      </c>
      <c r="J258" t="n">
        <v>0</v>
      </c>
      <c r="K258" t="n">
        <v>0</v>
      </c>
      <c r="L258" t="n">
        <v>0</v>
      </c>
      <c r="M258" t="n">
        <v>0</v>
      </c>
      <c r="N258" t="n">
        <v>0</v>
      </c>
      <c r="O258" t="n">
        <v>0</v>
      </c>
      <c r="P258" t="n">
        <v>0</v>
      </c>
      <c r="Q258" t="n">
        <v>0</v>
      </c>
      <c r="R258" s="2" t="inlineStr"/>
    </row>
    <row r="259" ht="15" customHeight="1">
      <c r="A259" t="inlineStr">
        <is>
          <t>A 22281-2024</t>
        </is>
      </c>
      <c r="B259" s="1" t="n">
        <v>45446.54756944445</v>
      </c>
      <c r="C259" s="1" t="n">
        <v>45894</v>
      </c>
      <c r="D259" t="inlineStr">
        <is>
          <t>DALARNAS LÄN</t>
        </is>
      </c>
      <c r="E259" t="inlineStr">
        <is>
          <t>LEKSAND</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42727-2024</t>
        </is>
      </c>
      <c r="B260" s="1" t="n">
        <v>45566</v>
      </c>
      <c r="C260" s="1" t="n">
        <v>45894</v>
      </c>
      <c r="D260" t="inlineStr">
        <is>
          <t>DALARNAS LÄN</t>
        </is>
      </c>
      <c r="E260" t="inlineStr">
        <is>
          <t>LEKSAND</t>
        </is>
      </c>
      <c r="G260" t="n">
        <v>0.8</v>
      </c>
      <c r="H260" t="n">
        <v>0</v>
      </c>
      <c r="I260" t="n">
        <v>0</v>
      </c>
      <c r="J260" t="n">
        <v>0</v>
      </c>
      <c r="K260" t="n">
        <v>0</v>
      </c>
      <c r="L260" t="n">
        <v>0</v>
      </c>
      <c r="M260" t="n">
        <v>0</v>
      </c>
      <c r="N260" t="n">
        <v>0</v>
      </c>
      <c r="O260" t="n">
        <v>0</v>
      </c>
      <c r="P260" t="n">
        <v>0</v>
      </c>
      <c r="Q260" t="n">
        <v>0</v>
      </c>
      <c r="R260" s="2" t="inlineStr"/>
    </row>
    <row r="261" ht="15" customHeight="1">
      <c r="A261" t="inlineStr">
        <is>
          <t>A 72575-2021</t>
        </is>
      </c>
      <c r="B261" s="1" t="n">
        <v>44546</v>
      </c>
      <c r="C261" s="1" t="n">
        <v>45894</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72581-2021</t>
        </is>
      </c>
      <c r="B262" s="1" t="n">
        <v>44546.46354166666</v>
      </c>
      <c r="C262" s="1" t="n">
        <v>45894</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33143-2024</t>
        </is>
      </c>
      <c r="B263" s="1" t="n">
        <v>45518</v>
      </c>
      <c r="C263" s="1" t="n">
        <v>45894</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17282-2025</t>
        </is>
      </c>
      <c r="B264" s="1" t="n">
        <v>45756.57114583333</v>
      </c>
      <c r="C264" s="1" t="n">
        <v>45894</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56016-2024</t>
        </is>
      </c>
      <c r="B265" s="1" t="n">
        <v>45623.87737268519</v>
      </c>
      <c r="C265" s="1" t="n">
        <v>45894</v>
      </c>
      <c r="D265" t="inlineStr">
        <is>
          <t>DALARNAS LÄN</t>
        </is>
      </c>
      <c r="E265" t="inlineStr">
        <is>
          <t>LEKSAND</t>
        </is>
      </c>
      <c r="G265" t="n">
        <v>6.1</v>
      </c>
      <c r="H265" t="n">
        <v>0</v>
      </c>
      <c r="I265" t="n">
        <v>0</v>
      </c>
      <c r="J265" t="n">
        <v>0</v>
      </c>
      <c r="K265" t="n">
        <v>0</v>
      </c>
      <c r="L265" t="n">
        <v>0</v>
      </c>
      <c r="M265" t="n">
        <v>0</v>
      </c>
      <c r="N265" t="n">
        <v>0</v>
      </c>
      <c r="O265" t="n">
        <v>0</v>
      </c>
      <c r="P265" t="n">
        <v>0</v>
      </c>
      <c r="Q265" t="n">
        <v>0</v>
      </c>
      <c r="R265" s="2" t="inlineStr"/>
    </row>
    <row r="266" ht="15" customHeight="1">
      <c r="A266" t="inlineStr">
        <is>
          <t>A 2158-2024</t>
        </is>
      </c>
      <c r="B266" s="1" t="n">
        <v>45309</v>
      </c>
      <c r="C266" s="1" t="n">
        <v>45894</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9857-2025</t>
        </is>
      </c>
      <c r="B267" s="1" t="n">
        <v>45716.62609953704</v>
      </c>
      <c r="C267" s="1" t="n">
        <v>45894</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5873-2025</t>
        </is>
      </c>
      <c r="B268" s="1" t="n">
        <v>45695.36715277778</v>
      </c>
      <c r="C268" s="1" t="n">
        <v>45894</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45894</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33306-2023</t>
        </is>
      </c>
      <c r="B270" s="1" t="n">
        <v>45127</v>
      </c>
      <c r="C270" s="1" t="n">
        <v>45894</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33316-2023</t>
        </is>
      </c>
      <c r="B271" s="1" t="n">
        <v>45127</v>
      </c>
      <c r="C271" s="1" t="n">
        <v>45894</v>
      </c>
      <c r="D271" t="inlineStr">
        <is>
          <t>DALARNAS LÄN</t>
        </is>
      </c>
      <c r="E271" t="inlineStr">
        <is>
          <t>LEKSAND</t>
        </is>
      </c>
      <c r="G271" t="n">
        <v>8.9</v>
      </c>
      <c r="H271" t="n">
        <v>0</v>
      </c>
      <c r="I271" t="n">
        <v>0</v>
      </c>
      <c r="J271" t="n">
        <v>0</v>
      </c>
      <c r="K271" t="n">
        <v>0</v>
      </c>
      <c r="L271" t="n">
        <v>0</v>
      </c>
      <c r="M271" t="n">
        <v>0</v>
      </c>
      <c r="N271" t="n">
        <v>0</v>
      </c>
      <c r="O271" t="n">
        <v>0</v>
      </c>
      <c r="P271" t="n">
        <v>0</v>
      </c>
      <c r="Q271" t="n">
        <v>0</v>
      </c>
      <c r="R271" s="2" t="inlineStr"/>
    </row>
    <row r="272" ht="15" customHeight="1">
      <c r="A272" t="inlineStr">
        <is>
          <t>A 37832-2023</t>
        </is>
      </c>
      <c r="B272" s="1" t="n">
        <v>45160.3479050926</v>
      </c>
      <c r="C272" s="1" t="n">
        <v>45894</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9143-2023</t>
        </is>
      </c>
      <c r="B273" s="1" t="n">
        <v>44974</v>
      </c>
      <c r="C273" s="1" t="n">
        <v>45894</v>
      </c>
      <c r="D273" t="inlineStr">
        <is>
          <t>DALARNAS LÄN</t>
        </is>
      </c>
      <c r="E273" t="inlineStr">
        <is>
          <t>LEKSAND</t>
        </is>
      </c>
      <c r="G273" t="n">
        <v>4.3</v>
      </c>
      <c r="H273" t="n">
        <v>0</v>
      </c>
      <c r="I273" t="n">
        <v>0</v>
      </c>
      <c r="J273" t="n">
        <v>0</v>
      </c>
      <c r="K273" t="n">
        <v>0</v>
      </c>
      <c r="L273" t="n">
        <v>0</v>
      </c>
      <c r="M273" t="n">
        <v>0</v>
      </c>
      <c r="N273" t="n">
        <v>0</v>
      </c>
      <c r="O273" t="n">
        <v>0</v>
      </c>
      <c r="P273" t="n">
        <v>0</v>
      </c>
      <c r="Q273" t="n">
        <v>0</v>
      </c>
      <c r="R273" s="2" t="inlineStr"/>
    </row>
    <row r="274" ht="15" customHeight="1">
      <c r="A274" t="inlineStr">
        <is>
          <t>A 19415-2025</t>
        </is>
      </c>
      <c r="B274" s="1" t="n">
        <v>45769</v>
      </c>
      <c r="C274" s="1" t="n">
        <v>45894</v>
      </c>
      <c r="D274" t="inlineStr">
        <is>
          <t>DALARNAS LÄN</t>
        </is>
      </c>
      <c r="E274" t="inlineStr">
        <is>
          <t>LEKSAND</t>
        </is>
      </c>
      <c r="F274" t="inlineStr">
        <is>
          <t>Bergvik skog väst AB</t>
        </is>
      </c>
      <c r="G274" t="n">
        <v>11.5</v>
      </c>
      <c r="H274" t="n">
        <v>0</v>
      </c>
      <c r="I274" t="n">
        <v>0</v>
      </c>
      <c r="J274" t="n">
        <v>0</v>
      </c>
      <c r="K274" t="n">
        <v>0</v>
      </c>
      <c r="L274" t="n">
        <v>0</v>
      </c>
      <c r="M274" t="n">
        <v>0</v>
      </c>
      <c r="N274" t="n">
        <v>0</v>
      </c>
      <c r="O274" t="n">
        <v>0</v>
      </c>
      <c r="P274" t="n">
        <v>0</v>
      </c>
      <c r="Q274" t="n">
        <v>0</v>
      </c>
      <c r="R274" s="2" t="inlineStr"/>
    </row>
    <row r="275" ht="15" customHeight="1">
      <c r="A275" t="inlineStr">
        <is>
          <t>A 33310-2023</t>
        </is>
      </c>
      <c r="B275" s="1" t="n">
        <v>45127.82231481482</v>
      </c>
      <c r="C275" s="1" t="n">
        <v>45894</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54844-2021</t>
        </is>
      </c>
      <c r="B276" s="1" t="n">
        <v>44474.30614583333</v>
      </c>
      <c r="C276" s="1" t="n">
        <v>45894</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471-2025</t>
        </is>
      </c>
      <c r="B277" s="1" t="n">
        <v>45664.43394675926</v>
      </c>
      <c r="C277" s="1" t="n">
        <v>45894</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19295-2024</t>
        </is>
      </c>
      <c r="B278" s="1" t="n">
        <v>45428.69106481481</v>
      </c>
      <c r="C278" s="1" t="n">
        <v>45894</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19296-2024</t>
        </is>
      </c>
      <c r="B279" s="1" t="n">
        <v>45428.69438657408</v>
      </c>
      <c r="C279" s="1" t="n">
        <v>45894</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16197-2024</t>
        </is>
      </c>
      <c r="B280" s="1" t="n">
        <v>45406.70356481482</v>
      </c>
      <c r="C280" s="1" t="n">
        <v>45894</v>
      </c>
      <c r="D280" t="inlineStr">
        <is>
          <t>DALARNAS LÄN</t>
        </is>
      </c>
      <c r="E280" t="inlineStr">
        <is>
          <t>LEKSAND</t>
        </is>
      </c>
      <c r="G280" t="n">
        <v>2.4</v>
      </c>
      <c r="H280" t="n">
        <v>0</v>
      </c>
      <c r="I280" t="n">
        <v>0</v>
      </c>
      <c r="J280" t="n">
        <v>0</v>
      </c>
      <c r="K280" t="n">
        <v>0</v>
      </c>
      <c r="L280" t="n">
        <v>0</v>
      </c>
      <c r="M280" t="n">
        <v>0</v>
      </c>
      <c r="N280" t="n">
        <v>0</v>
      </c>
      <c r="O280" t="n">
        <v>0</v>
      </c>
      <c r="P280" t="n">
        <v>0</v>
      </c>
      <c r="Q280" t="n">
        <v>0</v>
      </c>
      <c r="R280" s="2" t="inlineStr"/>
    </row>
    <row r="281" ht="15" customHeight="1">
      <c r="A281" t="inlineStr">
        <is>
          <t>A 47503-2024</t>
        </is>
      </c>
      <c r="B281" s="1" t="n">
        <v>45587.60262731482</v>
      </c>
      <c r="C281" s="1" t="n">
        <v>45894</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402-2024</t>
        </is>
      </c>
      <c r="B282" s="1" t="n">
        <v>45296.45545138889</v>
      </c>
      <c r="C282" s="1" t="n">
        <v>45894</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52293-2024</t>
        </is>
      </c>
      <c r="B283" s="1" t="n">
        <v>45608.71297453704</v>
      </c>
      <c r="C283" s="1" t="n">
        <v>45894</v>
      </c>
      <c r="D283" t="inlineStr">
        <is>
          <t>DALARNAS LÄN</t>
        </is>
      </c>
      <c r="E283" t="inlineStr">
        <is>
          <t>LEKSAND</t>
        </is>
      </c>
      <c r="G283" t="n">
        <v>1.6</v>
      </c>
      <c r="H283" t="n">
        <v>0</v>
      </c>
      <c r="I283" t="n">
        <v>0</v>
      </c>
      <c r="J283" t="n">
        <v>0</v>
      </c>
      <c r="K283" t="n">
        <v>0</v>
      </c>
      <c r="L283" t="n">
        <v>0</v>
      </c>
      <c r="M283" t="n">
        <v>0</v>
      </c>
      <c r="N283" t="n">
        <v>0</v>
      </c>
      <c r="O283" t="n">
        <v>0</v>
      </c>
      <c r="P283" t="n">
        <v>0</v>
      </c>
      <c r="Q283" t="n">
        <v>0</v>
      </c>
      <c r="R283" s="2" t="inlineStr"/>
    </row>
    <row r="284" ht="15" customHeight="1">
      <c r="A284" t="inlineStr">
        <is>
          <t>A 1182-2025</t>
        </is>
      </c>
      <c r="B284" s="1" t="n">
        <v>45667.35712962963</v>
      </c>
      <c r="C284" s="1" t="n">
        <v>45894</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20937-2025</t>
        </is>
      </c>
      <c r="B285" s="1" t="n">
        <v>45777.42769675926</v>
      </c>
      <c r="C285" s="1" t="n">
        <v>45894</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20683-2025</t>
        </is>
      </c>
      <c r="B286" s="1" t="n">
        <v>45776</v>
      </c>
      <c r="C286" s="1" t="n">
        <v>45894</v>
      </c>
      <c r="D286" t="inlineStr">
        <is>
          <t>DALARNAS LÄN</t>
        </is>
      </c>
      <c r="E286" t="inlineStr">
        <is>
          <t>LEKSAND</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2517-2024</t>
        </is>
      </c>
      <c r="B287" s="1" t="n">
        <v>45313</v>
      </c>
      <c r="C287" s="1" t="n">
        <v>45894</v>
      </c>
      <c r="D287" t="inlineStr">
        <is>
          <t>DALARNAS LÄN</t>
        </is>
      </c>
      <c r="E287" t="inlineStr">
        <is>
          <t>LEKSAND</t>
        </is>
      </c>
      <c r="F287" t="inlineStr">
        <is>
          <t>Bergvik skog väst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46665-2023</t>
        </is>
      </c>
      <c r="B288" s="1" t="n">
        <v>45198.47399305556</v>
      </c>
      <c r="C288" s="1" t="n">
        <v>45894</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56943-2024</t>
        </is>
      </c>
      <c r="B289" s="1" t="n">
        <v>45625</v>
      </c>
      <c r="C289" s="1" t="n">
        <v>45894</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60715-2022</t>
        </is>
      </c>
      <c r="B290" s="1" t="n">
        <v>44912</v>
      </c>
      <c r="C290" s="1" t="n">
        <v>45894</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59199-2024</t>
        </is>
      </c>
      <c r="B291" s="1" t="n">
        <v>45637</v>
      </c>
      <c r="C291" s="1" t="n">
        <v>45894</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21230-2025</t>
        </is>
      </c>
      <c r="B292" s="1" t="n">
        <v>45779.54589120371</v>
      </c>
      <c r="C292" s="1" t="n">
        <v>45894</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21193-2025</t>
        </is>
      </c>
      <c r="B293" s="1" t="n">
        <v>45779.46675925926</v>
      </c>
      <c r="C293" s="1" t="n">
        <v>45894</v>
      </c>
      <c r="D293" t="inlineStr">
        <is>
          <t>DALARNAS LÄN</t>
        </is>
      </c>
      <c r="E293" t="inlineStr">
        <is>
          <t>LEKSAND</t>
        </is>
      </c>
      <c r="G293" t="n">
        <v>3.7</v>
      </c>
      <c r="H293" t="n">
        <v>0</v>
      </c>
      <c r="I293" t="n">
        <v>0</v>
      </c>
      <c r="J293" t="n">
        <v>0</v>
      </c>
      <c r="K293" t="n">
        <v>0</v>
      </c>
      <c r="L293" t="n">
        <v>0</v>
      </c>
      <c r="M293" t="n">
        <v>0</v>
      </c>
      <c r="N293" t="n">
        <v>0</v>
      </c>
      <c r="O293" t="n">
        <v>0</v>
      </c>
      <c r="P293" t="n">
        <v>0</v>
      </c>
      <c r="Q293" t="n">
        <v>0</v>
      </c>
      <c r="R293" s="2" t="inlineStr"/>
    </row>
    <row r="294" ht="15" customHeight="1">
      <c r="A294" t="inlineStr">
        <is>
          <t>A 15619-2025</t>
        </is>
      </c>
      <c r="B294" s="1" t="n">
        <v>45747</v>
      </c>
      <c r="C294" s="1" t="n">
        <v>45894</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36932-2023</t>
        </is>
      </c>
      <c r="B295" s="1" t="n">
        <v>45154</v>
      </c>
      <c r="C295" s="1" t="n">
        <v>45894</v>
      </c>
      <c r="D295" t="inlineStr">
        <is>
          <t>DALARNAS LÄN</t>
        </is>
      </c>
      <c r="E295" t="inlineStr">
        <is>
          <t>LEKSAND</t>
        </is>
      </c>
      <c r="G295" t="n">
        <v>1.3</v>
      </c>
      <c r="H295" t="n">
        <v>0</v>
      </c>
      <c r="I295" t="n">
        <v>0</v>
      </c>
      <c r="J295" t="n">
        <v>0</v>
      </c>
      <c r="K295" t="n">
        <v>0</v>
      </c>
      <c r="L295" t="n">
        <v>0</v>
      </c>
      <c r="M295" t="n">
        <v>0</v>
      </c>
      <c r="N295" t="n">
        <v>0</v>
      </c>
      <c r="O295" t="n">
        <v>0</v>
      </c>
      <c r="P295" t="n">
        <v>0</v>
      </c>
      <c r="Q295" t="n">
        <v>0</v>
      </c>
      <c r="R295" s="2" t="inlineStr"/>
    </row>
    <row r="296" ht="15" customHeight="1">
      <c r="A296" t="inlineStr">
        <is>
          <t>A 40627-2023</t>
        </is>
      </c>
      <c r="B296" s="1" t="n">
        <v>45170</v>
      </c>
      <c r="C296" s="1" t="n">
        <v>45894</v>
      </c>
      <c r="D296" t="inlineStr">
        <is>
          <t>DALARNAS LÄN</t>
        </is>
      </c>
      <c r="E296" t="inlineStr">
        <is>
          <t>LEKSAND</t>
        </is>
      </c>
      <c r="F296" t="inlineStr">
        <is>
          <t>Bergvik skog väst AB</t>
        </is>
      </c>
      <c r="G296" t="n">
        <v>3.3</v>
      </c>
      <c r="H296" t="n">
        <v>0</v>
      </c>
      <c r="I296" t="n">
        <v>0</v>
      </c>
      <c r="J296" t="n">
        <v>0</v>
      </c>
      <c r="K296" t="n">
        <v>0</v>
      </c>
      <c r="L296" t="n">
        <v>0</v>
      </c>
      <c r="M296" t="n">
        <v>0</v>
      </c>
      <c r="N296" t="n">
        <v>0</v>
      </c>
      <c r="O296" t="n">
        <v>0</v>
      </c>
      <c r="P296" t="n">
        <v>0</v>
      </c>
      <c r="Q296" t="n">
        <v>0</v>
      </c>
      <c r="R296" s="2" t="inlineStr"/>
    </row>
    <row r="297" ht="15" customHeight="1">
      <c r="A297" t="inlineStr">
        <is>
          <t>A 2579-2022</t>
        </is>
      </c>
      <c r="B297" s="1" t="n">
        <v>44580</v>
      </c>
      <c r="C297" s="1" t="n">
        <v>45894</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21600-2025</t>
        </is>
      </c>
      <c r="B298" s="1" t="n">
        <v>45783.3521875</v>
      </c>
      <c r="C298" s="1" t="n">
        <v>45894</v>
      </c>
      <c r="D298" t="inlineStr">
        <is>
          <t>DALARNAS LÄN</t>
        </is>
      </c>
      <c r="E298" t="inlineStr">
        <is>
          <t>LEKSAND</t>
        </is>
      </c>
      <c r="G298" t="n">
        <v>7.7</v>
      </c>
      <c r="H298" t="n">
        <v>0</v>
      </c>
      <c r="I298" t="n">
        <v>0</v>
      </c>
      <c r="J298" t="n">
        <v>0</v>
      </c>
      <c r="K298" t="n">
        <v>0</v>
      </c>
      <c r="L298" t="n">
        <v>0</v>
      </c>
      <c r="M298" t="n">
        <v>0</v>
      </c>
      <c r="N298" t="n">
        <v>0</v>
      </c>
      <c r="O298" t="n">
        <v>0</v>
      </c>
      <c r="P298" t="n">
        <v>0</v>
      </c>
      <c r="Q298" t="n">
        <v>0</v>
      </c>
      <c r="R298" s="2" t="inlineStr"/>
    </row>
    <row r="299" ht="15" customHeight="1">
      <c r="A299" t="inlineStr">
        <is>
          <t>A 57013-2023</t>
        </is>
      </c>
      <c r="B299" s="1" t="n">
        <v>45244</v>
      </c>
      <c r="C299" s="1" t="n">
        <v>45894</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2140-2024</t>
        </is>
      </c>
      <c r="B300" s="1" t="n">
        <v>45309</v>
      </c>
      <c r="C300" s="1" t="n">
        <v>45894</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23615-2024</t>
        </is>
      </c>
      <c r="B301" s="1" t="n">
        <v>45454.43050925926</v>
      </c>
      <c r="C301" s="1" t="n">
        <v>45894</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11872-2024</t>
        </is>
      </c>
      <c r="B302" s="1" t="n">
        <v>45376.46833333333</v>
      </c>
      <c r="C302" s="1" t="n">
        <v>45894</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22349-2024</t>
        </is>
      </c>
      <c r="B303" s="1" t="n">
        <v>45446</v>
      </c>
      <c r="C303" s="1" t="n">
        <v>45894</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21457-2025</t>
        </is>
      </c>
      <c r="B304" s="1" t="n">
        <v>45782.55451388889</v>
      </c>
      <c r="C304" s="1" t="n">
        <v>45894</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21366-2025</t>
        </is>
      </c>
      <c r="B305" s="1" t="n">
        <v>45782.44667824074</v>
      </c>
      <c r="C305" s="1" t="n">
        <v>45894</v>
      </c>
      <c r="D305" t="inlineStr">
        <is>
          <t>DALARNAS LÄN</t>
        </is>
      </c>
      <c r="E305" t="inlineStr">
        <is>
          <t>LEKSAND</t>
        </is>
      </c>
      <c r="G305" t="n">
        <v>4.1</v>
      </c>
      <c r="H305" t="n">
        <v>0</v>
      </c>
      <c r="I305" t="n">
        <v>0</v>
      </c>
      <c r="J305" t="n">
        <v>0</v>
      </c>
      <c r="K305" t="n">
        <v>0</v>
      </c>
      <c r="L305" t="n">
        <v>0</v>
      </c>
      <c r="M305" t="n">
        <v>0</v>
      </c>
      <c r="N305" t="n">
        <v>0</v>
      </c>
      <c r="O305" t="n">
        <v>0</v>
      </c>
      <c r="P305" t="n">
        <v>0</v>
      </c>
      <c r="Q305" t="n">
        <v>0</v>
      </c>
      <c r="R305" s="2" t="inlineStr"/>
    </row>
    <row r="306" ht="15" customHeight="1">
      <c r="A306" t="inlineStr">
        <is>
          <t>A 21954-2023</t>
        </is>
      </c>
      <c r="B306" s="1" t="n">
        <v>45068</v>
      </c>
      <c r="C306" s="1" t="n">
        <v>45894</v>
      </c>
      <c r="D306" t="inlineStr">
        <is>
          <t>DALARNAS LÄN</t>
        </is>
      </c>
      <c r="E306" t="inlineStr">
        <is>
          <t>LEKSAND</t>
        </is>
      </c>
      <c r="G306" t="n">
        <v>0.8</v>
      </c>
      <c r="H306" t="n">
        <v>0</v>
      </c>
      <c r="I306" t="n">
        <v>0</v>
      </c>
      <c r="J306" t="n">
        <v>0</v>
      </c>
      <c r="K306" t="n">
        <v>0</v>
      </c>
      <c r="L306" t="n">
        <v>0</v>
      </c>
      <c r="M306" t="n">
        <v>0</v>
      </c>
      <c r="N306" t="n">
        <v>0</v>
      </c>
      <c r="O306" t="n">
        <v>0</v>
      </c>
      <c r="P306" t="n">
        <v>0</v>
      </c>
      <c r="Q306" t="n">
        <v>0</v>
      </c>
      <c r="R306" s="2" t="inlineStr"/>
    </row>
    <row r="307" ht="15" customHeight="1">
      <c r="A307" t="inlineStr">
        <is>
          <t>A 53717-2023</t>
        </is>
      </c>
      <c r="B307" s="1" t="n">
        <v>45230</v>
      </c>
      <c r="C307" s="1" t="n">
        <v>45894</v>
      </c>
      <c r="D307" t="inlineStr">
        <is>
          <t>DALARNAS LÄN</t>
        </is>
      </c>
      <c r="E307" t="inlineStr">
        <is>
          <t>LEKSAND</t>
        </is>
      </c>
      <c r="G307" t="n">
        <v>2.4</v>
      </c>
      <c r="H307" t="n">
        <v>0</v>
      </c>
      <c r="I307" t="n">
        <v>0</v>
      </c>
      <c r="J307" t="n">
        <v>0</v>
      </c>
      <c r="K307" t="n">
        <v>0</v>
      </c>
      <c r="L307" t="n">
        <v>0</v>
      </c>
      <c r="M307" t="n">
        <v>0</v>
      </c>
      <c r="N307" t="n">
        <v>0</v>
      </c>
      <c r="O307" t="n">
        <v>0</v>
      </c>
      <c r="P307" t="n">
        <v>0</v>
      </c>
      <c r="Q307" t="n">
        <v>0</v>
      </c>
      <c r="R307" s="2" t="inlineStr"/>
    </row>
    <row r="308" ht="15" customHeight="1">
      <c r="A308" t="inlineStr">
        <is>
          <t>A 61554-2024</t>
        </is>
      </c>
      <c r="B308" s="1" t="n">
        <v>45646.60748842593</v>
      </c>
      <c r="C308" s="1" t="n">
        <v>45894</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14797-2025</t>
        </is>
      </c>
      <c r="B309" s="1" t="n">
        <v>45742.90363425926</v>
      </c>
      <c r="C309" s="1" t="n">
        <v>45894</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57925-2024</t>
        </is>
      </c>
      <c r="B310" s="1" t="n">
        <v>45630</v>
      </c>
      <c r="C310" s="1" t="n">
        <v>45894</v>
      </c>
      <c r="D310" t="inlineStr">
        <is>
          <t>DALARNAS LÄN</t>
        </is>
      </c>
      <c r="E310" t="inlineStr">
        <is>
          <t>LEKSAND</t>
        </is>
      </c>
      <c r="G310" t="n">
        <v>1.1</v>
      </c>
      <c r="H310" t="n">
        <v>0</v>
      </c>
      <c r="I310" t="n">
        <v>0</v>
      </c>
      <c r="J310" t="n">
        <v>0</v>
      </c>
      <c r="K310" t="n">
        <v>0</v>
      </c>
      <c r="L310" t="n">
        <v>0</v>
      </c>
      <c r="M310" t="n">
        <v>0</v>
      </c>
      <c r="N310" t="n">
        <v>0</v>
      </c>
      <c r="O310" t="n">
        <v>0</v>
      </c>
      <c r="P310" t="n">
        <v>0</v>
      </c>
      <c r="Q310" t="n">
        <v>0</v>
      </c>
      <c r="R310" s="2" t="inlineStr"/>
    </row>
    <row r="311" ht="15" customHeight="1">
      <c r="A311" t="inlineStr">
        <is>
          <t>A 59751-2024</t>
        </is>
      </c>
      <c r="B311" s="1" t="n">
        <v>45638</v>
      </c>
      <c r="C311" s="1" t="n">
        <v>45894</v>
      </c>
      <c r="D311" t="inlineStr">
        <is>
          <t>DALARNAS LÄN</t>
        </is>
      </c>
      <c r="E311" t="inlineStr">
        <is>
          <t>LEKSAND</t>
        </is>
      </c>
      <c r="G311" t="n">
        <v>5.2</v>
      </c>
      <c r="H311" t="n">
        <v>0</v>
      </c>
      <c r="I311" t="n">
        <v>0</v>
      </c>
      <c r="J311" t="n">
        <v>0</v>
      </c>
      <c r="K311" t="n">
        <v>0</v>
      </c>
      <c r="L311" t="n">
        <v>0</v>
      </c>
      <c r="M311" t="n">
        <v>0</v>
      </c>
      <c r="N311" t="n">
        <v>0</v>
      </c>
      <c r="O311" t="n">
        <v>0</v>
      </c>
      <c r="P311" t="n">
        <v>0</v>
      </c>
      <c r="Q311" t="n">
        <v>0</v>
      </c>
      <c r="R311" s="2" t="inlineStr"/>
    </row>
    <row r="312" ht="15" customHeight="1">
      <c r="A312" t="inlineStr">
        <is>
          <t>A 22080-2025</t>
        </is>
      </c>
      <c r="B312" s="1" t="n">
        <v>45785</v>
      </c>
      <c r="C312" s="1" t="n">
        <v>45894</v>
      </c>
      <c r="D312" t="inlineStr">
        <is>
          <t>DALARNAS LÄN</t>
        </is>
      </c>
      <c r="E312" t="inlineStr">
        <is>
          <t>LEKSAND</t>
        </is>
      </c>
      <c r="G312" t="n">
        <v>7</v>
      </c>
      <c r="H312" t="n">
        <v>0</v>
      </c>
      <c r="I312" t="n">
        <v>0</v>
      </c>
      <c r="J312" t="n">
        <v>0</v>
      </c>
      <c r="K312" t="n">
        <v>0</v>
      </c>
      <c r="L312" t="n">
        <v>0</v>
      </c>
      <c r="M312" t="n">
        <v>0</v>
      </c>
      <c r="N312" t="n">
        <v>0</v>
      </c>
      <c r="O312" t="n">
        <v>0</v>
      </c>
      <c r="P312" t="n">
        <v>0</v>
      </c>
      <c r="Q312" t="n">
        <v>0</v>
      </c>
      <c r="R312" s="2" t="inlineStr"/>
    </row>
    <row r="313" ht="15" customHeight="1">
      <c r="A313" t="inlineStr">
        <is>
          <t>A 28128-2022</t>
        </is>
      </c>
      <c r="B313" s="1" t="n">
        <v>44746.50628472222</v>
      </c>
      <c r="C313" s="1" t="n">
        <v>45894</v>
      </c>
      <c r="D313" t="inlineStr">
        <is>
          <t>DALARNAS LÄN</t>
        </is>
      </c>
      <c r="E313" t="inlineStr">
        <is>
          <t>LEKSAND</t>
        </is>
      </c>
      <c r="G313" t="n">
        <v>3.5</v>
      </c>
      <c r="H313" t="n">
        <v>0</v>
      </c>
      <c r="I313" t="n">
        <v>0</v>
      </c>
      <c r="J313" t="n">
        <v>0</v>
      </c>
      <c r="K313" t="n">
        <v>0</v>
      </c>
      <c r="L313" t="n">
        <v>0</v>
      </c>
      <c r="M313" t="n">
        <v>0</v>
      </c>
      <c r="N313" t="n">
        <v>0</v>
      </c>
      <c r="O313" t="n">
        <v>0</v>
      </c>
      <c r="P313" t="n">
        <v>0</v>
      </c>
      <c r="Q313" t="n">
        <v>0</v>
      </c>
      <c r="R313" s="2" t="inlineStr"/>
    </row>
    <row r="314" ht="15" customHeight="1">
      <c r="A314" t="inlineStr">
        <is>
          <t>A 61787-2022</t>
        </is>
      </c>
      <c r="B314" s="1" t="n">
        <v>44917</v>
      </c>
      <c r="C314" s="1" t="n">
        <v>45894</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45991-2020</t>
        </is>
      </c>
      <c r="B315" s="1" t="n">
        <v>44088</v>
      </c>
      <c r="C315" s="1" t="n">
        <v>45894</v>
      </c>
      <c r="D315" t="inlineStr">
        <is>
          <t>DALARNAS LÄN</t>
        </is>
      </c>
      <c r="E315" t="inlineStr">
        <is>
          <t>LEKSAND</t>
        </is>
      </c>
      <c r="G315" t="n">
        <v>9.9</v>
      </c>
      <c r="H315" t="n">
        <v>0</v>
      </c>
      <c r="I315" t="n">
        <v>0</v>
      </c>
      <c r="J315" t="n">
        <v>0</v>
      </c>
      <c r="K315" t="n">
        <v>0</v>
      </c>
      <c r="L315" t="n">
        <v>0</v>
      </c>
      <c r="M315" t="n">
        <v>0</v>
      </c>
      <c r="N315" t="n">
        <v>0</v>
      </c>
      <c r="O315" t="n">
        <v>0</v>
      </c>
      <c r="P315" t="n">
        <v>0</v>
      </c>
      <c r="Q315" t="n">
        <v>0</v>
      </c>
      <c r="R315" s="2" t="inlineStr"/>
    </row>
    <row r="316" ht="15" customHeight="1">
      <c r="A316" t="inlineStr">
        <is>
          <t>A 11004-2023</t>
        </is>
      </c>
      <c r="B316" s="1" t="n">
        <v>44986</v>
      </c>
      <c r="C316" s="1" t="n">
        <v>45894</v>
      </c>
      <c r="D316" t="inlineStr">
        <is>
          <t>DALARNAS LÄN</t>
        </is>
      </c>
      <c r="E316" t="inlineStr">
        <is>
          <t>LEKSAND</t>
        </is>
      </c>
      <c r="G316" t="n">
        <v>1.3</v>
      </c>
      <c r="H316" t="n">
        <v>0</v>
      </c>
      <c r="I316" t="n">
        <v>0</v>
      </c>
      <c r="J316" t="n">
        <v>0</v>
      </c>
      <c r="K316" t="n">
        <v>0</v>
      </c>
      <c r="L316" t="n">
        <v>0</v>
      </c>
      <c r="M316" t="n">
        <v>0</v>
      </c>
      <c r="N316" t="n">
        <v>0</v>
      </c>
      <c r="O316" t="n">
        <v>0</v>
      </c>
      <c r="P316" t="n">
        <v>0</v>
      </c>
      <c r="Q316" t="n">
        <v>0</v>
      </c>
      <c r="R316" s="2" t="inlineStr"/>
    </row>
    <row r="317" ht="15" customHeight="1">
      <c r="A317" t="inlineStr">
        <is>
          <t>A 21916-2025</t>
        </is>
      </c>
      <c r="B317" s="1" t="n">
        <v>45784.50115740741</v>
      </c>
      <c r="C317" s="1" t="n">
        <v>45894</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32688-2024</t>
        </is>
      </c>
      <c r="B318" s="1" t="n">
        <v>45515.83091435185</v>
      </c>
      <c r="C318" s="1" t="n">
        <v>45894</v>
      </c>
      <c r="D318" t="inlineStr">
        <is>
          <t>DALARNAS LÄN</t>
        </is>
      </c>
      <c r="E318" t="inlineStr">
        <is>
          <t>LEKSAND</t>
        </is>
      </c>
      <c r="G318" t="n">
        <v>1.3</v>
      </c>
      <c r="H318" t="n">
        <v>0</v>
      </c>
      <c r="I318" t="n">
        <v>0</v>
      </c>
      <c r="J318" t="n">
        <v>0</v>
      </c>
      <c r="K318" t="n">
        <v>0</v>
      </c>
      <c r="L318" t="n">
        <v>0</v>
      </c>
      <c r="M318" t="n">
        <v>0</v>
      </c>
      <c r="N318" t="n">
        <v>0</v>
      </c>
      <c r="O318" t="n">
        <v>0</v>
      </c>
      <c r="P318" t="n">
        <v>0</v>
      </c>
      <c r="Q318" t="n">
        <v>0</v>
      </c>
      <c r="R318" s="2" t="inlineStr"/>
    </row>
    <row r="319" ht="15" customHeight="1">
      <c r="A319" t="inlineStr">
        <is>
          <t>A 62307-2023</t>
        </is>
      </c>
      <c r="B319" s="1" t="n">
        <v>45266</v>
      </c>
      <c r="C319" s="1" t="n">
        <v>45894</v>
      </c>
      <c r="D319" t="inlineStr">
        <is>
          <t>DALARNAS LÄN</t>
        </is>
      </c>
      <c r="E319" t="inlineStr">
        <is>
          <t>LEKSAND</t>
        </is>
      </c>
      <c r="G319" t="n">
        <v>3.9</v>
      </c>
      <c r="H319" t="n">
        <v>0</v>
      </c>
      <c r="I319" t="n">
        <v>0</v>
      </c>
      <c r="J319" t="n">
        <v>0</v>
      </c>
      <c r="K319" t="n">
        <v>0</v>
      </c>
      <c r="L319" t="n">
        <v>0</v>
      </c>
      <c r="M319" t="n">
        <v>0</v>
      </c>
      <c r="N319" t="n">
        <v>0</v>
      </c>
      <c r="O319" t="n">
        <v>0</v>
      </c>
      <c r="P319" t="n">
        <v>0</v>
      </c>
      <c r="Q319" t="n">
        <v>0</v>
      </c>
      <c r="R319" s="2" t="inlineStr"/>
    </row>
    <row r="320" ht="15" customHeight="1">
      <c r="A320" t="inlineStr">
        <is>
          <t>A 43419-2024</t>
        </is>
      </c>
      <c r="B320" s="1" t="n">
        <v>45568</v>
      </c>
      <c r="C320" s="1" t="n">
        <v>45894</v>
      </c>
      <c r="D320" t="inlineStr">
        <is>
          <t>DALARNAS LÄN</t>
        </is>
      </c>
      <c r="E320" t="inlineStr">
        <is>
          <t>LEKSAND</t>
        </is>
      </c>
      <c r="G320" t="n">
        <v>0.4</v>
      </c>
      <c r="H320" t="n">
        <v>0</v>
      </c>
      <c r="I320" t="n">
        <v>0</v>
      </c>
      <c r="J320" t="n">
        <v>0</v>
      </c>
      <c r="K320" t="n">
        <v>0</v>
      </c>
      <c r="L320" t="n">
        <v>0</v>
      </c>
      <c r="M320" t="n">
        <v>0</v>
      </c>
      <c r="N320" t="n">
        <v>0</v>
      </c>
      <c r="O320" t="n">
        <v>0</v>
      </c>
      <c r="P320" t="n">
        <v>0</v>
      </c>
      <c r="Q320" t="n">
        <v>0</v>
      </c>
      <c r="R320" s="2" t="inlineStr"/>
    </row>
    <row r="321" ht="15" customHeight="1">
      <c r="A321" t="inlineStr">
        <is>
          <t>A 14967-2023</t>
        </is>
      </c>
      <c r="B321" s="1" t="n">
        <v>45015</v>
      </c>
      <c r="C321" s="1" t="n">
        <v>45894</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19417-2025</t>
        </is>
      </c>
      <c r="B322" s="1" t="n">
        <v>45769.7234837963</v>
      </c>
      <c r="C322" s="1" t="n">
        <v>45894</v>
      </c>
      <c r="D322" t="inlineStr">
        <is>
          <t>DALARNAS LÄN</t>
        </is>
      </c>
      <c r="E322" t="inlineStr">
        <is>
          <t>LEKSAND</t>
        </is>
      </c>
      <c r="G322" t="n">
        <v>3.3</v>
      </c>
      <c r="H322" t="n">
        <v>0</v>
      </c>
      <c r="I322" t="n">
        <v>0</v>
      </c>
      <c r="J322" t="n">
        <v>0</v>
      </c>
      <c r="K322" t="n">
        <v>0</v>
      </c>
      <c r="L322" t="n">
        <v>0</v>
      </c>
      <c r="M322" t="n">
        <v>0</v>
      </c>
      <c r="N322" t="n">
        <v>0</v>
      </c>
      <c r="O322" t="n">
        <v>0</v>
      </c>
      <c r="P322" t="n">
        <v>0</v>
      </c>
      <c r="Q322" t="n">
        <v>0</v>
      </c>
      <c r="R322" s="2" t="inlineStr"/>
    </row>
    <row r="323" ht="15" customHeight="1">
      <c r="A323" t="inlineStr">
        <is>
          <t>A 21881-2025</t>
        </is>
      </c>
      <c r="B323" s="1" t="n">
        <v>45784</v>
      </c>
      <c r="C323" s="1" t="n">
        <v>45894</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61269-2022</t>
        </is>
      </c>
      <c r="B324" s="1" t="n">
        <v>44909</v>
      </c>
      <c r="C324" s="1" t="n">
        <v>45894</v>
      </c>
      <c r="D324" t="inlineStr">
        <is>
          <t>DALARNAS LÄN</t>
        </is>
      </c>
      <c r="E324" t="inlineStr">
        <is>
          <t>LEKSAND</t>
        </is>
      </c>
      <c r="G324" t="n">
        <v>4.2</v>
      </c>
      <c r="H324" t="n">
        <v>0</v>
      </c>
      <c r="I324" t="n">
        <v>0</v>
      </c>
      <c r="J324" t="n">
        <v>0</v>
      </c>
      <c r="K324" t="n">
        <v>0</v>
      </c>
      <c r="L324" t="n">
        <v>0</v>
      </c>
      <c r="M324" t="n">
        <v>0</v>
      </c>
      <c r="N324" t="n">
        <v>0</v>
      </c>
      <c r="O324" t="n">
        <v>0</v>
      </c>
      <c r="P324" t="n">
        <v>0</v>
      </c>
      <c r="Q324" t="n">
        <v>0</v>
      </c>
      <c r="R324" s="2" t="inlineStr"/>
    </row>
    <row r="325" ht="15" customHeight="1">
      <c r="A325" t="inlineStr">
        <is>
          <t>A 7861-2024</t>
        </is>
      </c>
      <c r="B325" s="1" t="n">
        <v>45350.30831018519</v>
      </c>
      <c r="C325" s="1" t="n">
        <v>45894</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64933-2023</t>
        </is>
      </c>
      <c r="B326" s="1" t="n">
        <v>45282</v>
      </c>
      <c r="C326" s="1" t="n">
        <v>45894</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47854-2023</t>
        </is>
      </c>
      <c r="B327" s="1" t="n">
        <v>45198</v>
      </c>
      <c r="C327" s="1" t="n">
        <v>45894</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24003-2024</t>
        </is>
      </c>
      <c r="B328" s="1" t="n">
        <v>45456.39003472222</v>
      </c>
      <c r="C328" s="1" t="n">
        <v>45894</v>
      </c>
      <c r="D328" t="inlineStr">
        <is>
          <t>DALARNAS LÄN</t>
        </is>
      </c>
      <c r="E328" t="inlineStr">
        <is>
          <t>LEKSAND</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28633-2023</t>
        </is>
      </c>
      <c r="B329" s="1" t="n">
        <v>45103.61575231481</v>
      </c>
      <c r="C329" s="1" t="n">
        <v>45894</v>
      </c>
      <c r="D329" t="inlineStr">
        <is>
          <t>DALARNAS LÄN</t>
        </is>
      </c>
      <c r="E329" t="inlineStr">
        <is>
          <t>LEKSAND</t>
        </is>
      </c>
      <c r="F329" t="inlineStr">
        <is>
          <t>Bergvik skog väst AB</t>
        </is>
      </c>
      <c r="G329" t="n">
        <v>0.5</v>
      </c>
      <c r="H329" t="n">
        <v>0</v>
      </c>
      <c r="I329" t="n">
        <v>0</v>
      </c>
      <c r="J329" t="n">
        <v>0</v>
      </c>
      <c r="K329" t="n">
        <v>0</v>
      </c>
      <c r="L329" t="n">
        <v>0</v>
      </c>
      <c r="M329" t="n">
        <v>0</v>
      </c>
      <c r="N329" t="n">
        <v>0</v>
      </c>
      <c r="O329" t="n">
        <v>0</v>
      </c>
      <c r="P329" t="n">
        <v>0</v>
      </c>
      <c r="Q329" t="n">
        <v>0</v>
      </c>
      <c r="R329" s="2" t="inlineStr"/>
    </row>
    <row r="330" ht="15" customHeight="1">
      <c r="A330" t="inlineStr">
        <is>
          <t>A 36534-2024</t>
        </is>
      </c>
      <c r="B330" s="1" t="n">
        <v>45537.45143518518</v>
      </c>
      <c r="C330" s="1" t="n">
        <v>45894</v>
      </c>
      <c r="D330" t="inlineStr">
        <is>
          <t>DALARNAS LÄN</t>
        </is>
      </c>
      <c r="E330" t="inlineStr">
        <is>
          <t>LEKSAND</t>
        </is>
      </c>
      <c r="G330" t="n">
        <v>4</v>
      </c>
      <c r="H330" t="n">
        <v>0</v>
      </c>
      <c r="I330" t="n">
        <v>0</v>
      </c>
      <c r="J330" t="n">
        <v>0</v>
      </c>
      <c r="K330" t="n">
        <v>0</v>
      </c>
      <c r="L330" t="n">
        <v>0</v>
      </c>
      <c r="M330" t="n">
        <v>0</v>
      </c>
      <c r="N330" t="n">
        <v>0</v>
      </c>
      <c r="O330" t="n">
        <v>0</v>
      </c>
      <c r="P330" t="n">
        <v>0</v>
      </c>
      <c r="Q330" t="n">
        <v>0</v>
      </c>
      <c r="R330" s="2" t="inlineStr"/>
    </row>
    <row r="331" ht="15" customHeight="1">
      <c r="A331" t="inlineStr">
        <is>
          <t>A 9459-2023</t>
        </is>
      </c>
      <c r="B331" s="1" t="n">
        <v>44977</v>
      </c>
      <c r="C331" s="1" t="n">
        <v>45894</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30198-2024</t>
        </is>
      </c>
      <c r="B332" s="1" t="n">
        <v>45490.34765046297</v>
      </c>
      <c r="C332" s="1" t="n">
        <v>45894</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59718-2023</t>
        </is>
      </c>
      <c r="B333" s="1" t="n">
        <v>45257</v>
      </c>
      <c r="C333" s="1" t="n">
        <v>45894</v>
      </c>
      <c r="D333" t="inlineStr">
        <is>
          <t>DALARNAS LÄN</t>
        </is>
      </c>
      <c r="E333" t="inlineStr">
        <is>
          <t>LEKSAND</t>
        </is>
      </c>
      <c r="G333" t="n">
        <v>2.2</v>
      </c>
      <c r="H333" t="n">
        <v>0</v>
      </c>
      <c r="I333" t="n">
        <v>0</v>
      </c>
      <c r="J333" t="n">
        <v>0</v>
      </c>
      <c r="K333" t="n">
        <v>0</v>
      </c>
      <c r="L333" t="n">
        <v>0</v>
      </c>
      <c r="M333" t="n">
        <v>0</v>
      </c>
      <c r="N333" t="n">
        <v>0</v>
      </c>
      <c r="O333" t="n">
        <v>0</v>
      </c>
      <c r="P333" t="n">
        <v>0</v>
      </c>
      <c r="Q333" t="n">
        <v>0</v>
      </c>
      <c r="R333" s="2" t="inlineStr"/>
    </row>
    <row r="334" ht="15" customHeight="1">
      <c r="A334" t="inlineStr">
        <is>
          <t>A 7395-2025</t>
        </is>
      </c>
      <c r="B334" s="1" t="n">
        <v>45705.34516203704</v>
      </c>
      <c r="C334" s="1" t="n">
        <v>45894</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16744-2025</t>
        </is>
      </c>
      <c r="B335" s="1" t="n">
        <v>45754</v>
      </c>
      <c r="C335" s="1" t="n">
        <v>45894</v>
      </c>
      <c r="D335" t="inlineStr">
        <is>
          <t>DALARNAS LÄN</t>
        </is>
      </c>
      <c r="E335" t="inlineStr">
        <is>
          <t>LEKSAND</t>
        </is>
      </c>
      <c r="F335" t="inlineStr">
        <is>
          <t>Bergvik skog väst AB</t>
        </is>
      </c>
      <c r="G335" t="n">
        <v>1.8</v>
      </c>
      <c r="H335" t="n">
        <v>0</v>
      </c>
      <c r="I335" t="n">
        <v>0</v>
      </c>
      <c r="J335" t="n">
        <v>0</v>
      </c>
      <c r="K335" t="n">
        <v>0</v>
      </c>
      <c r="L335" t="n">
        <v>0</v>
      </c>
      <c r="M335" t="n">
        <v>0</v>
      </c>
      <c r="N335" t="n">
        <v>0</v>
      </c>
      <c r="O335" t="n">
        <v>0</v>
      </c>
      <c r="P335" t="n">
        <v>0</v>
      </c>
      <c r="Q335" t="n">
        <v>0</v>
      </c>
      <c r="R335" s="2" t="inlineStr"/>
    </row>
    <row r="336" ht="15" customHeight="1">
      <c r="A336" t="inlineStr">
        <is>
          <t>A 22536-2025</t>
        </is>
      </c>
      <c r="B336" s="1" t="n">
        <v>45787.33037037037</v>
      </c>
      <c r="C336" s="1" t="n">
        <v>45894</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34585-2024</t>
        </is>
      </c>
      <c r="B337" s="1" t="n">
        <v>45526.37697916666</v>
      </c>
      <c r="C337" s="1" t="n">
        <v>45894</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22361-2025</t>
        </is>
      </c>
      <c r="B338" s="1" t="n">
        <v>45786.46650462963</v>
      </c>
      <c r="C338" s="1" t="n">
        <v>45894</v>
      </c>
      <c r="D338" t="inlineStr">
        <is>
          <t>DALARNAS LÄN</t>
        </is>
      </c>
      <c r="E338" t="inlineStr">
        <is>
          <t>LEKSAND</t>
        </is>
      </c>
      <c r="G338" t="n">
        <v>3.5</v>
      </c>
      <c r="H338" t="n">
        <v>0</v>
      </c>
      <c r="I338" t="n">
        <v>0</v>
      </c>
      <c r="J338" t="n">
        <v>0</v>
      </c>
      <c r="K338" t="n">
        <v>0</v>
      </c>
      <c r="L338" t="n">
        <v>0</v>
      </c>
      <c r="M338" t="n">
        <v>0</v>
      </c>
      <c r="N338" t="n">
        <v>0</v>
      </c>
      <c r="O338" t="n">
        <v>0</v>
      </c>
      <c r="P338" t="n">
        <v>0</v>
      </c>
      <c r="Q338" t="n">
        <v>0</v>
      </c>
      <c r="R338" s="2" t="inlineStr"/>
    </row>
    <row r="339" ht="15" customHeight="1">
      <c r="A339" t="inlineStr">
        <is>
          <t>A 11859-2024</t>
        </is>
      </c>
      <c r="B339" s="1" t="n">
        <v>45376.44569444445</v>
      </c>
      <c r="C339" s="1" t="n">
        <v>45894</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10743-2024</t>
        </is>
      </c>
      <c r="B340" s="1" t="n">
        <v>45369.52167824074</v>
      </c>
      <c r="C340" s="1" t="n">
        <v>45894</v>
      </c>
      <c r="D340" t="inlineStr">
        <is>
          <t>DALARNAS LÄN</t>
        </is>
      </c>
      <c r="E340" t="inlineStr">
        <is>
          <t>LEKSAND</t>
        </is>
      </c>
      <c r="G340" t="n">
        <v>2.7</v>
      </c>
      <c r="H340" t="n">
        <v>0</v>
      </c>
      <c r="I340" t="n">
        <v>0</v>
      </c>
      <c r="J340" t="n">
        <v>0</v>
      </c>
      <c r="K340" t="n">
        <v>0</v>
      </c>
      <c r="L340" t="n">
        <v>0</v>
      </c>
      <c r="M340" t="n">
        <v>0</v>
      </c>
      <c r="N340" t="n">
        <v>0</v>
      </c>
      <c r="O340" t="n">
        <v>0</v>
      </c>
      <c r="P340" t="n">
        <v>0</v>
      </c>
      <c r="Q340" t="n">
        <v>0</v>
      </c>
      <c r="R340" s="2" t="inlineStr"/>
    </row>
    <row r="341" ht="15" customHeight="1">
      <c r="A341" t="inlineStr">
        <is>
          <t>A 10771-2024</t>
        </is>
      </c>
      <c r="B341" s="1" t="n">
        <v>45369.57342592593</v>
      </c>
      <c r="C341" s="1" t="n">
        <v>45894</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60042-2023</t>
        </is>
      </c>
      <c r="B342" s="1" t="n">
        <v>45256</v>
      </c>
      <c r="C342" s="1" t="n">
        <v>45894</v>
      </c>
      <c r="D342" t="inlineStr">
        <is>
          <t>DALARNAS LÄN</t>
        </is>
      </c>
      <c r="E342" t="inlineStr">
        <is>
          <t>LEKSAND</t>
        </is>
      </c>
      <c r="G342" t="n">
        <v>2</v>
      </c>
      <c r="H342" t="n">
        <v>0</v>
      </c>
      <c r="I342" t="n">
        <v>0</v>
      </c>
      <c r="J342" t="n">
        <v>0</v>
      </c>
      <c r="K342" t="n">
        <v>0</v>
      </c>
      <c r="L342" t="n">
        <v>0</v>
      </c>
      <c r="M342" t="n">
        <v>0</v>
      </c>
      <c r="N342" t="n">
        <v>0</v>
      </c>
      <c r="O342" t="n">
        <v>0</v>
      </c>
      <c r="P342" t="n">
        <v>0</v>
      </c>
      <c r="Q342" t="n">
        <v>0</v>
      </c>
      <c r="R342" s="2" t="inlineStr"/>
    </row>
    <row r="343" ht="15" customHeight="1">
      <c r="A343" t="inlineStr">
        <is>
          <t>A 51320-2023</t>
        </is>
      </c>
      <c r="B343" s="1" t="n">
        <v>45219.57456018519</v>
      </c>
      <c r="C343" s="1" t="n">
        <v>45894</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28630-2023</t>
        </is>
      </c>
      <c r="B344" s="1" t="n">
        <v>45103.61003472222</v>
      </c>
      <c r="C344" s="1" t="n">
        <v>45894</v>
      </c>
      <c r="D344" t="inlineStr">
        <is>
          <t>DALARNAS LÄN</t>
        </is>
      </c>
      <c r="E344" t="inlineStr">
        <is>
          <t>LEKSAND</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16829-2025</t>
        </is>
      </c>
      <c r="B345" s="1" t="n">
        <v>45754</v>
      </c>
      <c r="C345" s="1" t="n">
        <v>45894</v>
      </c>
      <c r="D345" t="inlineStr">
        <is>
          <t>DALARNAS LÄN</t>
        </is>
      </c>
      <c r="E345" t="inlineStr">
        <is>
          <t>LEKSAND</t>
        </is>
      </c>
      <c r="F345" t="inlineStr">
        <is>
          <t>Bergvik skog väst AB</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30860-2024</t>
        </is>
      </c>
      <c r="B346" s="1" t="n">
        <v>45497.69108796296</v>
      </c>
      <c r="C346" s="1" t="n">
        <v>45894</v>
      </c>
      <c r="D346" t="inlineStr">
        <is>
          <t>DALARNAS LÄN</t>
        </is>
      </c>
      <c r="E346" t="inlineStr">
        <is>
          <t>LEKSAND</t>
        </is>
      </c>
      <c r="F346" t="inlineStr">
        <is>
          <t>Bergvik skog väst AB</t>
        </is>
      </c>
      <c r="G346" t="n">
        <v>0.7</v>
      </c>
      <c r="H346" t="n">
        <v>0</v>
      </c>
      <c r="I346" t="n">
        <v>0</v>
      </c>
      <c r="J346" t="n">
        <v>0</v>
      </c>
      <c r="K346" t="n">
        <v>0</v>
      </c>
      <c r="L346" t="n">
        <v>0</v>
      </c>
      <c r="M346" t="n">
        <v>0</v>
      </c>
      <c r="N346" t="n">
        <v>0</v>
      </c>
      <c r="O346" t="n">
        <v>0</v>
      </c>
      <c r="P346" t="n">
        <v>0</v>
      </c>
      <c r="Q346" t="n">
        <v>0</v>
      </c>
      <c r="R346" s="2" t="inlineStr"/>
    </row>
    <row r="347" ht="15" customHeight="1">
      <c r="A347" t="inlineStr">
        <is>
          <t>A 30864-2024</t>
        </is>
      </c>
      <c r="B347" s="1" t="n">
        <v>45497.71550925926</v>
      </c>
      <c r="C347" s="1" t="n">
        <v>45894</v>
      </c>
      <c r="D347" t="inlineStr">
        <is>
          <t>DALARNAS LÄN</t>
        </is>
      </c>
      <c r="E347" t="inlineStr">
        <is>
          <t>LEKSAND</t>
        </is>
      </c>
      <c r="F347" t="inlineStr">
        <is>
          <t>Bergvik skog väst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34244-2024</t>
        </is>
      </c>
      <c r="B348" s="1" t="n">
        <v>45524.58349537037</v>
      </c>
      <c r="C348" s="1" t="n">
        <v>45894</v>
      </c>
      <c r="D348" t="inlineStr">
        <is>
          <t>DALARNAS LÄN</t>
        </is>
      </c>
      <c r="E348" t="inlineStr">
        <is>
          <t>LEKSAND</t>
        </is>
      </c>
      <c r="G348" t="n">
        <v>1.5</v>
      </c>
      <c r="H348" t="n">
        <v>0</v>
      </c>
      <c r="I348" t="n">
        <v>0</v>
      </c>
      <c r="J348" t="n">
        <v>0</v>
      </c>
      <c r="K348" t="n">
        <v>0</v>
      </c>
      <c r="L348" t="n">
        <v>0</v>
      </c>
      <c r="M348" t="n">
        <v>0</v>
      </c>
      <c r="N348" t="n">
        <v>0</v>
      </c>
      <c r="O348" t="n">
        <v>0</v>
      </c>
      <c r="P348" t="n">
        <v>0</v>
      </c>
      <c r="Q348" t="n">
        <v>0</v>
      </c>
      <c r="R348" s="2" t="inlineStr"/>
    </row>
    <row r="349" ht="15" customHeight="1">
      <c r="A349" t="inlineStr">
        <is>
          <t>A 56941-2024</t>
        </is>
      </c>
      <c r="B349" s="1" t="n">
        <v>45625</v>
      </c>
      <c r="C349" s="1" t="n">
        <v>45894</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16051-2023</t>
        </is>
      </c>
      <c r="B350" s="1" t="n">
        <v>45027</v>
      </c>
      <c r="C350" s="1" t="n">
        <v>45894</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63514-2023</t>
        </is>
      </c>
      <c r="B351" s="1" t="n">
        <v>45274</v>
      </c>
      <c r="C351" s="1" t="n">
        <v>45894</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2311-2021</t>
        </is>
      </c>
      <c r="B352" s="1" t="n">
        <v>44213</v>
      </c>
      <c r="C352" s="1" t="n">
        <v>45894</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46446-2023</t>
        </is>
      </c>
      <c r="B353" s="1" t="n">
        <v>45197.59344907408</v>
      </c>
      <c r="C353" s="1" t="n">
        <v>45894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52100-2024</t>
        </is>
      </c>
      <c r="B354" s="1" t="n">
        <v>45608.41634259259</v>
      </c>
      <c r="C354" s="1" t="n">
        <v>45894</v>
      </c>
      <c r="D354" t="inlineStr">
        <is>
          <t>DALARNAS LÄN</t>
        </is>
      </c>
      <c r="E354" t="inlineStr">
        <is>
          <t>LEKSAND</t>
        </is>
      </c>
      <c r="G354" t="n">
        <v>1.9</v>
      </c>
      <c r="H354" t="n">
        <v>0</v>
      </c>
      <c r="I354" t="n">
        <v>0</v>
      </c>
      <c r="J354" t="n">
        <v>0</v>
      </c>
      <c r="K354" t="n">
        <v>0</v>
      </c>
      <c r="L354" t="n">
        <v>0</v>
      </c>
      <c r="M354" t="n">
        <v>0</v>
      </c>
      <c r="N354" t="n">
        <v>0</v>
      </c>
      <c r="O354" t="n">
        <v>0</v>
      </c>
      <c r="P354" t="n">
        <v>0</v>
      </c>
      <c r="Q354" t="n">
        <v>0</v>
      </c>
      <c r="R354" s="2" t="inlineStr"/>
    </row>
    <row r="355" ht="15" customHeight="1">
      <c r="A355" t="inlineStr">
        <is>
          <t>A 61252-2023</t>
        </is>
      </c>
      <c r="B355" s="1" t="n">
        <v>45261</v>
      </c>
      <c r="C355" s="1" t="n">
        <v>45894</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53981-2024</t>
        </is>
      </c>
      <c r="B356" s="1" t="n">
        <v>45615</v>
      </c>
      <c r="C356" s="1" t="n">
        <v>45894</v>
      </c>
      <c r="D356" t="inlineStr">
        <is>
          <t>DALARNAS LÄN</t>
        </is>
      </c>
      <c r="E356" t="inlineStr">
        <is>
          <t>LEKSAND</t>
        </is>
      </c>
      <c r="G356" t="n">
        <v>5.4</v>
      </c>
      <c r="H356" t="n">
        <v>0</v>
      </c>
      <c r="I356" t="n">
        <v>0</v>
      </c>
      <c r="J356" t="n">
        <v>0</v>
      </c>
      <c r="K356" t="n">
        <v>0</v>
      </c>
      <c r="L356" t="n">
        <v>0</v>
      </c>
      <c r="M356" t="n">
        <v>0</v>
      </c>
      <c r="N356" t="n">
        <v>0</v>
      </c>
      <c r="O356" t="n">
        <v>0</v>
      </c>
      <c r="P356" t="n">
        <v>0</v>
      </c>
      <c r="Q356" t="n">
        <v>0</v>
      </c>
      <c r="R356" s="2" t="inlineStr"/>
    </row>
    <row r="357" ht="15" customHeight="1">
      <c r="A357" t="inlineStr">
        <is>
          <t>A 34033-2024</t>
        </is>
      </c>
      <c r="B357" s="1" t="n">
        <v>45523.59265046296</v>
      </c>
      <c r="C357" s="1" t="n">
        <v>45894</v>
      </c>
      <c r="D357" t="inlineStr">
        <is>
          <t>DALARNAS LÄN</t>
        </is>
      </c>
      <c r="E357" t="inlineStr">
        <is>
          <t>LEKSAND</t>
        </is>
      </c>
      <c r="G357" t="n">
        <v>2.6</v>
      </c>
      <c r="H357" t="n">
        <v>0</v>
      </c>
      <c r="I357" t="n">
        <v>0</v>
      </c>
      <c r="J357" t="n">
        <v>0</v>
      </c>
      <c r="K357" t="n">
        <v>0</v>
      </c>
      <c r="L357" t="n">
        <v>0</v>
      </c>
      <c r="M357" t="n">
        <v>0</v>
      </c>
      <c r="N357" t="n">
        <v>0</v>
      </c>
      <c r="O357" t="n">
        <v>0</v>
      </c>
      <c r="P357" t="n">
        <v>0</v>
      </c>
      <c r="Q357" t="n">
        <v>0</v>
      </c>
      <c r="R357" s="2" t="inlineStr"/>
    </row>
    <row r="358" ht="15" customHeight="1">
      <c r="A358" t="inlineStr">
        <is>
          <t>A 57468-2023</t>
        </is>
      </c>
      <c r="B358" s="1" t="n">
        <v>45246</v>
      </c>
      <c r="C358" s="1" t="n">
        <v>45894</v>
      </c>
      <c r="D358" t="inlineStr">
        <is>
          <t>DALARNAS LÄN</t>
        </is>
      </c>
      <c r="E358" t="inlineStr">
        <is>
          <t>LEKSAND</t>
        </is>
      </c>
      <c r="G358" t="n">
        <v>4.6</v>
      </c>
      <c r="H358" t="n">
        <v>0</v>
      </c>
      <c r="I358" t="n">
        <v>0</v>
      </c>
      <c r="J358" t="n">
        <v>0</v>
      </c>
      <c r="K358" t="n">
        <v>0</v>
      </c>
      <c r="L358" t="n">
        <v>0</v>
      </c>
      <c r="M358" t="n">
        <v>0</v>
      </c>
      <c r="N358" t="n">
        <v>0</v>
      </c>
      <c r="O358" t="n">
        <v>0</v>
      </c>
      <c r="P358" t="n">
        <v>0</v>
      </c>
      <c r="Q358" t="n">
        <v>0</v>
      </c>
      <c r="R358" s="2" t="inlineStr"/>
    </row>
    <row r="359" ht="15" customHeight="1">
      <c r="A359" t="inlineStr">
        <is>
          <t>A 22876-2025</t>
        </is>
      </c>
      <c r="B359" s="1" t="n">
        <v>45790.3728587963</v>
      </c>
      <c r="C359" s="1" t="n">
        <v>45894</v>
      </c>
      <c r="D359" t="inlineStr">
        <is>
          <t>DALARNAS LÄN</t>
        </is>
      </c>
      <c r="E359" t="inlineStr">
        <is>
          <t>LEKSAND</t>
        </is>
      </c>
      <c r="G359" t="n">
        <v>5.9</v>
      </c>
      <c r="H359" t="n">
        <v>0</v>
      </c>
      <c r="I359" t="n">
        <v>0</v>
      </c>
      <c r="J359" t="n">
        <v>0</v>
      </c>
      <c r="K359" t="n">
        <v>0</v>
      </c>
      <c r="L359" t="n">
        <v>0</v>
      </c>
      <c r="M359" t="n">
        <v>0</v>
      </c>
      <c r="N359" t="n">
        <v>0</v>
      </c>
      <c r="O359" t="n">
        <v>0</v>
      </c>
      <c r="P359" t="n">
        <v>0</v>
      </c>
      <c r="Q359" t="n">
        <v>0</v>
      </c>
      <c r="R359" s="2" t="inlineStr"/>
    </row>
    <row r="360" ht="15" customHeight="1">
      <c r="A360" t="inlineStr">
        <is>
          <t>A 49499-2024</t>
        </is>
      </c>
      <c r="B360" s="1" t="n">
        <v>45596</v>
      </c>
      <c r="C360" s="1" t="n">
        <v>45894</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44822-2024</t>
        </is>
      </c>
      <c r="B361" s="1" t="n">
        <v>45574.6646412037</v>
      </c>
      <c r="C361" s="1" t="n">
        <v>45894</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22947-2025</t>
        </is>
      </c>
      <c r="B362" s="1" t="n">
        <v>45790.48791666667</v>
      </c>
      <c r="C362" s="1" t="n">
        <v>45894</v>
      </c>
      <c r="D362" t="inlineStr">
        <is>
          <t>DALARNAS LÄN</t>
        </is>
      </c>
      <c r="E362" t="inlineStr">
        <is>
          <t>LEKSAND</t>
        </is>
      </c>
      <c r="G362" t="n">
        <v>4.6</v>
      </c>
      <c r="H362" t="n">
        <v>0</v>
      </c>
      <c r="I362" t="n">
        <v>0</v>
      </c>
      <c r="J362" t="n">
        <v>0</v>
      </c>
      <c r="K362" t="n">
        <v>0</v>
      </c>
      <c r="L362" t="n">
        <v>0</v>
      </c>
      <c r="M362" t="n">
        <v>0</v>
      </c>
      <c r="N362" t="n">
        <v>0</v>
      </c>
      <c r="O362" t="n">
        <v>0</v>
      </c>
      <c r="P362" t="n">
        <v>0</v>
      </c>
      <c r="Q362" t="n">
        <v>0</v>
      </c>
      <c r="R362" s="2" t="inlineStr"/>
    </row>
    <row r="363" ht="15" customHeight="1">
      <c r="A363" t="inlineStr">
        <is>
          <t>A 23058-2025</t>
        </is>
      </c>
      <c r="B363" s="1" t="n">
        <v>45790.78076388889</v>
      </c>
      <c r="C363" s="1" t="n">
        <v>45894</v>
      </c>
      <c r="D363" t="inlineStr">
        <is>
          <t>DALARNAS LÄN</t>
        </is>
      </c>
      <c r="E363" t="inlineStr">
        <is>
          <t>LEKSAND</t>
        </is>
      </c>
      <c r="G363" t="n">
        <v>6.7</v>
      </c>
      <c r="H363" t="n">
        <v>0</v>
      </c>
      <c r="I363" t="n">
        <v>0</v>
      </c>
      <c r="J363" t="n">
        <v>0</v>
      </c>
      <c r="K363" t="n">
        <v>0</v>
      </c>
      <c r="L363" t="n">
        <v>0</v>
      </c>
      <c r="M363" t="n">
        <v>0</v>
      </c>
      <c r="N363" t="n">
        <v>0</v>
      </c>
      <c r="O363" t="n">
        <v>0</v>
      </c>
      <c r="P363" t="n">
        <v>0</v>
      </c>
      <c r="Q363" t="n">
        <v>0</v>
      </c>
      <c r="R363" s="2" t="inlineStr"/>
    </row>
    <row r="364" ht="15" customHeight="1">
      <c r="A364" t="inlineStr">
        <is>
          <t>A 23076-2025</t>
        </is>
      </c>
      <c r="B364" s="1" t="n">
        <v>45790.90960648148</v>
      </c>
      <c r="C364" s="1" t="n">
        <v>45894</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14504-2025</t>
        </is>
      </c>
      <c r="B365" s="1" t="n">
        <v>45741</v>
      </c>
      <c r="C365" s="1" t="n">
        <v>45894</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45512-2023</t>
        </is>
      </c>
      <c r="B366" s="1" t="n">
        <v>45194.49178240741</v>
      </c>
      <c r="C366" s="1" t="n">
        <v>45894</v>
      </c>
      <c r="D366" t="inlineStr">
        <is>
          <t>DALARNAS LÄN</t>
        </is>
      </c>
      <c r="E366" t="inlineStr">
        <is>
          <t>LEKSAND</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23855-2025</t>
        </is>
      </c>
      <c r="B367" s="1" t="n">
        <v>45793.65900462963</v>
      </c>
      <c r="C367" s="1" t="n">
        <v>45894</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23891-2025</t>
        </is>
      </c>
      <c r="B368" s="1" t="n">
        <v>45793</v>
      </c>
      <c r="C368" s="1" t="n">
        <v>45894</v>
      </c>
      <c r="D368" t="inlineStr">
        <is>
          <t>DALARNAS LÄN</t>
        </is>
      </c>
      <c r="E368" t="inlineStr">
        <is>
          <t>LEKSAND</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23517-2025</t>
        </is>
      </c>
      <c r="B369" s="1" t="n">
        <v>45792</v>
      </c>
      <c r="C369" s="1" t="n">
        <v>45894</v>
      </c>
      <c r="D369" t="inlineStr">
        <is>
          <t>DALARNAS LÄN</t>
        </is>
      </c>
      <c r="E369" t="inlineStr">
        <is>
          <t>LEKSAND</t>
        </is>
      </c>
      <c r="G369" t="n">
        <v>2.2</v>
      </c>
      <c r="H369" t="n">
        <v>0</v>
      </c>
      <c r="I369" t="n">
        <v>0</v>
      </c>
      <c r="J369" t="n">
        <v>0</v>
      </c>
      <c r="K369" t="n">
        <v>0</v>
      </c>
      <c r="L369" t="n">
        <v>0</v>
      </c>
      <c r="M369" t="n">
        <v>0</v>
      </c>
      <c r="N369" t="n">
        <v>0</v>
      </c>
      <c r="O369" t="n">
        <v>0</v>
      </c>
      <c r="P369" t="n">
        <v>0</v>
      </c>
      <c r="Q369" t="n">
        <v>0</v>
      </c>
      <c r="R369" s="2" t="inlineStr"/>
    </row>
    <row r="370" ht="15" customHeight="1">
      <c r="A370" t="inlineStr">
        <is>
          <t>A 64516-2023</t>
        </is>
      </c>
      <c r="B370" s="1" t="n">
        <v>45280</v>
      </c>
      <c r="C370" s="1" t="n">
        <v>45894</v>
      </c>
      <c r="D370" t="inlineStr">
        <is>
          <t>DALARNAS LÄN</t>
        </is>
      </c>
      <c r="E370" t="inlineStr">
        <is>
          <t>LEKSAND</t>
        </is>
      </c>
      <c r="G370" t="n">
        <v>4.4</v>
      </c>
      <c r="H370" t="n">
        <v>0</v>
      </c>
      <c r="I370" t="n">
        <v>0</v>
      </c>
      <c r="J370" t="n">
        <v>0</v>
      </c>
      <c r="K370" t="n">
        <v>0</v>
      </c>
      <c r="L370" t="n">
        <v>0</v>
      </c>
      <c r="M370" t="n">
        <v>0</v>
      </c>
      <c r="N370" t="n">
        <v>0</v>
      </c>
      <c r="O370" t="n">
        <v>0</v>
      </c>
      <c r="P370" t="n">
        <v>0</v>
      </c>
      <c r="Q370" t="n">
        <v>0</v>
      </c>
      <c r="R370" s="2" t="inlineStr"/>
    </row>
    <row r="371" ht="15" customHeight="1">
      <c r="A371" t="inlineStr">
        <is>
          <t>A 45788-2021</t>
        </is>
      </c>
      <c r="B371" s="1" t="n">
        <v>44441</v>
      </c>
      <c r="C371" s="1" t="n">
        <v>45894</v>
      </c>
      <c r="D371" t="inlineStr">
        <is>
          <t>DALARNAS LÄN</t>
        </is>
      </c>
      <c r="E371" t="inlineStr">
        <is>
          <t>LEKSAND</t>
        </is>
      </c>
      <c r="G371" t="n">
        <v>3</v>
      </c>
      <c r="H371" t="n">
        <v>0</v>
      </c>
      <c r="I371" t="n">
        <v>0</v>
      </c>
      <c r="J371" t="n">
        <v>0</v>
      </c>
      <c r="K371" t="n">
        <v>0</v>
      </c>
      <c r="L371" t="n">
        <v>0</v>
      </c>
      <c r="M371" t="n">
        <v>0</v>
      </c>
      <c r="N371" t="n">
        <v>0</v>
      </c>
      <c r="O371" t="n">
        <v>0</v>
      </c>
      <c r="P371" t="n">
        <v>0</v>
      </c>
      <c r="Q371" t="n">
        <v>0</v>
      </c>
      <c r="R371" s="2" t="inlineStr"/>
    </row>
    <row r="372" ht="15" customHeight="1">
      <c r="A372" t="inlineStr">
        <is>
          <t>A 60024-2023</t>
        </is>
      </c>
      <c r="B372" s="1" t="n">
        <v>45258</v>
      </c>
      <c r="C372" s="1" t="n">
        <v>45894</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52977-2022</t>
        </is>
      </c>
      <c r="B373" s="1" t="n">
        <v>44875</v>
      </c>
      <c r="C373" s="1" t="n">
        <v>45894</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19330-2025</t>
        </is>
      </c>
      <c r="B374" s="1" t="n">
        <v>45769</v>
      </c>
      <c r="C374" s="1" t="n">
        <v>45894</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43221-2024</t>
        </is>
      </c>
      <c r="B375" s="1" t="n">
        <v>45567.86695601852</v>
      </c>
      <c r="C375" s="1" t="n">
        <v>45894</v>
      </c>
      <c r="D375" t="inlineStr">
        <is>
          <t>DALARNAS LÄN</t>
        </is>
      </c>
      <c r="E375" t="inlineStr">
        <is>
          <t>LEKSAND</t>
        </is>
      </c>
      <c r="G375" t="n">
        <v>1.1</v>
      </c>
      <c r="H375" t="n">
        <v>0</v>
      </c>
      <c r="I375" t="n">
        <v>0</v>
      </c>
      <c r="J375" t="n">
        <v>0</v>
      </c>
      <c r="K375" t="n">
        <v>0</v>
      </c>
      <c r="L375" t="n">
        <v>0</v>
      </c>
      <c r="M375" t="n">
        <v>0</v>
      </c>
      <c r="N375" t="n">
        <v>0</v>
      </c>
      <c r="O375" t="n">
        <v>0</v>
      </c>
      <c r="P375" t="n">
        <v>0</v>
      </c>
      <c r="Q375" t="n">
        <v>0</v>
      </c>
      <c r="R375" s="2" t="inlineStr"/>
    </row>
    <row r="376" ht="15" customHeight="1">
      <c r="A376" t="inlineStr">
        <is>
          <t>A 59826-2023</t>
        </is>
      </c>
      <c r="B376" s="1" t="n">
        <v>45254</v>
      </c>
      <c r="C376" s="1" t="n">
        <v>45894</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28913-2024</t>
        </is>
      </c>
      <c r="B377" s="1" t="n">
        <v>45480.75318287037</v>
      </c>
      <c r="C377" s="1" t="n">
        <v>45894</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14617-2024</t>
        </is>
      </c>
      <c r="B378" s="1" t="n">
        <v>45397</v>
      </c>
      <c r="C378" s="1" t="n">
        <v>45894</v>
      </c>
      <c r="D378" t="inlineStr">
        <is>
          <t>DALARNAS LÄN</t>
        </is>
      </c>
      <c r="E378" t="inlineStr">
        <is>
          <t>LEKSAND</t>
        </is>
      </c>
      <c r="G378" t="n">
        <v>0.2</v>
      </c>
      <c r="H378" t="n">
        <v>0</v>
      </c>
      <c r="I378" t="n">
        <v>0</v>
      </c>
      <c r="J378" t="n">
        <v>0</v>
      </c>
      <c r="K378" t="n">
        <v>0</v>
      </c>
      <c r="L378" t="n">
        <v>0</v>
      </c>
      <c r="M378" t="n">
        <v>0</v>
      </c>
      <c r="N378" t="n">
        <v>0</v>
      </c>
      <c r="O378" t="n">
        <v>0</v>
      </c>
      <c r="P378" t="n">
        <v>0</v>
      </c>
      <c r="Q378" t="n">
        <v>0</v>
      </c>
      <c r="R378" s="2" t="inlineStr"/>
    </row>
    <row r="379" ht="15" customHeight="1">
      <c r="A379" t="inlineStr">
        <is>
          <t>A 24187-2025</t>
        </is>
      </c>
      <c r="B379" s="1" t="n">
        <v>45796</v>
      </c>
      <c r="C379" s="1" t="n">
        <v>45894</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24188-2025</t>
        </is>
      </c>
      <c r="B380" s="1" t="n">
        <v>45796</v>
      </c>
      <c r="C380" s="1" t="n">
        <v>45894</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60945-2024</t>
        </is>
      </c>
      <c r="B381" s="1" t="n">
        <v>45645.37893518519</v>
      </c>
      <c r="C381" s="1" t="n">
        <v>45894</v>
      </c>
      <c r="D381" t="inlineStr">
        <is>
          <t>DALARNAS LÄN</t>
        </is>
      </c>
      <c r="E381" t="inlineStr">
        <is>
          <t>LEKSAND</t>
        </is>
      </c>
      <c r="G381" t="n">
        <v>2.2</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45894</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60692-2023</t>
        </is>
      </c>
      <c r="B383" s="1" t="n">
        <v>45260.50008101852</v>
      </c>
      <c r="C383" s="1" t="n">
        <v>45894</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45894</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24373-2025</t>
        </is>
      </c>
      <c r="B385" s="1" t="n">
        <v>45797.61113425926</v>
      </c>
      <c r="C385" s="1" t="n">
        <v>45894</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44491-2023</t>
        </is>
      </c>
      <c r="B386" s="1" t="n">
        <v>45183</v>
      </c>
      <c r="C386" s="1" t="n">
        <v>45894</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17589-2025</t>
        </is>
      </c>
      <c r="B387" s="1" t="n">
        <v>45757.67844907408</v>
      </c>
      <c r="C387" s="1" t="n">
        <v>45894</v>
      </c>
      <c r="D387" t="inlineStr">
        <is>
          <t>DALARNAS LÄN</t>
        </is>
      </c>
      <c r="E387" t="inlineStr">
        <is>
          <t>LEKSAND</t>
        </is>
      </c>
      <c r="G387" t="n">
        <v>5.8</v>
      </c>
      <c r="H387" t="n">
        <v>0</v>
      </c>
      <c r="I387" t="n">
        <v>0</v>
      </c>
      <c r="J387" t="n">
        <v>0</v>
      </c>
      <c r="K387" t="n">
        <v>0</v>
      </c>
      <c r="L387" t="n">
        <v>0</v>
      </c>
      <c r="M387" t="n">
        <v>0</v>
      </c>
      <c r="N387" t="n">
        <v>0</v>
      </c>
      <c r="O387" t="n">
        <v>0</v>
      </c>
      <c r="P387" t="n">
        <v>0</v>
      </c>
      <c r="Q387" t="n">
        <v>0</v>
      </c>
      <c r="R387" s="2" t="inlineStr"/>
    </row>
    <row r="388" ht="15" customHeight="1">
      <c r="A388" t="inlineStr">
        <is>
          <t>A 22646-2025</t>
        </is>
      </c>
      <c r="B388" s="1" t="n">
        <v>45786</v>
      </c>
      <c r="C388" s="1" t="n">
        <v>45894</v>
      </c>
      <c r="D388" t="inlineStr">
        <is>
          <t>DALARNAS LÄN</t>
        </is>
      </c>
      <c r="E388" t="inlineStr">
        <is>
          <t>LEKSAND</t>
        </is>
      </c>
      <c r="F388" t="inlineStr">
        <is>
          <t>Kommuner</t>
        </is>
      </c>
      <c r="G388" t="n">
        <v>1.6</v>
      </c>
      <c r="H388" t="n">
        <v>0</v>
      </c>
      <c r="I388" t="n">
        <v>0</v>
      </c>
      <c r="J388" t="n">
        <v>0</v>
      </c>
      <c r="K388" t="n">
        <v>0</v>
      </c>
      <c r="L388" t="n">
        <v>0</v>
      </c>
      <c r="M388" t="n">
        <v>0</v>
      </c>
      <c r="N388" t="n">
        <v>0</v>
      </c>
      <c r="O388" t="n">
        <v>0</v>
      </c>
      <c r="P388" t="n">
        <v>0</v>
      </c>
      <c r="Q388" t="n">
        <v>0</v>
      </c>
      <c r="R388" s="2" t="inlineStr"/>
    </row>
    <row r="389" ht="15" customHeight="1">
      <c r="A389" t="inlineStr">
        <is>
          <t>A 29157-2022</t>
        </is>
      </c>
      <c r="B389" s="1" t="n">
        <v>44750.48355324074</v>
      </c>
      <c r="C389" s="1" t="n">
        <v>45894</v>
      </c>
      <c r="D389" t="inlineStr">
        <is>
          <t>DALARNAS LÄN</t>
        </is>
      </c>
      <c r="E389" t="inlineStr">
        <is>
          <t>LEKSAND</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11080-2023</t>
        </is>
      </c>
      <c r="B390" s="1" t="n">
        <v>44992</v>
      </c>
      <c r="C390" s="1" t="n">
        <v>45894</v>
      </c>
      <c r="D390" t="inlineStr">
        <is>
          <t>DALARNAS LÄN</t>
        </is>
      </c>
      <c r="E390" t="inlineStr">
        <is>
          <t>LEKSAND</t>
        </is>
      </c>
      <c r="G390" t="n">
        <v>6.9</v>
      </c>
      <c r="H390" t="n">
        <v>0</v>
      </c>
      <c r="I390" t="n">
        <v>0</v>
      </c>
      <c r="J390" t="n">
        <v>0</v>
      </c>
      <c r="K390" t="n">
        <v>0</v>
      </c>
      <c r="L390" t="n">
        <v>0</v>
      </c>
      <c r="M390" t="n">
        <v>0</v>
      </c>
      <c r="N390" t="n">
        <v>0</v>
      </c>
      <c r="O390" t="n">
        <v>0</v>
      </c>
      <c r="P390" t="n">
        <v>0</v>
      </c>
      <c r="Q390" t="n">
        <v>0</v>
      </c>
      <c r="R390" s="2" t="inlineStr"/>
    </row>
    <row r="391" ht="15" customHeight="1">
      <c r="A391" t="inlineStr">
        <is>
          <t>A 320-2023</t>
        </is>
      </c>
      <c r="B391" s="1" t="n">
        <v>44929</v>
      </c>
      <c r="C391" s="1" t="n">
        <v>45894</v>
      </c>
      <c r="D391" t="inlineStr">
        <is>
          <t>DALARNAS LÄN</t>
        </is>
      </c>
      <c r="E391" t="inlineStr">
        <is>
          <t>LEKSAND</t>
        </is>
      </c>
      <c r="F391" t="inlineStr">
        <is>
          <t>Övriga Aktiebolag</t>
        </is>
      </c>
      <c r="G391" t="n">
        <v>5.4</v>
      </c>
      <c r="H391" t="n">
        <v>0</v>
      </c>
      <c r="I391" t="n">
        <v>0</v>
      </c>
      <c r="J391" t="n">
        <v>0</v>
      </c>
      <c r="K391" t="n">
        <v>0</v>
      </c>
      <c r="L391" t="n">
        <v>0</v>
      </c>
      <c r="M391" t="n">
        <v>0</v>
      </c>
      <c r="N391" t="n">
        <v>0</v>
      </c>
      <c r="O391" t="n">
        <v>0</v>
      </c>
      <c r="P391" t="n">
        <v>0</v>
      </c>
      <c r="Q391" t="n">
        <v>0</v>
      </c>
      <c r="R391" s="2" t="inlineStr"/>
    </row>
    <row r="392" ht="15" customHeight="1">
      <c r="A392" t="inlineStr">
        <is>
          <t>A 40181-2023</t>
        </is>
      </c>
      <c r="B392" s="1" t="n">
        <v>45169</v>
      </c>
      <c r="C392" s="1" t="n">
        <v>45894</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24317-2025</t>
        </is>
      </c>
      <c r="B393" s="1" t="n">
        <v>45797.53577546297</v>
      </c>
      <c r="C393" s="1" t="n">
        <v>45894</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24919-2024</t>
        </is>
      </c>
      <c r="B394" s="1" t="n">
        <v>45461.60636574074</v>
      </c>
      <c r="C394" s="1" t="n">
        <v>45894</v>
      </c>
      <c r="D394" t="inlineStr">
        <is>
          <t>DALARNAS LÄN</t>
        </is>
      </c>
      <c r="E394" t="inlineStr">
        <is>
          <t>LEKSAND</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60920-2020</t>
        </is>
      </c>
      <c r="B395" s="1" t="n">
        <v>44153</v>
      </c>
      <c r="C395" s="1" t="n">
        <v>45894</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61614-2023</t>
        </is>
      </c>
      <c r="B396" s="1" t="n">
        <v>45261</v>
      </c>
      <c r="C396" s="1" t="n">
        <v>45894</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56211-2023</t>
        </is>
      </c>
      <c r="B397" s="1" t="n">
        <v>45240</v>
      </c>
      <c r="C397" s="1" t="n">
        <v>45894</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24369-2025</t>
        </is>
      </c>
      <c r="B398" s="1" t="n">
        <v>45797.60731481481</v>
      </c>
      <c r="C398" s="1" t="n">
        <v>45894</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63544-2023</t>
        </is>
      </c>
      <c r="B399" s="1" t="n">
        <v>45275</v>
      </c>
      <c r="C399" s="1" t="n">
        <v>45894</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58877-2023</t>
        </is>
      </c>
      <c r="B400" s="1" t="n">
        <v>45252</v>
      </c>
      <c r="C400" s="1" t="n">
        <v>45894</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24715-2025</t>
        </is>
      </c>
      <c r="B401" s="1" t="n">
        <v>45798.97899305556</v>
      </c>
      <c r="C401" s="1" t="n">
        <v>45894</v>
      </c>
      <c r="D401" t="inlineStr">
        <is>
          <t>DALARNAS LÄN</t>
        </is>
      </c>
      <c r="E401" t="inlineStr">
        <is>
          <t>LEKSAND</t>
        </is>
      </c>
      <c r="G401" t="n">
        <v>8.4</v>
      </c>
      <c r="H401" t="n">
        <v>0</v>
      </c>
      <c r="I401" t="n">
        <v>0</v>
      </c>
      <c r="J401" t="n">
        <v>0</v>
      </c>
      <c r="K401" t="n">
        <v>0</v>
      </c>
      <c r="L401" t="n">
        <v>0</v>
      </c>
      <c r="M401" t="n">
        <v>0</v>
      </c>
      <c r="N401" t="n">
        <v>0</v>
      </c>
      <c r="O401" t="n">
        <v>0</v>
      </c>
      <c r="P401" t="n">
        <v>0</v>
      </c>
      <c r="Q401" t="n">
        <v>0</v>
      </c>
      <c r="R401" s="2" t="inlineStr"/>
    </row>
    <row r="402" ht="15" customHeight="1">
      <c r="A402" t="inlineStr">
        <is>
          <t>A 51377-2023</t>
        </is>
      </c>
      <c r="B402" s="1" t="n">
        <v>45219</v>
      </c>
      <c r="C402" s="1" t="n">
        <v>45894</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40868-2024</t>
        </is>
      </c>
      <c r="B403" s="1" t="n">
        <v>45558</v>
      </c>
      <c r="C403" s="1" t="n">
        <v>45894</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51857-2022</t>
        </is>
      </c>
      <c r="B404" s="1" t="n">
        <v>44867</v>
      </c>
      <c r="C404" s="1" t="n">
        <v>45894</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52572-2024</t>
        </is>
      </c>
      <c r="B405" s="1" t="n">
        <v>45609.66488425926</v>
      </c>
      <c r="C405" s="1" t="n">
        <v>45894</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1267-2025</t>
        </is>
      </c>
      <c r="B406" s="1" t="n">
        <v>45667</v>
      </c>
      <c r="C406" s="1" t="n">
        <v>45894</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19700-2025</t>
        </is>
      </c>
      <c r="B407" s="1" t="n">
        <v>45771.32445601852</v>
      </c>
      <c r="C407" s="1" t="n">
        <v>45894</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41853-2023</t>
        </is>
      </c>
      <c r="B408" s="1" t="n">
        <v>45176.62483796296</v>
      </c>
      <c r="C408" s="1" t="n">
        <v>45894</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12582-2025</t>
        </is>
      </c>
      <c r="B409" s="1" t="n">
        <v>45732.62988425926</v>
      </c>
      <c r="C409" s="1" t="n">
        <v>45894</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62116-2024</t>
        </is>
      </c>
      <c r="B410" s="1" t="n">
        <v>45646</v>
      </c>
      <c r="C410" s="1" t="n">
        <v>45894</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27520-2023</t>
        </is>
      </c>
      <c r="B411" s="1" t="n">
        <v>45097</v>
      </c>
      <c r="C411" s="1" t="n">
        <v>45894</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55926-2024</t>
        </is>
      </c>
      <c r="B412" s="1" t="n">
        <v>45623.601875</v>
      </c>
      <c r="C412" s="1" t="n">
        <v>45894</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30169-2023</t>
        </is>
      </c>
      <c r="B413" s="1" t="n">
        <v>45110</v>
      </c>
      <c r="C413" s="1" t="n">
        <v>45894</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49405-2024</t>
        </is>
      </c>
      <c r="B414" s="1" t="n">
        <v>45595</v>
      </c>
      <c r="C414" s="1" t="n">
        <v>45894</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13063-2023</t>
        </is>
      </c>
      <c r="B415" s="1" t="n">
        <v>45001</v>
      </c>
      <c r="C415" s="1" t="n">
        <v>45894</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14943-2023</t>
        </is>
      </c>
      <c r="B416" s="1" t="n">
        <v>45015</v>
      </c>
      <c r="C416" s="1" t="n">
        <v>45894</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24714-2025</t>
        </is>
      </c>
      <c r="B417" s="1" t="n">
        <v>45798.96927083333</v>
      </c>
      <c r="C417" s="1" t="n">
        <v>45894</v>
      </c>
      <c r="D417" t="inlineStr">
        <is>
          <t>DALARNAS LÄN</t>
        </is>
      </c>
      <c r="E417" t="inlineStr">
        <is>
          <t>LEKSAND</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54289-2023</t>
        </is>
      </c>
      <c r="B418" s="1" t="n">
        <v>45232.71193287037</v>
      </c>
      <c r="C418" s="1" t="n">
        <v>45894</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17078-2023</t>
        </is>
      </c>
      <c r="B419" s="1" t="n">
        <v>45034</v>
      </c>
      <c r="C419" s="1" t="n">
        <v>45894</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45894</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24711-2025</t>
        </is>
      </c>
      <c r="B421" s="1" t="n">
        <v>45798.87723379629</v>
      </c>
      <c r="C421" s="1" t="n">
        <v>45894</v>
      </c>
      <c r="D421" t="inlineStr">
        <is>
          <t>DALARNAS LÄN</t>
        </is>
      </c>
      <c r="E421" t="inlineStr">
        <is>
          <t>LEKSAND</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11869-2024</t>
        </is>
      </c>
      <c r="B422" s="1" t="n">
        <v>45376.45800925926</v>
      </c>
      <c r="C422" s="1" t="n">
        <v>45894</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32666-2023</t>
        </is>
      </c>
      <c r="B423" s="1" t="n">
        <v>45121</v>
      </c>
      <c r="C423" s="1" t="n">
        <v>45894</v>
      </c>
      <c r="D423" t="inlineStr">
        <is>
          <t>DALARNAS LÄN</t>
        </is>
      </c>
      <c r="E423" t="inlineStr">
        <is>
          <t>LEKSAND</t>
        </is>
      </c>
      <c r="G423" t="n">
        <v>9.9</v>
      </c>
      <c r="H423" t="n">
        <v>0</v>
      </c>
      <c r="I423" t="n">
        <v>0</v>
      </c>
      <c r="J423" t="n">
        <v>0</v>
      </c>
      <c r="K423" t="n">
        <v>0</v>
      </c>
      <c r="L423" t="n">
        <v>0</v>
      </c>
      <c r="M423" t="n">
        <v>0</v>
      </c>
      <c r="N423" t="n">
        <v>0</v>
      </c>
      <c r="O423" t="n">
        <v>0</v>
      </c>
      <c r="P423" t="n">
        <v>0</v>
      </c>
      <c r="Q423" t="n">
        <v>0</v>
      </c>
      <c r="R423" s="2" t="inlineStr"/>
    </row>
    <row r="424" ht="15" customHeight="1">
      <c r="A424" t="inlineStr">
        <is>
          <t>A 12646-2025</t>
        </is>
      </c>
      <c r="B424" s="1" t="n">
        <v>45733.39496527778</v>
      </c>
      <c r="C424" s="1" t="n">
        <v>45894</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56059-2024</t>
        </is>
      </c>
      <c r="B425" s="1" t="n">
        <v>45624.36729166667</v>
      </c>
      <c r="C425" s="1" t="n">
        <v>45894</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25253-2024</t>
        </is>
      </c>
      <c r="B426" s="1" t="n">
        <v>45462.61121527778</v>
      </c>
      <c r="C426" s="1" t="n">
        <v>45894</v>
      </c>
      <c r="D426" t="inlineStr">
        <is>
          <t>DALARNAS LÄN</t>
        </is>
      </c>
      <c r="E426" t="inlineStr">
        <is>
          <t>LEKSAND</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25610-2025</t>
        </is>
      </c>
      <c r="B427" s="1" t="n">
        <v>45803.56033564815</v>
      </c>
      <c r="C427" s="1" t="n">
        <v>45894</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25105-2025</t>
        </is>
      </c>
      <c r="B428" s="1" t="n">
        <v>45800.34751157407</v>
      </c>
      <c r="C428" s="1" t="n">
        <v>45894</v>
      </c>
      <c r="D428" t="inlineStr">
        <is>
          <t>DALARNAS LÄN</t>
        </is>
      </c>
      <c r="E428" t="inlineStr">
        <is>
          <t>LEKSAND</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45943-2022</t>
        </is>
      </c>
      <c r="B429" s="1" t="n">
        <v>44846.64418981481</v>
      </c>
      <c r="C429" s="1" t="n">
        <v>45894</v>
      </c>
      <c r="D429" t="inlineStr">
        <is>
          <t>DALARNAS LÄN</t>
        </is>
      </c>
      <c r="E429" t="inlineStr">
        <is>
          <t>LEKSAND</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25096-2025</t>
        </is>
      </c>
      <c r="B430" s="1" t="n">
        <v>45800.33868055556</v>
      </c>
      <c r="C430" s="1" t="n">
        <v>45894</v>
      </c>
      <c r="D430" t="inlineStr">
        <is>
          <t>DALARNAS LÄN</t>
        </is>
      </c>
      <c r="E430" t="inlineStr">
        <is>
          <t>LEKSAND</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31255-2023</t>
        </is>
      </c>
      <c r="B431" s="1" t="n">
        <v>45114.36729166667</v>
      </c>
      <c r="C431" s="1" t="n">
        <v>45894</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7928-2023</t>
        </is>
      </c>
      <c r="B432" s="1" t="n">
        <v>44973</v>
      </c>
      <c r="C432" s="1" t="n">
        <v>45894</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5231-2024</t>
        </is>
      </c>
      <c r="B433" s="1" t="n">
        <v>45330</v>
      </c>
      <c r="C433" s="1" t="n">
        <v>45894</v>
      </c>
      <c r="D433" t="inlineStr">
        <is>
          <t>DALARNAS LÄN</t>
        </is>
      </c>
      <c r="E433" t="inlineStr">
        <is>
          <t>LEKSAND</t>
        </is>
      </c>
      <c r="F433" t="inlineStr">
        <is>
          <t>Bergvik skog väst AB</t>
        </is>
      </c>
      <c r="G433" t="n">
        <v>11.2</v>
      </c>
      <c r="H433" t="n">
        <v>0</v>
      </c>
      <c r="I433" t="n">
        <v>0</v>
      </c>
      <c r="J433" t="n">
        <v>0</v>
      </c>
      <c r="K433" t="n">
        <v>0</v>
      </c>
      <c r="L433" t="n">
        <v>0</v>
      </c>
      <c r="M433" t="n">
        <v>0</v>
      </c>
      <c r="N433" t="n">
        <v>0</v>
      </c>
      <c r="O433" t="n">
        <v>0</v>
      </c>
      <c r="P433" t="n">
        <v>0</v>
      </c>
      <c r="Q433" t="n">
        <v>0</v>
      </c>
      <c r="R433" s="2" t="inlineStr"/>
    </row>
    <row r="434" ht="15" customHeight="1">
      <c r="A434" t="inlineStr">
        <is>
          <t>A 16137-2023</t>
        </is>
      </c>
      <c r="B434" s="1" t="n">
        <v>45027</v>
      </c>
      <c r="C434" s="1" t="n">
        <v>45894</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19618-2024</t>
        </is>
      </c>
      <c r="B435" s="1" t="n">
        <v>45432.32896990741</v>
      </c>
      <c r="C435" s="1" t="n">
        <v>45894</v>
      </c>
      <c r="D435" t="inlineStr">
        <is>
          <t>DALARNAS LÄN</t>
        </is>
      </c>
      <c r="E435" t="inlineStr">
        <is>
          <t>LEKSAND</t>
        </is>
      </c>
      <c r="G435" t="n">
        <v>1.5</v>
      </c>
      <c r="H435" t="n">
        <v>0</v>
      </c>
      <c r="I435" t="n">
        <v>0</v>
      </c>
      <c r="J435" t="n">
        <v>0</v>
      </c>
      <c r="K435" t="n">
        <v>0</v>
      </c>
      <c r="L435" t="n">
        <v>0</v>
      </c>
      <c r="M435" t="n">
        <v>0</v>
      </c>
      <c r="N435" t="n">
        <v>0</v>
      </c>
      <c r="O435" t="n">
        <v>0</v>
      </c>
      <c r="P435" t="n">
        <v>0</v>
      </c>
      <c r="Q435" t="n">
        <v>0</v>
      </c>
      <c r="R435" s="2" t="inlineStr"/>
    </row>
    <row r="436" ht="15" customHeight="1">
      <c r="A436" t="inlineStr">
        <is>
          <t>A 60113-2022</t>
        </is>
      </c>
      <c r="B436" s="1" t="n">
        <v>44909</v>
      </c>
      <c r="C436" s="1" t="n">
        <v>45894</v>
      </c>
      <c r="D436" t="inlineStr">
        <is>
          <t>DALARNAS LÄN</t>
        </is>
      </c>
      <c r="E436" t="inlineStr">
        <is>
          <t>LEKSAND</t>
        </is>
      </c>
      <c r="G436" t="n">
        <v>3.7</v>
      </c>
      <c r="H436" t="n">
        <v>0</v>
      </c>
      <c r="I436" t="n">
        <v>0</v>
      </c>
      <c r="J436" t="n">
        <v>0</v>
      </c>
      <c r="K436" t="n">
        <v>0</v>
      </c>
      <c r="L436" t="n">
        <v>0</v>
      </c>
      <c r="M436" t="n">
        <v>0</v>
      </c>
      <c r="N436" t="n">
        <v>0</v>
      </c>
      <c r="O436" t="n">
        <v>0</v>
      </c>
      <c r="P436" t="n">
        <v>0</v>
      </c>
      <c r="Q436" t="n">
        <v>0</v>
      </c>
      <c r="R436" s="2" t="inlineStr"/>
    </row>
    <row r="437" ht="15" customHeight="1">
      <c r="A437" t="inlineStr">
        <is>
          <t>A 19550-2023</t>
        </is>
      </c>
      <c r="B437" s="1" t="n">
        <v>45049</v>
      </c>
      <c r="C437" s="1" t="n">
        <v>45894</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31915-2024</t>
        </is>
      </c>
      <c r="B438" s="1" t="n">
        <v>45510.38956018518</v>
      </c>
      <c r="C438" s="1" t="n">
        <v>45894</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54682-2023</t>
        </is>
      </c>
      <c r="B439" s="1" t="n">
        <v>45235.90439814814</v>
      </c>
      <c r="C439" s="1" t="n">
        <v>45894</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51480-2022</t>
        </is>
      </c>
      <c r="B440" s="1" t="n">
        <v>44869.57961805556</v>
      </c>
      <c r="C440" s="1" t="n">
        <v>45894</v>
      </c>
      <c r="D440" t="inlineStr">
        <is>
          <t>DALARNAS LÄN</t>
        </is>
      </c>
      <c r="E440" t="inlineStr">
        <is>
          <t>LEKSAND</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14792-2024</t>
        </is>
      </c>
      <c r="B441" s="1" t="n">
        <v>45397.8344212963</v>
      </c>
      <c r="C441" s="1" t="n">
        <v>45894</v>
      </c>
      <c r="D441" t="inlineStr">
        <is>
          <t>DALARNAS LÄN</t>
        </is>
      </c>
      <c r="E441" t="inlineStr">
        <is>
          <t>LEKSAND</t>
        </is>
      </c>
      <c r="F441" t="inlineStr">
        <is>
          <t>Bergvik skog väst AB</t>
        </is>
      </c>
      <c r="G441" t="n">
        <v>3.9</v>
      </c>
      <c r="H441" t="n">
        <v>0</v>
      </c>
      <c r="I441" t="n">
        <v>0</v>
      </c>
      <c r="J441" t="n">
        <v>0</v>
      </c>
      <c r="K441" t="n">
        <v>0</v>
      </c>
      <c r="L441" t="n">
        <v>0</v>
      </c>
      <c r="M441" t="n">
        <v>0</v>
      </c>
      <c r="N441" t="n">
        <v>0</v>
      </c>
      <c r="O441" t="n">
        <v>0</v>
      </c>
      <c r="P441" t="n">
        <v>0</v>
      </c>
      <c r="Q441" t="n">
        <v>0</v>
      </c>
      <c r="R441" s="2" t="inlineStr"/>
    </row>
    <row r="442" ht="15" customHeight="1">
      <c r="A442" t="inlineStr">
        <is>
          <t>A 43220-2024</t>
        </is>
      </c>
      <c r="B442" s="1" t="n">
        <v>45567.86112268519</v>
      </c>
      <c r="C442" s="1" t="n">
        <v>45894</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26423-2025</t>
        </is>
      </c>
      <c r="B443" s="1" t="n">
        <v>45807.37829861111</v>
      </c>
      <c r="C443" s="1" t="n">
        <v>45894</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5847-2025</t>
        </is>
      </c>
      <c r="B444" s="1" t="n">
        <v>45695.30824074074</v>
      </c>
      <c r="C444" s="1" t="n">
        <v>45894</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26386-2025</t>
        </is>
      </c>
      <c r="B445" s="1" t="n">
        <v>45806</v>
      </c>
      <c r="C445" s="1" t="n">
        <v>45894</v>
      </c>
      <c r="D445" t="inlineStr">
        <is>
          <t>DALARNAS LÄN</t>
        </is>
      </c>
      <c r="E445" t="inlineStr">
        <is>
          <t>LEKSAND</t>
        </is>
      </c>
      <c r="F445" t="inlineStr">
        <is>
          <t>Bergvik skog väst AB</t>
        </is>
      </c>
      <c r="G445" t="n">
        <v>26.3</v>
      </c>
      <c r="H445" t="n">
        <v>0</v>
      </c>
      <c r="I445" t="n">
        <v>0</v>
      </c>
      <c r="J445" t="n">
        <v>0</v>
      </c>
      <c r="K445" t="n">
        <v>0</v>
      </c>
      <c r="L445" t="n">
        <v>0</v>
      </c>
      <c r="M445" t="n">
        <v>0</v>
      </c>
      <c r="N445" t="n">
        <v>0</v>
      </c>
      <c r="O445" t="n">
        <v>0</v>
      </c>
      <c r="P445" t="n">
        <v>0</v>
      </c>
      <c r="Q445" t="n">
        <v>0</v>
      </c>
      <c r="R445" s="2" t="inlineStr"/>
    </row>
    <row r="446" ht="15" customHeight="1">
      <c r="A446" t="inlineStr">
        <is>
          <t>A 60878-2023</t>
        </is>
      </c>
      <c r="B446" s="1" t="n">
        <v>45259</v>
      </c>
      <c r="C446" s="1" t="n">
        <v>45894</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49397-2024</t>
        </is>
      </c>
      <c r="B447" s="1" t="n">
        <v>45595</v>
      </c>
      <c r="C447" s="1" t="n">
        <v>45894</v>
      </c>
      <c r="D447" t="inlineStr">
        <is>
          <t>DALARNAS LÄN</t>
        </is>
      </c>
      <c r="E447" t="inlineStr">
        <is>
          <t>LEKSAND</t>
        </is>
      </c>
      <c r="G447" t="n">
        <v>4.3</v>
      </c>
      <c r="H447" t="n">
        <v>0</v>
      </c>
      <c r="I447" t="n">
        <v>0</v>
      </c>
      <c r="J447" t="n">
        <v>0</v>
      </c>
      <c r="K447" t="n">
        <v>0</v>
      </c>
      <c r="L447" t="n">
        <v>0</v>
      </c>
      <c r="M447" t="n">
        <v>0</v>
      </c>
      <c r="N447" t="n">
        <v>0</v>
      </c>
      <c r="O447" t="n">
        <v>0</v>
      </c>
      <c r="P447" t="n">
        <v>0</v>
      </c>
      <c r="Q447" t="n">
        <v>0</v>
      </c>
      <c r="R447" s="2" t="inlineStr"/>
    </row>
    <row r="448" ht="15" customHeight="1">
      <c r="A448" t="inlineStr">
        <is>
          <t>A 36262-2023</t>
        </is>
      </c>
      <c r="B448" s="1" t="n">
        <v>45151.9096875</v>
      </c>
      <c r="C448" s="1" t="n">
        <v>45894</v>
      </c>
      <c r="D448" t="inlineStr">
        <is>
          <t>DALARNAS LÄN</t>
        </is>
      </c>
      <c r="E448" t="inlineStr">
        <is>
          <t>LEKSAND</t>
        </is>
      </c>
      <c r="G448" t="n">
        <v>1.2</v>
      </c>
      <c r="H448" t="n">
        <v>0</v>
      </c>
      <c r="I448" t="n">
        <v>0</v>
      </c>
      <c r="J448" t="n">
        <v>0</v>
      </c>
      <c r="K448" t="n">
        <v>0</v>
      </c>
      <c r="L448" t="n">
        <v>0</v>
      </c>
      <c r="M448" t="n">
        <v>0</v>
      </c>
      <c r="N448" t="n">
        <v>0</v>
      </c>
      <c r="O448" t="n">
        <v>0</v>
      </c>
      <c r="P448" t="n">
        <v>0</v>
      </c>
      <c r="Q448" t="n">
        <v>0</v>
      </c>
      <c r="R448" s="2" t="inlineStr"/>
    </row>
    <row r="449" ht="15" customHeight="1">
      <c r="A449" t="inlineStr">
        <is>
          <t>A 57907-2024</t>
        </is>
      </c>
      <c r="B449" s="1" t="n">
        <v>45630</v>
      </c>
      <c r="C449" s="1" t="n">
        <v>45894</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10367-2023</t>
        </is>
      </c>
      <c r="B450" s="1" t="n">
        <v>44987</v>
      </c>
      <c r="C450" s="1" t="n">
        <v>45894</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30863-2024</t>
        </is>
      </c>
      <c r="B451" s="1" t="n">
        <v>45497.71074074074</v>
      </c>
      <c r="C451" s="1" t="n">
        <v>45894</v>
      </c>
      <c r="D451" t="inlineStr">
        <is>
          <t>DALARNAS LÄN</t>
        </is>
      </c>
      <c r="E451" t="inlineStr">
        <is>
          <t>LEKSAND</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24481-2024</t>
        </is>
      </c>
      <c r="B452" s="1" t="n">
        <v>45459.36460648148</v>
      </c>
      <c r="C452" s="1" t="n">
        <v>45894</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58495-2023</t>
        </is>
      </c>
      <c r="B453" s="1" t="n">
        <v>45251</v>
      </c>
      <c r="C453" s="1" t="n">
        <v>45894</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9105-2024</t>
        </is>
      </c>
      <c r="B454" s="1" t="n">
        <v>45357</v>
      </c>
      <c r="C454" s="1" t="n">
        <v>45894</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25251-2024</t>
        </is>
      </c>
      <c r="B455" s="1" t="n">
        <v>45462.60913194445</v>
      </c>
      <c r="C455" s="1" t="n">
        <v>45894</v>
      </c>
      <c r="D455" t="inlineStr">
        <is>
          <t>DALARNAS LÄN</t>
        </is>
      </c>
      <c r="E455" t="inlineStr">
        <is>
          <t>LEKSAND</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1519-2024</t>
        </is>
      </c>
      <c r="B456" s="1" t="n">
        <v>45306</v>
      </c>
      <c r="C456" s="1" t="n">
        <v>45894</v>
      </c>
      <c r="D456" t="inlineStr">
        <is>
          <t>DALARNAS LÄN</t>
        </is>
      </c>
      <c r="E456" t="inlineStr">
        <is>
          <t>LEKSAND</t>
        </is>
      </c>
      <c r="G456" t="n">
        <v>3.3</v>
      </c>
      <c r="H456" t="n">
        <v>0</v>
      </c>
      <c r="I456" t="n">
        <v>0</v>
      </c>
      <c r="J456" t="n">
        <v>0</v>
      </c>
      <c r="K456" t="n">
        <v>0</v>
      </c>
      <c r="L456" t="n">
        <v>0</v>
      </c>
      <c r="M456" t="n">
        <v>0</v>
      </c>
      <c r="N456" t="n">
        <v>0</v>
      </c>
      <c r="O456" t="n">
        <v>0</v>
      </c>
      <c r="P456" t="n">
        <v>0</v>
      </c>
      <c r="Q456" t="n">
        <v>0</v>
      </c>
      <c r="R456" s="2" t="inlineStr"/>
    </row>
    <row r="457" ht="15" customHeight="1">
      <c r="A457" t="inlineStr">
        <is>
          <t>A 24005-2024</t>
        </is>
      </c>
      <c r="B457" s="1" t="n">
        <v>45456.39239583333</v>
      </c>
      <c r="C457" s="1" t="n">
        <v>45894</v>
      </c>
      <c r="D457" t="inlineStr">
        <is>
          <t>DALARNAS LÄN</t>
        </is>
      </c>
      <c r="E457" t="inlineStr">
        <is>
          <t>LEKSAND</t>
        </is>
      </c>
      <c r="F457" t="inlineStr">
        <is>
          <t>Bergvik skog väst AB</t>
        </is>
      </c>
      <c r="G457" t="n">
        <v>3</v>
      </c>
      <c r="H457" t="n">
        <v>0</v>
      </c>
      <c r="I457" t="n">
        <v>0</v>
      </c>
      <c r="J457" t="n">
        <v>0</v>
      </c>
      <c r="K457" t="n">
        <v>0</v>
      </c>
      <c r="L457" t="n">
        <v>0</v>
      </c>
      <c r="M457" t="n">
        <v>0</v>
      </c>
      <c r="N457" t="n">
        <v>0</v>
      </c>
      <c r="O457" t="n">
        <v>0</v>
      </c>
      <c r="P457" t="n">
        <v>0</v>
      </c>
      <c r="Q457" t="n">
        <v>0</v>
      </c>
      <c r="R457" s="2" t="inlineStr"/>
    </row>
    <row r="458" ht="15" customHeight="1">
      <c r="A458" t="inlineStr">
        <is>
          <t>A 61225-2023</t>
        </is>
      </c>
      <c r="B458" s="1" t="n">
        <v>45264</v>
      </c>
      <c r="C458" s="1" t="n">
        <v>45894</v>
      </c>
      <c r="D458" t="inlineStr">
        <is>
          <t>DALARNAS LÄN</t>
        </is>
      </c>
      <c r="E458" t="inlineStr">
        <is>
          <t>LEKSAND</t>
        </is>
      </c>
      <c r="G458" t="n">
        <v>7</v>
      </c>
      <c r="H458" t="n">
        <v>0</v>
      </c>
      <c r="I458" t="n">
        <v>0</v>
      </c>
      <c r="J458" t="n">
        <v>0</v>
      </c>
      <c r="K458" t="n">
        <v>0</v>
      </c>
      <c r="L458" t="n">
        <v>0</v>
      </c>
      <c r="M458" t="n">
        <v>0</v>
      </c>
      <c r="N458" t="n">
        <v>0</v>
      </c>
      <c r="O458" t="n">
        <v>0</v>
      </c>
      <c r="P458" t="n">
        <v>0</v>
      </c>
      <c r="Q458" t="n">
        <v>0</v>
      </c>
      <c r="R458" s="2" t="inlineStr"/>
    </row>
    <row r="459" ht="15" customHeight="1">
      <c r="A459" t="inlineStr">
        <is>
          <t>A 15968-2025</t>
        </is>
      </c>
      <c r="B459" s="1" t="n">
        <v>45749.54818287037</v>
      </c>
      <c r="C459" s="1" t="n">
        <v>45894</v>
      </c>
      <c r="D459" t="inlineStr">
        <is>
          <t>DALARNAS LÄN</t>
        </is>
      </c>
      <c r="E459" t="inlineStr">
        <is>
          <t>LEKSAND</t>
        </is>
      </c>
      <c r="G459" t="n">
        <v>3.2</v>
      </c>
      <c r="H459" t="n">
        <v>0</v>
      </c>
      <c r="I459" t="n">
        <v>0</v>
      </c>
      <c r="J459" t="n">
        <v>0</v>
      </c>
      <c r="K459" t="n">
        <v>0</v>
      </c>
      <c r="L459" t="n">
        <v>0</v>
      </c>
      <c r="M459" t="n">
        <v>0</v>
      </c>
      <c r="N459" t="n">
        <v>0</v>
      </c>
      <c r="O459" t="n">
        <v>0</v>
      </c>
      <c r="P459" t="n">
        <v>0</v>
      </c>
      <c r="Q459" t="n">
        <v>0</v>
      </c>
      <c r="R459" s="2" t="inlineStr"/>
    </row>
    <row r="460" ht="15" customHeight="1">
      <c r="A460" t="inlineStr">
        <is>
          <t>A 25329-2022</t>
        </is>
      </c>
      <c r="B460" s="1" t="n">
        <v>44731.8799537037</v>
      </c>
      <c r="C460" s="1" t="n">
        <v>45894</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30196-2023</t>
        </is>
      </c>
      <c r="B461" s="1" t="n">
        <v>45110</v>
      </c>
      <c r="C461" s="1" t="n">
        <v>45894</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2694-2025</t>
        </is>
      </c>
      <c r="B462" s="1" t="n">
        <v>45677.38246527778</v>
      </c>
      <c r="C462" s="1" t="n">
        <v>45894</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10833-2023</t>
        </is>
      </c>
      <c r="B463" s="1" t="n">
        <v>44990</v>
      </c>
      <c r="C463" s="1" t="n">
        <v>45894</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28892-2022</t>
        </is>
      </c>
      <c r="B464" s="1" t="n">
        <v>44749</v>
      </c>
      <c r="C464" s="1" t="n">
        <v>45894</v>
      </c>
      <c r="D464" t="inlineStr">
        <is>
          <t>DALARNAS LÄN</t>
        </is>
      </c>
      <c r="E464" t="inlineStr">
        <is>
          <t>LEKSAND</t>
        </is>
      </c>
      <c r="F464" t="inlineStr">
        <is>
          <t>Bergvik skog väst AB</t>
        </is>
      </c>
      <c r="G464" t="n">
        <v>9.1</v>
      </c>
      <c r="H464" t="n">
        <v>0</v>
      </c>
      <c r="I464" t="n">
        <v>0</v>
      </c>
      <c r="J464" t="n">
        <v>0</v>
      </c>
      <c r="K464" t="n">
        <v>0</v>
      </c>
      <c r="L464" t="n">
        <v>0</v>
      </c>
      <c r="M464" t="n">
        <v>0</v>
      </c>
      <c r="N464" t="n">
        <v>0</v>
      </c>
      <c r="O464" t="n">
        <v>0</v>
      </c>
      <c r="P464" t="n">
        <v>0</v>
      </c>
      <c r="Q464" t="n">
        <v>0</v>
      </c>
      <c r="R464" s="2" t="inlineStr"/>
    </row>
    <row r="465" ht="15" customHeight="1">
      <c r="A465" t="inlineStr">
        <is>
          <t>A 47121-2021</t>
        </is>
      </c>
      <c r="B465" s="1" t="n">
        <v>44446</v>
      </c>
      <c r="C465" s="1" t="n">
        <v>45894</v>
      </c>
      <c r="D465" t="inlineStr">
        <is>
          <t>DALARNAS LÄN</t>
        </is>
      </c>
      <c r="E465" t="inlineStr">
        <is>
          <t>LEKSAND</t>
        </is>
      </c>
      <c r="G465" t="n">
        <v>3.5</v>
      </c>
      <c r="H465" t="n">
        <v>0</v>
      </c>
      <c r="I465" t="n">
        <v>0</v>
      </c>
      <c r="J465" t="n">
        <v>0</v>
      </c>
      <c r="K465" t="n">
        <v>0</v>
      </c>
      <c r="L465" t="n">
        <v>0</v>
      </c>
      <c r="M465" t="n">
        <v>0</v>
      </c>
      <c r="N465" t="n">
        <v>0</v>
      </c>
      <c r="O465" t="n">
        <v>0</v>
      </c>
      <c r="P465" t="n">
        <v>0</v>
      </c>
      <c r="Q465" t="n">
        <v>0</v>
      </c>
      <c r="R465" s="2" t="inlineStr"/>
    </row>
    <row r="466" ht="15" customHeight="1">
      <c r="A466" t="inlineStr">
        <is>
          <t>A 36444-2023</t>
        </is>
      </c>
      <c r="B466" s="1" t="n">
        <v>45152.63138888889</v>
      </c>
      <c r="C466" s="1" t="n">
        <v>45894</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27323-2025</t>
        </is>
      </c>
      <c r="B467" s="1" t="n">
        <v>45812.60392361111</v>
      </c>
      <c r="C467" s="1" t="n">
        <v>45894</v>
      </c>
      <c r="D467" t="inlineStr">
        <is>
          <t>DALARNAS LÄN</t>
        </is>
      </c>
      <c r="E467" t="inlineStr">
        <is>
          <t>LEKSAND</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27262-2025</t>
        </is>
      </c>
      <c r="B468" s="1" t="n">
        <v>45812</v>
      </c>
      <c r="C468" s="1" t="n">
        <v>45894</v>
      </c>
      <c r="D468" t="inlineStr">
        <is>
          <t>DALARNAS LÄN</t>
        </is>
      </c>
      <c r="E468" t="inlineStr">
        <is>
          <t>LEKSAND</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21402-2023</t>
        </is>
      </c>
      <c r="B469" s="1" t="n">
        <v>45061</v>
      </c>
      <c r="C469" s="1" t="n">
        <v>45894</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31391-2024</t>
        </is>
      </c>
      <c r="B470" s="1" t="n">
        <v>45505.46616898148</v>
      </c>
      <c r="C470" s="1" t="n">
        <v>45894</v>
      </c>
      <c r="D470" t="inlineStr">
        <is>
          <t>DALARNAS LÄN</t>
        </is>
      </c>
      <c r="E470" t="inlineStr">
        <is>
          <t>LEKSAND</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167-2023</t>
        </is>
      </c>
      <c r="B471" s="1" t="n">
        <v>44918</v>
      </c>
      <c r="C471" s="1" t="n">
        <v>45894</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33593-2024</t>
        </is>
      </c>
      <c r="B472" s="1" t="n">
        <v>45520.36055555556</v>
      </c>
      <c r="C472" s="1" t="n">
        <v>45894</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27332-2025</t>
        </is>
      </c>
      <c r="B473" s="1" t="n">
        <v>45812.61265046296</v>
      </c>
      <c r="C473" s="1" t="n">
        <v>45894</v>
      </c>
      <c r="D473" t="inlineStr">
        <is>
          <t>DALARNAS LÄN</t>
        </is>
      </c>
      <c r="E473" t="inlineStr">
        <is>
          <t>LEKSAND</t>
        </is>
      </c>
      <c r="F473" t="inlineStr">
        <is>
          <t>Bergvik skog väst AB</t>
        </is>
      </c>
      <c r="G473" t="n">
        <v>2.9</v>
      </c>
      <c r="H473" t="n">
        <v>0</v>
      </c>
      <c r="I473" t="n">
        <v>0</v>
      </c>
      <c r="J473" t="n">
        <v>0</v>
      </c>
      <c r="K473" t="n">
        <v>0</v>
      </c>
      <c r="L473" t="n">
        <v>0</v>
      </c>
      <c r="M473" t="n">
        <v>0</v>
      </c>
      <c r="N473" t="n">
        <v>0</v>
      </c>
      <c r="O473" t="n">
        <v>0</v>
      </c>
      <c r="P473" t="n">
        <v>0</v>
      </c>
      <c r="Q473" t="n">
        <v>0</v>
      </c>
      <c r="R473" s="2" t="inlineStr"/>
    </row>
    <row r="474" ht="15" customHeight="1">
      <c r="A474" t="inlineStr">
        <is>
          <t>A 7778-2025</t>
        </is>
      </c>
      <c r="B474" s="1" t="n">
        <v>45706</v>
      </c>
      <c r="C474" s="1" t="n">
        <v>45894</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27183-2025</t>
        </is>
      </c>
      <c r="B475" s="1" t="n">
        <v>45812.36097222222</v>
      </c>
      <c r="C475" s="1" t="n">
        <v>45894</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27680-2025</t>
        </is>
      </c>
      <c r="B476" s="1" t="n">
        <v>45813.64618055556</v>
      </c>
      <c r="C476" s="1" t="n">
        <v>45894</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27682-2025</t>
        </is>
      </c>
      <c r="B477" s="1" t="n">
        <v>45813.64782407408</v>
      </c>
      <c r="C477" s="1" t="n">
        <v>45894</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27705-2025</t>
        </is>
      </c>
      <c r="B478" s="1" t="n">
        <v>45813</v>
      </c>
      <c r="C478" s="1" t="n">
        <v>45894</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31850-2024</t>
        </is>
      </c>
      <c r="B479" s="1" t="n">
        <v>45509.67334490741</v>
      </c>
      <c r="C479" s="1" t="n">
        <v>45894</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27329-2025</t>
        </is>
      </c>
      <c r="B480" s="1" t="n">
        <v>45812.60864583333</v>
      </c>
      <c r="C480" s="1" t="n">
        <v>45894</v>
      </c>
      <c r="D480" t="inlineStr">
        <is>
          <t>DALARNAS LÄN</t>
        </is>
      </c>
      <c r="E480" t="inlineStr">
        <is>
          <t>LEKSAND</t>
        </is>
      </c>
      <c r="F480" t="inlineStr">
        <is>
          <t>Bergvik skog väst AB</t>
        </is>
      </c>
      <c r="G480" t="n">
        <v>3</v>
      </c>
      <c r="H480" t="n">
        <v>0</v>
      </c>
      <c r="I480" t="n">
        <v>0</v>
      </c>
      <c r="J480" t="n">
        <v>0</v>
      </c>
      <c r="K480" t="n">
        <v>0</v>
      </c>
      <c r="L480" t="n">
        <v>0</v>
      </c>
      <c r="M480" t="n">
        <v>0</v>
      </c>
      <c r="N480" t="n">
        <v>0</v>
      </c>
      <c r="O480" t="n">
        <v>0</v>
      </c>
      <c r="P480" t="n">
        <v>0</v>
      </c>
      <c r="Q480" t="n">
        <v>0</v>
      </c>
      <c r="R480" s="2" t="inlineStr"/>
    </row>
    <row r="481" ht="15" customHeight="1">
      <c r="A481" t="inlineStr">
        <is>
          <t>A 35094-2025</t>
        </is>
      </c>
      <c r="B481" s="1" t="n">
        <v>45852</v>
      </c>
      <c r="C481" s="1" t="n">
        <v>45894</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27244-2023</t>
        </is>
      </c>
      <c r="B482" s="1" t="n">
        <v>45096</v>
      </c>
      <c r="C482" s="1" t="n">
        <v>45894</v>
      </c>
      <c r="D482" t="inlineStr">
        <is>
          <t>DALARNAS LÄN</t>
        </is>
      </c>
      <c r="E482" t="inlineStr">
        <is>
          <t>LEKSAND</t>
        </is>
      </c>
      <c r="G482" t="n">
        <v>5</v>
      </c>
      <c r="H482" t="n">
        <v>0</v>
      </c>
      <c r="I482" t="n">
        <v>0</v>
      </c>
      <c r="J482" t="n">
        <v>0</v>
      </c>
      <c r="K482" t="n">
        <v>0</v>
      </c>
      <c r="L482" t="n">
        <v>0</v>
      </c>
      <c r="M482" t="n">
        <v>0</v>
      </c>
      <c r="N482" t="n">
        <v>0</v>
      </c>
      <c r="O482" t="n">
        <v>0</v>
      </c>
      <c r="P482" t="n">
        <v>0</v>
      </c>
      <c r="Q482" t="n">
        <v>0</v>
      </c>
      <c r="R482" s="2" t="inlineStr"/>
    </row>
    <row r="483" ht="15" customHeight="1">
      <c r="A483" t="inlineStr">
        <is>
          <t>A 12857-2023</t>
        </is>
      </c>
      <c r="B483" s="1" t="n">
        <v>45001.5000462963</v>
      </c>
      <c r="C483" s="1" t="n">
        <v>45894</v>
      </c>
      <c r="D483" t="inlineStr">
        <is>
          <t>DALARNAS LÄN</t>
        </is>
      </c>
      <c r="E483" t="inlineStr">
        <is>
          <t>LEKSAND</t>
        </is>
      </c>
      <c r="G483" t="n">
        <v>0.2</v>
      </c>
      <c r="H483" t="n">
        <v>0</v>
      </c>
      <c r="I483" t="n">
        <v>0</v>
      </c>
      <c r="J483" t="n">
        <v>0</v>
      </c>
      <c r="K483" t="n">
        <v>0</v>
      </c>
      <c r="L483" t="n">
        <v>0</v>
      </c>
      <c r="M483" t="n">
        <v>0</v>
      </c>
      <c r="N483" t="n">
        <v>0</v>
      </c>
      <c r="O483" t="n">
        <v>0</v>
      </c>
      <c r="P483" t="n">
        <v>0</v>
      </c>
      <c r="Q483" t="n">
        <v>0</v>
      </c>
      <c r="R483" s="2" t="inlineStr"/>
    </row>
    <row r="484" ht="15" customHeight="1">
      <c r="A484" t="inlineStr">
        <is>
          <t>A 3183-2025</t>
        </is>
      </c>
      <c r="B484" s="1" t="n">
        <v>45679.40298611111</v>
      </c>
      <c r="C484" s="1" t="n">
        <v>45894</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32072-2024</t>
        </is>
      </c>
      <c r="B485" s="1" t="n">
        <v>45510.98405092592</v>
      </c>
      <c r="C485" s="1" t="n">
        <v>45894</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56299-2024</t>
        </is>
      </c>
      <c r="B486" s="1" t="n">
        <v>45624.68607638889</v>
      </c>
      <c r="C486" s="1" t="n">
        <v>45894</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17483-2025</t>
        </is>
      </c>
      <c r="B487" s="1" t="n">
        <v>45757.49408564815</v>
      </c>
      <c r="C487" s="1" t="n">
        <v>45894</v>
      </c>
      <c r="D487" t="inlineStr">
        <is>
          <t>DALARNAS LÄN</t>
        </is>
      </c>
      <c r="E487" t="inlineStr">
        <is>
          <t>LEKSAND</t>
        </is>
      </c>
      <c r="G487" t="n">
        <v>4.1</v>
      </c>
      <c r="H487" t="n">
        <v>0</v>
      </c>
      <c r="I487" t="n">
        <v>0</v>
      </c>
      <c r="J487" t="n">
        <v>0</v>
      </c>
      <c r="K487" t="n">
        <v>0</v>
      </c>
      <c r="L487" t="n">
        <v>0</v>
      </c>
      <c r="M487" t="n">
        <v>0</v>
      </c>
      <c r="N487" t="n">
        <v>0</v>
      </c>
      <c r="O487" t="n">
        <v>0</v>
      </c>
      <c r="P487" t="n">
        <v>0</v>
      </c>
      <c r="Q487" t="n">
        <v>0</v>
      </c>
      <c r="R487" s="2" t="inlineStr"/>
    </row>
    <row r="488" ht="15" customHeight="1">
      <c r="A488" t="inlineStr">
        <is>
          <t>A 16592-2023</t>
        </is>
      </c>
      <c r="B488" s="1" t="n">
        <v>45030</v>
      </c>
      <c r="C488" s="1" t="n">
        <v>45894</v>
      </c>
      <c r="D488" t="inlineStr">
        <is>
          <t>DALARNAS LÄN</t>
        </is>
      </c>
      <c r="E488" t="inlineStr">
        <is>
          <t>LEKSAND</t>
        </is>
      </c>
      <c r="G488" t="n">
        <v>11.5</v>
      </c>
      <c r="H488" t="n">
        <v>0</v>
      </c>
      <c r="I488" t="n">
        <v>0</v>
      </c>
      <c r="J488" t="n">
        <v>0</v>
      </c>
      <c r="K488" t="n">
        <v>0</v>
      </c>
      <c r="L488" t="n">
        <v>0</v>
      </c>
      <c r="M488" t="n">
        <v>0</v>
      </c>
      <c r="N488" t="n">
        <v>0</v>
      </c>
      <c r="O488" t="n">
        <v>0</v>
      </c>
      <c r="P488" t="n">
        <v>0</v>
      </c>
      <c r="Q488" t="n">
        <v>0</v>
      </c>
      <c r="R488" s="2" t="inlineStr"/>
    </row>
    <row r="489" ht="15" customHeight="1">
      <c r="A489" t="inlineStr">
        <is>
          <t>A 12290-2024</t>
        </is>
      </c>
      <c r="B489" s="1" t="n">
        <v>45378.57877314815</v>
      </c>
      <c r="C489" s="1" t="n">
        <v>45894</v>
      </c>
      <c r="D489" t="inlineStr">
        <is>
          <t>DALARNAS LÄN</t>
        </is>
      </c>
      <c r="E489" t="inlineStr">
        <is>
          <t>LEKSAND</t>
        </is>
      </c>
      <c r="G489" t="n">
        <v>2.5</v>
      </c>
      <c r="H489" t="n">
        <v>0</v>
      </c>
      <c r="I489" t="n">
        <v>0</v>
      </c>
      <c r="J489" t="n">
        <v>0</v>
      </c>
      <c r="K489" t="n">
        <v>0</v>
      </c>
      <c r="L489" t="n">
        <v>0</v>
      </c>
      <c r="M489" t="n">
        <v>0</v>
      </c>
      <c r="N489" t="n">
        <v>0</v>
      </c>
      <c r="O489" t="n">
        <v>0</v>
      </c>
      <c r="P489" t="n">
        <v>0</v>
      </c>
      <c r="Q489" t="n">
        <v>0</v>
      </c>
      <c r="R489" s="2" t="inlineStr"/>
    </row>
    <row r="490" ht="15" customHeight="1">
      <c r="A490" t="inlineStr">
        <is>
          <t>A 27984-2025</t>
        </is>
      </c>
      <c r="B490" s="1" t="n">
        <v>45817.57710648148</v>
      </c>
      <c r="C490" s="1" t="n">
        <v>45894</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17606-2024</t>
        </is>
      </c>
      <c r="B491" s="1" t="n">
        <v>45415</v>
      </c>
      <c r="C491" s="1" t="n">
        <v>45894</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39819-2024</t>
        </is>
      </c>
      <c r="B492" s="1" t="n">
        <v>45553.38774305556</v>
      </c>
      <c r="C492" s="1" t="n">
        <v>45894</v>
      </c>
      <c r="D492" t="inlineStr">
        <is>
          <t>DALARNAS LÄN</t>
        </is>
      </c>
      <c r="E492" t="inlineStr">
        <is>
          <t>LEKSAND</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18481-2024</t>
        </is>
      </c>
      <c r="B493" s="1" t="n">
        <v>45425.52193287037</v>
      </c>
      <c r="C493" s="1" t="n">
        <v>45894</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36450-2023</t>
        </is>
      </c>
      <c r="B494" s="1" t="n">
        <v>45152.64842592592</v>
      </c>
      <c r="C494" s="1" t="n">
        <v>45894</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8046-2024</t>
        </is>
      </c>
      <c r="B495" s="1" t="n">
        <v>45351.31555555556</v>
      </c>
      <c r="C495" s="1" t="n">
        <v>45894</v>
      </c>
      <c r="D495" t="inlineStr">
        <is>
          <t>DALARNAS LÄN</t>
        </is>
      </c>
      <c r="E495" t="inlineStr">
        <is>
          <t>LEKSAND</t>
        </is>
      </c>
      <c r="G495" t="n">
        <v>2.9</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45894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7827-2024</t>
        </is>
      </c>
      <c r="B497" s="1" t="n">
        <v>45349.7467824074</v>
      </c>
      <c r="C497" s="1" t="n">
        <v>45894</v>
      </c>
      <c r="D497" t="inlineStr">
        <is>
          <t>DALARNAS LÄN</t>
        </is>
      </c>
      <c r="E497" t="inlineStr">
        <is>
          <t>LEKSAND</t>
        </is>
      </c>
      <c r="G497" t="n">
        <v>2.2</v>
      </c>
      <c r="H497" t="n">
        <v>0</v>
      </c>
      <c r="I497" t="n">
        <v>0</v>
      </c>
      <c r="J497" t="n">
        <v>0</v>
      </c>
      <c r="K497" t="n">
        <v>0</v>
      </c>
      <c r="L497" t="n">
        <v>0</v>
      </c>
      <c r="M497" t="n">
        <v>0</v>
      </c>
      <c r="N497" t="n">
        <v>0</v>
      </c>
      <c r="O497" t="n">
        <v>0</v>
      </c>
      <c r="P497" t="n">
        <v>0</v>
      </c>
      <c r="Q497" t="n">
        <v>0</v>
      </c>
      <c r="R497" s="2" t="inlineStr"/>
    </row>
    <row r="498" ht="15" customHeight="1">
      <c r="A498" t="inlineStr">
        <is>
          <t>A 48721-2023</t>
        </is>
      </c>
      <c r="B498" s="1" t="n">
        <v>45203</v>
      </c>
      <c r="C498" s="1" t="n">
        <v>45894</v>
      </c>
      <c r="D498" t="inlineStr">
        <is>
          <t>DALARNAS LÄN</t>
        </is>
      </c>
      <c r="E498" t="inlineStr">
        <is>
          <t>LEKSAND</t>
        </is>
      </c>
      <c r="G498" t="n">
        <v>2.9</v>
      </c>
      <c r="H498" t="n">
        <v>0</v>
      </c>
      <c r="I498" t="n">
        <v>0</v>
      </c>
      <c r="J498" t="n">
        <v>0</v>
      </c>
      <c r="K498" t="n">
        <v>0</v>
      </c>
      <c r="L498" t="n">
        <v>0</v>
      </c>
      <c r="M498" t="n">
        <v>0</v>
      </c>
      <c r="N498" t="n">
        <v>0</v>
      </c>
      <c r="O498" t="n">
        <v>0</v>
      </c>
      <c r="P498" t="n">
        <v>0</v>
      </c>
      <c r="Q498" t="n">
        <v>0</v>
      </c>
      <c r="R498" s="2" t="inlineStr"/>
    </row>
    <row r="499" ht="15" customHeight="1">
      <c r="A499" t="inlineStr">
        <is>
          <t>A 43142-2024</t>
        </is>
      </c>
      <c r="B499" s="1" t="n">
        <v>45567.62144675926</v>
      </c>
      <c r="C499" s="1" t="n">
        <v>45894</v>
      </c>
      <c r="D499" t="inlineStr">
        <is>
          <t>DALARNAS LÄN</t>
        </is>
      </c>
      <c r="E499" t="inlineStr">
        <is>
          <t>LEKSAND</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1984-2025</t>
        </is>
      </c>
      <c r="B500" s="1" t="n">
        <v>45670</v>
      </c>
      <c r="C500" s="1" t="n">
        <v>45894</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1443-2024</t>
        </is>
      </c>
      <c r="B501" s="1" t="n">
        <v>45303</v>
      </c>
      <c r="C501" s="1" t="n">
        <v>45894</v>
      </c>
      <c r="D501" t="inlineStr">
        <is>
          <t>DALARNAS LÄN</t>
        </is>
      </c>
      <c r="E501" t="inlineStr">
        <is>
          <t>LEKSAND</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43735-2022</t>
        </is>
      </c>
      <c r="B502" s="1" t="n">
        <v>44837.70210648148</v>
      </c>
      <c r="C502" s="1" t="n">
        <v>45894</v>
      </c>
      <c r="D502" t="inlineStr">
        <is>
          <t>DALARNAS LÄN</t>
        </is>
      </c>
      <c r="E502" t="inlineStr">
        <is>
          <t>LEKSAND</t>
        </is>
      </c>
      <c r="G502" t="n">
        <v>2.9</v>
      </c>
      <c r="H502" t="n">
        <v>0</v>
      </c>
      <c r="I502" t="n">
        <v>0</v>
      </c>
      <c r="J502" t="n">
        <v>0</v>
      </c>
      <c r="K502" t="n">
        <v>0</v>
      </c>
      <c r="L502" t="n">
        <v>0</v>
      </c>
      <c r="M502" t="n">
        <v>0</v>
      </c>
      <c r="N502" t="n">
        <v>0</v>
      </c>
      <c r="O502" t="n">
        <v>0</v>
      </c>
      <c r="P502" t="n">
        <v>0</v>
      </c>
      <c r="Q502" t="n">
        <v>0</v>
      </c>
      <c r="R502" s="2" t="inlineStr"/>
    </row>
    <row r="503" ht="15" customHeight="1">
      <c r="A503" t="inlineStr">
        <is>
          <t>A 28499-2025</t>
        </is>
      </c>
      <c r="B503" s="1" t="n">
        <v>45818</v>
      </c>
      <c r="C503" s="1" t="n">
        <v>45894</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45894</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44469-2024</t>
        </is>
      </c>
      <c r="B505" s="1" t="n">
        <v>45574</v>
      </c>
      <c r="C505" s="1" t="n">
        <v>45894</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28483-2025</t>
        </is>
      </c>
      <c r="B506" s="1" t="n">
        <v>45818</v>
      </c>
      <c r="C506" s="1" t="n">
        <v>45894</v>
      </c>
      <c r="D506" t="inlineStr">
        <is>
          <t>DALARNAS LÄN</t>
        </is>
      </c>
      <c r="E506" t="inlineStr">
        <is>
          <t>LEKSAND</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28458-2025</t>
        </is>
      </c>
      <c r="B507" s="1" t="n">
        <v>45819.413125</v>
      </c>
      <c r="C507" s="1" t="n">
        <v>45894</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35746-2025</t>
        </is>
      </c>
      <c r="B508" s="1" t="n">
        <v>45860.55237268518</v>
      </c>
      <c r="C508" s="1" t="n">
        <v>45894</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28505-2025</t>
        </is>
      </c>
      <c r="B509" s="1" t="n">
        <v>45818</v>
      </c>
      <c r="C509" s="1" t="n">
        <v>45894</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28488-2025</t>
        </is>
      </c>
      <c r="B510" s="1" t="n">
        <v>45818</v>
      </c>
      <c r="C510" s="1" t="n">
        <v>45894</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53464-2024</t>
        </is>
      </c>
      <c r="B511" s="1" t="n">
        <v>45611</v>
      </c>
      <c r="C511" s="1" t="n">
        <v>45894</v>
      </c>
      <c r="D511" t="inlineStr">
        <is>
          <t>DALARNAS LÄN</t>
        </is>
      </c>
      <c r="E511" t="inlineStr">
        <is>
          <t>LEKSAND</t>
        </is>
      </c>
      <c r="G511" t="n">
        <v>1.7</v>
      </c>
      <c r="H511" t="n">
        <v>0</v>
      </c>
      <c r="I511" t="n">
        <v>0</v>
      </c>
      <c r="J511" t="n">
        <v>0</v>
      </c>
      <c r="K511" t="n">
        <v>0</v>
      </c>
      <c r="L511" t="n">
        <v>0</v>
      </c>
      <c r="M511" t="n">
        <v>0</v>
      </c>
      <c r="N511" t="n">
        <v>0</v>
      </c>
      <c r="O511" t="n">
        <v>0</v>
      </c>
      <c r="P511" t="n">
        <v>0</v>
      </c>
      <c r="Q511" t="n">
        <v>0</v>
      </c>
      <c r="R511" s="2" t="inlineStr"/>
    </row>
    <row r="512" ht="15" customHeight="1">
      <c r="A512" t="inlineStr">
        <is>
          <t>A 28770-2025</t>
        </is>
      </c>
      <c r="B512" s="1" t="n">
        <v>45820</v>
      </c>
      <c r="C512" s="1" t="n">
        <v>45894</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27446-2024</t>
        </is>
      </c>
      <c r="B513" s="1" t="n">
        <v>45474.42671296297</v>
      </c>
      <c r="C513" s="1" t="n">
        <v>45894</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53817-2023</t>
        </is>
      </c>
      <c r="B514" s="1" t="n">
        <v>45231.40488425926</v>
      </c>
      <c r="C514" s="1" t="n">
        <v>45894</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28985-2025</t>
        </is>
      </c>
      <c r="B515" s="1" t="n">
        <v>45821.36862268519</v>
      </c>
      <c r="C515" s="1" t="n">
        <v>45894</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35998-2025</t>
        </is>
      </c>
      <c r="B516" s="1" t="n">
        <v>45863.51550925926</v>
      </c>
      <c r="C516" s="1" t="n">
        <v>45894</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62993-2023</t>
        </is>
      </c>
      <c r="B517" s="1" t="n">
        <v>45272</v>
      </c>
      <c r="C517" s="1" t="n">
        <v>45894</v>
      </c>
      <c r="D517" t="inlineStr">
        <is>
          <t>DALARNAS LÄN</t>
        </is>
      </c>
      <c r="E517" t="inlineStr">
        <is>
          <t>LEKSAND</t>
        </is>
      </c>
      <c r="G517" t="n">
        <v>0.6</v>
      </c>
      <c r="H517" t="n">
        <v>0</v>
      </c>
      <c r="I517" t="n">
        <v>0</v>
      </c>
      <c r="J517" t="n">
        <v>0</v>
      </c>
      <c r="K517" t="n">
        <v>0</v>
      </c>
      <c r="L517" t="n">
        <v>0</v>
      </c>
      <c r="M517" t="n">
        <v>0</v>
      </c>
      <c r="N517" t="n">
        <v>0</v>
      </c>
      <c r="O517" t="n">
        <v>0</v>
      </c>
      <c r="P517" t="n">
        <v>0</v>
      </c>
      <c r="Q517" t="n">
        <v>0</v>
      </c>
      <c r="R517" s="2" t="inlineStr"/>
    </row>
    <row r="518" ht="15" customHeight="1">
      <c r="A518" t="inlineStr">
        <is>
          <t>A 29553-2025</t>
        </is>
      </c>
      <c r="B518" s="1" t="n">
        <v>45825.35315972222</v>
      </c>
      <c r="C518" s="1" t="n">
        <v>45894</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46628-2024</t>
        </is>
      </c>
      <c r="B519" s="1" t="n">
        <v>45583.33195601852</v>
      </c>
      <c r="C519" s="1" t="n">
        <v>45894</v>
      </c>
      <c r="D519" t="inlineStr">
        <is>
          <t>DALARNAS LÄN</t>
        </is>
      </c>
      <c r="E519" t="inlineStr">
        <is>
          <t>LEKSAND</t>
        </is>
      </c>
      <c r="G519" t="n">
        <v>0.2</v>
      </c>
      <c r="H519" t="n">
        <v>0</v>
      </c>
      <c r="I519" t="n">
        <v>0</v>
      </c>
      <c r="J519" t="n">
        <v>0</v>
      </c>
      <c r="K519" t="n">
        <v>0</v>
      </c>
      <c r="L519" t="n">
        <v>0</v>
      </c>
      <c r="M519" t="n">
        <v>0</v>
      </c>
      <c r="N519" t="n">
        <v>0</v>
      </c>
      <c r="O519" t="n">
        <v>0</v>
      </c>
      <c r="P519" t="n">
        <v>0</v>
      </c>
      <c r="Q519" t="n">
        <v>0</v>
      </c>
      <c r="R519" s="2" t="inlineStr"/>
    </row>
    <row r="520" ht="15" customHeight="1">
      <c r="A520" t="inlineStr">
        <is>
          <t>A 29005-2025</t>
        </is>
      </c>
      <c r="B520" s="1" t="n">
        <v>45821.39326388889</v>
      </c>
      <c r="C520" s="1" t="n">
        <v>45894</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43222-2024</t>
        </is>
      </c>
      <c r="B521" s="1" t="n">
        <v>45567.87177083334</v>
      </c>
      <c r="C521" s="1" t="n">
        <v>45894</v>
      </c>
      <c r="D521" t="inlineStr">
        <is>
          <t>DALARNAS LÄN</t>
        </is>
      </c>
      <c r="E521" t="inlineStr">
        <is>
          <t>LEKSAND</t>
        </is>
      </c>
      <c r="F521" t="inlineStr">
        <is>
          <t>Bergvik skog väst AB</t>
        </is>
      </c>
      <c r="G521" t="n">
        <v>8.6</v>
      </c>
      <c r="H521" t="n">
        <v>0</v>
      </c>
      <c r="I521" t="n">
        <v>0</v>
      </c>
      <c r="J521" t="n">
        <v>0</v>
      </c>
      <c r="K521" t="n">
        <v>0</v>
      </c>
      <c r="L521" t="n">
        <v>0</v>
      </c>
      <c r="M521" t="n">
        <v>0</v>
      </c>
      <c r="N521" t="n">
        <v>0</v>
      </c>
      <c r="O521" t="n">
        <v>0</v>
      </c>
      <c r="P521" t="n">
        <v>0</v>
      </c>
      <c r="Q521" t="n">
        <v>0</v>
      </c>
      <c r="R521" s="2" t="inlineStr"/>
    </row>
    <row r="522" ht="15" customHeight="1">
      <c r="A522" t="inlineStr">
        <is>
          <t>A 43231-2024</t>
        </is>
      </c>
      <c r="B522" s="1" t="n">
        <v>45567.89709490741</v>
      </c>
      <c r="C522" s="1" t="n">
        <v>45894</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17455-2022</t>
        </is>
      </c>
      <c r="B523" s="1" t="n">
        <v>44679.3775</v>
      </c>
      <c r="C523" s="1" t="n">
        <v>45894</v>
      </c>
      <c r="D523" t="inlineStr">
        <is>
          <t>DALARNAS LÄN</t>
        </is>
      </c>
      <c r="E523" t="inlineStr">
        <is>
          <t>LEKSAND</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17533-2023</t>
        </is>
      </c>
      <c r="B524" s="1" t="n">
        <v>45036</v>
      </c>
      <c r="C524" s="1" t="n">
        <v>45894</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36190-2025</t>
        </is>
      </c>
      <c r="B525" s="1" t="n">
        <v>45867</v>
      </c>
      <c r="C525" s="1" t="n">
        <v>45894</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54914-2024</t>
        </is>
      </c>
      <c r="B526" s="1" t="n">
        <v>45618.69380787037</v>
      </c>
      <c r="C526" s="1" t="n">
        <v>45894</v>
      </c>
      <c r="D526" t="inlineStr">
        <is>
          <t>DALARNAS LÄN</t>
        </is>
      </c>
      <c r="E526" t="inlineStr">
        <is>
          <t>LEKSAND</t>
        </is>
      </c>
      <c r="G526" t="n">
        <v>1.7</v>
      </c>
      <c r="H526" t="n">
        <v>0</v>
      </c>
      <c r="I526" t="n">
        <v>0</v>
      </c>
      <c r="J526" t="n">
        <v>0</v>
      </c>
      <c r="K526" t="n">
        <v>0</v>
      </c>
      <c r="L526" t="n">
        <v>0</v>
      </c>
      <c r="M526" t="n">
        <v>0</v>
      </c>
      <c r="N526" t="n">
        <v>0</v>
      </c>
      <c r="O526" t="n">
        <v>0</v>
      </c>
      <c r="P526" t="n">
        <v>0</v>
      </c>
      <c r="Q526" t="n">
        <v>0</v>
      </c>
      <c r="R526" s="2" t="inlineStr"/>
    </row>
    <row r="527" ht="15" customHeight="1">
      <c r="A527" t="inlineStr">
        <is>
          <t>A 39921-2024</t>
        </is>
      </c>
      <c r="B527" s="1" t="n">
        <v>45553</v>
      </c>
      <c r="C527" s="1" t="n">
        <v>45894</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29729-2025</t>
        </is>
      </c>
      <c r="B528" s="1" t="n">
        <v>45825.58077546296</v>
      </c>
      <c r="C528" s="1" t="n">
        <v>45894</v>
      </c>
      <c r="D528" t="inlineStr">
        <is>
          <t>DALARNAS LÄN</t>
        </is>
      </c>
      <c r="E528" t="inlineStr">
        <is>
          <t>LEKSAND</t>
        </is>
      </c>
      <c r="F528" t="inlineStr">
        <is>
          <t>Bergvik skog väst AB</t>
        </is>
      </c>
      <c r="G528" t="n">
        <v>4.3</v>
      </c>
      <c r="H528" t="n">
        <v>0</v>
      </c>
      <c r="I528" t="n">
        <v>0</v>
      </c>
      <c r="J528" t="n">
        <v>0</v>
      </c>
      <c r="K528" t="n">
        <v>0</v>
      </c>
      <c r="L528" t="n">
        <v>0</v>
      </c>
      <c r="M528" t="n">
        <v>0</v>
      </c>
      <c r="N528" t="n">
        <v>0</v>
      </c>
      <c r="O528" t="n">
        <v>0</v>
      </c>
      <c r="P528" t="n">
        <v>0</v>
      </c>
      <c r="Q528" t="n">
        <v>0</v>
      </c>
      <c r="R528" s="2" t="inlineStr"/>
    </row>
    <row r="529" ht="15" customHeight="1">
      <c r="A529" t="inlineStr">
        <is>
          <t>A 58244-2024</t>
        </is>
      </c>
      <c r="B529" s="1" t="n">
        <v>45631</v>
      </c>
      <c r="C529" s="1" t="n">
        <v>45894</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30254-2025</t>
        </is>
      </c>
      <c r="B530" s="1" t="n">
        <v>45827.42336805556</v>
      </c>
      <c r="C530" s="1" t="n">
        <v>45894</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7417-2024</t>
        </is>
      </c>
      <c r="B531" s="1" t="n">
        <v>45345.62378472222</v>
      </c>
      <c r="C531" s="1" t="n">
        <v>45894</v>
      </c>
      <c r="D531" t="inlineStr">
        <is>
          <t>DALARNAS LÄN</t>
        </is>
      </c>
      <c r="E531" t="inlineStr">
        <is>
          <t>LEKSAND</t>
        </is>
      </c>
      <c r="G531" t="n">
        <v>2.8</v>
      </c>
      <c r="H531" t="n">
        <v>0</v>
      </c>
      <c r="I531" t="n">
        <v>0</v>
      </c>
      <c r="J531" t="n">
        <v>0</v>
      </c>
      <c r="K531" t="n">
        <v>0</v>
      </c>
      <c r="L531" t="n">
        <v>0</v>
      </c>
      <c r="M531" t="n">
        <v>0</v>
      </c>
      <c r="N531" t="n">
        <v>0</v>
      </c>
      <c r="O531" t="n">
        <v>0</v>
      </c>
      <c r="P531" t="n">
        <v>0</v>
      </c>
      <c r="Q531" t="n">
        <v>0</v>
      </c>
      <c r="R531" s="2" t="inlineStr"/>
    </row>
    <row r="532" ht="15" customHeight="1">
      <c r="A532" t="inlineStr">
        <is>
          <t>A 61546-2021</t>
        </is>
      </c>
      <c r="B532" s="1" t="n">
        <v>44501</v>
      </c>
      <c r="C532" s="1" t="n">
        <v>45894</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41046-2024</t>
        </is>
      </c>
      <c r="B533" s="1" t="n">
        <v>45559.36677083333</v>
      </c>
      <c r="C533" s="1" t="n">
        <v>45894</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36540-2025</t>
        </is>
      </c>
      <c r="B534" s="1" t="n">
        <v>45869.63885416667</v>
      </c>
      <c r="C534" s="1" t="n">
        <v>45894</v>
      </c>
      <c r="D534" t="inlineStr">
        <is>
          <t>DALARNAS LÄN</t>
        </is>
      </c>
      <c r="E534" t="inlineStr">
        <is>
          <t>LEKSAND</t>
        </is>
      </c>
      <c r="G534" t="n">
        <v>0.6</v>
      </c>
      <c r="H534" t="n">
        <v>0</v>
      </c>
      <c r="I534" t="n">
        <v>0</v>
      </c>
      <c r="J534" t="n">
        <v>0</v>
      </c>
      <c r="K534" t="n">
        <v>0</v>
      </c>
      <c r="L534" t="n">
        <v>0</v>
      </c>
      <c r="M534" t="n">
        <v>0</v>
      </c>
      <c r="N534" t="n">
        <v>0</v>
      </c>
      <c r="O534" t="n">
        <v>0</v>
      </c>
      <c r="P534" t="n">
        <v>0</v>
      </c>
      <c r="Q534" t="n">
        <v>0</v>
      </c>
      <c r="R534" s="2" t="inlineStr"/>
    </row>
    <row r="535" ht="15" customHeight="1">
      <c r="A535" t="inlineStr">
        <is>
          <t>A 23892-2025</t>
        </is>
      </c>
      <c r="B535" s="1" t="n">
        <v>45793</v>
      </c>
      <c r="C535" s="1" t="n">
        <v>45894</v>
      </c>
      <c r="D535" t="inlineStr">
        <is>
          <t>DALARNAS LÄN</t>
        </is>
      </c>
      <c r="E535" t="inlineStr">
        <is>
          <t>LEKSAND</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27317-2021</t>
        </is>
      </c>
      <c r="B536" s="1" t="n">
        <v>44351</v>
      </c>
      <c r="C536" s="1" t="n">
        <v>45894</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41169-2024</t>
        </is>
      </c>
      <c r="B537" s="1" t="n">
        <v>45559.48637731482</v>
      </c>
      <c r="C537" s="1" t="n">
        <v>45894</v>
      </c>
      <c r="D537" t="inlineStr">
        <is>
          <t>DALARNAS LÄN</t>
        </is>
      </c>
      <c r="E537" t="inlineStr">
        <is>
          <t>LEKSAND</t>
        </is>
      </c>
      <c r="G537" t="n">
        <v>8.9</v>
      </c>
      <c r="H537" t="n">
        <v>0</v>
      </c>
      <c r="I537" t="n">
        <v>0</v>
      </c>
      <c r="J537" t="n">
        <v>0</v>
      </c>
      <c r="K537" t="n">
        <v>0</v>
      </c>
      <c r="L537" t="n">
        <v>0</v>
      </c>
      <c r="M537" t="n">
        <v>0</v>
      </c>
      <c r="N537" t="n">
        <v>0</v>
      </c>
      <c r="O537" t="n">
        <v>0</v>
      </c>
      <c r="P537" t="n">
        <v>0</v>
      </c>
      <c r="Q537" t="n">
        <v>0</v>
      </c>
      <c r="R537" s="2" t="inlineStr"/>
    </row>
    <row r="538" ht="15" customHeight="1">
      <c r="A538" t="inlineStr">
        <is>
          <t>A 16005-2025</t>
        </is>
      </c>
      <c r="B538" s="1" t="n">
        <v>45749.59765046297</v>
      </c>
      <c r="C538" s="1" t="n">
        <v>45894</v>
      </c>
      <c r="D538" t="inlineStr">
        <is>
          <t>DALARNAS LÄN</t>
        </is>
      </c>
      <c r="E538" t="inlineStr">
        <is>
          <t>LEKSAND</t>
        </is>
      </c>
      <c r="G538" t="n">
        <v>2.1</v>
      </c>
      <c r="H538" t="n">
        <v>0</v>
      </c>
      <c r="I538" t="n">
        <v>0</v>
      </c>
      <c r="J538" t="n">
        <v>0</v>
      </c>
      <c r="K538" t="n">
        <v>0</v>
      </c>
      <c r="L538" t="n">
        <v>0</v>
      </c>
      <c r="M538" t="n">
        <v>0</v>
      </c>
      <c r="N538" t="n">
        <v>0</v>
      </c>
      <c r="O538" t="n">
        <v>0</v>
      </c>
      <c r="P538" t="n">
        <v>0</v>
      </c>
      <c r="Q538" t="n">
        <v>0</v>
      </c>
      <c r="R538" s="2" t="inlineStr"/>
    </row>
    <row r="539" ht="15" customHeight="1">
      <c r="A539" t="inlineStr">
        <is>
          <t>A 5574-2024</t>
        </is>
      </c>
      <c r="B539" s="1" t="n">
        <v>45334</v>
      </c>
      <c r="C539" s="1" t="n">
        <v>45894</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12923-2025</t>
        </is>
      </c>
      <c r="B540" s="1" t="n">
        <v>45734.29193287037</v>
      </c>
      <c r="C540" s="1" t="n">
        <v>45894</v>
      </c>
      <c r="D540" t="inlineStr">
        <is>
          <t>DALARNAS LÄN</t>
        </is>
      </c>
      <c r="E540" t="inlineStr">
        <is>
          <t>LEKSAND</t>
        </is>
      </c>
      <c r="G540" t="n">
        <v>7.2</v>
      </c>
      <c r="H540" t="n">
        <v>0</v>
      </c>
      <c r="I540" t="n">
        <v>0</v>
      </c>
      <c r="J540" t="n">
        <v>0</v>
      </c>
      <c r="K540" t="n">
        <v>0</v>
      </c>
      <c r="L540" t="n">
        <v>0</v>
      </c>
      <c r="M540" t="n">
        <v>0</v>
      </c>
      <c r="N540" t="n">
        <v>0</v>
      </c>
      <c r="O540" t="n">
        <v>0</v>
      </c>
      <c r="P540" t="n">
        <v>0</v>
      </c>
      <c r="Q540" t="n">
        <v>0</v>
      </c>
      <c r="R540" s="2" t="inlineStr"/>
    </row>
    <row r="541" ht="15" customHeight="1">
      <c r="A541" t="inlineStr">
        <is>
          <t>A 5738-2023</t>
        </is>
      </c>
      <c r="B541" s="1" t="n">
        <v>44962</v>
      </c>
      <c r="C541" s="1" t="n">
        <v>45894</v>
      </c>
      <c r="D541" t="inlineStr">
        <is>
          <t>DALARNAS LÄN</t>
        </is>
      </c>
      <c r="E541" t="inlineStr">
        <is>
          <t>LEKSAND</t>
        </is>
      </c>
      <c r="G541" t="n">
        <v>0.2</v>
      </c>
      <c r="H541" t="n">
        <v>0</v>
      </c>
      <c r="I541" t="n">
        <v>0</v>
      </c>
      <c r="J541" t="n">
        <v>0</v>
      </c>
      <c r="K541" t="n">
        <v>0</v>
      </c>
      <c r="L541" t="n">
        <v>0</v>
      </c>
      <c r="M541" t="n">
        <v>0</v>
      </c>
      <c r="N541" t="n">
        <v>0</v>
      </c>
      <c r="O541" t="n">
        <v>0</v>
      </c>
      <c r="P541" t="n">
        <v>0</v>
      </c>
      <c r="Q541" t="n">
        <v>0</v>
      </c>
      <c r="R541" s="2" t="inlineStr"/>
    </row>
    <row r="542" ht="15" customHeight="1">
      <c r="A542" t="inlineStr">
        <is>
          <t>A 4121-2024</t>
        </is>
      </c>
      <c r="B542" s="1" t="n">
        <v>45323</v>
      </c>
      <c r="C542" s="1" t="n">
        <v>45894</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8940-2023</t>
        </is>
      </c>
      <c r="B543" s="1" t="n">
        <v>44974</v>
      </c>
      <c r="C543" s="1" t="n">
        <v>45894</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11128-2023</t>
        </is>
      </c>
      <c r="B544" s="1" t="n">
        <v>44992</v>
      </c>
      <c r="C544" s="1" t="n">
        <v>45894</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57665-2023</t>
        </is>
      </c>
      <c r="B545" s="1" t="n">
        <v>45246</v>
      </c>
      <c r="C545" s="1" t="n">
        <v>45894</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30858-2024</t>
        </is>
      </c>
      <c r="B546" s="1" t="n">
        <v>45497.67601851852</v>
      </c>
      <c r="C546" s="1" t="n">
        <v>45894</v>
      </c>
      <c r="D546" t="inlineStr">
        <is>
          <t>DALARNAS LÄN</t>
        </is>
      </c>
      <c r="E546" t="inlineStr">
        <is>
          <t>LEKSAND</t>
        </is>
      </c>
      <c r="F546" t="inlineStr">
        <is>
          <t>Bergvik skog väst AB</t>
        </is>
      </c>
      <c r="G546" t="n">
        <v>1.6</v>
      </c>
      <c r="H546" t="n">
        <v>0</v>
      </c>
      <c r="I546" t="n">
        <v>0</v>
      </c>
      <c r="J546" t="n">
        <v>0</v>
      </c>
      <c r="K546" t="n">
        <v>0</v>
      </c>
      <c r="L546" t="n">
        <v>0</v>
      </c>
      <c r="M546" t="n">
        <v>0</v>
      </c>
      <c r="N546" t="n">
        <v>0</v>
      </c>
      <c r="O546" t="n">
        <v>0</v>
      </c>
      <c r="P546" t="n">
        <v>0</v>
      </c>
      <c r="Q546" t="n">
        <v>0</v>
      </c>
      <c r="R546" s="2" t="inlineStr"/>
    </row>
    <row r="547" ht="15" customHeight="1">
      <c r="A547" t="inlineStr">
        <is>
          <t>A 1458-2024</t>
        </is>
      </c>
      <c r="B547" s="1" t="n">
        <v>45303</v>
      </c>
      <c r="C547" s="1" t="n">
        <v>45894</v>
      </c>
      <c r="D547" t="inlineStr">
        <is>
          <t>DALARNAS LÄN</t>
        </is>
      </c>
      <c r="E547" t="inlineStr">
        <is>
          <t>LEKSAND</t>
        </is>
      </c>
      <c r="G547" t="n">
        <v>2</v>
      </c>
      <c r="H547" t="n">
        <v>0</v>
      </c>
      <c r="I547" t="n">
        <v>0</v>
      </c>
      <c r="J547" t="n">
        <v>0</v>
      </c>
      <c r="K547" t="n">
        <v>0</v>
      </c>
      <c r="L547" t="n">
        <v>0</v>
      </c>
      <c r="M547" t="n">
        <v>0</v>
      </c>
      <c r="N547" t="n">
        <v>0</v>
      </c>
      <c r="O547" t="n">
        <v>0</v>
      </c>
      <c r="P547" t="n">
        <v>0</v>
      </c>
      <c r="Q547" t="n">
        <v>0</v>
      </c>
      <c r="R547" s="2" t="inlineStr"/>
    </row>
    <row r="548" ht="15" customHeight="1">
      <c r="A548" t="inlineStr">
        <is>
          <t>A 1461-2024</t>
        </is>
      </c>
      <c r="B548" s="1" t="n">
        <v>45303</v>
      </c>
      <c r="C548" s="1" t="n">
        <v>45894</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30920-2025</t>
        </is>
      </c>
      <c r="B549" s="1" t="n">
        <v>45832.38484953704</v>
      </c>
      <c r="C549" s="1" t="n">
        <v>45894</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30969-2025</t>
        </is>
      </c>
      <c r="B550" s="1" t="n">
        <v>45832.45914351852</v>
      </c>
      <c r="C550" s="1" t="n">
        <v>45894</v>
      </c>
      <c r="D550" t="inlineStr">
        <is>
          <t>DALARNAS LÄN</t>
        </is>
      </c>
      <c r="E550" t="inlineStr">
        <is>
          <t>LEKSAND</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30917-2025</t>
        </is>
      </c>
      <c r="B551" s="1" t="n">
        <v>45832.37989583334</v>
      </c>
      <c r="C551" s="1" t="n">
        <v>45894</v>
      </c>
      <c r="D551" t="inlineStr">
        <is>
          <t>DALARNAS LÄN</t>
        </is>
      </c>
      <c r="E551" t="inlineStr">
        <is>
          <t>LEKSAND</t>
        </is>
      </c>
      <c r="G551" t="n">
        <v>1.2</v>
      </c>
      <c r="H551" t="n">
        <v>0</v>
      </c>
      <c r="I551" t="n">
        <v>0</v>
      </c>
      <c r="J551" t="n">
        <v>0</v>
      </c>
      <c r="K551" t="n">
        <v>0</v>
      </c>
      <c r="L551" t="n">
        <v>0</v>
      </c>
      <c r="M551" t="n">
        <v>0</v>
      </c>
      <c r="N551" t="n">
        <v>0</v>
      </c>
      <c r="O551" t="n">
        <v>0</v>
      </c>
      <c r="P551" t="n">
        <v>0</v>
      </c>
      <c r="Q551" t="n">
        <v>0</v>
      </c>
      <c r="R551" s="2" t="inlineStr"/>
    </row>
    <row r="552" ht="15" customHeight="1">
      <c r="A552" t="inlineStr">
        <is>
          <t>A 25921-2024</t>
        </is>
      </c>
      <c r="B552" s="1" t="n">
        <v>45467.6053587963</v>
      </c>
      <c r="C552" s="1" t="n">
        <v>45894</v>
      </c>
      <c r="D552" t="inlineStr">
        <is>
          <t>DALARNAS LÄN</t>
        </is>
      </c>
      <c r="E552" t="inlineStr">
        <is>
          <t>LEKSAND</t>
        </is>
      </c>
      <c r="G552" t="n">
        <v>2.8</v>
      </c>
      <c r="H552" t="n">
        <v>0</v>
      </c>
      <c r="I552" t="n">
        <v>0</v>
      </c>
      <c r="J552" t="n">
        <v>0</v>
      </c>
      <c r="K552" t="n">
        <v>0</v>
      </c>
      <c r="L552" t="n">
        <v>0</v>
      </c>
      <c r="M552" t="n">
        <v>0</v>
      </c>
      <c r="N552" t="n">
        <v>0</v>
      </c>
      <c r="O552" t="n">
        <v>0</v>
      </c>
      <c r="P552" t="n">
        <v>0</v>
      </c>
      <c r="Q552" t="n">
        <v>0</v>
      </c>
      <c r="R552" s="2" t="inlineStr"/>
    </row>
    <row r="553" ht="15" customHeight="1">
      <c r="A553" t="inlineStr">
        <is>
          <t>A 41306-2024</t>
        </is>
      </c>
      <c r="B553" s="1" t="n">
        <v>45559.62550925926</v>
      </c>
      <c r="C553" s="1" t="n">
        <v>45894</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31619-2025</t>
        </is>
      </c>
      <c r="B554" s="1" t="n">
        <v>45833</v>
      </c>
      <c r="C554" s="1" t="n">
        <v>45894</v>
      </c>
      <c r="D554" t="inlineStr">
        <is>
          <t>DALARNAS LÄN</t>
        </is>
      </c>
      <c r="E554" t="inlineStr">
        <is>
          <t>LEKSAND</t>
        </is>
      </c>
      <c r="G554" t="n">
        <v>2.5</v>
      </c>
      <c r="H554" t="n">
        <v>0</v>
      </c>
      <c r="I554" t="n">
        <v>0</v>
      </c>
      <c r="J554" t="n">
        <v>0</v>
      </c>
      <c r="K554" t="n">
        <v>0</v>
      </c>
      <c r="L554" t="n">
        <v>0</v>
      </c>
      <c r="M554" t="n">
        <v>0</v>
      </c>
      <c r="N554" t="n">
        <v>0</v>
      </c>
      <c r="O554" t="n">
        <v>0</v>
      </c>
      <c r="P554" t="n">
        <v>0</v>
      </c>
      <c r="Q554" t="n">
        <v>0</v>
      </c>
      <c r="R554" s="2" t="inlineStr"/>
    </row>
    <row r="555" ht="15" customHeight="1">
      <c r="A555" t="inlineStr">
        <is>
          <t>A 30916-2025</t>
        </is>
      </c>
      <c r="B555" s="1" t="n">
        <v>45832.37885416667</v>
      </c>
      <c r="C555" s="1" t="n">
        <v>45894</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31446-2025</t>
        </is>
      </c>
      <c r="B556" s="1" t="n">
        <v>45833</v>
      </c>
      <c r="C556" s="1" t="n">
        <v>45894</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38001-2023</t>
        </is>
      </c>
      <c r="B557" s="1" t="n">
        <v>45160</v>
      </c>
      <c r="C557" s="1" t="n">
        <v>45894</v>
      </c>
      <c r="D557" t="inlineStr">
        <is>
          <t>DALARNAS LÄN</t>
        </is>
      </c>
      <c r="E557" t="inlineStr">
        <is>
          <t>LEKSAND</t>
        </is>
      </c>
      <c r="G557" t="n">
        <v>3.6</v>
      </c>
      <c r="H557" t="n">
        <v>0</v>
      </c>
      <c r="I557" t="n">
        <v>0</v>
      </c>
      <c r="J557" t="n">
        <v>0</v>
      </c>
      <c r="K557" t="n">
        <v>0</v>
      </c>
      <c r="L557" t="n">
        <v>0</v>
      </c>
      <c r="M557" t="n">
        <v>0</v>
      </c>
      <c r="N557" t="n">
        <v>0</v>
      </c>
      <c r="O557" t="n">
        <v>0</v>
      </c>
      <c r="P557" t="n">
        <v>0</v>
      </c>
      <c r="Q557" t="n">
        <v>0</v>
      </c>
      <c r="R557" s="2" t="inlineStr"/>
    </row>
    <row r="558" ht="15" customHeight="1">
      <c r="A558" t="inlineStr">
        <is>
          <t>A 30911-2025</t>
        </is>
      </c>
      <c r="B558" s="1" t="n">
        <v>45832.37547453704</v>
      </c>
      <c r="C558" s="1" t="n">
        <v>45894</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23509-2023</t>
        </is>
      </c>
      <c r="B559" s="1" t="n">
        <v>45076</v>
      </c>
      <c r="C559" s="1" t="n">
        <v>45894</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47673-2023</t>
        </is>
      </c>
      <c r="B560" s="1" t="n">
        <v>45203</v>
      </c>
      <c r="C560" s="1" t="n">
        <v>45894</v>
      </c>
      <c r="D560" t="inlineStr">
        <is>
          <t>DALARNAS LÄN</t>
        </is>
      </c>
      <c r="E560" t="inlineStr">
        <is>
          <t>LEKSAND</t>
        </is>
      </c>
      <c r="G560" t="n">
        <v>2</v>
      </c>
      <c r="H560" t="n">
        <v>0</v>
      </c>
      <c r="I560" t="n">
        <v>0</v>
      </c>
      <c r="J560" t="n">
        <v>0</v>
      </c>
      <c r="K560" t="n">
        <v>0</v>
      </c>
      <c r="L560" t="n">
        <v>0</v>
      </c>
      <c r="M560" t="n">
        <v>0</v>
      </c>
      <c r="N560" t="n">
        <v>0</v>
      </c>
      <c r="O560" t="n">
        <v>0</v>
      </c>
      <c r="P560" t="n">
        <v>0</v>
      </c>
      <c r="Q560" t="n">
        <v>0</v>
      </c>
      <c r="R560" s="2" t="inlineStr"/>
    </row>
    <row r="561" ht="15" customHeight="1">
      <c r="A561" t="inlineStr">
        <is>
          <t>A 19820-2024</t>
        </is>
      </c>
      <c r="B561" s="1" t="n">
        <v>45433.33907407407</v>
      </c>
      <c r="C561" s="1" t="n">
        <v>45894</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19823-2024</t>
        </is>
      </c>
      <c r="B562" s="1" t="n">
        <v>45433.34469907408</v>
      </c>
      <c r="C562" s="1" t="n">
        <v>45894</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31179-2025</t>
        </is>
      </c>
      <c r="B563" s="1" t="n">
        <v>45832.67648148148</v>
      </c>
      <c r="C563" s="1" t="n">
        <v>45894</v>
      </c>
      <c r="D563" t="inlineStr">
        <is>
          <t>DALARNAS LÄN</t>
        </is>
      </c>
      <c r="E563" t="inlineStr">
        <is>
          <t>LEKSAND</t>
        </is>
      </c>
      <c r="G563" t="n">
        <v>4.7</v>
      </c>
      <c r="H563" t="n">
        <v>0</v>
      </c>
      <c r="I563" t="n">
        <v>0</v>
      </c>
      <c r="J563" t="n">
        <v>0</v>
      </c>
      <c r="K563" t="n">
        <v>0</v>
      </c>
      <c r="L563" t="n">
        <v>0</v>
      </c>
      <c r="M563" t="n">
        <v>0</v>
      </c>
      <c r="N563" t="n">
        <v>0</v>
      </c>
      <c r="O563" t="n">
        <v>0</v>
      </c>
      <c r="P563" t="n">
        <v>0</v>
      </c>
      <c r="Q563" t="n">
        <v>0</v>
      </c>
      <c r="R563" s="2" t="inlineStr"/>
    </row>
    <row r="564" ht="15" customHeight="1">
      <c r="A564" t="inlineStr">
        <is>
          <t>A 31189-2025</t>
        </is>
      </c>
      <c r="B564" s="1" t="n">
        <v>45832.6799537037</v>
      </c>
      <c r="C564" s="1" t="n">
        <v>45894</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30973-2025</t>
        </is>
      </c>
      <c r="B565" s="1" t="n">
        <v>45832.46300925926</v>
      </c>
      <c r="C565" s="1" t="n">
        <v>45894</v>
      </c>
      <c r="D565" t="inlineStr">
        <is>
          <t>DALARNAS LÄN</t>
        </is>
      </c>
      <c r="E565" t="inlineStr">
        <is>
          <t>LEKSAND</t>
        </is>
      </c>
      <c r="F565" t="inlineStr">
        <is>
          <t>Bergvik skog väst AB</t>
        </is>
      </c>
      <c r="G565" t="n">
        <v>3.1</v>
      </c>
      <c r="H565" t="n">
        <v>0</v>
      </c>
      <c r="I565" t="n">
        <v>0</v>
      </c>
      <c r="J565" t="n">
        <v>0</v>
      </c>
      <c r="K565" t="n">
        <v>0</v>
      </c>
      <c r="L565" t="n">
        <v>0</v>
      </c>
      <c r="M565" t="n">
        <v>0</v>
      </c>
      <c r="N565" t="n">
        <v>0</v>
      </c>
      <c r="O565" t="n">
        <v>0</v>
      </c>
      <c r="P565" t="n">
        <v>0</v>
      </c>
      <c r="Q565" t="n">
        <v>0</v>
      </c>
      <c r="R565" s="2" t="inlineStr"/>
    </row>
    <row r="566" ht="15" customHeight="1">
      <c r="A566" t="inlineStr">
        <is>
          <t>A 17377-2025</t>
        </is>
      </c>
      <c r="B566" s="1" t="n">
        <v>45756.983125</v>
      </c>
      <c r="C566" s="1" t="n">
        <v>45894</v>
      </c>
      <c r="D566" t="inlineStr">
        <is>
          <t>DALARNAS LÄN</t>
        </is>
      </c>
      <c r="E566" t="inlineStr">
        <is>
          <t>LEKSAND</t>
        </is>
      </c>
      <c r="G566" t="n">
        <v>0.9</v>
      </c>
      <c r="H566" t="n">
        <v>0</v>
      </c>
      <c r="I566" t="n">
        <v>0</v>
      </c>
      <c r="J566" t="n">
        <v>0</v>
      </c>
      <c r="K566" t="n">
        <v>0</v>
      </c>
      <c r="L566" t="n">
        <v>0</v>
      </c>
      <c r="M566" t="n">
        <v>0</v>
      </c>
      <c r="N566" t="n">
        <v>0</v>
      </c>
      <c r="O566" t="n">
        <v>0</v>
      </c>
      <c r="P566" t="n">
        <v>0</v>
      </c>
      <c r="Q566" t="n">
        <v>0</v>
      </c>
      <c r="R566" s="2" t="inlineStr"/>
    </row>
    <row r="567" ht="15" customHeight="1">
      <c r="A567" t="inlineStr">
        <is>
          <t>A 7653-2025</t>
        </is>
      </c>
      <c r="B567" s="1" t="n">
        <v>45705.95238425926</v>
      </c>
      <c r="C567" s="1" t="n">
        <v>45894</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6039-2023</t>
        </is>
      </c>
      <c r="B568" s="1" t="n">
        <v>44959</v>
      </c>
      <c r="C568" s="1" t="n">
        <v>45894</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6758-2024</t>
        </is>
      </c>
      <c r="B569" s="1" t="n">
        <v>45342.46857638889</v>
      </c>
      <c r="C569" s="1" t="n">
        <v>45894</v>
      </c>
      <c r="D569" t="inlineStr">
        <is>
          <t>DALARNAS LÄN</t>
        </is>
      </c>
      <c r="E569" t="inlineStr">
        <is>
          <t>LEKSAND</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31493-2025</t>
        </is>
      </c>
      <c r="B570" s="1" t="n">
        <v>45833</v>
      </c>
      <c r="C570" s="1" t="n">
        <v>45894</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4257-2022</t>
        </is>
      </c>
      <c r="B571" s="1" t="n">
        <v>44588</v>
      </c>
      <c r="C571" s="1" t="n">
        <v>45894</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31945-2025</t>
        </is>
      </c>
      <c r="B572" s="1" t="n">
        <v>45835</v>
      </c>
      <c r="C572" s="1" t="n">
        <v>45894</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13288-2023</t>
        </is>
      </c>
      <c r="B573" s="1" t="n">
        <v>45004.8160300926</v>
      </c>
      <c r="C573" s="1" t="n">
        <v>45894</v>
      </c>
      <c r="D573" t="inlineStr">
        <is>
          <t>DALARNAS LÄN</t>
        </is>
      </c>
      <c r="E573" t="inlineStr">
        <is>
          <t>LEKSAND</t>
        </is>
      </c>
      <c r="G573" t="n">
        <v>1.3</v>
      </c>
      <c r="H573" t="n">
        <v>0</v>
      </c>
      <c r="I573" t="n">
        <v>0</v>
      </c>
      <c r="J573" t="n">
        <v>0</v>
      </c>
      <c r="K573" t="n">
        <v>0</v>
      </c>
      <c r="L573" t="n">
        <v>0</v>
      </c>
      <c r="M573" t="n">
        <v>0</v>
      </c>
      <c r="N573" t="n">
        <v>0</v>
      </c>
      <c r="O573" t="n">
        <v>0</v>
      </c>
      <c r="P573" t="n">
        <v>0</v>
      </c>
      <c r="Q573" t="n">
        <v>0</v>
      </c>
      <c r="R573" s="2" t="inlineStr"/>
    </row>
    <row r="574" ht="15" customHeight="1">
      <c r="A574" t="inlineStr">
        <is>
          <t>A 37508-2025</t>
        </is>
      </c>
      <c r="B574" s="1" t="n">
        <v>45877.66282407408</v>
      </c>
      <c r="C574" s="1" t="n">
        <v>45894</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17233-2023</t>
        </is>
      </c>
      <c r="B575" s="1" t="n">
        <v>45035</v>
      </c>
      <c r="C575" s="1" t="n">
        <v>45894</v>
      </c>
      <c r="D575" t="inlineStr">
        <is>
          <t>DALARNAS LÄN</t>
        </is>
      </c>
      <c r="E575" t="inlineStr">
        <is>
          <t>LEKSAND</t>
        </is>
      </c>
      <c r="G575" t="n">
        <v>1.6</v>
      </c>
      <c r="H575" t="n">
        <v>0</v>
      </c>
      <c r="I575" t="n">
        <v>0</v>
      </c>
      <c r="J575" t="n">
        <v>0</v>
      </c>
      <c r="K575" t="n">
        <v>0</v>
      </c>
      <c r="L575" t="n">
        <v>0</v>
      </c>
      <c r="M575" t="n">
        <v>0</v>
      </c>
      <c r="N575" t="n">
        <v>0</v>
      </c>
      <c r="O575" t="n">
        <v>0</v>
      </c>
      <c r="P575" t="n">
        <v>0</v>
      </c>
      <c r="Q575" t="n">
        <v>0</v>
      </c>
      <c r="R575" s="2" t="inlineStr"/>
    </row>
    <row r="576" ht="15" customHeight="1">
      <c r="A576" t="inlineStr">
        <is>
          <t>A 32104-2025</t>
        </is>
      </c>
      <c r="B576" s="1" t="n">
        <v>45835</v>
      </c>
      <c r="C576" s="1" t="n">
        <v>45894</v>
      </c>
      <c r="D576" t="inlineStr">
        <is>
          <t>DALARNAS LÄN</t>
        </is>
      </c>
      <c r="E576" t="inlineStr">
        <is>
          <t>LEKSAND</t>
        </is>
      </c>
      <c r="G576" t="n">
        <v>3.1</v>
      </c>
      <c r="H576" t="n">
        <v>0</v>
      </c>
      <c r="I576" t="n">
        <v>0</v>
      </c>
      <c r="J576" t="n">
        <v>0</v>
      </c>
      <c r="K576" t="n">
        <v>0</v>
      </c>
      <c r="L576" t="n">
        <v>0</v>
      </c>
      <c r="M576" t="n">
        <v>0</v>
      </c>
      <c r="N576" t="n">
        <v>0</v>
      </c>
      <c r="O576" t="n">
        <v>0</v>
      </c>
      <c r="P576" t="n">
        <v>0</v>
      </c>
      <c r="Q576" t="n">
        <v>0</v>
      </c>
      <c r="R576" s="2" t="inlineStr"/>
    </row>
    <row r="577" ht="15" customHeight="1">
      <c r="A577" t="inlineStr">
        <is>
          <t>A 46931-2023</t>
        </is>
      </c>
      <c r="B577" s="1" t="n">
        <v>45201</v>
      </c>
      <c r="C577" s="1" t="n">
        <v>45894</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11740-2025</t>
        </is>
      </c>
      <c r="B578" s="1" t="n">
        <v>45727.62582175926</v>
      </c>
      <c r="C578" s="1" t="n">
        <v>45894</v>
      </c>
      <c r="D578" t="inlineStr">
        <is>
          <t>DALARNAS LÄN</t>
        </is>
      </c>
      <c r="E578" t="inlineStr">
        <is>
          <t>LEKSAND</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28921-2023</t>
        </is>
      </c>
      <c r="B579" s="1" t="n">
        <v>45104</v>
      </c>
      <c r="C579" s="1" t="n">
        <v>45894</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10373-2023</t>
        </is>
      </c>
      <c r="B580" s="1" t="n">
        <v>44987</v>
      </c>
      <c r="C580" s="1" t="n">
        <v>45894</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30998-2023</t>
        </is>
      </c>
      <c r="B581" s="1" t="n">
        <v>45113.54193287037</v>
      </c>
      <c r="C581" s="1" t="n">
        <v>45894</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45894</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2820-2024</t>
        </is>
      </c>
      <c r="B583" s="1" t="n">
        <v>45314.76287037037</v>
      </c>
      <c r="C583" s="1" t="n">
        <v>45894</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2822-2024</t>
        </is>
      </c>
      <c r="B584" s="1" t="n">
        <v>45314.76622685185</v>
      </c>
      <c r="C584" s="1" t="n">
        <v>45894</v>
      </c>
      <c r="D584" t="inlineStr">
        <is>
          <t>DALARNAS LÄN</t>
        </is>
      </c>
      <c r="E584" t="inlineStr">
        <is>
          <t>LEKSAND</t>
        </is>
      </c>
      <c r="G584" t="n">
        <v>1.6</v>
      </c>
      <c r="H584" t="n">
        <v>0</v>
      </c>
      <c r="I584" t="n">
        <v>0</v>
      </c>
      <c r="J584" t="n">
        <v>0</v>
      </c>
      <c r="K584" t="n">
        <v>0</v>
      </c>
      <c r="L584" t="n">
        <v>0</v>
      </c>
      <c r="M584" t="n">
        <v>0</v>
      </c>
      <c r="N584" t="n">
        <v>0</v>
      </c>
      <c r="O584" t="n">
        <v>0</v>
      </c>
      <c r="P584" t="n">
        <v>0</v>
      </c>
      <c r="Q584" t="n">
        <v>0</v>
      </c>
      <c r="R584" s="2" t="inlineStr"/>
    </row>
    <row r="585" ht="15" customHeight="1">
      <c r="A585" t="inlineStr">
        <is>
          <t>A 23283-2024</t>
        </is>
      </c>
      <c r="B585" s="1" t="n">
        <v>45453</v>
      </c>
      <c r="C585" s="1" t="n">
        <v>45894</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39807-2024</t>
        </is>
      </c>
      <c r="B586" s="1" t="n">
        <v>45553.35763888889</v>
      </c>
      <c r="C586" s="1" t="n">
        <v>45894</v>
      </c>
      <c r="D586" t="inlineStr">
        <is>
          <t>DALARNAS LÄN</t>
        </is>
      </c>
      <c r="E586" t="inlineStr">
        <is>
          <t>LEKSAND</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1463-2024</t>
        </is>
      </c>
      <c r="B587" s="1" t="n">
        <v>45303</v>
      </c>
      <c r="C587" s="1" t="n">
        <v>45894</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16611-2024</t>
        </is>
      </c>
      <c r="B588" s="1" t="n">
        <v>45408.55504629629</v>
      </c>
      <c r="C588" s="1" t="n">
        <v>45894</v>
      </c>
      <c r="D588" t="inlineStr">
        <is>
          <t>DALARNAS LÄN</t>
        </is>
      </c>
      <c r="E588" t="inlineStr">
        <is>
          <t>LEKSAND</t>
        </is>
      </c>
      <c r="G588" t="n">
        <v>5.9</v>
      </c>
      <c r="H588" t="n">
        <v>0</v>
      </c>
      <c r="I588" t="n">
        <v>0</v>
      </c>
      <c r="J588" t="n">
        <v>0</v>
      </c>
      <c r="K588" t="n">
        <v>0</v>
      </c>
      <c r="L588" t="n">
        <v>0</v>
      </c>
      <c r="M588" t="n">
        <v>0</v>
      </c>
      <c r="N588" t="n">
        <v>0</v>
      </c>
      <c r="O588" t="n">
        <v>0</v>
      </c>
      <c r="P588" t="n">
        <v>0</v>
      </c>
      <c r="Q588" t="n">
        <v>0</v>
      </c>
      <c r="R588" s="2" t="inlineStr"/>
    </row>
    <row r="589" ht="15" customHeight="1">
      <c r="A589" t="inlineStr">
        <is>
          <t>A 37952-2024</t>
        </is>
      </c>
      <c r="B589" s="1" t="n">
        <v>45544.5200462963</v>
      </c>
      <c r="C589" s="1" t="n">
        <v>45894</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31787-2025</t>
        </is>
      </c>
      <c r="B590" s="1" t="n">
        <v>45834</v>
      </c>
      <c r="C590" s="1" t="n">
        <v>45894</v>
      </c>
      <c r="D590" t="inlineStr">
        <is>
          <t>DALARNAS LÄN</t>
        </is>
      </c>
      <c r="E590" t="inlineStr">
        <is>
          <t>LEKSAND</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45768-2023</t>
        </is>
      </c>
      <c r="B591" s="1" t="n">
        <v>45195</v>
      </c>
      <c r="C591" s="1" t="n">
        <v>45894</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32301-2025</t>
        </is>
      </c>
      <c r="B592" s="1" t="n">
        <v>45835</v>
      </c>
      <c r="C592" s="1" t="n">
        <v>45894</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25025-2023</t>
        </is>
      </c>
      <c r="B593" s="1" t="n">
        <v>45085.92146990741</v>
      </c>
      <c r="C593" s="1" t="n">
        <v>45894</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25038-2023</t>
        </is>
      </c>
      <c r="B594" s="1" t="n">
        <v>45085</v>
      </c>
      <c r="C594" s="1" t="n">
        <v>45894</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32274-2025</t>
        </is>
      </c>
      <c r="B595" s="1" t="n">
        <v>45835</v>
      </c>
      <c r="C595" s="1" t="n">
        <v>45894</v>
      </c>
      <c r="D595" t="inlineStr">
        <is>
          <t>DALARNAS LÄN</t>
        </is>
      </c>
      <c r="E595" t="inlineStr">
        <is>
          <t>LEKSAND</t>
        </is>
      </c>
      <c r="G595" t="n">
        <v>4.5</v>
      </c>
      <c r="H595" t="n">
        <v>0</v>
      </c>
      <c r="I595" t="n">
        <v>0</v>
      </c>
      <c r="J595" t="n">
        <v>0</v>
      </c>
      <c r="K595" t="n">
        <v>0</v>
      </c>
      <c r="L595" t="n">
        <v>0</v>
      </c>
      <c r="M595" t="n">
        <v>0</v>
      </c>
      <c r="N595" t="n">
        <v>0</v>
      </c>
      <c r="O595" t="n">
        <v>0</v>
      </c>
      <c r="P595" t="n">
        <v>0</v>
      </c>
      <c r="Q595" t="n">
        <v>0</v>
      </c>
      <c r="R595" s="2" t="inlineStr"/>
    </row>
    <row r="596" ht="15" customHeight="1">
      <c r="A596" t="inlineStr">
        <is>
          <t>A 15257-2025</t>
        </is>
      </c>
      <c r="B596" s="1" t="n">
        <v>45744</v>
      </c>
      <c r="C596" s="1" t="n">
        <v>45894</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36017-2025</t>
        </is>
      </c>
      <c r="B597" s="1" t="n">
        <v>45863</v>
      </c>
      <c r="C597" s="1" t="n">
        <v>45894</v>
      </c>
      <c r="D597" t="inlineStr">
        <is>
          <t>DALARNAS LÄN</t>
        </is>
      </c>
      <c r="E597" t="inlineStr">
        <is>
          <t>LEKSAND</t>
        </is>
      </c>
      <c r="F597" t="inlineStr">
        <is>
          <t>Bergvik skog väst AB</t>
        </is>
      </c>
      <c r="G597" t="n">
        <v>17.9</v>
      </c>
      <c r="H597" t="n">
        <v>0</v>
      </c>
      <c r="I597" t="n">
        <v>0</v>
      </c>
      <c r="J597" t="n">
        <v>0</v>
      </c>
      <c r="K597" t="n">
        <v>0</v>
      </c>
      <c r="L597" t="n">
        <v>0</v>
      </c>
      <c r="M597" t="n">
        <v>0</v>
      </c>
      <c r="N597" t="n">
        <v>0</v>
      </c>
      <c r="O597" t="n">
        <v>0</v>
      </c>
      <c r="P597" t="n">
        <v>0</v>
      </c>
      <c r="Q597" t="n">
        <v>0</v>
      </c>
      <c r="R597" s="2" t="inlineStr"/>
    </row>
    <row r="598" ht="15" customHeight="1">
      <c r="A598" t="inlineStr">
        <is>
          <t>A 11277-2025</t>
        </is>
      </c>
      <c r="B598" s="1" t="n">
        <v>45726.41565972222</v>
      </c>
      <c r="C598" s="1" t="n">
        <v>45894</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32653-2025</t>
        </is>
      </c>
      <c r="B599" s="1" t="n">
        <v>45838</v>
      </c>
      <c r="C599" s="1" t="n">
        <v>45894</v>
      </c>
      <c r="D599" t="inlineStr">
        <is>
          <t>DALARNAS LÄN</t>
        </is>
      </c>
      <c r="E599" t="inlineStr">
        <is>
          <t>LEKSAND</t>
        </is>
      </c>
      <c r="G599" t="n">
        <v>5.6</v>
      </c>
      <c r="H599" t="n">
        <v>0</v>
      </c>
      <c r="I599" t="n">
        <v>0</v>
      </c>
      <c r="J599" t="n">
        <v>0</v>
      </c>
      <c r="K599" t="n">
        <v>0</v>
      </c>
      <c r="L599" t="n">
        <v>0</v>
      </c>
      <c r="M599" t="n">
        <v>0</v>
      </c>
      <c r="N599" t="n">
        <v>0</v>
      </c>
      <c r="O599" t="n">
        <v>0</v>
      </c>
      <c r="P599" t="n">
        <v>0</v>
      </c>
      <c r="Q599" t="n">
        <v>0</v>
      </c>
      <c r="R599" s="2" t="inlineStr"/>
    </row>
    <row r="600" ht="15" customHeight="1">
      <c r="A600" t="inlineStr">
        <is>
          <t>A 32855-2025</t>
        </is>
      </c>
      <c r="B600" s="1" t="n">
        <v>45839.57643518518</v>
      </c>
      <c r="C600" s="1" t="n">
        <v>45894</v>
      </c>
      <c r="D600" t="inlineStr">
        <is>
          <t>DALARNAS LÄN</t>
        </is>
      </c>
      <c r="E600" t="inlineStr">
        <is>
          <t>LEKSAND</t>
        </is>
      </c>
      <c r="G600" t="n">
        <v>0.7</v>
      </c>
      <c r="H600" t="n">
        <v>0</v>
      </c>
      <c r="I600" t="n">
        <v>0</v>
      </c>
      <c r="J600" t="n">
        <v>0</v>
      </c>
      <c r="K600" t="n">
        <v>0</v>
      </c>
      <c r="L600" t="n">
        <v>0</v>
      </c>
      <c r="M600" t="n">
        <v>0</v>
      </c>
      <c r="N600" t="n">
        <v>0</v>
      </c>
      <c r="O600" t="n">
        <v>0</v>
      </c>
      <c r="P600" t="n">
        <v>0</v>
      </c>
      <c r="Q600" t="n">
        <v>0</v>
      </c>
      <c r="R600" s="2" t="inlineStr"/>
    </row>
    <row r="601" ht="15" customHeight="1">
      <c r="A601" t="inlineStr">
        <is>
          <t>A 32661-2025</t>
        </is>
      </c>
      <c r="B601" s="1" t="n">
        <v>45838.67953703704</v>
      </c>
      <c r="C601" s="1" t="n">
        <v>45894</v>
      </c>
      <c r="D601" t="inlineStr">
        <is>
          <t>DALARNAS LÄN</t>
        </is>
      </c>
      <c r="E601" t="inlineStr">
        <is>
          <t>LEKSAND</t>
        </is>
      </c>
      <c r="G601" t="n">
        <v>0.8</v>
      </c>
      <c r="H601" t="n">
        <v>0</v>
      </c>
      <c r="I601" t="n">
        <v>0</v>
      </c>
      <c r="J601" t="n">
        <v>0</v>
      </c>
      <c r="K601" t="n">
        <v>0</v>
      </c>
      <c r="L601" t="n">
        <v>0</v>
      </c>
      <c r="M601" t="n">
        <v>0</v>
      </c>
      <c r="N601" t="n">
        <v>0</v>
      </c>
      <c r="O601" t="n">
        <v>0</v>
      </c>
      <c r="P601" t="n">
        <v>0</v>
      </c>
      <c r="Q601" t="n">
        <v>0</v>
      </c>
      <c r="R601" s="2" t="inlineStr"/>
    </row>
    <row r="602" ht="15" customHeight="1">
      <c r="A602" t="inlineStr">
        <is>
          <t>A 46834-2023</t>
        </is>
      </c>
      <c r="B602" s="1" t="n">
        <v>45199.35668981481</v>
      </c>
      <c r="C602" s="1" t="n">
        <v>45894</v>
      </c>
      <c r="D602" t="inlineStr">
        <is>
          <t>DALARNAS LÄN</t>
        </is>
      </c>
      <c r="E602" t="inlineStr">
        <is>
          <t>LEKSAND</t>
        </is>
      </c>
      <c r="G602" t="n">
        <v>16.3</v>
      </c>
      <c r="H602" t="n">
        <v>0</v>
      </c>
      <c r="I602" t="n">
        <v>0</v>
      </c>
      <c r="J602" t="n">
        <v>0</v>
      </c>
      <c r="K602" t="n">
        <v>0</v>
      </c>
      <c r="L602" t="n">
        <v>0</v>
      </c>
      <c r="M602" t="n">
        <v>0</v>
      </c>
      <c r="N602" t="n">
        <v>0</v>
      </c>
      <c r="O602" t="n">
        <v>0</v>
      </c>
      <c r="P602" t="n">
        <v>0</v>
      </c>
      <c r="Q602" t="n">
        <v>0</v>
      </c>
      <c r="R602" s="2" t="inlineStr"/>
    </row>
    <row r="603" ht="15" customHeight="1">
      <c r="A603" t="inlineStr">
        <is>
          <t>A 5570-2024</t>
        </is>
      </c>
      <c r="B603" s="1" t="n">
        <v>45334</v>
      </c>
      <c r="C603" s="1" t="n">
        <v>45894</v>
      </c>
      <c r="D603" t="inlineStr">
        <is>
          <t>DALARNAS LÄN</t>
        </is>
      </c>
      <c r="E603" t="inlineStr">
        <is>
          <t>LEKSAND</t>
        </is>
      </c>
      <c r="G603" t="n">
        <v>0.3</v>
      </c>
      <c r="H603" t="n">
        <v>0</v>
      </c>
      <c r="I603" t="n">
        <v>0</v>
      </c>
      <c r="J603" t="n">
        <v>0</v>
      </c>
      <c r="K603" t="n">
        <v>0</v>
      </c>
      <c r="L603" t="n">
        <v>0</v>
      </c>
      <c r="M603" t="n">
        <v>0</v>
      </c>
      <c r="N603" t="n">
        <v>0</v>
      </c>
      <c r="O603" t="n">
        <v>0</v>
      </c>
      <c r="P603" t="n">
        <v>0</v>
      </c>
      <c r="Q603" t="n">
        <v>0</v>
      </c>
      <c r="R603" s="2" t="inlineStr"/>
    </row>
    <row r="604" ht="15" customHeight="1">
      <c r="A604" t="inlineStr">
        <is>
          <t>A 54917-2024</t>
        </is>
      </c>
      <c r="B604" s="1" t="n">
        <v>45618.69581018519</v>
      </c>
      <c r="C604" s="1" t="n">
        <v>45894</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35866-2025</t>
        </is>
      </c>
      <c r="B605" s="1" t="n">
        <v>45861</v>
      </c>
      <c r="C605" s="1" t="n">
        <v>45894</v>
      </c>
      <c r="D605" t="inlineStr">
        <is>
          <t>DALARNAS LÄN</t>
        </is>
      </c>
      <c r="E605" t="inlineStr">
        <is>
          <t>LEKSAND</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12851-2023</t>
        </is>
      </c>
      <c r="B606" s="1" t="n">
        <v>45001.49347222222</v>
      </c>
      <c r="C606" s="1" t="n">
        <v>45894</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11403-2023</t>
        </is>
      </c>
      <c r="B607" s="1" t="n">
        <v>44993</v>
      </c>
      <c r="C607" s="1" t="n">
        <v>45894</v>
      </c>
      <c r="D607" t="inlineStr">
        <is>
          <t>DALARNAS LÄN</t>
        </is>
      </c>
      <c r="E607" t="inlineStr">
        <is>
          <t>LEKSAND</t>
        </is>
      </c>
      <c r="G607" t="n">
        <v>0.1</v>
      </c>
      <c r="H607" t="n">
        <v>0</v>
      </c>
      <c r="I607" t="n">
        <v>0</v>
      </c>
      <c r="J607" t="n">
        <v>0</v>
      </c>
      <c r="K607" t="n">
        <v>0</v>
      </c>
      <c r="L607" t="n">
        <v>0</v>
      </c>
      <c r="M607" t="n">
        <v>0</v>
      </c>
      <c r="N607" t="n">
        <v>0</v>
      </c>
      <c r="O607" t="n">
        <v>0</v>
      </c>
      <c r="P607" t="n">
        <v>0</v>
      </c>
      <c r="Q607" t="n">
        <v>0</v>
      </c>
      <c r="R607" s="2" t="inlineStr"/>
    </row>
    <row r="608" ht="15" customHeight="1">
      <c r="A608" t="inlineStr">
        <is>
          <t>A 32593-2025</t>
        </is>
      </c>
      <c r="B608" s="1" t="n">
        <v>45838</v>
      </c>
      <c r="C608" s="1" t="n">
        <v>45894</v>
      </c>
      <c r="D608" t="inlineStr">
        <is>
          <t>DALARNAS LÄN</t>
        </is>
      </c>
      <c r="E608" t="inlineStr">
        <is>
          <t>LEKSAND</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32726-2025</t>
        </is>
      </c>
      <c r="B609" s="1" t="n">
        <v>45839.3969212963</v>
      </c>
      <c r="C609" s="1" t="n">
        <v>45894</v>
      </c>
      <c r="D609" t="inlineStr">
        <is>
          <t>DALARNAS LÄN</t>
        </is>
      </c>
      <c r="E609" t="inlineStr">
        <is>
          <t>LEKSAND</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36020-2025</t>
        </is>
      </c>
      <c r="B610" s="1" t="n">
        <v>45863</v>
      </c>
      <c r="C610" s="1" t="n">
        <v>45894</v>
      </c>
      <c r="D610" t="inlineStr">
        <is>
          <t>DALARNAS LÄN</t>
        </is>
      </c>
      <c r="E610" t="inlineStr">
        <is>
          <t>LEKSAND</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37996-2025</t>
        </is>
      </c>
      <c r="B611" s="1" t="n">
        <v>45881.8299537037</v>
      </c>
      <c r="C611" s="1" t="n">
        <v>45894</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38090-2025</t>
        </is>
      </c>
      <c r="B612" s="1" t="n">
        <v>45882.48440972222</v>
      </c>
      <c r="C612" s="1" t="n">
        <v>45894</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33160-2025</t>
        </is>
      </c>
      <c r="B613" s="1" t="n">
        <v>45840</v>
      </c>
      <c r="C613" s="1" t="n">
        <v>45894</v>
      </c>
      <c r="D613" t="inlineStr">
        <is>
          <t>DALARNAS LÄN</t>
        </is>
      </c>
      <c r="E613" t="inlineStr">
        <is>
          <t>LEKSAND</t>
        </is>
      </c>
      <c r="G613" t="n">
        <v>2.3</v>
      </c>
      <c r="H613" t="n">
        <v>0</v>
      </c>
      <c r="I613" t="n">
        <v>0</v>
      </c>
      <c r="J613" t="n">
        <v>0</v>
      </c>
      <c r="K613" t="n">
        <v>0</v>
      </c>
      <c r="L613" t="n">
        <v>0</v>
      </c>
      <c r="M613" t="n">
        <v>0</v>
      </c>
      <c r="N613" t="n">
        <v>0</v>
      </c>
      <c r="O613" t="n">
        <v>0</v>
      </c>
      <c r="P613" t="n">
        <v>0</v>
      </c>
      <c r="Q613" t="n">
        <v>0</v>
      </c>
      <c r="R613" s="2" t="inlineStr"/>
    </row>
    <row r="614" ht="15" customHeight="1">
      <c r="A614" t="inlineStr">
        <is>
          <t>A 60129-2023</t>
        </is>
      </c>
      <c r="B614" s="1" t="n">
        <v>45258.49056712963</v>
      </c>
      <c r="C614" s="1" t="n">
        <v>45894</v>
      </c>
      <c r="D614" t="inlineStr">
        <is>
          <t>DALARNAS LÄN</t>
        </is>
      </c>
      <c r="E614" t="inlineStr">
        <is>
          <t>LEKSAND</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3737-2023</t>
        </is>
      </c>
      <c r="B615" s="1" t="n">
        <v>44951.42983796296</v>
      </c>
      <c r="C615" s="1" t="n">
        <v>45894</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43237-2024</t>
        </is>
      </c>
      <c r="B616" s="1" t="n">
        <v>45567</v>
      </c>
      <c r="C616" s="1" t="n">
        <v>45894</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34482-2022</t>
        </is>
      </c>
      <c r="B617" s="1" t="n">
        <v>44792</v>
      </c>
      <c r="C617" s="1" t="n">
        <v>45894</v>
      </c>
      <c r="D617" t="inlineStr">
        <is>
          <t>DALARNAS LÄN</t>
        </is>
      </c>
      <c r="E617" t="inlineStr">
        <is>
          <t>LEKSAND</t>
        </is>
      </c>
      <c r="G617" t="n">
        <v>2.6</v>
      </c>
      <c r="H617" t="n">
        <v>0</v>
      </c>
      <c r="I617" t="n">
        <v>0</v>
      </c>
      <c r="J617" t="n">
        <v>0</v>
      </c>
      <c r="K617" t="n">
        <v>0</v>
      </c>
      <c r="L617" t="n">
        <v>0</v>
      </c>
      <c r="M617" t="n">
        <v>0</v>
      </c>
      <c r="N617" t="n">
        <v>0</v>
      </c>
      <c r="O617" t="n">
        <v>0</v>
      </c>
      <c r="P617" t="n">
        <v>0</v>
      </c>
      <c r="Q617" t="n">
        <v>0</v>
      </c>
      <c r="R617" s="2" t="inlineStr"/>
    </row>
    <row r="618" ht="15" customHeight="1">
      <c r="A618" t="inlineStr">
        <is>
          <t>A 23068-2024</t>
        </is>
      </c>
      <c r="B618" s="1" t="n">
        <v>45450.45521990741</v>
      </c>
      <c r="C618" s="1" t="n">
        <v>45894</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7894-2025</t>
        </is>
      </c>
      <c r="B619" s="1" t="n">
        <v>45707.30268518518</v>
      </c>
      <c r="C619" s="1" t="n">
        <v>45894</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5584-2024</t>
        </is>
      </c>
      <c r="B620" s="1" t="n">
        <v>45334</v>
      </c>
      <c r="C620" s="1" t="n">
        <v>45894</v>
      </c>
      <c r="D620" t="inlineStr">
        <is>
          <t>DALARNAS LÄN</t>
        </is>
      </c>
      <c r="E620" t="inlineStr">
        <is>
          <t>LEKSAND</t>
        </is>
      </c>
      <c r="F620" t="inlineStr">
        <is>
          <t>Kyrkan</t>
        </is>
      </c>
      <c r="G620" t="n">
        <v>0.4</v>
      </c>
      <c r="H620" t="n">
        <v>0</v>
      </c>
      <c r="I620" t="n">
        <v>0</v>
      </c>
      <c r="J620" t="n">
        <v>0</v>
      </c>
      <c r="K620" t="n">
        <v>0</v>
      </c>
      <c r="L620" t="n">
        <v>0</v>
      </c>
      <c r="M620" t="n">
        <v>0</v>
      </c>
      <c r="N620" t="n">
        <v>0</v>
      </c>
      <c r="O620" t="n">
        <v>0</v>
      </c>
      <c r="P620" t="n">
        <v>0</v>
      </c>
      <c r="Q620" t="n">
        <v>0</v>
      </c>
      <c r="R620" s="2" t="inlineStr"/>
    </row>
    <row r="621" ht="15" customHeight="1">
      <c r="A621" t="inlineStr">
        <is>
          <t>A 51860-2024</t>
        </is>
      </c>
      <c r="B621" s="1" t="n">
        <v>45607.54511574074</v>
      </c>
      <c r="C621" s="1" t="n">
        <v>45894</v>
      </c>
      <c r="D621" t="inlineStr">
        <is>
          <t>DALARNAS LÄN</t>
        </is>
      </c>
      <c r="E621" t="inlineStr">
        <is>
          <t>LEKSAND</t>
        </is>
      </c>
      <c r="F621" t="inlineStr">
        <is>
          <t>Bergvik skog väst AB</t>
        </is>
      </c>
      <c r="G621" t="n">
        <v>3.4</v>
      </c>
      <c r="H621" t="n">
        <v>0</v>
      </c>
      <c r="I621" t="n">
        <v>0</v>
      </c>
      <c r="J621" t="n">
        <v>0</v>
      </c>
      <c r="K621" t="n">
        <v>0</v>
      </c>
      <c r="L621" t="n">
        <v>0</v>
      </c>
      <c r="M621" t="n">
        <v>0</v>
      </c>
      <c r="N621" t="n">
        <v>0</v>
      </c>
      <c r="O621" t="n">
        <v>0</v>
      </c>
      <c r="P621" t="n">
        <v>0</v>
      </c>
      <c r="Q621" t="n">
        <v>0</v>
      </c>
      <c r="R621" s="2" t="inlineStr"/>
    </row>
    <row r="622" ht="15" customHeight="1">
      <c r="A622" t="inlineStr">
        <is>
          <t>A 22681-2022</t>
        </is>
      </c>
      <c r="B622" s="1" t="n">
        <v>44714.50961805556</v>
      </c>
      <c r="C622" s="1" t="n">
        <v>45894</v>
      </c>
      <c r="D622" t="inlineStr">
        <is>
          <t>DALARNAS LÄN</t>
        </is>
      </c>
      <c r="E622" t="inlineStr">
        <is>
          <t>LEKSAND</t>
        </is>
      </c>
      <c r="F622" t="inlineStr">
        <is>
          <t>Bergvik skog väst AB</t>
        </is>
      </c>
      <c r="G622" t="n">
        <v>2.8</v>
      </c>
      <c r="H622" t="n">
        <v>0</v>
      </c>
      <c r="I622" t="n">
        <v>0</v>
      </c>
      <c r="J622" t="n">
        <v>0</v>
      </c>
      <c r="K622" t="n">
        <v>0</v>
      </c>
      <c r="L622" t="n">
        <v>0</v>
      </c>
      <c r="M622" t="n">
        <v>0</v>
      </c>
      <c r="N622" t="n">
        <v>0</v>
      </c>
      <c r="O622" t="n">
        <v>0</v>
      </c>
      <c r="P622" t="n">
        <v>0</v>
      </c>
      <c r="Q622" t="n">
        <v>0</v>
      </c>
      <c r="R622" s="2" t="inlineStr"/>
    </row>
    <row r="623" ht="15" customHeight="1">
      <c r="A623" t="inlineStr">
        <is>
          <t>A 28965-2023</t>
        </is>
      </c>
      <c r="B623" s="1" t="n">
        <v>45104</v>
      </c>
      <c r="C623" s="1" t="n">
        <v>45894</v>
      </c>
      <c r="D623" t="inlineStr">
        <is>
          <t>DALARNAS LÄN</t>
        </is>
      </c>
      <c r="E623" t="inlineStr">
        <is>
          <t>LEKSAND</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1457-2024</t>
        </is>
      </c>
      <c r="B624" s="1" t="n">
        <v>45303</v>
      </c>
      <c r="C624" s="1" t="n">
        <v>45894</v>
      </c>
      <c r="D624" t="inlineStr">
        <is>
          <t>DALARNAS LÄN</t>
        </is>
      </c>
      <c r="E624" t="inlineStr">
        <is>
          <t>LEKSAND</t>
        </is>
      </c>
      <c r="G624" t="n">
        <v>4.4</v>
      </c>
      <c r="H624" t="n">
        <v>0</v>
      </c>
      <c r="I624" t="n">
        <v>0</v>
      </c>
      <c r="J624" t="n">
        <v>0</v>
      </c>
      <c r="K624" t="n">
        <v>0</v>
      </c>
      <c r="L624" t="n">
        <v>0</v>
      </c>
      <c r="M624" t="n">
        <v>0</v>
      </c>
      <c r="N624" t="n">
        <v>0</v>
      </c>
      <c r="O624" t="n">
        <v>0</v>
      </c>
      <c r="P624" t="n">
        <v>0</v>
      </c>
      <c r="Q624" t="n">
        <v>0</v>
      </c>
      <c r="R624" s="2" t="inlineStr"/>
    </row>
    <row r="625" ht="15" customHeight="1">
      <c r="A625" t="inlineStr">
        <is>
          <t>A 16293-2025</t>
        </is>
      </c>
      <c r="B625" s="1" t="n">
        <v>45751.33447916667</v>
      </c>
      <c r="C625" s="1" t="n">
        <v>45894</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36021-2025</t>
        </is>
      </c>
      <c r="B626" s="1" t="n">
        <v>45863.72346064815</v>
      </c>
      <c r="C626" s="1" t="n">
        <v>45894</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6027-2025</t>
        </is>
      </c>
      <c r="B627" s="1" t="n">
        <v>45695</v>
      </c>
      <c r="C627" s="1" t="n">
        <v>45894</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38721-2025</t>
        </is>
      </c>
      <c r="B628" s="1" t="n">
        <v>45886.83605324074</v>
      </c>
      <c r="C628" s="1" t="n">
        <v>45894</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33804-2025</t>
        </is>
      </c>
      <c r="B629" s="1" t="n">
        <v>45842</v>
      </c>
      <c r="C629" s="1" t="n">
        <v>45894</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38498-2025</t>
        </is>
      </c>
      <c r="B630" s="1" t="n">
        <v>45884.3706712963</v>
      </c>
      <c r="C630" s="1" t="n">
        <v>45894</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40007-2024</t>
        </is>
      </c>
      <c r="B631" s="1" t="n">
        <v>45553.6516550926</v>
      </c>
      <c r="C631" s="1" t="n">
        <v>45894</v>
      </c>
      <c r="D631" t="inlineStr">
        <is>
          <t>DALARNAS LÄN</t>
        </is>
      </c>
      <c r="E631" t="inlineStr">
        <is>
          <t>LEKSAND</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33198-2022</t>
        </is>
      </c>
      <c r="B632" s="1" t="n">
        <v>44785.68597222222</v>
      </c>
      <c r="C632" s="1" t="n">
        <v>45894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9938-2023</t>
        </is>
      </c>
      <c r="B633" s="1" t="n">
        <v>44985</v>
      </c>
      <c r="C633" s="1" t="n">
        <v>45894</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11678-2023</t>
        </is>
      </c>
      <c r="B634" s="1" t="n">
        <v>44994</v>
      </c>
      <c r="C634" s="1" t="n">
        <v>45894</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31726-2024</t>
        </is>
      </c>
      <c r="B635" s="1" t="n">
        <v>45509.33908564815</v>
      </c>
      <c r="C635" s="1" t="n">
        <v>45894</v>
      </c>
      <c r="D635" t="inlineStr">
        <is>
          <t>DALARNAS LÄN</t>
        </is>
      </c>
      <c r="E635" t="inlineStr">
        <is>
          <t>LEKSAND</t>
        </is>
      </c>
      <c r="G635" t="n">
        <v>1.1</v>
      </c>
      <c r="H635" t="n">
        <v>0</v>
      </c>
      <c r="I635" t="n">
        <v>0</v>
      </c>
      <c r="J635" t="n">
        <v>0</v>
      </c>
      <c r="K635" t="n">
        <v>0</v>
      </c>
      <c r="L635" t="n">
        <v>0</v>
      </c>
      <c r="M635" t="n">
        <v>0</v>
      </c>
      <c r="N635" t="n">
        <v>0</v>
      </c>
      <c r="O635" t="n">
        <v>0</v>
      </c>
      <c r="P635" t="n">
        <v>0</v>
      </c>
      <c r="Q635" t="n">
        <v>0</v>
      </c>
      <c r="R635" s="2" t="inlineStr"/>
    </row>
    <row r="636" ht="15" customHeight="1">
      <c r="A636" t="inlineStr">
        <is>
          <t>A 26957-2023</t>
        </is>
      </c>
      <c r="B636" s="1" t="n">
        <v>45093</v>
      </c>
      <c r="C636" s="1" t="n">
        <v>45894</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45894</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26959-2023</t>
        </is>
      </c>
      <c r="B638" s="1" t="n">
        <v>45093.67210648148</v>
      </c>
      <c r="C638" s="1" t="n">
        <v>45894</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45894</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8755-2023</t>
        </is>
      </c>
      <c r="B640" s="1" t="n">
        <v>44978</v>
      </c>
      <c r="C640" s="1" t="n">
        <v>45894</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5582-2024</t>
        </is>
      </c>
      <c r="B641" s="1" t="n">
        <v>45334</v>
      </c>
      <c r="C641" s="1" t="n">
        <v>45894</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57933-2024</t>
        </is>
      </c>
      <c r="B642" s="1" t="n">
        <v>45630</v>
      </c>
      <c r="C642" s="1" t="n">
        <v>45894</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60095-2022</t>
        </is>
      </c>
      <c r="B643" s="1" t="n">
        <v>44909</v>
      </c>
      <c r="C643" s="1" t="n">
        <v>45894</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30595-2023</t>
        </is>
      </c>
      <c r="B644" s="1" t="n">
        <v>45112</v>
      </c>
      <c r="C644" s="1" t="n">
        <v>45894</v>
      </c>
      <c r="D644" t="inlineStr">
        <is>
          <t>DALARNAS LÄN</t>
        </is>
      </c>
      <c r="E644" t="inlineStr">
        <is>
          <t>LEKSAND</t>
        </is>
      </c>
      <c r="G644" t="n">
        <v>1.1</v>
      </c>
      <c r="H644" t="n">
        <v>0</v>
      </c>
      <c r="I644" t="n">
        <v>0</v>
      </c>
      <c r="J644" t="n">
        <v>0</v>
      </c>
      <c r="K644" t="n">
        <v>0</v>
      </c>
      <c r="L644" t="n">
        <v>0</v>
      </c>
      <c r="M644" t="n">
        <v>0</v>
      </c>
      <c r="N644" t="n">
        <v>0</v>
      </c>
      <c r="O644" t="n">
        <v>0</v>
      </c>
      <c r="P644" t="n">
        <v>0</v>
      </c>
      <c r="Q644" t="n">
        <v>0</v>
      </c>
      <c r="R644" s="2" t="inlineStr"/>
    </row>
    <row r="645" ht="15" customHeight="1">
      <c r="A645" t="inlineStr">
        <is>
          <t>A 46505-2023</t>
        </is>
      </c>
      <c r="B645" s="1" t="n">
        <v>45197</v>
      </c>
      <c r="C645" s="1" t="n">
        <v>45894</v>
      </c>
      <c r="D645" t="inlineStr">
        <is>
          <t>DALARNAS LÄN</t>
        </is>
      </c>
      <c r="E645" t="inlineStr">
        <is>
          <t>LEKSAND</t>
        </is>
      </c>
      <c r="G645" t="n">
        <v>2.3</v>
      </c>
      <c r="H645" t="n">
        <v>0</v>
      </c>
      <c r="I645" t="n">
        <v>0</v>
      </c>
      <c r="J645" t="n">
        <v>0</v>
      </c>
      <c r="K645" t="n">
        <v>0</v>
      </c>
      <c r="L645" t="n">
        <v>0</v>
      </c>
      <c r="M645" t="n">
        <v>0</v>
      </c>
      <c r="N645" t="n">
        <v>0</v>
      </c>
      <c r="O645" t="n">
        <v>0</v>
      </c>
      <c r="P645" t="n">
        <v>0</v>
      </c>
      <c r="Q645" t="n">
        <v>0</v>
      </c>
      <c r="R645" s="2" t="inlineStr"/>
    </row>
    <row r="646" ht="15" customHeight="1">
      <c r="A646" t="inlineStr">
        <is>
          <t>A 34537-2025</t>
        </is>
      </c>
      <c r="B646" s="1" t="n">
        <v>45847</v>
      </c>
      <c r="C646" s="1" t="n">
        <v>45894</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6519-2025</t>
        </is>
      </c>
      <c r="B647" s="1" t="n">
        <v>45699</v>
      </c>
      <c r="C647" s="1" t="n">
        <v>45894</v>
      </c>
      <c r="D647" t="inlineStr">
        <is>
          <t>DALARNAS LÄN</t>
        </is>
      </c>
      <c r="E647" t="inlineStr">
        <is>
          <t>LEKSAND</t>
        </is>
      </c>
      <c r="G647" t="n">
        <v>0.8</v>
      </c>
      <c r="H647" t="n">
        <v>0</v>
      </c>
      <c r="I647" t="n">
        <v>0</v>
      </c>
      <c r="J647" t="n">
        <v>0</v>
      </c>
      <c r="K647" t="n">
        <v>0</v>
      </c>
      <c r="L647" t="n">
        <v>0</v>
      </c>
      <c r="M647" t="n">
        <v>0</v>
      </c>
      <c r="N647" t="n">
        <v>0</v>
      </c>
      <c r="O647" t="n">
        <v>0</v>
      </c>
      <c r="P647" t="n">
        <v>0</v>
      </c>
      <c r="Q647" t="n">
        <v>0</v>
      </c>
      <c r="R647" s="2" t="inlineStr"/>
    </row>
    <row r="648" ht="15" customHeight="1">
      <c r="A648" t="inlineStr">
        <is>
          <t>A 58619-2022</t>
        </is>
      </c>
      <c r="B648" s="1" t="n">
        <v>44902.59579861111</v>
      </c>
      <c r="C648" s="1" t="n">
        <v>45894</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40755-2024</t>
        </is>
      </c>
      <c r="B649" s="1" t="n">
        <v>45558.45815972222</v>
      </c>
      <c r="C649" s="1" t="n">
        <v>45894</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39693-2025</t>
        </is>
      </c>
      <c r="B650" s="1" t="n">
        <v>45890.68304398148</v>
      </c>
      <c r="C650" s="1" t="n">
        <v>45894</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39569-2025</t>
        </is>
      </c>
      <c r="B651" s="1" t="n">
        <v>45890</v>
      </c>
      <c r="C651" s="1" t="n">
        <v>45894</v>
      </c>
      <c r="D651" t="inlineStr">
        <is>
          <t>DALARNAS LÄN</t>
        </is>
      </c>
      <c r="E651" t="inlineStr">
        <is>
          <t>LEKSAND</t>
        </is>
      </c>
      <c r="F651" t="inlineStr">
        <is>
          <t>Bergvik skog väst AB</t>
        </is>
      </c>
      <c r="G651" t="n">
        <v>1.6</v>
      </c>
      <c r="H651" t="n">
        <v>0</v>
      </c>
      <c r="I651" t="n">
        <v>0</v>
      </c>
      <c r="J651" t="n">
        <v>0</v>
      </c>
      <c r="K651" t="n">
        <v>0</v>
      </c>
      <c r="L651" t="n">
        <v>0</v>
      </c>
      <c r="M651" t="n">
        <v>0</v>
      </c>
      <c r="N651" t="n">
        <v>0</v>
      </c>
      <c r="O651" t="n">
        <v>0</v>
      </c>
      <c r="P651" t="n">
        <v>0</v>
      </c>
      <c r="Q651" t="n">
        <v>0</v>
      </c>
      <c r="R651" s="2" t="inlineStr"/>
    </row>
    <row r="652" ht="15" customHeight="1">
      <c r="A652" t="inlineStr">
        <is>
          <t>A 39516-2025</t>
        </is>
      </c>
      <c r="B652" s="1" t="n">
        <v>45890.42633101852</v>
      </c>
      <c r="C652" s="1" t="n">
        <v>45894</v>
      </c>
      <c r="D652" t="inlineStr">
        <is>
          <t>DALARNAS LÄN</t>
        </is>
      </c>
      <c r="E652" t="inlineStr">
        <is>
          <t>LEKSAND</t>
        </is>
      </c>
      <c r="G652" t="n">
        <v>3.6</v>
      </c>
      <c r="H652" t="n">
        <v>0</v>
      </c>
      <c r="I652" t="n">
        <v>0</v>
      </c>
      <c r="J652" t="n">
        <v>0</v>
      </c>
      <c r="K652" t="n">
        <v>0</v>
      </c>
      <c r="L652" t="n">
        <v>0</v>
      </c>
      <c r="M652" t="n">
        <v>0</v>
      </c>
      <c r="N652" t="n">
        <v>0</v>
      </c>
      <c r="O652" t="n">
        <v>0</v>
      </c>
      <c r="P652" t="n">
        <v>0</v>
      </c>
      <c r="Q652" t="n">
        <v>0</v>
      </c>
      <c r="R652" s="2" t="inlineStr"/>
    </row>
    <row r="653" ht="15" customHeight="1">
      <c r="A653" t="inlineStr">
        <is>
          <t>A 11218-2023</t>
        </is>
      </c>
      <c r="B653" s="1" t="n">
        <v>44992.62401620371</v>
      </c>
      <c r="C653" s="1" t="n">
        <v>45894</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39660-2025</t>
        </is>
      </c>
      <c r="B654" s="1" t="n">
        <v>45890.63006944444</v>
      </c>
      <c r="C654" s="1" t="n">
        <v>45894</v>
      </c>
      <c r="D654" t="inlineStr">
        <is>
          <t>DALARNAS LÄN</t>
        </is>
      </c>
      <c r="E654" t="inlineStr">
        <is>
          <t>LEKSAND</t>
        </is>
      </c>
      <c r="F654" t="inlineStr">
        <is>
          <t>Bergvik skog väst AB</t>
        </is>
      </c>
      <c r="G654" t="n">
        <v>5.8</v>
      </c>
      <c r="H654" t="n">
        <v>0</v>
      </c>
      <c r="I654" t="n">
        <v>0</v>
      </c>
      <c r="J654" t="n">
        <v>0</v>
      </c>
      <c r="K654" t="n">
        <v>0</v>
      </c>
      <c r="L654" t="n">
        <v>0</v>
      </c>
      <c r="M654" t="n">
        <v>0</v>
      </c>
      <c r="N654" t="n">
        <v>0</v>
      </c>
      <c r="O654" t="n">
        <v>0</v>
      </c>
      <c r="P654" t="n">
        <v>0</v>
      </c>
      <c r="Q654" t="n">
        <v>0</v>
      </c>
      <c r="R654" s="2" t="inlineStr"/>
    </row>
    <row r="655" ht="15" customHeight="1">
      <c r="A655" t="inlineStr">
        <is>
          <t>A 34965-2025</t>
        </is>
      </c>
      <c r="B655" s="1" t="n">
        <v>45849</v>
      </c>
      <c r="C655" s="1" t="n">
        <v>45894</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41896-2024</t>
        </is>
      </c>
      <c r="B656" s="1" t="n">
        <v>45561.51310185185</v>
      </c>
      <c r="C656" s="1" t="n">
        <v>45894</v>
      </c>
      <c r="D656" t="inlineStr">
        <is>
          <t>DALARNAS LÄN</t>
        </is>
      </c>
      <c r="E656" t="inlineStr">
        <is>
          <t>LEKSAND</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776-2021</t>
        </is>
      </c>
      <c r="B657" s="1" t="n">
        <v>44203</v>
      </c>
      <c r="C657" s="1" t="n">
        <v>45894</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61680-2024</t>
        </is>
      </c>
      <c r="B658" s="1" t="n">
        <v>45647.42890046296</v>
      </c>
      <c r="C658" s="1" t="n">
        <v>45894</v>
      </c>
      <c r="D658" t="inlineStr">
        <is>
          <t>DALARNAS LÄN</t>
        </is>
      </c>
      <c r="E658" t="inlineStr">
        <is>
          <t>LEKSAND</t>
        </is>
      </c>
      <c r="G658" t="n">
        <v>3.6</v>
      </c>
      <c r="H658" t="n">
        <v>0</v>
      </c>
      <c r="I658" t="n">
        <v>0</v>
      </c>
      <c r="J658" t="n">
        <v>0</v>
      </c>
      <c r="K658" t="n">
        <v>0</v>
      </c>
      <c r="L658" t="n">
        <v>0</v>
      </c>
      <c r="M658" t="n">
        <v>0</v>
      </c>
      <c r="N658" t="n">
        <v>0</v>
      </c>
      <c r="O658" t="n">
        <v>0</v>
      </c>
      <c r="P658" t="n">
        <v>0</v>
      </c>
      <c r="Q658" t="n">
        <v>0</v>
      </c>
      <c r="R658" s="2" t="inlineStr"/>
    </row>
    <row r="659" ht="15" customHeight="1">
      <c r="A659" t="inlineStr">
        <is>
          <t>A 39546-2025</t>
        </is>
      </c>
      <c r="B659" s="1" t="n">
        <v>45890.45706018519</v>
      </c>
      <c r="C659" s="1" t="n">
        <v>45894</v>
      </c>
      <c r="D659" t="inlineStr">
        <is>
          <t>DALARNAS LÄN</t>
        </is>
      </c>
      <c r="E659" t="inlineStr">
        <is>
          <t>LEKSAND</t>
        </is>
      </c>
      <c r="G659" t="n">
        <v>4.6</v>
      </c>
      <c r="H659" t="n">
        <v>0</v>
      </c>
      <c r="I659" t="n">
        <v>0</v>
      </c>
      <c r="J659" t="n">
        <v>0</v>
      </c>
      <c r="K659" t="n">
        <v>0</v>
      </c>
      <c r="L659" t="n">
        <v>0</v>
      </c>
      <c r="M659" t="n">
        <v>0</v>
      </c>
      <c r="N659" t="n">
        <v>0</v>
      </c>
      <c r="O659" t="n">
        <v>0</v>
      </c>
      <c r="P659" t="n">
        <v>0</v>
      </c>
      <c r="Q659" t="n">
        <v>0</v>
      </c>
      <c r="R659" s="2" t="inlineStr"/>
    </row>
    <row r="660" ht="15" customHeight="1">
      <c r="A660" t="inlineStr">
        <is>
          <t>A 39572-2025</t>
        </is>
      </c>
      <c r="B660" s="1" t="n">
        <v>45890</v>
      </c>
      <c r="C660" s="1" t="n">
        <v>45894</v>
      </c>
      <c r="D660" t="inlineStr">
        <is>
          <t>DALARNAS LÄN</t>
        </is>
      </c>
      <c r="E660" t="inlineStr">
        <is>
          <t>LEKSAND</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34789-2025</t>
        </is>
      </c>
      <c r="B661" s="1" t="n">
        <v>45848</v>
      </c>
      <c r="C661" s="1" t="n">
        <v>45894</v>
      </c>
      <c r="D661" t="inlineStr">
        <is>
          <t>DALARNAS LÄN</t>
        </is>
      </c>
      <c r="E661" t="inlineStr">
        <is>
          <t>LEKSAND</t>
        </is>
      </c>
      <c r="F661" t="inlineStr">
        <is>
          <t>Bergvik skog väst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62295-2023</t>
        </is>
      </c>
      <c r="B662" s="1" t="n">
        <v>45267</v>
      </c>
      <c r="C662" s="1" t="n">
        <v>45894</v>
      </c>
      <c r="D662" t="inlineStr">
        <is>
          <t>DALARNAS LÄN</t>
        </is>
      </c>
      <c r="E662" t="inlineStr">
        <is>
          <t>LEKSAND</t>
        </is>
      </c>
      <c r="G662" t="n">
        <v>2.5</v>
      </c>
      <c r="H662" t="n">
        <v>0</v>
      </c>
      <c r="I662" t="n">
        <v>0</v>
      </c>
      <c r="J662" t="n">
        <v>0</v>
      </c>
      <c r="K662" t="n">
        <v>0</v>
      </c>
      <c r="L662" t="n">
        <v>0</v>
      </c>
      <c r="M662" t="n">
        <v>0</v>
      </c>
      <c r="N662" t="n">
        <v>0</v>
      </c>
      <c r="O662" t="n">
        <v>0</v>
      </c>
      <c r="P662" t="n">
        <v>0</v>
      </c>
      <c r="Q662" t="n">
        <v>0</v>
      </c>
      <c r="R662" s="2" t="inlineStr"/>
    </row>
    <row r="663" ht="15" customHeight="1">
      <c r="A663" t="inlineStr">
        <is>
          <t>A 34966-2025</t>
        </is>
      </c>
      <c r="B663" s="1" t="n">
        <v>45849</v>
      </c>
      <c r="C663" s="1" t="n">
        <v>45894</v>
      </c>
      <c r="D663" t="inlineStr">
        <is>
          <t>DALARNAS LÄN</t>
        </is>
      </c>
      <c r="E663" t="inlineStr">
        <is>
          <t>LEKSAND</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8045-2024</t>
        </is>
      </c>
      <c r="B664" s="1" t="n">
        <v>45351.31371527778</v>
      </c>
      <c r="C664" s="1" t="n">
        <v>45894</v>
      </c>
      <c r="D664" t="inlineStr">
        <is>
          <t>DALARNAS LÄN</t>
        </is>
      </c>
      <c r="E664" t="inlineStr">
        <is>
          <t>LEKSAND</t>
        </is>
      </c>
      <c r="G664" t="n">
        <v>6.7</v>
      </c>
      <c r="H664" t="n">
        <v>0</v>
      </c>
      <c r="I664" t="n">
        <v>0</v>
      </c>
      <c r="J664" t="n">
        <v>0</v>
      </c>
      <c r="K664" t="n">
        <v>0</v>
      </c>
      <c r="L664" t="n">
        <v>0</v>
      </c>
      <c r="M664" t="n">
        <v>0</v>
      </c>
      <c r="N664" t="n">
        <v>0</v>
      </c>
      <c r="O664" t="n">
        <v>0</v>
      </c>
      <c r="P664" t="n">
        <v>0</v>
      </c>
      <c r="Q664" t="n">
        <v>0</v>
      </c>
      <c r="R664" s="2" t="inlineStr"/>
    </row>
    <row r="665" ht="15" customHeight="1">
      <c r="A665" t="inlineStr">
        <is>
          <t>A 33001-2023</t>
        </is>
      </c>
      <c r="B665" s="1" t="n">
        <v>45125</v>
      </c>
      <c r="C665" s="1" t="n">
        <v>45894</v>
      </c>
      <c r="D665" t="inlineStr">
        <is>
          <t>DALARNAS LÄN</t>
        </is>
      </c>
      <c r="E665" t="inlineStr">
        <is>
          <t>LEKSAND</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1946-2024</t>
        </is>
      </c>
      <c r="B666" s="1" t="n">
        <v>45308</v>
      </c>
      <c r="C666" s="1" t="n">
        <v>45894</v>
      </c>
      <c r="D666" t="inlineStr">
        <is>
          <t>DALARNAS LÄN</t>
        </is>
      </c>
      <c r="E666" t="inlineStr">
        <is>
          <t>LEKSAND</t>
        </is>
      </c>
      <c r="G666" t="n">
        <v>2.3</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45894</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61054-2023</t>
        </is>
      </c>
      <c r="B668" s="1" t="n">
        <v>45261</v>
      </c>
      <c r="C668" s="1" t="n">
        <v>45894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61056-2023</t>
        </is>
      </c>
      <c r="B669" s="1" t="n">
        <v>45261</v>
      </c>
      <c r="C669" s="1" t="n">
        <v>45894</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32394-2024</t>
        </is>
      </c>
      <c r="B670" s="1" t="n">
        <v>45512.64349537037</v>
      </c>
      <c r="C670" s="1" t="n">
        <v>45894</v>
      </c>
      <c r="D670" t="inlineStr">
        <is>
          <t>DALARNAS LÄN</t>
        </is>
      </c>
      <c r="E670" t="inlineStr">
        <is>
          <t>LEKSAND</t>
        </is>
      </c>
      <c r="F670" t="inlineStr">
        <is>
          <t>Bergvik skog väst AB</t>
        </is>
      </c>
      <c r="G670" t="n">
        <v>6</v>
      </c>
      <c r="H670" t="n">
        <v>0</v>
      </c>
      <c r="I670" t="n">
        <v>0</v>
      </c>
      <c r="J670" t="n">
        <v>0</v>
      </c>
      <c r="K670" t="n">
        <v>0</v>
      </c>
      <c r="L670" t="n">
        <v>0</v>
      </c>
      <c r="M670" t="n">
        <v>0</v>
      </c>
      <c r="N670" t="n">
        <v>0</v>
      </c>
      <c r="O670" t="n">
        <v>0</v>
      </c>
      <c r="P670" t="n">
        <v>0</v>
      </c>
      <c r="Q670" t="n">
        <v>0</v>
      </c>
      <c r="R670" s="2" t="inlineStr"/>
    </row>
    <row r="671" ht="15" customHeight="1">
      <c r="A671" t="inlineStr">
        <is>
          <t>A 11015-2022</t>
        </is>
      </c>
      <c r="B671" s="1" t="n">
        <v>44628.52340277778</v>
      </c>
      <c r="C671" s="1" t="n">
        <v>45894</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6846-2023</t>
        </is>
      </c>
      <c r="B672" s="1" t="n">
        <v>44967.43953703704</v>
      </c>
      <c r="C672" s="1" t="n">
        <v>45894</v>
      </c>
      <c r="D672" t="inlineStr">
        <is>
          <t>DALARNAS LÄN</t>
        </is>
      </c>
      <c r="E672" t="inlineStr">
        <is>
          <t>LEKSAND</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40752-2024</t>
        </is>
      </c>
      <c r="B673" s="1" t="n">
        <v>45558.45638888889</v>
      </c>
      <c r="C673" s="1" t="n">
        <v>45894</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17413-2023</t>
        </is>
      </c>
      <c r="B674" s="1" t="n">
        <v>45035</v>
      </c>
      <c r="C674" s="1" t="n">
        <v>45894</v>
      </c>
      <c r="D674" t="inlineStr">
        <is>
          <t>DALARNAS LÄN</t>
        </is>
      </c>
      <c r="E674" t="inlineStr">
        <is>
          <t>LEKSAND</t>
        </is>
      </c>
      <c r="G674" t="n">
        <v>1.7</v>
      </c>
      <c r="H674" t="n">
        <v>0</v>
      </c>
      <c r="I674" t="n">
        <v>0</v>
      </c>
      <c r="J674" t="n">
        <v>0</v>
      </c>
      <c r="K674" t="n">
        <v>0</v>
      </c>
      <c r="L674" t="n">
        <v>0</v>
      </c>
      <c r="M674" t="n">
        <v>0</v>
      </c>
      <c r="N674" t="n">
        <v>0</v>
      </c>
      <c r="O674" t="n">
        <v>0</v>
      </c>
      <c r="P674" t="n">
        <v>0</v>
      </c>
      <c r="Q674" t="n">
        <v>0</v>
      </c>
      <c r="R674" s="2" t="inlineStr"/>
    </row>
    <row r="675" ht="15" customHeight="1">
      <c r="A675" t="inlineStr">
        <is>
          <t>A 1775-2022</t>
        </is>
      </c>
      <c r="B675" s="1" t="n">
        <v>44574</v>
      </c>
      <c r="C675" s="1" t="n">
        <v>45894</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15882-2023</t>
        </is>
      </c>
      <c r="B676" s="1" t="n">
        <v>45022</v>
      </c>
      <c r="C676" s="1" t="n">
        <v>45894</v>
      </c>
      <c r="D676" t="inlineStr">
        <is>
          <t>DALARNAS LÄN</t>
        </is>
      </c>
      <c r="E676" t="inlineStr">
        <is>
          <t>LEKSAND</t>
        </is>
      </c>
      <c r="G676" t="n">
        <v>0.1</v>
      </c>
      <c r="H676" t="n">
        <v>0</v>
      </c>
      <c r="I676" t="n">
        <v>0</v>
      </c>
      <c r="J676" t="n">
        <v>0</v>
      </c>
      <c r="K676" t="n">
        <v>0</v>
      </c>
      <c r="L676" t="n">
        <v>0</v>
      </c>
      <c r="M676" t="n">
        <v>0</v>
      </c>
      <c r="N676" t="n">
        <v>0</v>
      </c>
      <c r="O676" t="n">
        <v>0</v>
      </c>
      <c r="P676" t="n">
        <v>0</v>
      </c>
      <c r="Q676" t="n">
        <v>0</v>
      </c>
      <c r="R676" s="2" t="inlineStr"/>
    </row>
    <row r="677" ht="15" customHeight="1">
      <c r="A677" t="inlineStr">
        <is>
          <t>A 56753-2023</t>
        </is>
      </c>
      <c r="B677" s="1" t="n">
        <v>45244.37094907407</v>
      </c>
      <c r="C677" s="1" t="n">
        <v>45894</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18049-2025</t>
        </is>
      </c>
      <c r="B678" s="1" t="n">
        <v>45761.46743055555</v>
      </c>
      <c r="C678" s="1" t="n">
        <v>45894</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43077-2024</t>
        </is>
      </c>
      <c r="B679" s="1" t="n">
        <v>45567.50030092592</v>
      </c>
      <c r="C679" s="1" t="n">
        <v>45894</v>
      </c>
      <c r="D679" t="inlineStr">
        <is>
          <t>DALARNAS LÄN</t>
        </is>
      </c>
      <c r="E679" t="inlineStr">
        <is>
          <t>LEKSAND</t>
        </is>
      </c>
      <c r="G679" t="n">
        <v>1.6</v>
      </c>
      <c r="H679" t="n">
        <v>0</v>
      </c>
      <c r="I679" t="n">
        <v>0</v>
      </c>
      <c r="J679" t="n">
        <v>0</v>
      </c>
      <c r="K679" t="n">
        <v>0</v>
      </c>
      <c r="L679" t="n">
        <v>0</v>
      </c>
      <c r="M679" t="n">
        <v>0</v>
      </c>
      <c r="N679" t="n">
        <v>0</v>
      </c>
      <c r="O679" t="n">
        <v>0</v>
      </c>
      <c r="P679" t="n">
        <v>0</v>
      </c>
      <c r="Q679" t="n">
        <v>0</v>
      </c>
      <c r="R679" s="2" t="inlineStr"/>
    </row>
    <row r="680" ht="15" customHeight="1">
      <c r="A680" t="inlineStr">
        <is>
          <t>A 57899-2024</t>
        </is>
      </c>
      <c r="B680" s="1" t="n">
        <v>45630</v>
      </c>
      <c r="C680" s="1" t="n">
        <v>45894</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60873-2023</t>
        </is>
      </c>
      <c r="B681" s="1" t="n">
        <v>45261.03266203704</v>
      </c>
      <c r="C681" s="1" t="n">
        <v>45894</v>
      </c>
      <c r="D681" t="inlineStr">
        <is>
          <t>DALARNAS LÄN</t>
        </is>
      </c>
      <c r="E681" t="inlineStr">
        <is>
          <t>LEKSAND</t>
        </is>
      </c>
      <c r="G681" t="n">
        <v>5.2</v>
      </c>
      <c r="H681" t="n">
        <v>0</v>
      </c>
      <c r="I681" t="n">
        <v>0</v>
      </c>
      <c r="J681" t="n">
        <v>0</v>
      </c>
      <c r="K681" t="n">
        <v>0</v>
      </c>
      <c r="L681" t="n">
        <v>0</v>
      </c>
      <c r="M681" t="n">
        <v>0</v>
      </c>
      <c r="N681" t="n">
        <v>0</v>
      </c>
      <c r="O681" t="n">
        <v>0</v>
      </c>
      <c r="P681" t="n">
        <v>0</v>
      </c>
      <c r="Q681" t="n">
        <v>0</v>
      </c>
      <c r="R681" s="2" t="inlineStr"/>
    </row>
    <row r="682" ht="15" customHeight="1">
      <c r="A682" t="inlineStr">
        <is>
          <t>A 5583-2024</t>
        </is>
      </c>
      <c r="B682" s="1" t="n">
        <v>45334</v>
      </c>
      <c r="C682" s="1" t="n">
        <v>45894</v>
      </c>
      <c r="D682" t="inlineStr">
        <is>
          <t>DALARNAS LÄN</t>
        </is>
      </c>
      <c r="E682" t="inlineStr">
        <is>
          <t>LEKSAND</t>
        </is>
      </c>
      <c r="F682" t="inlineStr">
        <is>
          <t>Kyrkan</t>
        </is>
      </c>
      <c r="G682" t="n">
        <v>0.4</v>
      </c>
      <c r="H682" t="n">
        <v>0</v>
      </c>
      <c r="I682" t="n">
        <v>0</v>
      </c>
      <c r="J682" t="n">
        <v>0</v>
      </c>
      <c r="K682" t="n">
        <v>0</v>
      </c>
      <c r="L682" t="n">
        <v>0</v>
      </c>
      <c r="M682" t="n">
        <v>0</v>
      </c>
      <c r="N682" t="n">
        <v>0</v>
      </c>
      <c r="O682" t="n">
        <v>0</v>
      </c>
      <c r="P682" t="n">
        <v>0</v>
      </c>
      <c r="Q682" t="n">
        <v>0</v>
      </c>
      <c r="R682" s="2" t="inlineStr"/>
    </row>
    <row r="683" ht="15" customHeight="1">
      <c r="A683" t="inlineStr">
        <is>
          <t>A 56950-2024</t>
        </is>
      </c>
      <c r="B683" s="1" t="n">
        <v>45625</v>
      </c>
      <c r="C683" s="1" t="n">
        <v>45894</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12581-2025</t>
        </is>
      </c>
      <c r="B684" s="1" t="n">
        <v>45732.62201388889</v>
      </c>
      <c r="C684" s="1" t="n">
        <v>45894</v>
      </c>
      <c r="D684" t="inlineStr">
        <is>
          <t>DALARNAS LÄN</t>
        </is>
      </c>
      <c r="E684" t="inlineStr">
        <is>
          <t>LEKSAND</t>
        </is>
      </c>
      <c r="G684" t="n">
        <v>5.1</v>
      </c>
      <c r="H684" t="n">
        <v>0</v>
      </c>
      <c r="I684" t="n">
        <v>0</v>
      </c>
      <c r="J684" t="n">
        <v>0</v>
      </c>
      <c r="K684" t="n">
        <v>0</v>
      </c>
      <c r="L684" t="n">
        <v>0</v>
      </c>
      <c r="M684" t="n">
        <v>0</v>
      </c>
      <c r="N684" t="n">
        <v>0</v>
      </c>
      <c r="O684" t="n">
        <v>0</v>
      </c>
      <c r="P684" t="n">
        <v>0</v>
      </c>
      <c r="Q684" t="n">
        <v>0</v>
      </c>
      <c r="R684" s="2" t="inlineStr"/>
    </row>
    <row r="685" ht="15" customHeight="1">
      <c r="A685" t="inlineStr">
        <is>
          <t>A 12620-2025</t>
        </is>
      </c>
      <c r="B685" s="1" t="n">
        <v>45733.35498842593</v>
      </c>
      <c r="C685" s="1" t="n">
        <v>45894</v>
      </c>
      <c r="D685" t="inlineStr">
        <is>
          <t>DALARNAS LÄN</t>
        </is>
      </c>
      <c r="E685" t="inlineStr">
        <is>
          <t>LEKSAND</t>
        </is>
      </c>
      <c r="F685" t="inlineStr">
        <is>
          <t>Bergvik skog väst AB</t>
        </is>
      </c>
      <c r="G685" t="n">
        <v>3.9</v>
      </c>
      <c r="H685" t="n">
        <v>0</v>
      </c>
      <c r="I685" t="n">
        <v>0</v>
      </c>
      <c r="J685" t="n">
        <v>0</v>
      </c>
      <c r="K685" t="n">
        <v>0</v>
      </c>
      <c r="L685" t="n">
        <v>0</v>
      </c>
      <c r="M685" t="n">
        <v>0</v>
      </c>
      <c r="N685" t="n">
        <v>0</v>
      </c>
      <c r="O685" t="n">
        <v>0</v>
      </c>
      <c r="P685" t="n">
        <v>0</v>
      </c>
      <c r="Q685" t="n">
        <v>0</v>
      </c>
      <c r="R685" s="2" t="inlineStr"/>
    </row>
    <row r="686" ht="15" customHeight="1">
      <c r="A686" t="inlineStr">
        <is>
          <t>A 12623-2025</t>
        </is>
      </c>
      <c r="B686" s="1" t="n">
        <v>45733.36079861111</v>
      </c>
      <c r="C686" s="1" t="n">
        <v>45894</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15120-2023</t>
        </is>
      </c>
      <c r="B687" s="1" t="n">
        <v>45016.46484953703</v>
      </c>
      <c r="C687" s="1" t="n">
        <v>45894</v>
      </c>
      <c r="D687" t="inlineStr">
        <is>
          <t>DALARNAS LÄN</t>
        </is>
      </c>
      <c r="E687" t="inlineStr">
        <is>
          <t>LEKSAND</t>
        </is>
      </c>
      <c r="G687" t="n">
        <v>2.7</v>
      </c>
      <c r="H687" t="n">
        <v>0</v>
      </c>
      <c r="I687" t="n">
        <v>0</v>
      </c>
      <c r="J687" t="n">
        <v>0</v>
      </c>
      <c r="K687" t="n">
        <v>0</v>
      </c>
      <c r="L687" t="n">
        <v>0</v>
      </c>
      <c r="M687" t="n">
        <v>0</v>
      </c>
      <c r="N687" t="n">
        <v>0</v>
      </c>
      <c r="O687" t="n">
        <v>0</v>
      </c>
      <c r="P687" t="n">
        <v>0</v>
      </c>
      <c r="Q687" t="n">
        <v>0</v>
      </c>
      <c r="R687" s="2" t="inlineStr"/>
    </row>
    <row r="688" ht="15" customHeight="1">
      <c r="A688" t="inlineStr">
        <is>
          <t>A 27445-2024</t>
        </is>
      </c>
      <c r="B688" s="1" t="n">
        <v>45474.42474537037</v>
      </c>
      <c r="C688" s="1" t="n">
        <v>45894</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43693-2022</t>
        </is>
      </c>
      <c r="B689" s="1" t="n">
        <v>44837.6369212963</v>
      </c>
      <c r="C689" s="1" t="n">
        <v>45894</v>
      </c>
      <c r="D689" t="inlineStr">
        <is>
          <t>DALARNAS LÄN</t>
        </is>
      </c>
      <c r="E689" t="inlineStr">
        <is>
          <t>LEKSAND</t>
        </is>
      </c>
      <c r="G689" t="n">
        <v>2.7</v>
      </c>
      <c r="H689" t="n">
        <v>0</v>
      </c>
      <c r="I689" t="n">
        <v>0</v>
      </c>
      <c r="J689" t="n">
        <v>0</v>
      </c>
      <c r="K689" t="n">
        <v>0</v>
      </c>
      <c r="L689" t="n">
        <v>0</v>
      </c>
      <c r="M689" t="n">
        <v>0</v>
      </c>
      <c r="N689" t="n">
        <v>0</v>
      </c>
      <c r="O689" t="n">
        <v>0</v>
      </c>
      <c r="P689" t="n">
        <v>0</v>
      </c>
      <c r="Q689" t="n">
        <v>0</v>
      </c>
      <c r="R689" s="2" t="inlineStr"/>
    </row>
    <row r="690" ht="15" customHeight="1">
      <c r="A690" t="inlineStr">
        <is>
          <t>A 5453-2025</t>
        </is>
      </c>
      <c r="B690" s="1" t="n">
        <v>45692.95231481481</v>
      </c>
      <c r="C690" s="1" t="n">
        <v>45894</v>
      </c>
      <c r="D690" t="inlineStr">
        <is>
          <t>DALARNAS LÄN</t>
        </is>
      </c>
      <c r="E690" t="inlineStr">
        <is>
          <t>LEKSAND</t>
        </is>
      </c>
      <c r="G690" t="n">
        <v>2.2</v>
      </c>
      <c r="H690" t="n">
        <v>0</v>
      </c>
      <c r="I690" t="n">
        <v>0</v>
      </c>
      <c r="J690" t="n">
        <v>0</v>
      </c>
      <c r="K690" t="n">
        <v>0</v>
      </c>
      <c r="L690" t="n">
        <v>0</v>
      </c>
      <c r="M690" t="n">
        <v>0</v>
      </c>
      <c r="N690" t="n">
        <v>0</v>
      </c>
      <c r="O690" t="n">
        <v>0</v>
      </c>
      <c r="P690" t="n">
        <v>0</v>
      </c>
      <c r="Q690" t="n">
        <v>0</v>
      </c>
      <c r="R690" s="2" t="inlineStr"/>
    </row>
    <row r="691" ht="15" customHeight="1">
      <c r="A691" t="inlineStr">
        <is>
          <t>A 3352-2024</t>
        </is>
      </c>
      <c r="B691" s="1" t="n">
        <v>45317</v>
      </c>
      <c r="C691" s="1" t="n">
        <v>45894</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52755-2024</t>
        </is>
      </c>
      <c r="B692" s="1" t="n">
        <v>45610.50217592593</v>
      </c>
      <c r="C692" s="1" t="n">
        <v>45894</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13165-2023</t>
        </is>
      </c>
      <c r="B693" s="1" t="n">
        <v>45002.57731481481</v>
      </c>
      <c r="C693" s="1" t="n">
        <v>45894</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39620-2024</t>
        </is>
      </c>
      <c r="B694" s="1" t="n">
        <v>45552.43163194445</v>
      </c>
      <c r="C694" s="1" t="n">
        <v>45894</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30204-2024</t>
        </is>
      </c>
      <c r="B695" s="1" t="n">
        <v>45490.35402777778</v>
      </c>
      <c r="C695" s="1" t="n">
        <v>45894</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6050-2023</t>
        </is>
      </c>
      <c r="B696" s="1" t="n">
        <v>44959</v>
      </c>
      <c r="C696" s="1" t="n">
        <v>45894</v>
      </c>
      <c r="D696" t="inlineStr">
        <is>
          <t>DALARNAS LÄN</t>
        </is>
      </c>
      <c r="E696" t="inlineStr">
        <is>
          <t>LEKSAND</t>
        </is>
      </c>
      <c r="G696" t="n">
        <v>6.2</v>
      </c>
      <c r="H696" t="n">
        <v>0</v>
      </c>
      <c r="I696" t="n">
        <v>0</v>
      </c>
      <c r="J696" t="n">
        <v>0</v>
      </c>
      <c r="K696" t="n">
        <v>0</v>
      </c>
      <c r="L696" t="n">
        <v>0</v>
      </c>
      <c r="M696" t="n">
        <v>0</v>
      </c>
      <c r="N696" t="n">
        <v>0</v>
      </c>
      <c r="O696" t="n">
        <v>0</v>
      </c>
      <c r="P696" t="n">
        <v>0</v>
      </c>
      <c r="Q696" t="n">
        <v>0</v>
      </c>
      <c r="R696" s="2" t="inlineStr"/>
    </row>
    <row r="697" ht="15" customHeight="1">
      <c r="A697" t="inlineStr">
        <is>
          <t>A 17730-2024</t>
        </is>
      </c>
      <c r="B697" s="1" t="n">
        <v>45418</v>
      </c>
      <c r="C697" s="1" t="n">
        <v>45894</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20946-2023</t>
        </is>
      </c>
      <c r="B698" s="1" t="n">
        <v>45061</v>
      </c>
      <c r="C698" s="1" t="n">
        <v>45894</v>
      </c>
      <c r="D698" t="inlineStr">
        <is>
          <t>DALARNAS LÄN</t>
        </is>
      </c>
      <c r="E698" t="inlineStr">
        <is>
          <t>LEKSAND</t>
        </is>
      </c>
      <c r="G698" t="n">
        <v>2.7</v>
      </c>
      <c r="H698" t="n">
        <v>0</v>
      </c>
      <c r="I698" t="n">
        <v>0</v>
      </c>
      <c r="J698" t="n">
        <v>0</v>
      </c>
      <c r="K698" t="n">
        <v>0</v>
      </c>
      <c r="L698" t="n">
        <v>0</v>
      </c>
      <c r="M698" t="n">
        <v>0</v>
      </c>
      <c r="N698" t="n">
        <v>0</v>
      </c>
      <c r="O698" t="n">
        <v>0</v>
      </c>
      <c r="P698" t="n">
        <v>0</v>
      </c>
      <c r="Q698" t="n">
        <v>0</v>
      </c>
      <c r="R698" s="2" t="inlineStr"/>
    </row>
    <row r="699" ht="15" customHeight="1">
      <c r="A699" t="inlineStr">
        <is>
          <t>A 16748-2025</t>
        </is>
      </c>
      <c r="B699" s="1" t="n">
        <v>45754</v>
      </c>
      <c r="C699" s="1" t="n">
        <v>45894</v>
      </c>
      <c r="D699" t="inlineStr">
        <is>
          <t>DALARNAS LÄN</t>
        </is>
      </c>
      <c r="E699" t="inlineStr">
        <is>
          <t>LEKSAND</t>
        </is>
      </c>
      <c r="F699" t="inlineStr">
        <is>
          <t>Bergvik skog väst AB</t>
        </is>
      </c>
      <c r="G699" t="n">
        <v>2.9</v>
      </c>
      <c r="H699" t="n">
        <v>0</v>
      </c>
      <c r="I699" t="n">
        <v>0</v>
      </c>
      <c r="J699" t="n">
        <v>0</v>
      </c>
      <c r="K699" t="n">
        <v>0</v>
      </c>
      <c r="L699" t="n">
        <v>0</v>
      </c>
      <c r="M699" t="n">
        <v>0</v>
      </c>
      <c r="N699" t="n">
        <v>0</v>
      </c>
      <c r="O699" t="n">
        <v>0</v>
      </c>
      <c r="P699" t="n">
        <v>0</v>
      </c>
      <c r="Q699" t="n">
        <v>0</v>
      </c>
      <c r="R699" s="2" t="inlineStr"/>
    </row>
    <row r="700" ht="15" customHeight="1">
      <c r="A700" t="inlineStr">
        <is>
          <t>A 34039-2024</t>
        </is>
      </c>
      <c r="B700" s="1" t="n">
        <v>45523.5974537037</v>
      </c>
      <c r="C700" s="1" t="n">
        <v>45894</v>
      </c>
      <c r="D700" t="inlineStr">
        <is>
          <t>DALARNAS LÄN</t>
        </is>
      </c>
      <c r="E700" t="inlineStr">
        <is>
          <t>LEKSAND</t>
        </is>
      </c>
      <c r="G700" t="n">
        <v>7.1</v>
      </c>
      <c r="H700" t="n">
        <v>0</v>
      </c>
      <c r="I700" t="n">
        <v>0</v>
      </c>
      <c r="J700" t="n">
        <v>0</v>
      </c>
      <c r="K700" t="n">
        <v>0</v>
      </c>
      <c r="L700" t="n">
        <v>0</v>
      </c>
      <c r="M700" t="n">
        <v>0</v>
      </c>
      <c r="N700" t="n">
        <v>0</v>
      </c>
      <c r="O700" t="n">
        <v>0</v>
      </c>
      <c r="P700" t="n">
        <v>0</v>
      </c>
      <c r="Q700" t="n">
        <v>0</v>
      </c>
      <c r="R700" s="2" t="inlineStr"/>
    </row>
    <row r="701">
      <c r="A701" t="inlineStr">
        <is>
          <t>A 7759-2025</t>
        </is>
      </c>
      <c r="B701" s="1" t="n">
        <v>45706.53827546296</v>
      </c>
      <c r="C701" s="1" t="n">
        <v>45894</v>
      </c>
      <c r="D701" t="inlineStr">
        <is>
          <t>DALARNAS LÄN</t>
        </is>
      </c>
      <c r="E701" t="inlineStr">
        <is>
          <t>LEKSAND</t>
        </is>
      </c>
      <c r="G701" t="n">
        <v>3.3</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2025-08-25T08:29:13Z</dcterms:created>
  <dcterms:modified xmlns:dcterms="http://purl.org/dc/terms/" xmlns:xsi="http://www.w3.org/2001/XMLSchema-instance" xsi:type="dcterms:W3CDTF">2025-08-25T08:29:14Z</dcterms:modified>
</cp:coreProperties>
</file>