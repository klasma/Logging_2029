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45982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45982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45982</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45982</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45982</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45982</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45982</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45982</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45982</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45982</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45982</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45982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45982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45982</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45982</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45982</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45982</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45982</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45982</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4974-2025</t>
        </is>
      </c>
      <c r="B33" s="1" t="n">
        <v>45690.8478587963</v>
      </c>
      <c r="C33" s="1" t="n">
        <v>45982</v>
      </c>
      <c r="D33" t="inlineStr">
        <is>
          <t>DALARNAS LÄN</t>
        </is>
      </c>
      <c r="E33" t="inlineStr">
        <is>
          <t>LEKSAND</t>
        </is>
      </c>
      <c r="G33" t="n">
        <v>0.9</v>
      </c>
      <c r="H33" t="n">
        <v>1</v>
      </c>
      <c r="I33" t="n">
        <v>0</v>
      </c>
      <c r="J33" t="n">
        <v>1</v>
      </c>
      <c r="K33" t="n">
        <v>0</v>
      </c>
      <c r="L33" t="n">
        <v>0</v>
      </c>
      <c r="M33" t="n">
        <v>0</v>
      </c>
      <c r="N33" t="n">
        <v>0</v>
      </c>
      <c r="O33" t="n">
        <v>1</v>
      </c>
      <c r="P33" t="n">
        <v>0</v>
      </c>
      <c r="Q33" t="n">
        <v>1</v>
      </c>
      <c r="R33" s="2" t="inlineStr">
        <is>
          <t>Spillkråka</t>
        </is>
      </c>
      <c r="S33">
        <f>HYPERLINK("https://klasma.github.io/Logging_2029/artfynd/A 4974-2025 artfynd.xlsx", "A 4974-2025")</f>
        <v/>
      </c>
      <c r="T33">
        <f>HYPERLINK("https://klasma.github.io/Logging_2029/kartor/A 4974-2025 karta.png", "A 4974-2025")</f>
        <v/>
      </c>
      <c r="V33">
        <f>HYPERLINK("https://klasma.github.io/Logging_2029/klagomål/A 4974-2025 FSC-klagomål.docx", "A 4974-2025")</f>
        <v/>
      </c>
      <c r="W33">
        <f>HYPERLINK("https://klasma.github.io/Logging_2029/klagomålsmail/A 4974-2025 FSC-klagomål mail.docx", "A 4974-2025")</f>
        <v/>
      </c>
      <c r="X33">
        <f>HYPERLINK("https://klasma.github.io/Logging_2029/tillsyn/A 4974-2025 tillsynsbegäran.docx", "A 4974-2025")</f>
        <v/>
      </c>
      <c r="Y33">
        <f>HYPERLINK("https://klasma.github.io/Logging_2029/tillsynsmail/A 4974-2025 tillsynsbegäran mail.docx", "A 4974-2025")</f>
        <v/>
      </c>
      <c r="Z33">
        <f>HYPERLINK("https://klasma.github.io/Logging_2029/fåglar/A 4974-2025 prioriterade fågelarter.docx", "A 4974-2025")</f>
        <v/>
      </c>
    </row>
    <row r="34" ht="15" customHeight="1">
      <c r="A34" t="inlineStr">
        <is>
          <t>A 31951-2025</t>
        </is>
      </c>
      <c r="B34" s="1" t="n">
        <v>45835.33481481481</v>
      </c>
      <c r="C34" s="1" t="n">
        <v>45982</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36778-2025</t>
        </is>
      </c>
      <c r="B35" s="1" t="n">
        <v>45873</v>
      </c>
      <c r="C35" s="1" t="n">
        <v>45982</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34993-2025</t>
        </is>
      </c>
      <c r="B36" s="1" t="n">
        <v>45849.82383101852</v>
      </c>
      <c r="C36" s="1" t="n">
        <v>45982</v>
      </c>
      <c r="D36" t="inlineStr">
        <is>
          <t>DALARNAS LÄN</t>
        </is>
      </c>
      <c r="E36" t="inlineStr">
        <is>
          <t>LEKSAND</t>
        </is>
      </c>
      <c r="F36" t="inlineStr">
        <is>
          <t>Bergvik skog väst AB</t>
        </is>
      </c>
      <c r="G36" t="n">
        <v>4.6</v>
      </c>
      <c r="H36" t="n">
        <v>0</v>
      </c>
      <c r="I36" t="n">
        <v>1</v>
      </c>
      <c r="J36" t="n">
        <v>0</v>
      </c>
      <c r="K36" t="n">
        <v>0</v>
      </c>
      <c r="L36" t="n">
        <v>0</v>
      </c>
      <c r="M36" t="n">
        <v>0</v>
      </c>
      <c r="N36" t="n">
        <v>0</v>
      </c>
      <c r="O36" t="n">
        <v>0</v>
      </c>
      <c r="P36" t="n">
        <v>0</v>
      </c>
      <c r="Q36" t="n">
        <v>1</v>
      </c>
      <c r="R36" s="2" t="inlineStr">
        <is>
          <t>Mindre märgborre</t>
        </is>
      </c>
      <c r="S36">
        <f>HYPERLINK("https://klasma.github.io/Logging_2029/artfynd/A 34993-2025 artfynd.xlsx", "A 34993-2025")</f>
        <v/>
      </c>
      <c r="T36">
        <f>HYPERLINK("https://klasma.github.io/Logging_2029/kartor/A 34993-2025 karta.png", "A 34993-2025")</f>
        <v/>
      </c>
      <c r="V36">
        <f>HYPERLINK("https://klasma.github.io/Logging_2029/klagomål/A 34993-2025 FSC-klagomål.docx", "A 34993-2025")</f>
        <v/>
      </c>
      <c r="W36">
        <f>HYPERLINK("https://klasma.github.io/Logging_2029/klagomålsmail/A 34993-2025 FSC-klagomål mail.docx", "A 34993-2025")</f>
        <v/>
      </c>
      <c r="X36">
        <f>HYPERLINK("https://klasma.github.io/Logging_2029/tillsyn/A 34993-2025 tillsynsbegäran.docx", "A 34993-2025")</f>
        <v/>
      </c>
      <c r="Y36">
        <f>HYPERLINK("https://klasma.github.io/Logging_2029/tillsynsmail/A 34993-2025 tillsynsbegäran mail.docx", "A 34993-2025")</f>
        <v/>
      </c>
    </row>
    <row r="37" ht="15" customHeight="1">
      <c r="A37" t="inlineStr">
        <is>
          <t>A 34996-2025</t>
        </is>
      </c>
      <c r="B37" s="1" t="n">
        <v>45849.82798611111</v>
      </c>
      <c r="C37" s="1" t="n">
        <v>45982</v>
      </c>
      <c r="D37" t="inlineStr">
        <is>
          <t>DALARNAS LÄN</t>
        </is>
      </c>
      <c r="E37" t="inlineStr">
        <is>
          <t>LEKSAND</t>
        </is>
      </c>
      <c r="G37" t="n">
        <v>1.1</v>
      </c>
      <c r="H37" t="n">
        <v>0</v>
      </c>
      <c r="I37" t="n">
        <v>0</v>
      </c>
      <c r="J37" t="n">
        <v>1</v>
      </c>
      <c r="K37" t="n">
        <v>0</v>
      </c>
      <c r="L37" t="n">
        <v>0</v>
      </c>
      <c r="M37" t="n">
        <v>0</v>
      </c>
      <c r="N37" t="n">
        <v>0</v>
      </c>
      <c r="O37" t="n">
        <v>1</v>
      </c>
      <c r="P37" t="n">
        <v>0</v>
      </c>
      <c r="Q37" t="n">
        <v>1</v>
      </c>
      <c r="R37" s="2" t="inlineStr">
        <is>
          <t>Garnlav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45375-2025</t>
        </is>
      </c>
      <c r="B38" s="1" t="n">
        <v>45922.39347222223</v>
      </c>
      <c r="C38" s="1" t="n">
        <v>45982</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55633-2024</t>
        </is>
      </c>
      <c r="B39" s="1" t="n">
        <v>45621</v>
      </c>
      <c r="C39" s="1" t="n">
        <v>45982</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47601-2025</t>
        </is>
      </c>
      <c r="B40" s="1" t="n">
        <v>45931.46008101852</v>
      </c>
      <c r="C40" s="1" t="n">
        <v>45982</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164-2024</t>
        </is>
      </c>
      <c r="B41" s="1" t="n">
        <v>45294.49954861111</v>
      </c>
      <c r="C41" s="1" t="n">
        <v>45982</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6029-2025</t>
        </is>
      </c>
      <c r="B42" s="1" t="n">
        <v>45695</v>
      </c>
      <c r="C42" s="1" t="n">
        <v>45982</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45982</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45982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45982</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11218-2023</t>
        </is>
      </c>
      <c r="B46" s="1" t="n">
        <v>44992.62401620371</v>
      </c>
      <c r="C46" s="1" t="n">
        <v>45982</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45982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45982</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52600-2024</t>
        </is>
      </c>
      <c r="B49" s="1" t="n">
        <v>45609</v>
      </c>
      <c r="C49" s="1" t="n">
        <v>45982</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31124-2024</t>
        </is>
      </c>
      <c r="B50" s="1" t="n">
        <v>45502.62886574074</v>
      </c>
      <c r="C50" s="1" t="n">
        <v>45982</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45982</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45982</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45982</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45982</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45982</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45982</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45982</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45982</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45982</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45982</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45982</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45982</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45982</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45982</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45982</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45982</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45982</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45982</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45982</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45982</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45982</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45982</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45982</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45982</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45982</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45982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18267-2021</t>
        </is>
      </c>
      <c r="B77" s="1" t="n">
        <v>44305</v>
      </c>
      <c r="C77" s="1" t="n">
        <v>45982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45982</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45982</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45982</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45982</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45982</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45982</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45982</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45982</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45982</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45982</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45982</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45982</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45982</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19480-2022</t>
        </is>
      </c>
      <c r="B91" s="1" t="n">
        <v>44693</v>
      </c>
      <c r="C91" s="1" t="n">
        <v>45982</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45982</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62279-2021</t>
        </is>
      </c>
      <c r="B93" s="1" t="n">
        <v>44503</v>
      </c>
      <c r="C93" s="1" t="n">
        <v>45982</v>
      </c>
      <c r="D93" t="inlineStr">
        <is>
          <t>DALARNAS LÄN</t>
        </is>
      </c>
      <c r="E93" t="inlineStr">
        <is>
          <t>LEKSAND</t>
        </is>
      </c>
      <c r="G93" t="n">
        <v>1.8</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45982</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45982</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45982</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45982</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45982</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45982</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45982</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45982</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45982</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45982</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45982</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45982</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45982</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45982</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14140-2022</t>
        </is>
      </c>
      <c r="B108" s="1" t="n">
        <v>44651</v>
      </c>
      <c r="C108" s="1" t="n">
        <v>45982</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45982</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45982</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45982</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45982</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45982</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45982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45982</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45982</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45982</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41840-2024</t>
        </is>
      </c>
      <c r="B118" s="1" t="n">
        <v>45561.42170138889</v>
      </c>
      <c r="C118" s="1" t="n">
        <v>45982</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18040-2024</t>
        </is>
      </c>
      <c r="B119" s="1" t="n">
        <v>45420.36664351852</v>
      </c>
      <c r="C119" s="1" t="n">
        <v>45982</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46141-2022</t>
        </is>
      </c>
      <c r="B120" s="1" t="n">
        <v>44846</v>
      </c>
      <c r="C120" s="1" t="n">
        <v>45982</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18484-2024</t>
        </is>
      </c>
      <c r="B121" s="1" t="n">
        <v>45425.52559027778</v>
      </c>
      <c r="C121" s="1" t="n">
        <v>45982</v>
      </c>
      <c r="D121" t="inlineStr">
        <is>
          <t>DALARNAS LÄN</t>
        </is>
      </c>
      <c r="E121" t="inlineStr">
        <is>
          <t>LEKSAND</t>
        </is>
      </c>
      <c r="G121" t="n">
        <v>2</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45982</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11418-2023</t>
        </is>
      </c>
      <c r="B123" s="1" t="n">
        <v>44993</v>
      </c>
      <c r="C123" s="1" t="n">
        <v>45982</v>
      </c>
      <c r="D123" t="inlineStr">
        <is>
          <t>DALARNAS LÄN</t>
        </is>
      </c>
      <c r="E123" t="inlineStr">
        <is>
          <t>LEKSAND</t>
        </is>
      </c>
      <c r="G123" t="n">
        <v>2.7</v>
      </c>
      <c r="H123" t="n">
        <v>0</v>
      </c>
      <c r="I123" t="n">
        <v>0</v>
      </c>
      <c r="J123" t="n">
        <v>0</v>
      </c>
      <c r="K123" t="n">
        <v>0</v>
      </c>
      <c r="L123" t="n">
        <v>0</v>
      </c>
      <c r="M123" t="n">
        <v>0</v>
      </c>
      <c r="N123" t="n">
        <v>0</v>
      </c>
      <c r="O123" t="n">
        <v>0</v>
      </c>
      <c r="P123" t="n">
        <v>0</v>
      </c>
      <c r="Q123" t="n">
        <v>0</v>
      </c>
      <c r="R123" s="2" t="inlineStr"/>
    </row>
    <row r="124" ht="15" customHeight="1">
      <c r="A124" t="inlineStr">
        <is>
          <t>A 40407-2024</t>
        </is>
      </c>
      <c r="B124" s="1" t="n">
        <v>45555</v>
      </c>
      <c r="C124" s="1" t="n">
        <v>45982</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33180-2024</t>
        </is>
      </c>
      <c r="B125" s="1" t="n">
        <v>45518.44481481481</v>
      </c>
      <c r="C125" s="1" t="n">
        <v>45982</v>
      </c>
      <c r="D125" t="inlineStr">
        <is>
          <t>DALARNAS LÄN</t>
        </is>
      </c>
      <c r="E125" t="inlineStr">
        <is>
          <t>LEKSAND</t>
        </is>
      </c>
      <c r="G125" t="n">
        <v>7.6</v>
      </c>
      <c r="H125" t="n">
        <v>0</v>
      </c>
      <c r="I125" t="n">
        <v>0</v>
      </c>
      <c r="J125" t="n">
        <v>0</v>
      </c>
      <c r="K125" t="n">
        <v>0</v>
      </c>
      <c r="L125" t="n">
        <v>0</v>
      </c>
      <c r="M125" t="n">
        <v>0</v>
      </c>
      <c r="N125" t="n">
        <v>0</v>
      </c>
      <c r="O125" t="n">
        <v>0</v>
      </c>
      <c r="P125" t="n">
        <v>0</v>
      </c>
      <c r="Q125" t="n">
        <v>0</v>
      </c>
      <c r="R125" s="2" t="inlineStr"/>
    </row>
    <row r="126" ht="15" customHeight="1">
      <c r="A126" t="inlineStr">
        <is>
          <t>A 70099-2021</t>
        </is>
      </c>
      <c r="B126" s="1" t="n">
        <v>44533</v>
      </c>
      <c r="C126" s="1" t="n">
        <v>45982</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28592-2023</t>
        </is>
      </c>
      <c r="B127" s="1" t="n">
        <v>45103</v>
      </c>
      <c r="C127" s="1" t="n">
        <v>45982</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27791-2023</t>
        </is>
      </c>
      <c r="B128" s="1" t="n">
        <v>45098</v>
      </c>
      <c r="C128" s="1" t="n">
        <v>45982</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52801-2023</t>
        </is>
      </c>
      <c r="B129" s="1" t="n">
        <v>45219</v>
      </c>
      <c r="C129" s="1" t="n">
        <v>45982</v>
      </c>
      <c r="D129" t="inlineStr">
        <is>
          <t>DALARNAS LÄN</t>
        </is>
      </c>
      <c r="E129" t="inlineStr">
        <is>
          <t>LEKSAND</t>
        </is>
      </c>
      <c r="G129" t="n">
        <v>4.9</v>
      </c>
      <c r="H129" t="n">
        <v>0</v>
      </c>
      <c r="I129" t="n">
        <v>0</v>
      </c>
      <c r="J129" t="n">
        <v>0</v>
      </c>
      <c r="K129" t="n">
        <v>0</v>
      </c>
      <c r="L129" t="n">
        <v>0</v>
      </c>
      <c r="M129" t="n">
        <v>0</v>
      </c>
      <c r="N129" t="n">
        <v>0</v>
      </c>
      <c r="O129" t="n">
        <v>0</v>
      </c>
      <c r="P129" t="n">
        <v>0</v>
      </c>
      <c r="Q129" t="n">
        <v>0</v>
      </c>
      <c r="R129" s="2" t="inlineStr"/>
    </row>
    <row r="130" ht="15" customHeight="1">
      <c r="A130" t="inlineStr">
        <is>
          <t>A 9781-2024</t>
        </is>
      </c>
      <c r="B130" s="1" t="n">
        <v>45362.66299768518</v>
      </c>
      <c r="C130" s="1" t="n">
        <v>45982</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11617-2024</t>
        </is>
      </c>
      <c r="B131" s="1" t="n">
        <v>45373.42898148148</v>
      </c>
      <c r="C131" s="1" t="n">
        <v>45982</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71817-2021</t>
        </is>
      </c>
      <c r="B132" s="1" t="n">
        <v>44543.59780092593</v>
      </c>
      <c r="C132" s="1" t="n">
        <v>45982</v>
      </c>
      <c r="D132" t="inlineStr">
        <is>
          <t>DALARNAS LÄN</t>
        </is>
      </c>
      <c r="E132" t="inlineStr">
        <is>
          <t>LEKSAND</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30175-2023</t>
        </is>
      </c>
      <c r="B133" s="1" t="n">
        <v>45110</v>
      </c>
      <c r="C133" s="1" t="n">
        <v>45982</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59103-2024</t>
        </is>
      </c>
      <c r="B134" s="1" t="n">
        <v>45637.34184027778</v>
      </c>
      <c r="C134" s="1" t="n">
        <v>45982</v>
      </c>
      <c r="D134" t="inlineStr">
        <is>
          <t>DALARNAS LÄN</t>
        </is>
      </c>
      <c r="E134" t="inlineStr">
        <is>
          <t>LEKSAND</t>
        </is>
      </c>
      <c r="G134" t="n">
        <v>1.5</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45982</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62306-2023</t>
        </is>
      </c>
      <c r="B136" s="1" t="n">
        <v>45266</v>
      </c>
      <c r="C136" s="1" t="n">
        <v>45982</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59763-2023</t>
        </is>
      </c>
      <c r="B137" s="1" t="n">
        <v>45257</v>
      </c>
      <c r="C137" s="1" t="n">
        <v>45982</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33674-2023</t>
        </is>
      </c>
      <c r="B138" s="1" t="n">
        <v>45132</v>
      </c>
      <c r="C138" s="1" t="n">
        <v>45982</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31971-2024</t>
        </is>
      </c>
      <c r="B139" s="1" t="n">
        <v>45510.55171296297</v>
      </c>
      <c r="C139" s="1" t="n">
        <v>45982</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22388-2024</t>
        </is>
      </c>
      <c r="B140" s="1" t="n">
        <v>45446</v>
      </c>
      <c r="C140" s="1" t="n">
        <v>45982</v>
      </c>
      <c r="D140" t="inlineStr">
        <is>
          <t>DALARNAS LÄN</t>
        </is>
      </c>
      <c r="E140" t="inlineStr">
        <is>
          <t>LEKSAND</t>
        </is>
      </c>
      <c r="F140" t="inlineStr">
        <is>
          <t>Bergvik skog väst AB</t>
        </is>
      </c>
      <c r="G140" t="n">
        <v>5.3</v>
      </c>
      <c r="H140" t="n">
        <v>0</v>
      </c>
      <c r="I140" t="n">
        <v>0</v>
      </c>
      <c r="J140" t="n">
        <v>0</v>
      </c>
      <c r="K140" t="n">
        <v>0</v>
      </c>
      <c r="L140" t="n">
        <v>0</v>
      </c>
      <c r="M140" t="n">
        <v>0</v>
      </c>
      <c r="N140" t="n">
        <v>0</v>
      </c>
      <c r="O140" t="n">
        <v>0</v>
      </c>
      <c r="P140" t="n">
        <v>0</v>
      </c>
      <c r="Q140" t="n">
        <v>0</v>
      </c>
      <c r="R140" s="2" t="inlineStr"/>
    </row>
    <row r="141" ht="15" customHeight="1">
      <c r="A141" t="inlineStr">
        <is>
          <t>A 31728-2024</t>
        </is>
      </c>
      <c r="B141" s="1" t="n">
        <v>45509.34517361111</v>
      </c>
      <c r="C141" s="1" t="n">
        <v>45982</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48644-2023</t>
        </is>
      </c>
      <c r="B142" s="1" t="n">
        <v>45208.58997685185</v>
      </c>
      <c r="C142" s="1" t="n">
        <v>45982</v>
      </c>
      <c r="D142" t="inlineStr">
        <is>
          <t>DALARNAS LÄN</t>
        </is>
      </c>
      <c r="E142" t="inlineStr">
        <is>
          <t>LEKSAND</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325-2023</t>
        </is>
      </c>
      <c r="B143" s="1" t="n">
        <v>44929</v>
      </c>
      <c r="C143" s="1" t="n">
        <v>45982</v>
      </c>
      <c r="D143" t="inlineStr">
        <is>
          <t>DALARNAS LÄN</t>
        </is>
      </c>
      <c r="E143" t="inlineStr">
        <is>
          <t>LEKSAND</t>
        </is>
      </c>
      <c r="F143" t="inlineStr">
        <is>
          <t>Övriga Aktiebolag</t>
        </is>
      </c>
      <c r="G143" t="n">
        <v>7.1</v>
      </c>
      <c r="H143" t="n">
        <v>0</v>
      </c>
      <c r="I143" t="n">
        <v>0</v>
      </c>
      <c r="J143" t="n">
        <v>0</v>
      </c>
      <c r="K143" t="n">
        <v>0</v>
      </c>
      <c r="L143" t="n">
        <v>0</v>
      </c>
      <c r="M143" t="n">
        <v>0</v>
      </c>
      <c r="N143" t="n">
        <v>0</v>
      </c>
      <c r="O143" t="n">
        <v>0</v>
      </c>
      <c r="P143" t="n">
        <v>0</v>
      </c>
      <c r="Q143" t="n">
        <v>0</v>
      </c>
      <c r="R143" s="2" t="inlineStr"/>
    </row>
    <row r="144" ht="15" customHeight="1">
      <c r="A144" t="inlineStr">
        <is>
          <t>A 23896-2024</t>
        </is>
      </c>
      <c r="B144" s="1" t="n">
        <v>45455.6758449074</v>
      </c>
      <c r="C144" s="1" t="n">
        <v>45982</v>
      </c>
      <c r="D144" t="inlineStr">
        <is>
          <t>DALARNAS LÄN</t>
        </is>
      </c>
      <c r="E144" t="inlineStr">
        <is>
          <t>LEKSAND</t>
        </is>
      </c>
      <c r="F144" t="inlineStr">
        <is>
          <t>Övriga Aktiebolag</t>
        </is>
      </c>
      <c r="G144" t="n">
        <v>0.9</v>
      </c>
      <c r="H144" t="n">
        <v>0</v>
      </c>
      <c r="I144" t="n">
        <v>0</v>
      </c>
      <c r="J144" t="n">
        <v>0</v>
      </c>
      <c r="K144" t="n">
        <v>0</v>
      </c>
      <c r="L144" t="n">
        <v>0</v>
      </c>
      <c r="M144" t="n">
        <v>0</v>
      </c>
      <c r="N144" t="n">
        <v>0</v>
      </c>
      <c r="O144" t="n">
        <v>0</v>
      </c>
      <c r="P144" t="n">
        <v>0</v>
      </c>
      <c r="Q144" t="n">
        <v>0</v>
      </c>
      <c r="R144" s="2" t="inlineStr"/>
    </row>
    <row r="145" ht="15" customHeight="1">
      <c r="A145" t="inlineStr">
        <is>
          <t>A 33317-2023</t>
        </is>
      </c>
      <c r="B145" s="1" t="n">
        <v>45127.84586805556</v>
      </c>
      <c r="C145" s="1" t="n">
        <v>45982</v>
      </c>
      <c r="D145" t="inlineStr">
        <is>
          <t>DALARNAS LÄN</t>
        </is>
      </c>
      <c r="E145" t="inlineStr">
        <is>
          <t>LEKSAND</t>
        </is>
      </c>
      <c r="G145" t="n">
        <v>2.7</v>
      </c>
      <c r="H145" t="n">
        <v>0</v>
      </c>
      <c r="I145" t="n">
        <v>0</v>
      </c>
      <c r="J145" t="n">
        <v>0</v>
      </c>
      <c r="K145" t="n">
        <v>0</v>
      </c>
      <c r="L145" t="n">
        <v>0</v>
      </c>
      <c r="M145" t="n">
        <v>0</v>
      </c>
      <c r="N145" t="n">
        <v>0</v>
      </c>
      <c r="O145" t="n">
        <v>0</v>
      </c>
      <c r="P145" t="n">
        <v>0</v>
      </c>
      <c r="Q145" t="n">
        <v>0</v>
      </c>
      <c r="R145" s="2" t="inlineStr"/>
    </row>
    <row r="146" ht="15" customHeight="1">
      <c r="A146" t="inlineStr">
        <is>
          <t>A 33318-2023</t>
        </is>
      </c>
      <c r="B146" s="1" t="n">
        <v>45127</v>
      </c>
      <c r="C146" s="1" t="n">
        <v>45982</v>
      </c>
      <c r="D146" t="inlineStr">
        <is>
          <t>DALARNAS LÄN</t>
        </is>
      </c>
      <c r="E146" t="inlineStr">
        <is>
          <t>LEKSAND</t>
        </is>
      </c>
      <c r="G146" t="n">
        <v>5.5</v>
      </c>
      <c r="H146" t="n">
        <v>0</v>
      </c>
      <c r="I146" t="n">
        <v>0</v>
      </c>
      <c r="J146" t="n">
        <v>0</v>
      </c>
      <c r="K146" t="n">
        <v>0</v>
      </c>
      <c r="L146" t="n">
        <v>0</v>
      </c>
      <c r="M146" t="n">
        <v>0</v>
      </c>
      <c r="N146" t="n">
        <v>0</v>
      </c>
      <c r="O146" t="n">
        <v>0</v>
      </c>
      <c r="P146" t="n">
        <v>0</v>
      </c>
      <c r="Q146" t="n">
        <v>0</v>
      </c>
      <c r="R146" s="2" t="inlineStr"/>
    </row>
    <row r="147" ht="15" customHeight="1">
      <c r="A147" t="inlineStr">
        <is>
          <t>A 61055-2023</t>
        </is>
      </c>
      <c r="B147" s="1" t="n">
        <v>45261</v>
      </c>
      <c r="C147" s="1" t="n">
        <v>45982</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34038-2024</t>
        </is>
      </c>
      <c r="B148" s="1" t="n">
        <v>45523.59578703704</v>
      </c>
      <c r="C148" s="1" t="n">
        <v>45982</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34041-2024</t>
        </is>
      </c>
      <c r="B149" s="1" t="n">
        <v>45523.59895833334</v>
      </c>
      <c r="C149" s="1" t="n">
        <v>45982</v>
      </c>
      <c r="D149" t="inlineStr">
        <is>
          <t>DALARNAS LÄN</t>
        </is>
      </c>
      <c r="E149" t="inlineStr">
        <is>
          <t>LEKSAND</t>
        </is>
      </c>
      <c r="G149" t="n">
        <v>4</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45982</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59236-2024</t>
        </is>
      </c>
      <c r="B151" s="1" t="n">
        <v>45637.58795138889</v>
      </c>
      <c r="C151" s="1" t="n">
        <v>45982</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14865-2025</t>
        </is>
      </c>
      <c r="B152" s="1" t="n">
        <v>45743.43929398148</v>
      </c>
      <c r="C152" s="1" t="n">
        <v>45982</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28032-2024</t>
        </is>
      </c>
      <c r="B153" s="1" t="n">
        <v>45476.49346064815</v>
      </c>
      <c r="C153" s="1" t="n">
        <v>45982</v>
      </c>
      <c r="D153" t="inlineStr">
        <is>
          <t>DALARNAS LÄN</t>
        </is>
      </c>
      <c r="E153" t="inlineStr">
        <is>
          <t>LEKSAND</t>
        </is>
      </c>
      <c r="G153" t="n">
        <v>2</v>
      </c>
      <c r="H153" t="n">
        <v>0</v>
      </c>
      <c r="I153" t="n">
        <v>0</v>
      </c>
      <c r="J153" t="n">
        <v>0</v>
      </c>
      <c r="K153" t="n">
        <v>0</v>
      </c>
      <c r="L153" t="n">
        <v>0</v>
      </c>
      <c r="M153" t="n">
        <v>0</v>
      </c>
      <c r="N153" t="n">
        <v>0</v>
      </c>
      <c r="O153" t="n">
        <v>0</v>
      </c>
      <c r="P153" t="n">
        <v>0</v>
      </c>
      <c r="Q153" t="n">
        <v>0</v>
      </c>
      <c r="R153" s="2" t="inlineStr"/>
    </row>
    <row r="154" ht="15" customHeight="1">
      <c r="A154" t="inlineStr">
        <is>
          <t>A 61502-2023</t>
        </is>
      </c>
      <c r="B154" s="1" t="n">
        <v>45264</v>
      </c>
      <c r="C154" s="1" t="n">
        <v>45982</v>
      </c>
      <c r="D154" t="inlineStr">
        <is>
          <t>DALARNAS LÄN</t>
        </is>
      </c>
      <c r="E154" t="inlineStr">
        <is>
          <t>LEKSAND</t>
        </is>
      </c>
      <c r="G154" t="n">
        <v>5.2</v>
      </c>
      <c r="H154" t="n">
        <v>0</v>
      </c>
      <c r="I154" t="n">
        <v>0</v>
      </c>
      <c r="J154" t="n">
        <v>0</v>
      </c>
      <c r="K154" t="n">
        <v>0</v>
      </c>
      <c r="L154" t="n">
        <v>0</v>
      </c>
      <c r="M154" t="n">
        <v>0</v>
      </c>
      <c r="N154" t="n">
        <v>0</v>
      </c>
      <c r="O154" t="n">
        <v>0</v>
      </c>
      <c r="P154" t="n">
        <v>0</v>
      </c>
      <c r="Q154" t="n">
        <v>0</v>
      </c>
      <c r="R154" s="2" t="inlineStr"/>
    </row>
    <row r="155" ht="15" customHeight="1">
      <c r="A155" t="inlineStr">
        <is>
          <t>A 60040-2023</t>
        </is>
      </c>
      <c r="B155" s="1" t="n">
        <v>45256</v>
      </c>
      <c r="C155" s="1" t="n">
        <v>45982</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18837-2023</t>
        </is>
      </c>
      <c r="B156" s="1" t="n">
        <v>45044.42940972222</v>
      </c>
      <c r="C156" s="1" t="n">
        <v>45982</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55268-2024</t>
        </is>
      </c>
      <c r="B157" s="1" t="n">
        <v>45621.61266203703</v>
      </c>
      <c r="C157" s="1" t="n">
        <v>45982</v>
      </c>
      <c r="D157" t="inlineStr">
        <is>
          <t>DALARNAS LÄN</t>
        </is>
      </c>
      <c r="E157" t="inlineStr">
        <is>
          <t>LEKSAND</t>
        </is>
      </c>
      <c r="G157" t="n">
        <v>4.2</v>
      </c>
      <c r="H157" t="n">
        <v>0</v>
      </c>
      <c r="I157" t="n">
        <v>0</v>
      </c>
      <c r="J157" t="n">
        <v>0</v>
      </c>
      <c r="K157" t="n">
        <v>0</v>
      </c>
      <c r="L157" t="n">
        <v>0</v>
      </c>
      <c r="M157" t="n">
        <v>0</v>
      </c>
      <c r="N157" t="n">
        <v>0</v>
      </c>
      <c r="O157" t="n">
        <v>0</v>
      </c>
      <c r="P157" t="n">
        <v>0</v>
      </c>
      <c r="Q157" t="n">
        <v>0</v>
      </c>
      <c r="R157" s="2" t="inlineStr"/>
    </row>
    <row r="158" ht="15" customHeight="1">
      <c r="A158" t="inlineStr">
        <is>
          <t>A 8743-2023</t>
        </is>
      </c>
      <c r="B158" s="1" t="n">
        <v>44978</v>
      </c>
      <c r="C158" s="1" t="n">
        <v>45982</v>
      </c>
      <c r="D158" t="inlineStr">
        <is>
          <t>DALARNAS LÄN</t>
        </is>
      </c>
      <c r="E158" t="inlineStr">
        <is>
          <t>LEKSAND</t>
        </is>
      </c>
      <c r="G158" t="n">
        <v>3</v>
      </c>
      <c r="H158" t="n">
        <v>0</v>
      </c>
      <c r="I158" t="n">
        <v>0</v>
      </c>
      <c r="J158" t="n">
        <v>0</v>
      </c>
      <c r="K158" t="n">
        <v>0</v>
      </c>
      <c r="L158" t="n">
        <v>0</v>
      </c>
      <c r="M158" t="n">
        <v>0</v>
      </c>
      <c r="N158" t="n">
        <v>0</v>
      </c>
      <c r="O158" t="n">
        <v>0</v>
      </c>
      <c r="P158" t="n">
        <v>0</v>
      </c>
      <c r="Q158" t="n">
        <v>0</v>
      </c>
      <c r="R158" s="2" t="inlineStr"/>
    </row>
    <row r="159" ht="15" customHeight="1">
      <c r="A159" t="inlineStr">
        <is>
          <t>A 15020-2023</t>
        </is>
      </c>
      <c r="B159" s="1" t="n">
        <v>45015.6196412037</v>
      </c>
      <c r="C159" s="1" t="n">
        <v>45982</v>
      </c>
      <c r="D159" t="inlineStr">
        <is>
          <t>DALARNAS LÄN</t>
        </is>
      </c>
      <c r="E159" t="inlineStr">
        <is>
          <t>LEKSAND</t>
        </is>
      </c>
      <c r="G159" t="n">
        <v>2.6</v>
      </c>
      <c r="H159" t="n">
        <v>0</v>
      </c>
      <c r="I159" t="n">
        <v>0</v>
      </c>
      <c r="J159" t="n">
        <v>0</v>
      </c>
      <c r="K159" t="n">
        <v>0</v>
      </c>
      <c r="L159" t="n">
        <v>0</v>
      </c>
      <c r="M159" t="n">
        <v>0</v>
      </c>
      <c r="N159" t="n">
        <v>0</v>
      </c>
      <c r="O159" t="n">
        <v>0</v>
      </c>
      <c r="P159" t="n">
        <v>0</v>
      </c>
      <c r="Q159" t="n">
        <v>0</v>
      </c>
      <c r="R159" s="2" t="inlineStr"/>
    </row>
    <row r="160" ht="15" customHeight="1">
      <c r="A160" t="inlineStr">
        <is>
          <t>A 52059-2024</t>
        </is>
      </c>
      <c r="B160" s="1" t="n">
        <v>45608.35609953704</v>
      </c>
      <c r="C160" s="1" t="n">
        <v>45982</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21839-2022</t>
        </is>
      </c>
      <c r="B161" s="1" t="n">
        <v>44711</v>
      </c>
      <c r="C161" s="1" t="n">
        <v>45982</v>
      </c>
      <c r="D161" t="inlineStr">
        <is>
          <t>DALARNAS LÄN</t>
        </is>
      </c>
      <c r="E161" t="inlineStr">
        <is>
          <t>LEKSAND</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61288-2022</t>
        </is>
      </c>
      <c r="B162" s="1" t="n">
        <v>44915</v>
      </c>
      <c r="C162" s="1" t="n">
        <v>45982</v>
      </c>
      <c r="D162" t="inlineStr">
        <is>
          <t>DALARNAS LÄN</t>
        </is>
      </c>
      <c r="E162" t="inlineStr">
        <is>
          <t>LEKSAND</t>
        </is>
      </c>
      <c r="G162" t="n">
        <v>1.7</v>
      </c>
      <c r="H162" t="n">
        <v>0</v>
      </c>
      <c r="I162" t="n">
        <v>0</v>
      </c>
      <c r="J162" t="n">
        <v>0</v>
      </c>
      <c r="K162" t="n">
        <v>0</v>
      </c>
      <c r="L162" t="n">
        <v>0</v>
      </c>
      <c r="M162" t="n">
        <v>0</v>
      </c>
      <c r="N162" t="n">
        <v>0</v>
      </c>
      <c r="O162" t="n">
        <v>0</v>
      </c>
      <c r="P162" t="n">
        <v>0</v>
      </c>
      <c r="Q162" t="n">
        <v>0</v>
      </c>
      <c r="R162" s="2" t="inlineStr"/>
    </row>
    <row r="163" ht="15" customHeight="1">
      <c r="A163" t="inlineStr">
        <is>
          <t>A 34244-2024</t>
        </is>
      </c>
      <c r="B163" s="1" t="n">
        <v>45524.58349537037</v>
      </c>
      <c r="C163" s="1" t="n">
        <v>45982</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17759-2023</t>
        </is>
      </c>
      <c r="B164" s="1" t="n">
        <v>45037.48765046296</v>
      </c>
      <c r="C164" s="1" t="n">
        <v>45982</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1215-2024</t>
        </is>
      </c>
      <c r="B165" s="1" t="n">
        <v>45302</v>
      </c>
      <c r="C165" s="1" t="n">
        <v>45982</v>
      </c>
      <c r="D165" t="inlineStr">
        <is>
          <t>DALARNAS LÄN</t>
        </is>
      </c>
      <c r="E165" t="inlineStr">
        <is>
          <t>LEKSAND</t>
        </is>
      </c>
      <c r="G165" t="n">
        <v>1.3</v>
      </c>
      <c r="H165" t="n">
        <v>0</v>
      </c>
      <c r="I165" t="n">
        <v>0</v>
      </c>
      <c r="J165" t="n">
        <v>0</v>
      </c>
      <c r="K165" t="n">
        <v>0</v>
      </c>
      <c r="L165" t="n">
        <v>0</v>
      </c>
      <c r="M165" t="n">
        <v>0</v>
      </c>
      <c r="N165" t="n">
        <v>0</v>
      </c>
      <c r="O165" t="n">
        <v>0</v>
      </c>
      <c r="P165" t="n">
        <v>0</v>
      </c>
      <c r="Q165" t="n">
        <v>0</v>
      </c>
      <c r="R165" s="2" t="inlineStr"/>
    </row>
    <row r="166" ht="15" customHeight="1">
      <c r="A166" t="inlineStr">
        <is>
          <t>A 7897-2025</t>
        </is>
      </c>
      <c r="B166" s="1" t="n">
        <v>45707.30969907407</v>
      </c>
      <c r="C166" s="1" t="n">
        <v>45982</v>
      </c>
      <c r="D166" t="inlineStr">
        <is>
          <t>DALARNAS LÄN</t>
        </is>
      </c>
      <c r="E166" t="inlineStr">
        <is>
          <t>LEKSAND</t>
        </is>
      </c>
      <c r="G166" t="n">
        <v>3.1</v>
      </c>
      <c r="H166" t="n">
        <v>0</v>
      </c>
      <c r="I166" t="n">
        <v>0</v>
      </c>
      <c r="J166" t="n">
        <v>0</v>
      </c>
      <c r="K166" t="n">
        <v>0</v>
      </c>
      <c r="L166" t="n">
        <v>0</v>
      </c>
      <c r="M166" t="n">
        <v>0</v>
      </c>
      <c r="N166" t="n">
        <v>0</v>
      </c>
      <c r="O166" t="n">
        <v>0</v>
      </c>
      <c r="P166" t="n">
        <v>0</v>
      </c>
      <c r="Q166" t="n">
        <v>0</v>
      </c>
      <c r="R166" s="2" t="inlineStr"/>
    </row>
    <row r="167" ht="15" customHeight="1">
      <c r="A167" t="inlineStr">
        <is>
          <t>A 38721-2025</t>
        </is>
      </c>
      <c r="B167" s="1" t="n">
        <v>45886.83605324074</v>
      </c>
      <c r="C167" s="1" t="n">
        <v>45982</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47640-2024</t>
        </is>
      </c>
      <c r="B168" s="1" t="n">
        <v>45588.36508101852</v>
      </c>
      <c r="C168" s="1" t="n">
        <v>45982</v>
      </c>
      <c r="D168" t="inlineStr">
        <is>
          <t>DALARNAS LÄN</t>
        </is>
      </c>
      <c r="E168" t="inlineStr">
        <is>
          <t>LEKSAND</t>
        </is>
      </c>
      <c r="G168" t="n">
        <v>9.1</v>
      </c>
      <c r="H168" t="n">
        <v>0</v>
      </c>
      <c r="I168" t="n">
        <v>0</v>
      </c>
      <c r="J168" t="n">
        <v>0</v>
      </c>
      <c r="K168" t="n">
        <v>0</v>
      </c>
      <c r="L168" t="n">
        <v>0</v>
      </c>
      <c r="M168" t="n">
        <v>0</v>
      </c>
      <c r="N168" t="n">
        <v>0</v>
      </c>
      <c r="O168" t="n">
        <v>0</v>
      </c>
      <c r="P168" t="n">
        <v>0</v>
      </c>
      <c r="Q168" t="n">
        <v>0</v>
      </c>
      <c r="R168" s="2" t="inlineStr"/>
    </row>
    <row r="169" ht="15" customHeight="1">
      <c r="A169" t="inlineStr">
        <is>
          <t>A 72575-2021</t>
        </is>
      </c>
      <c r="B169" s="1" t="n">
        <v>44546</v>
      </c>
      <c r="C169" s="1" t="n">
        <v>45982</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72581-2021</t>
        </is>
      </c>
      <c r="B170" s="1" t="n">
        <v>44546.46354166666</v>
      </c>
      <c r="C170" s="1" t="n">
        <v>45982</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33143-2024</t>
        </is>
      </c>
      <c r="B171" s="1" t="n">
        <v>45518</v>
      </c>
      <c r="C171" s="1" t="n">
        <v>45982</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57468-2023</t>
        </is>
      </c>
      <c r="B172" s="1" t="n">
        <v>45246</v>
      </c>
      <c r="C172" s="1" t="n">
        <v>45982</v>
      </c>
      <c r="D172" t="inlineStr">
        <is>
          <t>DALARNAS LÄN</t>
        </is>
      </c>
      <c r="E172" t="inlineStr">
        <is>
          <t>LEKSAND</t>
        </is>
      </c>
      <c r="G172" t="n">
        <v>4.6</v>
      </c>
      <c r="H172" t="n">
        <v>0</v>
      </c>
      <c r="I172" t="n">
        <v>0</v>
      </c>
      <c r="J172" t="n">
        <v>0</v>
      </c>
      <c r="K172" t="n">
        <v>0</v>
      </c>
      <c r="L172" t="n">
        <v>0</v>
      </c>
      <c r="M172" t="n">
        <v>0</v>
      </c>
      <c r="N172" t="n">
        <v>0</v>
      </c>
      <c r="O172" t="n">
        <v>0</v>
      </c>
      <c r="P172" t="n">
        <v>0</v>
      </c>
      <c r="Q172" t="n">
        <v>0</v>
      </c>
      <c r="R172" s="2" t="inlineStr"/>
    </row>
    <row r="173" ht="15" customHeight="1">
      <c r="A173" t="inlineStr">
        <is>
          <t>A 22876-2025</t>
        </is>
      </c>
      <c r="B173" s="1" t="n">
        <v>45790.3728587963</v>
      </c>
      <c r="C173" s="1" t="n">
        <v>45982</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49499-2024</t>
        </is>
      </c>
      <c r="B174" s="1" t="n">
        <v>45596</v>
      </c>
      <c r="C174" s="1" t="n">
        <v>45982</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44822-2024</t>
        </is>
      </c>
      <c r="B175" s="1" t="n">
        <v>45574.6646412037</v>
      </c>
      <c r="C175" s="1" t="n">
        <v>45982</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23058-2025</t>
        </is>
      </c>
      <c r="B176" s="1" t="n">
        <v>45790.78076388889</v>
      </c>
      <c r="C176" s="1" t="n">
        <v>45982</v>
      </c>
      <c r="D176" t="inlineStr">
        <is>
          <t>DALARNAS LÄN</t>
        </is>
      </c>
      <c r="E176" t="inlineStr">
        <is>
          <t>LEKSAND</t>
        </is>
      </c>
      <c r="G176" t="n">
        <v>6.7</v>
      </c>
      <c r="H176" t="n">
        <v>0</v>
      </c>
      <c r="I176" t="n">
        <v>0</v>
      </c>
      <c r="J176" t="n">
        <v>0</v>
      </c>
      <c r="K176" t="n">
        <v>0</v>
      </c>
      <c r="L176" t="n">
        <v>0</v>
      </c>
      <c r="M176" t="n">
        <v>0</v>
      </c>
      <c r="N176" t="n">
        <v>0</v>
      </c>
      <c r="O176" t="n">
        <v>0</v>
      </c>
      <c r="P176" t="n">
        <v>0</v>
      </c>
      <c r="Q176" t="n">
        <v>0</v>
      </c>
      <c r="R176" s="2" t="inlineStr"/>
    </row>
    <row r="177" ht="15" customHeight="1">
      <c r="A177" t="inlineStr">
        <is>
          <t>A 23076-2025</t>
        </is>
      </c>
      <c r="B177" s="1" t="n">
        <v>45790.90960648148</v>
      </c>
      <c r="C177" s="1" t="n">
        <v>45982</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23855-2025</t>
        </is>
      </c>
      <c r="B178" s="1" t="n">
        <v>45793.65900462963</v>
      </c>
      <c r="C178" s="1" t="n">
        <v>45982</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23891-2025</t>
        </is>
      </c>
      <c r="B179" s="1" t="n">
        <v>45793</v>
      </c>
      <c r="C179" s="1" t="n">
        <v>45982</v>
      </c>
      <c r="D179" t="inlineStr">
        <is>
          <t>DALARNAS LÄN</t>
        </is>
      </c>
      <c r="E179" t="inlineStr">
        <is>
          <t>LEKSAND</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402-2024</t>
        </is>
      </c>
      <c r="B180" s="1" t="n">
        <v>45296.45545138889</v>
      </c>
      <c r="C180" s="1" t="n">
        <v>45982</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23517-2025</t>
        </is>
      </c>
      <c r="B181" s="1" t="n">
        <v>45792</v>
      </c>
      <c r="C181" s="1" t="n">
        <v>45982</v>
      </c>
      <c r="D181" t="inlineStr">
        <is>
          <t>DALARNAS LÄN</t>
        </is>
      </c>
      <c r="E181" t="inlineStr">
        <is>
          <t>LEKSAND</t>
        </is>
      </c>
      <c r="G181" t="n">
        <v>2.2</v>
      </c>
      <c r="H181" t="n">
        <v>0</v>
      </c>
      <c r="I181" t="n">
        <v>0</v>
      </c>
      <c r="J181" t="n">
        <v>0</v>
      </c>
      <c r="K181" t="n">
        <v>0</v>
      </c>
      <c r="L181" t="n">
        <v>0</v>
      </c>
      <c r="M181" t="n">
        <v>0</v>
      </c>
      <c r="N181" t="n">
        <v>0</v>
      </c>
      <c r="O181" t="n">
        <v>0</v>
      </c>
      <c r="P181" t="n">
        <v>0</v>
      </c>
      <c r="Q181" t="n">
        <v>0</v>
      </c>
      <c r="R181" s="2" t="inlineStr"/>
    </row>
    <row r="182" ht="15" customHeight="1">
      <c r="A182" t="inlineStr">
        <is>
          <t>A 2517-2024</t>
        </is>
      </c>
      <c r="B182" s="1" t="n">
        <v>45313</v>
      </c>
      <c r="C182" s="1" t="n">
        <v>45982</v>
      </c>
      <c r="D182" t="inlineStr">
        <is>
          <t>DALARNAS LÄN</t>
        </is>
      </c>
      <c r="E182" t="inlineStr">
        <is>
          <t>LEKSAND</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24187-2025</t>
        </is>
      </c>
      <c r="B183" s="1" t="n">
        <v>45796</v>
      </c>
      <c r="C183" s="1" t="n">
        <v>45982</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24188-2025</t>
        </is>
      </c>
      <c r="B184" s="1" t="n">
        <v>45796</v>
      </c>
      <c r="C184" s="1" t="n">
        <v>45982</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7450-2023</t>
        </is>
      </c>
      <c r="B185" s="1" t="n">
        <v>44971</v>
      </c>
      <c r="C185" s="1" t="n">
        <v>45982</v>
      </c>
      <c r="D185" t="inlineStr">
        <is>
          <t>DALARNAS LÄN</t>
        </is>
      </c>
      <c r="E185" t="inlineStr">
        <is>
          <t>LEKSAND</t>
        </is>
      </c>
      <c r="G185" t="n">
        <v>3</v>
      </c>
      <c r="H185" t="n">
        <v>0</v>
      </c>
      <c r="I185" t="n">
        <v>0</v>
      </c>
      <c r="J185" t="n">
        <v>0</v>
      </c>
      <c r="K185" t="n">
        <v>0</v>
      </c>
      <c r="L185" t="n">
        <v>0</v>
      </c>
      <c r="M185" t="n">
        <v>0</v>
      </c>
      <c r="N185" t="n">
        <v>0</v>
      </c>
      <c r="O185" t="n">
        <v>0</v>
      </c>
      <c r="P185" t="n">
        <v>0</v>
      </c>
      <c r="Q185" t="n">
        <v>0</v>
      </c>
      <c r="R185" s="2" t="inlineStr"/>
    </row>
    <row r="186" ht="15" customHeight="1">
      <c r="A186" t="inlineStr">
        <is>
          <t>A 24373-2025</t>
        </is>
      </c>
      <c r="B186" s="1" t="n">
        <v>45797.61113425926</v>
      </c>
      <c r="C186" s="1" t="n">
        <v>45982</v>
      </c>
      <c r="D186" t="inlineStr">
        <is>
          <t>DALARNAS LÄN</t>
        </is>
      </c>
      <c r="E186" t="inlineStr">
        <is>
          <t>LEKSAND</t>
        </is>
      </c>
      <c r="G186" t="n">
        <v>2.4</v>
      </c>
      <c r="H186" t="n">
        <v>0</v>
      </c>
      <c r="I186" t="n">
        <v>0</v>
      </c>
      <c r="J186" t="n">
        <v>0</v>
      </c>
      <c r="K186" t="n">
        <v>0</v>
      </c>
      <c r="L186" t="n">
        <v>0</v>
      </c>
      <c r="M186" t="n">
        <v>0</v>
      </c>
      <c r="N186" t="n">
        <v>0</v>
      </c>
      <c r="O186" t="n">
        <v>0</v>
      </c>
      <c r="P186" t="n">
        <v>0</v>
      </c>
      <c r="Q186" t="n">
        <v>0</v>
      </c>
      <c r="R186" s="2" t="inlineStr"/>
    </row>
    <row r="187" ht="15" customHeight="1">
      <c r="A187" t="inlineStr">
        <is>
          <t>A 22646-2025</t>
        </is>
      </c>
      <c r="B187" s="1" t="n">
        <v>45786</v>
      </c>
      <c r="C187" s="1" t="n">
        <v>45982</v>
      </c>
      <c r="D187" t="inlineStr">
        <is>
          <t>DALARNAS LÄN</t>
        </is>
      </c>
      <c r="E187" t="inlineStr">
        <is>
          <t>LEKSAND</t>
        </is>
      </c>
      <c r="F187" t="inlineStr">
        <is>
          <t>Kommuner</t>
        </is>
      </c>
      <c r="G187" t="n">
        <v>1.6</v>
      </c>
      <c r="H187" t="n">
        <v>0</v>
      </c>
      <c r="I187" t="n">
        <v>0</v>
      </c>
      <c r="J187" t="n">
        <v>0</v>
      </c>
      <c r="K187" t="n">
        <v>0</v>
      </c>
      <c r="L187" t="n">
        <v>0</v>
      </c>
      <c r="M187" t="n">
        <v>0</v>
      </c>
      <c r="N187" t="n">
        <v>0</v>
      </c>
      <c r="O187" t="n">
        <v>0</v>
      </c>
      <c r="P187" t="n">
        <v>0</v>
      </c>
      <c r="Q187" t="n">
        <v>0</v>
      </c>
      <c r="R187" s="2" t="inlineStr"/>
    </row>
    <row r="188" ht="15" customHeight="1">
      <c r="A188" t="inlineStr">
        <is>
          <t>A 24919-2024</t>
        </is>
      </c>
      <c r="B188" s="1" t="n">
        <v>45461.60636574074</v>
      </c>
      <c r="C188" s="1" t="n">
        <v>45982</v>
      </c>
      <c r="D188" t="inlineStr">
        <is>
          <t>DALARNAS LÄN</t>
        </is>
      </c>
      <c r="E188" t="inlineStr">
        <is>
          <t>LEKSAND</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56211-2023</t>
        </is>
      </c>
      <c r="B189" s="1" t="n">
        <v>45240</v>
      </c>
      <c r="C189" s="1" t="n">
        <v>45982</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24369-2025</t>
        </is>
      </c>
      <c r="B190" s="1" t="n">
        <v>45797.60731481481</v>
      </c>
      <c r="C190" s="1" t="n">
        <v>45982</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24715-2025</t>
        </is>
      </c>
      <c r="B191" s="1" t="n">
        <v>45798.97899305556</v>
      </c>
      <c r="C191" s="1" t="n">
        <v>45982</v>
      </c>
      <c r="D191" t="inlineStr">
        <is>
          <t>DALARNAS LÄN</t>
        </is>
      </c>
      <c r="E191" t="inlineStr">
        <is>
          <t>LEKSAND</t>
        </is>
      </c>
      <c r="G191" t="n">
        <v>8.4</v>
      </c>
      <c r="H191" t="n">
        <v>0</v>
      </c>
      <c r="I191" t="n">
        <v>0</v>
      </c>
      <c r="J191" t="n">
        <v>0</v>
      </c>
      <c r="K191" t="n">
        <v>0</v>
      </c>
      <c r="L191" t="n">
        <v>0</v>
      </c>
      <c r="M191" t="n">
        <v>0</v>
      </c>
      <c r="N191" t="n">
        <v>0</v>
      </c>
      <c r="O191" t="n">
        <v>0</v>
      </c>
      <c r="P191" t="n">
        <v>0</v>
      </c>
      <c r="Q191" t="n">
        <v>0</v>
      </c>
      <c r="R191" s="2" t="inlineStr"/>
    </row>
    <row r="192" ht="15" customHeight="1">
      <c r="A192" t="inlineStr">
        <is>
          <t>A 39569-2025</t>
        </is>
      </c>
      <c r="B192" s="1" t="n">
        <v>45890</v>
      </c>
      <c r="C192" s="1" t="n">
        <v>45982</v>
      </c>
      <c r="D192" t="inlineStr">
        <is>
          <t>DALARNAS LÄN</t>
        </is>
      </c>
      <c r="E192" t="inlineStr">
        <is>
          <t>LEKSAND</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39572-2025</t>
        </is>
      </c>
      <c r="B193" s="1" t="n">
        <v>45890</v>
      </c>
      <c r="C193" s="1" t="n">
        <v>45982</v>
      </c>
      <c r="D193" t="inlineStr">
        <is>
          <t>DALARNAS LÄN</t>
        </is>
      </c>
      <c r="E193" t="inlineStr">
        <is>
          <t>LEKSAND</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40868-2024</t>
        </is>
      </c>
      <c r="B194" s="1" t="n">
        <v>45558</v>
      </c>
      <c r="C194" s="1" t="n">
        <v>45982</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39660-2025</t>
        </is>
      </c>
      <c r="B195" s="1" t="n">
        <v>45890.63006944444</v>
      </c>
      <c r="C195" s="1" t="n">
        <v>45982</v>
      </c>
      <c r="D195" t="inlineStr">
        <is>
          <t>DALARNAS LÄN</t>
        </is>
      </c>
      <c r="E195" t="inlineStr">
        <is>
          <t>LEKSAND</t>
        </is>
      </c>
      <c r="F195" t="inlineStr">
        <is>
          <t>Bergvik skog väst AB</t>
        </is>
      </c>
      <c r="G195" t="n">
        <v>5.8</v>
      </c>
      <c r="H195" t="n">
        <v>0</v>
      </c>
      <c r="I195" t="n">
        <v>0</v>
      </c>
      <c r="J195" t="n">
        <v>0</v>
      </c>
      <c r="K195" t="n">
        <v>0</v>
      </c>
      <c r="L195" t="n">
        <v>0</v>
      </c>
      <c r="M195" t="n">
        <v>0</v>
      </c>
      <c r="N195" t="n">
        <v>0</v>
      </c>
      <c r="O195" t="n">
        <v>0</v>
      </c>
      <c r="P195" t="n">
        <v>0</v>
      </c>
      <c r="Q195" t="n">
        <v>0</v>
      </c>
      <c r="R195" s="2" t="inlineStr"/>
    </row>
    <row r="196" ht="15" customHeight="1">
      <c r="A196" t="inlineStr">
        <is>
          <t>A 39693-2025</t>
        </is>
      </c>
      <c r="B196" s="1" t="n">
        <v>45890.68304398148</v>
      </c>
      <c r="C196" s="1" t="n">
        <v>45982</v>
      </c>
      <c r="D196" t="inlineStr">
        <is>
          <t>DALARNAS LÄN</t>
        </is>
      </c>
      <c r="E196" t="inlineStr">
        <is>
          <t>LEKSAND</t>
        </is>
      </c>
      <c r="G196" t="n">
        <v>3.1</v>
      </c>
      <c r="H196" t="n">
        <v>0</v>
      </c>
      <c r="I196" t="n">
        <v>0</v>
      </c>
      <c r="J196" t="n">
        <v>0</v>
      </c>
      <c r="K196" t="n">
        <v>0</v>
      </c>
      <c r="L196" t="n">
        <v>0</v>
      </c>
      <c r="M196" t="n">
        <v>0</v>
      </c>
      <c r="N196" t="n">
        <v>0</v>
      </c>
      <c r="O196" t="n">
        <v>0</v>
      </c>
      <c r="P196" t="n">
        <v>0</v>
      </c>
      <c r="Q196" t="n">
        <v>0</v>
      </c>
      <c r="R196" s="2" t="inlineStr"/>
    </row>
    <row r="197" ht="15" customHeight="1">
      <c r="A197" t="inlineStr">
        <is>
          <t>A 59199-2024</t>
        </is>
      </c>
      <c r="B197" s="1" t="n">
        <v>45637</v>
      </c>
      <c r="C197" s="1" t="n">
        <v>45982</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39546-2025</t>
        </is>
      </c>
      <c r="B198" s="1" t="n">
        <v>45890.45706018519</v>
      </c>
      <c r="C198" s="1" t="n">
        <v>45982</v>
      </c>
      <c r="D198" t="inlineStr">
        <is>
          <t>DALARNAS LÄN</t>
        </is>
      </c>
      <c r="E198" t="inlineStr">
        <is>
          <t>LEKSAND</t>
        </is>
      </c>
      <c r="G198" t="n">
        <v>4.6</v>
      </c>
      <c r="H198" t="n">
        <v>0</v>
      </c>
      <c r="I198" t="n">
        <v>0</v>
      </c>
      <c r="J198" t="n">
        <v>0</v>
      </c>
      <c r="K198" t="n">
        <v>0</v>
      </c>
      <c r="L198" t="n">
        <v>0</v>
      </c>
      <c r="M198" t="n">
        <v>0</v>
      </c>
      <c r="N198" t="n">
        <v>0</v>
      </c>
      <c r="O198" t="n">
        <v>0</v>
      </c>
      <c r="P198" t="n">
        <v>0</v>
      </c>
      <c r="Q198" t="n">
        <v>0</v>
      </c>
      <c r="R198" s="2" t="inlineStr"/>
    </row>
    <row r="199" ht="15" customHeight="1">
      <c r="A199" t="inlineStr">
        <is>
          <t>A 39516-2025</t>
        </is>
      </c>
      <c r="B199" s="1" t="n">
        <v>45890.42633101852</v>
      </c>
      <c r="C199" s="1" t="n">
        <v>45982</v>
      </c>
      <c r="D199" t="inlineStr">
        <is>
          <t>DALARNAS LÄN</t>
        </is>
      </c>
      <c r="E199" t="inlineStr">
        <is>
          <t>LEKSAND</t>
        </is>
      </c>
      <c r="G199" t="n">
        <v>3.6</v>
      </c>
      <c r="H199" t="n">
        <v>0</v>
      </c>
      <c r="I199" t="n">
        <v>0</v>
      </c>
      <c r="J199" t="n">
        <v>0</v>
      </c>
      <c r="K199" t="n">
        <v>0</v>
      </c>
      <c r="L199" t="n">
        <v>0</v>
      </c>
      <c r="M199" t="n">
        <v>0</v>
      </c>
      <c r="N199" t="n">
        <v>0</v>
      </c>
      <c r="O199" t="n">
        <v>0</v>
      </c>
      <c r="P199" t="n">
        <v>0</v>
      </c>
      <c r="Q199" t="n">
        <v>0</v>
      </c>
      <c r="R199" s="2" t="inlineStr"/>
    </row>
    <row r="200" ht="15" customHeight="1">
      <c r="A200" t="inlineStr">
        <is>
          <t>A 41169-2024</t>
        </is>
      </c>
      <c r="B200" s="1" t="n">
        <v>45559.48637731482</v>
      </c>
      <c r="C200" s="1" t="n">
        <v>45982</v>
      </c>
      <c r="D200" t="inlineStr">
        <is>
          <t>DALARNAS LÄN</t>
        </is>
      </c>
      <c r="E200" t="inlineStr">
        <is>
          <t>LEKSAND</t>
        </is>
      </c>
      <c r="G200" t="n">
        <v>8.9</v>
      </c>
      <c r="H200" t="n">
        <v>0</v>
      </c>
      <c r="I200" t="n">
        <v>0</v>
      </c>
      <c r="J200" t="n">
        <v>0</v>
      </c>
      <c r="K200" t="n">
        <v>0</v>
      </c>
      <c r="L200" t="n">
        <v>0</v>
      </c>
      <c r="M200" t="n">
        <v>0</v>
      </c>
      <c r="N200" t="n">
        <v>0</v>
      </c>
      <c r="O200" t="n">
        <v>0</v>
      </c>
      <c r="P200" t="n">
        <v>0</v>
      </c>
      <c r="Q200" t="n">
        <v>0</v>
      </c>
      <c r="R200" s="2" t="inlineStr"/>
    </row>
    <row r="201" ht="15" customHeight="1">
      <c r="A201" t="inlineStr">
        <is>
          <t>A 36932-2023</t>
        </is>
      </c>
      <c r="B201" s="1" t="n">
        <v>45154</v>
      </c>
      <c r="C201" s="1" t="n">
        <v>45982</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2579-2022</t>
        </is>
      </c>
      <c r="B202" s="1" t="n">
        <v>44580</v>
      </c>
      <c r="C202" s="1" t="n">
        <v>45982</v>
      </c>
      <c r="D202" t="inlineStr">
        <is>
          <t>DALARNAS LÄN</t>
        </is>
      </c>
      <c r="E202" t="inlineStr">
        <is>
          <t>LEKSAND</t>
        </is>
      </c>
      <c r="G202" t="n">
        <v>0.3</v>
      </c>
      <c r="H202" t="n">
        <v>0</v>
      </c>
      <c r="I202" t="n">
        <v>0</v>
      </c>
      <c r="J202" t="n">
        <v>0</v>
      </c>
      <c r="K202" t="n">
        <v>0</v>
      </c>
      <c r="L202" t="n">
        <v>0</v>
      </c>
      <c r="M202" t="n">
        <v>0</v>
      </c>
      <c r="N202" t="n">
        <v>0</v>
      </c>
      <c r="O202" t="n">
        <v>0</v>
      </c>
      <c r="P202" t="n">
        <v>0</v>
      </c>
      <c r="Q202" t="n">
        <v>0</v>
      </c>
      <c r="R202" s="2" t="inlineStr"/>
    </row>
    <row r="203" ht="15" customHeight="1">
      <c r="A203" t="inlineStr">
        <is>
          <t>A 57013-2023</t>
        </is>
      </c>
      <c r="B203" s="1" t="n">
        <v>45244</v>
      </c>
      <c r="C203" s="1" t="n">
        <v>45982</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2140-2024</t>
        </is>
      </c>
      <c r="B204" s="1" t="n">
        <v>45309</v>
      </c>
      <c r="C204" s="1" t="n">
        <v>45982</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23615-2024</t>
        </is>
      </c>
      <c r="B205" s="1" t="n">
        <v>45454.43050925926</v>
      </c>
      <c r="C205" s="1" t="n">
        <v>45982</v>
      </c>
      <c r="D205" t="inlineStr">
        <is>
          <t>DALARNAS LÄN</t>
        </is>
      </c>
      <c r="E205" t="inlineStr">
        <is>
          <t>LEKSAND</t>
        </is>
      </c>
      <c r="G205" t="n">
        <v>1.7</v>
      </c>
      <c r="H205" t="n">
        <v>0</v>
      </c>
      <c r="I205" t="n">
        <v>0</v>
      </c>
      <c r="J205" t="n">
        <v>0</v>
      </c>
      <c r="K205" t="n">
        <v>0</v>
      </c>
      <c r="L205" t="n">
        <v>0</v>
      </c>
      <c r="M205" t="n">
        <v>0</v>
      </c>
      <c r="N205" t="n">
        <v>0</v>
      </c>
      <c r="O205" t="n">
        <v>0</v>
      </c>
      <c r="P205" t="n">
        <v>0</v>
      </c>
      <c r="Q205" t="n">
        <v>0</v>
      </c>
      <c r="R205" s="2" t="inlineStr"/>
    </row>
    <row r="206" ht="15" customHeight="1">
      <c r="A206" t="inlineStr">
        <is>
          <t>A 22349-2024</t>
        </is>
      </c>
      <c r="B206" s="1" t="n">
        <v>45446</v>
      </c>
      <c r="C206" s="1" t="n">
        <v>45982</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53717-2023</t>
        </is>
      </c>
      <c r="B207" s="1" t="n">
        <v>45230</v>
      </c>
      <c r="C207" s="1" t="n">
        <v>45982</v>
      </c>
      <c r="D207" t="inlineStr">
        <is>
          <t>DALARNAS LÄN</t>
        </is>
      </c>
      <c r="E207" t="inlineStr">
        <is>
          <t>LEKSAND</t>
        </is>
      </c>
      <c r="G207" t="n">
        <v>2.4</v>
      </c>
      <c r="H207" t="n">
        <v>0</v>
      </c>
      <c r="I207" t="n">
        <v>0</v>
      </c>
      <c r="J207" t="n">
        <v>0</v>
      </c>
      <c r="K207" t="n">
        <v>0</v>
      </c>
      <c r="L207" t="n">
        <v>0</v>
      </c>
      <c r="M207" t="n">
        <v>0</v>
      </c>
      <c r="N207" t="n">
        <v>0</v>
      </c>
      <c r="O207" t="n">
        <v>0</v>
      </c>
      <c r="P207" t="n">
        <v>0</v>
      </c>
      <c r="Q207" t="n">
        <v>0</v>
      </c>
      <c r="R207" s="2" t="inlineStr"/>
    </row>
    <row r="208" ht="15" customHeight="1">
      <c r="A208" t="inlineStr">
        <is>
          <t>A 25610-2025</t>
        </is>
      </c>
      <c r="B208" s="1" t="n">
        <v>45803.56033564815</v>
      </c>
      <c r="C208" s="1" t="n">
        <v>45982</v>
      </c>
      <c r="D208" t="inlineStr">
        <is>
          <t>DALARNAS LÄN</t>
        </is>
      </c>
      <c r="E208" t="inlineStr">
        <is>
          <t>LEKSAND</t>
        </is>
      </c>
      <c r="G208" t="n">
        <v>5.2</v>
      </c>
      <c r="H208" t="n">
        <v>0</v>
      </c>
      <c r="I208" t="n">
        <v>0</v>
      </c>
      <c r="J208" t="n">
        <v>0</v>
      </c>
      <c r="K208" t="n">
        <v>0</v>
      </c>
      <c r="L208" t="n">
        <v>0</v>
      </c>
      <c r="M208" t="n">
        <v>0</v>
      </c>
      <c r="N208" t="n">
        <v>0</v>
      </c>
      <c r="O208" t="n">
        <v>0</v>
      </c>
      <c r="P208" t="n">
        <v>0</v>
      </c>
      <c r="Q208" t="n">
        <v>0</v>
      </c>
      <c r="R208" s="2" t="inlineStr"/>
    </row>
    <row r="209" ht="15" customHeight="1">
      <c r="A209" t="inlineStr">
        <is>
          <t>A 25105-2025</t>
        </is>
      </c>
      <c r="B209" s="1" t="n">
        <v>45800.34751157407</v>
      </c>
      <c r="C209" s="1" t="n">
        <v>45982</v>
      </c>
      <c r="D209" t="inlineStr">
        <is>
          <t>DALARNAS LÄN</t>
        </is>
      </c>
      <c r="E209" t="inlineStr">
        <is>
          <t>LEKSAND</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57925-2024</t>
        </is>
      </c>
      <c r="B210" s="1" t="n">
        <v>45630</v>
      </c>
      <c r="C210" s="1" t="n">
        <v>45982</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40513-2025</t>
        </is>
      </c>
      <c r="B211" s="1" t="n">
        <v>45896.35100694445</v>
      </c>
      <c r="C211" s="1" t="n">
        <v>45982</v>
      </c>
      <c r="D211" t="inlineStr">
        <is>
          <t>DALARNAS LÄN</t>
        </is>
      </c>
      <c r="E211" t="inlineStr">
        <is>
          <t>LEKSAND</t>
        </is>
      </c>
      <c r="G211" t="n">
        <v>7.1</v>
      </c>
      <c r="H211" t="n">
        <v>0</v>
      </c>
      <c r="I211" t="n">
        <v>0</v>
      </c>
      <c r="J211" t="n">
        <v>0</v>
      </c>
      <c r="K211" t="n">
        <v>0</v>
      </c>
      <c r="L211" t="n">
        <v>0</v>
      </c>
      <c r="M211" t="n">
        <v>0</v>
      </c>
      <c r="N211" t="n">
        <v>0</v>
      </c>
      <c r="O211" t="n">
        <v>0</v>
      </c>
      <c r="P211" t="n">
        <v>0</v>
      </c>
      <c r="Q211" t="n">
        <v>0</v>
      </c>
      <c r="R211" s="2" t="inlineStr"/>
    </row>
    <row r="212" ht="15" customHeight="1">
      <c r="A212" t="inlineStr">
        <is>
          <t>A 40517-2025</t>
        </is>
      </c>
      <c r="B212" s="1" t="n">
        <v>45896.36368055556</v>
      </c>
      <c r="C212" s="1" t="n">
        <v>45982</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25096-2025</t>
        </is>
      </c>
      <c r="B213" s="1" t="n">
        <v>45800.33868055556</v>
      </c>
      <c r="C213" s="1" t="n">
        <v>45982</v>
      </c>
      <c r="D213" t="inlineStr">
        <is>
          <t>DALARNAS LÄN</t>
        </is>
      </c>
      <c r="E213" t="inlineStr">
        <is>
          <t>LEKSAND</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11004-2023</t>
        </is>
      </c>
      <c r="B214" s="1" t="n">
        <v>44986</v>
      </c>
      <c r="C214" s="1" t="n">
        <v>45982</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32688-2024</t>
        </is>
      </c>
      <c r="B215" s="1" t="n">
        <v>45515.83091435185</v>
      </c>
      <c r="C215" s="1" t="n">
        <v>45982</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41487-2025</t>
        </is>
      </c>
      <c r="B216" s="1" t="n">
        <v>45901.4815625</v>
      </c>
      <c r="C216" s="1" t="n">
        <v>45982</v>
      </c>
      <c r="D216" t="inlineStr">
        <is>
          <t>DALARNAS LÄN</t>
        </is>
      </c>
      <c r="E216" t="inlineStr">
        <is>
          <t>LEKSAND</t>
        </is>
      </c>
      <c r="F216" t="inlineStr">
        <is>
          <t>Bergvik skog väst AB</t>
        </is>
      </c>
      <c r="G216" t="n">
        <v>7.3</v>
      </c>
      <c r="H216" t="n">
        <v>0</v>
      </c>
      <c r="I216" t="n">
        <v>0</v>
      </c>
      <c r="J216" t="n">
        <v>0</v>
      </c>
      <c r="K216" t="n">
        <v>0</v>
      </c>
      <c r="L216" t="n">
        <v>0</v>
      </c>
      <c r="M216" t="n">
        <v>0</v>
      </c>
      <c r="N216" t="n">
        <v>0</v>
      </c>
      <c r="O216" t="n">
        <v>0</v>
      </c>
      <c r="P216" t="n">
        <v>0</v>
      </c>
      <c r="Q216" t="n">
        <v>0</v>
      </c>
      <c r="R216" s="2" t="inlineStr"/>
    </row>
    <row r="217" ht="15" customHeight="1">
      <c r="A217" t="inlineStr">
        <is>
          <t>A 31255-2023</t>
        </is>
      </c>
      <c r="B217" s="1" t="n">
        <v>45114.36729166667</v>
      </c>
      <c r="C217" s="1" t="n">
        <v>45982</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43419-2024</t>
        </is>
      </c>
      <c r="B218" s="1" t="n">
        <v>45568</v>
      </c>
      <c r="C218" s="1" t="n">
        <v>45982</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41237-2025</t>
        </is>
      </c>
      <c r="B219" s="1" t="n">
        <v>45898.59570601852</v>
      </c>
      <c r="C219" s="1" t="n">
        <v>45982</v>
      </c>
      <c r="D219" t="inlineStr">
        <is>
          <t>DALARNAS LÄN</t>
        </is>
      </c>
      <c r="E219" t="inlineStr">
        <is>
          <t>LEKSAND</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41248-2025</t>
        </is>
      </c>
      <c r="B220" s="1" t="n">
        <v>45898.60199074074</v>
      </c>
      <c r="C220" s="1" t="n">
        <v>45982</v>
      </c>
      <c r="D220" t="inlineStr">
        <is>
          <t>DALARNAS LÄN</t>
        </is>
      </c>
      <c r="E220" t="inlineStr">
        <is>
          <t>LEKSAND</t>
        </is>
      </c>
      <c r="F220" t="inlineStr">
        <is>
          <t>Bergvik skog väst AB</t>
        </is>
      </c>
      <c r="G220" t="n">
        <v>2.5</v>
      </c>
      <c r="H220" t="n">
        <v>0</v>
      </c>
      <c r="I220" t="n">
        <v>0</v>
      </c>
      <c r="J220" t="n">
        <v>0</v>
      </c>
      <c r="K220" t="n">
        <v>0</v>
      </c>
      <c r="L220" t="n">
        <v>0</v>
      </c>
      <c r="M220" t="n">
        <v>0</v>
      </c>
      <c r="N220" t="n">
        <v>0</v>
      </c>
      <c r="O220" t="n">
        <v>0</v>
      </c>
      <c r="P220" t="n">
        <v>0</v>
      </c>
      <c r="Q220" t="n">
        <v>0</v>
      </c>
      <c r="R220" s="2" t="inlineStr"/>
    </row>
    <row r="221" ht="15" customHeight="1">
      <c r="A221" t="inlineStr">
        <is>
          <t>A 47854-2023</t>
        </is>
      </c>
      <c r="B221" s="1" t="n">
        <v>45198</v>
      </c>
      <c r="C221" s="1" t="n">
        <v>45982</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28633-2023</t>
        </is>
      </c>
      <c r="B222" s="1" t="n">
        <v>45103.61575231481</v>
      </c>
      <c r="C222" s="1" t="n">
        <v>45982</v>
      </c>
      <c r="D222" t="inlineStr">
        <is>
          <t>DALARNAS LÄN</t>
        </is>
      </c>
      <c r="E222" t="inlineStr">
        <is>
          <t>LEKSAND</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41308-2025</t>
        </is>
      </c>
      <c r="B223" s="1" t="n">
        <v>45898</v>
      </c>
      <c r="C223" s="1" t="n">
        <v>45982</v>
      </c>
      <c r="D223" t="inlineStr">
        <is>
          <t>DALARNAS LÄN</t>
        </is>
      </c>
      <c r="E223" t="inlineStr">
        <is>
          <t>LEKSAND</t>
        </is>
      </c>
      <c r="F223" t="inlineStr">
        <is>
          <t>Bergvik skog väst AB</t>
        </is>
      </c>
      <c r="G223" t="n">
        <v>6.7</v>
      </c>
      <c r="H223" t="n">
        <v>0</v>
      </c>
      <c r="I223" t="n">
        <v>0</v>
      </c>
      <c r="J223" t="n">
        <v>0</v>
      </c>
      <c r="K223" t="n">
        <v>0</v>
      </c>
      <c r="L223" t="n">
        <v>0</v>
      </c>
      <c r="M223" t="n">
        <v>0</v>
      </c>
      <c r="N223" t="n">
        <v>0</v>
      </c>
      <c r="O223" t="n">
        <v>0</v>
      </c>
      <c r="P223" t="n">
        <v>0</v>
      </c>
      <c r="Q223" t="n">
        <v>0</v>
      </c>
      <c r="R223" s="2" t="inlineStr"/>
    </row>
    <row r="224" ht="15" customHeight="1">
      <c r="A224" t="inlineStr">
        <is>
          <t>A 9459-2023</t>
        </is>
      </c>
      <c r="B224" s="1" t="n">
        <v>44977</v>
      </c>
      <c r="C224" s="1" t="n">
        <v>45982</v>
      </c>
      <c r="D224" t="inlineStr">
        <is>
          <t>DALARNAS LÄN</t>
        </is>
      </c>
      <c r="E224" t="inlineStr">
        <is>
          <t>LEKSAND</t>
        </is>
      </c>
      <c r="G224" t="n">
        <v>1.1</v>
      </c>
      <c r="H224" t="n">
        <v>0</v>
      </c>
      <c r="I224" t="n">
        <v>0</v>
      </c>
      <c r="J224" t="n">
        <v>0</v>
      </c>
      <c r="K224" t="n">
        <v>0</v>
      </c>
      <c r="L224" t="n">
        <v>0</v>
      </c>
      <c r="M224" t="n">
        <v>0</v>
      </c>
      <c r="N224" t="n">
        <v>0</v>
      </c>
      <c r="O224" t="n">
        <v>0</v>
      </c>
      <c r="P224" t="n">
        <v>0</v>
      </c>
      <c r="Q224" t="n">
        <v>0</v>
      </c>
      <c r="R224" s="2" t="inlineStr"/>
    </row>
    <row r="225" ht="15" customHeight="1">
      <c r="A225" t="inlineStr">
        <is>
          <t>A 30198-2024</t>
        </is>
      </c>
      <c r="B225" s="1" t="n">
        <v>45490.34765046297</v>
      </c>
      <c r="C225" s="1" t="n">
        <v>45982</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59718-2023</t>
        </is>
      </c>
      <c r="B226" s="1" t="n">
        <v>45257</v>
      </c>
      <c r="C226" s="1" t="n">
        <v>45982</v>
      </c>
      <c r="D226" t="inlineStr">
        <is>
          <t>DALARNAS LÄN</t>
        </is>
      </c>
      <c r="E226" t="inlineStr">
        <is>
          <t>LEKSAND</t>
        </is>
      </c>
      <c r="G226" t="n">
        <v>2.2</v>
      </c>
      <c r="H226" t="n">
        <v>0</v>
      </c>
      <c r="I226" t="n">
        <v>0</v>
      </c>
      <c r="J226" t="n">
        <v>0</v>
      </c>
      <c r="K226" t="n">
        <v>0</v>
      </c>
      <c r="L226" t="n">
        <v>0</v>
      </c>
      <c r="M226" t="n">
        <v>0</v>
      </c>
      <c r="N226" t="n">
        <v>0</v>
      </c>
      <c r="O226" t="n">
        <v>0</v>
      </c>
      <c r="P226" t="n">
        <v>0</v>
      </c>
      <c r="Q226" t="n">
        <v>0</v>
      </c>
      <c r="R226" s="2" t="inlineStr"/>
    </row>
    <row r="227" ht="15" customHeight="1">
      <c r="A227" t="inlineStr">
        <is>
          <t>A 7395-2025</t>
        </is>
      </c>
      <c r="B227" s="1" t="n">
        <v>45705.34516203704</v>
      </c>
      <c r="C227" s="1" t="n">
        <v>45982</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16744-2025</t>
        </is>
      </c>
      <c r="B228" s="1" t="n">
        <v>45754</v>
      </c>
      <c r="C228" s="1" t="n">
        <v>45982</v>
      </c>
      <c r="D228" t="inlineStr">
        <is>
          <t>DALARNAS LÄN</t>
        </is>
      </c>
      <c r="E228" t="inlineStr">
        <is>
          <t>LEKSAND</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41335-2025</t>
        </is>
      </c>
      <c r="B229" s="1" t="n">
        <v>45899.36747685185</v>
      </c>
      <c r="C229" s="1" t="n">
        <v>45982</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26423-2025</t>
        </is>
      </c>
      <c r="B230" s="1" t="n">
        <v>45807.37829861111</v>
      </c>
      <c r="C230" s="1" t="n">
        <v>45982</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11859-2024</t>
        </is>
      </c>
      <c r="B231" s="1" t="n">
        <v>45376.44569444445</v>
      </c>
      <c r="C231" s="1" t="n">
        <v>45982</v>
      </c>
      <c r="D231" t="inlineStr">
        <is>
          <t>DALARNAS LÄN</t>
        </is>
      </c>
      <c r="E231" t="inlineStr">
        <is>
          <t>LEKSAND</t>
        </is>
      </c>
      <c r="G231" t="n">
        <v>2.1</v>
      </c>
      <c r="H231" t="n">
        <v>0</v>
      </c>
      <c r="I231" t="n">
        <v>0</v>
      </c>
      <c r="J231" t="n">
        <v>0</v>
      </c>
      <c r="K231" t="n">
        <v>0</v>
      </c>
      <c r="L231" t="n">
        <v>0</v>
      </c>
      <c r="M231" t="n">
        <v>0</v>
      </c>
      <c r="N231" t="n">
        <v>0</v>
      </c>
      <c r="O231" t="n">
        <v>0</v>
      </c>
      <c r="P231" t="n">
        <v>0</v>
      </c>
      <c r="Q231" t="n">
        <v>0</v>
      </c>
      <c r="R231" s="2" t="inlineStr"/>
    </row>
    <row r="232" ht="15" customHeight="1">
      <c r="A232" t="inlineStr">
        <is>
          <t>A 26386-2025</t>
        </is>
      </c>
      <c r="B232" s="1" t="n">
        <v>45806</v>
      </c>
      <c r="C232" s="1" t="n">
        <v>45982</v>
      </c>
      <c r="D232" t="inlineStr">
        <is>
          <t>DALARNAS LÄN</t>
        </is>
      </c>
      <c r="E232" t="inlineStr">
        <is>
          <t>LEKSAND</t>
        </is>
      </c>
      <c r="F232" t="inlineStr">
        <is>
          <t>Bergvik skog väst AB</t>
        </is>
      </c>
      <c r="G232" t="n">
        <v>26.3</v>
      </c>
      <c r="H232" t="n">
        <v>0</v>
      </c>
      <c r="I232" t="n">
        <v>0</v>
      </c>
      <c r="J232" t="n">
        <v>0</v>
      </c>
      <c r="K232" t="n">
        <v>0</v>
      </c>
      <c r="L232" t="n">
        <v>0</v>
      </c>
      <c r="M232" t="n">
        <v>0</v>
      </c>
      <c r="N232" t="n">
        <v>0</v>
      </c>
      <c r="O232" t="n">
        <v>0</v>
      </c>
      <c r="P232" t="n">
        <v>0</v>
      </c>
      <c r="Q232" t="n">
        <v>0</v>
      </c>
      <c r="R232" s="2" t="inlineStr"/>
    </row>
    <row r="233" ht="15" customHeight="1">
      <c r="A233" t="inlineStr">
        <is>
          <t>A 51320-2023</t>
        </is>
      </c>
      <c r="B233" s="1" t="n">
        <v>45219.57456018519</v>
      </c>
      <c r="C233" s="1" t="n">
        <v>45982</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28630-2023</t>
        </is>
      </c>
      <c r="B234" s="1" t="n">
        <v>45103.61003472222</v>
      </c>
      <c r="C234" s="1" t="n">
        <v>45982</v>
      </c>
      <c r="D234" t="inlineStr">
        <is>
          <t>DALARNAS LÄN</t>
        </is>
      </c>
      <c r="E234" t="inlineStr">
        <is>
          <t>LEKSAND</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30860-2024</t>
        </is>
      </c>
      <c r="B235" s="1" t="n">
        <v>45497.69108796296</v>
      </c>
      <c r="C235" s="1" t="n">
        <v>45982</v>
      </c>
      <c r="D235" t="inlineStr">
        <is>
          <t>DALARNAS LÄN</t>
        </is>
      </c>
      <c r="E235" t="inlineStr">
        <is>
          <t>LEKSAND</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30864-2024</t>
        </is>
      </c>
      <c r="B236" s="1" t="n">
        <v>45497.71550925926</v>
      </c>
      <c r="C236" s="1" t="n">
        <v>45982</v>
      </c>
      <c r="D236" t="inlineStr">
        <is>
          <t>DALARNAS LÄN</t>
        </is>
      </c>
      <c r="E236" t="inlineStr">
        <is>
          <t>LEKSAND</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41380-2025</t>
        </is>
      </c>
      <c r="B237" s="1" t="n">
        <v>45900.92826388889</v>
      </c>
      <c r="C237" s="1" t="n">
        <v>45982</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61252-2023</t>
        </is>
      </c>
      <c r="B238" s="1" t="n">
        <v>45261</v>
      </c>
      <c r="C238" s="1" t="n">
        <v>45982</v>
      </c>
      <c r="D238" t="inlineStr">
        <is>
          <t>DALARNAS LÄN</t>
        </is>
      </c>
      <c r="E238" t="inlineStr">
        <is>
          <t>LEKSAND</t>
        </is>
      </c>
      <c r="G238" t="n">
        <v>1.9</v>
      </c>
      <c r="H238" t="n">
        <v>0</v>
      </c>
      <c r="I238" t="n">
        <v>0</v>
      </c>
      <c r="J238" t="n">
        <v>0</v>
      </c>
      <c r="K238" t="n">
        <v>0</v>
      </c>
      <c r="L238" t="n">
        <v>0</v>
      </c>
      <c r="M238" t="n">
        <v>0</v>
      </c>
      <c r="N238" t="n">
        <v>0</v>
      </c>
      <c r="O238" t="n">
        <v>0</v>
      </c>
      <c r="P238" t="n">
        <v>0</v>
      </c>
      <c r="Q238" t="n">
        <v>0</v>
      </c>
      <c r="R238" s="2" t="inlineStr"/>
    </row>
    <row r="239" ht="15" customHeight="1">
      <c r="A239" t="inlineStr">
        <is>
          <t>A 23892-2025</t>
        </is>
      </c>
      <c r="B239" s="1" t="n">
        <v>45793</v>
      </c>
      <c r="C239" s="1" t="n">
        <v>45982</v>
      </c>
      <c r="D239" t="inlineStr">
        <is>
          <t>DALARNAS LÄN</t>
        </is>
      </c>
      <c r="E239" t="inlineStr">
        <is>
          <t>LEKSAND</t>
        </is>
      </c>
      <c r="F239" t="inlineStr">
        <is>
          <t>Kommuner</t>
        </is>
      </c>
      <c r="G239" t="n">
        <v>1.5</v>
      </c>
      <c r="H239" t="n">
        <v>0</v>
      </c>
      <c r="I239" t="n">
        <v>0</v>
      </c>
      <c r="J239" t="n">
        <v>0</v>
      </c>
      <c r="K239" t="n">
        <v>0</v>
      </c>
      <c r="L239" t="n">
        <v>0</v>
      </c>
      <c r="M239" t="n">
        <v>0</v>
      </c>
      <c r="N239" t="n">
        <v>0</v>
      </c>
      <c r="O239" t="n">
        <v>0</v>
      </c>
      <c r="P239" t="n">
        <v>0</v>
      </c>
      <c r="Q239" t="n">
        <v>0</v>
      </c>
      <c r="R239" s="2" t="inlineStr"/>
    </row>
    <row r="240" ht="15" customHeight="1">
      <c r="A240" t="inlineStr">
        <is>
          <t>A 25329-2022</t>
        </is>
      </c>
      <c r="B240" s="1" t="n">
        <v>44731.8799537037</v>
      </c>
      <c r="C240" s="1" t="n">
        <v>45982</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27323-2025</t>
        </is>
      </c>
      <c r="B241" s="1" t="n">
        <v>45812.60392361111</v>
      </c>
      <c r="C241" s="1" t="n">
        <v>45982</v>
      </c>
      <c r="D241" t="inlineStr">
        <is>
          <t>DALARNAS LÄN</t>
        </is>
      </c>
      <c r="E241" t="inlineStr">
        <is>
          <t>LEKSAND</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27262-2025</t>
        </is>
      </c>
      <c r="B242" s="1" t="n">
        <v>45812</v>
      </c>
      <c r="C242" s="1" t="n">
        <v>45982</v>
      </c>
      <c r="D242" t="inlineStr">
        <is>
          <t>DALARNAS LÄN</t>
        </is>
      </c>
      <c r="E242" t="inlineStr">
        <is>
          <t>LEKSAND</t>
        </is>
      </c>
      <c r="F242" t="inlineStr">
        <is>
          <t>Bergvik skog väst AB</t>
        </is>
      </c>
      <c r="G242" t="n">
        <v>7.7</v>
      </c>
      <c r="H242" t="n">
        <v>0</v>
      </c>
      <c r="I242" t="n">
        <v>0</v>
      </c>
      <c r="J242" t="n">
        <v>0</v>
      </c>
      <c r="K242" t="n">
        <v>0</v>
      </c>
      <c r="L242" t="n">
        <v>0</v>
      </c>
      <c r="M242" t="n">
        <v>0</v>
      </c>
      <c r="N242" t="n">
        <v>0</v>
      </c>
      <c r="O242" t="n">
        <v>0</v>
      </c>
      <c r="P242" t="n">
        <v>0</v>
      </c>
      <c r="Q242" t="n">
        <v>0</v>
      </c>
      <c r="R242" s="2" t="inlineStr"/>
    </row>
    <row r="243" ht="15" customHeight="1">
      <c r="A243" t="inlineStr">
        <is>
          <t>A 42284-2025</t>
        </is>
      </c>
      <c r="B243" s="1" t="n">
        <v>45903</v>
      </c>
      <c r="C243" s="1" t="n">
        <v>45982</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27332-2025</t>
        </is>
      </c>
      <c r="B244" s="1" t="n">
        <v>45812.61265046296</v>
      </c>
      <c r="C244" s="1" t="n">
        <v>45982</v>
      </c>
      <c r="D244" t="inlineStr">
        <is>
          <t>DALARNAS LÄN</t>
        </is>
      </c>
      <c r="E244" t="inlineStr">
        <is>
          <t>LEKSAND</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27183-2025</t>
        </is>
      </c>
      <c r="B245" s="1" t="n">
        <v>45812.36097222222</v>
      </c>
      <c r="C245" s="1" t="n">
        <v>45982</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27680-2025</t>
        </is>
      </c>
      <c r="B246" s="1" t="n">
        <v>45813.64618055556</v>
      </c>
      <c r="C246" s="1" t="n">
        <v>45982</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27682-2025</t>
        </is>
      </c>
      <c r="B247" s="1" t="n">
        <v>45813.64782407408</v>
      </c>
      <c r="C247" s="1" t="n">
        <v>45982</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50332-2025</t>
        </is>
      </c>
      <c r="B248" s="1" t="n">
        <v>45944.47092592593</v>
      </c>
      <c r="C248" s="1" t="n">
        <v>45982</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27705-2025</t>
        </is>
      </c>
      <c r="B249" s="1" t="n">
        <v>45813</v>
      </c>
      <c r="C249" s="1" t="n">
        <v>45982</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27329-2025</t>
        </is>
      </c>
      <c r="B250" s="1" t="n">
        <v>45812.60864583333</v>
      </c>
      <c r="C250" s="1" t="n">
        <v>45982</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45512-2023</t>
        </is>
      </c>
      <c r="B251" s="1" t="n">
        <v>45194.49178240741</v>
      </c>
      <c r="C251" s="1" t="n">
        <v>45982</v>
      </c>
      <c r="D251" t="inlineStr">
        <is>
          <t>DALARNAS LÄN</t>
        </is>
      </c>
      <c r="E251" t="inlineStr">
        <is>
          <t>LEKSAND</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50704-2025</t>
        </is>
      </c>
      <c r="B252" s="1" t="n">
        <v>45946.27984953704</v>
      </c>
      <c r="C252" s="1" t="n">
        <v>45982</v>
      </c>
      <c r="D252" t="inlineStr">
        <is>
          <t>DALARNAS LÄN</t>
        </is>
      </c>
      <c r="E252" t="inlineStr">
        <is>
          <t>LEKSAND</t>
        </is>
      </c>
      <c r="G252" t="n">
        <v>2.1</v>
      </c>
      <c r="H252" t="n">
        <v>0</v>
      </c>
      <c r="I252" t="n">
        <v>0</v>
      </c>
      <c r="J252" t="n">
        <v>0</v>
      </c>
      <c r="K252" t="n">
        <v>0</v>
      </c>
      <c r="L252" t="n">
        <v>0</v>
      </c>
      <c r="M252" t="n">
        <v>0</v>
      </c>
      <c r="N252" t="n">
        <v>0</v>
      </c>
      <c r="O252" t="n">
        <v>0</v>
      </c>
      <c r="P252" t="n">
        <v>0</v>
      </c>
      <c r="Q252" t="n">
        <v>0</v>
      </c>
      <c r="R252" s="2" t="inlineStr"/>
    </row>
    <row r="253" ht="15" customHeight="1">
      <c r="A253" t="inlineStr">
        <is>
          <t>A 27984-2025</t>
        </is>
      </c>
      <c r="B253" s="1" t="n">
        <v>45817.57710648148</v>
      </c>
      <c r="C253" s="1" t="n">
        <v>45982</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60024-2023</t>
        </is>
      </c>
      <c r="B254" s="1" t="n">
        <v>45258</v>
      </c>
      <c r="C254" s="1" t="n">
        <v>45982</v>
      </c>
      <c r="D254" t="inlineStr">
        <is>
          <t>DALARNAS LÄN</t>
        </is>
      </c>
      <c r="E254" t="inlineStr">
        <is>
          <t>LEKSAND</t>
        </is>
      </c>
      <c r="G254" t="n">
        <v>4.2</v>
      </c>
      <c r="H254" t="n">
        <v>0</v>
      </c>
      <c r="I254" t="n">
        <v>0</v>
      </c>
      <c r="J254" t="n">
        <v>0</v>
      </c>
      <c r="K254" t="n">
        <v>0</v>
      </c>
      <c r="L254" t="n">
        <v>0</v>
      </c>
      <c r="M254" t="n">
        <v>0</v>
      </c>
      <c r="N254" t="n">
        <v>0</v>
      </c>
      <c r="O254" t="n">
        <v>0</v>
      </c>
      <c r="P254" t="n">
        <v>0</v>
      </c>
      <c r="Q254" t="n">
        <v>0</v>
      </c>
      <c r="R254" s="2" t="inlineStr"/>
    </row>
    <row r="255" ht="15" customHeight="1">
      <c r="A255" t="inlineStr">
        <is>
          <t>A 19330-2025</t>
        </is>
      </c>
      <c r="B255" s="1" t="n">
        <v>45769</v>
      </c>
      <c r="C255" s="1" t="n">
        <v>45982</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59826-2023</t>
        </is>
      </c>
      <c r="B256" s="1" t="n">
        <v>45254</v>
      </c>
      <c r="C256" s="1" t="n">
        <v>45982</v>
      </c>
      <c r="D256" t="inlineStr">
        <is>
          <t>DALARNAS LÄN</t>
        </is>
      </c>
      <c r="E256" t="inlineStr">
        <is>
          <t>LEKSAND</t>
        </is>
      </c>
      <c r="G256" t="n">
        <v>1.1</v>
      </c>
      <c r="H256" t="n">
        <v>0</v>
      </c>
      <c r="I256" t="n">
        <v>0</v>
      </c>
      <c r="J256" t="n">
        <v>0</v>
      </c>
      <c r="K256" t="n">
        <v>0</v>
      </c>
      <c r="L256" t="n">
        <v>0</v>
      </c>
      <c r="M256" t="n">
        <v>0</v>
      </c>
      <c r="N256" t="n">
        <v>0</v>
      </c>
      <c r="O256" t="n">
        <v>0</v>
      </c>
      <c r="P256" t="n">
        <v>0</v>
      </c>
      <c r="Q256" t="n">
        <v>0</v>
      </c>
      <c r="R256" s="2" t="inlineStr"/>
    </row>
    <row r="257" ht="15" customHeight="1">
      <c r="A257" t="inlineStr">
        <is>
          <t>A 42402-2025</t>
        </is>
      </c>
      <c r="B257" s="1" t="n">
        <v>45905.3753125</v>
      </c>
      <c r="C257" s="1" t="n">
        <v>45982</v>
      </c>
      <c r="D257" t="inlineStr">
        <is>
          <t>DALARNAS LÄN</t>
        </is>
      </c>
      <c r="E257" t="inlineStr">
        <is>
          <t>LEKSAND</t>
        </is>
      </c>
      <c r="G257" t="n">
        <v>0.6</v>
      </c>
      <c r="H257" t="n">
        <v>0</v>
      </c>
      <c r="I257" t="n">
        <v>0</v>
      </c>
      <c r="J257" t="n">
        <v>0</v>
      </c>
      <c r="K257" t="n">
        <v>0</v>
      </c>
      <c r="L257" t="n">
        <v>0</v>
      </c>
      <c r="M257" t="n">
        <v>0</v>
      </c>
      <c r="N257" t="n">
        <v>0</v>
      </c>
      <c r="O257" t="n">
        <v>0</v>
      </c>
      <c r="P257" t="n">
        <v>0</v>
      </c>
      <c r="Q257" t="n">
        <v>0</v>
      </c>
      <c r="R257" s="2" t="inlineStr"/>
    </row>
    <row r="258" ht="15" customHeight="1">
      <c r="A258" t="inlineStr">
        <is>
          <t>A 28913-2024</t>
        </is>
      </c>
      <c r="B258" s="1" t="n">
        <v>45480.75318287037</v>
      </c>
      <c r="C258" s="1" t="n">
        <v>45982</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14617-2024</t>
        </is>
      </c>
      <c r="B259" s="1" t="n">
        <v>45397</v>
      </c>
      <c r="C259" s="1" t="n">
        <v>45982</v>
      </c>
      <c r="D259" t="inlineStr">
        <is>
          <t>DALARNAS LÄN</t>
        </is>
      </c>
      <c r="E259" t="inlineStr">
        <is>
          <t>LEKSAND</t>
        </is>
      </c>
      <c r="G259" t="n">
        <v>0.2</v>
      </c>
      <c r="H259" t="n">
        <v>0</v>
      </c>
      <c r="I259" t="n">
        <v>0</v>
      </c>
      <c r="J259" t="n">
        <v>0</v>
      </c>
      <c r="K259" t="n">
        <v>0</v>
      </c>
      <c r="L259" t="n">
        <v>0</v>
      </c>
      <c r="M259" t="n">
        <v>0</v>
      </c>
      <c r="N259" t="n">
        <v>0</v>
      </c>
      <c r="O259" t="n">
        <v>0</v>
      </c>
      <c r="P259" t="n">
        <v>0</v>
      </c>
      <c r="Q259" t="n">
        <v>0</v>
      </c>
      <c r="R259" s="2" t="inlineStr"/>
    </row>
    <row r="260" ht="15" customHeight="1">
      <c r="A260" t="inlineStr">
        <is>
          <t>A 60945-2024</t>
        </is>
      </c>
      <c r="B260" s="1" t="n">
        <v>45645.37893518519</v>
      </c>
      <c r="C260" s="1" t="n">
        <v>45982</v>
      </c>
      <c r="D260" t="inlineStr">
        <is>
          <t>DALARNAS LÄN</t>
        </is>
      </c>
      <c r="E260" t="inlineStr">
        <is>
          <t>LEKSAND</t>
        </is>
      </c>
      <c r="G260" t="n">
        <v>2.2</v>
      </c>
      <c r="H260" t="n">
        <v>0</v>
      </c>
      <c r="I260" t="n">
        <v>0</v>
      </c>
      <c r="J260" t="n">
        <v>0</v>
      </c>
      <c r="K260" t="n">
        <v>0</v>
      </c>
      <c r="L260" t="n">
        <v>0</v>
      </c>
      <c r="M260" t="n">
        <v>0</v>
      </c>
      <c r="N260" t="n">
        <v>0</v>
      </c>
      <c r="O260" t="n">
        <v>0</v>
      </c>
      <c r="P260" t="n">
        <v>0</v>
      </c>
      <c r="Q260" t="n">
        <v>0</v>
      </c>
      <c r="R260" s="2" t="inlineStr"/>
    </row>
    <row r="261" ht="15" customHeight="1">
      <c r="A261" t="inlineStr">
        <is>
          <t>A 28499-2025</t>
        </is>
      </c>
      <c r="B261" s="1" t="n">
        <v>45818</v>
      </c>
      <c r="C261" s="1" t="n">
        <v>45982</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60692-2023</t>
        </is>
      </c>
      <c r="B262" s="1" t="n">
        <v>45260.50008101852</v>
      </c>
      <c r="C262" s="1" t="n">
        <v>45982</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7467-2023</t>
        </is>
      </c>
      <c r="B263" s="1" t="n">
        <v>44966</v>
      </c>
      <c r="C263" s="1" t="n">
        <v>45982</v>
      </c>
      <c r="D263" t="inlineStr">
        <is>
          <t>DALARNAS LÄN</t>
        </is>
      </c>
      <c r="E263" t="inlineStr">
        <is>
          <t>LEKSAND</t>
        </is>
      </c>
      <c r="G263" t="n">
        <v>2.4</v>
      </c>
      <c r="H263" t="n">
        <v>0</v>
      </c>
      <c r="I263" t="n">
        <v>0</v>
      </c>
      <c r="J263" t="n">
        <v>0</v>
      </c>
      <c r="K263" t="n">
        <v>0</v>
      </c>
      <c r="L263" t="n">
        <v>0</v>
      </c>
      <c r="M263" t="n">
        <v>0</v>
      </c>
      <c r="N263" t="n">
        <v>0</v>
      </c>
      <c r="O263" t="n">
        <v>0</v>
      </c>
      <c r="P263" t="n">
        <v>0</v>
      </c>
      <c r="Q263" t="n">
        <v>0</v>
      </c>
      <c r="R263" s="2" t="inlineStr"/>
    </row>
    <row r="264" ht="15" customHeight="1">
      <c r="A264" t="inlineStr">
        <is>
          <t>A 28483-2025</t>
        </is>
      </c>
      <c r="B264" s="1" t="n">
        <v>45818</v>
      </c>
      <c r="C264" s="1" t="n">
        <v>45982</v>
      </c>
      <c r="D264" t="inlineStr">
        <is>
          <t>DALARNAS LÄN</t>
        </is>
      </c>
      <c r="E264" t="inlineStr">
        <is>
          <t>LEKSAND</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28458-2025</t>
        </is>
      </c>
      <c r="B265" s="1" t="n">
        <v>45819.413125</v>
      </c>
      <c r="C265" s="1" t="n">
        <v>45982</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44491-2023</t>
        </is>
      </c>
      <c r="B266" s="1" t="n">
        <v>45183</v>
      </c>
      <c r="C266" s="1" t="n">
        <v>45982</v>
      </c>
      <c r="D266" t="inlineStr">
        <is>
          <t>DALARNAS LÄN</t>
        </is>
      </c>
      <c r="E266" t="inlineStr">
        <is>
          <t>LEKSAND</t>
        </is>
      </c>
      <c r="G266" t="n">
        <v>2.6</v>
      </c>
      <c r="H266" t="n">
        <v>0</v>
      </c>
      <c r="I266" t="n">
        <v>0</v>
      </c>
      <c r="J266" t="n">
        <v>0</v>
      </c>
      <c r="K266" t="n">
        <v>0</v>
      </c>
      <c r="L266" t="n">
        <v>0</v>
      </c>
      <c r="M266" t="n">
        <v>0</v>
      </c>
      <c r="N266" t="n">
        <v>0</v>
      </c>
      <c r="O266" t="n">
        <v>0</v>
      </c>
      <c r="P266" t="n">
        <v>0</v>
      </c>
      <c r="Q266" t="n">
        <v>0</v>
      </c>
      <c r="R266" s="2" t="inlineStr"/>
    </row>
    <row r="267" ht="15" customHeight="1">
      <c r="A267" t="inlineStr">
        <is>
          <t>A 28505-2025</t>
        </is>
      </c>
      <c r="B267" s="1" t="n">
        <v>45818</v>
      </c>
      <c r="C267" s="1" t="n">
        <v>45982</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28488-2025</t>
        </is>
      </c>
      <c r="B268" s="1" t="n">
        <v>45818</v>
      </c>
      <c r="C268" s="1" t="n">
        <v>45982</v>
      </c>
      <c r="D268" t="inlineStr">
        <is>
          <t>DALARNAS LÄN</t>
        </is>
      </c>
      <c r="E268" t="inlineStr">
        <is>
          <t>LEKSAND</t>
        </is>
      </c>
      <c r="G268" t="n">
        <v>1.1</v>
      </c>
      <c r="H268" t="n">
        <v>0</v>
      </c>
      <c r="I268" t="n">
        <v>0</v>
      </c>
      <c r="J268" t="n">
        <v>0</v>
      </c>
      <c r="K268" t="n">
        <v>0</v>
      </c>
      <c r="L268" t="n">
        <v>0</v>
      </c>
      <c r="M268" t="n">
        <v>0</v>
      </c>
      <c r="N268" t="n">
        <v>0</v>
      </c>
      <c r="O268" t="n">
        <v>0</v>
      </c>
      <c r="P268" t="n">
        <v>0</v>
      </c>
      <c r="Q268" t="n">
        <v>0</v>
      </c>
      <c r="R268" s="2" t="inlineStr"/>
    </row>
    <row r="269" ht="15" customHeight="1">
      <c r="A269" t="inlineStr">
        <is>
          <t>A 28770-2025</t>
        </is>
      </c>
      <c r="B269" s="1" t="n">
        <v>45820</v>
      </c>
      <c r="C269" s="1" t="n">
        <v>45982</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61614-2023</t>
        </is>
      </c>
      <c r="B270" s="1" t="n">
        <v>45261</v>
      </c>
      <c r="C270" s="1" t="n">
        <v>45982</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28985-2025</t>
        </is>
      </c>
      <c r="B271" s="1" t="n">
        <v>45821.36862268519</v>
      </c>
      <c r="C271" s="1" t="n">
        <v>45982</v>
      </c>
      <c r="D271" t="inlineStr">
        <is>
          <t>DALARNAS LÄN</t>
        </is>
      </c>
      <c r="E271" t="inlineStr">
        <is>
          <t>LEKSAND</t>
        </is>
      </c>
      <c r="G271" t="n">
        <v>0.7</v>
      </c>
      <c r="H271" t="n">
        <v>0</v>
      </c>
      <c r="I271" t="n">
        <v>0</v>
      </c>
      <c r="J271" t="n">
        <v>0</v>
      </c>
      <c r="K271" t="n">
        <v>0</v>
      </c>
      <c r="L271" t="n">
        <v>0</v>
      </c>
      <c r="M271" t="n">
        <v>0</v>
      </c>
      <c r="N271" t="n">
        <v>0</v>
      </c>
      <c r="O271" t="n">
        <v>0</v>
      </c>
      <c r="P271" t="n">
        <v>0</v>
      </c>
      <c r="Q271" t="n">
        <v>0</v>
      </c>
      <c r="R271" s="2" t="inlineStr"/>
    </row>
    <row r="272" ht="15" customHeight="1">
      <c r="A272" t="inlineStr">
        <is>
          <t>A 51663-2025</t>
        </is>
      </c>
      <c r="B272" s="1" t="n">
        <v>45951</v>
      </c>
      <c r="C272" s="1" t="n">
        <v>45982</v>
      </c>
      <c r="D272" t="inlineStr">
        <is>
          <t>DALARNAS LÄN</t>
        </is>
      </c>
      <c r="E272" t="inlineStr">
        <is>
          <t>LEKSAND</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51857-2022</t>
        </is>
      </c>
      <c r="B273" s="1" t="n">
        <v>44867</v>
      </c>
      <c r="C273" s="1" t="n">
        <v>45982</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29553-2025</t>
        </is>
      </c>
      <c r="B274" s="1" t="n">
        <v>45825.35315972222</v>
      </c>
      <c r="C274" s="1" t="n">
        <v>45982</v>
      </c>
      <c r="D274" t="inlineStr">
        <is>
          <t>DALARNAS LÄN</t>
        </is>
      </c>
      <c r="E274" t="inlineStr">
        <is>
          <t>LEKSAND</t>
        </is>
      </c>
      <c r="G274" t="n">
        <v>1.8</v>
      </c>
      <c r="H274" t="n">
        <v>0</v>
      </c>
      <c r="I274" t="n">
        <v>0</v>
      </c>
      <c r="J274" t="n">
        <v>0</v>
      </c>
      <c r="K274" t="n">
        <v>0</v>
      </c>
      <c r="L274" t="n">
        <v>0</v>
      </c>
      <c r="M274" t="n">
        <v>0</v>
      </c>
      <c r="N274" t="n">
        <v>0</v>
      </c>
      <c r="O274" t="n">
        <v>0</v>
      </c>
      <c r="P274" t="n">
        <v>0</v>
      </c>
      <c r="Q274" t="n">
        <v>0</v>
      </c>
      <c r="R274" s="2" t="inlineStr"/>
    </row>
    <row r="275" ht="15" customHeight="1">
      <c r="A275" t="inlineStr">
        <is>
          <t>A 29005-2025</t>
        </is>
      </c>
      <c r="B275" s="1" t="n">
        <v>45821.39326388889</v>
      </c>
      <c r="C275" s="1" t="n">
        <v>45982</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1267-2025</t>
        </is>
      </c>
      <c r="B276" s="1" t="n">
        <v>45667</v>
      </c>
      <c r="C276" s="1" t="n">
        <v>45982</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29729-2025</t>
        </is>
      </c>
      <c r="B277" s="1" t="n">
        <v>45825.58077546296</v>
      </c>
      <c r="C277" s="1" t="n">
        <v>45982</v>
      </c>
      <c r="D277" t="inlineStr">
        <is>
          <t>DALARNAS LÄN</t>
        </is>
      </c>
      <c r="E277" t="inlineStr">
        <is>
          <t>LEKSAND</t>
        </is>
      </c>
      <c r="F277" t="inlineStr">
        <is>
          <t>Bergvik skog väst AB</t>
        </is>
      </c>
      <c r="G277" t="n">
        <v>4.3</v>
      </c>
      <c r="H277" t="n">
        <v>0</v>
      </c>
      <c r="I277" t="n">
        <v>0</v>
      </c>
      <c r="J277" t="n">
        <v>0</v>
      </c>
      <c r="K277" t="n">
        <v>0</v>
      </c>
      <c r="L277" t="n">
        <v>0</v>
      </c>
      <c r="M277" t="n">
        <v>0</v>
      </c>
      <c r="N277" t="n">
        <v>0</v>
      </c>
      <c r="O277" t="n">
        <v>0</v>
      </c>
      <c r="P277" t="n">
        <v>0</v>
      </c>
      <c r="Q277" t="n">
        <v>0</v>
      </c>
      <c r="R277" s="2" t="inlineStr"/>
    </row>
    <row r="278" ht="15" customHeight="1">
      <c r="A278" t="inlineStr">
        <is>
          <t>A 51768-2025</t>
        </is>
      </c>
      <c r="B278" s="1" t="n">
        <v>45951.64041666667</v>
      </c>
      <c r="C278" s="1" t="n">
        <v>45982</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24714-2025</t>
        </is>
      </c>
      <c r="B279" s="1" t="n">
        <v>45798.96927083333</v>
      </c>
      <c r="C279" s="1" t="n">
        <v>45982</v>
      </c>
      <c r="D279" t="inlineStr">
        <is>
          <t>DALARNAS LÄN</t>
        </is>
      </c>
      <c r="E279" t="inlineStr">
        <is>
          <t>LEKSAND</t>
        </is>
      </c>
      <c r="F279" t="inlineStr">
        <is>
          <t>Bergvik skog väst AB</t>
        </is>
      </c>
      <c r="G279" t="n">
        <v>6.2</v>
      </c>
      <c r="H279" t="n">
        <v>0</v>
      </c>
      <c r="I279" t="n">
        <v>0</v>
      </c>
      <c r="J279" t="n">
        <v>0</v>
      </c>
      <c r="K279" t="n">
        <v>0</v>
      </c>
      <c r="L279" t="n">
        <v>0</v>
      </c>
      <c r="M279" t="n">
        <v>0</v>
      </c>
      <c r="N279" t="n">
        <v>0</v>
      </c>
      <c r="O279" t="n">
        <v>0</v>
      </c>
      <c r="P279" t="n">
        <v>0</v>
      </c>
      <c r="Q279" t="n">
        <v>0</v>
      </c>
      <c r="R279" s="2" t="inlineStr"/>
    </row>
    <row r="280" ht="15" customHeight="1">
      <c r="A280" t="inlineStr">
        <is>
          <t>A 19700-2025</t>
        </is>
      </c>
      <c r="B280" s="1" t="n">
        <v>45771.32445601852</v>
      </c>
      <c r="C280" s="1" t="n">
        <v>45982</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30254-2025</t>
        </is>
      </c>
      <c r="B281" s="1" t="n">
        <v>45827.42336805556</v>
      </c>
      <c r="C281" s="1" t="n">
        <v>45982</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12582-2025</t>
        </is>
      </c>
      <c r="B282" s="1" t="n">
        <v>45732.62988425926</v>
      </c>
      <c r="C282" s="1" t="n">
        <v>45982</v>
      </c>
      <c r="D282" t="inlineStr">
        <is>
          <t>DALARNAS LÄN</t>
        </is>
      </c>
      <c r="E282" t="inlineStr">
        <is>
          <t>LEKSAND</t>
        </is>
      </c>
      <c r="G282" t="n">
        <v>1.3</v>
      </c>
      <c r="H282" t="n">
        <v>0</v>
      </c>
      <c r="I282" t="n">
        <v>0</v>
      </c>
      <c r="J282" t="n">
        <v>0</v>
      </c>
      <c r="K282" t="n">
        <v>0</v>
      </c>
      <c r="L282" t="n">
        <v>0</v>
      </c>
      <c r="M282" t="n">
        <v>0</v>
      </c>
      <c r="N282" t="n">
        <v>0</v>
      </c>
      <c r="O282" t="n">
        <v>0</v>
      </c>
      <c r="P282" t="n">
        <v>0</v>
      </c>
      <c r="Q282" t="n">
        <v>0</v>
      </c>
      <c r="R282" s="2" t="inlineStr"/>
    </row>
    <row r="283" ht="15" customHeight="1">
      <c r="A283" t="inlineStr">
        <is>
          <t>A 43158-2025</t>
        </is>
      </c>
      <c r="B283" s="1" t="n">
        <v>45910.35496527778</v>
      </c>
      <c r="C283" s="1" t="n">
        <v>45982</v>
      </c>
      <c r="D283" t="inlineStr">
        <is>
          <t>DALARNAS LÄN</t>
        </is>
      </c>
      <c r="E283" t="inlineStr">
        <is>
          <t>LEKSAND</t>
        </is>
      </c>
      <c r="G283" t="n">
        <v>1.9</v>
      </c>
      <c r="H283" t="n">
        <v>0</v>
      </c>
      <c r="I283" t="n">
        <v>0</v>
      </c>
      <c r="J283" t="n">
        <v>0</v>
      </c>
      <c r="K283" t="n">
        <v>0</v>
      </c>
      <c r="L283" t="n">
        <v>0</v>
      </c>
      <c r="M283" t="n">
        <v>0</v>
      </c>
      <c r="N283" t="n">
        <v>0</v>
      </c>
      <c r="O283" t="n">
        <v>0</v>
      </c>
      <c r="P283" t="n">
        <v>0</v>
      </c>
      <c r="Q283" t="n">
        <v>0</v>
      </c>
      <c r="R283" s="2" t="inlineStr"/>
    </row>
    <row r="284" ht="15" customHeight="1">
      <c r="A284" t="inlineStr">
        <is>
          <t>A 43629-2025</t>
        </is>
      </c>
      <c r="B284" s="1" t="n">
        <v>45911.70180555555</v>
      </c>
      <c r="C284" s="1" t="n">
        <v>45982</v>
      </c>
      <c r="D284" t="inlineStr">
        <is>
          <t>DALARNAS LÄN</t>
        </is>
      </c>
      <c r="E284" t="inlineStr">
        <is>
          <t>LEKSAND</t>
        </is>
      </c>
      <c r="G284" t="n">
        <v>2.1</v>
      </c>
      <c r="H284" t="n">
        <v>0</v>
      </c>
      <c r="I284" t="n">
        <v>0</v>
      </c>
      <c r="J284" t="n">
        <v>0</v>
      </c>
      <c r="K284" t="n">
        <v>0</v>
      </c>
      <c r="L284" t="n">
        <v>0</v>
      </c>
      <c r="M284" t="n">
        <v>0</v>
      </c>
      <c r="N284" t="n">
        <v>0</v>
      </c>
      <c r="O284" t="n">
        <v>0</v>
      </c>
      <c r="P284" t="n">
        <v>0</v>
      </c>
      <c r="Q284" t="n">
        <v>0</v>
      </c>
      <c r="R284" s="2" t="inlineStr"/>
    </row>
    <row r="285" ht="15" customHeight="1">
      <c r="A285" t="inlineStr">
        <is>
          <t>A 62116-2024</t>
        </is>
      </c>
      <c r="B285" s="1" t="n">
        <v>45646</v>
      </c>
      <c r="C285" s="1" t="n">
        <v>45982</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51926-2025</t>
        </is>
      </c>
      <c r="B286" s="1" t="n">
        <v>45952.49537037037</v>
      </c>
      <c r="C286" s="1" t="n">
        <v>45982</v>
      </c>
      <c r="D286" t="inlineStr">
        <is>
          <t>DALARNAS LÄN</t>
        </is>
      </c>
      <c r="E286" t="inlineStr">
        <is>
          <t>LEKSAND</t>
        </is>
      </c>
      <c r="G286" t="n">
        <v>2.3</v>
      </c>
      <c r="H286" t="n">
        <v>0</v>
      </c>
      <c r="I286" t="n">
        <v>0</v>
      </c>
      <c r="J286" t="n">
        <v>0</v>
      </c>
      <c r="K286" t="n">
        <v>0</v>
      </c>
      <c r="L286" t="n">
        <v>0</v>
      </c>
      <c r="M286" t="n">
        <v>0</v>
      </c>
      <c r="N286" t="n">
        <v>0</v>
      </c>
      <c r="O286" t="n">
        <v>0</v>
      </c>
      <c r="P286" t="n">
        <v>0</v>
      </c>
      <c r="Q286" t="n">
        <v>0</v>
      </c>
      <c r="R286" s="2" t="inlineStr"/>
    </row>
    <row r="287" ht="15" customHeight="1">
      <c r="A287" t="inlineStr">
        <is>
          <t>A 43628-2025</t>
        </is>
      </c>
      <c r="B287" s="1" t="n">
        <v>45911.70060185185</v>
      </c>
      <c r="C287" s="1" t="n">
        <v>45982</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30169-2023</t>
        </is>
      </c>
      <c r="B288" s="1" t="n">
        <v>45110</v>
      </c>
      <c r="C288" s="1" t="n">
        <v>45982</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43607-2025</t>
        </is>
      </c>
      <c r="B289" s="1" t="n">
        <v>45911.66873842593</v>
      </c>
      <c r="C289" s="1" t="n">
        <v>45982</v>
      </c>
      <c r="D289" t="inlineStr">
        <is>
          <t>DALARNAS LÄN</t>
        </is>
      </c>
      <c r="E289" t="inlineStr">
        <is>
          <t>LEKSAND</t>
        </is>
      </c>
      <c r="G289" t="n">
        <v>7.3</v>
      </c>
      <c r="H289" t="n">
        <v>0</v>
      </c>
      <c r="I289" t="n">
        <v>0</v>
      </c>
      <c r="J289" t="n">
        <v>0</v>
      </c>
      <c r="K289" t="n">
        <v>0</v>
      </c>
      <c r="L289" t="n">
        <v>0</v>
      </c>
      <c r="M289" t="n">
        <v>0</v>
      </c>
      <c r="N289" t="n">
        <v>0</v>
      </c>
      <c r="O289" t="n">
        <v>0</v>
      </c>
      <c r="P289" t="n">
        <v>0</v>
      </c>
      <c r="Q289" t="n">
        <v>0</v>
      </c>
      <c r="R289" s="2" t="inlineStr"/>
    </row>
    <row r="290" ht="15" customHeight="1">
      <c r="A290" t="inlineStr">
        <is>
          <t>A 43195-2025</t>
        </is>
      </c>
      <c r="B290" s="1" t="n">
        <v>45910.4294212963</v>
      </c>
      <c r="C290" s="1" t="n">
        <v>45982</v>
      </c>
      <c r="D290" t="inlineStr">
        <is>
          <t>DALARNAS LÄN</t>
        </is>
      </c>
      <c r="E290" t="inlineStr">
        <is>
          <t>LEKSAND</t>
        </is>
      </c>
      <c r="G290" t="n">
        <v>2.5</v>
      </c>
      <c r="H290" t="n">
        <v>0</v>
      </c>
      <c r="I290" t="n">
        <v>0</v>
      </c>
      <c r="J290" t="n">
        <v>0</v>
      </c>
      <c r="K290" t="n">
        <v>0</v>
      </c>
      <c r="L290" t="n">
        <v>0</v>
      </c>
      <c r="M290" t="n">
        <v>0</v>
      </c>
      <c r="N290" t="n">
        <v>0</v>
      </c>
      <c r="O290" t="n">
        <v>0</v>
      </c>
      <c r="P290" t="n">
        <v>0</v>
      </c>
      <c r="Q290" t="n">
        <v>0</v>
      </c>
      <c r="R290" s="2" t="inlineStr"/>
    </row>
    <row r="291" ht="15" customHeight="1">
      <c r="A291" t="inlineStr">
        <is>
          <t>A 13063-2023</t>
        </is>
      </c>
      <c r="B291" s="1" t="n">
        <v>45001</v>
      </c>
      <c r="C291" s="1" t="n">
        <v>45982</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14943-2023</t>
        </is>
      </c>
      <c r="B292" s="1" t="n">
        <v>45015</v>
      </c>
      <c r="C292" s="1" t="n">
        <v>45982</v>
      </c>
      <c r="D292" t="inlineStr">
        <is>
          <t>DALARNAS LÄN</t>
        </is>
      </c>
      <c r="E292" t="inlineStr">
        <is>
          <t>LEKSAND</t>
        </is>
      </c>
      <c r="G292" t="n">
        <v>1.7</v>
      </c>
      <c r="H292" t="n">
        <v>0</v>
      </c>
      <c r="I292" t="n">
        <v>0</v>
      </c>
      <c r="J292" t="n">
        <v>0</v>
      </c>
      <c r="K292" t="n">
        <v>0</v>
      </c>
      <c r="L292" t="n">
        <v>0</v>
      </c>
      <c r="M292" t="n">
        <v>0</v>
      </c>
      <c r="N292" t="n">
        <v>0</v>
      </c>
      <c r="O292" t="n">
        <v>0</v>
      </c>
      <c r="P292" t="n">
        <v>0</v>
      </c>
      <c r="Q292" t="n">
        <v>0</v>
      </c>
      <c r="R292" s="2" t="inlineStr"/>
    </row>
    <row r="293" ht="15" customHeight="1">
      <c r="A293" t="inlineStr">
        <is>
          <t>A 43630-2025</t>
        </is>
      </c>
      <c r="B293" s="1" t="n">
        <v>45911.70278935185</v>
      </c>
      <c r="C293" s="1" t="n">
        <v>45982</v>
      </c>
      <c r="D293" t="inlineStr">
        <is>
          <t>DALARNAS LÄN</t>
        </is>
      </c>
      <c r="E293" t="inlineStr">
        <is>
          <t>LEKSAND</t>
        </is>
      </c>
      <c r="G293" t="n">
        <v>4.7</v>
      </c>
      <c r="H293" t="n">
        <v>0</v>
      </c>
      <c r="I293" t="n">
        <v>0</v>
      </c>
      <c r="J293" t="n">
        <v>0</v>
      </c>
      <c r="K293" t="n">
        <v>0</v>
      </c>
      <c r="L293" t="n">
        <v>0</v>
      </c>
      <c r="M293" t="n">
        <v>0</v>
      </c>
      <c r="N293" t="n">
        <v>0</v>
      </c>
      <c r="O293" t="n">
        <v>0</v>
      </c>
      <c r="P293" t="n">
        <v>0</v>
      </c>
      <c r="Q293" t="n">
        <v>0</v>
      </c>
      <c r="R293" s="2" t="inlineStr"/>
    </row>
    <row r="294" ht="15" customHeight="1">
      <c r="A294" t="inlineStr">
        <is>
          <t>A 51728-2025</t>
        </is>
      </c>
      <c r="B294" s="1" t="n">
        <v>45951</v>
      </c>
      <c r="C294" s="1" t="n">
        <v>45982</v>
      </c>
      <c r="D294" t="inlineStr">
        <is>
          <t>DALARNAS LÄN</t>
        </is>
      </c>
      <c r="E294" t="inlineStr">
        <is>
          <t>LEKSAND</t>
        </is>
      </c>
      <c r="F294" t="inlineStr">
        <is>
          <t>Bergvik skog väst AB</t>
        </is>
      </c>
      <c r="G294" t="n">
        <v>14.2</v>
      </c>
      <c r="H294" t="n">
        <v>0</v>
      </c>
      <c r="I294" t="n">
        <v>0</v>
      </c>
      <c r="J294" t="n">
        <v>0</v>
      </c>
      <c r="K294" t="n">
        <v>0</v>
      </c>
      <c r="L294" t="n">
        <v>0</v>
      </c>
      <c r="M294" t="n">
        <v>0</v>
      </c>
      <c r="N294" t="n">
        <v>0</v>
      </c>
      <c r="O294" t="n">
        <v>0</v>
      </c>
      <c r="P294" t="n">
        <v>0</v>
      </c>
      <c r="Q294" t="n">
        <v>0</v>
      </c>
      <c r="R294" s="2" t="inlineStr"/>
    </row>
    <row r="295" ht="15" customHeight="1">
      <c r="A295" t="inlineStr">
        <is>
          <t>A 54289-2023</t>
        </is>
      </c>
      <c r="B295" s="1" t="n">
        <v>45232.71193287037</v>
      </c>
      <c r="C295" s="1" t="n">
        <v>45982</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30920-2025</t>
        </is>
      </c>
      <c r="B296" s="1" t="n">
        <v>45832.38484953704</v>
      </c>
      <c r="C296" s="1" t="n">
        <v>45982</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30969-2025</t>
        </is>
      </c>
      <c r="B297" s="1" t="n">
        <v>45832.45914351852</v>
      </c>
      <c r="C297" s="1" t="n">
        <v>45982</v>
      </c>
      <c r="D297" t="inlineStr">
        <is>
          <t>DALARNAS LÄN</t>
        </is>
      </c>
      <c r="E297" t="inlineStr">
        <is>
          <t>LEKSAND</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30917-2025</t>
        </is>
      </c>
      <c r="B298" s="1" t="n">
        <v>45832.37989583334</v>
      </c>
      <c r="C298" s="1" t="n">
        <v>45982</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43830-2025</t>
        </is>
      </c>
      <c r="B299" s="1" t="n">
        <v>45912</v>
      </c>
      <c r="C299" s="1" t="n">
        <v>45982</v>
      </c>
      <c r="D299" t="inlineStr">
        <is>
          <t>DALARNAS LÄN</t>
        </is>
      </c>
      <c r="E299" t="inlineStr">
        <is>
          <t>LEKSAND</t>
        </is>
      </c>
      <c r="F299" t="inlineStr">
        <is>
          <t>Bergvik skog väst AB</t>
        </is>
      </c>
      <c r="G299" t="n">
        <v>3.1</v>
      </c>
      <c r="H299" t="n">
        <v>0</v>
      </c>
      <c r="I299" t="n">
        <v>0</v>
      </c>
      <c r="J299" t="n">
        <v>0</v>
      </c>
      <c r="K299" t="n">
        <v>0</v>
      </c>
      <c r="L299" t="n">
        <v>0</v>
      </c>
      <c r="M299" t="n">
        <v>0</v>
      </c>
      <c r="N299" t="n">
        <v>0</v>
      </c>
      <c r="O299" t="n">
        <v>0</v>
      </c>
      <c r="P299" t="n">
        <v>0</v>
      </c>
      <c r="Q299" t="n">
        <v>0</v>
      </c>
      <c r="R299" s="2" t="inlineStr"/>
    </row>
    <row r="300" ht="15" customHeight="1">
      <c r="A300" t="inlineStr">
        <is>
          <t>A 43888-2025</t>
        </is>
      </c>
      <c r="B300" s="1" t="n">
        <v>45912</v>
      </c>
      <c r="C300" s="1" t="n">
        <v>45982</v>
      </c>
      <c r="D300" t="inlineStr">
        <is>
          <t>DALARNAS LÄN</t>
        </is>
      </c>
      <c r="E300" t="inlineStr">
        <is>
          <t>LEKSAND</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31619-2025</t>
        </is>
      </c>
      <c r="B301" s="1" t="n">
        <v>45833</v>
      </c>
      <c r="C301" s="1" t="n">
        <v>45982</v>
      </c>
      <c r="D301" t="inlineStr">
        <is>
          <t>DALARNAS LÄN</t>
        </is>
      </c>
      <c r="E301" t="inlineStr">
        <is>
          <t>LEKSAND</t>
        </is>
      </c>
      <c r="G301" t="n">
        <v>2.5</v>
      </c>
      <c r="H301" t="n">
        <v>0</v>
      </c>
      <c r="I301" t="n">
        <v>0</v>
      </c>
      <c r="J301" t="n">
        <v>0</v>
      </c>
      <c r="K301" t="n">
        <v>0</v>
      </c>
      <c r="L301" t="n">
        <v>0</v>
      </c>
      <c r="M301" t="n">
        <v>0</v>
      </c>
      <c r="N301" t="n">
        <v>0</v>
      </c>
      <c r="O301" t="n">
        <v>0</v>
      </c>
      <c r="P301" t="n">
        <v>0</v>
      </c>
      <c r="Q301" t="n">
        <v>0</v>
      </c>
      <c r="R301" s="2" t="inlineStr"/>
    </row>
    <row r="302" ht="15" customHeight="1">
      <c r="A302" t="inlineStr">
        <is>
          <t>A 30916-2025</t>
        </is>
      </c>
      <c r="B302" s="1" t="n">
        <v>45832.37885416667</v>
      </c>
      <c r="C302" s="1" t="n">
        <v>45982</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31446-2025</t>
        </is>
      </c>
      <c r="B303" s="1" t="n">
        <v>45833</v>
      </c>
      <c r="C303" s="1" t="n">
        <v>45982</v>
      </c>
      <c r="D303" t="inlineStr">
        <is>
          <t>DALARNAS LÄN</t>
        </is>
      </c>
      <c r="E303" t="inlineStr">
        <is>
          <t>LEKSAND</t>
        </is>
      </c>
      <c r="G303" t="n">
        <v>1</v>
      </c>
      <c r="H303" t="n">
        <v>0</v>
      </c>
      <c r="I303" t="n">
        <v>0</v>
      </c>
      <c r="J303" t="n">
        <v>0</v>
      </c>
      <c r="K303" t="n">
        <v>0</v>
      </c>
      <c r="L303" t="n">
        <v>0</v>
      </c>
      <c r="M303" t="n">
        <v>0</v>
      </c>
      <c r="N303" t="n">
        <v>0</v>
      </c>
      <c r="O303" t="n">
        <v>0</v>
      </c>
      <c r="P303" t="n">
        <v>0</v>
      </c>
      <c r="Q303" t="n">
        <v>0</v>
      </c>
      <c r="R303" s="2" t="inlineStr"/>
    </row>
    <row r="304" ht="15" customHeight="1">
      <c r="A304" t="inlineStr">
        <is>
          <t>A 43781-2025</t>
        </is>
      </c>
      <c r="B304" s="1" t="n">
        <v>45912.52229166667</v>
      </c>
      <c r="C304" s="1" t="n">
        <v>45982</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30911-2025</t>
        </is>
      </c>
      <c r="B305" s="1" t="n">
        <v>45832.37547453704</v>
      </c>
      <c r="C305" s="1" t="n">
        <v>45982</v>
      </c>
      <c r="D305" t="inlineStr">
        <is>
          <t>DALARNAS LÄN</t>
        </is>
      </c>
      <c r="E305" t="inlineStr">
        <is>
          <t>LEKSAND</t>
        </is>
      </c>
      <c r="G305" t="n">
        <v>0.5</v>
      </c>
      <c r="H305" t="n">
        <v>0</v>
      </c>
      <c r="I305" t="n">
        <v>0</v>
      </c>
      <c r="J305" t="n">
        <v>0</v>
      </c>
      <c r="K305" t="n">
        <v>0</v>
      </c>
      <c r="L305" t="n">
        <v>0</v>
      </c>
      <c r="M305" t="n">
        <v>0</v>
      </c>
      <c r="N305" t="n">
        <v>0</v>
      </c>
      <c r="O305" t="n">
        <v>0</v>
      </c>
      <c r="P305" t="n">
        <v>0</v>
      </c>
      <c r="Q305" t="n">
        <v>0</v>
      </c>
      <c r="R305" s="2" t="inlineStr"/>
    </row>
    <row r="306" ht="15" customHeight="1">
      <c r="A306" t="inlineStr">
        <is>
          <t>A 11869-2024</t>
        </is>
      </c>
      <c r="B306" s="1" t="n">
        <v>45376.45800925926</v>
      </c>
      <c r="C306" s="1" t="n">
        <v>45982</v>
      </c>
      <c r="D306" t="inlineStr">
        <is>
          <t>DALARNAS LÄN</t>
        </is>
      </c>
      <c r="E306" t="inlineStr">
        <is>
          <t>LEKSAND</t>
        </is>
      </c>
      <c r="G306" t="n">
        <v>0.5</v>
      </c>
      <c r="H306" t="n">
        <v>0</v>
      </c>
      <c r="I306" t="n">
        <v>0</v>
      </c>
      <c r="J306" t="n">
        <v>0</v>
      </c>
      <c r="K306" t="n">
        <v>0</v>
      </c>
      <c r="L306" t="n">
        <v>0</v>
      </c>
      <c r="M306" t="n">
        <v>0</v>
      </c>
      <c r="N306" t="n">
        <v>0</v>
      </c>
      <c r="O306" t="n">
        <v>0</v>
      </c>
      <c r="P306" t="n">
        <v>0</v>
      </c>
      <c r="Q306" t="n">
        <v>0</v>
      </c>
      <c r="R306" s="2" t="inlineStr"/>
    </row>
    <row r="307" ht="15" customHeight="1">
      <c r="A307" t="inlineStr">
        <is>
          <t>A 32666-2023</t>
        </is>
      </c>
      <c r="B307" s="1" t="n">
        <v>45121</v>
      </c>
      <c r="C307" s="1" t="n">
        <v>45982</v>
      </c>
      <c r="D307" t="inlineStr">
        <is>
          <t>DALARNAS LÄN</t>
        </is>
      </c>
      <c r="E307" t="inlineStr">
        <is>
          <t>LEKSAND</t>
        </is>
      </c>
      <c r="G307" t="n">
        <v>9.9</v>
      </c>
      <c r="H307" t="n">
        <v>0</v>
      </c>
      <c r="I307" t="n">
        <v>0</v>
      </c>
      <c r="J307" t="n">
        <v>0</v>
      </c>
      <c r="K307" t="n">
        <v>0</v>
      </c>
      <c r="L307" t="n">
        <v>0</v>
      </c>
      <c r="M307" t="n">
        <v>0</v>
      </c>
      <c r="N307" t="n">
        <v>0</v>
      </c>
      <c r="O307" t="n">
        <v>0</v>
      </c>
      <c r="P307" t="n">
        <v>0</v>
      </c>
      <c r="Q307" t="n">
        <v>0</v>
      </c>
      <c r="R307" s="2" t="inlineStr"/>
    </row>
    <row r="308" ht="15" customHeight="1">
      <c r="A308" t="inlineStr">
        <is>
          <t>A 31179-2025</t>
        </is>
      </c>
      <c r="B308" s="1" t="n">
        <v>45832.67648148148</v>
      </c>
      <c r="C308" s="1" t="n">
        <v>45982</v>
      </c>
      <c r="D308" t="inlineStr">
        <is>
          <t>DALARNAS LÄN</t>
        </is>
      </c>
      <c r="E308" t="inlineStr">
        <is>
          <t>LEKSAND</t>
        </is>
      </c>
      <c r="G308" t="n">
        <v>4.7</v>
      </c>
      <c r="H308" t="n">
        <v>0</v>
      </c>
      <c r="I308" t="n">
        <v>0</v>
      </c>
      <c r="J308" t="n">
        <v>0</v>
      </c>
      <c r="K308" t="n">
        <v>0</v>
      </c>
      <c r="L308" t="n">
        <v>0</v>
      </c>
      <c r="M308" t="n">
        <v>0</v>
      </c>
      <c r="N308" t="n">
        <v>0</v>
      </c>
      <c r="O308" t="n">
        <v>0</v>
      </c>
      <c r="P308" t="n">
        <v>0</v>
      </c>
      <c r="Q308" t="n">
        <v>0</v>
      </c>
      <c r="R308" s="2" t="inlineStr"/>
    </row>
    <row r="309" ht="15" customHeight="1">
      <c r="A309" t="inlineStr">
        <is>
          <t>A 31189-2025</t>
        </is>
      </c>
      <c r="B309" s="1" t="n">
        <v>45832.6799537037</v>
      </c>
      <c r="C309" s="1" t="n">
        <v>45982</v>
      </c>
      <c r="D309" t="inlineStr">
        <is>
          <t>DALARNAS LÄN</t>
        </is>
      </c>
      <c r="E309" t="inlineStr">
        <is>
          <t>LEKSAND</t>
        </is>
      </c>
      <c r="G309" t="n">
        <v>5</v>
      </c>
      <c r="H309" t="n">
        <v>0</v>
      </c>
      <c r="I309" t="n">
        <v>0</v>
      </c>
      <c r="J309" t="n">
        <v>0</v>
      </c>
      <c r="K309" t="n">
        <v>0</v>
      </c>
      <c r="L309" t="n">
        <v>0</v>
      </c>
      <c r="M309" t="n">
        <v>0</v>
      </c>
      <c r="N309" t="n">
        <v>0</v>
      </c>
      <c r="O309" t="n">
        <v>0</v>
      </c>
      <c r="P309" t="n">
        <v>0</v>
      </c>
      <c r="Q309" t="n">
        <v>0</v>
      </c>
      <c r="R309" s="2" t="inlineStr"/>
    </row>
    <row r="310" ht="15" customHeight="1">
      <c r="A310" t="inlineStr">
        <is>
          <t>A 30973-2025</t>
        </is>
      </c>
      <c r="B310" s="1" t="n">
        <v>45832.46300925926</v>
      </c>
      <c r="C310" s="1" t="n">
        <v>45982</v>
      </c>
      <c r="D310" t="inlineStr">
        <is>
          <t>DALARNAS LÄN</t>
        </is>
      </c>
      <c r="E310" t="inlineStr">
        <is>
          <t>LEKSAND</t>
        </is>
      </c>
      <c r="F310" t="inlineStr">
        <is>
          <t>Bergvik skog väst AB</t>
        </is>
      </c>
      <c r="G310" t="n">
        <v>3.1</v>
      </c>
      <c r="H310" t="n">
        <v>0</v>
      </c>
      <c r="I310" t="n">
        <v>0</v>
      </c>
      <c r="J310" t="n">
        <v>0</v>
      </c>
      <c r="K310" t="n">
        <v>0</v>
      </c>
      <c r="L310" t="n">
        <v>0</v>
      </c>
      <c r="M310" t="n">
        <v>0</v>
      </c>
      <c r="N310" t="n">
        <v>0</v>
      </c>
      <c r="O310" t="n">
        <v>0</v>
      </c>
      <c r="P310" t="n">
        <v>0</v>
      </c>
      <c r="Q310" t="n">
        <v>0</v>
      </c>
      <c r="R310" s="2" t="inlineStr"/>
    </row>
    <row r="311" ht="15" customHeight="1">
      <c r="A311" t="inlineStr">
        <is>
          <t>A 5231-2024</t>
        </is>
      </c>
      <c r="B311" s="1" t="n">
        <v>45330</v>
      </c>
      <c r="C311" s="1" t="n">
        <v>45982</v>
      </c>
      <c r="D311" t="inlineStr">
        <is>
          <t>DALARNAS LÄN</t>
        </is>
      </c>
      <c r="E311" t="inlineStr">
        <is>
          <t>LEKSAND</t>
        </is>
      </c>
      <c r="F311" t="inlineStr">
        <is>
          <t>Bergvik skog väst AB</t>
        </is>
      </c>
      <c r="G311" t="n">
        <v>11.2</v>
      </c>
      <c r="H311" t="n">
        <v>0</v>
      </c>
      <c r="I311" t="n">
        <v>0</v>
      </c>
      <c r="J311" t="n">
        <v>0</v>
      </c>
      <c r="K311" t="n">
        <v>0</v>
      </c>
      <c r="L311" t="n">
        <v>0</v>
      </c>
      <c r="M311" t="n">
        <v>0</v>
      </c>
      <c r="N311" t="n">
        <v>0</v>
      </c>
      <c r="O311" t="n">
        <v>0</v>
      </c>
      <c r="P311" t="n">
        <v>0</v>
      </c>
      <c r="Q311" t="n">
        <v>0</v>
      </c>
      <c r="R311" s="2" t="inlineStr"/>
    </row>
    <row r="312" ht="15" customHeight="1">
      <c r="A312" t="inlineStr">
        <is>
          <t>A 16137-2023</t>
        </is>
      </c>
      <c r="B312" s="1" t="n">
        <v>45027</v>
      </c>
      <c r="C312" s="1" t="n">
        <v>45982</v>
      </c>
      <c r="D312" t="inlineStr">
        <is>
          <t>DALARNAS LÄN</t>
        </is>
      </c>
      <c r="E312" t="inlineStr">
        <is>
          <t>LEKSAND</t>
        </is>
      </c>
      <c r="G312" t="n">
        <v>1.6</v>
      </c>
      <c r="H312" t="n">
        <v>0</v>
      </c>
      <c r="I312" t="n">
        <v>0</v>
      </c>
      <c r="J312" t="n">
        <v>0</v>
      </c>
      <c r="K312" t="n">
        <v>0</v>
      </c>
      <c r="L312" t="n">
        <v>0</v>
      </c>
      <c r="M312" t="n">
        <v>0</v>
      </c>
      <c r="N312" t="n">
        <v>0</v>
      </c>
      <c r="O312" t="n">
        <v>0</v>
      </c>
      <c r="P312" t="n">
        <v>0</v>
      </c>
      <c r="Q312" t="n">
        <v>0</v>
      </c>
      <c r="R312" s="2" t="inlineStr"/>
    </row>
    <row r="313" ht="15" customHeight="1">
      <c r="A313" t="inlineStr">
        <is>
          <t>A 52671-2025</t>
        </is>
      </c>
      <c r="B313" s="1" t="n">
        <v>45955.98113425926</v>
      </c>
      <c r="C313" s="1" t="n">
        <v>45982</v>
      </c>
      <c r="D313" t="inlineStr">
        <is>
          <t>DALARNAS LÄN</t>
        </is>
      </c>
      <c r="E313" t="inlineStr">
        <is>
          <t>LEKSAND</t>
        </is>
      </c>
      <c r="G313" t="n">
        <v>0.8</v>
      </c>
      <c r="H313" t="n">
        <v>0</v>
      </c>
      <c r="I313" t="n">
        <v>0</v>
      </c>
      <c r="J313" t="n">
        <v>0</v>
      </c>
      <c r="K313" t="n">
        <v>0</v>
      </c>
      <c r="L313" t="n">
        <v>0</v>
      </c>
      <c r="M313" t="n">
        <v>0</v>
      </c>
      <c r="N313" t="n">
        <v>0</v>
      </c>
      <c r="O313" t="n">
        <v>0</v>
      </c>
      <c r="P313" t="n">
        <v>0</v>
      </c>
      <c r="Q313" t="n">
        <v>0</v>
      </c>
      <c r="R313" s="2" t="inlineStr"/>
    </row>
    <row r="314" ht="15" customHeight="1">
      <c r="A314" t="inlineStr">
        <is>
          <t>A 19618-2024</t>
        </is>
      </c>
      <c r="B314" s="1" t="n">
        <v>45432.32896990741</v>
      </c>
      <c r="C314" s="1" t="n">
        <v>45982</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44237-2025</t>
        </is>
      </c>
      <c r="B315" s="1" t="n">
        <v>45915.6677199074</v>
      </c>
      <c r="C315" s="1" t="n">
        <v>45982</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31493-2025</t>
        </is>
      </c>
      <c r="B316" s="1" t="n">
        <v>45833</v>
      </c>
      <c r="C316" s="1" t="n">
        <v>45982</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31945-2025</t>
        </is>
      </c>
      <c r="B317" s="1" t="n">
        <v>45835</v>
      </c>
      <c r="C317" s="1" t="n">
        <v>45982</v>
      </c>
      <c r="D317" t="inlineStr">
        <is>
          <t>DALARNAS LÄN</t>
        </is>
      </c>
      <c r="E317" t="inlineStr">
        <is>
          <t>LEKSAND</t>
        </is>
      </c>
      <c r="G317" t="n">
        <v>0.8</v>
      </c>
      <c r="H317" t="n">
        <v>0</v>
      </c>
      <c r="I317" t="n">
        <v>0</v>
      </c>
      <c r="J317" t="n">
        <v>0</v>
      </c>
      <c r="K317" t="n">
        <v>0</v>
      </c>
      <c r="L317" t="n">
        <v>0</v>
      </c>
      <c r="M317" t="n">
        <v>0</v>
      </c>
      <c r="N317" t="n">
        <v>0</v>
      </c>
      <c r="O317" t="n">
        <v>0</v>
      </c>
      <c r="P317" t="n">
        <v>0</v>
      </c>
      <c r="Q317" t="n">
        <v>0</v>
      </c>
      <c r="R317" s="2" t="inlineStr"/>
    </row>
    <row r="318" ht="15" customHeight="1">
      <c r="A318" t="inlineStr">
        <is>
          <t>A 43875-2025</t>
        </is>
      </c>
      <c r="B318" s="1" t="n">
        <v>45912.67685185185</v>
      </c>
      <c r="C318" s="1" t="n">
        <v>45982</v>
      </c>
      <c r="D318" t="inlineStr">
        <is>
          <t>DALARNAS LÄN</t>
        </is>
      </c>
      <c r="E318" t="inlineStr">
        <is>
          <t>LEKSAND</t>
        </is>
      </c>
      <c r="G318" t="n">
        <v>1.7</v>
      </c>
      <c r="H318" t="n">
        <v>0</v>
      </c>
      <c r="I318" t="n">
        <v>0</v>
      </c>
      <c r="J318" t="n">
        <v>0</v>
      </c>
      <c r="K318" t="n">
        <v>0</v>
      </c>
      <c r="L318" t="n">
        <v>0</v>
      </c>
      <c r="M318" t="n">
        <v>0</v>
      </c>
      <c r="N318" t="n">
        <v>0</v>
      </c>
      <c r="O318" t="n">
        <v>0</v>
      </c>
      <c r="P318" t="n">
        <v>0</v>
      </c>
      <c r="Q318" t="n">
        <v>0</v>
      </c>
      <c r="R318" s="2" t="inlineStr"/>
    </row>
    <row r="319" ht="15" customHeight="1">
      <c r="A319" t="inlineStr">
        <is>
          <t>A 54682-2023</t>
        </is>
      </c>
      <c r="B319" s="1" t="n">
        <v>45235.90439814814</v>
      </c>
      <c r="C319" s="1" t="n">
        <v>45982</v>
      </c>
      <c r="D319" t="inlineStr">
        <is>
          <t>DALARNAS LÄN</t>
        </is>
      </c>
      <c r="E319" t="inlineStr">
        <is>
          <t>LEKSAND</t>
        </is>
      </c>
      <c r="G319" t="n">
        <v>1.5</v>
      </c>
      <c r="H319" t="n">
        <v>0</v>
      </c>
      <c r="I319" t="n">
        <v>0</v>
      </c>
      <c r="J319" t="n">
        <v>0</v>
      </c>
      <c r="K319" t="n">
        <v>0</v>
      </c>
      <c r="L319" t="n">
        <v>0</v>
      </c>
      <c r="M319" t="n">
        <v>0</v>
      </c>
      <c r="N319" t="n">
        <v>0</v>
      </c>
      <c r="O319" t="n">
        <v>0</v>
      </c>
      <c r="P319" t="n">
        <v>0</v>
      </c>
      <c r="Q319" t="n">
        <v>0</v>
      </c>
      <c r="R319" s="2" t="inlineStr"/>
    </row>
    <row r="320" ht="15" customHeight="1">
      <c r="A320" t="inlineStr">
        <is>
          <t>A 32104-2025</t>
        </is>
      </c>
      <c r="B320" s="1" t="n">
        <v>45835</v>
      </c>
      <c r="C320" s="1" t="n">
        <v>45982</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31787-2025</t>
        </is>
      </c>
      <c r="B321" s="1" t="n">
        <v>45834</v>
      </c>
      <c r="C321" s="1" t="n">
        <v>45982</v>
      </c>
      <c r="D321" t="inlineStr">
        <is>
          <t>DALARNAS LÄN</t>
        </is>
      </c>
      <c r="E321" t="inlineStr">
        <is>
          <t>LEKSAND</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5847-2025</t>
        </is>
      </c>
      <c r="B322" s="1" t="n">
        <v>45695.30824074074</v>
      </c>
      <c r="C322" s="1" t="n">
        <v>45982</v>
      </c>
      <c r="D322" t="inlineStr">
        <is>
          <t>DALARNAS LÄN</t>
        </is>
      </c>
      <c r="E322" t="inlineStr">
        <is>
          <t>LEKSAND</t>
        </is>
      </c>
      <c r="G322" t="n">
        <v>2.6</v>
      </c>
      <c r="H322" t="n">
        <v>0</v>
      </c>
      <c r="I322" t="n">
        <v>0</v>
      </c>
      <c r="J322" t="n">
        <v>0</v>
      </c>
      <c r="K322" t="n">
        <v>0</v>
      </c>
      <c r="L322" t="n">
        <v>0</v>
      </c>
      <c r="M322" t="n">
        <v>0</v>
      </c>
      <c r="N322" t="n">
        <v>0</v>
      </c>
      <c r="O322" t="n">
        <v>0</v>
      </c>
      <c r="P322" t="n">
        <v>0</v>
      </c>
      <c r="Q322" t="n">
        <v>0</v>
      </c>
      <c r="R322" s="2" t="inlineStr"/>
    </row>
    <row r="323" ht="15" customHeight="1">
      <c r="A323" t="inlineStr">
        <is>
          <t>A 32301-2025</t>
        </is>
      </c>
      <c r="B323" s="1" t="n">
        <v>45835</v>
      </c>
      <c r="C323" s="1" t="n">
        <v>45982</v>
      </c>
      <c r="D323" t="inlineStr">
        <is>
          <t>DALARNAS LÄN</t>
        </is>
      </c>
      <c r="E323" t="inlineStr">
        <is>
          <t>LEKSAND</t>
        </is>
      </c>
      <c r="G323" t="n">
        <v>2.2</v>
      </c>
      <c r="H323" t="n">
        <v>0</v>
      </c>
      <c r="I323" t="n">
        <v>0</v>
      </c>
      <c r="J323" t="n">
        <v>0</v>
      </c>
      <c r="K323" t="n">
        <v>0</v>
      </c>
      <c r="L323" t="n">
        <v>0</v>
      </c>
      <c r="M323" t="n">
        <v>0</v>
      </c>
      <c r="N323" t="n">
        <v>0</v>
      </c>
      <c r="O323" t="n">
        <v>0</v>
      </c>
      <c r="P323" t="n">
        <v>0</v>
      </c>
      <c r="Q323" t="n">
        <v>0</v>
      </c>
      <c r="R323" s="2" t="inlineStr"/>
    </row>
    <row r="324" ht="15" customHeight="1">
      <c r="A324" t="inlineStr">
        <is>
          <t>A 60878-2023</t>
        </is>
      </c>
      <c r="B324" s="1" t="n">
        <v>45259</v>
      </c>
      <c r="C324" s="1" t="n">
        <v>45982</v>
      </c>
      <c r="D324" t="inlineStr">
        <is>
          <t>DALARNAS LÄN</t>
        </is>
      </c>
      <c r="E324" t="inlineStr">
        <is>
          <t>LEKSAND</t>
        </is>
      </c>
      <c r="G324" t="n">
        <v>0.6</v>
      </c>
      <c r="H324" t="n">
        <v>0</v>
      </c>
      <c r="I324" t="n">
        <v>0</v>
      </c>
      <c r="J324" t="n">
        <v>0</v>
      </c>
      <c r="K324" t="n">
        <v>0</v>
      </c>
      <c r="L324" t="n">
        <v>0</v>
      </c>
      <c r="M324" t="n">
        <v>0</v>
      </c>
      <c r="N324" t="n">
        <v>0</v>
      </c>
      <c r="O324" t="n">
        <v>0</v>
      </c>
      <c r="P324" t="n">
        <v>0</v>
      </c>
      <c r="Q324" t="n">
        <v>0</v>
      </c>
      <c r="R324" s="2" t="inlineStr"/>
    </row>
    <row r="325" ht="15" customHeight="1">
      <c r="A325" t="inlineStr">
        <is>
          <t>A 32653-2025</t>
        </is>
      </c>
      <c r="B325" s="1" t="n">
        <v>45838</v>
      </c>
      <c r="C325" s="1" t="n">
        <v>45982</v>
      </c>
      <c r="D325" t="inlineStr">
        <is>
          <t>DALARNAS LÄN</t>
        </is>
      </c>
      <c r="E325" t="inlineStr">
        <is>
          <t>LEKSAND</t>
        </is>
      </c>
      <c r="G325" t="n">
        <v>5.6</v>
      </c>
      <c r="H325" t="n">
        <v>0</v>
      </c>
      <c r="I325" t="n">
        <v>0</v>
      </c>
      <c r="J325" t="n">
        <v>0</v>
      </c>
      <c r="K325" t="n">
        <v>0</v>
      </c>
      <c r="L325" t="n">
        <v>0</v>
      </c>
      <c r="M325" t="n">
        <v>0</v>
      </c>
      <c r="N325" t="n">
        <v>0</v>
      </c>
      <c r="O325" t="n">
        <v>0</v>
      </c>
      <c r="P325" t="n">
        <v>0</v>
      </c>
      <c r="Q325" t="n">
        <v>0</v>
      </c>
      <c r="R325" s="2" t="inlineStr"/>
    </row>
    <row r="326" ht="15" customHeight="1">
      <c r="A326" t="inlineStr">
        <is>
          <t>A 36262-2023</t>
        </is>
      </c>
      <c r="B326" s="1" t="n">
        <v>45151.9096875</v>
      </c>
      <c r="C326" s="1" t="n">
        <v>45982</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32855-2025</t>
        </is>
      </c>
      <c r="B327" s="1" t="n">
        <v>45839.57643518518</v>
      </c>
      <c r="C327" s="1" t="n">
        <v>45982</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32661-2025</t>
        </is>
      </c>
      <c r="B328" s="1" t="n">
        <v>45838.67953703704</v>
      </c>
      <c r="C328" s="1" t="n">
        <v>45982</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10367-2023</t>
        </is>
      </c>
      <c r="B329" s="1" t="n">
        <v>44987</v>
      </c>
      <c r="C329" s="1" t="n">
        <v>45982</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44519-2025</t>
        </is>
      </c>
      <c r="B330" s="1" t="n">
        <v>45916.71483796297</v>
      </c>
      <c r="C330" s="1" t="n">
        <v>45982</v>
      </c>
      <c r="D330" t="inlineStr">
        <is>
          <t>DALARNAS LÄN</t>
        </is>
      </c>
      <c r="E330" t="inlineStr">
        <is>
          <t>LEKSAND</t>
        </is>
      </c>
      <c r="G330" t="n">
        <v>3.6</v>
      </c>
      <c r="H330" t="n">
        <v>0</v>
      </c>
      <c r="I330" t="n">
        <v>0</v>
      </c>
      <c r="J330" t="n">
        <v>0</v>
      </c>
      <c r="K330" t="n">
        <v>0</v>
      </c>
      <c r="L330" t="n">
        <v>0</v>
      </c>
      <c r="M330" t="n">
        <v>0</v>
      </c>
      <c r="N330" t="n">
        <v>0</v>
      </c>
      <c r="O330" t="n">
        <v>0</v>
      </c>
      <c r="P330" t="n">
        <v>0</v>
      </c>
      <c r="Q330" t="n">
        <v>0</v>
      </c>
      <c r="R330" s="2" t="inlineStr"/>
    </row>
    <row r="331" ht="15" customHeight="1">
      <c r="A331" t="inlineStr">
        <is>
          <t>A 53438-2025</t>
        </is>
      </c>
      <c r="B331" s="1" t="n">
        <v>45959.63711805556</v>
      </c>
      <c r="C331" s="1" t="n">
        <v>45982</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32593-2025</t>
        </is>
      </c>
      <c r="B332" s="1" t="n">
        <v>45838</v>
      </c>
      <c r="C332" s="1" t="n">
        <v>45982</v>
      </c>
      <c r="D332" t="inlineStr">
        <is>
          <t>DALARNAS LÄN</t>
        </is>
      </c>
      <c r="E332" t="inlineStr">
        <is>
          <t>LEKSAND</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32726-2025</t>
        </is>
      </c>
      <c r="B333" s="1" t="n">
        <v>45839.3969212963</v>
      </c>
      <c r="C333" s="1" t="n">
        <v>45982</v>
      </c>
      <c r="D333" t="inlineStr">
        <is>
          <t>DALARNAS LÄN</t>
        </is>
      </c>
      <c r="E333" t="inlineStr">
        <is>
          <t>LEKSAND</t>
        </is>
      </c>
      <c r="F333" t="inlineStr">
        <is>
          <t>Bergvik skog väst AB</t>
        </is>
      </c>
      <c r="G333" t="n">
        <v>2.5</v>
      </c>
      <c r="H333" t="n">
        <v>0</v>
      </c>
      <c r="I333" t="n">
        <v>0</v>
      </c>
      <c r="J333" t="n">
        <v>0</v>
      </c>
      <c r="K333" t="n">
        <v>0</v>
      </c>
      <c r="L333" t="n">
        <v>0</v>
      </c>
      <c r="M333" t="n">
        <v>0</v>
      </c>
      <c r="N333" t="n">
        <v>0</v>
      </c>
      <c r="O333" t="n">
        <v>0</v>
      </c>
      <c r="P333" t="n">
        <v>0</v>
      </c>
      <c r="Q333" t="n">
        <v>0</v>
      </c>
      <c r="R333" s="2" t="inlineStr"/>
    </row>
    <row r="334" ht="15" customHeight="1">
      <c r="A334" t="inlineStr">
        <is>
          <t>A 53243-2025</t>
        </is>
      </c>
      <c r="B334" s="1" t="n">
        <v>45958.6442824074</v>
      </c>
      <c r="C334" s="1" t="n">
        <v>45982</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33160-2025</t>
        </is>
      </c>
      <c r="B335" s="1" t="n">
        <v>45840</v>
      </c>
      <c r="C335" s="1" t="n">
        <v>45982</v>
      </c>
      <c r="D335" t="inlineStr">
        <is>
          <t>DALARNAS LÄN</t>
        </is>
      </c>
      <c r="E335" t="inlineStr">
        <is>
          <t>LEKSAND</t>
        </is>
      </c>
      <c r="G335" t="n">
        <v>2.3</v>
      </c>
      <c r="H335" t="n">
        <v>0</v>
      </c>
      <c r="I335" t="n">
        <v>0</v>
      </c>
      <c r="J335" t="n">
        <v>0</v>
      </c>
      <c r="K335" t="n">
        <v>0</v>
      </c>
      <c r="L335" t="n">
        <v>0</v>
      </c>
      <c r="M335" t="n">
        <v>0</v>
      </c>
      <c r="N335" t="n">
        <v>0</v>
      </c>
      <c r="O335" t="n">
        <v>0</v>
      </c>
      <c r="P335" t="n">
        <v>0</v>
      </c>
      <c r="Q335" t="n">
        <v>0</v>
      </c>
      <c r="R335" s="2" t="inlineStr"/>
    </row>
    <row r="336" ht="15" customHeight="1">
      <c r="A336" t="inlineStr">
        <is>
          <t>A 30863-2024</t>
        </is>
      </c>
      <c r="B336" s="1" t="n">
        <v>45497.71074074074</v>
      </c>
      <c r="C336" s="1" t="n">
        <v>45982</v>
      </c>
      <c r="D336" t="inlineStr">
        <is>
          <t>DALARNAS LÄN</t>
        </is>
      </c>
      <c r="E336" t="inlineStr">
        <is>
          <t>LEKSAND</t>
        </is>
      </c>
      <c r="F336" t="inlineStr">
        <is>
          <t>Bergvik skog väst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53041-2025</t>
        </is>
      </c>
      <c r="B337" s="1" t="n">
        <v>45958.35487268519</v>
      </c>
      <c r="C337" s="1" t="n">
        <v>45982</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44516-2025</t>
        </is>
      </c>
      <c r="B338" s="1" t="n">
        <v>45916.70982638889</v>
      </c>
      <c r="C338" s="1" t="n">
        <v>45982</v>
      </c>
      <c r="D338" t="inlineStr">
        <is>
          <t>DALARNAS LÄN</t>
        </is>
      </c>
      <c r="E338" t="inlineStr">
        <is>
          <t>LEKSAND</t>
        </is>
      </c>
      <c r="G338" t="n">
        <v>1.8</v>
      </c>
      <c r="H338" t="n">
        <v>0</v>
      </c>
      <c r="I338" t="n">
        <v>0</v>
      </c>
      <c r="J338" t="n">
        <v>0</v>
      </c>
      <c r="K338" t="n">
        <v>0</v>
      </c>
      <c r="L338" t="n">
        <v>0</v>
      </c>
      <c r="M338" t="n">
        <v>0</v>
      </c>
      <c r="N338" t="n">
        <v>0</v>
      </c>
      <c r="O338" t="n">
        <v>0</v>
      </c>
      <c r="P338" t="n">
        <v>0</v>
      </c>
      <c r="Q338" t="n">
        <v>0</v>
      </c>
      <c r="R338" s="2" t="inlineStr"/>
    </row>
    <row r="339" ht="15" customHeight="1">
      <c r="A339" t="inlineStr">
        <is>
          <t>A 53190-2025</t>
        </is>
      </c>
      <c r="B339" s="1" t="n">
        <v>45958.56283564815</v>
      </c>
      <c r="C339" s="1" t="n">
        <v>45982</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24481-2024</t>
        </is>
      </c>
      <c r="B340" s="1" t="n">
        <v>45459.36460648148</v>
      </c>
      <c r="C340" s="1" t="n">
        <v>45982</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44672-2025</t>
        </is>
      </c>
      <c r="B341" s="1" t="n">
        <v>45917.56780092593</v>
      </c>
      <c r="C341" s="1" t="n">
        <v>45982</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58495-2023</t>
        </is>
      </c>
      <c r="B342" s="1" t="n">
        <v>45251</v>
      </c>
      <c r="C342" s="1" t="n">
        <v>45982</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54015-2025</t>
        </is>
      </c>
      <c r="B343" s="1" t="n">
        <v>45961.64158564815</v>
      </c>
      <c r="C343" s="1" t="n">
        <v>45982</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53804-2025</t>
        </is>
      </c>
      <c r="B344" s="1" t="n">
        <v>45960.83247685185</v>
      </c>
      <c r="C344" s="1" t="n">
        <v>45982</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44948-2025</t>
        </is>
      </c>
      <c r="B345" s="1" t="n">
        <v>45918.60555555556</v>
      </c>
      <c r="C345" s="1" t="n">
        <v>45982</v>
      </c>
      <c r="D345" t="inlineStr">
        <is>
          <t>DALARNAS LÄN</t>
        </is>
      </c>
      <c r="E345" t="inlineStr">
        <is>
          <t>LEKSAND</t>
        </is>
      </c>
      <c r="G345" t="n">
        <v>5.1</v>
      </c>
      <c r="H345" t="n">
        <v>0</v>
      </c>
      <c r="I345" t="n">
        <v>0</v>
      </c>
      <c r="J345" t="n">
        <v>0</v>
      </c>
      <c r="K345" t="n">
        <v>0</v>
      </c>
      <c r="L345" t="n">
        <v>0</v>
      </c>
      <c r="M345" t="n">
        <v>0</v>
      </c>
      <c r="N345" t="n">
        <v>0</v>
      </c>
      <c r="O345" t="n">
        <v>0</v>
      </c>
      <c r="P345" t="n">
        <v>0</v>
      </c>
      <c r="Q345" t="n">
        <v>0</v>
      </c>
      <c r="R345" s="2" t="inlineStr"/>
    </row>
    <row r="346" ht="15" customHeight="1">
      <c r="A346" t="inlineStr">
        <is>
          <t>A 33804-2025</t>
        </is>
      </c>
      <c r="B346" s="1" t="n">
        <v>45842</v>
      </c>
      <c r="C346" s="1" t="n">
        <v>45982</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45101-2025</t>
        </is>
      </c>
      <c r="B347" s="1" t="n">
        <v>45919.39679398148</v>
      </c>
      <c r="C347" s="1" t="n">
        <v>45982</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1519-2024</t>
        </is>
      </c>
      <c r="B348" s="1" t="n">
        <v>45306</v>
      </c>
      <c r="C348" s="1" t="n">
        <v>45982</v>
      </c>
      <c r="D348" t="inlineStr">
        <is>
          <t>DALARNAS LÄN</t>
        </is>
      </c>
      <c r="E348" t="inlineStr">
        <is>
          <t>LEKSAND</t>
        </is>
      </c>
      <c r="G348" t="n">
        <v>3.3</v>
      </c>
      <c r="H348" t="n">
        <v>0</v>
      </c>
      <c r="I348" t="n">
        <v>0</v>
      </c>
      <c r="J348" t="n">
        <v>0</v>
      </c>
      <c r="K348" t="n">
        <v>0</v>
      </c>
      <c r="L348" t="n">
        <v>0</v>
      </c>
      <c r="M348" t="n">
        <v>0</v>
      </c>
      <c r="N348" t="n">
        <v>0</v>
      </c>
      <c r="O348" t="n">
        <v>0</v>
      </c>
      <c r="P348" t="n">
        <v>0</v>
      </c>
      <c r="Q348" t="n">
        <v>0</v>
      </c>
      <c r="R348" s="2" t="inlineStr"/>
    </row>
    <row r="349" ht="15" customHeight="1">
      <c r="A349" t="inlineStr">
        <is>
          <t>A 53619-2025</t>
        </is>
      </c>
      <c r="B349" s="1" t="n">
        <v>45960</v>
      </c>
      <c r="C349" s="1" t="n">
        <v>45982</v>
      </c>
      <c r="D349" t="inlineStr">
        <is>
          <t>DALARNAS LÄN</t>
        </is>
      </c>
      <c r="E349" t="inlineStr">
        <is>
          <t>LEKSAND</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53718-2025</t>
        </is>
      </c>
      <c r="B350" s="1" t="n">
        <v>45960.61840277778</v>
      </c>
      <c r="C350" s="1" t="n">
        <v>45982</v>
      </c>
      <c r="D350" t="inlineStr">
        <is>
          <t>DALARNAS LÄN</t>
        </is>
      </c>
      <c r="E350" t="inlineStr">
        <is>
          <t>LEKSAND</t>
        </is>
      </c>
      <c r="G350" t="n">
        <v>7.5</v>
      </c>
      <c r="H350" t="n">
        <v>0</v>
      </c>
      <c r="I350" t="n">
        <v>0</v>
      </c>
      <c r="J350" t="n">
        <v>0</v>
      </c>
      <c r="K350" t="n">
        <v>0</v>
      </c>
      <c r="L350" t="n">
        <v>0</v>
      </c>
      <c r="M350" t="n">
        <v>0</v>
      </c>
      <c r="N350" t="n">
        <v>0</v>
      </c>
      <c r="O350" t="n">
        <v>0</v>
      </c>
      <c r="P350" t="n">
        <v>0</v>
      </c>
      <c r="Q350" t="n">
        <v>0</v>
      </c>
      <c r="R350" s="2" t="inlineStr"/>
    </row>
    <row r="351" ht="15" customHeight="1">
      <c r="A351" t="inlineStr">
        <is>
          <t>A 53836-2025</t>
        </is>
      </c>
      <c r="B351" s="1" t="n">
        <v>45961.3475462963</v>
      </c>
      <c r="C351" s="1" t="n">
        <v>45982</v>
      </c>
      <c r="D351" t="inlineStr">
        <is>
          <t>DALARNAS LÄN</t>
        </is>
      </c>
      <c r="E351" t="inlineStr">
        <is>
          <t>LEKSAND</t>
        </is>
      </c>
      <c r="G351" t="n">
        <v>3.5</v>
      </c>
      <c r="H351" t="n">
        <v>0</v>
      </c>
      <c r="I351" t="n">
        <v>0</v>
      </c>
      <c r="J351" t="n">
        <v>0</v>
      </c>
      <c r="K351" t="n">
        <v>0</v>
      </c>
      <c r="L351" t="n">
        <v>0</v>
      </c>
      <c r="M351" t="n">
        <v>0</v>
      </c>
      <c r="N351" t="n">
        <v>0</v>
      </c>
      <c r="O351" t="n">
        <v>0</v>
      </c>
      <c r="P351" t="n">
        <v>0</v>
      </c>
      <c r="Q351" t="n">
        <v>0</v>
      </c>
      <c r="R351" s="2" t="inlineStr"/>
    </row>
    <row r="352" ht="15" customHeight="1">
      <c r="A352" t="inlineStr">
        <is>
          <t>A 53838-2025</t>
        </is>
      </c>
      <c r="B352" s="1" t="n">
        <v>45961.34895833334</v>
      </c>
      <c r="C352" s="1" t="n">
        <v>45982</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2694-2025</t>
        </is>
      </c>
      <c r="B353" s="1" t="n">
        <v>45677.38246527778</v>
      </c>
      <c r="C353" s="1" t="n">
        <v>45982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28892-2022</t>
        </is>
      </c>
      <c r="B354" s="1" t="n">
        <v>44749</v>
      </c>
      <c r="C354" s="1" t="n">
        <v>45982</v>
      </c>
      <c r="D354" t="inlineStr">
        <is>
          <t>DALARNAS LÄN</t>
        </is>
      </c>
      <c r="E354" t="inlineStr">
        <is>
          <t>LEKSAND</t>
        </is>
      </c>
      <c r="F354" t="inlineStr">
        <is>
          <t>Bergvik skog väst AB</t>
        </is>
      </c>
      <c r="G354" t="n">
        <v>9.1</v>
      </c>
      <c r="H354" t="n">
        <v>0</v>
      </c>
      <c r="I354" t="n">
        <v>0</v>
      </c>
      <c r="J354" t="n">
        <v>0</v>
      </c>
      <c r="K354" t="n">
        <v>0</v>
      </c>
      <c r="L354" t="n">
        <v>0</v>
      </c>
      <c r="M354" t="n">
        <v>0</v>
      </c>
      <c r="N354" t="n">
        <v>0</v>
      </c>
      <c r="O354" t="n">
        <v>0</v>
      </c>
      <c r="P354" t="n">
        <v>0</v>
      </c>
      <c r="Q354" t="n">
        <v>0</v>
      </c>
      <c r="R354" s="2" t="inlineStr"/>
    </row>
    <row r="355" ht="15" customHeight="1">
      <c r="A355" t="inlineStr">
        <is>
          <t>A 34537-2025</t>
        </is>
      </c>
      <c r="B355" s="1" t="n">
        <v>45847</v>
      </c>
      <c r="C355" s="1" t="n">
        <v>45982</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54120-2025</t>
        </is>
      </c>
      <c r="B356" s="1" t="n">
        <v>45964.45040509259</v>
      </c>
      <c r="C356" s="1" t="n">
        <v>45982</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54125-2025</t>
        </is>
      </c>
      <c r="B357" s="1" t="n">
        <v>45964.45671296296</v>
      </c>
      <c r="C357" s="1" t="n">
        <v>45982</v>
      </c>
      <c r="D357" t="inlineStr">
        <is>
          <t>DALARNAS LÄN</t>
        </is>
      </c>
      <c r="E357" t="inlineStr">
        <is>
          <t>LEKSAND</t>
        </is>
      </c>
      <c r="G357" t="n">
        <v>0.6</v>
      </c>
      <c r="H357" t="n">
        <v>0</v>
      </c>
      <c r="I357" t="n">
        <v>0</v>
      </c>
      <c r="J357" t="n">
        <v>0</v>
      </c>
      <c r="K357" t="n">
        <v>0</v>
      </c>
      <c r="L357" t="n">
        <v>0</v>
      </c>
      <c r="M357" t="n">
        <v>0</v>
      </c>
      <c r="N357" t="n">
        <v>0</v>
      </c>
      <c r="O357" t="n">
        <v>0</v>
      </c>
      <c r="P357" t="n">
        <v>0</v>
      </c>
      <c r="Q357" t="n">
        <v>0</v>
      </c>
      <c r="R357" s="2" t="inlineStr"/>
    </row>
    <row r="358" ht="15" customHeight="1">
      <c r="A358" t="inlineStr">
        <is>
          <t>A 34965-2025</t>
        </is>
      </c>
      <c r="B358" s="1" t="n">
        <v>45849</v>
      </c>
      <c r="C358" s="1" t="n">
        <v>45982</v>
      </c>
      <c r="D358" t="inlineStr">
        <is>
          <t>DALARNAS LÄN</t>
        </is>
      </c>
      <c r="E358" t="inlineStr">
        <is>
          <t>LEKSAND</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41896-2024</t>
        </is>
      </c>
      <c r="B359" s="1" t="n">
        <v>45561.51310185185</v>
      </c>
      <c r="C359" s="1" t="n">
        <v>45982</v>
      </c>
      <c r="D359" t="inlineStr">
        <is>
          <t>DALARNAS LÄN</t>
        </is>
      </c>
      <c r="E359" t="inlineStr">
        <is>
          <t>LEKSAND</t>
        </is>
      </c>
      <c r="F359" t="inlineStr">
        <is>
          <t>Bergvik skog väst AB</t>
        </is>
      </c>
      <c r="G359" t="n">
        <v>2.8</v>
      </c>
      <c r="H359" t="n">
        <v>0</v>
      </c>
      <c r="I359" t="n">
        <v>0</v>
      </c>
      <c r="J359" t="n">
        <v>0</v>
      </c>
      <c r="K359" t="n">
        <v>0</v>
      </c>
      <c r="L359" t="n">
        <v>0</v>
      </c>
      <c r="M359" t="n">
        <v>0</v>
      </c>
      <c r="N359" t="n">
        <v>0</v>
      </c>
      <c r="O359" t="n">
        <v>0</v>
      </c>
      <c r="P359" t="n">
        <v>0</v>
      </c>
      <c r="Q359" t="n">
        <v>0</v>
      </c>
      <c r="R359" s="2" t="inlineStr"/>
    </row>
    <row r="360" ht="15" customHeight="1">
      <c r="A360" t="inlineStr">
        <is>
          <t>A 33593-2024</t>
        </is>
      </c>
      <c r="B360" s="1" t="n">
        <v>45520.36055555556</v>
      </c>
      <c r="C360" s="1" t="n">
        <v>45982</v>
      </c>
      <c r="D360" t="inlineStr">
        <is>
          <t>DALARNAS LÄN</t>
        </is>
      </c>
      <c r="E360" t="inlineStr">
        <is>
          <t>LEKSAND</t>
        </is>
      </c>
      <c r="G360" t="n">
        <v>0.3</v>
      </c>
      <c r="H360" t="n">
        <v>0</v>
      </c>
      <c r="I360" t="n">
        <v>0</v>
      </c>
      <c r="J360" t="n">
        <v>0</v>
      </c>
      <c r="K360" t="n">
        <v>0</v>
      </c>
      <c r="L360" t="n">
        <v>0</v>
      </c>
      <c r="M360" t="n">
        <v>0</v>
      </c>
      <c r="N360" t="n">
        <v>0</v>
      </c>
      <c r="O360" t="n">
        <v>0</v>
      </c>
      <c r="P360" t="n">
        <v>0</v>
      </c>
      <c r="Q360" t="n">
        <v>0</v>
      </c>
      <c r="R360" s="2" t="inlineStr"/>
    </row>
    <row r="361" ht="15" customHeight="1">
      <c r="A361" t="inlineStr">
        <is>
          <t>A 34789-2025</t>
        </is>
      </c>
      <c r="B361" s="1" t="n">
        <v>45848</v>
      </c>
      <c r="C361" s="1" t="n">
        <v>45982</v>
      </c>
      <c r="D361" t="inlineStr">
        <is>
          <t>DALARNAS LÄN</t>
        </is>
      </c>
      <c r="E361" t="inlineStr">
        <is>
          <t>LEKSAND</t>
        </is>
      </c>
      <c r="F361" t="inlineStr">
        <is>
          <t>Bergvik skog väst AB</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7778-2025</t>
        </is>
      </c>
      <c r="B362" s="1" t="n">
        <v>45706</v>
      </c>
      <c r="C362" s="1" t="n">
        <v>45982</v>
      </c>
      <c r="D362" t="inlineStr">
        <is>
          <t>DALARNAS LÄN</t>
        </is>
      </c>
      <c r="E362" t="inlineStr">
        <is>
          <t>LEKSAND</t>
        </is>
      </c>
      <c r="G362" t="n">
        <v>2.2</v>
      </c>
      <c r="H362" t="n">
        <v>0</v>
      </c>
      <c r="I362" t="n">
        <v>0</v>
      </c>
      <c r="J362" t="n">
        <v>0</v>
      </c>
      <c r="K362" t="n">
        <v>0</v>
      </c>
      <c r="L362" t="n">
        <v>0</v>
      </c>
      <c r="M362" t="n">
        <v>0</v>
      </c>
      <c r="N362" t="n">
        <v>0</v>
      </c>
      <c r="O362" t="n">
        <v>0</v>
      </c>
      <c r="P362" t="n">
        <v>0</v>
      </c>
      <c r="Q362" t="n">
        <v>0</v>
      </c>
      <c r="R362" s="2" t="inlineStr"/>
    </row>
    <row r="363" ht="15" customHeight="1">
      <c r="A363" t="inlineStr">
        <is>
          <t>A 34966-2025</t>
        </is>
      </c>
      <c r="B363" s="1" t="n">
        <v>45849</v>
      </c>
      <c r="C363" s="1" t="n">
        <v>45982</v>
      </c>
      <c r="D363" t="inlineStr">
        <is>
          <t>DALARNAS LÄN</t>
        </is>
      </c>
      <c r="E363" t="inlineStr">
        <is>
          <t>LEKSAND</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54293-2025</t>
        </is>
      </c>
      <c r="B364" s="1" t="n">
        <v>45964.86651620371</v>
      </c>
      <c r="C364" s="1" t="n">
        <v>45982</v>
      </c>
      <c r="D364" t="inlineStr">
        <is>
          <t>DALARNAS LÄN</t>
        </is>
      </c>
      <c r="E364" t="inlineStr">
        <is>
          <t>LEKSAND</t>
        </is>
      </c>
      <c r="G364" t="n">
        <v>1.1</v>
      </c>
      <c r="H364" t="n">
        <v>0</v>
      </c>
      <c r="I364" t="n">
        <v>0</v>
      </c>
      <c r="J364" t="n">
        <v>0</v>
      </c>
      <c r="K364" t="n">
        <v>0</v>
      </c>
      <c r="L364" t="n">
        <v>0</v>
      </c>
      <c r="M364" t="n">
        <v>0</v>
      </c>
      <c r="N364" t="n">
        <v>0</v>
      </c>
      <c r="O364" t="n">
        <v>0</v>
      </c>
      <c r="P364" t="n">
        <v>0</v>
      </c>
      <c r="Q364" t="n">
        <v>0</v>
      </c>
      <c r="R364" s="2" t="inlineStr"/>
    </row>
    <row r="365" ht="15" customHeight="1">
      <c r="A365" t="inlineStr">
        <is>
          <t>A 54295-2025</t>
        </is>
      </c>
      <c r="B365" s="1" t="n">
        <v>45964.87122685185</v>
      </c>
      <c r="C365" s="1" t="n">
        <v>45982</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12857-2023</t>
        </is>
      </c>
      <c r="B366" s="1" t="n">
        <v>45001.5000462963</v>
      </c>
      <c r="C366" s="1" t="n">
        <v>45982</v>
      </c>
      <c r="D366" t="inlineStr">
        <is>
          <t>DALARNAS LÄN</t>
        </is>
      </c>
      <c r="E366" t="inlineStr">
        <is>
          <t>LEKSAND</t>
        </is>
      </c>
      <c r="G366" t="n">
        <v>0.2</v>
      </c>
      <c r="H366" t="n">
        <v>0</v>
      </c>
      <c r="I366" t="n">
        <v>0</v>
      </c>
      <c r="J366" t="n">
        <v>0</v>
      </c>
      <c r="K366" t="n">
        <v>0</v>
      </c>
      <c r="L366" t="n">
        <v>0</v>
      </c>
      <c r="M366" t="n">
        <v>0</v>
      </c>
      <c r="N366" t="n">
        <v>0</v>
      </c>
      <c r="O366" t="n">
        <v>0</v>
      </c>
      <c r="P366" t="n">
        <v>0</v>
      </c>
      <c r="Q366" t="n">
        <v>0</v>
      </c>
      <c r="R366" s="2" t="inlineStr"/>
    </row>
    <row r="367" ht="15" customHeight="1">
      <c r="A367" t="inlineStr">
        <is>
          <t>A 32072-2024</t>
        </is>
      </c>
      <c r="B367" s="1" t="n">
        <v>45510.98405092592</v>
      </c>
      <c r="C367" s="1" t="n">
        <v>45982</v>
      </c>
      <c r="D367" t="inlineStr">
        <is>
          <t>DALARNAS LÄN</t>
        </is>
      </c>
      <c r="E367" t="inlineStr">
        <is>
          <t>LEKSAND</t>
        </is>
      </c>
      <c r="G367" t="n">
        <v>1.4</v>
      </c>
      <c r="H367" t="n">
        <v>0</v>
      </c>
      <c r="I367" t="n">
        <v>0</v>
      </c>
      <c r="J367" t="n">
        <v>0</v>
      </c>
      <c r="K367" t="n">
        <v>0</v>
      </c>
      <c r="L367" t="n">
        <v>0</v>
      </c>
      <c r="M367" t="n">
        <v>0</v>
      </c>
      <c r="N367" t="n">
        <v>0</v>
      </c>
      <c r="O367" t="n">
        <v>0</v>
      </c>
      <c r="P367" t="n">
        <v>0</v>
      </c>
      <c r="Q367" t="n">
        <v>0</v>
      </c>
      <c r="R367" s="2" t="inlineStr"/>
    </row>
    <row r="368" ht="15" customHeight="1">
      <c r="A368" t="inlineStr">
        <is>
          <t>A 45381-2025</t>
        </is>
      </c>
      <c r="B368" s="1" t="n">
        <v>45922.39989583333</v>
      </c>
      <c r="C368" s="1" t="n">
        <v>45982</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35094-2025</t>
        </is>
      </c>
      <c r="B369" s="1" t="n">
        <v>45852</v>
      </c>
      <c r="C369" s="1" t="n">
        <v>45982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56299-2024</t>
        </is>
      </c>
      <c r="B370" s="1" t="n">
        <v>45624.68607638889</v>
      </c>
      <c r="C370" s="1" t="n">
        <v>45982</v>
      </c>
      <c r="D370" t="inlineStr">
        <is>
          <t>DALARNAS LÄN</t>
        </is>
      </c>
      <c r="E370" t="inlineStr">
        <is>
          <t>LEKSAND</t>
        </is>
      </c>
      <c r="G370" t="n">
        <v>1.6</v>
      </c>
      <c r="H370" t="n">
        <v>0</v>
      </c>
      <c r="I370" t="n">
        <v>0</v>
      </c>
      <c r="J370" t="n">
        <v>0</v>
      </c>
      <c r="K370" t="n">
        <v>0</v>
      </c>
      <c r="L370" t="n">
        <v>0</v>
      </c>
      <c r="M370" t="n">
        <v>0</v>
      </c>
      <c r="N370" t="n">
        <v>0</v>
      </c>
      <c r="O370" t="n">
        <v>0</v>
      </c>
      <c r="P370" t="n">
        <v>0</v>
      </c>
      <c r="Q370" t="n">
        <v>0</v>
      </c>
      <c r="R370" s="2" t="inlineStr"/>
    </row>
    <row r="371" ht="15" customHeight="1">
      <c r="A371" t="inlineStr">
        <is>
          <t>A 17483-2025</t>
        </is>
      </c>
      <c r="B371" s="1" t="n">
        <v>45757.49408564815</v>
      </c>
      <c r="C371" s="1" t="n">
        <v>45982</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45300-2025</t>
        </is>
      </c>
      <c r="B372" s="1" t="n">
        <v>45921.30490740741</v>
      </c>
      <c r="C372" s="1" t="n">
        <v>45982</v>
      </c>
      <c r="D372" t="inlineStr">
        <is>
          <t>DALARNAS LÄN</t>
        </is>
      </c>
      <c r="E372" t="inlineStr">
        <is>
          <t>LEKSAND</t>
        </is>
      </c>
      <c r="G372" t="n">
        <v>2.3</v>
      </c>
      <c r="H372" t="n">
        <v>0</v>
      </c>
      <c r="I372" t="n">
        <v>0</v>
      </c>
      <c r="J372" t="n">
        <v>0</v>
      </c>
      <c r="K372" t="n">
        <v>0</v>
      </c>
      <c r="L372" t="n">
        <v>0</v>
      </c>
      <c r="M372" t="n">
        <v>0</v>
      </c>
      <c r="N372" t="n">
        <v>0</v>
      </c>
      <c r="O372" t="n">
        <v>0</v>
      </c>
      <c r="P372" t="n">
        <v>0</v>
      </c>
      <c r="Q372" t="n">
        <v>0</v>
      </c>
      <c r="R372" s="2" t="inlineStr"/>
    </row>
    <row r="373" ht="15" customHeight="1">
      <c r="A373" t="inlineStr">
        <is>
          <t>A 45318-2025</t>
        </is>
      </c>
      <c r="B373" s="1" t="n">
        <v>45921.85230324074</v>
      </c>
      <c r="C373" s="1" t="n">
        <v>45982</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54440-2025</t>
        </is>
      </c>
      <c r="B374" s="1" t="n">
        <v>45965.50385416667</v>
      </c>
      <c r="C374" s="1" t="n">
        <v>45982</v>
      </c>
      <c r="D374" t="inlineStr">
        <is>
          <t>DALARNAS LÄN</t>
        </is>
      </c>
      <c r="E374" t="inlineStr">
        <is>
          <t>LEKSAND</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18481-2024</t>
        </is>
      </c>
      <c r="B375" s="1" t="n">
        <v>45425.52193287037</v>
      </c>
      <c r="C375" s="1" t="n">
        <v>45982</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8046-2024</t>
        </is>
      </c>
      <c r="B376" s="1" t="n">
        <v>45351.31555555556</v>
      </c>
      <c r="C376" s="1" t="n">
        <v>45982</v>
      </c>
      <c r="D376" t="inlineStr">
        <is>
          <t>DALARNAS LÄN</t>
        </is>
      </c>
      <c r="E376" t="inlineStr">
        <is>
          <t>LEKSAND</t>
        </is>
      </c>
      <c r="G376" t="n">
        <v>2.9</v>
      </c>
      <c r="H376" t="n">
        <v>0</v>
      </c>
      <c r="I376" t="n">
        <v>0</v>
      </c>
      <c r="J376" t="n">
        <v>0</v>
      </c>
      <c r="K376" t="n">
        <v>0</v>
      </c>
      <c r="L376" t="n">
        <v>0</v>
      </c>
      <c r="M376" t="n">
        <v>0</v>
      </c>
      <c r="N376" t="n">
        <v>0</v>
      </c>
      <c r="O376" t="n">
        <v>0</v>
      </c>
      <c r="P376" t="n">
        <v>0</v>
      </c>
      <c r="Q376" t="n">
        <v>0</v>
      </c>
      <c r="R376" s="2" t="inlineStr"/>
    </row>
    <row r="377" ht="15" customHeight="1">
      <c r="A377" t="inlineStr">
        <is>
          <t>A 54494-2025</t>
        </is>
      </c>
      <c r="B377" s="1" t="n">
        <v>45965.59965277778</v>
      </c>
      <c r="C377" s="1" t="n">
        <v>45982</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7827-2024</t>
        </is>
      </c>
      <c r="B378" s="1" t="n">
        <v>45349.7467824074</v>
      </c>
      <c r="C378" s="1" t="n">
        <v>45982</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46176-2025</t>
        </is>
      </c>
      <c r="B379" s="1" t="n">
        <v>45924.65101851852</v>
      </c>
      <c r="C379" s="1" t="n">
        <v>45982</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43735-2022</t>
        </is>
      </c>
      <c r="B380" s="1" t="n">
        <v>44837.70210648148</v>
      </c>
      <c r="C380" s="1" t="n">
        <v>45982</v>
      </c>
      <c r="D380" t="inlineStr">
        <is>
          <t>DALARNAS LÄN</t>
        </is>
      </c>
      <c r="E380" t="inlineStr">
        <is>
          <t>LEKSAND</t>
        </is>
      </c>
      <c r="G380" t="n">
        <v>2.9</v>
      </c>
      <c r="H380" t="n">
        <v>0</v>
      </c>
      <c r="I380" t="n">
        <v>0</v>
      </c>
      <c r="J380" t="n">
        <v>0</v>
      </c>
      <c r="K380" t="n">
        <v>0</v>
      </c>
      <c r="L380" t="n">
        <v>0</v>
      </c>
      <c r="M380" t="n">
        <v>0</v>
      </c>
      <c r="N380" t="n">
        <v>0</v>
      </c>
      <c r="O380" t="n">
        <v>0</v>
      </c>
      <c r="P380" t="n">
        <v>0</v>
      </c>
      <c r="Q380" t="n">
        <v>0</v>
      </c>
      <c r="R380" s="2" t="inlineStr"/>
    </row>
    <row r="381" ht="15" customHeight="1">
      <c r="A381" t="inlineStr">
        <is>
          <t>A 13705-2021</t>
        </is>
      </c>
      <c r="B381" s="1" t="n">
        <v>44274</v>
      </c>
      <c r="C381" s="1" t="n">
        <v>45982</v>
      </c>
      <c r="D381" t="inlineStr">
        <is>
          <t>DALARNAS LÄN</t>
        </is>
      </c>
      <c r="E381" t="inlineStr">
        <is>
          <t>LEKSAND</t>
        </is>
      </c>
      <c r="G381" t="n">
        <v>3.8</v>
      </c>
      <c r="H381" t="n">
        <v>0</v>
      </c>
      <c r="I381" t="n">
        <v>0</v>
      </c>
      <c r="J381" t="n">
        <v>0</v>
      </c>
      <c r="K381" t="n">
        <v>0</v>
      </c>
      <c r="L381" t="n">
        <v>0</v>
      </c>
      <c r="M381" t="n">
        <v>0</v>
      </c>
      <c r="N381" t="n">
        <v>0</v>
      </c>
      <c r="O381" t="n">
        <v>0</v>
      </c>
      <c r="P381" t="n">
        <v>0</v>
      </c>
      <c r="Q381" t="n">
        <v>0</v>
      </c>
      <c r="R381" s="2" t="inlineStr"/>
    </row>
    <row r="382" ht="15" customHeight="1">
      <c r="A382" t="inlineStr">
        <is>
          <t>A 20936-2023</t>
        </is>
      </c>
      <c r="B382" s="1" t="n">
        <v>45061</v>
      </c>
      <c r="C382" s="1" t="n">
        <v>45982</v>
      </c>
      <c r="D382" t="inlineStr">
        <is>
          <t>DALARNAS LÄN</t>
        </is>
      </c>
      <c r="E382" t="inlineStr">
        <is>
          <t>LEKSAND</t>
        </is>
      </c>
      <c r="G382" t="n">
        <v>0.3</v>
      </c>
      <c r="H382" t="n">
        <v>0</v>
      </c>
      <c r="I382" t="n">
        <v>0</v>
      </c>
      <c r="J382" t="n">
        <v>0</v>
      </c>
      <c r="K382" t="n">
        <v>0</v>
      </c>
      <c r="L382" t="n">
        <v>0</v>
      </c>
      <c r="M382" t="n">
        <v>0</v>
      </c>
      <c r="N382" t="n">
        <v>0</v>
      </c>
      <c r="O382" t="n">
        <v>0</v>
      </c>
      <c r="P382" t="n">
        <v>0</v>
      </c>
      <c r="Q382" t="n">
        <v>0</v>
      </c>
      <c r="R382" s="2" t="inlineStr"/>
    </row>
    <row r="383" ht="15" customHeight="1">
      <c r="A383" t="inlineStr">
        <is>
          <t>A 54779-2025</t>
        </is>
      </c>
      <c r="B383" s="1" t="n">
        <v>45966.61672453704</v>
      </c>
      <c r="C383" s="1" t="n">
        <v>45982</v>
      </c>
      <c r="D383" t="inlineStr">
        <is>
          <t>DALARNAS LÄN</t>
        </is>
      </c>
      <c r="E383" t="inlineStr">
        <is>
          <t>LEKSAND</t>
        </is>
      </c>
      <c r="G383" t="n">
        <v>1</v>
      </c>
      <c r="H383" t="n">
        <v>0</v>
      </c>
      <c r="I383" t="n">
        <v>0</v>
      </c>
      <c r="J383" t="n">
        <v>0</v>
      </c>
      <c r="K383" t="n">
        <v>0</v>
      </c>
      <c r="L383" t="n">
        <v>0</v>
      </c>
      <c r="M383" t="n">
        <v>0</v>
      </c>
      <c r="N383" t="n">
        <v>0</v>
      </c>
      <c r="O383" t="n">
        <v>0</v>
      </c>
      <c r="P383" t="n">
        <v>0</v>
      </c>
      <c r="Q383" t="n">
        <v>0</v>
      </c>
      <c r="R383" s="2" t="inlineStr"/>
    </row>
    <row r="384" ht="15" customHeight="1">
      <c r="A384" t="inlineStr">
        <is>
          <t>A 54815-2025</t>
        </is>
      </c>
      <c r="B384" s="1" t="n">
        <v>45966.65237268519</v>
      </c>
      <c r="C384" s="1" t="n">
        <v>45982</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44469-2024</t>
        </is>
      </c>
      <c r="B385" s="1" t="n">
        <v>45574</v>
      </c>
      <c r="C385" s="1" t="n">
        <v>45982</v>
      </c>
      <c r="D385" t="inlineStr">
        <is>
          <t>DALARNAS LÄN</t>
        </is>
      </c>
      <c r="E385" t="inlineStr">
        <is>
          <t>LEKSAND</t>
        </is>
      </c>
      <c r="G385" t="n">
        <v>2</v>
      </c>
      <c r="H385" t="n">
        <v>0</v>
      </c>
      <c r="I385" t="n">
        <v>0</v>
      </c>
      <c r="J385" t="n">
        <v>0</v>
      </c>
      <c r="K385" t="n">
        <v>0</v>
      </c>
      <c r="L385" t="n">
        <v>0</v>
      </c>
      <c r="M385" t="n">
        <v>0</v>
      </c>
      <c r="N385" t="n">
        <v>0</v>
      </c>
      <c r="O385" t="n">
        <v>0</v>
      </c>
      <c r="P385" t="n">
        <v>0</v>
      </c>
      <c r="Q385" t="n">
        <v>0</v>
      </c>
      <c r="R385" s="2" t="inlineStr"/>
    </row>
    <row r="386" ht="15" customHeight="1">
      <c r="A386" t="inlineStr">
        <is>
          <t>A 35866-2025</t>
        </is>
      </c>
      <c r="B386" s="1" t="n">
        <v>45861</v>
      </c>
      <c r="C386" s="1" t="n">
        <v>45982</v>
      </c>
      <c r="D386" t="inlineStr">
        <is>
          <t>DALARNAS LÄN</t>
        </is>
      </c>
      <c r="E386" t="inlineStr">
        <is>
          <t>LEKSAND</t>
        </is>
      </c>
      <c r="F386" t="inlineStr">
        <is>
          <t>Bergvik skog väst AB</t>
        </is>
      </c>
      <c r="G386" t="n">
        <v>2.1</v>
      </c>
      <c r="H386" t="n">
        <v>0</v>
      </c>
      <c r="I386" t="n">
        <v>0</v>
      </c>
      <c r="J386" t="n">
        <v>0</v>
      </c>
      <c r="K386" t="n">
        <v>0</v>
      </c>
      <c r="L386" t="n">
        <v>0</v>
      </c>
      <c r="M386" t="n">
        <v>0</v>
      </c>
      <c r="N386" t="n">
        <v>0</v>
      </c>
      <c r="O386" t="n">
        <v>0</v>
      </c>
      <c r="P386" t="n">
        <v>0</v>
      </c>
      <c r="Q386" t="n">
        <v>0</v>
      </c>
      <c r="R386" s="2" t="inlineStr"/>
    </row>
    <row r="387" ht="15" customHeight="1">
      <c r="A387" t="inlineStr">
        <is>
          <t>A 35746-2025</t>
        </is>
      </c>
      <c r="B387" s="1" t="n">
        <v>45860</v>
      </c>
      <c r="C387" s="1" t="n">
        <v>45982</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41934-2025</t>
        </is>
      </c>
      <c r="B388" s="1" t="n">
        <v>45903.43556712963</v>
      </c>
      <c r="C388" s="1" t="n">
        <v>45982</v>
      </c>
      <c r="D388" t="inlineStr">
        <is>
          <t>DALARNAS LÄN</t>
        </is>
      </c>
      <c r="E388" t="inlineStr">
        <is>
          <t>LEKSAND</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46405-2025</t>
        </is>
      </c>
      <c r="B389" s="1" t="n">
        <v>45925.56306712963</v>
      </c>
      <c r="C389" s="1" t="n">
        <v>45982</v>
      </c>
      <c r="D389" t="inlineStr">
        <is>
          <t>DALARNAS LÄN</t>
        </is>
      </c>
      <c r="E389" t="inlineStr">
        <is>
          <t>LEKSAND</t>
        </is>
      </c>
      <c r="G389" t="n">
        <v>5.7</v>
      </c>
      <c r="H389" t="n">
        <v>0</v>
      </c>
      <c r="I389" t="n">
        <v>0</v>
      </c>
      <c r="J389" t="n">
        <v>0</v>
      </c>
      <c r="K389" t="n">
        <v>0</v>
      </c>
      <c r="L389" t="n">
        <v>0</v>
      </c>
      <c r="M389" t="n">
        <v>0</v>
      </c>
      <c r="N389" t="n">
        <v>0</v>
      </c>
      <c r="O389" t="n">
        <v>0</v>
      </c>
      <c r="P389" t="n">
        <v>0</v>
      </c>
      <c r="Q389" t="n">
        <v>0</v>
      </c>
      <c r="R389" s="2" t="inlineStr"/>
    </row>
    <row r="390" ht="15" customHeight="1">
      <c r="A390" t="inlineStr">
        <is>
          <t>A 46483-2025</t>
        </is>
      </c>
      <c r="B390" s="1" t="n">
        <v>45925.70248842592</v>
      </c>
      <c r="C390" s="1" t="n">
        <v>45982</v>
      </c>
      <c r="D390" t="inlineStr">
        <is>
          <t>DALARNAS LÄN</t>
        </is>
      </c>
      <c r="E390" t="inlineStr">
        <is>
          <t>LEKSAND</t>
        </is>
      </c>
      <c r="G390" t="n">
        <v>3.6</v>
      </c>
      <c r="H390" t="n">
        <v>0</v>
      </c>
      <c r="I390" t="n">
        <v>0</v>
      </c>
      <c r="J390" t="n">
        <v>0</v>
      </c>
      <c r="K390" t="n">
        <v>0</v>
      </c>
      <c r="L390" t="n">
        <v>0</v>
      </c>
      <c r="M390" t="n">
        <v>0</v>
      </c>
      <c r="N390" t="n">
        <v>0</v>
      </c>
      <c r="O390" t="n">
        <v>0</v>
      </c>
      <c r="P390" t="n">
        <v>0</v>
      </c>
      <c r="Q390" t="n">
        <v>0</v>
      </c>
      <c r="R390" s="2" t="inlineStr"/>
    </row>
    <row r="391" ht="15" customHeight="1">
      <c r="A391" t="inlineStr">
        <is>
          <t>A 36020-2025</t>
        </is>
      </c>
      <c r="B391" s="1" t="n">
        <v>45863</v>
      </c>
      <c r="C391" s="1" t="n">
        <v>45982</v>
      </c>
      <c r="D391" t="inlineStr">
        <is>
          <t>DALARNAS LÄN</t>
        </is>
      </c>
      <c r="E391" t="inlineStr">
        <is>
          <t>LEKSAND</t>
        </is>
      </c>
      <c r="F391" t="inlineStr">
        <is>
          <t>Bergvik skog väst AB</t>
        </is>
      </c>
      <c r="G391" t="n">
        <v>2.8</v>
      </c>
      <c r="H391" t="n">
        <v>0</v>
      </c>
      <c r="I391" t="n">
        <v>0</v>
      </c>
      <c r="J391" t="n">
        <v>0</v>
      </c>
      <c r="K391" t="n">
        <v>0</v>
      </c>
      <c r="L391" t="n">
        <v>0</v>
      </c>
      <c r="M391" t="n">
        <v>0</v>
      </c>
      <c r="N391" t="n">
        <v>0</v>
      </c>
      <c r="O391" t="n">
        <v>0</v>
      </c>
      <c r="P391" t="n">
        <v>0</v>
      </c>
      <c r="Q391" t="n">
        <v>0</v>
      </c>
      <c r="R391" s="2" t="inlineStr"/>
    </row>
    <row r="392" ht="15" customHeight="1">
      <c r="A392" t="inlineStr">
        <is>
          <t>A 36017-2025</t>
        </is>
      </c>
      <c r="B392" s="1" t="n">
        <v>45863</v>
      </c>
      <c r="C392" s="1" t="n">
        <v>45982</v>
      </c>
      <c r="D392" t="inlineStr">
        <is>
          <t>DALARNAS LÄN</t>
        </is>
      </c>
      <c r="E392" t="inlineStr">
        <is>
          <t>LEKSAND</t>
        </is>
      </c>
      <c r="F392" t="inlineStr">
        <is>
          <t>Bergvik skog väst AB</t>
        </is>
      </c>
      <c r="G392" t="n">
        <v>17.9</v>
      </c>
      <c r="H392" t="n">
        <v>0</v>
      </c>
      <c r="I392" t="n">
        <v>0</v>
      </c>
      <c r="J392" t="n">
        <v>0</v>
      </c>
      <c r="K392" t="n">
        <v>0</v>
      </c>
      <c r="L392" t="n">
        <v>0</v>
      </c>
      <c r="M392" t="n">
        <v>0</v>
      </c>
      <c r="N392" t="n">
        <v>0</v>
      </c>
      <c r="O392" t="n">
        <v>0</v>
      </c>
      <c r="P392" t="n">
        <v>0</v>
      </c>
      <c r="Q392" t="n">
        <v>0</v>
      </c>
      <c r="R392" s="2" t="inlineStr"/>
    </row>
    <row r="393" ht="15" customHeight="1">
      <c r="A393" t="inlineStr">
        <is>
          <t>A 53464-2024</t>
        </is>
      </c>
      <c r="B393" s="1" t="n">
        <v>45611</v>
      </c>
      <c r="C393" s="1" t="n">
        <v>45982</v>
      </c>
      <c r="D393" t="inlineStr">
        <is>
          <t>DALARNAS LÄN</t>
        </is>
      </c>
      <c r="E393" t="inlineStr">
        <is>
          <t>LEKSAND</t>
        </is>
      </c>
      <c r="G393" t="n">
        <v>1.7</v>
      </c>
      <c r="H393" t="n">
        <v>0</v>
      </c>
      <c r="I393" t="n">
        <v>0</v>
      </c>
      <c r="J393" t="n">
        <v>0</v>
      </c>
      <c r="K393" t="n">
        <v>0</v>
      </c>
      <c r="L393" t="n">
        <v>0</v>
      </c>
      <c r="M393" t="n">
        <v>0</v>
      </c>
      <c r="N393" t="n">
        <v>0</v>
      </c>
      <c r="O393" t="n">
        <v>0</v>
      </c>
      <c r="P393" t="n">
        <v>0</v>
      </c>
      <c r="Q393" t="n">
        <v>0</v>
      </c>
      <c r="R393" s="2" t="inlineStr"/>
    </row>
    <row r="394" ht="15" customHeight="1">
      <c r="A394" t="inlineStr">
        <is>
          <t>A 35998-2025</t>
        </is>
      </c>
      <c r="B394" s="1" t="n">
        <v>45863.51550925926</v>
      </c>
      <c r="C394" s="1" t="n">
        <v>45982</v>
      </c>
      <c r="D394" t="inlineStr">
        <is>
          <t>DALARNAS LÄN</t>
        </is>
      </c>
      <c r="E394" t="inlineStr">
        <is>
          <t>LEKSAND</t>
        </is>
      </c>
      <c r="G394" t="n">
        <v>2</v>
      </c>
      <c r="H394" t="n">
        <v>0</v>
      </c>
      <c r="I394" t="n">
        <v>0</v>
      </c>
      <c r="J394" t="n">
        <v>0</v>
      </c>
      <c r="K394" t="n">
        <v>0</v>
      </c>
      <c r="L394" t="n">
        <v>0</v>
      </c>
      <c r="M394" t="n">
        <v>0</v>
      </c>
      <c r="N394" t="n">
        <v>0</v>
      </c>
      <c r="O394" t="n">
        <v>0</v>
      </c>
      <c r="P394" t="n">
        <v>0</v>
      </c>
      <c r="Q394" t="n">
        <v>0</v>
      </c>
      <c r="R394" s="2" t="inlineStr"/>
    </row>
    <row r="395" ht="15" customHeight="1">
      <c r="A395" t="inlineStr">
        <is>
          <t>A 36021-2025</t>
        </is>
      </c>
      <c r="B395" s="1" t="n">
        <v>45863.72346064815</v>
      </c>
      <c r="C395" s="1" t="n">
        <v>45982</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36190-2025</t>
        </is>
      </c>
      <c r="B396" s="1" t="n">
        <v>45867</v>
      </c>
      <c r="C396" s="1" t="n">
        <v>45982</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54752-2025</t>
        </is>
      </c>
      <c r="B397" s="1" t="n">
        <v>45966.5916087963</v>
      </c>
      <c r="C397" s="1" t="n">
        <v>45982</v>
      </c>
      <c r="D397" t="inlineStr">
        <is>
          <t>DALARNAS LÄN</t>
        </is>
      </c>
      <c r="E397" t="inlineStr">
        <is>
          <t>LEKSAND</t>
        </is>
      </c>
      <c r="G397" t="n">
        <v>0.3</v>
      </c>
      <c r="H397" t="n">
        <v>0</v>
      </c>
      <c r="I397" t="n">
        <v>0</v>
      </c>
      <c r="J397" t="n">
        <v>0</v>
      </c>
      <c r="K397" t="n">
        <v>0</v>
      </c>
      <c r="L397" t="n">
        <v>0</v>
      </c>
      <c r="M397" t="n">
        <v>0</v>
      </c>
      <c r="N397" t="n">
        <v>0</v>
      </c>
      <c r="O397" t="n">
        <v>0</v>
      </c>
      <c r="P397" t="n">
        <v>0</v>
      </c>
      <c r="Q397" t="n">
        <v>0</v>
      </c>
      <c r="R397" s="2" t="inlineStr"/>
    </row>
    <row r="398" ht="15" customHeight="1">
      <c r="A398" t="inlineStr">
        <is>
          <t>A 54767-2025</t>
        </is>
      </c>
      <c r="B398" s="1" t="n">
        <v>45966.60414351852</v>
      </c>
      <c r="C398" s="1" t="n">
        <v>45982</v>
      </c>
      <c r="D398" t="inlineStr">
        <is>
          <t>DALARNAS LÄN</t>
        </is>
      </c>
      <c r="E398" t="inlineStr">
        <is>
          <t>LEKSAND</t>
        </is>
      </c>
      <c r="G398" t="n">
        <v>2.4</v>
      </c>
      <c r="H398" t="n">
        <v>0</v>
      </c>
      <c r="I398" t="n">
        <v>0</v>
      </c>
      <c r="J398" t="n">
        <v>0</v>
      </c>
      <c r="K398" t="n">
        <v>0</v>
      </c>
      <c r="L398" t="n">
        <v>0</v>
      </c>
      <c r="M398" t="n">
        <v>0</v>
      </c>
      <c r="N398" t="n">
        <v>0</v>
      </c>
      <c r="O398" t="n">
        <v>0</v>
      </c>
      <c r="P398" t="n">
        <v>0</v>
      </c>
      <c r="Q398" t="n">
        <v>0</v>
      </c>
      <c r="R398" s="2" t="inlineStr"/>
    </row>
    <row r="399" ht="15" customHeight="1">
      <c r="A399" t="inlineStr">
        <is>
          <t>A 54785-2025</t>
        </is>
      </c>
      <c r="B399" s="1" t="n">
        <v>45966.62619212963</v>
      </c>
      <c r="C399" s="1" t="n">
        <v>45982</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54805-2025</t>
        </is>
      </c>
      <c r="B400" s="1" t="n">
        <v>45966.64165509259</v>
      </c>
      <c r="C400" s="1" t="n">
        <v>45982</v>
      </c>
      <c r="D400" t="inlineStr">
        <is>
          <t>DALARNAS LÄN</t>
        </is>
      </c>
      <c r="E400" t="inlineStr">
        <is>
          <t>LEKSAND</t>
        </is>
      </c>
      <c r="G400" t="n">
        <v>1.8</v>
      </c>
      <c r="H400" t="n">
        <v>0</v>
      </c>
      <c r="I400" t="n">
        <v>0</v>
      </c>
      <c r="J400" t="n">
        <v>0</v>
      </c>
      <c r="K400" t="n">
        <v>0</v>
      </c>
      <c r="L400" t="n">
        <v>0</v>
      </c>
      <c r="M400" t="n">
        <v>0</v>
      </c>
      <c r="N400" t="n">
        <v>0</v>
      </c>
      <c r="O400" t="n">
        <v>0</v>
      </c>
      <c r="P400" t="n">
        <v>0</v>
      </c>
      <c r="Q400" t="n">
        <v>0</v>
      </c>
      <c r="R400" s="2" t="inlineStr"/>
    </row>
    <row r="401" ht="15" customHeight="1">
      <c r="A401" t="inlineStr">
        <is>
          <t>A 46628-2024</t>
        </is>
      </c>
      <c r="B401" s="1" t="n">
        <v>45583.33195601852</v>
      </c>
      <c r="C401" s="1" t="n">
        <v>45982</v>
      </c>
      <c r="D401" t="inlineStr">
        <is>
          <t>DALARNAS LÄN</t>
        </is>
      </c>
      <c r="E401" t="inlineStr">
        <is>
          <t>LEKSAND</t>
        </is>
      </c>
      <c r="G401" t="n">
        <v>0.2</v>
      </c>
      <c r="H401" t="n">
        <v>0</v>
      </c>
      <c r="I401" t="n">
        <v>0</v>
      </c>
      <c r="J401" t="n">
        <v>0</v>
      </c>
      <c r="K401" t="n">
        <v>0</v>
      </c>
      <c r="L401" t="n">
        <v>0</v>
      </c>
      <c r="M401" t="n">
        <v>0</v>
      </c>
      <c r="N401" t="n">
        <v>0</v>
      </c>
      <c r="O401" t="n">
        <v>0</v>
      </c>
      <c r="P401" t="n">
        <v>0</v>
      </c>
      <c r="Q401" t="n">
        <v>0</v>
      </c>
      <c r="R401" s="2" t="inlineStr"/>
    </row>
    <row r="402" ht="15" customHeight="1">
      <c r="A402" t="inlineStr">
        <is>
          <t>A 43222-2024</t>
        </is>
      </c>
      <c r="B402" s="1" t="n">
        <v>45567.87177083334</v>
      </c>
      <c r="C402" s="1" t="n">
        <v>45982</v>
      </c>
      <c r="D402" t="inlineStr">
        <is>
          <t>DALARNAS LÄN</t>
        </is>
      </c>
      <c r="E402" t="inlineStr">
        <is>
          <t>LEKSAND</t>
        </is>
      </c>
      <c r="F402" t="inlineStr">
        <is>
          <t>Bergvik skog väst AB</t>
        </is>
      </c>
      <c r="G402" t="n">
        <v>8.6</v>
      </c>
      <c r="H402" t="n">
        <v>0</v>
      </c>
      <c r="I402" t="n">
        <v>0</v>
      </c>
      <c r="J402" t="n">
        <v>0</v>
      </c>
      <c r="K402" t="n">
        <v>0</v>
      </c>
      <c r="L402" t="n">
        <v>0</v>
      </c>
      <c r="M402" t="n">
        <v>0</v>
      </c>
      <c r="N402" t="n">
        <v>0</v>
      </c>
      <c r="O402" t="n">
        <v>0</v>
      </c>
      <c r="P402" t="n">
        <v>0</v>
      </c>
      <c r="Q402" t="n">
        <v>0</v>
      </c>
      <c r="R402" s="2" t="inlineStr"/>
    </row>
    <row r="403" ht="15" customHeight="1">
      <c r="A403" t="inlineStr">
        <is>
          <t>A 43231-2024</t>
        </is>
      </c>
      <c r="B403" s="1" t="n">
        <v>45567.89709490741</v>
      </c>
      <c r="C403" s="1" t="n">
        <v>45982</v>
      </c>
      <c r="D403" t="inlineStr">
        <is>
          <t>DALARNAS LÄN</t>
        </is>
      </c>
      <c r="E403" t="inlineStr">
        <is>
          <t>LEKSAND</t>
        </is>
      </c>
      <c r="G403" t="n">
        <v>1.9</v>
      </c>
      <c r="H403" t="n">
        <v>0</v>
      </c>
      <c r="I403" t="n">
        <v>0</v>
      </c>
      <c r="J403" t="n">
        <v>0</v>
      </c>
      <c r="K403" t="n">
        <v>0</v>
      </c>
      <c r="L403" t="n">
        <v>0</v>
      </c>
      <c r="M403" t="n">
        <v>0</v>
      </c>
      <c r="N403" t="n">
        <v>0</v>
      </c>
      <c r="O403" t="n">
        <v>0</v>
      </c>
      <c r="P403" t="n">
        <v>0</v>
      </c>
      <c r="Q403" t="n">
        <v>0</v>
      </c>
      <c r="R403" s="2" t="inlineStr"/>
    </row>
    <row r="404" ht="15" customHeight="1">
      <c r="A404" t="inlineStr">
        <is>
          <t>A 17533-2023</t>
        </is>
      </c>
      <c r="B404" s="1" t="n">
        <v>45036</v>
      </c>
      <c r="C404" s="1" t="n">
        <v>45982</v>
      </c>
      <c r="D404" t="inlineStr">
        <is>
          <t>DALARNAS LÄN</t>
        </is>
      </c>
      <c r="E404" t="inlineStr">
        <is>
          <t>LEKSAND</t>
        </is>
      </c>
      <c r="G404" t="n">
        <v>3</v>
      </c>
      <c r="H404" t="n">
        <v>0</v>
      </c>
      <c r="I404" t="n">
        <v>0</v>
      </c>
      <c r="J404" t="n">
        <v>0</v>
      </c>
      <c r="K404" t="n">
        <v>0</v>
      </c>
      <c r="L404" t="n">
        <v>0</v>
      </c>
      <c r="M404" t="n">
        <v>0</v>
      </c>
      <c r="N404" t="n">
        <v>0</v>
      </c>
      <c r="O404" t="n">
        <v>0</v>
      </c>
      <c r="P404" t="n">
        <v>0</v>
      </c>
      <c r="Q404" t="n">
        <v>0</v>
      </c>
      <c r="R404" s="2" t="inlineStr"/>
    </row>
    <row r="405" ht="15" customHeight="1">
      <c r="A405" t="inlineStr">
        <is>
          <t>A 54677-2025</t>
        </is>
      </c>
      <c r="B405" s="1" t="n">
        <v>45966</v>
      </c>
      <c r="C405" s="1" t="n">
        <v>45982</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36540-2025</t>
        </is>
      </c>
      <c r="B406" s="1" t="n">
        <v>45869.63885416667</v>
      </c>
      <c r="C406" s="1" t="n">
        <v>45982</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54914-2024</t>
        </is>
      </c>
      <c r="B407" s="1" t="n">
        <v>45618.69380787037</v>
      </c>
      <c r="C407" s="1" t="n">
        <v>45982</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39921-2024</t>
        </is>
      </c>
      <c r="B408" s="1" t="n">
        <v>45553</v>
      </c>
      <c r="C408" s="1" t="n">
        <v>45982</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47068-2025</t>
        </is>
      </c>
      <c r="B409" s="1" t="n">
        <v>45929.63511574074</v>
      </c>
      <c r="C409" s="1" t="n">
        <v>45982</v>
      </c>
      <c r="D409" t="inlineStr">
        <is>
          <t>DALARNAS LÄN</t>
        </is>
      </c>
      <c r="E409" t="inlineStr">
        <is>
          <t>LEKSAND</t>
        </is>
      </c>
      <c r="G409" t="n">
        <v>3.4</v>
      </c>
      <c r="H409" t="n">
        <v>0</v>
      </c>
      <c r="I409" t="n">
        <v>0</v>
      </c>
      <c r="J409" t="n">
        <v>0</v>
      </c>
      <c r="K409" t="n">
        <v>0</v>
      </c>
      <c r="L409" t="n">
        <v>0</v>
      </c>
      <c r="M409" t="n">
        <v>0</v>
      </c>
      <c r="N409" t="n">
        <v>0</v>
      </c>
      <c r="O409" t="n">
        <v>0</v>
      </c>
      <c r="P409" t="n">
        <v>0</v>
      </c>
      <c r="Q409" t="n">
        <v>0</v>
      </c>
      <c r="R409" s="2" t="inlineStr"/>
    </row>
    <row r="410" ht="15" customHeight="1">
      <c r="A410" t="inlineStr">
        <is>
          <t>A 55493-2025</t>
        </is>
      </c>
      <c r="B410" s="1" t="n">
        <v>45971.57913194445</v>
      </c>
      <c r="C410" s="1" t="n">
        <v>45982</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58244-2024</t>
        </is>
      </c>
      <c r="B411" s="1" t="n">
        <v>45631</v>
      </c>
      <c r="C411" s="1" t="n">
        <v>45982</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61546-2021</t>
        </is>
      </c>
      <c r="B412" s="1" t="n">
        <v>44501</v>
      </c>
      <c r="C412" s="1" t="n">
        <v>45982</v>
      </c>
      <c r="D412" t="inlineStr">
        <is>
          <t>DALARNAS LÄN</t>
        </is>
      </c>
      <c r="E412" t="inlineStr">
        <is>
          <t>LEKSAND</t>
        </is>
      </c>
      <c r="G412" t="n">
        <v>3</v>
      </c>
      <c r="H412" t="n">
        <v>0</v>
      </c>
      <c r="I412" t="n">
        <v>0</v>
      </c>
      <c r="J412" t="n">
        <v>0</v>
      </c>
      <c r="K412" t="n">
        <v>0</v>
      </c>
      <c r="L412" t="n">
        <v>0</v>
      </c>
      <c r="M412" t="n">
        <v>0</v>
      </c>
      <c r="N412" t="n">
        <v>0</v>
      </c>
      <c r="O412" t="n">
        <v>0</v>
      </c>
      <c r="P412" t="n">
        <v>0</v>
      </c>
      <c r="Q412" t="n">
        <v>0</v>
      </c>
      <c r="R412" s="2" t="inlineStr"/>
    </row>
    <row r="413" ht="15" customHeight="1">
      <c r="A413" t="inlineStr">
        <is>
          <t>A 46949-2025</t>
        </is>
      </c>
      <c r="B413" s="1" t="n">
        <v>45929.46811342592</v>
      </c>
      <c r="C413" s="1" t="n">
        <v>45982</v>
      </c>
      <c r="D413" t="inlineStr">
        <is>
          <t>DALARNAS LÄN</t>
        </is>
      </c>
      <c r="E413" t="inlineStr">
        <is>
          <t>LEKSAND</t>
        </is>
      </c>
      <c r="G413" t="n">
        <v>5</v>
      </c>
      <c r="H413" t="n">
        <v>0</v>
      </c>
      <c r="I413" t="n">
        <v>0</v>
      </c>
      <c r="J413" t="n">
        <v>0</v>
      </c>
      <c r="K413" t="n">
        <v>0</v>
      </c>
      <c r="L413" t="n">
        <v>0</v>
      </c>
      <c r="M413" t="n">
        <v>0</v>
      </c>
      <c r="N413" t="n">
        <v>0</v>
      </c>
      <c r="O413" t="n">
        <v>0</v>
      </c>
      <c r="P413" t="n">
        <v>0</v>
      </c>
      <c r="Q413" t="n">
        <v>0</v>
      </c>
      <c r="R413" s="2" t="inlineStr"/>
    </row>
    <row r="414" ht="15" customHeight="1">
      <c r="A414" t="inlineStr">
        <is>
          <t>A 41046-2024</t>
        </is>
      </c>
      <c r="B414" s="1" t="n">
        <v>45559.36677083333</v>
      </c>
      <c r="C414" s="1" t="n">
        <v>45982</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51677-2024</t>
        </is>
      </c>
      <c r="B415" s="1" t="n">
        <v>45607.30265046296</v>
      </c>
      <c r="C415" s="1" t="n">
        <v>45982</v>
      </c>
      <c r="D415" t="inlineStr">
        <is>
          <t>DALARNAS LÄN</t>
        </is>
      </c>
      <c r="E415" t="inlineStr">
        <is>
          <t>LEKSAND</t>
        </is>
      </c>
      <c r="G415" t="n">
        <v>3.4</v>
      </c>
      <c r="H415" t="n">
        <v>0</v>
      </c>
      <c r="I415" t="n">
        <v>0</v>
      </c>
      <c r="J415" t="n">
        <v>0</v>
      </c>
      <c r="K415" t="n">
        <v>0</v>
      </c>
      <c r="L415" t="n">
        <v>0</v>
      </c>
      <c r="M415" t="n">
        <v>0</v>
      </c>
      <c r="N415" t="n">
        <v>0</v>
      </c>
      <c r="O415" t="n">
        <v>0</v>
      </c>
      <c r="P415" t="n">
        <v>0</v>
      </c>
      <c r="Q415" t="n">
        <v>0</v>
      </c>
      <c r="R415" s="2" t="inlineStr"/>
    </row>
    <row r="416" ht="15" customHeight="1">
      <c r="A416" t="inlineStr">
        <is>
          <t>A 27317-2021</t>
        </is>
      </c>
      <c r="B416" s="1" t="n">
        <v>44351</v>
      </c>
      <c r="C416" s="1" t="n">
        <v>45982</v>
      </c>
      <c r="D416" t="inlineStr">
        <is>
          <t>DALARNAS LÄN</t>
        </is>
      </c>
      <c r="E416" t="inlineStr">
        <is>
          <t>LEKSAND</t>
        </is>
      </c>
      <c r="G416" t="n">
        <v>1</v>
      </c>
      <c r="H416" t="n">
        <v>0</v>
      </c>
      <c r="I416" t="n">
        <v>0</v>
      </c>
      <c r="J416" t="n">
        <v>0</v>
      </c>
      <c r="K416" t="n">
        <v>0</v>
      </c>
      <c r="L416" t="n">
        <v>0</v>
      </c>
      <c r="M416" t="n">
        <v>0</v>
      </c>
      <c r="N416" t="n">
        <v>0</v>
      </c>
      <c r="O416" t="n">
        <v>0</v>
      </c>
      <c r="P416" t="n">
        <v>0</v>
      </c>
      <c r="Q416" t="n">
        <v>0</v>
      </c>
      <c r="R416" s="2" t="inlineStr"/>
    </row>
    <row r="417" ht="15" customHeight="1">
      <c r="A417" t="inlineStr">
        <is>
          <t>A 46978-2025</t>
        </is>
      </c>
      <c r="B417" s="1" t="n">
        <v>45929.51811342593</v>
      </c>
      <c r="C417" s="1" t="n">
        <v>45982</v>
      </c>
      <c r="D417" t="inlineStr">
        <is>
          <t>DALARNAS LÄN</t>
        </is>
      </c>
      <c r="E417" t="inlineStr">
        <is>
          <t>LEKSAND</t>
        </is>
      </c>
      <c r="G417" t="n">
        <v>2</v>
      </c>
      <c r="H417" t="n">
        <v>0</v>
      </c>
      <c r="I417" t="n">
        <v>0</v>
      </c>
      <c r="J417" t="n">
        <v>0</v>
      </c>
      <c r="K417" t="n">
        <v>0</v>
      </c>
      <c r="L417" t="n">
        <v>0</v>
      </c>
      <c r="M417" t="n">
        <v>0</v>
      </c>
      <c r="N417" t="n">
        <v>0</v>
      </c>
      <c r="O417" t="n">
        <v>0</v>
      </c>
      <c r="P417" t="n">
        <v>0</v>
      </c>
      <c r="Q417" t="n">
        <v>0</v>
      </c>
      <c r="R417" s="2" t="inlineStr"/>
    </row>
    <row r="418" ht="15" customHeight="1">
      <c r="A418" t="inlineStr">
        <is>
          <t>A 16005-2025</t>
        </is>
      </c>
      <c r="B418" s="1" t="n">
        <v>45749.59765046297</v>
      </c>
      <c r="C418" s="1" t="n">
        <v>45982</v>
      </c>
      <c r="D418" t="inlineStr">
        <is>
          <t>DALARNAS LÄN</t>
        </is>
      </c>
      <c r="E418" t="inlineStr">
        <is>
          <t>LEKSAND</t>
        </is>
      </c>
      <c r="G418" t="n">
        <v>2.1</v>
      </c>
      <c r="H418" t="n">
        <v>0</v>
      </c>
      <c r="I418" t="n">
        <v>0</v>
      </c>
      <c r="J418" t="n">
        <v>0</v>
      </c>
      <c r="K418" t="n">
        <v>0</v>
      </c>
      <c r="L418" t="n">
        <v>0</v>
      </c>
      <c r="M418" t="n">
        <v>0</v>
      </c>
      <c r="N418" t="n">
        <v>0</v>
      </c>
      <c r="O418" t="n">
        <v>0</v>
      </c>
      <c r="P418" t="n">
        <v>0</v>
      </c>
      <c r="Q418" t="n">
        <v>0</v>
      </c>
      <c r="R418" s="2" t="inlineStr"/>
    </row>
    <row r="419" ht="15" customHeight="1">
      <c r="A419" t="inlineStr">
        <is>
          <t>A 12923-2025</t>
        </is>
      </c>
      <c r="B419" s="1" t="n">
        <v>45734.29193287037</v>
      </c>
      <c r="C419" s="1" t="n">
        <v>45982</v>
      </c>
      <c r="D419" t="inlineStr">
        <is>
          <t>DALARNAS LÄN</t>
        </is>
      </c>
      <c r="E419" t="inlineStr">
        <is>
          <t>LEKSAND</t>
        </is>
      </c>
      <c r="G419" t="n">
        <v>7.2</v>
      </c>
      <c r="H419" t="n">
        <v>0</v>
      </c>
      <c r="I419" t="n">
        <v>0</v>
      </c>
      <c r="J419" t="n">
        <v>0</v>
      </c>
      <c r="K419" t="n">
        <v>0</v>
      </c>
      <c r="L419" t="n">
        <v>0</v>
      </c>
      <c r="M419" t="n">
        <v>0</v>
      </c>
      <c r="N419" t="n">
        <v>0</v>
      </c>
      <c r="O419" t="n">
        <v>0</v>
      </c>
      <c r="P419" t="n">
        <v>0</v>
      </c>
      <c r="Q419" t="n">
        <v>0</v>
      </c>
      <c r="R419" s="2" t="inlineStr"/>
    </row>
    <row r="420" ht="15" customHeight="1">
      <c r="A420" t="inlineStr">
        <is>
          <t>A 5738-2023</t>
        </is>
      </c>
      <c r="B420" s="1" t="n">
        <v>44962</v>
      </c>
      <c r="C420" s="1" t="n">
        <v>45982</v>
      </c>
      <c r="D420" t="inlineStr">
        <is>
          <t>DALARNAS LÄN</t>
        </is>
      </c>
      <c r="E420" t="inlineStr">
        <is>
          <t>LEKSAND</t>
        </is>
      </c>
      <c r="G420" t="n">
        <v>0.2</v>
      </c>
      <c r="H420" t="n">
        <v>0</v>
      </c>
      <c r="I420" t="n">
        <v>0</v>
      </c>
      <c r="J420" t="n">
        <v>0</v>
      </c>
      <c r="K420" t="n">
        <v>0</v>
      </c>
      <c r="L420" t="n">
        <v>0</v>
      </c>
      <c r="M420" t="n">
        <v>0</v>
      </c>
      <c r="N420" t="n">
        <v>0</v>
      </c>
      <c r="O420" t="n">
        <v>0</v>
      </c>
      <c r="P420" t="n">
        <v>0</v>
      </c>
      <c r="Q420" t="n">
        <v>0</v>
      </c>
      <c r="R420" s="2" t="inlineStr"/>
    </row>
    <row r="421" ht="15" customHeight="1">
      <c r="A421" t="inlineStr">
        <is>
          <t>A 164-2023</t>
        </is>
      </c>
      <c r="B421" s="1" t="n">
        <v>44918</v>
      </c>
      <c r="C421" s="1" t="n">
        <v>45982</v>
      </c>
      <c r="D421" t="inlineStr">
        <is>
          <t>DALARNAS LÄN</t>
        </is>
      </c>
      <c r="E421" t="inlineStr">
        <is>
          <t>LEKSAND</t>
        </is>
      </c>
      <c r="G421" t="n">
        <v>0.7</v>
      </c>
      <c r="H421" t="n">
        <v>0</v>
      </c>
      <c r="I421" t="n">
        <v>0</v>
      </c>
      <c r="J421" t="n">
        <v>0</v>
      </c>
      <c r="K421" t="n">
        <v>0</v>
      </c>
      <c r="L421" t="n">
        <v>0</v>
      </c>
      <c r="M421" t="n">
        <v>0</v>
      </c>
      <c r="N421" t="n">
        <v>0</v>
      </c>
      <c r="O421" t="n">
        <v>0</v>
      </c>
      <c r="P421" t="n">
        <v>0</v>
      </c>
      <c r="Q421" t="n">
        <v>0</v>
      </c>
      <c r="R421" s="2" t="inlineStr"/>
    </row>
    <row r="422" ht="15" customHeight="1">
      <c r="A422" t="inlineStr">
        <is>
          <t>A 8940-2023</t>
        </is>
      </c>
      <c r="B422" s="1" t="n">
        <v>44974</v>
      </c>
      <c r="C422" s="1" t="n">
        <v>45982</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45982</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37508-2025</t>
        </is>
      </c>
      <c r="B424" s="1" t="n">
        <v>45877.66282407408</v>
      </c>
      <c r="C424" s="1" t="n">
        <v>45982</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1458-2024</t>
        </is>
      </c>
      <c r="B425" s="1" t="n">
        <v>45303</v>
      </c>
      <c r="C425" s="1" t="n">
        <v>45982</v>
      </c>
      <c r="D425" t="inlineStr">
        <is>
          <t>DALARNAS LÄN</t>
        </is>
      </c>
      <c r="E425" t="inlineStr">
        <is>
          <t>LEKSAND</t>
        </is>
      </c>
      <c r="G425" t="n">
        <v>2</v>
      </c>
      <c r="H425" t="n">
        <v>0</v>
      </c>
      <c r="I425" t="n">
        <v>0</v>
      </c>
      <c r="J425" t="n">
        <v>0</v>
      </c>
      <c r="K425" t="n">
        <v>0</v>
      </c>
      <c r="L425" t="n">
        <v>0</v>
      </c>
      <c r="M425" t="n">
        <v>0</v>
      </c>
      <c r="N425" t="n">
        <v>0</v>
      </c>
      <c r="O425" t="n">
        <v>0</v>
      </c>
      <c r="P425" t="n">
        <v>0</v>
      </c>
      <c r="Q425" t="n">
        <v>0</v>
      </c>
      <c r="R425" s="2" t="inlineStr"/>
    </row>
    <row r="426" ht="15" customHeight="1">
      <c r="A426" t="inlineStr">
        <is>
          <t>A 1461-2024</t>
        </is>
      </c>
      <c r="B426" s="1" t="n">
        <v>45303</v>
      </c>
      <c r="C426" s="1" t="n">
        <v>45982</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55784-2025</t>
        </is>
      </c>
      <c r="B427" s="1" t="n">
        <v>45972.63765046297</v>
      </c>
      <c r="C427" s="1" t="n">
        <v>45982</v>
      </c>
      <c r="D427" t="inlineStr">
        <is>
          <t>DALARNAS LÄN</t>
        </is>
      </c>
      <c r="E427" t="inlineStr">
        <is>
          <t>LEKSAND</t>
        </is>
      </c>
      <c r="G427" t="n">
        <v>1.5</v>
      </c>
      <c r="H427" t="n">
        <v>0</v>
      </c>
      <c r="I427" t="n">
        <v>0</v>
      </c>
      <c r="J427" t="n">
        <v>0</v>
      </c>
      <c r="K427" t="n">
        <v>0</v>
      </c>
      <c r="L427" t="n">
        <v>0</v>
      </c>
      <c r="M427" t="n">
        <v>0</v>
      </c>
      <c r="N427" t="n">
        <v>0</v>
      </c>
      <c r="O427" t="n">
        <v>0</v>
      </c>
      <c r="P427" t="n">
        <v>0</v>
      </c>
      <c r="Q427" t="n">
        <v>0</v>
      </c>
      <c r="R427" s="2" t="inlineStr"/>
    </row>
    <row r="428" ht="15" customHeight="1">
      <c r="A428" t="inlineStr">
        <is>
          <t>A 38001-2023</t>
        </is>
      </c>
      <c r="B428" s="1" t="n">
        <v>45160</v>
      </c>
      <c r="C428" s="1" t="n">
        <v>45982</v>
      </c>
      <c r="D428" t="inlineStr">
        <is>
          <t>DALARNAS LÄN</t>
        </is>
      </c>
      <c r="E428" t="inlineStr">
        <is>
          <t>LEKSAND</t>
        </is>
      </c>
      <c r="G428" t="n">
        <v>3.6</v>
      </c>
      <c r="H428" t="n">
        <v>0</v>
      </c>
      <c r="I428" t="n">
        <v>0</v>
      </c>
      <c r="J428" t="n">
        <v>0</v>
      </c>
      <c r="K428" t="n">
        <v>0</v>
      </c>
      <c r="L428" t="n">
        <v>0</v>
      </c>
      <c r="M428" t="n">
        <v>0</v>
      </c>
      <c r="N428" t="n">
        <v>0</v>
      </c>
      <c r="O428" t="n">
        <v>0</v>
      </c>
      <c r="P428" t="n">
        <v>0</v>
      </c>
      <c r="Q428" t="n">
        <v>0</v>
      </c>
      <c r="R428" s="2" t="inlineStr"/>
    </row>
    <row r="429" ht="15" customHeight="1">
      <c r="A429" t="inlineStr">
        <is>
          <t>A 47673-2023</t>
        </is>
      </c>
      <c r="B429" s="1" t="n">
        <v>45203</v>
      </c>
      <c r="C429" s="1" t="n">
        <v>45982</v>
      </c>
      <c r="D429" t="inlineStr">
        <is>
          <t>DALARNAS LÄN</t>
        </is>
      </c>
      <c r="E429" t="inlineStr">
        <is>
          <t>LEKSAND</t>
        </is>
      </c>
      <c r="G429" t="n">
        <v>2</v>
      </c>
      <c r="H429" t="n">
        <v>0</v>
      </c>
      <c r="I429" t="n">
        <v>0</v>
      </c>
      <c r="J429" t="n">
        <v>0</v>
      </c>
      <c r="K429" t="n">
        <v>0</v>
      </c>
      <c r="L429" t="n">
        <v>0</v>
      </c>
      <c r="M429" t="n">
        <v>0</v>
      </c>
      <c r="N429" t="n">
        <v>0</v>
      </c>
      <c r="O429" t="n">
        <v>0</v>
      </c>
      <c r="P429" t="n">
        <v>0</v>
      </c>
      <c r="Q429" t="n">
        <v>0</v>
      </c>
      <c r="R429" s="2" t="inlineStr"/>
    </row>
    <row r="430" ht="15" customHeight="1">
      <c r="A430" t="inlineStr">
        <is>
          <t>A 54789-2025</t>
        </is>
      </c>
      <c r="B430" s="1" t="n">
        <v>45966</v>
      </c>
      <c r="C430" s="1" t="n">
        <v>45982</v>
      </c>
      <c r="D430" t="inlineStr">
        <is>
          <t>DALARNAS LÄN</t>
        </is>
      </c>
      <c r="E430" t="inlineStr">
        <is>
          <t>LEKSAND</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19820-2024</t>
        </is>
      </c>
      <c r="B431" s="1" t="n">
        <v>45433.33907407407</v>
      </c>
      <c r="C431" s="1" t="n">
        <v>45982</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19823-2024</t>
        </is>
      </c>
      <c r="B432" s="1" t="n">
        <v>45433.34469907408</v>
      </c>
      <c r="C432" s="1" t="n">
        <v>45982</v>
      </c>
      <c r="D432" t="inlineStr">
        <is>
          <t>DALARNAS LÄN</t>
        </is>
      </c>
      <c r="E432" t="inlineStr">
        <is>
          <t>LEKSAND</t>
        </is>
      </c>
      <c r="G432" t="n">
        <v>0.3</v>
      </c>
      <c r="H432" t="n">
        <v>0</v>
      </c>
      <c r="I432" t="n">
        <v>0</v>
      </c>
      <c r="J432" t="n">
        <v>0</v>
      </c>
      <c r="K432" t="n">
        <v>0</v>
      </c>
      <c r="L432" t="n">
        <v>0</v>
      </c>
      <c r="M432" t="n">
        <v>0</v>
      </c>
      <c r="N432" t="n">
        <v>0</v>
      </c>
      <c r="O432" t="n">
        <v>0</v>
      </c>
      <c r="P432" t="n">
        <v>0</v>
      </c>
      <c r="Q432" t="n">
        <v>0</v>
      </c>
      <c r="R432" s="2" t="inlineStr"/>
    </row>
    <row r="433" ht="15" customHeight="1">
      <c r="A433" t="inlineStr">
        <is>
          <t>A 7653-2025</t>
        </is>
      </c>
      <c r="B433" s="1" t="n">
        <v>45705.95238425926</v>
      </c>
      <c r="C433" s="1" t="n">
        <v>45982</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6039-2023</t>
        </is>
      </c>
      <c r="B434" s="1" t="n">
        <v>44959</v>
      </c>
      <c r="C434" s="1" t="n">
        <v>45982</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6758-2024</t>
        </is>
      </c>
      <c r="B435" s="1" t="n">
        <v>45342.46857638889</v>
      </c>
      <c r="C435" s="1" t="n">
        <v>45982</v>
      </c>
      <c r="D435" t="inlineStr">
        <is>
          <t>DALARNAS LÄN</t>
        </is>
      </c>
      <c r="E435" t="inlineStr">
        <is>
          <t>LEKSAND</t>
        </is>
      </c>
      <c r="F435" t="inlineStr">
        <is>
          <t>Bergvik skog väst AB</t>
        </is>
      </c>
      <c r="G435" t="n">
        <v>6.2</v>
      </c>
      <c r="H435" t="n">
        <v>0</v>
      </c>
      <c r="I435" t="n">
        <v>0</v>
      </c>
      <c r="J435" t="n">
        <v>0</v>
      </c>
      <c r="K435" t="n">
        <v>0</v>
      </c>
      <c r="L435" t="n">
        <v>0</v>
      </c>
      <c r="M435" t="n">
        <v>0</v>
      </c>
      <c r="N435" t="n">
        <v>0</v>
      </c>
      <c r="O435" t="n">
        <v>0</v>
      </c>
      <c r="P435" t="n">
        <v>0</v>
      </c>
      <c r="Q435" t="n">
        <v>0</v>
      </c>
      <c r="R435" s="2" t="inlineStr"/>
    </row>
    <row r="436" ht="15" customHeight="1">
      <c r="A436" t="inlineStr">
        <is>
          <t>A 4257-2022</t>
        </is>
      </c>
      <c r="B436" s="1" t="n">
        <v>44588</v>
      </c>
      <c r="C436" s="1" t="n">
        <v>45982</v>
      </c>
      <c r="D436" t="inlineStr">
        <is>
          <t>DALARNAS LÄN</t>
        </is>
      </c>
      <c r="E436" t="inlineStr">
        <is>
          <t>LEKSAND</t>
        </is>
      </c>
      <c r="G436" t="n">
        <v>6.8</v>
      </c>
      <c r="H436" t="n">
        <v>0</v>
      </c>
      <c r="I436" t="n">
        <v>0</v>
      </c>
      <c r="J436" t="n">
        <v>0</v>
      </c>
      <c r="K436" t="n">
        <v>0</v>
      </c>
      <c r="L436" t="n">
        <v>0</v>
      </c>
      <c r="M436" t="n">
        <v>0</v>
      </c>
      <c r="N436" t="n">
        <v>0</v>
      </c>
      <c r="O436" t="n">
        <v>0</v>
      </c>
      <c r="P436" t="n">
        <v>0</v>
      </c>
      <c r="Q436" t="n">
        <v>0</v>
      </c>
      <c r="R436" s="2" t="inlineStr"/>
    </row>
    <row r="437" ht="15" customHeight="1">
      <c r="A437" t="inlineStr">
        <is>
          <t>A 37996-2025</t>
        </is>
      </c>
      <c r="B437" s="1" t="n">
        <v>45881.8299537037</v>
      </c>
      <c r="C437" s="1" t="n">
        <v>45982</v>
      </c>
      <c r="D437" t="inlineStr">
        <is>
          <t>DALARNAS LÄN</t>
        </is>
      </c>
      <c r="E437" t="inlineStr">
        <is>
          <t>LEKSAND</t>
        </is>
      </c>
      <c r="G437" t="n">
        <v>4.2</v>
      </c>
      <c r="H437" t="n">
        <v>0</v>
      </c>
      <c r="I437" t="n">
        <v>0</v>
      </c>
      <c r="J437" t="n">
        <v>0</v>
      </c>
      <c r="K437" t="n">
        <v>0</v>
      </c>
      <c r="L437" t="n">
        <v>0</v>
      </c>
      <c r="M437" t="n">
        <v>0</v>
      </c>
      <c r="N437" t="n">
        <v>0</v>
      </c>
      <c r="O437" t="n">
        <v>0</v>
      </c>
      <c r="P437" t="n">
        <v>0</v>
      </c>
      <c r="Q437" t="n">
        <v>0</v>
      </c>
      <c r="R437" s="2" t="inlineStr"/>
    </row>
    <row r="438" ht="15" customHeight="1">
      <c r="A438" t="inlineStr">
        <is>
          <t>A 56623-2025</t>
        </is>
      </c>
      <c r="B438" s="1" t="n">
        <v>45975.60164351852</v>
      </c>
      <c r="C438" s="1" t="n">
        <v>45982</v>
      </c>
      <c r="D438" t="inlineStr">
        <is>
          <t>DALARNAS LÄN</t>
        </is>
      </c>
      <c r="E438" t="inlineStr">
        <is>
          <t>LEKSAND</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56514-2025</t>
        </is>
      </c>
      <c r="B439" s="1" t="n">
        <v>45975.45502314815</v>
      </c>
      <c r="C439" s="1" t="n">
        <v>45982</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56161-2025</t>
        </is>
      </c>
      <c r="B440" s="1" t="n">
        <v>45974.37554398148</v>
      </c>
      <c r="C440" s="1" t="n">
        <v>45982</v>
      </c>
      <c r="D440" t="inlineStr">
        <is>
          <t>DALARNAS LÄN</t>
        </is>
      </c>
      <c r="E440" t="inlineStr">
        <is>
          <t>LEKSAND</t>
        </is>
      </c>
      <c r="G440" t="n">
        <v>2</v>
      </c>
      <c r="H440" t="n">
        <v>0</v>
      </c>
      <c r="I440" t="n">
        <v>0</v>
      </c>
      <c r="J440" t="n">
        <v>0</v>
      </c>
      <c r="K440" t="n">
        <v>0</v>
      </c>
      <c r="L440" t="n">
        <v>0</v>
      </c>
      <c r="M440" t="n">
        <v>0</v>
      </c>
      <c r="N440" t="n">
        <v>0</v>
      </c>
      <c r="O440" t="n">
        <v>0</v>
      </c>
      <c r="P440" t="n">
        <v>0</v>
      </c>
      <c r="Q440" t="n">
        <v>0</v>
      </c>
      <c r="R440" s="2" t="inlineStr"/>
    </row>
    <row r="441" ht="15" customHeight="1">
      <c r="A441" t="inlineStr">
        <is>
          <t>A 28921-2023</t>
        </is>
      </c>
      <c r="B441" s="1" t="n">
        <v>45104</v>
      </c>
      <c r="C441" s="1" t="n">
        <v>45982</v>
      </c>
      <c r="D441" t="inlineStr">
        <is>
          <t>DALARNAS LÄN</t>
        </is>
      </c>
      <c r="E441" t="inlineStr">
        <is>
          <t>LEKSAND</t>
        </is>
      </c>
      <c r="G441" t="n">
        <v>4.4</v>
      </c>
      <c r="H441" t="n">
        <v>0</v>
      </c>
      <c r="I441" t="n">
        <v>0</v>
      </c>
      <c r="J441" t="n">
        <v>0</v>
      </c>
      <c r="K441" t="n">
        <v>0</v>
      </c>
      <c r="L441" t="n">
        <v>0</v>
      </c>
      <c r="M441" t="n">
        <v>0</v>
      </c>
      <c r="N441" t="n">
        <v>0</v>
      </c>
      <c r="O441" t="n">
        <v>0</v>
      </c>
      <c r="P441" t="n">
        <v>0</v>
      </c>
      <c r="Q441" t="n">
        <v>0</v>
      </c>
      <c r="R441" s="2" t="inlineStr"/>
    </row>
    <row r="442" ht="15" customHeight="1">
      <c r="A442" t="inlineStr">
        <is>
          <t>A 30998-2023</t>
        </is>
      </c>
      <c r="B442" s="1" t="n">
        <v>45113.54193287037</v>
      </c>
      <c r="C442" s="1" t="n">
        <v>45982</v>
      </c>
      <c r="D442" t="inlineStr">
        <is>
          <t>DALARNAS LÄN</t>
        </is>
      </c>
      <c r="E442" t="inlineStr">
        <is>
          <t>LEKSAND</t>
        </is>
      </c>
      <c r="G442" t="n">
        <v>0.5</v>
      </c>
      <c r="H442" t="n">
        <v>0</v>
      </c>
      <c r="I442" t="n">
        <v>0</v>
      </c>
      <c r="J442" t="n">
        <v>0</v>
      </c>
      <c r="K442" t="n">
        <v>0</v>
      </c>
      <c r="L442" t="n">
        <v>0</v>
      </c>
      <c r="M442" t="n">
        <v>0</v>
      </c>
      <c r="N442" t="n">
        <v>0</v>
      </c>
      <c r="O442" t="n">
        <v>0</v>
      </c>
      <c r="P442" t="n">
        <v>0</v>
      </c>
      <c r="Q442" t="n">
        <v>0</v>
      </c>
      <c r="R442" s="2" t="inlineStr"/>
    </row>
    <row r="443" ht="15" customHeight="1">
      <c r="A443" t="inlineStr">
        <is>
          <t>A 19296-2024</t>
        </is>
      </c>
      <c r="B443" s="1" t="n">
        <v>45428.69438657408</v>
      </c>
      <c r="C443" s="1" t="n">
        <v>45982</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56331-2025</t>
        </is>
      </c>
      <c r="B444" s="1" t="n">
        <v>45974.64157407408</v>
      </c>
      <c r="C444" s="1" t="n">
        <v>45982</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31254-2023</t>
        </is>
      </c>
      <c r="B445" s="1" t="n">
        <v>45114</v>
      </c>
      <c r="C445" s="1" t="n">
        <v>45982</v>
      </c>
      <c r="D445" t="inlineStr">
        <is>
          <t>DALARNAS LÄN</t>
        </is>
      </c>
      <c r="E445" t="inlineStr">
        <is>
          <t>LEKSAND</t>
        </is>
      </c>
      <c r="G445" t="n">
        <v>1.4</v>
      </c>
      <c r="H445" t="n">
        <v>0</v>
      </c>
      <c r="I445" t="n">
        <v>0</v>
      </c>
      <c r="J445" t="n">
        <v>0</v>
      </c>
      <c r="K445" t="n">
        <v>0</v>
      </c>
      <c r="L445" t="n">
        <v>0</v>
      </c>
      <c r="M445" t="n">
        <v>0</v>
      </c>
      <c r="N445" t="n">
        <v>0</v>
      </c>
      <c r="O445" t="n">
        <v>0</v>
      </c>
      <c r="P445" t="n">
        <v>0</v>
      </c>
      <c r="Q445" t="n">
        <v>0</v>
      </c>
      <c r="R445" s="2" t="inlineStr"/>
    </row>
    <row r="446" ht="15" customHeight="1">
      <c r="A446" t="inlineStr">
        <is>
          <t>A 47976-2025</t>
        </is>
      </c>
      <c r="B446" s="1" t="n">
        <v>45932.60846064815</v>
      </c>
      <c r="C446" s="1" t="n">
        <v>45982</v>
      </c>
      <c r="D446" t="inlineStr">
        <is>
          <t>DALARNAS LÄN</t>
        </is>
      </c>
      <c r="E446" t="inlineStr">
        <is>
          <t>LEKSAND</t>
        </is>
      </c>
      <c r="F446" t="inlineStr">
        <is>
          <t>Bergvik skog väst AB</t>
        </is>
      </c>
      <c r="G446" t="n">
        <v>0.3</v>
      </c>
      <c r="H446" t="n">
        <v>0</v>
      </c>
      <c r="I446" t="n">
        <v>0</v>
      </c>
      <c r="J446" t="n">
        <v>0</v>
      </c>
      <c r="K446" t="n">
        <v>0</v>
      </c>
      <c r="L446" t="n">
        <v>0</v>
      </c>
      <c r="M446" t="n">
        <v>0</v>
      </c>
      <c r="N446" t="n">
        <v>0</v>
      </c>
      <c r="O446" t="n">
        <v>0</v>
      </c>
      <c r="P446" t="n">
        <v>0</v>
      </c>
      <c r="Q446" t="n">
        <v>0</v>
      </c>
      <c r="R446" s="2" t="inlineStr"/>
    </row>
    <row r="447" ht="15" customHeight="1">
      <c r="A447" t="inlineStr">
        <is>
          <t>A 47977-2025</t>
        </is>
      </c>
      <c r="B447" s="1" t="n">
        <v>45932.60920138889</v>
      </c>
      <c r="C447" s="1" t="n">
        <v>45982</v>
      </c>
      <c r="D447" t="inlineStr">
        <is>
          <t>DALARNAS LÄN</t>
        </is>
      </c>
      <c r="E447" t="inlineStr">
        <is>
          <t>LEKSAND</t>
        </is>
      </c>
      <c r="F447" t="inlineStr">
        <is>
          <t>Bergvik skog väst AB</t>
        </is>
      </c>
      <c r="G447" t="n">
        <v>0.2</v>
      </c>
      <c r="H447" t="n">
        <v>0</v>
      </c>
      <c r="I447" t="n">
        <v>0</v>
      </c>
      <c r="J447" t="n">
        <v>0</v>
      </c>
      <c r="K447" t="n">
        <v>0</v>
      </c>
      <c r="L447" t="n">
        <v>0</v>
      </c>
      <c r="M447" t="n">
        <v>0</v>
      </c>
      <c r="N447" t="n">
        <v>0</v>
      </c>
      <c r="O447" t="n">
        <v>0</v>
      </c>
      <c r="P447" t="n">
        <v>0</v>
      </c>
      <c r="Q447" t="n">
        <v>0</v>
      </c>
      <c r="R447" s="2" t="inlineStr"/>
    </row>
    <row r="448" ht="15" customHeight="1">
      <c r="A448" t="inlineStr">
        <is>
          <t>A 23283-2024</t>
        </is>
      </c>
      <c r="B448" s="1" t="n">
        <v>45453</v>
      </c>
      <c r="C448" s="1" t="n">
        <v>45982</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39807-2024</t>
        </is>
      </c>
      <c r="B449" s="1" t="n">
        <v>45553.35763888889</v>
      </c>
      <c r="C449" s="1" t="n">
        <v>45982</v>
      </c>
      <c r="D449" t="inlineStr">
        <is>
          <t>DALARNAS LÄN</t>
        </is>
      </c>
      <c r="E449" t="inlineStr">
        <is>
          <t>LEKSAND</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38090-2025</t>
        </is>
      </c>
      <c r="B450" s="1" t="n">
        <v>45882.48440972222</v>
      </c>
      <c r="C450" s="1" t="n">
        <v>45982</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1463-2024</t>
        </is>
      </c>
      <c r="B451" s="1" t="n">
        <v>45303</v>
      </c>
      <c r="C451" s="1" t="n">
        <v>45982</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16611-2024</t>
        </is>
      </c>
      <c r="B452" s="1" t="n">
        <v>45408.55504629629</v>
      </c>
      <c r="C452" s="1" t="n">
        <v>45982</v>
      </c>
      <c r="D452" t="inlineStr">
        <is>
          <t>DALARNAS LÄN</t>
        </is>
      </c>
      <c r="E452" t="inlineStr">
        <is>
          <t>LEKSAND</t>
        </is>
      </c>
      <c r="G452" t="n">
        <v>5.9</v>
      </c>
      <c r="H452" t="n">
        <v>0</v>
      </c>
      <c r="I452" t="n">
        <v>0</v>
      </c>
      <c r="J452" t="n">
        <v>0</v>
      </c>
      <c r="K452" t="n">
        <v>0</v>
      </c>
      <c r="L452" t="n">
        <v>0</v>
      </c>
      <c r="M452" t="n">
        <v>0</v>
      </c>
      <c r="N452" t="n">
        <v>0</v>
      </c>
      <c r="O452" t="n">
        <v>0</v>
      </c>
      <c r="P452" t="n">
        <v>0</v>
      </c>
      <c r="Q452" t="n">
        <v>0</v>
      </c>
      <c r="R452" s="2" t="inlineStr"/>
    </row>
    <row r="453" ht="15" customHeight="1">
      <c r="A453" t="inlineStr">
        <is>
          <t>A 56517-2025</t>
        </is>
      </c>
      <c r="B453" s="1" t="n">
        <v>45975.45777777778</v>
      </c>
      <c r="C453" s="1" t="n">
        <v>45982</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45768-2023</t>
        </is>
      </c>
      <c r="B454" s="1" t="n">
        <v>45195</v>
      </c>
      <c r="C454" s="1" t="n">
        <v>45982</v>
      </c>
      <c r="D454" t="inlineStr">
        <is>
          <t>DALARNAS LÄN</t>
        </is>
      </c>
      <c r="E454" t="inlineStr">
        <is>
          <t>LEKSAND</t>
        </is>
      </c>
      <c r="G454" t="n">
        <v>0.4</v>
      </c>
      <c r="H454" t="n">
        <v>0</v>
      </c>
      <c r="I454" t="n">
        <v>0</v>
      </c>
      <c r="J454" t="n">
        <v>0</v>
      </c>
      <c r="K454" t="n">
        <v>0</v>
      </c>
      <c r="L454" t="n">
        <v>0</v>
      </c>
      <c r="M454" t="n">
        <v>0</v>
      </c>
      <c r="N454" t="n">
        <v>0</v>
      </c>
      <c r="O454" t="n">
        <v>0</v>
      </c>
      <c r="P454" t="n">
        <v>0</v>
      </c>
      <c r="Q454" t="n">
        <v>0</v>
      </c>
      <c r="R454" s="2" t="inlineStr"/>
    </row>
    <row r="455" ht="15" customHeight="1">
      <c r="A455" t="inlineStr">
        <is>
          <t>A 25025-2023</t>
        </is>
      </c>
      <c r="B455" s="1" t="n">
        <v>45085.92146990741</v>
      </c>
      <c r="C455" s="1" t="n">
        <v>45982</v>
      </c>
      <c r="D455" t="inlineStr">
        <is>
          <t>DALARNAS LÄN</t>
        </is>
      </c>
      <c r="E455" t="inlineStr">
        <is>
          <t>LEKSAND</t>
        </is>
      </c>
      <c r="G455" t="n">
        <v>3</v>
      </c>
      <c r="H455" t="n">
        <v>0</v>
      </c>
      <c r="I455" t="n">
        <v>0</v>
      </c>
      <c r="J455" t="n">
        <v>0</v>
      </c>
      <c r="K455" t="n">
        <v>0</v>
      </c>
      <c r="L455" t="n">
        <v>0</v>
      </c>
      <c r="M455" t="n">
        <v>0</v>
      </c>
      <c r="N455" t="n">
        <v>0</v>
      </c>
      <c r="O455" t="n">
        <v>0</v>
      </c>
      <c r="P455" t="n">
        <v>0</v>
      </c>
      <c r="Q455" t="n">
        <v>0</v>
      </c>
      <c r="R455" s="2" t="inlineStr"/>
    </row>
    <row r="456" ht="15" customHeight="1">
      <c r="A456" t="inlineStr">
        <is>
          <t>A 25038-2023</t>
        </is>
      </c>
      <c r="B456" s="1" t="n">
        <v>45085</v>
      </c>
      <c r="C456" s="1" t="n">
        <v>45982</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38498-2025</t>
        </is>
      </c>
      <c r="B457" s="1" t="n">
        <v>45884.3706712963</v>
      </c>
      <c r="C457" s="1" t="n">
        <v>45982</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11277-2025</t>
        </is>
      </c>
      <c r="B458" s="1" t="n">
        <v>45726.41565972222</v>
      </c>
      <c r="C458" s="1" t="n">
        <v>45982</v>
      </c>
      <c r="D458" t="inlineStr">
        <is>
          <t>DALARNAS LÄN</t>
        </is>
      </c>
      <c r="E458" t="inlineStr">
        <is>
          <t>LEKSAND</t>
        </is>
      </c>
      <c r="G458" t="n">
        <v>2</v>
      </c>
      <c r="H458" t="n">
        <v>0</v>
      </c>
      <c r="I458" t="n">
        <v>0</v>
      </c>
      <c r="J458" t="n">
        <v>0</v>
      </c>
      <c r="K458" t="n">
        <v>0</v>
      </c>
      <c r="L458" t="n">
        <v>0</v>
      </c>
      <c r="M458" t="n">
        <v>0</v>
      </c>
      <c r="N458" t="n">
        <v>0</v>
      </c>
      <c r="O458" t="n">
        <v>0</v>
      </c>
      <c r="P458" t="n">
        <v>0</v>
      </c>
      <c r="Q458" t="n">
        <v>0</v>
      </c>
      <c r="R458" s="2" t="inlineStr"/>
    </row>
    <row r="459" ht="15" customHeight="1">
      <c r="A459" t="inlineStr">
        <is>
          <t>A 56960-2025</t>
        </is>
      </c>
      <c r="B459" s="1" t="n">
        <v>45978.65903935185</v>
      </c>
      <c r="C459" s="1" t="n">
        <v>45982</v>
      </c>
      <c r="D459" t="inlineStr">
        <is>
          <t>DALARNAS LÄN</t>
        </is>
      </c>
      <c r="E459" t="inlineStr">
        <is>
          <t>LEKSAND</t>
        </is>
      </c>
      <c r="G459" t="n">
        <v>3.1</v>
      </c>
      <c r="H459" t="n">
        <v>0</v>
      </c>
      <c r="I459" t="n">
        <v>0</v>
      </c>
      <c r="J459" t="n">
        <v>0</v>
      </c>
      <c r="K459" t="n">
        <v>0</v>
      </c>
      <c r="L459" t="n">
        <v>0</v>
      </c>
      <c r="M459" t="n">
        <v>0</v>
      </c>
      <c r="N459" t="n">
        <v>0</v>
      </c>
      <c r="O459" t="n">
        <v>0</v>
      </c>
      <c r="P459" t="n">
        <v>0</v>
      </c>
      <c r="Q459" t="n">
        <v>0</v>
      </c>
      <c r="R459" s="2" t="inlineStr"/>
    </row>
    <row r="460" ht="15" customHeight="1">
      <c r="A460" t="inlineStr">
        <is>
          <t>A 5570-2024</t>
        </is>
      </c>
      <c r="B460" s="1" t="n">
        <v>45334</v>
      </c>
      <c r="C460" s="1" t="n">
        <v>45982</v>
      </c>
      <c r="D460" t="inlineStr">
        <is>
          <t>DALARNAS LÄN</t>
        </is>
      </c>
      <c r="E460" t="inlineStr">
        <is>
          <t>LEKSAND</t>
        </is>
      </c>
      <c r="G460" t="n">
        <v>0.3</v>
      </c>
      <c r="H460" t="n">
        <v>0</v>
      </c>
      <c r="I460" t="n">
        <v>0</v>
      </c>
      <c r="J460" t="n">
        <v>0</v>
      </c>
      <c r="K460" t="n">
        <v>0</v>
      </c>
      <c r="L460" t="n">
        <v>0</v>
      </c>
      <c r="M460" t="n">
        <v>0</v>
      </c>
      <c r="N460" t="n">
        <v>0</v>
      </c>
      <c r="O460" t="n">
        <v>0</v>
      </c>
      <c r="P460" t="n">
        <v>0</v>
      </c>
      <c r="Q460" t="n">
        <v>0</v>
      </c>
      <c r="R460" s="2" t="inlineStr"/>
    </row>
    <row r="461" ht="15" customHeight="1">
      <c r="A461" t="inlineStr">
        <is>
          <t>A 54917-2024</t>
        </is>
      </c>
      <c r="B461" s="1" t="n">
        <v>45618.69581018519</v>
      </c>
      <c r="C461" s="1" t="n">
        <v>45982</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11403-2023</t>
        </is>
      </c>
      <c r="B462" s="1" t="n">
        <v>44993</v>
      </c>
      <c r="C462" s="1" t="n">
        <v>45982</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57223-2025</t>
        </is>
      </c>
      <c r="B463" s="1" t="n">
        <v>45979.61486111111</v>
      </c>
      <c r="C463" s="1" t="n">
        <v>45982</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48421-2025</t>
        </is>
      </c>
      <c r="B464" s="1" t="n">
        <v>45934.67564814815</v>
      </c>
      <c r="C464" s="1" t="n">
        <v>45982</v>
      </c>
      <c r="D464" t="inlineStr">
        <is>
          <t>DALARNAS LÄN</t>
        </is>
      </c>
      <c r="E464" t="inlineStr">
        <is>
          <t>LEKSAND</t>
        </is>
      </c>
      <c r="G464" t="n">
        <v>2.2</v>
      </c>
      <c r="H464" t="n">
        <v>0</v>
      </c>
      <c r="I464" t="n">
        <v>0</v>
      </c>
      <c r="J464" t="n">
        <v>0</v>
      </c>
      <c r="K464" t="n">
        <v>0</v>
      </c>
      <c r="L464" t="n">
        <v>0</v>
      </c>
      <c r="M464" t="n">
        <v>0</v>
      </c>
      <c r="N464" t="n">
        <v>0</v>
      </c>
      <c r="O464" t="n">
        <v>0</v>
      </c>
      <c r="P464" t="n">
        <v>0</v>
      </c>
      <c r="Q464" t="n">
        <v>0</v>
      </c>
      <c r="R464" s="2" t="inlineStr"/>
    </row>
    <row r="465" ht="15" customHeight="1">
      <c r="A465" t="inlineStr">
        <is>
          <t>A 60129-2023</t>
        </is>
      </c>
      <c r="B465" s="1" t="n">
        <v>45258.49056712963</v>
      </c>
      <c r="C465" s="1" t="n">
        <v>45982</v>
      </c>
      <c r="D465" t="inlineStr">
        <is>
          <t>DALARNAS LÄN</t>
        </is>
      </c>
      <c r="E465" t="inlineStr">
        <is>
          <t>LEKSAND</t>
        </is>
      </c>
      <c r="F465" t="inlineStr">
        <is>
          <t>Bergvik skog väst AB</t>
        </is>
      </c>
      <c r="G465" t="n">
        <v>1.5</v>
      </c>
      <c r="H465" t="n">
        <v>0</v>
      </c>
      <c r="I465" t="n">
        <v>0</v>
      </c>
      <c r="J465" t="n">
        <v>0</v>
      </c>
      <c r="K465" t="n">
        <v>0</v>
      </c>
      <c r="L465" t="n">
        <v>0</v>
      </c>
      <c r="M465" t="n">
        <v>0</v>
      </c>
      <c r="N465" t="n">
        <v>0</v>
      </c>
      <c r="O465" t="n">
        <v>0</v>
      </c>
      <c r="P465" t="n">
        <v>0</v>
      </c>
      <c r="Q465" t="n">
        <v>0</v>
      </c>
      <c r="R465" s="2" t="inlineStr"/>
    </row>
    <row r="466" ht="15" customHeight="1">
      <c r="A466" t="inlineStr">
        <is>
          <t>A 57267-2025</t>
        </is>
      </c>
      <c r="B466" s="1" t="n">
        <v>45979.67476851852</v>
      </c>
      <c r="C466" s="1" t="n">
        <v>45982</v>
      </c>
      <c r="D466" t="inlineStr">
        <is>
          <t>DALARNAS LÄN</t>
        </is>
      </c>
      <c r="E466" t="inlineStr">
        <is>
          <t>LEKSAND</t>
        </is>
      </c>
      <c r="G466" t="n">
        <v>1.9</v>
      </c>
      <c r="H466" t="n">
        <v>0</v>
      </c>
      <c r="I466" t="n">
        <v>0</v>
      </c>
      <c r="J466" t="n">
        <v>0</v>
      </c>
      <c r="K466" t="n">
        <v>0</v>
      </c>
      <c r="L466" t="n">
        <v>0</v>
      </c>
      <c r="M466" t="n">
        <v>0</v>
      </c>
      <c r="N466" t="n">
        <v>0</v>
      </c>
      <c r="O466" t="n">
        <v>0</v>
      </c>
      <c r="P466" t="n">
        <v>0</v>
      </c>
      <c r="Q466" t="n">
        <v>0</v>
      </c>
      <c r="R466" s="2" t="inlineStr"/>
    </row>
    <row r="467" ht="15" customHeight="1">
      <c r="A467" t="inlineStr">
        <is>
          <t>A 48829-2025</t>
        </is>
      </c>
      <c r="B467" s="1" t="n">
        <v>45936</v>
      </c>
      <c r="C467" s="1" t="n">
        <v>45982</v>
      </c>
      <c r="D467" t="inlineStr">
        <is>
          <t>DALARNAS LÄN</t>
        </is>
      </c>
      <c r="E467" t="inlineStr">
        <is>
          <t>LEKSAND</t>
        </is>
      </c>
      <c r="G467" t="n">
        <v>1.9</v>
      </c>
      <c r="H467" t="n">
        <v>0</v>
      </c>
      <c r="I467" t="n">
        <v>0</v>
      </c>
      <c r="J467" t="n">
        <v>0</v>
      </c>
      <c r="K467" t="n">
        <v>0</v>
      </c>
      <c r="L467" t="n">
        <v>0</v>
      </c>
      <c r="M467" t="n">
        <v>0</v>
      </c>
      <c r="N467" t="n">
        <v>0</v>
      </c>
      <c r="O467" t="n">
        <v>0</v>
      </c>
      <c r="P467" t="n">
        <v>0</v>
      </c>
      <c r="Q467" t="n">
        <v>0</v>
      </c>
      <c r="R467" s="2" t="inlineStr"/>
    </row>
    <row r="468" ht="15" customHeight="1">
      <c r="A468" t="inlineStr">
        <is>
          <t>A 57930-2024</t>
        </is>
      </c>
      <c r="B468" s="1" t="n">
        <v>45630</v>
      </c>
      <c r="C468" s="1" t="n">
        <v>45982</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3737-2023</t>
        </is>
      </c>
      <c r="B469" s="1" t="n">
        <v>44951.42983796296</v>
      </c>
      <c r="C469" s="1" t="n">
        <v>45982</v>
      </c>
      <c r="D469" t="inlineStr">
        <is>
          <t>DALARNAS LÄN</t>
        </is>
      </c>
      <c r="E469" t="inlineStr">
        <is>
          <t>LEKSAND</t>
        </is>
      </c>
      <c r="G469" t="n">
        <v>3.1</v>
      </c>
      <c r="H469" t="n">
        <v>0</v>
      </c>
      <c r="I469" t="n">
        <v>0</v>
      </c>
      <c r="J469" t="n">
        <v>0</v>
      </c>
      <c r="K469" t="n">
        <v>0</v>
      </c>
      <c r="L469" t="n">
        <v>0</v>
      </c>
      <c r="M469" t="n">
        <v>0</v>
      </c>
      <c r="N469" t="n">
        <v>0</v>
      </c>
      <c r="O469" t="n">
        <v>0</v>
      </c>
      <c r="P469" t="n">
        <v>0</v>
      </c>
      <c r="Q469" t="n">
        <v>0</v>
      </c>
      <c r="R469" s="2" t="inlineStr"/>
    </row>
    <row r="470" ht="15" customHeight="1">
      <c r="A470" t="inlineStr">
        <is>
          <t>A 43237-2024</t>
        </is>
      </c>
      <c r="B470" s="1" t="n">
        <v>45567</v>
      </c>
      <c r="C470" s="1" t="n">
        <v>45982</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57231-2025</t>
        </is>
      </c>
      <c r="B471" s="1" t="n">
        <v>45979.62025462963</v>
      </c>
      <c r="C471" s="1" t="n">
        <v>45982</v>
      </c>
      <c r="D471" t="inlineStr">
        <is>
          <t>DALARNAS LÄN</t>
        </is>
      </c>
      <c r="E471" t="inlineStr">
        <is>
          <t>LEKSAND</t>
        </is>
      </c>
      <c r="G471" t="n">
        <v>1.8</v>
      </c>
      <c r="H471" t="n">
        <v>0</v>
      </c>
      <c r="I471" t="n">
        <v>0</v>
      </c>
      <c r="J471" t="n">
        <v>0</v>
      </c>
      <c r="K471" t="n">
        <v>0</v>
      </c>
      <c r="L471" t="n">
        <v>0</v>
      </c>
      <c r="M471" t="n">
        <v>0</v>
      </c>
      <c r="N471" t="n">
        <v>0</v>
      </c>
      <c r="O471" t="n">
        <v>0</v>
      </c>
      <c r="P471" t="n">
        <v>0</v>
      </c>
      <c r="Q471" t="n">
        <v>0</v>
      </c>
      <c r="R471" s="2" t="inlineStr"/>
    </row>
    <row r="472" ht="15" customHeight="1">
      <c r="A472" t="inlineStr">
        <is>
          <t>A 57927-2024</t>
        </is>
      </c>
      <c r="B472" s="1" t="n">
        <v>45630</v>
      </c>
      <c r="C472" s="1" t="n">
        <v>45982</v>
      </c>
      <c r="D472" t="inlineStr">
        <is>
          <t>DALARNAS LÄN</t>
        </is>
      </c>
      <c r="E472" t="inlineStr">
        <is>
          <t>LEKSAND</t>
        </is>
      </c>
      <c r="G472" t="n">
        <v>0.2</v>
      </c>
      <c r="H472" t="n">
        <v>0</v>
      </c>
      <c r="I472" t="n">
        <v>0</v>
      </c>
      <c r="J472" t="n">
        <v>0</v>
      </c>
      <c r="K472" t="n">
        <v>0</v>
      </c>
      <c r="L472" t="n">
        <v>0</v>
      </c>
      <c r="M472" t="n">
        <v>0</v>
      </c>
      <c r="N472" t="n">
        <v>0</v>
      </c>
      <c r="O472" t="n">
        <v>0</v>
      </c>
      <c r="P472" t="n">
        <v>0</v>
      </c>
      <c r="Q472" t="n">
        <v>0</v>
      </c>
      <c r="R472" s="2" t="inlineStr"/>
    </row>
    <row r="473" ht="15" customHeight="1">
      <c r="A473" t="inlineStr">
        <is>
          <t>A 23068-2024</t>
        </is>
      </c>
      <c r="B473" s="1" t="n">
        <v>45450.45521990741</v>
      </c>
      <c r="C473" s="1" t="n">
        <v>45982</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7894-2025</t>
        </is>
      </c>
      <c r="B474" s="1" t="n">
        <v>45707.30268518518</v>
      </c>
      <c r="C474" s="1" t="n">
        <v>45982</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49505-2025</t>
        </is>
      </c>
      <c r="B475" s="1" t="n">
        <v>45939.37564814815</v>
      </c>
      <c r="C475" s="1" t="n">
        <v>45982</v>
      </c>
      <c r="D475" t="inlineStr">
        <is>
          <t>DALARNAS LÄN</t>
        </is>
      </c>
      <c r="E475" t="inlineStr">
        <is>
          <t>LEKSAND</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57869-2025</t>
        </is>
      </c>
      <c r="B476" s="1" t="n">
        <v>45981.65211805556</v>
      </c>
      <c r="C476" s="1" t="n">
        <v>45982</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57688-2025</t>
        </is>
      </c>
      <c r="B477" s="1" t="n">
        <v>45981.44429398148</v>
      </c>
      <c r="C477" s="1" t="n">
        <v>45982</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48922-2025</t>
        </is>
      </c>
      <c r="B478" s="1" t="n">
        <v>45937.50077546296</v>
      </c>
      <c r="C478" s="1" t="n">
        <v>45982</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28965-2023</t>
        </is>
      </c>
      <c r="B479" s="1" t="n">
        <v>45104</v>
      </c>
      <c r="C479" s="1" t="n">
        <v>45982</v>
      </c>
      <c r="D479" t="inlineStr">
        <is>
          <t>DALARNAS LÄN</t>
        </is>
      </c>
      <c r="E479" t="inlineStr">
        <is>
          <t>LEKSAND</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49076-2025</t>
        </is>
      </c>
      <c r="B480" s="1" t="n">
        <v>45937.65601851852</v>
      </c>
      <c r="C480" s="1" t="n">
        <v>45982</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16293-2025</t>
        </is>
      </c>
      <c r="B481" s="1" t="n">
        <v>45751.33447916667</v>
      </c>
      <c r="C481" s="1" t="n">
        <v>45982</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6027-2025</t>
        </is>
      </c>
      <c r="B482" s="1" t="n">
        <v>45695</v>
      </c>
      <c r="C482" s="1" t="n">
        <v>45982</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57536-2025</t>
        </is>
      </c>
      <c r="B483" s="1" t="n">
        <v>45980.64287037037</v>
      </c>
      <c r="C483" s="1" t="n">
        <v>45982</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11678-2023</t>
        </is>
      </c>
      <c r="B484" s="1" t="n">
        <v>44994</v>
      </c>
      <c r="C484" s="1" t="n">
        <v>45982</v>
      </c>
      <c r="D484" t="inlineStr">
        <is>
          <t>DALARNAS LÄN</t>
        </is>
      </c>
      <c r="E484" t="inlineStr">
        <is>
          <t>LEKSAND</t>
        </is>
      </c>
      <c r="G484" t="n">
        <v>0.9</v>
      </c>
      <c r="H484" t="n">
        <v>0</v>
      </c>
      <c r="I484" t="n">
        <v>0</v>
      </c>
      <c r="J484" t="n">
        <v>0</v>
      </c>
      <c r="K484" t="n">
        <v>0</v>
      </c>
      <c r="L484" t="n">
        <v>0</v>
      </c>
      <c r="M484" t="n">
        <v>0</v>
      </c>
      <c r="N484" t="n">
        <v>0</v>
      </c>
      <c r="O484" t="n">
        <v>0</v>
      </c>
      <c r="P484" t="n">
        <v>0</v>
      </c>
      <c r="Q484" t="n">
        <v>0</v>
      </c>
      <c r="R484" s="2" t="inlineStr"/>
    </row>
    <row r="485" ht="15" customHeight="1">
      <c r="A485" t="inlineStr">
        <is>
          <t>A 48824-2025</t>
        </is>
      </c>
      <c r="B485" s="1" t="n">
        <v>45937.37949074074</v>
      </c>
      <c r="C485" s="1" t="n">
        <v>45982</v>
      </c>
      <c r="D485" t="inlineStr">
        <is>
          <t>DALARNAS LÄN</t>
        </is>
      </c>
      <c r="E485" t="inlineStr">
        <is>
          <t>LEKSAND</t>
        </is>
      </c>
      <c r="G485" t="n">
        <v>6.3</v>
      </c>
      <c r="H485" t="n">
        <v>0</v>
      </c>
      <c r="I485" t="n">
        <v>0</v>
      </c>
      <c r="J485" t="n">
        <v>0</v>
      </c>
      <c r="K485" t="n">
        <v>0</v>
      </c>
      <c r="L485" t="n">
        <v>0</v>
      </c>
      <c r="M485" t="n">
        <v>0</v>
      </c>
      <c r="N485" t="n">
        <v>0</v>
      </c>
      <c r="O485" t="n">
        <v>0</v>
      </c>
      <c r="P485" t="n">
        <v>0</v>
      </c>
      <c r="Q485" t="n">
        <v>0</v>
      </c>
      <c r="R485" s="2" t="inlineStr"/>
    </row>
    <row r="486" ht="15" customHeight="1">
      <c r="A486" t="inlineStr">
        <is>
          <t>A 8755-2023</t>
        </is>
      </c>
      <c r="B486" s="1" t="n">
        <v>44978</v>
      </c>
      <c r="C486" s="1" t="n">
        <v>45982</v>
      </c>
      <c r="D486" t="inlineStr">
        <is>
          <t>DALARNAS LÄN</t>
        </is>
      </c>
      <c r="E486" t="inlineStr">
        <is>
          <t>LEKSAND</t>
        </is>
      </c>
      <c r="G486" t="n">
        <v>2.3</v>
      </c>
      <c r="H486" t="n">
        <v>0</v>
      </c>
      <c r="I486" t="n">
        <v>0</v>
      </c>
      <c r="J486" t="n">
        <v>0</v>
      </c>
      <c r="K486" t="n">
        <v>0</v>
      </c>
      <c r="L486" t="n">
        <v>0</v>
      </c>
      <c r="M486" t="n">
        <v>0</v>
      </c>
      <c r="N486" t="n">
        <v>0</v>
      </c>
      <c r="O486" t="n">
        <v>0</v>
      </c>
      <c r="P486" t="n">
        <v>0</v>
      </c>
      <c r="Q486" t="n">
        <v>0</v>
      </c>
      <c r="R486" s="2" t="inlineStr"/>
    </row>
    <row r="487" ht="15" customHeight="1">
      <c r="A487" t="inlineStr">
        <is>
          <t>A 5582-2024</t>
        </is>
      </c>
      <c r="B487" s="1" t="n">
        <v>45334</v>
      </c>
      <c r="C487" s="1" t="n">
        <v>45982</v>
      </c>
      <c r="D487" t="inlineStr">
        <is>
          <t>DALARNAS LÄN</t>
        </is>
      </c>
      <c r="E487" t="inlineStr">
        <is>
          <t>LEKSAND</t>
        </is>
      </c>
      <c r="G487" t="n">
        <v>0.5</v>
      </c>
      <c r="H487" t="n">
        <v>0</v>
      </c>
      <c r="I487" t="n">
        <v>0</v>
      </c>
      <c r="J487" t="n">
        <v>0</v>
      </c>
      <c r="K487" t="n">
        <v>0</v>
      </c>
      <c r="L487" t="n">
        <v>0</v>
      </c>
      <c r="M487" t="n">
        <v>0</v>
      </c>
      <c r="N487" t="n">
        <v>0</v>
      </c>
      <c r="O487" t="n">
        <v>0</v>
      </c>
      <c r="P487" t="n">
        <v>0</v>
      </c>
      <c r="Q487" t="n">
        <v>0</v>
      </c>
      <c r="R487" s="2" t="inlineStr"/>
    </row>
    <row r="488" ht="15" customHeight="1">
      <c r="A488" t="inlineStr">
        <is>
          <t>A 57760-2025</t>
        </is>
      </c>
      <c r="B488" s="1" t="n">
        <v>45981</v>
      </c>
      <c r="C488" s="1" t="n">
        <v>45982</v>
      </c>
      <c r="D488" t="inlineStr">
        <is>
          <t>DALARNAS LÄN</t>
        </is>
      </c>
      <c r="E488" t="inlineStr">
        <is>
          <t>LEKSAND</t>
        </is>
      </c>
      <c r="G488" t="n">
        <v>3.9</v>
      </c>
      <c r="H488" t="n">
        <v>0</v>
      </c>
      <c r="I488" t="n">
        <v>0</v>
      </c>
      <c r="J488" t="n">
        <v>0</v>
      </c>
      <c r="K488" t="n">
        <v>0</v>
      </c>
      <c r="L488" t="n">
        <v>0</v>
      </c>
      <c r="M488" t="n">
        <v>0</v>
      </c>
      <c r="N488" t="n">
        <v>0</v>
      </c>
      <c r="O488" t="n">
        <v>0</v>
      </c>
      <c r="P488" t="n">
        <v>0</v>
      </c>
      <c r="Q488" t="n">
        <v>0</v>
      </c>
      <c r="R488" s="2" t="inlineStr"/>
    </row>
    <row r="489" ht="15" customHeight="1">
      <c r="A489" t="inlineStr">
        <is>
          <t>A 46505-2023</t>
        </is>
      </c>
      <c r="B489" s="1" t="n">
        <v>45197</v>
      </c>
      <c r="C489" s="1" t="n">
        <v>45982</v>
      </c>
      <c r="D489" t="inlineStr">
        <is>
          <t>DALARNAS LÄN</t>
        </is>
      </c>
      <c r="E489" t="inlineStr">
        <is>
          <t>LEKSAND</t>
        </is>
      </c>
      <c r="G489" t="n">
        <v>2.3</v>
      </c>
      <c r="H489" t="n">
        <v>0</v>
      </c>
      <c r="I489" t="n">
        <v>0</v>
      </c>
      <c r="J489" t="n">
        <v>0</v>
      </c>
      <c r="K489" t="n">
        <v>0</v>
      </c>
      <c r="L489" t="n">
        <v>0</v>
      </c>
      <c r="M489" t="n">
        <v>0</v>
      </c>
      <c r="N489" t="n">
        <v>0</v>
      </c>
      <c r="O489" t="n">
        <v>0</v>
      </c>
      <c r="P489" t="n">
        <v>0</v>
      </c>
      <c r="Q489" t="n">
        <v>0</v>
      </c>
      <c r="R489" s="2" t="inlineStr"/>
    </row>
    <row r="490" ht="15" customHeight="1">
      <c r="A490" t="inlineStr">
        <is>
          <t>A 58619-2022</t>
        </is>
      </c>
      <c r="B490" s="1" t="n">
        <v>44902.59579861111</v>
      </c>
      <c r="C490" s="1" t="n">
        <v>45982</v>
      </c>
      <c r="D490" t="inlineStr">
        <is>
          <t>DALARNAS LÄN</t>
        </is>
      </c>
      <c r="E490" t="inlineStr">
        <is>
          <t>LEKSAND</t>
        </is>
      </c>
      <c r="G490" t="n">
        <v>0.9</v>
      </c>
      <c r="H490" t="n">
        <v>0</v>
      </c>
      <c r="I490" t="n">
        <v>0</v>
      </c>
      <c r="J490" t="n">
        <v>0</v>
      </c>
      <c r="K490" t="n">
        <v>0</v>
      </c>
      <c r="L490" t="n">
        <v>0</v>
      </c>
      <c r="M490" t="n">
        <v>0</v>
      </c>
      <c r="N490" t="n">
        <v>0</v>
      </c>
      <c r="O490" t="n">
        <v>0</v>
      </c>
      <c r="P490" t="n">
        <v>0</v>
      </c>
      <c r="Q490" t="n">
        <v>0</v>
      </c>
      <c r="R490" s="2" t="inlineStr"/>
    </row>
    <row r="491" ht="15" customHeight="1">
      <c r="A491" t="inlineStr">
        <is>
          <t>A 49212-2025</t>
        </is>
      </c>
      <c r="B491" s="1" t="n">
        <v>45938.43855324074</v>
      </c>
      <c r="C491" s="1" t="n">
        <v>45982</v>
      </c>
      <c r="D491" t="inlineStr">
        <is>
          <t>DALARNAS LÄN</t>
        </is>
      </c>
      <c r="E491" t="inlineStr">
        <is>
          <t>LEKSAND</t>
        </is>
      </c>
      <c r="G491" t="n">
        <v>2</v>
      </c>
      <c r="H491" t="n">
        <v>0</v>
      </c>
      <c r="I491" t="n">
        <v>0</v>
      </c>
      <c r="J491" t="n">
        <v>0</v>
      </c>
      <c r="K491" t="n">
        <v>0</v>
      </c>
      <c r="L491" t="n">
        <v>0</v>
      </c>
      <c r="M491" t="n">
        <v>0</v>
      </c>
      <c r="N491" t="n">
        <v>0</v>
      </c>
      <c r="O491" t="n">
        <v>0</v>
      </c>
      <c r="P491" t="n">
        <v>0</v>
      </c>
      <c r="Q491" t="n">
        <v>0</v>
      </c>
      <c r="R491" s="2" t="inlineStr"/>
    </row>
    <row r="492" ht="15" customHeight="1">
      <c r="A492" t="inlineStr">
        <is>
          <t>A 49209-2025</t>
        </is>
      </c>
      <c r="B492" s="1" t="n">
        <v>45938.43589120371</v>
      </c>
      <c r="C492" s="1" t="n">
        <v>45982</v>
      </c>
      <c r="D492" t="inlineStr">
        <is>
          <t>DALARNAS LÄN</t>
        </is>
      </c>
      <c r="E492" t="inlineStr">
        <is>
          <t>LEKSAND</t>
        </is>
      </c>
      <c r="G492" t="n">
        <v>4.8</v>
      </c>
      <c r="H492" t="n">
        <v>0</v>
      </c>
      <c r="I492" t="n">
        <v>0</v>
      </c>
      <c r="J492" t="n">
        <v>0</v>
      </c>
      <c r="K492" t="n">
        <v>0</v>
      </c>
      <c r="L492" t="n">
        <v>0</v>
      </c>
      <c r="M492" t="n">
        <v>0</v>
      </c>
      <c r="N492" t="n">
        <v>0</v>
      </c>
      <c r="O492" t="n">
        <v>0</v>
      </c>
      <c r="P492" t="n">
        <v>0</v>
      </c>
      <c r="Q492" t="n">
        <v>0</v>
      </c>
      <c r="R492" s="2" t="inlineStr"/>
    </row>
    <row r="493" ht="15" customHeight="1">
      <c r="A493" t="inlineStr">
        <is>
          <t>A 776-2021</t>
        </is>
      </c>
      <c r="B493" s="1" t="n">
        <v>44203</v>
      </c>
      <c r="C493" s="1" t="n">
        <v>45982</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8045-2024</t>
        </is>
      </c>
      <c r="B494" s="1" t="n">
        <v>45351.31371527778</v>
      </c>
      <c r="C494" s="1" t="n">
        <v>45982</v>
      </c>
      <c r="D494" t="inlineStr">
        <is>
          <t>DALARNAS LÄN</t>
        </is>
      </c>
      <c r="E494" t="inlineStr">
        <is>
          <t>LEKSAND</t>
        </is>
      </c>
      <c r="G494" t="n">
        <v>6.7</v>
      </c>
      <c r="H494" t="n">
        <v>0</v>
      </c>
      <c r="I494" t="n">
        <v>0</v>
      </c>
      <c r="J494" t="n">
        <v>0</v>
      </c>
      <c r="K494" t="n">
        <v>0</v>
      </c>
      <c r="L494" t="n">
        <v>0</v>
      </c>
      <c r="M494" t="n">
        <v>0</v>
      </c>
      <c r="N494" t="n">
        <v>0</v>
      </c>
      <c r="O494" t="n">
        <v>0</v>
      </c>
      <c r="P494" t="n">
        <v>0</v>
      </c>
      <c r="Q494" t="n">
        <v>0</v>
      </c>
      <c r="R494" s="2" t="inlineStr"/>
    </row>
    <row r="495" ht="15" customHeight="1">
      <c r="A495" t="inlineStr">
        <is>
          <t>A 33001-2023</t>
        </is>
      </c>
      <c r="B495" s="1" t="n">
        <v>45125</v>
      </c>
      <c r="C495" s="1" t="n">
        <v>45982</v>
      </c>
      <c r="D495" t="inlineStr">
        <is>
          <t>DALARNAS LÄN</t>
        </is>
      </c>
      <c r="E495" t="inlineStr">
        <is>
          <t>LEKSAND</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1946-2024</t>
        </is>
      </c>
      <c r="B496" s="1" t="n">
        <v>45308</v>
      </c>
      <c r="C496" s="1" t="n">
        <v>45982</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32394-2024</t>
        </is>
      </c>
      <c r="B497" s="1" t="n">
        <v>45512.64349537037</v>
      </c>
      <c r="C497" s="1" t="n">
        <v>45982</v>
      </c>
      <c r="D497" t="inlineStr">
        <is>
          <t>DALARNAS LÄN</t>
        </is>
      </c>
      <c r="E497" t="inlineStr">
        <is>
          <t>LEKSAND</t>
        </is>
      </c>
      <c r="F497" t="inlineStr">
        <is>
          <t>Bergvik skog väst AB</t>
        </is>
      </c>
      <c r="G497" t="n">
        <v>6</v>
      </c>
      <c r="H497" t="n">
        <v>0</v>
      </c>
      <c r="I497" t="n">
        <v>0</v>
      </c>
      <c r="J497" t="n">
        <v>0</v>
      </c>
      <c r="K497" t="n">
        <v>0</v>
      </c>
      <c r="L497" t="n">
        <v>0</v>
      </c>
      <c r="M497" t="n">
        <v>0</v>
      </c>
      <c r="N497" t="n">
        <v>0</v>
      </c>
      <c r="O497" t="n">
        <v>0</v>
      </c>
      <c r="P497" t="n">
        <v>0</v>
      </c>
      <c r="Q497" t="n">
        <v>0</v>
      </c>
      <c r="R497" s="2" t="inlineStr"/>
    </row>
    <row r="498" ht="15" customHeight="1">
      <c r="A498" t="inlineStr">
        <is>
          <t>A 11015-2022</t>
        </is>
      </c>
      <c r="B498" s="1" t="n">
        <v>44628.52340277778</v>
      </c>
      <c r="C498" s="1" t="n">
        <v>45982</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40752-2024</t>
        </is>
      </c>
      <c r="B499" s="1" t="n">
        <v>45558.45638888889</v>
      </c>
      <c r="C499" s="1" t="n">
        <v>45982</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15882-2023</t>
        </is>
      </c>
      <c r="B500" s="1" t="n">
        <v>45022</v>
      </c>
      <c r="C500" s="1" t="n">
        <v>45982</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5583-2024</t>
        </is>
      </c>
      <c r="B501" s="1" t="n">
        <v>45334</v>
      </c>
      <c r="C501" s="1" t="n">
        <v>45982</v>
      </c>
      <c r="D501" t="inlineStr">
        <is>
          <t>DALARNAS LÄN</t>
        </is>
      </c>
      <c r="E501" t="inlineStr">
        <is>
          <t>LEKSAND</t>
        </is>
      </c>
      <c r="F501" t="inlineStr">
        <is>
          <t>Kyrkan</t>
        </is>
      </c>
      <c r="G501" t="n">
        <v>0.4</v>
      </c>
      <c r="H501" t="n">
        <v>0</v>
      </c>
      <c r="I501" t="n">
        <v>0</v>
      </c>
      <c r="J501" t="n">
        <v>0</v>
      </c>
      <c r="K501" t="n">
        <v>0</v>
      </c>
      <c r="L501" t="n">
        <v>0</v>
      </c>
      <c r="M501" t="n">
        <v>0</v>
      </c>
      <c r="N501" t="n">
        <v>0</v>
      </c>
      <c r="O501" t="n">
        <v>0</v>
      </c>
      <c r="P501" t="n">
        <v>0</v>
      </c>
      <c r="Q501" t="n">
        <v>0</v>
      </c>
      <c r="R501" s="2" t="inlineStr"/>
    </row>
    <row r="502" ht="15" customHeight="1">
      <c r="A502" t="inlineStr">
        <is>
          <t>A 56950-2024</t>
        </is>
      </c>
      <c r="B502" s="1" t="n">
        <v>45625</v>
      </c>
      <c r="C502" s="1" t="n">
        <v>45982</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15120-2023</t>
        </is>
      </c>
      <c r="B503" s="1" t="n">
        <v>45016.46484953703</v>
      </c>
      <c r="C503" s="1" t="n">
        <v>45982</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43693-2022</t>
        </is>
      </c>
      <c r="B504" s="1" t="n">
        <v>44837.6369212963</v>
      </c>
      <c r="C504" s="1" t="n">
        <v>45982</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5453-2025</t>
        </is>
      </c>
      <c r="B505" s="1" t="n">
        <v>45692.95231481481</v>
      </c>
      <c r="C505" s="1" t="n">
        <v>45982</v>
      </c>
      <c r="D505" t="inlineStr">
        <is>
          <t>DALARNAS LÄN</t>
        </is>
      </c>
      <c r="E505" t="inlineStr">
        <is>
          <t>LEKSAND</t>
        </is>
      </c>
      <c r="G505" t="n">
        <v>2.2</v>
      </c>
      <c r="H505" t="n">
        <v>0</v>
      </c>
      <c r="I505" t="n">
        <v>0</v>
      </c>
      <c r="J505" t="n">
        <v>0</v>
      </c>
      <c r="K505" t="n">
        <v>0</v>
      </c>
      <c r="L505" t="n">
        <v>0</v>
      </c>
      <c r="M505" t="n">
        <v>0</v>
      </c>
      <c r="N505" t="n">
        <v>0</v>
      </c>
      <c r="O505" t="n">
        <v>0</v>
      </c>
      <c r="P505" t="n">
        <v>0</v>
      </c>
      <c r="Q505" t="n">
        <v>0</v>
      </c>
      <c r="R505" s="2" t="inlineStr"/>
    </row>
    <row r="506" ht="15" customHeight="1">
      <c r="A506" t="inlineStr">
        <is>
          <t>A 3352-2024</t>
        </is>
      </c>
      <c r="B506" s="1" t="n">
        <v>45317</v>
      </c>
      <c r="C506" s="1" t="n">
        <v>45982</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52755-2024</t>
        </is>
      </c>
      <c r="B507" s="1" t="n">
        <v>45610.50217592593</v>
      </c>
      <c r="C507" s="1" t="n">
        <v>45982</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13165-2023</t>
        </is>
      </c>
      <c r="B508" s="1" t="n">
        <v>45002.57731481481</v>
      </c>
      <c r="C508" s="1" t="n">
        <v>45982</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39620-2024</t>
        </is>
      </c>
      <c r="B509" s="1" t="n">
        <v>45552.43163194445</v>
      </c>
      <c r="C509" s="1" t="n">
        <v>45982</v>
      </c>
      <c r="D509" t="inlineStr">
        <is>
          <t>DALARNAS LÄN</t>
        </is>
      </c>
      <c r="E509" t="inlineStr">
        <is>
          <t>LEKSAND</t>
        </is>
      </c>
      <c r="G509" t="n">
        <v>2.3</v>
      </c>
      <c r="H509" t="n">
        <v>0</v>
      </c>
      <c r="I509" t="n">
        <v>0</v>
      </c>
      <c r="J509" t="n">
        <v>0</v>
      </c>
      <c r="K509" t="n">
        <v>0</v>
      </c>
      <c r="L509" t="n">
        <v>0</v>
      </c>
      <c r="M509" t="n">
        <v>0</v>
      </c>
      <c r="N509" t="n">
        <v>0</v>
      </c>
      <c r="O509" t="n">
        <v>0</v>
      </c>
      <c r="P509" t="n">
        <v>0</v>
      </c>
      <c r="Q509" t="n">
        <v>0</v>
      </c>
      <c r="R509" s="2" t="inlineStr"/>
    </row>
    <row r="510" ht="15" customHeight="1">
      <c r="A510" t="inlineStr">
        <is>
          <t>A 30204-2024</t>
        </is>
      </c>
      <c r="B510" s="1" t="n">
        <v>45490.35402777778</v>
      </c>
      <c r="C510" s="1" t="n">
        <v>45982</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6050-2023</t>
        </is>
      </c>
      <c r="B511" s="1" t="n">
        <v>44959</v>
      </c>
      <c r="C511" s="1" t="n">
        <v>45982</v>
      </c>
      <c r="D511" t="inlineStr">
        <is>
          <t>DALARNAS LÄN</t>
        </is>
      </c>
      <c r="E511" t="inlineStr">
        <is>
          <t>LEKSAND</t>
        </is>
      </c>
      <c r="G511" t="n">
        <v>6.2</v>
      </c>
      <c r="H511" t="n">
        <v>0</v>
      </c>
      <c r="I511" t="n">
        <v>0</v>
      </c>
      <c r="J511" t="n">
        <v>0</v>
      </c>
      <c r="K511" t="n">
        <v>0</v>
      </c>
      <c r="L511" t="n">
        <v>0</v>
      </c>
      <c r="M511" t="n">
        <v>0</v>
      </c>
      <c r="N511" t="n">
        <v>0</v>
      </c>
      <c r="O511" t="n">
        <v>0</v>
      </c>
      <c r="P511" t="n">
        <v>0</v>
      </c>
      <c r="Q511" t="n">
        <v>0</v>
      </c>
      <c r="R511" s="2" t="inlineStr"/>
    </row>
    <row r="512" ht="15" customHeight="1">
      <c r="A512" t="inlineStr">
        <is>
          <t>A 17730-2024</t>
        </is>
      </c>
      <c r="B512" s="1" t="n">
        <v>45418</v>
      </c>
      <c r="C512" s="1" t="n">
        <v>45982</v>
      </c>
      <c r="D512" t="inlineStr">
        <is>
          <t>DALARNAS LÄN</t>
        </is>
      </c>
      <c r="E512" t="inlineStr">
        <is>
          <t>LEKSAND</t>
        </is>
      </c>
      <c r="G512" t="n">
        <v>2.4</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45982</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34039-2024</t>
        </is>
      </c>
      <c r="B514" s="1" t="n">
        <v>45523.5974537037</v>
      </c>
      <c r="C514" s="1" t="n">
        <v>45982</v>
      </c>
      <c r="D514" t="inlineStr">
        <is>
          <t>DALARNAS LÄN</t>
        </is>
      </c>
      <c r="E514" t="inlineStr">
        <is>
          <t>LEKSAND</t>
        </is>
      </c>
      <c r="G514" t="n">
        <v>7.1</v>
      </c>
      <c r="H514" t="n">
        <v>0</v>
      </c>
      <c r="I514" t="n">
        <v>0</v>
      </c>
      <c r="J514" t="n">
        <v>0</v>
      </c>
      <c r="K514" t="n">
        <v>0</v>
      </c>
      <c r="L514" t="n">
        <v>0</v>
      </c>
      <c r="M514" t="n">
        <v>0</v>
      </c>
      <c r="N514" t="n">
        <v>0</v>
      </c>
      <c r="O514" t="n">
        <v>0</v>
      </c>
      <c r="P514" t="n">
        <v>0</v>
      </c>
      <c r="Q514" t="n">
        <v>0</v>
      </c>
      <c r="R514" s="2" t="inlineStr"/>
    </row>
    <row r="515" ht="15" customHeight="1">
      <c r="A515" t="inlineStr">
        <is>
          <t>A 7759-2025</t>
        </is>
      </c>
      <c r="B515" s="1" t="n">
        <v>45706.53827546296</v>
      </c>
      <c r="C515" s="1" t="n">
        <v>45982</v>
      </c>
      <c r="D515" t="inlineStr">
        <is>
          <t>DALARNAS LÄN</t>
        </is>
      </c>
      <c r="E515" t="inlineStr">
        <is>
          <t>LEKSAND</t>
        </is>
      </c>
      <c r="G515" t="n">
        <v>3.3</v>
      </c>
      <c r="H515" t="n">
        <v>0</v>
      </c>
      <c r="I515" t="n">
        <v>0</v>
      </c>
      <c r="J515" t="n">
        <v>0</v>
      </c>
      <c r="K515" t="n">
        <v>0</v>
      </c>
      <c r="L515" t="n">
        <v>0</v>
      </c>
      <c r="M515" t="n">
        <v>0</v>
      </c>
      <c r="N515" t="n">
        <v>0</v>
      </c>
      <c r="O515" t="n">
        <v>0</v>
      </c>
      <c r="P515" t="n">
        <v>0</v>
      </c>
      <c r="Q515" t="n">
        <v>0</v>
      </c>
      <c r="R515" s="2" t="inlineStr"/>
    </row>
    <row r="516" ht="15" customHeight="1">
      <c r="A516" t="inlineStr">
        <is>
          <t>A 12356-2023</t>
        </is>
      </c>
      <c r="B516" s="1" t="n">
        <v>44998</v>
      </c>
      <c r="C516" s="1" t="n">
        <v>45982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12363-2023</t>
        </is>
      </c>
      <c r="B517" s="1" t="n">
        <v>44998</v>
      </c>
      <c r="C517" s="1" t="n">
        <v>45982</v>
      </c>
      <c r="D517" t="inlineStr">
        <is>
          <t>DALARNAS LÄN</t>
        </is>
      </c>
      <c r="E517" t="inlineStr">
        <is>
          <t>LEKSAND</t>
        </is>
      </c>
      <c r="G517" t="n">
        <v>10</v>
      </c>
      <c r="H517" t="n">
        <v>0</v>
      </c>
      <c r="I517" t="n">
        <v>0</v>
      </c>
      <c r="J517" t="n">
        <v>0</v>
      </c>
      <c r="K517" t="n">
        <v>0</v>
      </c>
      <c r="L517" t="n">
        <v>0</v>
      </c>
      <c r="M517" t="n">
        <v>0</v>
      </c>
      <c r="N517" t="n">
        <v>0</v>
      </c>
      <c r="O517" t="n">
        <v>0</v>
      </c>
      <c r="P517" t="n">
        <v>0</v>
      </c>
      <c r="Q517" t="n">
        <v>0</v>
      </c>
      <c r="R517" s="2" t="inlineStr"/>
    </row>
    <row r="518" ht="15" customHeight="1">
      <c r="A518" t="inlineStr">
        <is>
          <t>A 55015-2024</t>
        </is>
      </c>
      <c r="B518" s="1" t="n">
        <v>45621.35554398148</v>
      </c>
      <c r="C518" s="1" t="n">
        <v>45982</v>
      </c>
      <c r="D518" t="inlineStr">
        <is>
          <t>DALARNAS LÄN</t>
        </is>
      </c>
      <c r="E518" t="inlineStr">
        <is>
          <t>LEKSAND</t>
        </is>
      </c>
      <c r="G518" t="n">
        <v>0.6</v>
      </c>
      <c r="H518" t="n">
        <v>0</v>
      </c>
      <c r="I518" t="n">
        <v>0</v>
      </c>
      <c r="J518" t="n">
        <v>0</v>
      </c>
      <c r="K518" t="n">
        <v>0</v>
      </c>
      <c r="L518" t="n">
        <v>0</v>
      </c>
      <c r="M518" t="n">
        <v>0</v>
      </c>
      <c r="N518" t="n">
        <v>0</v>
      </c>
      <c r="O518" t="n">
        <v>0</v>
      </c>
      <c r="P518" t="n">
        <v>0</v>
      </c>
      <c r="Q518" t="n">
        <v>0</v>
      </c>
      <c r="R518" s="2" t="inlineStr"/>
    </row>
    <row r="519" ht="15" customHeight="1">
      <c r="A519" t="inlineStr">
        <is>
          <t>A 28674-2024</t>
        </is>
      </c>
      <c r="B519" s="1" t="n">
        <v>45478.47863425926</v>
      </c>
      <c r="C519" s="1" t="n">
        <v>45982</v>
      </c>
      <c r="D519" t="inlineStr">
        <is>
          <t>DALARNAS LÄN</t>
        </is>
      </c>
      <c r="E519" t="inlineStr">
        <is>
          <t>LEKSAND</t>
        </is>
      </c>
      <c r="G519" t="n">
        <v>4.9</v>
      </c>
      <c r="H519" t="n">
        <v>0</v>
      </c>
      <c r="I519" t="n">
        <v>0</v>
      </c>
      <c r="J519" t="n">
        <v>0</v>
      </c>
      <c r="K519" t="n">
        <v>0</v>
      </c>
      <c r="L519" t="n">
        <v>0</v>
      </c>
      <c r="M519" t="n">
        <v>0</v>
      </c>
      <c r="N519" t="n">
        <v>0</v>
      </c>
      <c r="O519" t="n">
        <v>0</v>
      </c>
      <c r="P519" t="n">
        <v>0</v>
      </c>
      <c r="Q519" t="n">
        <v>0</v>
      </c>
      <c r="R519" s="2" t="inlineStr"/>
    </row>
    <row r="520" ht="15" customHeight="1">
      <c r="A520" t="inlineStr">
        <is>
          <t>A 16231-2021</t>
        </is>
      </c>
      <c r="B520" s="1" t="n">
        <v>44292</v>
      </c>
      <c r="C520" s="1" t="n">
        <v>45982</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56283-2024</t>
        </is>
      </c>
      <c r="B521" s="1" t="n">
        <v>45624.67864583333</v>
      </c>
      <c r="C521" s="1" t="n">
        <v>45982</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53122-2023</t>
        </is>
      </c>
      <c r="B522" s="1" t="n">
        <v>45228</v>
      </c>
      <c r="C522" s="1" t="n">
        <v>45982</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11092-2023</t>
        </is>
      </c>
      <c r="B523" s="1" t="n">
        <v>44992</v>
      </c>
      <c r="C523" s="1" t="n">
        <v>45982</v>
      </c>
      <c r="D523" t="inlineStr">
        <is>
          <t>DALARNAS LÄN</t>
        </is>
      </c>
      <c r="E523" t="inlineStr">
        <is>
          <t>LEKSAND</t>
        </is>
      </c>
      <c r="G523" t="n">
        <v>0.5</v>
      </c>
      <c r="H523" t="n">
        <v>0</v>
      </c>
      <c r="I523" t="n">
        <v>0</v>
      </c>
      <c r="J523" t="n">
        <v>0</v>
      </c>
      <c r="K523" t="n">
        <v>0</v>
      </c>
      <c r="L523" t="n">
        <v>0</v>
      </c>
      <c r="M523" t="n">
        <v>0</v>
      </c>
      <c r="N523" t="n">
        <v>0</v>
      </c>
      <c r="O523" t="n">
        <v>0</v>
      </c>
      <c r="P523" t="n">
        <v>0</v>
      </c>
      <c r="Q523" t="n">
        <v>0</v>
      </c>
      <c r="R523" s="2" t="inlineStr"/>
    </row>
    <row r="524" ht="15" customHeight="1">
      <c r="A524" t="inlineStr">
        <is>
          <t>A 28578-2023</t>
        </is>
      </c>
      <c r="B524" s="1" t="n">
        <v>45103</v>
      </c>
      <c r="C524" s="1" t="n">
        <v>45982</v>
      </c>
      <c r="D524" t="inlineStr">
        <is>
          <t>DALARNAS LÄN</t>
        </is>
      </c>
      <c r="E524" t="inlineStr">
        <is>
          <t>LEKSAND</t>
        </is>
      </c>
      <c r="G524" t="n">
        <v>4.4</v>
      </c>
      <c r="H524" t="n">
        <v>0</v>
      </c>
      <c r="I524" t="n">
        <v>0</v>
      </c>
      <c r="J524" t="n">
        <v>0</v>
      </c>
      <c r="K524" t="n">
        <v>0</v>
      </c>
      <c r="L524" t="n">
        <v>0</v>
      </c>
      <c r="M524" t="n">
        <v>0</v>
      </c>
      <c r="N524" t="n">
        <v>0</v>
      </c>
      <c r="O524" t="n">
        <v>0</v>
      </c>
      <c r="P524" t="n">
        <v>0</v>
      </c>
      <c r="Q524" t="n">
        <v>0</v>
      </c>
      <c r="R524" s="2" t="inlineStr"/>
    </row>
    <row r="525" ht="15" customHeight="1">
      <c r="A525" t="inlineStr">
        <is>
          <t>A 19371-2024</t>
        </is>
      </c>
      <c r="B525" s="1" t="n">
        <v>45429.34969907408</v>
      </c>
      <c r="C525" s="1" t="n">
        <v>45982</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54911-2024</t>
        </is>
      </c>
      <c r="B526" s="1" t="n">
        <v>45618.68929398148</v>
      </c>
      <c r="C526" s="1" t="n">
        <v>45982</v>
      </c>
      <c r="D526" t="inlineStr">
        <is>
          <t>DALARNAS LÄN</t>
        </is>
      </c>
      <c r="E526" t="inlineStr">
        <is>
          <t>LEKSAND</t>
        </is>
      </c>
      <c r="G526" t="n">
        <v>0.9</v>
      </c>
      <c r="H526" t="n">
        <v>0</v>
      </c>
      <c r="I526" t="n">
        <v>0</v>
      </c>
      <c r="J526" t="n">
        <v>0</v>
      </c>
      <c r="K526" t="n">
        <v>0</v>
      </c>
      <c r="L526" t="n">
        <v>0</v>
      </c>
      <c r="M526" t="n">
        <v>0</v>
      </c>
      <c r="N526" t="n">
        <v>0</v>
      </c>
      <c r="O526" t="n">
        <v>0</v>
      </c>
      <c r="P526" t="n">
        <v>0</v>
      </c>
      <c r="Q526" t="n">
        <v>0</v>
      </c>
      <c r="R526" s="2" t="inlineStr"/>
    </row>
    <row r="527" ht="15" customHeight="1">
      <c r="A527" t="inlineStr">
        <is>
          <t>A 40193-2024</t>
        </is>
      </c>
      <c r="B527" s="1" t="n">
        <v>45554.5734375</v>
      </c>
      <c r="C527" s="1" t="n">
        <v>45982</v>
      </c>
      <c r="D527" t="inlineStr">
        <is>
          <t>DALARNAS LÄN</t>
        </is>
      </c>
      <c r="E527" t="inlineStr">
        <is>
          <t>LEKSAND</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39558-2023</t>
        </is>
      </c>
      <c r="B528" s="1" t="n">
        <v>45167.38664351852</v>
      </c>
      <c r="C528" s="1" t="n">
        <v>45982</v>
      </c>
      <c r="D528" t="inlineStr">
        <is>
          <t>DALARNAS LÄN</t>
        </is>
      </c>
      <c r="E528" t="inlineStr">
        <is>
          <t>LEKSAND</t>
        </is>
      </c>
      <c r="G528" t="n">
        <v>39.9</v>
      </c>
      <c r="H528" t="n">
        <v>0</v>
      </c>
      <c r="I528" t="n">
        <v>0</v>
      </c>
      <c r="J528" t="n">
        <v>0</v>
      </c>
      <c r="K528" t="n">
        <v>0</v>
      </c>
      <c r="L528" t="n">
        <v>0</v>
      </c>
      <c r="M528" t="n">
        <v>0</v>
      </c>
      <c r="N528" t="n">
        <v>0</v>
      </c>
      <c r="O528" t="n">
        <v>0</v>
      </c>
      <c r="P528" t="n">
        <v>0</v>
      </c>
      <c r="Q528" t="n">
        <v>0</v>
      </c>
      <c r="R528" s="2" t="inlineStr"/>
    </row>
    <row r="529" ht="15" customHeight="1">
      <c r="A529" t="inlineStr">
        <is>
          <t>A 9138-2023</t>
        </is>
      </c>
      <c r="B529" s="1" t="n">
        <v>44974</v>
      </c>
      <c r="C529" s="1" t="n">
        <v>45982</v>
      </c>
      <c r="D529" t="inlineStr">
        <is>
          <t>DALARNAS LÄN</t>
        </is>
      </c>
      <c r="E529" t="inlineStr">
        <is>
          <t>LEKSAND</t>
        </is>
      </c>
      <c r="G529" t="n">
        <v>4.6</v>
      </c>
      <c r="H529" t="n">
        <v>0</v>
      </c>
      <c r="I529" t="n">
        <v>0</v>
      </c>
      <c r="J529" t="n">
        <v>0</v>
      </c>
      <c r="K529" t="n">
        <v>0</v>
      </c>
      <c r="L529" t="n">
        <v>0</v>
      </c>
      <c r="M529" t="n">
        <v>0</v>
      </c>
      <c r="N529" t="n">
        <v>0</v>
      </c>
      <c r="O529" t="n">
        <v>0</v>
      </c>
      <c r="P529" t="n">
        <v>0</v>
      </c>
      <c r="Q529" t="n">
        <v>0</v>
      </c>
      <c r="R529" s="2" t="inlineStr"/>
    </row>
    <row r="530" ht="15" customHeight="1">
      <c r="A530" t="inlineStr">
        <is>
          <t>A 9141-2023</t>
        </is>
      </c>
      <c r="B530" s="1" t="n">
        <v>44974</v>
      </c>
      <c r="C530" s="1" t="n">
        <v>45982</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2630-2025</t>
        </is>
      </c>
      <c r="B531" s="1" t="n">
        <v>45675.85865740741</v>
      </c>
      <c r="C531" s="1" t="n">
        <v>45982</v>
      </c>
      <c r="D531" t="inlineStr">
        <is>
          <t>DALARNAS LÄN</t>
        </is>
      </c>
      <c r="E531" t="inlineStr">
        <is>
          <t>LEKSAND</t>
        </is>
      </c>
      <c r="G531" t="n">
        <v>1.6</v>
      </c>
      <c r="H531" t="n">
        <v>0</v>
      </c>
      <c r="I531" t="n">
        <v>0</v>
      </c>
      <c r="J531" t="n">
        <v>0</v>
      </c>
      <c r="K531" t="n">
        <v>0</v>
      </c>
      <c r="L531" t="n">
        <v>0</v>
      </c>
      <c r="M531" t="n">
        <v>0</v>
      </c>
      <c r="N531" t="n">
        <v>0</v>
      </c>
      <c r="O531" t="n">
        <v>0</v>
      </c>
      <c r="P531" t="n">
        <v>0</v>
      </c>
      <c r="Q531" t="n">
        <v>0</v>
      </c>
      <c r="R531" s="2" t="inlineStr"/>
    </row>
    <row r="532" ht="15" customHeight="1">
      <c r="A532" t="inlineStr">
        <is>
          <t>A 15986-2025</t>
        </is>
      </c>
      <c r="B532" s="1" t="n">
        <v>45749.57331018519</v>
      </c>
      <c r="C532" s="1" t="n">
        <v>45982</v>
      </c>
      <c r="D532" t="inlineStr">
        <is>
          <t>DALARNAS LÄN</t>
        </is>
      </c>
      <c r="E532" t="inlineStr">
        <is>
          <t>LEKSAND</t>
        </is>
      </c>
      <c r="G532" t="n">
        <v>2.7</v>
      </c>
      <c r="H532" t="n">
        <v>0</v>
      </c>
      <c r="I532" t="n">
        <v>0</v>
      </c>
      <c r="J532" t="n">
        <v>0</v>
      </c>
      <c r="K532" t="n">
        <v>0</v>
      </c>
      <c r="L532" t="n">
        <v>0</v>
      </c>
      <c r="M532" t="n">
        <v>0</v>
      </c>
      <c r="N532" t="n">
        <v>0</v>
      </c>
      <c r="O532" t="n">
        <v>0</v>
      </c>
      <c r="P532" t="n">
        <v>0</v>
      </c>
      <c r="Q532" t="n">
        <v>0</v>
      </c>
      <c r="R532" s="2" t="inlineStr"/>
    </row>
    <row r="533" ht="15" customHeight="1">
      <c r="A533" t="inlineStr">
        <is>
          <t>A 11678-2025</t>
        </is>
      </c>
      <c r="B533" s="1" t="n">
        <v>45726</v>
      </c>
      <c r="C533" s="1" t="n">
        <v>45982</v>
      </c>
      <c r="D533" t="inlineStr">
        <is>
          <t>DALARNAS LÄN</t>
        </is>
      </c>
      <c r="E533" t="inlineStr">
        <is>
          <t>LEKSAND</t>
        </is>
      </c>
      <c r="G533" t="n">
        <v>9.4</v>
      </c>
      <c r="H533" t="n">
        <v>0</v>
      </c>
      <c r="I533" t="n">
        <v>0</v>
      </c>
      <c r="J533" t="n">
        <v>0</v>
      </c>
      <c r="K533" t="n">
        <v>0</v>
      </c>
      <c r="L533" t="n">
        <v>0</v>
      </c>
      <c r="M533" t="n">
        <v>0</v>
      </c>
      <c r="N533" t="n">
        <v>0</v>
      </c>
      <c r="O533" t="n">
        <v>0</v>
      </c>
      <c r="P533" t="n">
        <v>0</v>
      </c>
      <c r="Q533" t="n">
        <v>0</v>
      </c>
      <c r="R533" s="2" t="inlineStr"/>
    </row>
    <row r="534" ht="15" customHeight="1">
      <c r="A534" t="inlineStr">
        <is>
          <t>A 62161-2024</t>
        </is>
      </c>
      <c r="B534" s="1" t="n">
        <v>45656.86009259259</v>
      </c>
      <c r="C534" s="1" t="n">
        <v>45982</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1983-2025</t>
        </is>
      </c>
      <c r="B535" s="1" t="n">
        <v>45670</v>
      </c>
      <c r="C535" s="1" t="n">
        <v>45982</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59840-2024</t>
        </is>
      </c>
      <c r="B536" s="1" t="n">
        <v>45638</v>
      </c>
      <c r="C536" s="1" t="n">
        <v>45982</v>
      </c>
      <c r="D536" t="inlineStr">
        <is>
          <t>DALARNAS LÄN</t>
        </is>
      </c>
      <c r="E536" t="inlineStr">
        <is>
          <t>LEKSAND</t>
        </is>
      </c>
      <c r="G536" t="n">
        <v>0.6</v>
      </c>
      <c r="H536" t="n">
        <v>0</v>
      </c>
      <c r="I536" t="n">
        <v>0</v>
      </c>
      <c r="J536" t="n">
        <v>0</v>
      </c>
      <c r="K536" t="n">
        <v>0</v>
      </c>
      <c r="L536" t="n">
        <v>0</v>
      </c>
      <c r="M536" t="n">
        <v>0</v>
      </c>
      <c r="N536" t="n">
        <v>0</v>
      </c>
      <c r="O536" t="n">
        <v>0</v>
      </c>
      <c r="P536" t="n">
        <v>0</v>
      </c>
      <c r="Q536" t="n">
        <v>0</v>
      </c>
      <c r="R536" s="2" t="inlineStr"/>
    </row>
    <row r="537" ht="15" customHeight="1">
      <c r="A537" t="inlineStr">
        <is>
          <t>A 33566-2023</t>
        </is>
      </c>
      <c r="B537" s="1" t="n">
        <v>45131.64390046296</v>
      </c>
      <c r="C537" s="1" t="n">
        <v>45982</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30611-2023</t>
        </is>
      </c>
      <c r="B538" s="1" t="n">
        <v>45112</v>
      </c>
      <c r="C538" s="1" t="n">
        <v>45982</v>
      </c>
      <c r="D538" t="inlineStr">
        <is>
          <t>DALARNAS LÄN</t>
        </is>
      </c>
      <c r="E538" t="inlineStr">
        <is>
          <t>LEKSAND</t>
        </is>
      </c>
      <c r="G538" t="n">
        <v>3.1</v>
      </c>
      <c r="H538" t="n">
        <v>0</v>
      </c>
      <c r="I538" t="n">
        <v>0</v>
      </c>
      <c r="J538" t="n">
        <v>0</v>
      </c>
      <c r="K538" t="n">
        <v>0</v>
      </c>
      <c r="L538" t="n">
        <v>0</v>
      </c>
      <c r="M538" t="n">
        <v>0</v>
      </c>
      <c r="N538" t="n">
        <v>0</v>
      </c>
      <c r="O538" t="n">
        <v>0</v>
      </c>
      <c r="P538" t="n">
        <v>0</v>
      </c>
      <c r="Q538" t="n">
        <v>0</v>
      </c>
      <c r="R538" s="2" t="inlineStr"/>
    </row>
    <row r="539" ht="15" customHeight="1">
      <c r="A539" t="inlineStr">
        <is>
          <t>A 12621-2025</t>
        </is>
      </c>
      <c r="B539" s="1" t="n">
        <v>45733.3575</v>
      </c>
      <c r="C539" s="1" t="n">
        <v>45982</v>
      </c>
      <c r="D539" t="inlineStr">
        <is>
          <t>DALARNAS LÄN</t>
        </is>
      </c>
      <c r="E539" t="inlineStr">
        <is>
          <t>LEKSAND</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10299-2024</t>
        </is>
      </c>
      <c r="B540" s="1" t="n">
        <v>45365.50425925926</v>
      </c>
      <c r="C540" s="1" t="n">
        <v>45982</v>
      </c>
      <c r="D540" t="inlineStr">
        <is>
          <t>DALARNAS LÄN</t>
        </is>
      </c>
      <c r="E540" t="inlineStr">
        <is>
          <t>LEKSAND</t>
        </is>
      </c>
      <c r="G540" t="n">
        <v>3.6</v>
      </c>
      <c r="H540" t="n">
        <v>0</v>
      </c>
      <c r="I540" t="n">
        <v>0</v>
      </c>
      <c r="J540" t="n">
        <v>0</v>
      </c>
      <c r="K540" t="n">
        <v>0</v>
      </c>
      <c r="L540" t="n">
        <v>0</v>
      </c>
      <c r="M540" t="n">
        <v>0</v>
      </c>
      <c r="N540" t="n">
        <v>0</v>
      </c>
      <c r="O540" t="n">
        <v>0</v>
      </c>
      <c r="P540" t="n">
        <v>0</v>
      </c>
      <c r="Q540" t="n">
        <v>0</v>
      </c>
      <c r="R540" s="2" t="inlineStr"/>
    </row>
    <row r="541" ht="15" customHeight="1">
      <c r="A541" t="inlineStr">
        <is>
          <t>A 16135-2023</t>
        </is>
      </c>
      <c r="B541" s="1" t="n">
        <v>45027.63717592593</v>
      </c>
      <c r="C541" s="1" t="n">
        <v>45982</v>
      </c>
      <c r="D541" t="inlineStr">
        <is>
          <t>DALARNAS LÄN</t>
        </is>
      </c>
      <c r="E541" t="inlineStr">
        <is>
          <t>LEKSAND</t>
        </is>
      </c>
      <c r="G541" t="n">
        <v>4.9</v>
      </c>
      <c r="H541" t="n">
        <v>0</v>
      </c>
      <c r="I541" t="n">
        <v>0</v>
      </c>
      <c r="J541" t="n">
        <v>0</v>
      </c>
      <c r="K541" t="n">
        <v>0</v>
      </c>
      <c r="L541" t="n">
        <v>0</v>
      </c>
      <c r="M541" t="n">
        <v>0</v>
      </c>
      <c r="N541" t="n">
        <v>0</v>
      </c>
      <c r="O541" t="n">
        <v>0</v>
      </c>
      <c r="P541" t="n">
        <v>0</v>
      </c>
      <c r="Q541" t="n">
        <v>0</v>
      </c>
      <c r="R541" s="2" t="inlineStr"/>
    </row>
    <row r="542" ht="15" customHeight="1">
      <c r="A542" t="inlineStr">
        <is>
          <t>A 59859-2023</t>
        </is>
      </c>
      <c r="B542" s="1" t="n">
        <v>45257</v>
      </c>
      <c r="C542" s="1" t="n">
        <v>45982</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39136-2023</t>
        </is>
      </c>
      <c r="B543" s="1" t="n">
        <v>45165</v>
      </c>
      <c r="C543" s="1" t="n">
        <v>45982</v>
      </c>
      <c r="D543" t="inlineStr">
        <is>
          <t>DALARNAS LÄN</t>
        </is>
      </c>
      <c r="E543" t="inlineStr">
        <is>
          <t>LEKSAND</t>
        </is>
      </c>
      <c r="G543" t="n">
        <v>0.3</v>
      </c>
      <c r="H543" t="n">
        <v>0</v>
      </c>
      <c r="I543" t="n">
        <v>0</v>
      </c>
      <c r="J543" t="n">
        <v>0</v>
      </c>
      <c r="K543" t="n">
        <v>0</v>
      </c>
      <c r="L543" t="n">
        <v>0</v>
      </c>
      <c r="M543" t="n">
        <v>0</v>
      </c>
      <c r="N543" t="n">
        <v>0</v>
      </c>
      <c r="O543" t="n">
        <v>0</v>
      </c>
      <c r="P543" t="n">
        <v>0</v>
      </c>
      <c r="Q543" t="n">
        <v>0</v>
      </c>
      <c r="R543" s="2" t="inlineStr"/>
    </row>
    <row r="544" ht="15" customHeight="1">
      <c r="A544" t="inlineStr">
        <is>
          <t>A 53193-2024</t>
        </is>
      </c>
      <c r="B544" s="1" t="n">
        <v>45610</v>
      </c>
      <c r="C544" s="1" t="n">
        <v>45982</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row>
    <row r="545" ht="15" customHeight="1">
      <c r="A545" t="inlineStr">
        <is>
          <t>A 14615-2024</t>
        </is>
      </c>
      <c r="B545" s="1" t="n">
        <v>45397.26047453703</v>
      </c>
      <c r="C545" s="1" t="n">
        <v>45982</v>
      </c>
      <c r="D545" t="inlineStr">
        <is>
          <t>DALARNAS LÄN</t>
        </is>
      </c>
      <c r="E545" t="inlineStr">
        <is>
          <t>LEKSAND</t>
        </is>
      </c>
      <c r="G545" t="n">
        <v>0.4</v>
      </c>
      <c r="H545" t="n">
        <v>0</v>
      </c>
      <c r="I545" t="n">
        <v>0</v>
      </c>
      <c r="J545" t="n">
        <v>0</v>
      </c>
      <c r="K545" t="n">
        <v>0</v>
      </c>
      <c r="L545" t="n">
        <v>0</v>
      </c>
      <c r="M545" t="n">
        <v>0</v>
      </c>
      <c r="N545" t="n">
        <v>0</v>
      </c>
      <c r="O545" t="n">
        <v>0</v>
      </c>
      <c r="P545" t="n">
        <v>0</v>
      </c>
      <c r="Q545" t="n">
        <v>0</v>
      </c>
      <c r="R545" s="2" t="inlineStr"/>
    </row>
    <row r="546" ht="15" customHeight="1">
      <c r="A546" t="inlineStr">
        <is>
          <t>A 23663-2024</t>
        </is>
      </c>
      <c r="B546" s="1" t="n">
        <v>45454.57049768518</v>
      </c>
      <c r="C546" s="1" t="n">
        <v>45982</v>
      </c>
      <c r="D546" t="inlineStr">
        <is>
          <t>DALARNAS LÄN</t>
        </is>
      </c>
      <c r="E546" t="inlineStr">
        <is>
          <t>LEKSAND</t>
        </is>
      </c>
      <c r="G546" t="n">
        <v>2.5</v>
      </c>
      <c r="H546" t="n">
        <v>0</v>
      </c>
      <c r="I546" t="n">
        <v>0</v>
      </c>
      <c r="J546" t="n">
        <v>0</v>
      </c>
      <c r="K546" t="n">
        <v>0</v>
      </c>
      <c r="L546" t="n">
        <v>0</v>
      </c>
      <c r="M546" t="n">
        <v>0</v>
      </c>
      <c r="N546" t="n">
        <v>0</v>
      </c>
      <c r="O546" t="n">
        <v>0</v>
      </c>
      <c r="P546" t="n">
        <v>0</v>
      </c>
      <c r="Q546" t="n">
        <v>0</v>
      </c>
      <c r="R546" s="2" t="inlineStr"/>
    </row>
    <row r="547" ht="15" customHeight="1">
      <c r="A547" t="inlineStr">
        <is>
          <t>A 19622-2024</t>
        </is>
      </c>
      <c r="B547" s="1" t="n">
        <v>45432.33592592592</v>
      </c>
      <c r="C547" s="1" t="n">
        <v>45982</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40230-2023</t>
        </is>
      </c>
      <c r="B548" s="1" t="n">
        <v>45169.46887731482</v>
      </c>
      <c r="C548" s="1" t="n">
        <v>45982</v>
      </c>
      <c r="D548" t="inlineStr">
        <is>
          <t>DALARNAS LÄN</t>
        </is>
      </c>
      <c r="E548" t="inlineStr">
        <is>
          <t>LEKSAND</t>
        </is>
      </c>
      <c r="G548" t="n">
        <v>0.5</v>
      </c>
      <c r="H548" t="n">
        <v>0</v>
      </c>
      <c r="I548" t="n">
        <v>0</v>
      </c>
      <c r="J548" t="n">
        <v>0</v>
      </c>
      <c r="K548" t="n">
        <v>0</v>
      </c>
      <c r="L548" t="n">
        <v>0</v>
      </c>
      <c r="M548" t="n">
        <v>0</v>
      </c>
      <c r="N548" t="n">
        <v>0</v>
      </c>
      <c r="O548" t="n">
        <v>0</v>
      </c>
      <c r="P548" t="n">
        <v>0</v>
      </c>
      <c r="Q548" t="n">
        <v>0</v>
      </c>
      <c r="R548" s="2" t="inlineStr"/>
    </row>
    <row r="549" ht="15" customHeight="1">
      <c r="A549" t="inlineStr">
        <is>
          <t>A 11712-2025</t>
        </is>
      </c>
      <c r="B549" s="1" t="n">
        <v>45727</v>
      </c>
      <c r="C549" s="1" t="n">
        <v>45982</v>
      </c>
      <c r="D549" t="inlineStr">
        <is>
          <t>DALARNAS LÄN</t>
        </is>
      </c>
      <c r="E549" t="inlineStr">
        <is>
          <t>LEKSAND</t>
        </is>
      </c>
      <c r="G549" t="n">
        <v>6</v>
      </c>
      <c r="H549" t="n">
        <v>0</v>
      </c>
      <c r="I549" t="n">
        <v>0</v>
      </c>
      <c r="J549" t="n">
        <v>0</v>
      </c>
      <c r="K549" t="n">
        <v>0</v>
      </c>
      <c r="L549" t="n">
        <v>0</v>
      </c>
      <c r="M549" t="n">
        <v>0</v>
      </c>
      <c r="N549" t="n">
        <v>0</v>
      </c>
      <c r="O549" t="n">
        <v>0</v>
      </c>
      <c r="P549" t="n">
        <v>0</v>
      </c>
      <c r="Q549" t="n">
        <v>0</v>
      </c>
      <c r="R549" s="2" t="inlineStr"/>
    </row>
    <row r="550" ht="15" customHeight="1">
      <c r="A550" t="inlineStr">
        <is>
          <t>A 6030-2025</t>
        </is>
      </c>
      <c r="B550" s="1" t="n">
        <v>45695</v>
      </c>
      <c r="C550" s="1" t="n">
        <v>45982</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row>
    <row r="551" ht="15" customHeight="1">
      <c r="A551" t="inlineStr">
        <is>
          <t>A 42230-2023</t>
        </is>
      </c>
      <c r="B551" s="1" t="n">
        <v>45180</v>
      </c>
      <c r="C551" s="1" t="n">
        <v>45982</v>
      </c>
      <c r="D551" t="inlineStr">
        <is>
          <t>DALARNAS LÄN</t>
        </is>
      </c>
      <c r="E551" t="inlineStr">
        <is>
          <t>LEKSAND</t>
        </is>
      </c>
      <c r="G551" t="n">
        <v>0.6</v>
      </c>
      <c r="H551" t="n">
        <v>0</v>
      </c>
      <c r="I551" t="n">
        <v>0</v>
      </c>
      <c r="J551" t="n">
        <v>0</v>
      </c>
      <c r="K551" t="n">
        <v>0</v>
      </c>
      <c r="L551" t="n">
        <v>0</v>
      </c>
      <c r="M551" t="n">
        <v>0</v>
      </c>
      <c r="N551" t="n">
        <v>0</v>
      </c>
      <c r="O551" t="n">
        <v>0</v>
      </c>
      <c r="P551" t="n">
        <v>0</v>
      </c>
      <c r="Q551" t="n">
        <v>0</v>
      </c>
      <c r="R551" s="2" t="inlineStr"/>
    </row>
    <row r="552" ht="15" customHeight="1">
      <c r="A552" t="inlineStr">
        <is>
          <t>A 55643-2024</t>
        </is>
      </c>
      <c r="B552" s="1" t="n">
        <v>45621</v>
      </c>
      <c r="C552" s="1" t="n">
        <v>45982</v>
      </c>
      <c r="D552" t="inlineStr">
        <is>
          <t>DALARNAS LÄN</t>
        </is>
      </c>
      <c r="E552" t="inlineStr">
        <is>
          <t>LEKSAND</t>
        </is>
      </c>
      <c r="G552" t="n">
        <v>1.7</v>
      </c>
      <c r="H552" t="n">
        <v>0</v>
      </c>
      <c r="I552" t="n">
        <v>0</v>
      </c>
      <c r="J552" t="n">
        <v>0</v>
      </c>
      <c r="K552" t="n">
        <v>0</v>
      </c>
      <c r="L552" t="n">
        <v>0</v>
      </c>
      <c r="M552" t="n">
        <v>0</v>
      </c>
      <c r="N552" t="n">
        <v>0</v>
      </c>
      <c r="O552" t="n">
        <v>0</v>
      </c>
      <c r="P552" t="n">
        <v>0</v>
      </c>
      <c r="Q552" t="n">
        <v>0</v>
      </c>
      <c r="R552" s="2" t="inlineStr"/>
    </row>
    <row r="553" ht="15" customHeight="1">
      <c r="A553" t="inlineStr">
        <is>
          <t>A 22281-2024</t>
        </is>
      </c>
      <c r="B553" s="1" t="n">
        <v>45446.54756944445</v>
      </c>
      <c r="C553" s="1" t="n">
        <v>45982</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17282-2025</t>
        </is>
      </c>
      <c r="B554" s="1" t="n">
        <v>45756.57114583333</v>
      </c>
      <c r="C554" s="1" t="n">
        <v>45982</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56016-2024</t>
        </is>
      </c>
      <c r="B555" s="1" t="n">
        <v>45623.87737268519</v>
      </c>
      <c r="C555" s="1" t="n">
        <v>45982</v>
      </c>
      <c r="D555" t="inlineStr">
        <is>
          <t>DALARNAS LÄN</t>
        </is>
      </c>
      <c r="E555" t="inlineStr">
        <is>
          <t>LEKSAND</t>
        </is>
      </c>
      <c r="G555" t="n">
        <v>6.1</v>
      </c>
      <c r="H555" t="n">
        <v>0</v>
      </c>
      <c r="I555" t="n">
        <v>0</v>
      </c>
      <c r="J555" t="n">
        <v>0</v>
      </c>
      <c r="K555" t="n">
        <v>0</v>
      </c>
      <c r="L555" t="n">
        <v>0</v>
      </c>
      <c r="M555" t="n">
        <v>0</v>
      </c>
      <c r="N555" t="n">
        <v>0</v>
      </c>
      <c r="O555" t="n">
        <v>0</v>
      </c>
      <c r="P555" t="n">
        <v>0</v>
      </c>
      <c r="Q555" t="n">
        <v>0</v>
      </c>
      <c r="R555" s="2" t="inlineStr"/>
    </row>
    <row r="556" ht="15" customHeight="1">
      <c r="A556" t="inlineStr">
        <is>
          <t>A 9857-2025</t>
        </is>
      </c>
      <c r="B556" s="1" t="n">
        <v>45716.62609953704</v>
      </c>
      <c r="C556" s="1" t="n">
        <v>45982</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5873-2025</t>
        </is>
      </c>
      <c r="B557" s="1" t="n">
        <v>45695.36715277778</v>
      </c>
      <c r="C557" s="1" t="n">
        <v>45982</v>
      </c>
      <c r="D557" t="inlineStr">
        <is>
          <t>DALARNAS LÄN</t>
        </is>
      </c>
      <c r="E557" t="inlineStr">
        <is>
          <t>LEKSAND</t>
        </is>
      </c>
      <c r="G557" t="n">
        <v>1.4</v>
      </c>
      <c r="H557" t="n">
        <v>0</v>
      </c>
      <c r="I557" t="n">
        <v>0</v>
      </c>
      <c r="J557" t="n">
        <v>0</v>
      </c>
      <c r="K557" t="n">
        <v>0</v>
      </c>
      <c r="L557" t="n">
        <v>0</v>
      </c>
      <c r="M557" t="n">
        <v>0</v>
      </c>
      <c r="N557" t="n">
        <v>0</v>
      </c>
      <c r="O557" t="n">
        <v>0</v>
      </c>
      <c r="P557" t="n">
        <v>0</v>
      </c>
      <c r="Q557" t="n">
        <v>0</v>
      </c>
      <c r="R557" s="2" t="inlineStr"/>
    </row>
    <row r="558" ht="15" customHeight="1">
      <c r="A558" t="inlineStr">
        <is>
          <t>A 30994-2023</t>
        </is>
      </c>
      <c r="B558" s="1" t="n">
        <v>45113</v>
      </c>
      <c r="C558" s="1" t="n">
        <v>45982</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33306-2023</t>
        </is>
      </c>
      <c r="B559" s="1" t="n">
        <v>45127</v>
      </c>
      <c r="C559" s="1" t="n">
        <v>45982</v>
      </c>
      <c r="D559" t="inlineStr">
        <is>
          <t>DALARNAS LÄN</t>
        </is>
      </c>
      <c r="E559" t="inlineStr">
        <is>
          <t>LEKSAND</t>
        </is>
      </c>
      <c r="G559" t="n">
        <v>2.2</v>
      </c>
      <c r="H559" t="n">
        <v>0</v>
      </c>
      <c r="I559" t="n">
        <v>0</v>
      </c>
      <c r="J559" t="n">
        <v>0</v>
      </c>
      <c r="K559" t="n">
        <v>0</v>
      </c>
      <c r="L559" t="n">
        <v>0</v>
      </c>
      <c r="M559" t="n">
        <v>0</v>
      </c>
      <c r="N559" t="n">
        <v>0</v>
      </c>
      <c r="O559" t="n">
        <v>0</v>
      </c>
      <c r="P559" t="n">
        <v>0</v>
      </c>
      <c r="Q559" t="n">
        <v>0</v>
      </c>
      <c r="R559" s="2" t="inlineStr"/>
    </row>
    <row r="560" ht="15" customHeight="1">
      <c r="A560" t="inlineStr">
        <is>
          <t>A 33316-2023</t>
        </is>
      </c>
      <c r="B560" s="1" t="n">
        <v>45127</v>
      </c>
      <c r="C560" s="1" t="n">
        <v>45982</v>
      </c>
      <c r="D560" t="inlineStr">
        <is>
          <t>DALARNAS LÄN</t>
        </is>
      </c>
      <c r="E560" t="inlineStr">
        <is>
          <t>LEKSAND</t>
        </is>
      </c>
      <c r="G560" t="n">
        <v>8.9</v>
      </c>
      <c r="H560" t="n">
        <v>0</v>
      </c>
      <c r="I560" t="n">
        <v>0</v>
      </c>
      <c r="J560" t="n">
        <v>0</v>
      </c>
      <c r="K560" t="n">
        <v>0</v>
      </c>
      <c r="L560" t="n">
        <v>0</v>
      </c>
      <c r="M560" t="n">
        <v>0</v>
      </c>
      <c r="N560" t="n">
        <v>0</v>
      </c>
      <c r="O560" t="n">
        <v>0</v>
      </c>
      <c r="P560" t="n">
        <v>0</v>
      </c>
      <c r="Q560" t="n">
        <v>0</v>
      </c>
      <c r="R560" s="2" t="inlineStr"/>
    </row>
    <row r="561" ht="15" customHeight="1">
      <c r="A561" t="inlineStr">
        <is>
          <t>A 37832-2023</t>
        </is>
      </c>
      <c r="B561" s="1" t="n">
        <v>45160.3479050926</v>
      </c>
      <c r="C561" s="1" t="n">
        <v>45982</v>
      </c>
      <c r="D561" t="inlineStr">
        <is>
          <t>DALARNAS LÄN</t>
        </is>
      </c>
      <c r="E561" t="inlineStr">
        <is>
          <t>LEKSAND</t>
        </is>
      </c>
      <c r="G561" t="n">
        <v>2</v>
      </c>
      <c r="H561" t="n">
        <v>0</v>
      </c>
      <c r="I561" t="n">
        <v>0</v>
      </c>
      <c r="J561" t="n">
        <v>0</v>
      </c>
      <c r="K561" t="n">
        <v>0</v>
      </c>
      <c r="L561" t="n">
        <v>0</v>
      </c>
      <c r="M561" t="n">
        <v>0</v>
      </c>
      <c r="N561" t="n">
        <v>0</v>
      </c>
      <c r="O561" t="n">
        <v>0</v>
      </c>
      <c r="P561" t="n">
        <v>0</v>
      </c>
      <c r="Q561" t="n">
        <v>0</v>
      </c>
      <c r="R561" s="2" t="inlineStr"/>
    </row>
    <row r="562" ht="15" customHeight="1">
      <c r="A562" t="inlineStr">
        <is>
          <t>A 9143-2023</t>
        </is>
      </c>
      <c r="B562" s="1" t="n">
        <v>44974</v>
      </c>
      <c r="C562" s="1" t="n">
        <v>45982</v>
      </c>
      <c r="D562" t="inlineStr">
        <is>
          <t>DALARNAS LÄN</t>
        </is>
      </c>
      <c r="E562" t="inlineStr">
        <is>
          <t>LEKSAND</t>
        </is>
      </c>
      <c r="G562" t="n">
        <v>4.3</v>
      </c>
      <c r="H562" t="n">
        <v>0</v>
      </c>
      <c r="I562" t="n">
        <v>0</v>
      </c>
      <c r="J562" t="n">
        <v>0</v>
      </c>
      <c r="K562" t="n">
        <v>0</v>
      </c>
      <c r="L562" t="n">
        <v>0</v>
      </c>
      <c r="M562" t="n">
        <v>0</v>
      </c>
      <c r="N562" t="n">
        <v>0</v>
      </c>
      <c r="O562" t="n">
        <v>0</v>
      </c>
      <c r="P562" t="n">
        <v>0</v>
      </c>
      <c r="Q562" t="n">
        <v>0</v>
      </c>
      <c r="R562" s="2" t="inlineStr"/>
    </row>
    <row r="563" ht="15" customHeight="1">
      <c r="A563" t="inlineStr">
        <is>
          <t>A 33310-2023</t>
        </is>
      </c>
      <c r="B563" s="1" t="n">
        <v>45127.82231481482</v>
      </c>
      <c r="C563" s="1" t="n">
        <v>45982</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54844-2021</t>
        </is>
      </c>
      <c r="B564" s="1" t="n">
        <v>44474.30614583333</v>
      </c>
      <c r="C564" s="1" t="n">
        <v>45982</v>
      </c>
      <c r="D564" t="inlineStr">
        <is>
          <t>DALARNAS LÄN</t>
        </is>
      </c>
      <c r="E564" t="inlineStr">
        <is>
          <t>LEKSAND</t>
        </is>
      </c>
      <c r="G564" t="n">
        <v>1.9</v>
      </c>
      <c r="H564" t="n">
        <v>0</v>
      </c>
      <c r="I564" t="n">
        <v>0</v>
      </c>
      <c r="J564" t="n">
        <v>0</v>
      </c>
      <c r="K564" t="n">
        <v>0</v>
      </c>
      <c r="L564" t="n">
        <v>0</v>
      </c>
      <c r="M564" t="n">
        <v>0</v>
      </c>
      <c r="N564" t="n">
        <v>0</v>
      </c>
      <c r="O564" t="n">
        <v>0</v>
      </c>
      <c r="P564" t="n">
        <v>0</v>
      </c>
      <c r="Q564" t="n">
        <v>0</v>
      </c>
      <c r="R564" s="2" t="inlineStr"/>
    </row>
    <row r="565" ht="15" customHeight="1">
      <c r="A565" t="inlineStr">
        <is>
          <t>A 471-2025</t>
        </is>
      </c>
      <c r="B565" s="1" t="n">
        <v>45664.43394675926</v>
      </c>
      <c r="C565" s="1" t="n">
        <v>45982</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52293-2024</t>
        </is>
      </c>
      <c r="B566" s="1" t="n">
        <v>45608.71297453704</v>
      </c>
      <c r="C566" s="1" t="n">
        <v>45982</v>
      </c>
      <c r="D566" t="inlineStr">
        <is>
          <t>DALARNAS LÄN</t>
        </is>
      </c>
      <c r="E566" t="inlineStr">
        <is>
          <t>LEKSAND</t>
        </is>
      </c>
      <c r="G566" t="n">
        <v>1.6</v>
      </c>
      <c r="H566" t="n">
        <v>0</v>
      </c>
      <c r="I566" t="n">
        <v>0</v>
      </c>
      <c r="J566" t="n">
        <v>0</v>
      </c>
      <c r="K566" t="n">
        <v>0</v>
      </c>
      <c r="L566" t="n">
        <v>0</v>
      </c>
      <c r="M566" t="n">
        <v>0</v>
      </c>
      <c r="N566" t="n">
        <v>0</v>
      </c>
      <c r="O566" t="n">
        <v>0</v>
      </c>
      <c r="P566" t="n">
        <v>0</v>
      </c>
      <c r="Q566" t="n">
        <v>0</v>
      </c>
      <c r="R566" s="2" t="inlineStr"/>
    </row>
    <row r="567" ht="15" customHeight="1">
      <c r="A567" t="inlineStr">
        <is>
          <t>A 1182-2025</t>
        </is>
      </c>
      <c r="B567" s="1" t="n">
        <v>45667.35712962963</v>
      </c>
      <c r="C567" s="1" t="n">
        <v>45982</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46665-2023</t>
        </is>
      </c>
      <c r="B568" s="1" t="n">
        <v>45198.47399305556</v>
      </c>
      <c r="C568" s="1" t="n">
        <v>45982</v>
      </c>
      <c r="D568" t="inlineStr">
        <is>
          <t>DALARNAS LÄN</t>
        </is>
      </c>
      <c r="E568" t="inlineStr">
        <is>
          <t>LEKSAND</t>
        </is>
      </c>
      <c r="G568" t="n">
        <v>0.6</v>
      </c>
      <c r="H568" t="n">
        <v>0</v>
      </c>
      <c r="I568" t="n">
        <v>0</v>
      </c>
      <c r="J568" t="n">
        <v>0</v>
      </c>
      <c r="K568" t="n">
        <v>0</v>
      </c>
      <c r="L568" t="n">
        <v>0</v>
      </c>
      <c r="M568" t="n">
        <v>0</v>
      </c>
      <c r="N568" t="n">
        <v>0</v>
      </c>
      <c r="O568" t="n">
        <v>0</v>
      </c>
      <c r="P568" t="n">
        <v>0</v>
      </c>
      <c r="Q568" t="n">
        <v>0</v>
      </c>
      <c r="R568" s="2" t="inlineStr"/>
    </row>
    <row r="569" ht="15" customHeight="1">
      <c r="A569" t="inlineStr">
        <is>
          <t>A 56943-2024</t>
        </is>
      </c>
      <c r="B569" s="1" t="n">
        <v>45625</v>
      </c>
      <c r="C569" s="1" t="n">
        <v>45982</v>
      </c>
      <c r="D569" t="inlineStr">
        <is>
          <t>DALARNAS LÄN</t>
        </is>
      </c>
      <c r="E569" t="inlineStr">
        <is>
          <t>LEKSAND</t>
        </is>
      </c>
      <c r="G569" t="n">
        <v>0.7</v>
      </c>
      <c r="H569" t="n">
        <v>0</v>
      </c>
      <c r="I569" t="n">
        <v>0</v>
      </c>
      <c r="J569" t="n">
        <v>0</v>
      </c>
      <c r="K569" t="n">
        <v>0</v>
      </c>
      <c r="L569" t="n">
        <v>0</v>
      </c>
      <c r="M569" t="n">
        <v>0</v>
      </c>
      <c r="N569" t="n">
        <v>0</v>
      </c>
      <c r="O569" t="n">
        <v>0</v>
      </c>
      <c r="P569" t="n">
        <v>0</v>
      </c>
      <c r="Q569" t="n">
        <v>0</v>
      </c>
      <c r="R569" s="2" t="inlineStr"/>
    </row>
    <row r="570" ht="15" customHeight="1">
      <c r="A570" t="inlineStr">
        <is>
          <t>A 60715-2022</t>
        </is>
      </c>
      <c r="B570" s="1" t="n">
        <v>44912</v>
      </c>
      <c r="C570" s="1" t="n">
        <v>45982</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15619-2025</t>
        </is>
      </c>
      <c r="B571" s="1" t="n">
        <v>45747</v>
      </c>
      <c r="C571" s="1" t="n">
        <v>45982</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21954-2023</t>
        </is>
      </c>
      <c r="B572" s="1" t="n">
        <v>45068</v>
      </c>
      <c r="C572" s="1" t="n">
        <v>45982</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14797-2025</t>
        </is>
      </c>
      <c r="B573" s="1" t="n">
        <v>45742.90363425926</v>
      </c>
      <c r="C573" s="1" t="n">
        <v>45982</v>
      </c>
      <c r="D573" t="inlineStr">
        <is>
          <t>DALARNAS LÄN</t>
        </is>
      </c>
      <c r="E573" t="inlineStr">
        <is>
          <t>LEKSAND</t>
        </is>
      </c>
      <c r="G573" t="n">
        <v>1.4</v>
      </c>
      <c r="H573" t="n">
        <v>0</v>
      </c>
      <c r="I573" t="n">
        <v>0</v>
      </c>
      <c r="J573" t="n">
        <v>0</v>
      </c>
      <c r="K573" t="n">
        <v>0</v>
      </c>
      <c r="L573" t="n">
        <v>0</v>
      </c>
      <c r="M573" t="n">
        <v>0</v>
      </c>
      <c r="N573" t="n">
        <v>0</v>
      </c>
      <c r="O573" t="n">
        <v>0</v>
      </c>
      <c r="P573" t="n">
        <v>0</v>
      </c>
      <c r="Q573" t="n">
        <v>0</v>
      </c>
      <c r="R573" s="2" t="inlineStr"/>
    </row>
    <row r="574" ht="15" customHeight="1">
      <c r="A574" t="inlineStr">
        <is>
          <t>A 59751-2024</t>
        </is>
      </c>
      <c r="B574" s="1" t="n">
        <v>45638</v>
      </c>
      <c r="C574" s="1" t="n">
        <v>45982</v>
      </c>
      <c r="D574" t="inlineStr">
        <is>
          <t>DALARNAS LÄN</t>
        </is>
      </c>
      <c r="E574" t="inlineStr">
        <is>
          <t>LEKSAND</t>
        </is>
      </c>
      <c r="G574" t="n">
        <v>5.2</v>
      </c>
      <c r="H574" t="n">
        <v>0</v>
      </c>
      <c r="I574" t="n">
        <v>0</v>
      </c>
      <c r="J574" t="n">
        <v>0</v>
      </c>
      <c r="K574" t="n">
        <v>0</v>
      </c>
      <c r="L574" t="n">
        <v>0</v>
      </c>
      <c r="M574" t="n">
        <v>0</v>
      </c>
      <c r="N574" t="n">
        <v>0</v>
      </c>
      <c r="O574" t="n">
        <v>0</v>
      </c>
      <c r="P574" t="n">
        <v>0</v>
      </c>
      <c r="Q574" t="n">
        <v>0</v>
      </c>
      <c r="R574" s="2" t="inlineStr"/>
    </row>
    <row r="575" ht="15" customHeight="1">
      <c r="A575" t="inlineStr">
        <is>
          <t>A 28128-2022</t>
        </is>
      </c>
      <c r="B575" s="1" t="n">
        <v>44746.50628472222</v>
      </c>
      <c r="C575" s="1" t="n">
        <v>45982</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61787-2022</t>
        </is>
      </c>
      <c r="B576" s="1" t="n">
        <v>44917</v>
      </c>
      <c r="C576" s="1" t="n">
        <v>45982</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61269-2022</t>
        </is>
      </c>
      <c r="B577" s="1" t="n">
        <v>44909</v>
      </c>
      <c r="C577" s="1" t="n">
        <v>45982</v>
      </c>
      <c r="D577" t="inlineStr">
        <is>
          <t>DALARNAS LÄN</t>
        </is>
      </c>
      <c r="E577" t="inlineStr">
        <is>
          <t>LEKSAND</t>
        </is>
      </c>
      <c r="G577" t="n">
        <v>4.2</v>
      </c>
      <c r="H577" t="n">
        <v>0</v>
      </c>
      <c r="I577" t="n">
        <v>0</v>
      </c>
      <c r="J577" t="n">
        <v>0</v>
      </c>
      <c r="K577" t="n">
        <v>0</v>
      </c>
      <c r="L577" t="n">
        <v>0</v>
      </c>
      <c r="M577" t="n">
        <v>0</v>
      </c>
      <c r="N577" t="n">
        <v>0</v>
      </c>
      <c r="O577" t="n">
        <v>0</v>
      </c>
      <c r="P577" t="n">
        <v>0</v>
      </c>
      <c r="Q577" t="n">
        <v>0</v>
      </c>
      <c r="R577" s="2" t="inlineStr"/>
    </row>
    <row r="578" ht="15" customHeight="1">
      <c r="A578" t="inlineStr">
        <is>
          <t>A 64933-2023</t>
        </is>
      </c>
      <c r="B578" s="1" t="n">
        <v>45282</v>
      </c>
      <c r="C578" s="1" t="n">
        <v>45982</v>
      </c>
      <c r="D578" t="inlineStr">
        <is>
          <t>DALARNAS LÄN</t>
        </is>
      </c>
      <c r="E578" t="inlineStr">
        <is>
          <t>LEKSAND</t>
        </is>
      </c>
      <c r="G578" t="n">
        <v>2.3</v>
      </c>
      <c r="H578" t="n">
        <v>0</v>
      </c>
      <c r="I578" t="n">
        <v>0</v>
      </c>
      <c r="J578" t="n">
        <v>0</v>
      </c>
      <c r="K578" t="n">
        <v>0</v>
      </c>
      <c r="L578" t="n">
        <v>0</v>
      </c>
      <c r="M578" t="n">
        <v>0</v>
      </c>
      <c r="N578" t="n">
        <v>0</v>
      </c>
      <c r="O578" t="n">
        <v>0</v>
      </c>
      <c r="P578" t="n">
        <v>0</v>
      </c>
      <c r="Q578" t="n">
        <v>0</v>
      </c>
      <c r="R578" s="2" t="inlineStr"/>
    </row>
    <row r="579" ht="15" customHeight="1">
      <c r="A579" t="inlineStr">
        <is>
          <t>A 24003-2024</t>
        </is>
      </c>
      <c r="B579" s="1" t="n">
        <v>45456.39003472222</v>
      </c>
      <c r="C579" s="1" t="n">
        <v>45982</v>
      </c>
      <c r="D579" t="inlineStr">
        <is>
          <t>DALARNAS LÄN</t>
        </is>
      </c>
      <c r="E579" t="inlineStr">
        <is>
          <t>LEKSAND</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34585-2024</t>
        </is>
      </c>
      <c r="B580" s="1" t="n">
        <v>45526.37697916666</v>
      </c>
      <c r="C580" s="1" t="n">
        <v>45982</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10743-2024</t>
        </is>
      </c>
      <c r="B581" s="1" t="n">
        <v>45369.52167824074</v>
      </c>
      <c r="C581" s="1" t="n">
        <v>45982</v>
      </c>
      <c r="D581" t="inlineStr">
        <is>
          <t>DALARNAS LÄN</t>
        </is>
      </c>
      <c r="E581" t="inlineStr">
        <is>
          <t>LEKSAND</t>
        </is>
      </c>
      <c r="G581" t="n">
        <v>2.7</v>
      </c>
      <c r="H581" t="n">
        <v>0</v>
      </c>
      <c r="I581" t="n">
        <v>0</v>
      </c>
      <c r="J581" t="n">
        <v>0</v>
      </c>
      <c r="K581" t="n">
        <v>0</v>
      </c>
      <c r="L581" t="n">
        <v>0</v>
      </c>
      <c r="M581" t="n">
        <v>0</v>
      </c>
      <c r="N581" t="n">
        <v>0</v>
      </c>
      <c r="O581" t="n">
        <v>0</v>
      </c>
      <c r="P581" t="n">
        <v>0</v>
      </c>
      <c r="Q581" t="n">
        <v>0</v>
      </c>
      <c r="R581" s="2" t="inlineStr"/>
    </row>
    <row r="582" ht="15" customHeight="1">
      <c r="A582" t="inlineStr">
        <is>
          <t>A 10771-2024</t>
        </is>
      </c>
      <c r="B582" s="1" t="n">
        <v>45369.57342592593</v>
      </c>
      <c r="C582" s="1" t="n">
        <v>45982</v>
      </c>
      <c r="D582" t="inlineStr">
        <is>
          <t>DALARNAS LÄN</t>
        </is>
      </c>
      <c r="E582" t="inlineStr">
        <is>
          <t>LEKSAND</t>
        </is>
      </c>
      <c r="G582" t="n">
        <v>0.4</v>
      </c>
      <c r="H582" t="n">
        <v>0</v>
      </c>
      <c r="I582" t="n">
        <v>0</v>
      </c>
      <c r="J582" t="n">
        <v>0</v>
      </c>
      <c r="K582" t="n">
        <v>0</v>
      </c>
      <c r="L582" t="n">
        <v>0</v>
      </c>
      <c r="M582" t="n">
        <v>0</v>
      </c>
      <c r="N582" t="n">
        <v>0</v>
      </c>
      <c r="O582" t="n">
        <v>0</v>
      </c>
      <c r="P582" t="n">
        <v>0</v>
      </c>
      <c r="Q582" t="n">
        <v>0</v>
      </c>
      <c r="R582" s="2" t="inlineStr"/>
    </row>
    <row r="583" ht="15" customHeight="1">
      <c r="A583" t="inlineStr">
        <is>
          <t>A 56941-2024</t>
        </is>
      </c>
      <c r="B583" s="1" t="n">
        <v>45625</v>
      </c>
      <c r="C583" s="1" t="n">
        <v>45982</v>
      </c>
      <c r="D583" t="inlineStr">
        <is>
          <t>DALARNAS LÄN</t>
        </is>
      </c>
      <c r="E583" t="inlineStr">
        <is>
          <t>LEKSAND</t>
        </is>
      </c>
      <c r="G583" t="n">
        <v>1.8</v>
      </c>
      <c r="H583" t="n">
        <v>0</v>
      </c>
      <c r="I583" t="n">
        <v>0</v>
      </c>
      <c r="J583" t="n">
        <v>0</v>
      </c>
      <c r="K583" t="n">
        <v>0</v>
      </c>
      <c r="L583" t="n">
        <v>0</v>
      </c>
      <c r="M583" t="n">
        <v>0</v>
      </c>
      <c r="N583" t="n">
        <v>0</v>
      </c>
      <c r="O583" t="n">
        <v>0</v>
      </c>
      <c r="P583" t="n">
        <v>0</v>
      </c>
      <c r="Q583" t="n">
        <v>0</v>
      </c>
      <c r="R583" s="2" t="inlineStr"/>
    </row>
    <row r="584" ht="15" customHeight="1">
      <c r="A584" t="inlineStr">
        <is>
          <t>A 16051-2023</t>
        </is>
      </c>
      <c r="B584" s="1" t="n">
        <v>45027</v>
      </c>
      <c r="C584" s="1" t="n">
        <v>45982</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63514-2023</t>
        </is>
      </c>
      <c r="B585" s="1" t="n">
        <v>45274</v>
      </c>
      <c r="C585" s="1" t="n">
        <v>45982</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2311-2021</t>
        </is>
      </c>
      <c r="B586" s="1" t="n">
        <v>44213</v>
      </c>
      <c r="C586" s="1" t="n">
        <v>45982</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46446-2023</t>
        </is>
      </c>
      <c r="B587" s="1" t="n">
        <v>45197.59344907408</v>
      </c>
      <c r="C587" s="1" t="n">
        <v>45982</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52100-2024</t>
        </is>
      </c>
      <c r="B588" s="1" t="n">
        <v>45608.41634259259</v>
      </c>
      <c r="C588" s="1" t="n">
        <v>45982</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53981-2024</t>
        </is>
      </c>
      <c r="B589" s="1" t="n">
        <v>45615</v>
      </c>
      <c r="C589" s="1" t="n">
        <v>45982</v>
      </c>
      <c r="D589" t="inlineStr">
        <is>
          <t>DALARNAS LÄN</t>
        </is>
      </c>
      <c r="E589" t="inlineStr">
        <is>
          <t>LEKSAND</t>
        </is>
      </c>
      <c r="G589" t="n">
        <v>5.4</v>
      </c>
      <c r="H589" t="n">
        <v>0</v>
      </c>
      <c r="I589" t="n">
        <v>0</v>
      </c>
      <c r="J589" t="n">
        <v>0</v>
      </c>
      <c r="K589" t="n">
        <v>0</v>
      </c>
      <c r="L589" t="n">
        <v>0</v>
      </c>
      <c r="M589" t="n">
        <v>0</v>
      </c>
      <c r="N589" t="n">
        <v>0</v>
      </c>
      <c r="O589" t="n">
        <v>0</v>
      </c>
      <c r="P589" t="n">
        <v>0</v>
      </c>
      <c r="Q589" t="n">
        <v>0</v>
      </c>
      <c r="R589" s="2" t="inlineStr"/>
    </row>
    <row r="590" ht="15" customHeight="1">
      <c r="A590" t="inlineStr">
        <is>
          <t>A 34033-2024</t>
        </is>
      </c>
      <c r="B590" s="1" t="n">
        <v>45523.59265046296</v>
      </c>
      <c r="C590" s="1" t="n">
        <v>45982</v>
      </c>
      <c r="D590" t="inlineStr">
        <is>
          <t>DALARNAS LÄN</t>
        </is>
      </c>
      <c r="E590" t="inlineStr">
        <is>
          <t>LEKSAND</t>
        </is>
      </c>
      <c r="G590" t="n">
        <v>2.6</v>
      </c>
      <c r="H590" t="n">
        <v>0</v>
      </c>
      <c r="I590" t="n">
        <v>0</v>
      </c>
      <c r="J590" t="n">
        <v>0</v>
      </c>
      <c r="K590" t="n">
        <v>0</v>
      </c>
      <c r="L590" t="n">
        <v>0</v>
      </c>
      <c r="M590" t="n">
        <v>0</v>
      </c>
      <c r="N590" t="n">
        <v>0</v>
      </c>
      <c r="O590" t="n">
        <v>0</v>
      </c>
      <c r="P590" t="n">
        <v>0</v>
      </c>
      <c r="Q590" t="n">
        <v>0</v>
      </c>
      <c r="R590" s="2" t="inlineStr"/>
    </row>
    <row r="591" ht="15" customHeight="1">
      <c r="A591" t="inlineStr">
        <is>
          <t>A 14504-2025</t>
        </is>
      </c>
      <c r="B591" s="1" t="n">
        <v>45741</v>
      </c>
      <c r="C591" s="1" t="n">
        <v>45982</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64516-2023</t>
        </is>
      </c>
      <c r="B592" s="1" t="n">
        <v>45280</v>
      </c>
      <c r="C592" s="1" t="n">
        <v>45982</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45788-2021</t>
        </is>
      </c>
      <c r="B593" s="1" t="n">
        <v>44441</v>
      </c>
      <c r="C593" s="1" t="n">
        <v>45982</v>
      </c>
      <c r="D593" t="inlineStr">
        <is>
          <t>DALARNAS LÄN</t>
        </is>
      </c>
      <c r="E593" t="inlineStr">
        <is>
          <t>LEKSAND</t>
        </is>
      </c>
      <c r="G593" t="n">
        <v>3</v>
      </c>
      <c r="H593" t="n">
        <v>0</v>
      </c>
      <c r="I593" t="n">
        <v>0</v>
      </c>
      <c r="J593" t="n">
        <v>0</v>
      </c>
      <c r="K593" t="n">
        <v>0</v>
      </c>
      <c r="L593" t="n">
        <v>0</v>
      </c>
      <c r="M593" t="n">
        <v>0</v>
      </c>
      <c r="N593" t="n">
        <v>0</v>
      </c>
      <c r="O593" t="n">
        <v>0</v>
      </c>
      <c r="P593" t="n">
        <v>0</v>
      </c>
      <c r="Q593" t="n">
        <v>0</v>
      </c>
      <c r="R593" s="2" t="inlineStr"/>
    </row>
    <row r="594" ht="15" customHeight="1">
      <c r="A594" t="inlineStr">
        <is>
          <t>A 52977-2022</t>
        </is>
      </c>
      <c r="B594" s="1" t="n">
        <v>44875</v>
      </c>
      <c r="C594" s="1" t="n">
        <v>45982</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43221-2024</t>
        </is>
      </c>
      <c r="B595" s="1" t="n">
        <v>45567.86695601852</v>
      </c>
      <c r="C595" s="1" t="n">
        <v>45982</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17589-2025</t>
        </is>
      </c>
      <c r="B596" s="1" t="n">
        <v>45757.67844907408</v>
      </c>
      <c r="C596" s="1" t="n">
        <v>45982</v>
      </c>
      <c r="D596" t="inlineStr">
        <is>
          <t>DALARNAS LÄN</t>
        </is>
      </c>
      <c r="E596" t="inlineStr">
        <is>
          <t>LEKSAND</t>
        </is>
      </c>
      <c r="G596" t="n">
        <v>5.8</v>
      </c>
      <c r="H596" t="n">
        <v>0</v>
      </c>
      <c r="I596" t="n">
        <v>0</v>
      </c>
      <c r="J596" t="n">
        <v>0</v>
      </c>
      <c r="K596" t="n">
        <v>0</v>
      </c>
      <c r="L596" t="n">
        <v>0</v>
      </c>
      <c r="M596" t="n">
        <v>0</v>
      </c>
      <c r="N596" t="n">
        <v>0</v>
      </c>
      <c r="O596" t="n">
        <v>0</v>
      </c>
      <c r="P596" t="n">
        <v>0</v>
      </c>
      <c r="Q596" t="n">
        <v>0</v>
      </c>
      <c r="R596" s="2" t="inlineStr"/>
    </row>
    <row r="597" ht="15" customHeight="1">
      <c r="A597" t="inlineStr">
        <is>
          <t>A 29157-2022</t>
        </is>
      </c>
      <c r="B597" s="1" t="n">
        <v>44750.48355324074</v>
      </c>
      <c r="C597" s="1" t="n">
        <v>45982</v>
      </c>
      <c r="D597" t="inlineStr">
        <is>
          <t>DALARNAS LÄN</t>
        </is>
      </c>
      <c r="E597" t="inlineStr">
        <is>
          <t>LEKSAND</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11080-2023</t>
        </is>
      </c>
      <c r="B598" s="1" t="n">
        <v>44992</v>
      </c>
      <c r="C598" s="1" t="n">
        <v>45982</v>
      </c>
      <c r="D598" t="inlineStr">
        <is>
          <t>DALARNAS LÄN</t>
        </is>
      </c>
      <c r="E598" t="inlineStr">
        <is>
          <t>LEKSAND</t>
        </is>
      </c>
      <c r="G598" t="n">
        <v>6.9</v>
      </c>
      <c r="H598" t="n">
        <v>0</v>
      </c>
      <c r="I598" t="n">
        <v>0</v>
      </c>
      <c r="J598" t="n">
        <v>0</v>
      </c>
      <c r="K598" t="n">
        <v>0</v>
      </c>
      <c r="L598" t="n">
        <v>0</v>
      </c>
      <c r="M598" t="n">
        <v>0</v>
      </c>
      <c r="N598" t="n">
        <v>0</v>
      </c>
      <c r="O598" t="n">
        <v>0</v>
      </c>
      <c r="P598" t="n">
        <v>0</v>
      </c>
      <c r="Q598" t="n">
        <v>0</v>
      </c>
      <c r="R598" s="2" t="inlineStr"/>
    </row>
    <row r="599" ht="15" customHeight="1">
      <c r="A599" t="inlineStr">
        <is>
          <t>A 320-2023</t>
        </is>
      </c>
      <c r="B599" s="1" t="n">
        <v>44929</v>
      </c>
      <c r="C599" s="1" t="n">
        <v>45982</v>
      </c>
      <c r="D599" t="inlineStr">
        <is>
          <t>DALARNAS LÄN</t>
        </is>
      </c>
      <c r="E599" t="inlineStr">
        <is>
          <t>LEKSAND</t>
        </is>
      </c>
      <c r="F599" t="inlineStr">
        <is>
          <t>Övriga Aktiebolag</t>
        </is>
      </c>
      <c r="G599" t="n">
        <v>5.4</v>
      </c>
      <c r="H599" t="n">
        <v>0</v>
      </c>
      <c r="I599" t="n">
        <v>0</v>
      </c>
      <c r="J599" t="n">
        <v>0</v>
      </c>
      <c r="K599" t="n">
        <v>0</v>
      </c>
      <c r="L599" t="n">
        <v>0</v>
      </c>
      <c r="M599" t="n">
        <v>0</v>
      </c>
      <c r="N599" t="n">
        <v>0</v>
      </c>
      <c r="O599" t="n">
        <v>0</v>
      </c>
      <c r="P599" t="n">
        <v>0</v>
      </c>
      <c r="Q599" t="n">
        <v>0</v>
      </c>
      <c r="R599" s="2" t="inlineStr"/>
    </row>
    <row r="600" ht="15" customHeight="1">
      <c r="A600" t="inlineStr">
        <is>
          <t>A 40181-2023</t>
        </is>
      </c>
      <c r="B600" s="1" t="n">
        <v>45169</v>
      </c>
      <c r="C600" s="1" t="n">
        <v>45982</v>
      </c>
      <c r="D600" t="inlineStr">
        <is>
          <t>DALARNAS LÄN</t>
        </is>
      </c>
      <c r="E600" t="inlineStr">
        <is>
          <t>LEKSAND</t>
        </is>
      </c>
      <c r="G600" t="n">
        <v>2.8</v>
      </c>
      <c r="H600" t="n">
        <v>0</v>
      </c>
      <c r="I600" t="n">
        <v>0</v>
      </c>
      <c r="J600" t="n">
        <v>0</v>
      </c>
      <c r="K600" t="n">
        <v>0</v>
      </c>
      <c r="L600" t="n">
        <v>0</v>
      </c>
      <c r="M600" t="n">
        <v>0</v>
      </c>
      <c r="N600" t="n">
        <v>0</v>
      </c>
      <c r="O600" t="n">
        <v>0</v>
      </c>
      <c r="P600" t="n">
        <v>0</v>
      </c>
      <c r="Q600" t="n">
        <v>0</v>
      </c>
      <c r="R600" s="2" t="inlineStr"/>
    </row>
    <row r="601" ht="15" customHeight="1">
      <c r="A601" t="inlineStr">
        <is>
          <t>A 63544-2023</t>
        </is>
      </c>
      <c r="B601" s="1" t="n">
        <v>45275</v>
      </c>
      <c r="C601" s="1" t="n">
        <v>45982</v>
      </c>
      <c r="D601" t="inlineStr">
        <is>
          <t>DALARNAS LÄN</t>
        </is>
      </c>
      <c r="E601" t="inlineStr">
        <is>
          <t>LEKSAND</t>
        </is>
      </c>
      <c r="G601" t="n">
        <v>0.3</v>
      </c>
      <c r="H601" t="n">
        <v>0</v>
      </c>
      <c r="I601" t="n">
        <v>0</v>
      </c>
      <c r="J601" t="n">
        <v>0</v>
      </c>
      <c r="K601" t="n">
        <v>0</v>
      </c>
      <c r="L601" t="n">
        <v>0</v>
      </c>
      <c r="M601" t="n">
        <v>0</v>
      </c>
      <c r="N601" t="n">
        <v>0</v>
      </c>
      <c r="O601" t="n">
        <v>0</v>
      </c>
      <c r="P601" t="n">
        <v>0</v>
      </c>
      <c r="Q601" t="n">
        <v>0</v>
      </c>
      <c r="R601" s="2" t="inlineStr"/>
    </row>
    <row r="602" ht="15" customHeight="1">
      <c r="A602" t="inlineStr">
        <is>
          <t>A 58877-2023</t>
        </is>
      </c>
      <c r="B602" s="1" t="n">
        <v>45252</v>
      </c>
      <c r="C602" s="1" t="n">
        <v>45982</v>
      </c>
      <c r="D602" t="inlineStr">
        <is>
          <t>DALARNAS LÄN</t>
        </is>
      </c>
      <c r="E602" t="inlineStr">
        <is>
          <t>LEKSAND</t>
        </is>
      </c>
      <c r="G602" t="n">
        <v>1.9</v>
      </c>
      <c r="H602" t="n">
        <v>0</v>
      </c>
      <c r="I602" t="n">
        <v>0</v>
      </c>
      <c r="J602" t="n">
        <v>0</v>
      </c>
      <c r="K602" t="n">
        <v>0</v>
      </c>
      <c r="L602" t="n">
        <v>0</v>
      </c>
      <c r="M602" t="n">
        <v>0</v>
      </c>
      <c r="N602" t="n">
        <v>0</v>
      </c>
      <c r="O602" t="n">
        <v>0</v>
      </c>
      <c r="P602" t="n">
        <v>0</v>
      </c>
      <c r="Q602" t="n">
        <v>0</v>
      </c>
      <c r="R602" s="2" t="inlineStr"/>
    </row>
    <row r="603" ht="15" customHeight="1">
      <c r="A603" t="inlineStr">
        <is>
          <t>A 51377-2023</t>
        </is>
      </c>
      <c r="B603" s="1" t="n">
        <v>45219</v>
      </c>
      <c r="C603" s="1" t="n">
        <v>45982</v>
      </c>
      <c r="D603" t="inlineStr">
        <is>
          <t>DALARNAS LÄN</t>
        </is>
      </c>
      <c r="E603" t="inlineStr">
        <is>
          <t>LEKSAND</t>
        </is>
      </c>
      <c r="G603" t="n">
        <v>0.9</v>
      </c>
      <c r="H603" t="n">
        <v>0</v>
      </c>
      <c r="I603" t="n">
        <v>0</v>
      </c>
      <c r="J603" t="n">
        <v>0</v>
      </c>
      <c r="K603" t="n">
        <v>0</v>
      </c>
      <c r="L603" t="n">
        <v>0</v>
      </c>
      <c r="M603" t="n">
        <v>0</v>
      </c>
      <c r="N603" t="n">
        <v>0</v>
      </c>
      <c r="O603" t="n">
        <v>0</v>
      </c>
      <c r="P603" t="n">
        <v>0</v>
      </c>
      <c r="Q603" t="n">
        <v>0</v>
      </c>
      <c r="R603" s="2" t="inlineStr"/>
    </row>
    <row r="604" ht="15" customHeight="1">
      <c r="A604" t="inlineStr">
        <is>
          <t>A 52572-2024</t>
        </is>
      </c>
      <c r="B604" s="1" t="n">
        <v>45609.66488425926</v>
      </c>
      <c r="C604" s="1" t="n">
        <v>45982</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41853-2023</t>
        </is>
      </c>
      <c r="B605" s="1" t="n">
        <v>45176.62483796296</v>
      </c>
      <c r="C605" s="1" t="n">
        <v>45982</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27520-2023</t>
        </is>
      </c>
      <c r="B606" s="1" t="n">
        <v>45097</v>
      </c>
      <c r="C606" s="1" t="n">
        <v>45982</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55926-2024</t>
        </is>
      </c>
      <c r="B607" s="1" t="n">
        <v>45623.601875</v>
      </c>
      <c r="C607" s="1" t="n">
        <v>45982</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49405-2024</t>
        </is>
      </c>
      <c r="B608" s="1" t="n">
        <v>45595</v>
      </c>
      <c r="C608" s="1" t="n">
        <v>45982</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17078-2023</t>
        </is>
      </c>
      <c r="B609" s="1" t="n">
        <v>45034</v>
      </c>
      <c r="C609" s="1" t="n">
        <v>45982</v>
      </c>
      <c r="D609" t="inlineStr">
        <is>
          <t>DALARNAS LÄN</t>
        </is>
      </c>
      <c r="E609" t="inlineStr">
        <is>
          <t>LEKSAND</t>
        </is>
      </c>
      <c r="G609" t="n">
        <v>0.5</v>
      </c>
      <c r="H609" t="n">
        <v>0</v>
      </c>
      <c r="I609" t="n">
        <v>0</v>
      </c>
      <c r="J609" t="n">
        <v>0</v>
      </c>
      <c r="K609" t="n">
        <v>0</v>
      </c>
      <c r="L609" t="n">
        <v>0</v>
      </c>
      <c r="M609" t="n">
        <v>0</v>
      </c>
      <c r="N609" t="n">
        <v>0</v>
      </c>
      <c r="O609" t="n">
        <v>0</v>
      </c>
      <c r="P609" t="n">
        <v>0</v>
      </c>
      <c r="Q609" t="n">
        <v>0</v>
      </c>
      <c r="R609" s="2" t="inlineStr"/>
    </row>
    <row r="610" ht="15" customHeight="1">
      <c r="A610" t="inlineStr">
        <is>
          <t>A 11110-2023</t>
        </is>
      </c>
      <c r="B610" s="1" t="n">
        <v>44992</v>
      </c>
      <c r="C610" s="1" t="n">
        <v>45982</v>
      </c>
      <c r="D610" t="inlineStr">
        <is>
          <t>DALARNAS LÄN</t>
        </is>
      </c>
      <c r="E610" t="inlineStr">
        <is>
          <t>LEKSAND</t>
        </is>
      </c>
      <c r="G610" t="n">
        <v>11.2</v>
      </c>
      <c r="H610" t="n">
        <v>0</v>
      </c>
      <c r="I610" t="n">
        <v>0</v>
      </c>
      <c r="J610" t="n">
        <v>0</v>
      </c>
      <c r="K610" t="n">
        <v>0</v>
      </c>
      <c r="L610" t="n">
        <v>0</v>
      </c>
      <c r="M610" t="n">
        <v>0</v>
      </c>
      <c r="N610" t="n">
        <v>0</v>
      </c>
      <c r="O610" t="n">
        <v>0</v>
      </c>
      <c r="P610" t="n">
        <v>0</v>
      </c>
      <c r="Q610" t="n">
        <v>0</v>
      </c>
      <c r="R610" s="2" t="inlineStr"/>
    </row>
    <row r="611" ht="15" customHeight="1">
      <c r="A611" t="inlineStr">
        <is>
          <t>A 56059-2024</t>
        </is>
      </c>
      <c r="B611" s="1" t="n">
        <v>45624.36729166667</v>
      </c>
      <c r="C611" s="1" t="n">
        <v>45982</v>
      </c>
      <c r="D611" t="inlineStr">
        <is>
          <t>DALARNAS LÄN</t>
        </is>
      </c>
      <c r="E611" t="inlineStr">
        <is>
          <t>LEKSAND</t>
        </is>
      </c>
      <c r="G611" t="n">
        <v>3.1</v>
      </c>
      <c r="H611" t="n">
        <v>0</v>
      </c>
      <c r="I611" t="n">
        <v>0</v>
      </c>
      <c r="J611" t="n">
        <v>0</v>
      </c>
      <c r="K611" t="n">
        <v>0</v>
      </c>
      <c r="L611" t="n">
        <v>0</v>
      </c>
      <c r="M611" t="n">
        <v>0</v>
      </c>
      <c r="N611" t="n">
        <v>0</v>
      </c>
      <c r="O611" t="n">
        <v>0</v>
      </c>
      <c r="P611" t="n">
        <v>0</v>
      </c>
      <c r="Q611" t="n">
        <v>0</v>
      </c>
      <c r="R611" s="2" t="inlineStr"/>
    </row>
    <row r="612" ht="15" customHeight="1">
      <c r="A612" t="inlineStr">
        <is>
          <t>A 45943-2022</t>
        </is>
      </c>
      <c r="B612" s="1" t="n">
        <v>44846.64418981481</v>
      </c>
      <c r="C612" s="1" t="n">
        <v>45982</v>
      </c>
      <c r="D612" t="inlineStr">
        <is>
          <t>DALARNAS LÄN</t>
        </is>
      </c>
      <c r="E612" t="inlineStr">
        <is>
          <t>LEKSAND</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7928-2023</t>
        </is>
      </c>
      <c r="B613" s="1" t="n">
        <v>44973</v>
      </c>
      <c r="C613" s="1" t="n">
        <v>45982</v>
      </c>
      <c r="D613" t="inlineStr">
        <is>
          <t>DALARNAS LÄN</t>
        </is>
      </c>
      <c r="E613" t="inlineStr">
        <is>
          <t>LEKSAND</t>
        </is>
      </c>
      <c r="G613" t="n">
        <v>1.9</v>
      </c>
      <c r="H613" t="n">
        <v>0</v>
      </c>
      <c r="I613" t="n">
        <v>0</v>
      </c>
      <c r="J613" t="n">
        <v>0</v>
      </c>
      <c r="K613" t="n">
        <v>0</v>
      </c>
      <c r="L613" t="n">
        <v>0</v>
      </c>
      <c r="M613" t="n">
        <v>0</v>
      </c>
      <c r="N613" t="n">
        <v>0</v>
      </c>
      <c r="O613" t="n">
        <v>0</v>
      </c>
      <c r="P613" t="n">
        <v>0</v>
      </c>
      <c r="Q613" t="n">
        <v>0</v>
      </c>
      <c r="R613" s="2" t="inlineStr"/>
    </row>
    <row r="614" ht="15" customHeight="1">
      <c r="A614" t="inlineStr">
        <is>
          <t>A 60113-2022</t>
        </is>
      </c>
      <c r="B614" s="1" t="n">
        <v>44909</v>
      </c>
      <c r="C614" s="1" t="n">
        <v>45982</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19550-2023</t>
        </is>
      </c>
      <c r="B615" s="1" t="n">
        <v>45049</v>
      </c>
      <c r="C615" s="1" t="n">
        <v>45982</v>
      </c>
      <c r="D615" t="inlineStr">
        <is>
          <t>DALARNAS LÄN</t>
        </is>
      </c>
      <c r="E615" t="inlineStr">
        <is>
          <t>LEKSAND</t>
        </is>
      </c>
      <c r="G615" t="n">
        <v>1.1</v>
      </c>
      <c r="H615" t="n">
        <v>0</v>
      </c>
      <c r="I615" t="n">
        <v>0</v>
      </c>
      <c r="J615" t="n">
        <v>0</v>
      </c>
      <c r="K615" t="n">
        <v>0</v>
      </c>
      <c r="L615" t="n">
        <v>0</v>
      </c>
      <c r="M615" t="n">
        <v>0</v>
      </c>
      <c r="N615" t="n">
        <v>0</v>
      </c>
      <c r="O615" t="n">
        <v>0</v>
      </c>
      <c r="P615" t="n">
        <v>0</v>
      </c>
      <c r="Q615" t="n">
        <v>0</v>
      </c>
      <c r="R615" s="2" t="inlineStr"/>
    </row>
    <row r="616" ht="15" customHeight="1">
      <c r="A616" t="inlineStr">
        <is>
          <t>A 31915-2024</t>
        </is>
      </c>
      <c r="B616" s="1" t="n">
        <v>45510.38956018518</v>
      </c>
      <c r="C616" s="1" t="n">
        <v>45982</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51480-2022</t>
        </is>
      </c>
      <c r="B617" s="1" t="n">
        <v>44869.57961805556</v>
      </c>
      <c r="C617" s="1" t="n">
        <v>45982</v>
      </c>
      <c r="D617" t="inlineStr">
        <is>
          <t>DALARNAS LÄN</t>
        </is>
      </c>
      <c r="E617" t="inlineStr">
        <is>
          <t>LEKSAND</t>
        </is>
      </c>
      <c r="F617" t="inlineStr">
        <is>
          <t>Bergvik skog väst AB</t>
        </is>
      </c>
      <c r="G617" t="n">
        <v>1.7</v>
      </c>
      <c r="H617" t="n">
        <v>0</v>
      </c>
      <c r="I617" t="n">
        <v>0</v>
      </c>
      <c r="J617" t="n">
        <v>0</v>
      </c>
      <c r="K617" t="n">
        <v>0</v>
      </c>
      <c r="L617" t="n">
        <v>0</v>
      </c>
      <c r="M617" t="n">
        <v>0</v>
      </c>
      <c r="N617" t="n">
        <v>0</v>
      </c>
      <c r="O617" t="n">
        <v>0</v>
      </c>
      <c r="P617" t="n">
        <v>0</v>
      </c>
      <c r="Q617" t="n">
        <v>0</v>
      </c>
      <c r="R617" s="2" t="inlineStr"/>
    </row>
    <row r="618" ht="15" customHeight="1">
      <c r="A618" t="inlineStr">
        <is>
          <t>A 43220-2024</t>
        </is>
      </c>
      <c r="B618" s="1" t="n">
        <v>45567.86112268519</v>
      </c>
      <c r="C618" s="1" t="n">
        <v>45982</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49397-2024</t>
        </is>
      </c>
      <c r="B619" s="1" t="n">
        <v>45595</v>
      </c>
      <c r="C619" s="1" t="n">
        <v>45982</v>
      </c>
      <c r="D619" t="inlineStr">
        <is>
          <t>DALARNAS LÄN</t>
        </is>
      </c>
      <c r="E619" t="inlineStr">
        <is>
          <t>LEKSAND</t>
        </is>
      </c>
      <c r="G619" t="n">
        <v>4.3</v>
      </c>
      <c r="H619" t="n">
        <v>0</v>
      </c>
      <c r="I619" t="n">
        <v>0</v>
      </c>
      <c r="J619" t="n">
        <v>0</v>
      </c>
      <c r="K619" t="n">
        <v>0</v>
      </c>
      <c r="L619" t="n">
        <v>0</v>
      </c>
      <c r="M619" t="n">
        <v>0</v>
      </c>
      <c r="N619" t="n">
        <v>0</v>
      </c>
      <c r="O619" t="n">
        <v>0</v>
      </c>
      <c r="P619" t="n">
        <v>0</v>
      </c>
      <c r="Q619" t="n">
        <v>0</v>
      </c>
      <c r="R619" s="2" t="inlineStr"/>
    </row>
    <row r="620" ht="15" customHeight="1">
      <c r="A620" t="inlineStr">
        <is>
          <t>A 57907-2024</t>
        </is>
      </c>
      <c r="B620" s="1" t="n">
        <v>45630</v>
      </c>
      <c r="C620" s="1" t="n">
        <v>45982</v>
      </c>
      <c r="D620" t="inlineStr">
        <is>
          <t>DALARNAS LÄN</t>
        </is>
      </c>
      <c r="E620" t="inlineStr">
        <is>
          <t>LEKSAND</t>
        </is>
      </c>
      <c r="G620" t="n">
        <v>1.4</v>
      </c>
      <c r="H620" t="n">
        <v>0</v>
      </c>
      <c r="I620" t="n">
        <v>0</v>
      </c>
      <c r="J620" t="n">
        <v>0</v>
      </c>
      <c r="K620" t="n">
        <v>0</v>
      </c>
      <c r="L620" t="n">
        <v>0</v>
      </c>
      <c r="M620" t="n">
        <v>0</v>
      </c>
      <c r="N620" t="n">
        <v>0</v>
      </c>
      <c r="O620" t="n">
        <v>0</v>
      </c>
      <c r="P620" t="n">
        <v>0</v>
      </c>
      <c r="Q620" t="n">
        <v>0</v>
      </c>
      <c r="R620" s="2" t="inlineStr"/>
    </row>
    <row r="621" ht="15" customHeight="1">
      <c r="A621" t="inlineStr">
        <is>
          <t>A 9105-2024</t>
        </is>
      </c>
      <c r="B621" s="1" t="n">
        <v>45357</v>
      </c>
      <c r="C621" s="1" t="n">
        <v>45982</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24005-2024</t>
        </is>
      </c>
      <c r="B622" s="1" t="n">
        <v>45456.39239583333</v>
      </c>
      <c r="C622" s="1" t="n">
        <v>45982</v>
      </c>
      <c r="D622" t="inlineStr">
        <is>
          <t>DALARNAS LÄN</t>
        </is>
      </c>
      <c r="E622" t="inlineStr">
        <is>
          <t>LEKSAND</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61225-2023</t>
        </is>
      </c>
      <c r="B623" s="1" t="n">
        <v>45264</v>
      </c>
      <c r="C623" s="1" t="n">
        <v>45982</v>
      </c>
      <c r="D623" t="inlineStr">
        <is>
          <t>DALARNAS LÄN</t>
        </is>
      </c>
      <c r="E623" t="inlineStr">
        <is>
          <t>LEKSAND</t>
        </is>
      </c>
      <c r="G623" t="n">
        <v>7</v>
      </c>
      <c r="H623" t="n">
        <v>0</v>
      </c>
      <c r="I623" t="n">
        <v>0</v>
      </c>
      <c r="J623" t="n">
        <v>0</v>
      </c>
      <c r="K623" t="n">
        <v>0</v>
      </c>
      <c r="L623" t="n">
        <v>0</v>
      </c>
      <c r="M623" t="n">
        <v>0</v>
      </c>
      <c r="N623" t="n">
        <v>0</v>
      </c>
      <c r="O623" t="n">
        <v>0</v>
      </c>
      <c r="P623" t="n">
        <v>0</v>
      </c>
      <c r="Q623" t="n">
        <v>0</v>
      </c>
      <c r="R623" s="2" t="inlineStr"/>
    </row>
    <row r="624" ht="15" customHeight="1">
      <c r="A624" t="inlineStr">
        <is>
          <t>A 15968-2025</t>
        </is>
      </c>
      <c r="B624" s="1" t="n">
        <v>45749.54818287037</v>
      </c>
      <c r="C624" s="1" t="n">
        <v>45982</v>
      </c>
      <c r="D624" t="inlineStr">
        <is>
          <t>DALARNAS LÄN</t>
        </is>
      </c>
      <c r="E624" t="inlineStr">
        <is>
          <t>LEKSAND</t>
        </is>
      </c>
      <c r="G624" t="n">
        <v>3.2</v>
      </c>
      <c r="H624" t="n">
        <v>0</v>
      </c>
      <c r="I624" t="n">
        <v>0</v>
      </c>
      <c r="J624" t="n">
        <v>0</v>
      </c>
      <c r="K624" t="n">
        <v>0</v>
      </c>
      <c r="L624" t="n">
        <v>0</v>
      </c>
      <c r="M624" t="n">
        <v>0</v>
      </c>
      <c r="N624" t="n">
        <v>0</v>
      </c>
      <c r="O624" t="n">
        <v>0</v>
      </c>
      <c r="P624" t="n">
        <v>0</v>
      </c>
      <c r="Q624" t="n">
        <v>0</v>
      </c>
      <c r="R624" s="2" t="inlineStr"/>
    </row>
    <row r="625" ht="15" customHeight="1">
      <c r="A625" t="inlineStr">
        <is>
          <t>A 30196-2023</t>
        </is>
      </c>
      <c r="B625" s="1" t="n">
        <v>45110</v>
      </c>
      <c r="C625" s="1" t="n">
        <v>45982</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10833-2023</t>
        </is>
      </c>
      <c r="B626" s="1" t="n">
        <v>44990</v>
      </c>
      <c r="C626" s="1" t="n">
        <v>45982</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47121-2021</t>
        </is>
      </c>
      <c r="B627" s="1" t="n">
        <v>44446</v>
      </c>
      <c r="C627" s="1" t="n">
        <v>45982</v>
      </c>
      <c r="D627" t="inlineStr">
        <is>
          <t>DALARNAS LÄN</t>
        </is>
      </c>
      <c r="E627" t="inlineStr">
        <is>
          <t>LEKSAND</t>
        </is>
      </c>
      <c r="G627" t="n">
        <v>3.5</v>
      </c>
      <c r="H627" t="n">
        <v>0</v>
      </c>
      <c r="I627" t="n">
        <v>0</v>
      </c>
      <c r="J627" t="n">
        <v>0</v>
      </c>
      <c r="K627" t="n">
        <v>0</v>
      </c>
      <c r="L627" t="n">
        <v>0</v>
      </c>
      <c r="M627" t="n">
        <v>0</v>
      </c>
      <c r="N627" t="n">
        <v>0</v>
      </c>
      <c r="O627" t="n">
        <v>0</v>
      </c>
      <c r="P627" t="n">
        <v>0</v>
      </c>
      <c r="Q627" t="n">
        <v>0</v>
      </c>
      <c r="R627" s="2" t="inlineStr"/>
    </row>
    <row r="628" ht="15" customHeight="1">
      <c r="A628" t="inlineStr">
        <is>
          <t>A 36444-2023</t>
        </is>
      </c>
      <c r="B628" s="1" t="n">
        <v>45152.63138888889</v>
      </c>
      <c r="C628" s="1" t="n">
        <v>45982</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21402-2023</t>
        </is>
      </c>
      <c r="B629" s="1" t="n">
        <v>45061</v>
      </c>
      <c r="C629" s="1" t="n">
        <v>45982</v>
      </c>
      <c r="D629" t="inlineStr">
        <is>
          <t>DALARNAS LÄN</t>
        </is>
      </c>
      <c r="E629" t="inlineStr">
        <is>
          <t>LEKSAND</t>
        </is>
      </c>
      <c r="G629" t="n">
        <v>0.7</v>
      </c>
      <c r="H629" t="n">
        <v>0</v>
      </c>
      <c r="I629" t="n">
        <v>0</v>
      </c>
      <c r="J629" t="n">
        <v>0</v>
      </c>
      <c r="K629" t="n">
        <v>0</v>
      </c>
      <c r="L629" t="n">
        <v>0</v>
      </c>
      <c r="M629" t="n">
        <v>0</v>
      </c>
      <c r="N629" t="n">
        <v>0</v>
      </c>
      <c r="O629" t="n">
        <v>0</v>
      </c>
      <c r="P629" t="n">
        <v>0</v>
      </c>
      <c r="Q629" t="n">
        <v>0</v>
      </c>
      <c r="R629" s="2" t="inlineStr"/>
    </row>
    <row r="630" ht="15" customHeight="1">
      <c r="A630" t="inlineStr">
        <is>
          <t>A 31391-2024</t>
        </is>
      </c>
      <c r="B630" s="1" t="n">
        <v>45505.46616898148</v>
      </c>
      <c r="C630" s="1" t="n">
        <v>45982</v>
      </c>
      <c r="D630" t="inlineStr">
        <is>
          <t>DALARNAS LÄN</t>
        </is>
      </c>
      <c r="E630" t="inlineStr">
        <is>
          <t>LEKSAND</t>
        </is>
      </c>
      <c r="F630" t="inlineStr">
        <is>
          <t>Bergvik skog väst AB</t>
        </is>
      </c>
      <c r="G630" t="n">
        <v>2.7</v>
      </c>
      <c r="H630" t="n">
        <v>0</v>
      </c>
      <c r="I630" t="n">
        <v>0</v>
      </c>
      <c r="J630" t="n">
        <v>0</v>
      </c>
      <c r="K630" t="n">
        <v>0</v>
      </c>
      <c r="L630" t="n">
        <v>0</v>
      </c>
      <c r="M630" t="n">
        <v>0</v>
      </c>
      <c r="N630" t="n">
        <v>0</v>
      </c>
      <c r="O630" t="n">
        <v>0</v>
      </c>
      <c r="P630" t="n">
        <v>0</v>
      </c>
      <c r="Q630" t="n">
        <v>0</v>
      </c>
      <c r="R630" s="2" t="inlineStr"/>
    </row>
    <row r="631" ht="15" customHeight="1">
      <c r="A631" t="inlineStr">
        <is>
          <t>A 167-2023</t>
        </is>
      </c>
      <c r="B631" s="1" t="n">
        <v>44918</v>
      </c>
      <c r="C631" s="1" t="n">
        <v>45982</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31850-2024</t>
        </is>
      </c>
      <c r="B632" s="1" t="n">
        <v>45509.67334490741</v>
      </c>
      <c r="C632" s="1" t="n">
        <v>45982</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27244-2023</t>
        </is>
      </c>
      <c r="B633" s="1" t="n">
        <v>45096</v>
      </c>
      <c r="C633" s="1" t="n">
        <v>45982</v>
      </c>
      <c r="D633" t="inlineStr">
        <is>
          <t>DALARNAS LÄN</t>
        </is>
      </c>
      <c r="E633" t="inlineStr">
        <is>
          <t>LEKSAND</t>
        </is>
      </c>
      <c r="G633" t="n">
        <v>5</v>
      </c>
      <c r="H633" t="n">
        <v>0</v>
      </c>
      <c r="I633" t="n">
        <v>0</v>
      </c>
      <c r="J633" t="n">
        <v>0</v>
      </c>
      <c r="K633" t="n">
        <v>0</v>
      </c>
      <c r="L633" t="n">
        <v>0</v>
      </c>
      <c r="M633" t="n">
        <v>0</v>
      </c>
      <c r="N633" t="n">
        <v>0</v>
      </c>
      <c r="O633" t="n">
        <v>0</v>
      </c>
      <c r="P633" t="n">
        <v>0</v>
      </c>
      <c r="Q633" t="n">
        <v>0</v>
      </c>
      <c r="R633" s="2" t="inlineStr"/>
    </row>
    <row r="634" ht="15" customHeight="1">
      <c r="A634" t="inlineStr">
        <is>
          <t>A 3183-2025</t>
        </is>
      </c>
      <c r="B634" s="1" t="n">
        <v>45679.40298611111</v>
      </c>
      <c r="C634" s="1" t="n">
        <v>45982</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16592-2023</t>
        </is>
      </c>
      <c r="B635" s="1" t="n">
        <v>45030</v>
      </c>
      <c r="C635" s="1" t="n">
        <v>45982</v>
      </c>
      <c r="D635" t="inlineStr">
        <is>
          <t>DALARNAS LÄN</t>
        </is>
      </c>
      <c r="E635" t="inlineStr">
        <is>
          <t>LEKSAND</t>
        </is>
      </c>
      <c r="G635" t="n">
        <v>11.5</v>
      </c>
      <c r="H635" t="n">
        <v>0</v>
      </c>
      <c r="I635" t="n">
        <v>0</v>
      </c>
      <c r="J635" t="n">
        <v>0</v>
      </c>
      <c r="K635" t="n">
        <v>0</v>
      </c>
      <c r="L635" t="n">
        <v>0</v>
      </c>
      <c r="M635" t="n">
        <v>0</v>
      </c>
      <c r="N635" t="n">
        <v>0</v>
      </c>
      <c r="O635" t="n">
        <v>0</v>
      </c>
      <c r="P635" t="n">
        <v>0</v>
      </c>
      <c r="Q635" t="n">
        <v>0</v>
      </c>
      <c r="R635" s="2" t="inlineStr"/>
    </row>
    <row r="636" ht="15" customHeight="1">
      <c r="A636" t="inlineStr">
        <is>
          <t>A 12290-2024</t>
        </is>
      </c>
      <c r="B636" s="1" t="n">
        <v>45378.57877314815</v>
      </c>
      <c r="C636" s="1" t="n">
        <v>45982</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17606-2024</t>
        </is>
      </c>
      <c r="B637" s="1" t="n">
        <v>45415</v>
      </c>
      <c r="C637" s="1" t="n">
        <v>45982</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39819-2024</t>
        </is>
      </c>
      <c r="B638" s="1" t="n">
        <v>45553.38774305556</v>
      </c>
      <c r="C638" s="1" t="n">
        <v>45982</v>
      </c>
      <c r="D638" t="inlineStr">
        <is>
          <t>DALARNAS LÄN</t>
        </is>
      </c>
      <c r="E638" t="inlineStr">
        <is>
          <t>LEKSAND</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36450-2023</t>
        </is>
      </c>
      <c r="B639" s="1" t="n">
        <v>45152.64842592592</v>
      </c>
      <c r="C639" s="1" t="n">
        <v>45982</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19559-2023</t>
        </is>
      </c>
      <c r="B640" s="1" t="n">
        <v>45050</v>
      </c>
      <c r="C640" s="1" t="n">
        <v>45982</v>
      </c>
      <c r="D640" t="inlineStr">
        <is>
          <t>DALARNAS LÄN</t>
        </is>
      </c>
      <c r="E640" t="inlineStr">
        <is>
          <t>LEKSAND</t>
        </is>
      </c>
      <c r="G640" t="n">
        <v>0.1</v>
      </c>
      <c r="H640" t="n">
        <v>0</v>
      </c>
      <c r="I640" t="n">
        <v>0</v>
      </c>
      <c r="J640" t="n">
        <v>0</v>
      </c>
      <c r="K640" t="n">
        <v>0</v>
      </c>
      <c r="L640" t="n">
        <v>0</v>
      </c>
      <c r="M640" t="n">
        <v>0</v>
      </c>
      <c r="N640" t="n">
        <v>0</v>
      </c>
      <c r="O640" t="n">
        <v>0</v>
      </c>
      <c r="P640" t="n">
        <v>0</v>
      </c>
      <c r="Q640" t="n">
        <v>0</v>
      </c>
      <c r="R640" s="2" t="inlineStr"/>
    </row>
    <row r="641" ht="15" customHeight="1">
      <c r="A641" t="inlineStr">
        <is>
          <t>A 48721-2023</t>
        </is>
      </c>
      <c r="B641" s="1" t="n">
        <v>45203</v>
      </c>
      <c r="C641" s="1" t="n">
        <v>45982</v>
      </c>
      <c r="D641" t="inlineStr">
        <is>
          <t>DALARNAS LÄN</t>
        </is>
      </c>
      <c r="E641" t="inlineStr">
        <is>
          <t>LEKSAND</t>
        </is>
      </c>
      <c r="G641" t="n">
        <v>2.9</v>
      </c>
      <c r="H641" t="n">
        <v>0</v>
      </c>
      <c r="I641" t="n">
        <v>0</v>
      </c>
      <c r="J641" t="n">
        <v>0</v>
      </c>
      <c r="K641" t="n">
        <v>0</v>
      </c>
      <c r="L641" t="n">
        <v>0</v>
      </c>
      <c r="M641" t="n">
        <v>0</v>
      </c>
      <c r="N641" t="n">
        <v>0</v>
      </c>
      <c r="O641" t="n">
        <v>0</v>
      </c>
      <c r="P641" t="n">
        <v>0</v>
      </c>
      <c r="Q641" t="n">
        <v>0</v>
      </c>
      <c r="R641" s="2" t="inlineStr"/>
    </row>
    <row r="642" ht="15" customHeight="1">
      <c r="A642" t="inlineStr">
        <is>
          <t>A 43142-2024</t>
        </is>
      </c>
      <c r="B642" s="1" t="n">
        <v>45567.62144675926</v>
      </c>
      <c r="C642" s="1" t="n">
        <v>45982</v>
      </c>
      <c r="D642" t="inlineStr">
        <is>
          <t>DALARNAS LÄN</t>
        </is>
      </c>
      <c r="E642" t="inlineStr">
        <is>
          <t>LEKSAND</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1984-2025</t>
        </is>
      </c>
      <c r="B643" s="1" t="n">
        <v>45670</v>
      </c>
      <c r="C643" s="1" t="n">
        <v>45982</v>
      </c>
      <c r="D643" t="inlineStr">
        <is>
          <t>DALARNAS LÄN</t>
        </is>
      </c>
      <c r="E643" t="inlineStr">
        <is>
          <t>LEKSAND</t>
        </is>
      </c>
      <c r="G643" t="n">
        <v>0.7</v>
      </c>
      <c r="H643" t="n">
        <v>0</v>
      </c>
      <c r="I643" t="n">
        <v>0</v>
      </c>
      <c r="J643" t="n">
        <v>0</v>
      </c>
      <c r="K643" t="n">
        <v>0</v>
      </c>
      <c r="L643" t="n">
        <v>0</v>
      </c>
      <c r="M643" t="n">
        <v>0</v>
      </c>
      <c r="N643" t="n">
        <v>0</v>
      </c>
      <c r="O643" t="n">
        <v>0</v>
      </c>
      <c r="P643" t="n">
        <v>0</v>
      </c>
      <c r="Q643" t="n">
        <v>0</v>
      </c>
      <c r="R643" s="2" t="inlineStr"/>
    </row>
    <row r="644" ht="15" customHeight="1">
      <c r="A644" t="inlineStr">
        <is>
          <t>A 1443-2024</t>
        </is>
      </c>
      <c r="B644" s="1" t="n">
        <v>45303</v>
      </c>
      <c r="C644" s="1" t="n">
        <v>45982</v>
      </c>
      <c r="D644" t="inlineStr">
        <is>
          <t>DALARNAS LÄN</t>
        </is>
      </c>
      <c r="E644" t="inlineStr">
        <is>
          <t>LEKSAND</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27446-2024</t>
        </is>
      </c>
      <c r="B645" s="1" t="n">
        <v>45474.42671296297</v>
      </c>
      <c r="C645" s="1" t="n">
        <v>45982</v>
      </c>
      <c r="D645" t="inlineStr">
        <is>
          <t>DALARNAS LÄN</t>
        </is>
      </c>
      <c r="E645" t="inlineStr">
        <is>
          <t>LEKSAND</t>
        </is>
      </c>
      <c r="G645" t="n">
        <v>2.9</v>
      </c>
      <c r="H645" t="n">
        <v>0</v>
      </c>
      <c r="I645" t="n">
        <v>0</v>
      </c>
      <c r="J645" t="n">
        <v>0</v>
      </c>
      <c r="K645" t="n">
        <v>0</v>
      </c>
      <c r="L645" t="n">
        <v>0</v>
      </c>
      <c r="M645" t="n">
        <v>0</v>
      </c>
      <c r="N645" t="n">
        <v>0</v>
      </c>
      <c r="O645" t="n">
        <v>0</v>
      </c>
      <c r="P645" t="n">
        <v>0</v>
      </c>
      <c r="Q645" t="n">
        <v>0</v>
      </c>
      <c r="R645" s="2" t="inlineStr"/>
    </row>
    <row r="646" ht="15" customHeight="1">
      <c r="A646" t="inlineStr">
        <is>
          <t>A 53817-2023</t>
        </is>
      </c>
      <c r="B646" s="1" t="n">
        <v>45231.40488425926</v>
      </c>
      <c r="C646" s="1" t="n">
        <v>45982</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62993-2023</t>
        </is>
      </c>
      <c r="B647" s="1" t="n">
        <v>45272</v>
      </c>
      <c r="C647" s="1" t="n">
        <v>45982</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17455-2022</t>
        </is>
      </c>
      <c r="B648" s="1" t="n">
        <v>44679.3775</v>
      </c>
      <c r="C648" s="1" t="n">
        <v>45982</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7417-2024</t>
        </is>
      </c>
      <c r="B649" s="1" t="n">
        <v>45345.62378472222</v>
      </c>
      <c r="C649" s="1" t="n">
        <v>45982</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5574-2024</t>
        </is>
      </c>
      <c r="B650" s="1" t="n">
        <v>45334</v>
      </c>
      <c r="C650" s="1" t="n">
        <v>45982</v>
      </c>
      <c r="D650" t="inlineStr">
        <is>
          <t>DALARNAS LÄN</t>
        </is>
      </c>
      <c r="E650" t="inlineStr">
        <is>
          <t>LEKSAND</t>
        </is>
      </c>
      <c r="G650" t="n">
        <v>0.4</v>
      </c>
      <c r="H650" t="n">
        <v>0</v>
      </c>
      <c r="I650" t="n">
        <v>0</v>
      </c>
      <c r="J650" t="n">
        <v>0</v>
      </c>
      <c r="K650" t="n">
        <v>0</v>
      </c>
      <c r="L650" t="n">
        <v>0</v>
      </c>
      <c r="M650" t="n">
        <v>0</v>
      </c>
      <c r="N650" t="n">
        <v>0</v>
      </c>
      <c r="O650" t="n">
        <v>0</v>
      </c>
      <c r="P650" t="n">
        <v>0</v>
      </c>
      <c r="Q650" t="n">
        <v>0</v>
      </c>
      <c r="R650" s="2" t="inlineStr"/>
    </row>
    <row r="651" ht="15" customHeight="1">
      <c r="A651" t="inlineStr">
        <is>
          <t>A 4121-2024</t>
        </is>
      </c>
      <c r="B651" s="1" t="n">
        <v>45323</v>
      </c>
      <c r="C651" s="1" t="n">
        <v>45982</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57665-2023</t>
        </is>
      </c>
      <c r="B652" s="1" t="n">
        <v>45246</v>
      </c>
      <c r="C652" s="1" t="n">
        <v>45982</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30858-2024</t>
        </is>
      </c>
      <c r="B653" s="1" t="n">
        <v>45497.67601851852</v>
      </c>
      <c r="C653" s="1" t="n">
        <v>45982</v>
      </c>
      <c r="D653" t="inlineStr">
        <is>
          <t>DALARNAS LÄN</t>
        </is>
      </c>
      <c r="E653" t="inlineStr">
        <is>
          <t>LEKSAND</t>
        </is>
      </c>
      <c r="F653" t="inlineStr">
        <is>
          <t>Bergvik skog väst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25921-2024</t>
        </is>
      </c>
      <c r="B654" s="1" t="n">
        <v>45467.6053587963</v>
      </c>
      <c r="C654" s="1" t="n">
        <v>45982</v>
      </c>
      <c r="D654" t="inlineStr">
        <is>
          <t>DALARNAS LÄN</t>
        </is>
      </c>
      <c r="E654" t="inlineStr">
        <is>
          <t>LEKSAND</t>
        </is>
      </c>
      <c r="G654" t="n">
        <v>2.8</v>
      </c>
      <c r="H654" t="n">
        <v>0</v>
      </c>
      <c r="I654" t="n">
        <v>0</v>
      </c>
      <c r="J654" t="n">
        <v>0</v>
      </c>
      <c r="K654" t="n">
        <v>0</v>
      </c>
      <c r="L654" t="n">
        <v>0</v>
      </c>
      <c r="M654" t="n">
        <v>0</v>
      </c>
      <c r="N654" t="n">
        <v>0</v>
      </c>
      <c r="O654" t="n">
        <v>0</v>
      </c>
      <c r="P654" t="n">
        <v>0</v>
      </c>
      <c r="Q654" t="n">
        <v>0</v>
      </c>
      <c r="R654" s="2" t="inlineStr"/>
    </row>
    <row r="655" ht="15" customHeight="1">
      <c r="A655" t="inlineStr">
        <is>
          <t>A 41306-2024</t>
        </is>
      </c>
      <c r="B655" s="1" t="n">
        <v>45559.62550925926</v>
      </c>
      <c r="C655" s="1" t="n">
        <v>45982</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17377-2025</t>
        </is>
      </c>
      <c r="B656" s="1" t="n">
        <v>45756.983125</v>
      </c>
      <c r="C656" s="1" t="n">
        <v>45982</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13288-2023</t>
        </is>
      </c>
      <c r="B657" s="1" t="n">
        <v>45004.8160300926</v>
      </c>
      <c r="C657" s="1" t="n">
        <v>45982</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17233-2023</t>
        </is>
      </c>
      <c r="B658" s="1" t="n">
        <v>45035</v>
      </c>
      <c r="C658" s="1" t="n">
        <v>45982</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46931-2023</t>
        </is>
      </c>
      <c r="B659" s="1" t="n">
        <v>45201</v>
      </c>
      <c r="C659" s="1" t="n">
        <v>45982</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11740-2025</t>
        </is>
      </c>
      <c r="B660" s="1" t="n">
        <v>45727.62582175926</v>
      </c>
      <c r="C660" s="1" t="n">
        <v>45982</v>
      </c>
      <c r="D660" t="inlineStr">
        <is>
          <t>DALARNAS LÄN</t>
        </is>
      </c>
      <c r="E660" t="inlineStr">
        <is>
          <t>LEKSAND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10373-2023</t>
        </is>
      </c>
      <c r="B661" s="1" t="n">
        <v>44987</v>
      </c>
      <c r="C661" s="1" t="n">
        <v>45982</v>
      </c>
      <c r="D661" t="inlineStr">
        <is>
          <t>DALARNAS LÄN</t>
        </is>
      </c>
      <c r="E661" t="inlineStr">
        <is>
          <t>LEKSAND</t>
        </is>
      </c>
      <c r="G661" t="n">
        <v>0.3</v>
      </c>
      <c r="H661" t="n">
        <v>0</v>
      </c>
      <c r="I661" t="n">
        <v>0</v>
      </c>
      <c r="J661" t="n">
        <v>0</v>
      </c>
      <c r="K661" t="n">
        <v>0</v>
      </c>
      <c r="L661" t="n">
        <v>0</v>
      </c>
      <c r="M661" t="n">
        <v>0</v>
      </c>
      <c r="N661" t="n">
        <v>0</v>
      </c>
      <c r="O661" t="n">
        <v>0</v>
      </c>
      <c r="P661" t="n">
        <v>0</v>
      </c>
      <c r="Q661" t="n">
        <v>0</v>
      </c>
      <c r="R661" s="2" t="inlineStr"/>
    </row>
    <row r="662" ht="15" customHeight="1">
      <c r="A662" t="inlineStr">
        <is>
          <t>A 2820-2024</t>
        </is>
      </c>
      <c r="B662" s="1" t="n">
        <v>45314.76287037037</v>
      </c>
      <c r="C662" s="1" t="n">
        <v>45982</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2822-2024</t>
        </is>
      </c>
      <c r="B663" s="1" t="n">
        <v>45314.76622685185</v>
      </c>
      <c r="C663" s="1" t="n">
        <v>45982</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37952-2024</t>
        </is>
      </c>
      <c r="B664" s="1" t="n">
        <v>45544.5200462963</v>
      </c>
      <c r="C664" s="1" t="n">
        <v>45982</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15257-2025</t>
        </is>
      </c>
      <c r="B665" s="1" t="n">
        <v>45744</v>
      </c>
      <c r="C665" s="1" t="n">
        <v>45982</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46834-2023</t>
        </is>
      </c>
      <c r="B666" s="1" t="n">
        <v>45199.35668981481</v>
      </c>
      <c r="C666" s="1" t="n">
        <v>45982</v>
      </c>
      <c r="D666" t="inlineStr">
        <is>
          <t>DALARNAS LÄN</t>
        </is>
      </c>
      <c r="E666" t="inlineStr">
        <is>
          <t>LEKSAND</t>
        </is>
      </c>
      <c r="G666" t="n">
        <v>16.3</v>
      </c>
      <c r="H666" t="n">
        <v>0</v>
      </c>
      <c r="I666" t="n">
        <v>0</v>
      </c>
      <c r="J666" t="n">
        <v>0</v>
      </c>
      <c r="K666" t="n">
        <v>0</v>
      </c>
      <c r="L666" t="n">
        <v>0</v>
      </c>
      <c r="M666" t="n">
        <v>0</v>
      </c>
      <c r="N666" t="n">
        <v>0</v>
      </c>
      <c r="O666" t="n">
        <v>0</v>
      </c>
      <c r="P666" t="n">
        <v>0</v>
      </c>
      <c r="Q666" t="n">
        <v>0</v>
      </c>
      <c r="R666" s="2" t="inlineStr"/>
    </row>
    <row r="667" ht="15" customHeight="1">
      <c r="A667" t="inlineStr">
        <is>
          <t>A 12851-2023</t>
        </is>
      </c>
      <c r="B667" s="1" t="n">
        <v>45001.49347222222</v>
      </c>
      <c r="C667" s="1" t="n">
        <v>45982</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34482-2022</t>
        </is>
      </c>
      <c r="B668" s="1" t="n">
        <v>44792</v>
      </c>
      <c r="C668" s="1" t="n">
        <v>45982</v>
      </c>
      <c r="D668" t="inlineStr">
        <is>
          <t>DALARNAS LÄN</t>
        </is>
      </c>
      <c r="E668" t="inlineStr">
        <is>
          <t>LEKSAND</t>
        </is>
      </c>
      <c r="G668" t="n">
        <v>2.6</v>
      </c>
      <c r="H668" t="n">
        <v>0</v>
      </c>
      <c r="I668" t="n">
        <v>0</v>
      </c>
      <c r="J668" t="n">
        <v>0</v>
      </c>
      <c r="K668" t="n">
        <v>0</v>
      </c>
      <c r="L668" t="n">
        <v>0</v>
      </c>
      <c r="M668" t="n">
        <v>0</v>
      </c>
      <c r="N668" t="n">
        <v>0</v>
      </c>
      <c r="O668" t="n">
        <v>0</v>
      </c>
      <c r="P668" t="n">
        <v>0</v>
      </c>
      <c r="Q668" t="n">
        <v>0</v>
      </c>
      <c r="R668" s="2" t="inlineStr"/>
    </row>
    <row r="669" ht="15" customHeight="1">
      <c r="A669" t="inlineStr">
        <is>
          <t>A 5584-2024</t>
        </is>
      </c>
      <c r="B669" s="1" t="n">
        <v>45334</v>
      </c>
      <c r="C669" s="1" t="n">
        <v>45982</v>
      </c>
      <c r="D669" t="inlineStr">
        <is>
          <t>DALARNAS LÄN</t>
        </is>
      </c>
      <c r="E669" t="inlineStr">
        <is>
          <t>LEKSAND</t>
        </is>
      </c>
      <c r="F669" t="inlineStr">
        <is>
          <t>Kyrkan</t>
        </is>
      </c>
      <c r="G669" t="n">
        <v>0.4</v>
      </c>
      <c r="H669" t="n">
        <v>0</v>
      </c>
      <c r="I669" t="n">
        <v>0</v>
      </c>
      <c r="J669" t="n">
        <v>0</v>
      </c>
      <c r="K669" t="n">
        <v>0</v>
      </c>
      <c r="L669" t="n">
        <v>0</v>
      </c>
      <c r="M669" t="n">
        <v>0</v>
      </c>
      <c r="N669" t="n">
        <v>0</v>
      </c>
      <c r="O669" t="n">
        <v>0</v>
      </c>
      <c r="P669" t="n">
        <v>0</v>
      </c>
      <c r="Q669" t="n">
        <v>0</v>
      </c>
      <c r="R669" s="2" t="inlineStr"/>
    </row>
    <row r="670" ht="15" customHeight="1">
      <c r="A670" t="inlineStr">
        <is>
          <t>A 51860-2024</t>
        </is>
      </c>
      <c r="B670" s="1" t="n">
        <v>45607.54511574074</v>
      </c>
      <c r="C670" s="1" t="n">
        <v>45982</v>
      </c>
      <c r="D670" t="inlineStr">
        <is>
          <t>DALARNAS LÄN</t>
        </is>
      </c>
      <c r="E670" t="inlineStr">
        <is>
          <t>LEKSAND</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22681-2022</t>
        </is>
      </c>
      <c r="B671" s="1" t="n">
        <v>44714.50961805556</v>
      </c>
      <c r="C671" s="1" t="n">
        <v>45982</v>
      </c>
      <c r="D671" t="inlineStr">
        <is>
          <t>DALARNAS LÄN</t>
        </is>
      </c>
      <c r="E671" t="inlineStr">
        <is>
          <t>LEKSAND</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1457-2024</t>
        </is>
      </c>
      <c r="B672" s="1" t="n">
        <v>45303</v>
      </c>
      <c r="C672" s="1" t="n">
        <v>45982</v>
      </c>
      <c r="D672" t="inlineStr">
        <is>
          <t>DALARNAS LÄN</t>
        </is>
      </c>
      <c r="E672" t="inlineStr">
        <is>
          <t>LEKSAND</t>
        </is>
      </c>
      <c r="G672" t="n">
        <v>4.4</v>
      </c>
      <c r="H672" t="n">
        <v>0</v>
      </c>
      <c r="I672" t="n">
        <v>0</v>
      </c>
      <c r="J672" t="n">
        <v>0</v>
      </c>
      <c r="K672" t="n">
        <v>0</v>
      </c>
      <c r="L672" t="n">
        <v>0</v>
      </c>
      <c r="M672" t="n">
        <v>0</v>
      </c>
      <c r="N672" t="n">
        <v>0</v>
      </c>
      <c r="O672" t="n">
        <v>0</v>
      </c>
      <c r="P672" t="n">
        <v>0</v>
      </c>
      <c r="Q672" t="n">
        <v>0</v>
      </c>
      <c r="R672" s="2" t="inlineStr"/>
    </row>
    <row r="673" ht="15" customHeight="1">
      <c r="A673" t="inlineStr">
        <is>
          <t>A 40007-2024</t>
        </is>
      </c>
      <c r="B673" s="1" t="n">
        <v>45553.6516550926</v>
      </c>
      <c r="C673" s="1" t="n">
        <v>45982</v>
      </c>
      <c r="D673" t="inlineStr">
        <is>
          <t>DALARNAS LÄN</t>
        </is>
      </c>
      <c r="E673" t="inlineStr">
        <is>
          <t>LEKSAND</t>
        </is>
      </c>
      <c r="F673" t="inlineStr">
        <is>
          <t>Bergvik skog väst AB</t>
        </is>
      </c>
      <c r="G673" t="n">
        <v>3.2</v>
      </c>
      <c r="H673" t="n">
        <v>0</v>
      </c>
      <c r="I673" t="n">
        <v>0</v>
      </c>
      <c r="J673" t="n">
        <v>0</v>
      </c>
      <c r="K673" t="n">
        <v>0</v>
      </c>
      <c r="L673" t="n">
        <v>0</v>
      </c>
      <c r="M673" t="n">
        <v>0</v>
      </c>
      <c r="N673" t="n">
        <v>0</v>
      </c>
      <c r="O673" t="n">
        <v>0</v>
      </c>
      <c r="P673" t="n">
        <v>0</v>
      </c>
      <c r="Q673" t="n">
        <v>0</v>
      </c>
      <c r="R673" s="2" t="inlineStr"/>
    </row>
    <row r="674" ht="15" customHeight="1">
      <c r="A674" t="inlineStr">
        <is>
          <t>A 33198-2022</t>
        </is>
      </c>
      <c r="B674" s="1" t="n">
        <v>44785.68597222222</v>
      </c>
      <c r="C674" s="1" t="n">
        <v>45982</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9938-2023</t>
        </is>
      </c>
      <c r="B675" s="1" t="n">
        <v>44985</v>
      </c>
      <c r="C675" s="1" t="n">
        <v>45982</v>
      </c>
      <c r="D675" t="inlineStr">
        <is>
          <t>DALARNAS LÄN</t>
        </is>
      </c>
      <c r="E675" t="inlineStr">
        <is>
          <t>LEKSAND</t>
        </is>
      </c>
      <c r="G675" t="n">
        <v>3.1</v>
      </c>
      <c r="H675" t="n">
        <v>0</v>
      </c>
      <c r="I675" t="n">
        <v>0</v>
      </c>
      <c r="J675" t="n">
        <v>0</v>
      </c>
      <c r="K675" t="n">
        <v>0</v>
      </c>
      <c r="L675" t="n">
        <v>0</v>
      </c>
      <c r="M675" t="n">
        <v>0</v>
      </c>
      <c r="N675" t="n">
        <v>0</v>
      </c>
      <c r="O675" t="n">
        <v>0</v>
      </c>
      <c r="P675" t="n">
        <v>0</v>
      </c>
      <c r="Q675" t="n">
        <v>0</v>
      </c>
      <c r="R675" s="2" t="inlineStr"/>
    </row>
    <row r="676" ht="15" customHeight="1">
      <c r="A676" t="inlineStr">
        <is>
          <t>A 31726-2024</t>
        </is>
      </c>
      <c r="B676" s="1" t="n">
        <v>45509.33908564815</v>
      </c>
      <c r="C676" s="1" t="n">
        <v>45982</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26957-2023</t>
        </is>
      </c>
      <c r="B677" s="1" t="n">
        <v>45093</v>
      </c>
      <c r="C677" s="1" t="n">
        <v>45982</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39595-2023</t>
        </is>
      </c>
      <c r="B678" s="1" t="n">
        <v>45167</v>
      </c>
      <c r="C678" s="1" t="n">
        <v>45982</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45982</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57933-2024</t>
        </is>
      </c>
      <c r="B680" s="1" t="n">
        <v>45630</v>
      </c>
      <c r="C680" s="1" t="n">
        <v>45982</v>
      </c>
      <c r="D680" t="inlineStr">
        <is>
          <t>DALARNAS LÄN</t>
        </is>
      </c>
      <c r="E680" t="inlineStr">
        <is>
          <t>LEKSAND</t>
        </is>
      </c>
      <c r="G680" t="n">
        <v>1.1</v>
      </c>
      <c r="H680" t="n">
        <v>0</v>
      </c>
      <c r="I680" t="n">
        <v>0</v>
      </c>
      <c r="J680" t="n">
        <v>0</v>
      </c>
      <c r="K680" t="n">
        <v>0</v>
      </c>
      <c r="L680" t="n">
        <v>0</v>
      </c>
      <c r="M680" t="n">
        <v>0</v>
      </c>
      <c r="N680" t="n">
        <v>0</v>
      </c>
      <c r="O680" t="n">
        <v>0</v>
      </c>
      <c r="P680" t="n">
        <v>0</v>
      </c>
      <c r="Q680" t="n">
        <v>0</v>
      </c>
      <c r="R680" s="2" t="inlineStr"/>
    </row>
    <row r="681" ht="15" customHeight="1">
      <c r="A681" t="inlineStr">
        <is>
          <t>A 60095-2022</t>
        </is>
      </c>
      <c r="B681" s="1" t="n">
        <v>44909</v>
      </c>
      <c r="C681" s="1" t="n">
        <v>45982</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30595-2023</t>
        </is>
      </c>
      <c r="B682" s="1" t="n">
        <v>45112</v>
      </c>
      <c r="C682" s="1" t="n">
        <v>45982</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6519-2025</t>
        </is>
      </c>
      <c r="B683" s="1" t="n">
        <v>45699</v>
      </c>
      <c r="C683" s="1" t="n">
        <v>45982</v>
      </c>
      <c r="D683" t="inlineStr">
        <is>
          <t>DALARNAS LÄN</t>
        </is>
      </c>
      <c r="E683" t="inlineStr">
        <is>
          <t>LEKSAND</t>
        </is>
      </c>
      <c r="G683" t="n">
        <v>0.8</v>
      </c>
      <c r="H683" t="n">
        <v>0</v>
      </c>
      <c r="I683" t="n">
        <v>0</v>
      </c>
      <c r="J683" t="n">
        <v>0</v>
      </c>
      <c r="K683" t="n">
        <v>0</v>
      </c>
      <c r="L683" t="n">
        <v>0</v>
      </c>
      <c r="M683" t="n">
        <v>0</v>
      </c>
      <c r="N683" t="n">
        <v>0</v>
      </c>
      <c r="O683" t="n">
        <v>0</v>
      </c>
      <c r="P683" t="n">
        <v>0</v>
      </c>
      <c r="Q683" t="n">
        <v>0</v>
      </c>
      <c r="R683" s="2" t="inlineStr"/>
    </row>
    <row r="684" ht="15" customHeight="1">
      <c r="A684" t="inlineStr">
        <is>
          <t>A 40755-2024</t>
        </is>
      </c>
      <c r="B684" s="1" t="n">
        <v>45558.45815972222</v>
      </c>
      <c r="C684" s="1" t="n">
        <v>45982</v>
      </c>
      <c r="D684" t="inlineStr">
        <is>
          <t>DALARNAS LÄN</t>
        </is>
      </c>
      <c r="E684" t="inlineStr">
        <is>
          <t>LEKSAND</t>
        </is>
      </c>
      <c r="G684" t="n">
        <v>0.8</v>
      </c>
      <c r="H684" t="n">
        <v>0</v>
      </c>
      <c r="I684" t="n">
        <v>0</v>
      </c>
      <c r="J684" t="n">
        <v>0</v>
      </c>
      <c r="K684" t="n">
        <v>0</v>
      </c>
      <c r="L684" t="n">
        <v>0</v>
      </c>
      <c r="M684" t="n">
        <v>0</v>
      </c>
      <c r="N684" t="n">
        <v>0</v>
      </c>
      <c r="O684" t="n">
        <v>0</v>
      </c>
      <c r="P684" t="n">
        <v>0</v>
      </c>
      <c r="Q684" t="n">
        <v>0</v>
      </c>
      <c r="R684" s="2" t="inlineStr"/>
    </row>
    <row r="685" ht="15" customHeight="1">
      <c r="A685" t="inlineStr">
        <is>
          <t>A 61680-2024</t>
        </is>
      </c>
      <c r="B685" s="1" t="n">
        <v>45647.42890046296</v>
      </c>
      <c r="C685" s="1" t="n">
        <v>45982</v>
      </c>
      <c r="D685" t="inlineStr">
        <is>
          <t>DALARNAS LÄN</t>
        </is>
      </c>
      <c r="E685" t="inlineStr">
        <is>
          <t>LEKSAND</t>
        </is>
      </c>
      <c r="G685" t="n">
        <v>3.6</v>
      </c>
      <c r="H685" t="n">
        <v>0</v>
      </c>
      <c r="I685" t="n">
        <v>0</v>
      </c>
      <c r="J685" t="n">
        <v>0</v>
      </c>
      <c r="K685" t="n">
        <v>0</v>
      </c>
      <c r="L685" t="n">
        <v>0</v>
      </c>
      <c r="M685" t="n">
        <v>0</v>
      </c>
      <c r="N685" t="n">
        <v>0</v>
      </c>
      <c r="O685" t="n">
        <v>0</v>
      </c>
      <c r="P685" t="n">
        <v>0</v>
      </c>
      <c r="Q685" t="n">
        <v>0</v>
      </c>
      <c r="R685" s="2" t="inlineStr"/>
    </row>
    <row r="686" ht="15" customHeight="1">
      <c r="A686" t="inlineStr">
        <is>
          <t>A 62295-2023</t>
        </is>
      </c>
      <c r="B686" s="1" t="n">
        <v>45267</v>
      </c>
      <c r="C686" s="1" t="n">
        <v>45982</v>
      </c>
      <c r="D686" t="inlineStr">
        <is>
          <t>DALARNAS LÄN</t>
        </is>
      </c>
      <c r="E686" t="inlineStr">
        <is>
          <t>LEKSAND</t>
        </is>
      </c>
      <c r="G686" t="n">
        <v>2.5</v>
      </c>
      <c r="H686" t="n">
        <v>0</v>
      </c>
      <c r="I686" t="n">
        <v>0</v>
      </c>
      <c r="J686" t="n">
        <v>0</v>
      </c>
      <c r="K686" t="n">
        <v>0</v>
      </c>
      <c r="L686" t="n">
        <v>0</v>
      </c>
      <c r="M686" t="n">
        <v>0</v>
      </c>
      <c r="N686" t="n">
        <v>0</v>
      </c>
      <c r="O686" t="n">
        <v>0</v>
      </c>
      <c r="P686" t="n">
        <v>0</v>
      </c>
      <c r="Q686" t="n">
        <v>0</v>
      </c>
      <c r="R686" s="2" t="inlineStr"/>
    </row>
    <row r="687" ht="15" customHeight="1">
      <c r="A687" t="inlineStr">
        <is>
          <t>A 15173-2025</t>
        </is>
      </c>
      <c r="B687" s="1" t="n">
        <v>45744.50858796296</v>
      </c>
      <c r="C687" s="1" t="n">
        <v>45982</v>
      </c>
      <c r="D687" t="inlineStr">
        <is>
          <t>DALARNAS LÄN</t>
        </is>
      </c>
      <c r="E687" t="inlineStr">
        <is>
          <t>LEKSAND</t>
        </is>
      </c>
      <c r="G687" t="n">
        <v>0.3</v>
      </c>
      <c r="H687" t="n">
        <v>0</v>
      </c>
      <c r="I687" t="n">
        <v>0</v>
      </c>
      <c r="J687" t="n">
        <v>0</v>
      </c>
      <c r="K687" t="n">
        <v>0</v>
      </c>
      <c r="L687" t="n">
        <v>0</v>
      </c>
      <c r="M687" t="n">
        <v>0</v>
      </c>
      <c r="N687" t="n">
        <v>0</v>
      </c>
      <c r="O687" t="n">
        <v>0</v>
      </c>
      <c r="P687" t="n">
        <v>0</v>
      </c>
      <c r="Q687" t="n">
        <v>0</v>
      </c>
      <c r="R687" s="2" t="inlineStr"/>
    </row>
    <row r="688" ht="15" customHeight="1">
      <c r="A688" t="inlineStr">
        <is>
          <t>A 61054-2023</t>
        </is>
      </c>
      <c r="B688" s="1" t="n">
        <v>45261</v>
      </c>
      <c r="C688" s="1" t="n">
        <v>45982</v>
      </c>
      <c r="D688" t="inlineStr">
        <is>
          <t>DALARNAS LÄN</t>
        </is>
      </c>
      <c r="E688" t="inlineStr">
        <is>
          <t>LEKSAND</t>
        </is>
      </c>
      <c r="G688" t="n">
        <v>0.4</v>
      </c>
      <c r="H688" t="n">
        <v>0</v>
      </c>
      <c r="I688" t="n">
        <v>0</v>
      </c>
      <c r="J688" t="n">
        <v>0</v>
      </c>
      <c r="K688" t="n">
        <v>0</v>
      </c>
      <c r="L688" t="n">
        <v>0</v>
      </c>
      <c r="M688" t="n">
        <v>0</v>
      </c>
      <c r="N688" t="n">
        <v>0</v>
      </c>
      <c r="O688" t="n">
        <v>0</v>
      </c>
      <c r="P688" t="n">
        <v>0</v>
      </c>
      <c r="Q688" t="n">
        <v>0</v>
      </c>
      <c r="R688" s="2" t="inlineStr"/>
    </row>
    <row r="689" ht="15" customHeight="1">
      <c r="A689" t="inlineStr">
        <is>
          <t>A 61056-2023</t>
        </is>
      </c>
      <c r="B689" s="1" t="n">
        <v>45261</v>
      </c>
      <c r="C689" s="1" t="n">
        <v>45982</v>
      </c>
      <c r="D689" t="inlineStr">
        <is>
          <t>DALARNAS LÄN</t>
        </is>
      </c>
      <c r="E689" t="inlineStr">
        <is>
          <t>LEKSAND</t>
        </is>
      </c>
      <c r="G689" t="n">
        <v>0.3</v>
      </c>
      <c r="H689" t="n">
        <v>0</v>
      </c>
      <c r="I689" t="n">
        <v>0</v>
      </c>
      <c r="J689" t="n">
        <v>0</v>
      </c>
      <c r="K689" t="n">
        <v>0</v>
      </c>
      <c r="L689" t="n">
        <v>0</v>
      </c>
      <c r="M689" t="n">
        <v>0</v>
      </c>
      <c r="N689" t="n">
        <v>0</v>
      </c>
      <c r="O689" t="n">
        <v>0</v>
      </c>
      <c r="P689" t="n">
        <v>0</v>
      </c>
      <c r="Q689" t="n">
        <v>0</v>
      </c>
      <c r="R689" s="2" t="inlineStr"/>
    </row>
    <row r="690" ht="15" customHeight="1">
      <c r="A690" t="inlineStr">
        <is>
          <t>A 6846-2023</t>
        </is>
      </c>
      <c r="B690" s="1" t="n">
        <v>44967.43953703704</v>
      </c>
      <c r="C690" s="1" t="n">
        <v>45982</v>
      </c>
      <c r="D690" t="inlineStr">
        <is>
          <t>DALARNAS LÄN</t>
        </is>
      </c>
      <c r="E690" t="inlineStr">
        <is>
          <t>LEKSAND</t>
        </is>
      </c>
      <c r="F690" t="inlineStr">
        <is>
          <t>Bergvik skog väst AB</t>
        </is>
      </c>
      <c r="G690" t="n">
        <v>1</v>
      </c>
      <c r="H690" t="n">
        <v>0</v>
      </c>
      <c r="I690" t="n">
        <v>0</v>
      </c>
      <c r="J690" t="n">
        <v>0</v>
      </c>
      <c r="K690" t="n">
        <v>0</v>
      </c>
      <c r="L690" t="n">
        <v>0</v>
      </c>
      <c r="M690" t="n">
        <v>0</v>
      </c>
      <c r="N690" t="n">
        <v>0</v>
      </c>
      <c r="O690" t="n">
        <v>0</v>
      </c>
      <c r="P690" t="n">
        <v>0</v>
      </c>
      <c r="Q690" t="n">
        <v>0</v>
      </c>
      <c r="R690" s="2" t="inlineStr"/>
    </row>
    <row r="691" ht="15" customHeight="1">
      <c r="A691" t="inlineStr">
        <is>
          <t>A 17413-2023</t>
        </is>
      </c>
      <c r="B691" s="1" t="n">
        <v>45035</v>
      </c>
      <c r="C691" s="1" t="n">
        <v>45982</v>
      </c>
      <c r="D691" t="inlineStr">
        <is>
          <t>DALARNAS LÄN</t>
        </is>
      </c>
      <c r="E691" t="inlineStr">
        <is>
          <t>LEKSAND</t>
        </is>
      </c>
      <c r="G691" t="n">
        <v>1.7</v>
      </c>
      <c r="H691" t="n">
        <v>0</v>
      </c>
      <c r="I691" t="n">
        <v>0</v>
      </c>
      <c r="J691" t="n">
        <v>0</v>
      </c>
      <c r="K691" t="n">
        <v>0</v>
      </c>
      <c r="L691" t="n">
        <v>0</v>
      </c>
      <c r="M691" t="n">
        <v>0</v>
      </c>
      <c r="N691" t="n">
        <v>0</v>
      </c>
      <c r="O691" t="n">
        <v>0</v>
      </c>
      <c r="P691" t="n">
        <v>0</v>
      </c>
      <c r="Q691" t="n">
        <v>0</v>
      </c>
      <c r="R691" s="2" t="inlineStr"/>
    </row>
    <row r="692" ht="15" customHeight="1">
      <c r="A692" t="inlineStr">
        <is>
          <t>A 1775-2022</t>
        </is>
      </c>
      <c r="B692" s="1" t="n">
        <v>44574</v>
      </c>
      <c r="C692" s="1" t="n">
        <v>45982</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56753-2023</t>
        </is>
      </c>
      <c r="B693" s="1" t="n">
        <v>45244.37094907407</v>
      </c>
      <c r="C693" s="1" t="n">
        <v>45982</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43077-2024</t>
        </is>
      </c>
      <c r="B694" s="1" t="n">
        <v>45567.50030092592</v>
      </c>
      <c r="C694" s="1" t="n">
        <v>45982</v>
      </c>
      <c r="D694" t="inlineStr">
        <is>
          <t>DALARNAS LÄN</t>
        </is>
      </c>
      <c r="E694" t="inlineStr">
        <is>
          <t>LEKSAND</t>
        </is>
      </c>
      <c r="G694" t="n">
        <v>1.6</v>
      </c>
      <c r="H694" t="n">
        <v>0</v>
      </c>
      <c r="I694" t="n">
        <v>0</v>
      </c>
      <c r="J694" t="n">
        <v>0</v>
      </c>
      <c r="K694" t="n">
        <v>0</v>
      </c>
      <c r="L694" t="n">
        <v>0</v>
      </c>
      <c r="M694" t="n">
        <v>0</v>
      </c>
      <c r="N694" t="n">
        <v>0</v>
      </c>
      <c r="O694" t="n">
        <v>0</v>
      </c>
      <c r="P694" t="n">
        <v>0</v>
      </c>
      <c r="Q694" t="n">
        <v>0</v>
      </c>
      <c r="R694" s="2" t="inlineStr"/>
    </row>
    <row r="695" ht="15" customHeight="1">
      <c r="A695" t="inlineStr">
        <is>
          <t>A 57899-2024</t>
        </is>
      </c>
      <c r="B695" s="1" t="n">
        <v>45630</v>
      </c>
      <c r="C695" s="1" t="n">
        <v>45982</v>
      </c>
      <c r="D695" t="inlineStr">
        <is>
          <t>DALARNAS LÄN</t>
        </is>
      </c>
      <c r="E695" t="inlineStr">
        <is>
          <t>LEKSAND</t>
        </is>
      </c>
      <c r="G695" t="n">
        <v>0.6</v>
      </c>
      <c r="H695" t="n">
        <v>0</v>
      </c>
      <c r="I695" t="n">
        <v>0</v>
      </c>
      <c r="J695" t="n">
        <v>0</v>
      </c>
      <c r="K695" t="n">
        <v>0</v>
      </c>
      <c r="L695" t="n">
        <v>0</v>
      </c>
      <c r="M695" t="n">
        <v>0</v>
      </c>
      <c r="N695" t="n">
        <v>0</v>
      </c>
      <c r="O695" t="n">
        <v>0</v>
      </c>
      <c r="P695" t="n">
        <v>0</v>
      </c>
      <c r="Q695" t="n">
        <v>0</v>
      </c>
      <c r="R695" s="2" t="inlineStr"/>
    </row>
    <row r="696" ht="15" customHeight="1">
      <c r="A696" t="inlineStr">
        <is>
          <t>A 60873-2023</t>
        </is>
      </c>
      <c r="B696" s="1" t="n">
        <v>45261.03266203704</v>
      </c>
      <c r="C696" s="1" t="n">
        <v>45982</v>
      </c>
      <c r="D696" t="inlineStr">
        <is>
          <t>DALARNAS LÄN</t>
        </is>
      </c>
      <c r="E696" t="inlineStr">
        <is>
          <t>LEKSAND</t>
        </is>
      </c>
      <c r="G696" t="n">
        <v>5.2</v>
      </c>
      <c r="H696" t="n">
        <v>0</v>
      </c>
      <c r="I696" t="n">
        <v>0</v>
      </c>
      <c r="J696" t="n">
        <v>0</v>
      </c>
      <c r="K696" t="n">
        <v>0</v>
      </c>
      <c r="L696" t="n">
        <v>0</v>
      </c>
      <c r="M696" t="n">
        <v>0</v>
      </c>
      <c r="N696" t="n">
        <v>0</v>
      </c>
      <c r="O696" t="n">
        <v>0</v>
      </c>
      <c r="P696" t="n">
        <v>0</v>
      </c>
      <c r="Q696" t="n">
        <v>0</v>
      </c>
      <c r="R696" s="2" t="inlineStr"/>
    </row>
    <row r="697" ht="15" customHeight="1">
      <c r="A697" t="inlineStr">
        <is>
          <t>A 12581-2025</t>
        </is>
      </c>
      <c r="B697" s="1" t="n">
        <v>45732.62201388889</v>
      </c>
      <c r="C697" s="1" t="n">
        <v>45982</v>
      </c>
      <c r="D697" t="inlineStr">
        <is>
          <t>DALARNAS LÄN</t>
        </is>
      </c>
      <c r="E697" t="inlineStr">
        <is>
          <t>LEKSAND</t>
        </is>
      </c>
      <c r="G697" t="n">
        <v>5.1</v>
      </c>
      <c r="H697" t="n">
        <v>0</v>
      </c>
      <c r="I697" t="n">
        <v>0</v>
      </c>
      <c r="J697" t="n">
        <v>0</v>
      </c>
      <c r="K697" t="n">
        <v>0</v>
      </c>
      <c r="L697" t="n">
        <v>0</v>
      </c>
      <c r="M697" t="n">
        <v>0</v>
      </c>
      <c r="N697" t="n">
        <v>0</v>
      </c>
      <c r="O697" t="n">
        <v>0</v>
      </c>
      <c r="P697" t="n">
        <v>0</v>
      </c>
      <c r="Q697" t="n">
        <v>0</v>
      </c>
      <c r="R697" s="2" t="inlineStr"/>
    </row>
    <row r="698" ht="15" customHeight="1">
      <c r="A698" t="inlineStr">
        <is>
          <t>A 12620-2025</t>
        </is>
      </c>
      <c r="B698" s="1" t="n">
        <v>45733.35498842593</v>
      </c>
      <c r="C698" s="1" t="n">
        <v>45982</v>
      </c>
      <c r="D698" t="inlineStr">
        <is>
          <t>DALARNAS LÄN</t>
        </is>
      </c>
      <c r="E698" t="inlineStr">
        <is>
          <t>LEKSAND</t>
        </is>
      </c>
      <c r="F698" t="inlineStr">
        <is>
          <t>Bergvik skog väst AB</t>
        </is>
      </c>
      <c r="G698" t="n">
        <v>3.9</v>
      </c>
      <c r="H698" t="n">
        <v>0</v>
      </c>
      <c r="I698" t="n">
        <v>0</v>
      </c>
      <c r="J698" t="n">
        <v>0</v>
      </c>
      <c r="K698" t="n">
        <v>0</v>
      </c>
      <c r="L698" t="n">
        <v>0</v>
      </c>
      <c r="M698" t="n">
        <v>0</v>
      </c>
      <c r="N698" t="n">
        <v>0</v>
      </c>
      <c r="O698" t="n">
        <v>0</v>
      </c>
      <c r="P698" t="n">
        <v>0</v>
      </c>
      <c r="Q698" t="n">
        <v>0</v>
      </c>
      <c r="R698" s="2" t="inlineStr"/>
    </row>
    <row r="699" ht="15" customHeight="1">
      <c r="A699" t="inlineStr">
        <is>
          <t>A 12623-2025</t>
        </is>
      </c>
      <c r="B699" s="1" t="n">
        <v>45733.36079861111</v>
      </c>
      <c r="C699" s="1" t="n">
        <v>45982</v>
      </c>
      <c r="D699" t="inlineStr">
        <is>
          <t>DALARNAS LÄN</t>
        </is>
      </c>
      <c r="E699" t="inlineStr">
        <is>
          <t>LEKSAND</t>
        </is>
      </c>
      <c r="F699" t="inlineStr">
        <is>
          <t>Bergvik skog väst AB</t>
        </is>
      </c>
      <c r="G699" t="n">
        <v>13</v>
      </c>
      <c r="H699" t="n">
        <v>0</v>
      </c>
      <c r="I699" t="n">
        <v>0</v>
      </c>
      <c r="J699" t="n">
        <v>0</v>
      </c>
      <c r="K699" t="n">
        <v>0</v>
      </c>
      <c r="L699" t="n">
        <v>0</v>
      </c>
      <c r="M699" t="n">
        <v>0</v>
      </c>
      <c r="N699" t="n">
        <v>0</v>
      </c>
      <c r="O699" t="n">
        <v>0</v>
      </c>
      <c r="P699" t="n">
        <v>0</v>
      </c>
      <c r="Q699" t="n">
        <v>0</v>
      </c>
      <c r="R699" s="2" t="inlineStr"/>
    </row>
    <row r="700" ht="15" customHeight="1">
      <c r="A700" t="inlineStr">
        <is>
          <t>A 27445-2024</t>
        </is>
      </c>
      <c r="B700" s="1" t="n">
        <v>45474.42474537037</v>
      </c>
      <c r="C700" s="1" t="n">
        <v>45982</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53799-2023</t>
        </is>
      </c>
      <c r="B701" s="1" t="n">
        <v>45231.35564814815</v>
      </c>
      <c r="C701" s="1" t="n">
        <v>45982</v>
      </c>
      <c r="D701" t="inlineStr">
        <is>
          <t>DALARNAS LÄN</t>
        </is>
      </c>
      <c r="E701" t="inlineStr">
        <is>
          <t>LEKSAND</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62130-2024</t>
        </is>
      </c>
      <c r="B702" s="1" t="n">
        <v>45656.61827546296</v>
      </c>
      <c r="C702" s="1" t="n">
        <v>45982</v>
      </c>
      <c r="D702" t="inlineStr">
        <is>
          <t>DALARNAS LÄN</t>
        </is>
      </c>
      <c r="E702" t="inlineStr">
        <is>
          <t>LEKSAND</t>
        </is>
      </c>
      <c r="G702" t="n">
        <v>11.4</v>
      </c>
      <c r="H702" t="n">
        <v>0</v>
      </c>
      <c r="I702" t="n">
        <v>0</v>
      </c>
      <c r="J702" t="n">
        <v>0</v>
      </c>
      <c r="K702" t="n">
        <v>0</v>
      </c>
      <c r="L702" t="n">
        <v>0</v>
      </c>
      <c r="M702" t="n">
        <v>0</v>
      </c>
      <c r="N702" t="n">
        <v>0</v>
      </c>
      <c r="O702" t="n">
        <v>0</v>
      </c>
      <c r="P702" t="n">
        <v>0</v>
      </c>
      <c r="Q702" t="n">
        <v>0</v>
      </c>
      <c r="R702" s="2" t="inlineStr"/>
    </row>
    <row r="703" ht="15" customHeight="1">
      <c r="A703" t="inlineStr">
        <is>
          <t>A 63513-2023</t>
        </is>
      </c>
      <c r="B703" s="1" t="n">
        <v>45274</v>
      </c>
      <c r="C703" s="1" t="n">
        <v>45982</v>
      </c>
      <c r="D703" t="inlineStr">
        <is>
          <t>DALARNAS LÄN</t>
        </is>
      </c>
      <c r="E703" t="inlineStr">
        <is>
          <t>LEKSAND</t>
        </is>
      </c>
      <c r="G703" t="n">
        <v>2.3</v>
      </c>
      <c r="H703" t="n">
        <v>0</v>
      </c>
      <c r="I703" t="n">
        <v>0</v>
      </c>
      <c r="J703" t="n">
        <v>0</v>
      </c>
      <c r="K703" t="n">
        <v>0</v>
      </c>
      <c r="L703" t="n">
        <v>0</v>
      </c>
      <c r="M703" t="n">
        <v>0</v>
      </c>
      <c r="N703" t="n">
        <v>0</v>
      </c>
      <c r="O703" t="n">
        <v>0</v>
      </c>
      <c r="P703" t="n">
        <v>0</v>
      </c>
      <c r="Q703" t="n">
        <v>0</v>
      </c>
      <c r="R703" s="2" t="inlineStr"/>
    </row>
    <row r="704" ht="15" customHeight="1">
      <c r="A704" t="inlineStr">
        <is>
          <t>A 19590-2023</t>
        </is>
      </c>
      <c r="B704" s="1" t="n">
        <v>45049</v>
      </c>
      <c r="C704" s="1" t="n">
        <v>45982</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30000-2023</t>
        </is>
      </c>
      <c r="B705" s="1" t="n">
        <v>45109.71128472222</v>
      </c>
      <c r="C705" s="1" t="n">
        <v>45982</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61933-2023</t>
        </is>
      </c>
      <c r="B706" s="1" t="n">
        <v>45266</v>
      </c>
      <c r="C706" s="1" t="n">
        <v>45982</v>
      </c>
      <c r="D706" t="inlineStr">
        <is>
          <t>DALARNAS LÄN</t>
        </is>
      </c>
      <c r="E706" t="inlineStr">
        <is>
          <t>LEKSAND</t>
        </is>
      </c>
      <c r="G706" t="n">
        <v>0.2</v>
      </c>
      <c r="H706" t="n">
        <v>0</v>
      </c>
      <c r="I706" t="n">
        <v>0</v>
      </c>
      <c r="J706" t="n">
        <v>0</v>
      </c>
      <c r="K706" t="n">
        <v>0</v>
      </c>
      <c r="L706" t="n">
        <v>0</v>
      </c>
      <c r="M706" t="n">
        <v>0</v>
      </c>
      <c r="N706" t="n">
        <v>0</v>
      </c>
      <c r="O706" t="n">
        <v>0</v>
      </c>
      <c r="P706" t="n">
        <v>0</v>
      </c>
      <c r="Q706" t="n">
        <v>0</v>
      </c>
      <c r="R706" s="2" t="inlineStr"/>
    </row>
    <row r="707" ht="15" customHeight="1">
      <c r="A707" t="inlineStr">
        <is>
          <t>A 41015-2024</t>
        </is>
      </c>
      <c r="B707" s="1" t="n">
        <v>45559.32537037037</v>
      </c>
      <c r="C707" s="1" t="n">
        <v>45982</v>
      </c>
      <c r="D707" t="inlineStr">
        <is>
          <t>DALARNAS LÄN</t>
        </is>
      </c>
      <c r="E707" t="inlineStr">
        <is>
          <t>LEKSAND</t>
        </is>
      </c>
      <c r="G707" t="n">
        <v>1.6</v>
      </c>
      <c r="H707" t="n">
        <v>0</v>
      </c>
      <c r="I707" t="n">
        <v>0</v>
      </c>
      <c r="J707" t="n">
        <v>0</v>
      </c>
      <c r="K707" t="n">
        <v>0</v>
      </c>
      <c r="L707" t="n">
        <v>0</v>
      </c>
      <c r="M707" t="n">
        <v>0</v>
      </c>
      <c r="N707" t="n">
        <v>0</v>
      </c>
      <c r="O707" t="n">
        <v>0</v>
      </c>
      <c r="P707" t="n">
        <v>0</v>
      </c>
      <c r="Q707" t="n">
        <v>0</v>
      </c>
      <c r="R707" s="2" t="inlineStr"/>
    </row>
    <row r="708" ht="15" customHeight="1">
      <c r="A708" t="inlineStr">
        <is>
          <t>A 18107-2025</t>
        </is>
      </c>
      <c r="B708" s="1" t="n">
        <v>45761.55939814815</v>
      </c>
      <c r="C708" s="1" t="n">
        <v>45982</v>
      </c>
      <c r="D708" t="inlineStr">
        <is>
          <t>DALARNAS LÄN</t>
        </is>
      </c>
      <c r="E708" t="inlineStr">
        <is>
          <t>LEKSAND</t>
        </is>
      </c>
      <c r="G708" t="n">
        <v>1.2</v>
      </c>
      <c r="H708" t="n">
        <v>0</v>
      </c>
      <c r="I708" t="n">
        <v>0</v>
      </c>
      <c r="J708" t="n">
        <v>0</v>
      </c>
      <c r="K708" t="n">
        <v>0</v>
      </c>
      <c r="L708" t="n">
        <v>0</v>
      </c>
      <c r="M708" t="n">
        <v>0</v>
      </c>
      <c r="N708" t="n">
        <v>0</v>
      </c>
      <c r="O708" t="n">
        <v>0</v>
      </c>
      <c r="P708" t="n">
        <v>0</v>
      </c>
      <c r="Q708" t="n">
        <v>0</v>
      </c>
      <c r="R708" s="2" t="inlineStr"/>
    </row>
    <row r="709" ht="15" customHeight="1">
      <c r="A709" t="inlineStr">
        <is>
          <t>A 49395-2024</t>
        </is>
      </c>
      <c r="B709" s="1" t="n">
        <v>45595</v>
      </c>
      <c r="C709" s="1" t="n">
        <v>45982</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481-2024</t>
        </is>
      </c>
      <c r="B710" s="1" t="n">
        <v>45298</v>
      </c>
      <c r="C710" s="1" t="n">
        <v>45982</v>
      </c>
      <c r="D710" t="inlineStr">
        <is>
          <t>DALARNAS LÄN</t>
        </is>
      </c>
      <c r="E710" t="inlineStr">
        <is>
          <t>LEKSAND</t>
        </is>
      </c>
      <c r="G710" t="n">
        <v>7</v>
      </c>
      <c r="H710" t="n">
        <v>0</v>
      </c>
      <c r="I710" t="n">
        <v>0</v>
      </c>
      <c r="J710" t="n">
        <v>0</v>
      </c>
      <c r="K710" t="n">
        <v>0</v>
      </c>
      <c r="L710" t="n">
        <v>0</v>
      </c>
      <c r="M710" t="n">
        <v>0</v>
      </c>
      <c r="N710" t="n">
        <v>0</v>
      </c>
      <c r="O710" t="n">
        <v>0</v>
      </c>
      <c r="P710" t="n">
        <v>0</v>
      </c>
      <c r="Q710" t="n">
        <v>0</v>
      </c>
      <c r="R710" s="2" t="inlineStr"/>
    </row>
    <row r="711" ht="15" customHeight="1">
      <c r="A711" t="inlineStr">
        <is>
          <t>A 6778-2025</t>
        </is>
      </c>
      <c r="B711" s="1" t="n">
        <v>45700.64615740741</v>
      </c>
      <c r="C711" s="1" t="n">
        <v>45982</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50278-2023</t>
        </is>
      </c>
      <c r="B712" s="1" t="n">
        <v>45216.43444444444</v>
      </c>
      <c r="C712" s="1" t="n">
        <v>45982</v>
      </c>
      <c r="D712" t="inlineStr">
        <is>
          <t>DALARNAS LÄN</t>
        </is>
      </c>
      <c r="E712" t="inlineStr">
        <is>
          <t>LEKSAND</t>
        </is>
      </c>
      <c r="G712" t="n">
        <v>0.4</v>
      </c>
      <c r="H712" t="n">
        <v>0</v>
      </c>
      <c r="I712" t="n">
        <v>0</v>
      </c>
      <c r="J712" t="n">
        <v>0</v>
      </c>
      <c r="K712" t="n">
        <v>0</v>
      </c>
      <c r="L712" t="n">
        <v>0</v>
      </c>
      <c r="M712" t="n">
        <v>0</v>
      </c>
      <c r="N712" t="n">
        <v>0</v>
      </c>
      <c r="O712" t="n">
        <v>0</v>
      </c>
      <c r="P712" t="n">
        <v>0</v>
      </c>
      <c r="Q712" t="n">
        <v>0</v>
      </c>
      <c r="R712" s="2" t="inlineStr"/>
    </row>
    <row r="713" ht="15" customHeight="1">
      <c r="A713" t="inlineStr">
        <is>
          <t>A 13401-2023</t>
        </is>
      </c>
      <c r="B713" s="1" t="n">
        <v>45005</v>
      </c>
      <c r="C713" s="1" t="n">
        <v>45982</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23323-2023</t>
        </is>
      </c>
      <c r="B714" s="1" t="n">
        <v>45076</v>
      </c>
      <c r="C714" s="1" t="n">
        <v>45982</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17485-2025</t>
        </is>
      </c>
      <c r="B715" s="1" t="n">
        <v>45757.49976851852</v>
      </c>
      <c r="C715" s="1" t="n">
        <v>45982</v>
      </c>
      <c r="D715" t="inlineStr">
        <is>
          <t>DALARNAS LÄN</t>
        </is>
      </c>
      <c r="E715" t="inlineStr">
        <is>
          <t>LEKSAND</t>
        </is>
      </c>
      <c r="G715" t="n">
        <v>3.7</v>
      </c>
      <c r="H715" t="n">
        <v>0</v>
      </c>
      <c r="I715" t="n">
        <v>0</v>
      </c>
      <c r="J715" t="n">
        <v>0</v>
      </c>
      <c r="K715" t="n">
        <v>0</v>
      </c>
      <c r="L715" t="n">
        <v>0</v>
      </c>
      <c r="M715" t="n">
        <v>0</v>
      </c>
      <c r="N715" t="n">
        <v>0</v>
      </c>
      <c r="O715" t="n">
        <v>0</v>
      </c>
      <c r="P715" t="n">
        <v>0</v>
      </c>
      <c r="Q715" t="n">
        <v>0</v>
      </c>
      <c r="R715" s="2" t="inlineStr"/>
    </row>
    <row r="716" ht="15" customHeight="1">
      <c r="A716" t="inlineStr">
        <is>
          <t>A 18176-2024</t>
        </is>
      </c>
      <c r="B716" s="1" t="n">
        <v>45420.63901620371</v>
      </c>
      <c r="C716" s="1" t="n">
        <v>45982</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33072-2021</t>
        </is>
      </c>
      <c r="B717" s="1" t="n">
        <v>44375</v>
      </c>
      <c r="C717" s="1" t="n">
        <v>45982</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412-2024</t>
        </is>
      </c>
      <c r="B718" s="1" t="n">
        <v>45296</v>
      </c>
      <c r="C718" s="1" t="n">
        <v>45982</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56330-2022</t>
        </is>
      </c>
      <c r="B719" s="1" t="n">
        <v>44890.62630787037</v>
      </c>
      <c r="C719" s="1" t="n">
        <v>45982</v>
      </c>
      <c r="D719" t="inlineStr">
        <is>
          <t>DALARNAS LÄN</t>
        </is>
      </c>
      <c r="E719" t="inlineStr">
        <is>
          <t>LEKSAND</t>
        </is>
      </c>
      <c r="G719" t="n">
        <v>4.9</v>
      </c>
      <c r="H719" t="n">
        <v>0</v>
      </c>
      <c r="I719" t="n">
        <v>0</v>
      </c>
      <c r="J719" t="n">
        <v>0</v>
      </c>
      <c r="K719" t="n">
        <v>0</v>
      </c>
      <c r="L719" t="n">
        <v>0</v>
      </c>
      <c r="M719" t="n">
        <v>0</v>
      </c>
      <c r="N719" t="n">
        <v>0</v>
      </c>
      <c r="O719" t="n">
        <v>0</v>
      </c>
      <c r="P719" t="n">
        <v>0</v>
      </c>
      <c r="Q719" t="n">
        <v>0</v>
      </c>
      <c r="R719" s="2" t="inlineStr"/>
    </row>
    <row r="720" ht="15" customHeight="1">
      <c r="A720" t="inlineStr">
        <is>
          <t>A 59673-2023</t>
        </is>
      </c>
      <c r="B720" s="1" t="n">
        <v>45255.44603009259</v>
      </c>
      <c r="C720" s="1" t="n">
        <v>45982</v>
      </c>
      <c r="D720" t="inlineStr">
        <is>
          <t>DALARNAS LÄN</t>
        </is>
      </c>
      <c r="E720" t="inlineStr">
        <is>
          <t>LEKSAND</t>
        </is>
      </c>
      <c r="G720" t="n">
        <v>12.2</v>
      </c>
      <c r="H720" t="n">
        <v>0</v>
      </c>
      <c r="I720" t="n">
        <v>0</v>
      </c>
      <c r="J720" t="n">
        <v>0</v>
      </c>
      <c r="K720" t="n">
        <v>0</v>
      </c>
      <c r="L720" t="n">
        <v>0</v>
      </c>
      <c r="M720" t="n">
        <v>0</v>
      </c>
      <c r="N720" t="n">
        <v>0</v>
      </c>
      <c r="O720" t="n">
        <v>0</v>
      </c>
      <c r="P720" t="n">
        <v>0</v>
      </c>
      <c r="Q720" t="n">
        <v>0</v>
      </c>
      <c r="R720" s="2" t="inlineStr"/>
    </row>
    <row r="721" ht="15" customHeight="1">
      <c r="A721" t="inlineStr">
        <is>
          <t>A 17726-2024</t>
        </is>
      </c>
      <c r="B721" s="1" t="n">
        <v>45418.55609953704</v>
      </c>
      <c r="C721" s="1" t="n">
        <v>45982</v>
      </c>
      <c r="D721" t="inlineStr">
        <is>
          <t>DALARNAS LÄN</t>
        </is>
      </c>
      <c r="E721" t="inlineStr">
        <is>
          <t>LEKSAND</t>
        </is>
      </c>
      <c r="G721" t="n">
        <v>5.2</v>
      </c>
      <c r="H721" t="n">
        <v>0</v>
      </c>
      <c r="I721" t="n">
        <v>0</v>
      </c>
      <c r="J721" t="n">
        <v>0</v>
      </c>
      <c r="K721" t="n">
        <v>0</v>
      </c>
      <c r="L721" t="n">
        <v>0</v>
      </c>
      <c r="M721" t="n">
        <v>0</v>
      </c>
      <c r="N721" t="n">
        <v>0</v>
      </c>
      <c r="O721" t="n">
        <v>0</v>
      </c>
      <c r="P721" t="n">
        <v>0</v>
      </c>
      <c r="Q721" t="n">
        <v>0</v>
      </c>
      <c r="R721" s="2" t="inlineStr"/>
    </row>
    <row r="722" ht="15" customHeight="1">
      <c r="A722" t="inlineStr">
        <is>
          <t>A 32-2024</t>
        </is>
      </c>
      <c r="B722" s="1" t="n">
        <v>45293</v>
      </c>
      <c r="C722" s="1" t="n">
        <v>45982</v>
      </c>
      <c r="D722" t="inlineStr">
        <is>
          <t>DALARNAS LÄN</t>
        </is>
      </c>
      <c r="E722" t="inlineStr">
        <is>
          <t>LEKSAND</t>
        </is>
      </c>
      <c r="G722" t="n">
        <v>0.6</v>
      </c>
      <c r="H722" t="n">
        <v>0</v>
      </c>
      <c r="I722" t="n">
        <v>0</v>
      </c>
      <c r="J722" t="n">
        <v>0</v>
      </c>
      <c r="K722" t="n">
        <v>0</v>
      </c>
      <c r="L722" t="n">
        <v>0</v>
      </c>
      <c r="M722" t="n">
        <v>0</v>
      </c>
      <c r="N722" t="n">
        <v>0</v>
      </c>
      <c r="O722" t="n">
        <v>0</v>
      </c>
      <c r="P722" t="n">
        <v>0</v>
      </c>
      <c r="Q722" t="n">
        <v>0</v>
      </c>
      <c r="R722" s="2" t="inlineStr"/>
    </row>
    <row r="723" ht="15" customHeight="1">
      <c r="A723" t="inlineStr">
        <is>
          <t>A 1719-2024</t>
        </is>
      </c>
      <c r="B723" s="1" t="n">
        <v>45307</v>
      </c>
      <c r="C723" s="1" t="n">
        <v>45982</v>
      </c>
      <c r="D723" t="inlineStr">
        <is>
          <t>DALARNAS LÄN</t>
        </is>
      </c>
      <c r="E723" t="inlineStr">
        <is>
          <t>LEKSAND</t>
        </is>
      </c>
      <c r="G723" t="n">
        <v>2.8</v>
      </c>
      <c r="H723" t="n">
        <v>0</v>
      </c>
      <c r="I723" t="n">
        <v>0</v>
      </c>
      <c r="J723" t="n">
        <v>0</v>
      </c>
      <c r="K723" t="n">
        <v>0</v>
      </c>
      <c r="L723" t="n">
        <v>0</v>
      </c>
      <c r="M723" t="n">
        <v>0</v>
      </c>
      <c r="N723" t="n">
        <v>0</v>
      </c>
      <c r="O723" t="n">
        <v>0</v>
      </c>
      <c r="P723" t="n">
        <v>0</v>
      </c>
      <c r="Q723" t="n">
        <v>0</v>
      </c>
      <c r="R723" s="2" t="inlineStr"/>
    </row>
    <row r="724" ht="15" customHeight="1">
      <c r="A724" t="inlineStr">
        <is>
          <t>A 33463-2023</t>
        </is>
      </c>
      <c r="B724" s="1" t="n">
        <v>45131</v>
      </c>
      <c r="C724" s="1" t="n">
        <v>45982</v>
      </c>
      <c r="D724" t="inlineStr">
        <is>
          <t>DALARNAS LÄN</t>
        </is>
      </c>
      <c r="E724" t="inlineStr">
        <is>
          <t>LEKSAND</t>
        </is>
      </c>
      <c r="G724" t="n">
        <v>0.7</v>
      </c>
      <c r="H724" t="n">
        <v>0</v>
      </c>
      <c r="I724" t="n">
        <v>0</v>
      </c>
      <c r="J724" t="n">
        <v>0</v>
      </c>
      <c r="K724" t="n">
        <v>0</v>
      </c>
      <c r="L724" t="n">
        <v>0</v>
      </c>
      <c r="M724" t="n">
        <v>0</v>
      </c>
      <c r="N724" t="n">
        <v>0</v>
      </c>
      <c r="O724" t="n">
        <v>0</v>
      </c>
      <c r="P724" t="n">
        <v>0</v>
      </c>
      <c r="Q724" t="n">
        <v>0</v>
      </c>
      <c r="R724" s="2" t="inlineStr"/>
    </row>
    <row r="725" ht="15" customHeight="1">
      <c r="A725" t="inlineStr">
        <is>
          <t>A 55516-2024</t>
        </is>
      </c>
      <c r="B725" s="1" t="n">
        <v>45621</v>
      </c>
      <c r="C725" s="1" t="n">
        <v>45982</v>
      </c>
      <c r="D725" t="inlineStr">
        <is>
          <t>DALARNAS LÄN</t>
        </is>
      </c>
      <c r="E725" t="inlineStr">
        <is>
          <t>LEKSAND</t>
        </is>
      </c>
      <c r="G725" t="n">
        <v>1.4</v>
      </c>
      <c r="H725" t="n">
        <v>0</v>
      </c>
      <c r="I725" t="n">
        <v>0</v>
      </c>
      <c r="J725" t="n">
        <v>0</v>
      </c>
      <c r="K725" t="n">
        <v>0</v>
      </c>
      <c r="L725" t="n">
        <v>0</v>
      </c>
      <c r="M725" t="n">
        <v>0</v>
      </c>
      <c r="N725" t="n">
        <v>0</v>
      </c>
      <c r="O725" t="n">
        <v>0</v>
      </c>
      <c r="P725" t="n">
        <v>0</v>
      </c>
      <c r="Q725" t="n">
        <v>0</v>
      </c>
      <c r="R725" s="2" t="inlineStr"/>
    </row>
    <row r="726" ht="15" customHeight="1">
      <c r="A726" t="inlineStr">
        <is>
          <t>A 12992-2022</t>
        </is>
      </c>
      <c r="B726" s="1" t="n">
        <v>44643</v>
      </c>
      <c r="C726" s="1" t="n">
        <v>45982</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8211-2023</t>
        </is>
      </c>
      <c r="B727" s="1" t="n">
        <v>44974</v>
      </c>
      <c r="C727" s="1" t="n">
        <v>45982</v>
      </c>
      <c r="D727" t="inlineStr">
        <is>
          <t>DALARNAS LÄN</t>
        </is>
      </c>
      <c r="E727" t="inlineStr">
        <is>
          <t>LEKSAND</t>
        </is>
      </c>
      <c r="G727" t="n">
        <v>5.2</v>
      </c>
      <c r="H727" t="n">
        <v>0</v>
      </c>
      <c r="I727" t="n">
        <v>0</v>
      </c>
      <c r="J727" t="n">
        <v>0</v>
      </c>
      <c r="K727" t="n">
        <v>0</v>
      </c>
      <c r="L727" t="n">
        <v>0</v>
      </c>
      <c r="M727" t="n">
        <v>0</v>
      </c>
      <c r="N727" t="n">
        <v>0</v>
      </c>
      <c r="O727" t="n">
        <v>0</v>
      </c>
      <c r="P727" t="n">
        <v>0</v>
      </c>
      <c r="Q727" t="n">
        <v>0</v>
      </c>
      <c r="R727" s="2" t="inlineStr"/>
    </row>
    <row r="728" ht="15" customHeight="1">
      <c r="A728" t="inlineStr">
        <is>
          <t>A 50447-2023</t>
        </is>
      </c>
      <c r="B728" s="1" t="n">
        <v>45216.72185185185</v>
      </c>
      <c r="C728" s="1" t="n">
        <v>45982</v>
      </c>
      <c r="D728" t="inlineStr">
        <is>
          <t>DALARNAS LÄN</t>
        </is>
      </c>
      <c r="E728" t="inlineStr">
        <is>
          <t>LEKSAND</t>
        </is>
      </c>
      <c r="G728" t="n">
        <v>1.1</v>
      </c>
      <c r="H728" t="n">
        <v>0</v>
      </c>
      <c r="I728" t="n">
        <v>0</v>
      </c>
      <c r="J728" t="n">
        <v>0</v>
      </c>
      <c r="K728" t="n">
        <v>0</v>
      </c>
      <c r="L728" t="n">
        <v>0</v>
      </c>
      <c r="M728" t="n">
        <v>0</v>
      </c>
      <c r="N728" t="n">
        <v>0</v>
      </c>
      <c r="O728" t="n">
        <v>0</v>
      </c>
      <c r="P728" t="n">
        <v>0</v>
      </c>
      <c r="Q728" t="n">
        <v>0</v>
      </c>
      <c r="R728" s="2" t="inlineStr"/>
    </row>
    <row r="729" ht="15" customHeight="1">
      <c r="A729" t="inlineStr">
        <is>
          <t>A 46876-2023</t>
        </is>
      </c>
      <c r="B729" s="1" t="n">
        <v>45200</v>
      </c>
      <c r="C729" s="1" t="n">
        <v>45982</v>
      </c>
      <c r="D729" t="inlineStr">
        <is>
          <t>DALARNAS LÄN</t>
        </is>
      </c>
      <c r="E729" t="inlineStr">
        <is>
          <t>LEKSAND</t>
        </is>
      </c>
      <c r="G729" t="n">
        <v>2.4</v>
      </c>
      <c r="H729" t="n">
        <v>0</v>
      </c>
      <c r="I729" t="n">
        <v>0</v>
      </c>
      <c r="J729" t="n">
        <v>0</v>
      </c>
      <c r="K729" t="n">
        <v>0</v>
      </c>
      <c r="L729" t="n">
        <v>0</v>
      </c>
      <c r="M729" t="n">
        <v>0</v>
      </c>
      <c r="N729" t="n">
        <v>0</v>
      </c>
      <c r="O729" t="n">
        <v>0</v>
      </c>
      <c r="P729" t="n">
        <v>0</v>
      </c>
      <c r="Q729" t="n">
        <v>0</v>
      </c>
      <c r="R729" s="2" t="inlineStr"/>
    </row>
    <row r="730" ht="15" customHeight="1">
      <c r="A730" t="inlineStr">
        <is>
          <t>A 55512-2024</t>
        </is>
      </c>
      <c r="B730" s="1" t="n">
        <v>45621</v>
      </c>
      <c r="C730" s="1" t="n">
        <v>45982</v>
      </c>
      <c r="D730" t="inlineStr">
        <is>
          <t>DALARNAS LÄN</t>
        </is>
      </c>
      <c r="E730" t="inlineStr">
        <is>
          <t>LEKSAND</t>
        </is>
      </c>
      <c r="G730" t="n">
        <v>1.5</v>
      </c>
      <c r="H730" t="n">
        <v>0</v>
      </c>
      <c r="I730" t="n">
        <v>0</v>
      </c>
      <c r="J730" t="n">
        <v>0</v>
      </c>
      <c r="K730" t="n">
        <v>0</v>
      </c>
      <c r="L730" t="n">
        <v>0</v>
      </c>
      <c r="M730" t="n">
        <v>0</v>
      </c>
      <c r="N730" t="n">
        <v>0</v>
      </c>
      <c r="O730" t="n">
        <v>0</v>
      </c>
      <c r="P730" t="n">
        <v>0</v>
      </c>
      <c r="Q730" t="n">
        <v>0</v>
      </c>
      <c r="R730" s="2" t="inlineStr"/>
    </row>
    <row r="731" ht="15" customHeight="1">
      <c r="A731" t="inlineStr">
        <is>
          <t>A 43470-2024</t>
        </is>
      </c>
      <c r="B731" s="1" t="n">
        <v>45568</v>
      </c>
      <c r="C731" s="1" t="n">
        <v>45982</v>
      </c>
      <c r="D731" t="inlineStr">
        <is>
          <t>DALARNAS LÄN</t>
        </is>
      </c>
      <c r="E731" t="inlineStr">
        <is>
          <t>LEKSAND</t>
        </is>
      </c>
      <c r="G731" t="n">
        <v>3.1</v>
      </c>
      <c r="H731" t="n">
        <v>0</v>
      </c>
      <c r="I731" t="n">
        <v>0</v>
      </c>
      <c r="J731" t="n">
        <v>0</v>
      </c>
      <c r="K731" t="n">
        <v>0</v>
      </c>
      <c r="L731" t="n">
        <v>0</v>
      </c>
      <c r="M731" t="n">
        <v>0</v>
      </c>
      <c r="N731" t="n">
        <v>0</v>
      </c>
      <c r="O731" t="n">
        <v>0</v>
      </c>
      <c r="P731" t="n">
        <v>0</v>
      </c>
      <c r="Q731" t="n">
        <v>0</v>
      </c>
      <c r="R731" s="2" t="inlineStr"/>
    </row>
    <row r="732" ht="15" customHeight="1">
      <c r="A732" t="inlineStr">
        <is>
          <t>A 11606-2025</t>
        </is>
      </c>
      <c r="B732" s="1" t="n">
        <v>45727</v>
      </c>
      <c r="C732" s="1" t="n">
        <v>45982</v>
      </c>
      <c r="D732" t="inlineStr">
        <is>
          <t>DALARNAS LÄN</t>
        </is>
      </c>
      <c r="E732" t="inlineStr">
        <is>
          <t>LEKSAND</t>
        </is>
      </c>
      <c r="G732" t="n">
        <v>2.3</v>
      </c>
      <c r="H732" t="n">
        <v>0</v>
      </c>
      <c r="I732" t="n">
        <v>0</v>
      </c>
      <c r="J732" t="n">
        <v>0</v>
      </c>
      <c r="K732" t="n">
        <v>0</v>
      </c>
      <c r="L732" t="n">
        <v>0</v>
      </c>
      <c r="M732" t="n">
        <v>0</v>
      </c>
      <c r="N732" t="n">
        <v>0</v>
      </c>
      <c r="O732" t="n">
        <v>0</v>
      </c>
      <c r="P732" t="n">
        <v>0</v>
      </c>
      <c r="Q732" t="n">
        <v>0</v>
      </c>
      <c r="R732" s="2" t="inlineStr"/>
    </row>
    <row r="733" ht="15" customHeight="1">
      <c r="A733" t="inlineStr">
        <is>
          <t>A 22683-2022</t>
        </is>
      </c>
      <c r="B733" s="1" t="n">
        <v>44714</v>
      </c>
      <c r="C733" s="1" t="n">
        <v>45982</v>
      </c>
      <c r="D733" t="inlineStr">
        <is>
          <t>DALARNAS LÄN</t>
        </is>
      </c>
      <c r="E733" t="inlineStr">
        <is>
          <t>LEKSAND</t>
        </is>
      </c>
      <c r="F733" t="inlineStr">
        <is>
          <t>Bergvik skog väst AB</t>
        </is>
      </c>
      <c r="G733" t="n">
        <v>3.4</v>
      </c>
      <c r="H733" t="n">
        <v>0</v>
      </c>
      <c r="I733" t="n">
        <v>0</v>
      </c>
      <c r="J733" t="n">
        <v>0</v>
      </c>
      <c r="K733" t="n">
        <v>0</v>
      </c>
      <c r="L733" t="n">
        <v>0</v>
      </c>
      <c r="M733" t="n">
        <v>0</v>
      </c>
      <c r="N733" t="n">
        <v>0</v>
      </c>
      <c r="O733" t="n">
        <v>0</v>
      </c>
      <c r="P733" t="n">
        <v>0</v>
      </c>
      <c r="Q733" t="n">
        <v>0</v>
      </c>
      <c r="R733" s="2" t="inlineStr"/>
    </row>
    <row r="734" ht="15" customHeight="1">
      <c r="A734" t="inlineStr">
        <is>
          <t>A 13161-2024</t>
        </is>
      </c>
      <c r="B734" s="1" t="n">
        <v>45386.38972222222</v>
      </c>
      <c r="C734" s="1" t="n">
        <v>45982</v>
      </c>
      <c r="D734" t="inlineStr">
        <is>
          <t>DALARNAS LÄN</t>
        </is>
      </c>
      <c r="E734" t="inlineStr">
        <is>
          <t>LEKSAND</t>
        </is>
      </c>
      <c r="G734" t="n">
        <v>0.7</v>
      </c>
      <c r="H734" t="n">
        <v>0</v>
      </c>
      <c r="I734" t="n">
        <v>0</v>
      </c>
      <c r="J734" t="n">
        <v>0</v>
      </c>
      <c r="K734" t="n">
        <v>0</v>
      </c>
      <c r="L734" t="n">
        <v>0</v>
      </c>
      <c r="M734" t="n">
        <v>0</v>
      </c>
      <c r="N734" t="n">
        <v>0</v>
      </c>
      <c r="O734" t="n">
        <v>0</v>
      </c>
      <c r="P734" t="n">
        <v>0</v>
      </c>
      <c r="Q734" t="n">
        <v>0</v>
      </c>
      <c r="R734" s="2" t="inlineStr"/>
    </row>
    <row r="735" ht="15" customHeight="1">
      <c r="A735" t="inlineStr">
        <is>
          <t>A 61208-2023</t>
        </is>
      </c>
      <c r="B735" s="1" t="n">
        <v>45260</v>
      </c>
      <c r="C735" s="1" t="n">
        <v>45982</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26062-2024</t>
        </is>
      </c>
      <c r="B736" s="1" t="n">
        <v>45468.3509375</v>
      </c>
      <c r="C736" s="1" t="n">
        <v>45982</v>
      </c>
      <c r="D736" t="inlineStr">
        <is>
          <t>DALARNAS LÄN</t>
        </is>
      </c>
      <c r="E736" t="inlineStr">
        <is>
          <t>LEKSAND</t>
        </is>
      </c>
      <c r="F736" t="inlineStr">
        <is>
          <t>Övriga statliga verk och myndigheter</t>
        </is>
      </c>
      <c r="G736" t="n">
        <v>6.4</v>
      </c>
      <c r="H736" t="n">
        <v>0</v>
      </c>
      <c r="I736" t="n">
        <v>0</v>
      </c>
      <c r="J736" t="n">
        <v>0</v>
      </c>
      <c r="K736" t="n">
        <v>0</v>
      </c>
      <c r="L736" t="n">
        <v>0</v>
      </c>
      <c r="M736" t="n">
        <v>0</v>
      </c>
      <c r="N736" t="n">
        <v>0</v>
      </c>
      <c r="O736" t="n">
        <v>0</v>
      </c>
      <c r="P736" t="n">
        <v>0</v>
      </c>
      <c r="Q736" t="n">
        <v>0</v>
      </c>
      <c r="R736" s="2" t="inlineStr"/>
    </row>
    <row r="737" ht="15" customHeight="1">
      <c r="A737" t="inlineStr">
        <is>
          <t>A 22517-2024</t>
        </is>
      </c>
      <c r="B737" s="1" t="n">
        <v>45447.40143518519</v>
      </c>
      <c r="C737" s="1" t="n">
        <v>45982</v>
      </c>
      <c r="D737" t="inlineStr">
        <is>
          <t>DALARNAS LÄN</t>
        </is>
      </c>
      <c r="E737" t="inlineStr">
        <is>
          <t>LEKSAND</t>
        </is>
      </c>
      <c r="G737" t="n">
        <v>0.4</v>
      </c>
      <c r="H737" t="n">
        <v>0</v>
      </c>
      <c r="I737" t="n">
        <v>0</v>
      </c>
      <c r="J737" t="n">
        <v>0</v>
      </c>
      <c r="K737" t="n">
        <v>0</v>
      </c>
      <c r="L737" t="n">
        <v>0</v>
      </c>
      <c r="M737" t="n">
        <v>0</v>
      </c>
      <c r="N737" t="n">
        <v>0</v>
      </c>
      <c r="O737" t="n">
        <v>0</v>
      </c>
      <c r="P737" t="n">
        <v>0</v>
      </c>
      <c r="Q737" t="n">
        <v>0</v>
      </c>
      <c r="R737" s="2" t="inlineStr"/>
    </row>
    <row r="738" ht="15" customHeight="1">
      <c r="A738" t="inlineStr">
        <is>
          <t>A 61953-2023</t>
        </is>
      </c>
      <c r="B738" s="1" t="n">
        <v>45266</v>
      </c>
      <c r="C738" s="1" t="n">
        <v>45982</v>
      </c>
      <c r="D738" t="inlineStr">
        <is>
          <t>DALARNAS LÄN</t>
        </is>
      </c>
      <c r="E738" t="inlineStr">
        <is>
          <t>LEKSAND</t>
        </is>
      </c>
      <c r="G738" t="n">
        <v>0.1</v>
      </c>
      <c r="H738" t="n">
        <v>0</v>
      </c>
      <c r="I738" t="n">
        <v>0</v>
      </c>
      <c r="J738" t="n">
        <v>0</v>
      </c>
      <c r="K738" t="n">
        <v>0</v>
      </c>
      <c r="L738" t="n">
        <v>0</v>
      </c>
      <c r="M738" t="n">
        <v>0</v>
      </c>
      <c r="N738" t="n">
        <v>0</v>
      </c>
      <c r="O738" t="n">
        <v>0</v>
      </c>
      <c r="P738" t="n">
        <v>0</v>
      </c>
      <c r="Q738" t="n">
        <v>0</v>
      </c>
      <c r="R738" s="2" t="inlineStr"/>
    </row>
    <row r="739" ht="15" customHeight="1">
      <c r="A739" t="inlineStr">
        <is>
          <t>A 16815-2025</t>
        </is>
      </c>
      <c r="B739" s="1" t="n">
        <v>45754</v>
      </c>
      <c r="C739" s="1" t="n">
        <v>45982</v>
      </c>
      <c r="D739" t="inlineStr">
        <is>
          <t>DALARNAS LÄN</t>
        </is>
      </c>
      <c r="E739" t="inlineStr">
        <is>
          <t>LEKSAND</t>
        </is>
      </c>
      <c r="G739" t="n">
        <v>2.8</v>
      </c>
      <c r="H739" t="n">
        <v>0</v>
      </c>
      <c r="I739" t="n">
        <v>0</v>
      </c>
      <c r="J739" t="n">
        <v>0</v>
      </c>
      <c r="K739" t="n">
        <v>0</v>
      </c>
      <c r="L739" t="n">
        <v>0</v>
      </c>
      <c r="M739" t="n">
        <v>0</v>
      </c>
      <c r="N739" t="n">
        <v>0</v>
      </c>
      <c r="O739" t="n">
        <v>0</v>
      </c>
      <c r="P739" t="n">
        <v>0</v>
      </c>
      <c r="Q739" t="n">
        <v>0</v>
      </c>
      <c r="R739" s="2" t="inlineStr"/>
    </row>
    <row r="740" ht="15" customHeight="1">
      <c r="A740" t="inlineStr">
        <is>
          <t>A 16854-2025</t>
        </is>
      </c>
      <c r="B740" s="1" t="n">
        <v>45754.72883101852</v>
      </c>
      <c r="C740" s="1" t="n">
        <v>45982</v>
      </c>
      <c r="D740" t="inlineStr">
        <is>
          <t>DALARNAS LÄN</t>
        </is>
      </c>
      <c r="E740" t="inlineStr">
        <is>
          <t>LEKSAND</t>
        </is>
      </c>
      <c r="G740" t="n">
        <v>1.2</v>
      </c>
      <c r="H740" t="n">
        <v>0</v>
      </c>
      <c r="I740" t="n">
        <v>0</v>
      </c>
      <c r="J740" t="n">
        <v>0</v>
      </c>
      <c r="K740" t="n">
        <v>0</v>
      </c>
      <c r="L740" t="n">
        <v>0</v>
      </c>
      <c r="M740" t="n">
        <v>0</v>
      </c>
      <c r="N740" t="n">
        <v>0</v>
      </c>
      <c r="O740" t="n">
        <v>0</v>
      </c>
      <c r="P740" t="n">
        <v>0</v>
      </c>
      <c r="Q740" t="n">
        <v>0</v>
      </c>
      <c r="R740" s="2" t="inlineStr"/>
    </row>
    <row r="741" ht="15" customHeight="1">
      <c r="A741" t="inlineStr">
        <is>
          <t>A 62133-2023</t>
        </is>
      </c>
      <c r="B741" s="1" t="n">
        <v>45267.35582175926</v>
      </c>
      <c r="C741" s="1" t="n">
        <v>45982</v>
      </c>
      <c r="D741" t="inlineStr">
        <is>
          <t>DALARNAS LÄN</t>
        </is>
      </c>
      <c r="E741" t="inlineStr">
        <is>
          <t>LEKSAND</t>
        </is>
      </c>
      <c r="G741" t="n">
        <v>1.3</v>
      </c>
      <c r="H741" t="n">
        <v>0</v>
      </c>
      <c r="I741" t="n">
        <v>0</v>
      </c>
      <c r="J741" t="n">
        <v>0</v>
      </c>
      <c r="K741" t="n">
        <v>0</v>
      </c>
      <c r="L741" t="n">
        <v>0</v>
      </c>
      <c r="M741" t="n">
        <v>0</v>
      </c>
      <c r="N741" t="n">
        <v>0</v>
      </c>
      <c r="O741" t="n">
        <v>0</v>
      </c>
      <c r="P741" t="n">
        <v>0</v>
      </c>
      <c r="Q741" t="n">
        <v>0</v>
      </c>
      <c r="R741" s="2" t="inlineStr"/>
    </row>
    <row r="742" ht="15" customHeight="1">
      <c r="A742" t="inlineStr">
        <is>
          <t>A 40009-2024</t>
        </is>
      </c>
      <c r="B742" s="1" t="n">
        <v>45553.65361111111</v>
      </c>
      <c r="C742" s="1" t="n">
        <v>45982</v>
      </c>
      <c r="D742" t="inlineStr">
        <is>
          <t>DALARNAS LÄN</t>
        </is>
      </c>
      <c r="E742" t="inlineStr">
        <is>
          <t>LEKSAND</t>
        </is>
      </c>
      <c r="F742" t="inlineStr">
        <is>
          <t>Bergvik skog väst AB</t>
        </is>
      </c>
      <c r="G742" t="n">
        <v>3</v>
      </c>
      <c r="H742" t="n">
        <v>0</v>
      </c>
      <c r="I742" t="n">
        <v>0</v>
      </c>
      <c r="J742" t="n">
        <v>0</v>
      </c>
      <c r="K742" t="n">
        <v>0</v>
      </c>
      <c r="L742" t="n">
        <v>0</v>
      </c>
      <c r="M742" t="n">
        <v>0</v>
      </c>
      <c r="N742" t="n">
        <v>0</v>
      </c>
      <c r="O742" t="n">
        <v>0</v>
      </c>
      <c r="P742" t="n">
        <v>0</v>
      </c>
      <c r="Q742" t="n">
        <v>0</v>
      </c>
      <c r="R742" s="2" t="inlineStr"/>
    </row>
    <row r="743" ht="15" customHeight="1">
      <c r="A743" t="inlineStr">
        <is>
          <t>A 10967-2023</t>
        </is>
      </c>
      <c r="B743" s="1" t="n">
        <v>44991.58001157407</v>
      </c>
      <c r="C743" s="1" t="n">
        <v>45982</v>
      </c>
      <c r="D743" t="inlineStr">
        <is>
          <t>DALARNAS LÄN</t>
        </is>
      </c>
      <c r="E743" t="inlineStr">
        <is>
          <t>LEKSAND</t>
        </is>
      </c>
      <c r="G743" t="n">
        <v>0.5</v>
      </c>
      <c r="H743" t="n">
        <v>0</v>
      </c>
      <c r="I743" t="n">
        <v>0</v>
      </c>
      <c r="J743" t="n">
        <v>0</v>
      </c>
      <c r="K743" t="n">
        <v>0</v>
      </c>
      <c r="L743" t="n">
        <v>0</v>
      </c>
      <c r="M743" t="n">
        <v>0</v>
      </c>
      <c r="N743" t="n">
        <v>0</v>
      </c>
      <c r="O743" t="n">
        <v>0</v>
      </c>
      <c r="P743" t="n">
        <v>0</v>
      </c>
      <c r="Q743" t="n">
        <v>0</v>
      </c>
      <c r="R743" s="2" t="inlineStr"/>
    </row>
    <row r="744" ht="15" customHeight="1">
      <c r="A744" t="inlineStr">
        <is>
          <t>A 10974-2023</t>
        </is>
      </c>
      <c r="B744" s="1" t="n">
        <v>44991.59049768518</v>
      </c>
      <c r="C744" s="1" t="n">
        <v>45982</v>
      </c>
      <c r="D744" t="inlineStr">
        <is>
          <t>DALARNAS LÄN</t>
        </is>
      </c>
      <c r="E744" t="inlineStr">
        <is>
          <t>LEKSAND</t>
        </is>
      </c>
      <c r="G744" t="n">
        <v>0.3</v>
      </c>
      <c r="H744" t="n">
        <v>0</v>
      </c>
      <c r="I744" t="n">
        <v>0</v>
      </c>
      <c r="J744" t="n">
        <v>0</v>
      </c>
      <c r="K744" t="n">
        <v>0</v>
      </c>
      <c r="L744" t="n">
        <v>0</v>
      </c>
      <c r="M744" t="n">
        <v>0</v>
      </c>
      <c r="N744" t="n">
        <v>0</v>
      </c>
      <c r="O744" t="n">
        <v>0</v>
      </c>
      <c r="P744" t="n">
        <v>0</v>
      </c>
      <c r="Q744" t="n">
        <v>0</v>
      </c>
      <c r="R744" s="2" t="inlineStr"/>
    </row>
    <row r="745" ht="15" customHeight="1">
      <c r="A745" t="inlineStr">
        <is>
          <t>A 47203-2023</t>
        </is>
      </c>
      <c r="B745" s="1" t="n">
        <v>45202</v>
      </c>
      <c r="C745" s="1" t="n">
        <v>45982</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42727-2024</t>
        </is>
      </c>
      <c r="B746" s="1" t="n">
        <v>45566</v>
      </c>
      <c r="C746" s="1" t="n">
        <v>45982</v>
      </c>
      <c r="D746" t="inlineStr">
        <is>
          <t>DALARNAS LÄN</t>
        </is>
      </c>
      <c r="E746" t="inlineStr">
        <is>
          <t>LEKSAND</t>
        </is>
      </c>
      <c r="G746" t="n">
        <v>0.8</v>
      </c>
      <c r="H746" t="n">
        <v>0</v>
      </c>
      <c r="I746" t="n">
        <v>0</v>
      </c>
      <c r="J746" t="n">
        <v>0</v>
      </c>
      <c r="K746" t="n">
        <v>0</v>
      </c>
      <c r="L746" t="n">
        <v>0</v>
      </c>
      <c r="M746" t="n">
        <v>0</v>
      </c>
      <c r="N746" t="n">
        <v>0</v>
      </c>
      <c r="O746" t="n">
        <v>0</v>
      </c>
      <c r="P746" t="n">
        <v>0</v>
      </c>
      <c r="Q746" t="n">
        <v>0</v>
      </c>
      <c r="R746" s="2" t="inlineStr"/>
    </row>
    <row r="747" ht="15" customHeight="1">
      <c r="A747" t="inlineStr">
        <is>
          <t>A 19295-2024</t>
        </is>
      </c>
      <c r="B747" s="1" t="n">
        <v>45428.69106481481</v>
      </c>
      <c r="C747" s="1" t="n">
        <v>45982</v>
      </c>
      <c r="D747" t="inlineStr">
        <is>
          <t>DALARNAS LÄN</t>
        </is>
      </c>
      <c r="E747" t="inlineStr">
        <is>
          <t>LEKSAND</t>
        </is>
      </c>
      <c r="G747" t="n">
        <v>1.6</v>
      </c>
      <c r="H747" t="n">
        <v>0</v>
      </c>
      <c r="I747" t="n">
        <v>0</v>
      </c>
      <c r="J747" t="n">
        <v>0</v>
      </c>
      <c r="K747" t="n">
        <v>0</v>
      </c>
      <c r="L747" t="n">
        <v>0</v>
      </c>
      <c r="M747" t="n">
        <v>0</v>
      </c>
      <c r="N747" t="n">
        <v>0</v>
      </c>
      <c r="O747" t="n">
        <v>0</v>
      </c>
      <c r="P747" t="n">
        <v>0</v>
      </c>
      <c r="Q747" t="n">
        <v>0</v>
      </c>
      <c r="R747" s="2" t="inlineStr"/>
    </row>
    <row r="748" ht="15" customHeight="1">
      <c r="A748" t="inlineStr">
        <is>
          <t>A 16197-2024</t>
        </is>
      </c>
      <c r="B748" s="1" t="n">
        <v>45406.70356481482</v>
      </c>
      <c r="C748" s="1" t="n">
        <v>45982</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20937-2025</t>
        </is>
      </c>
      <c r="B749" s="1" t="n">
        <v>45777.42769675926</v>
      </c>
      <c r="C749" s="1" t="n">
        <v>45982</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20683-2025</t>
        </is>
      </c>
      <c r="B750" s="1" t="n">
        <v>45776</v>
      </c>
      <c r="C750" s="1" t="n">
        <v>45982</v>
      </c>
      <c r="D750" t="inlineStr">
        <is>
          <t>DALARNAS LÄN</t>
        </is>
      </c>
      <c r="E750" t="inlineStr">
        <is>
          <t>LEKSAND</t>
        </is>
      </c>
      <c r="F750" t="inlineStr">
        <is>
          <t>Bergvik skog väst AB</t>
        </is>
      </c>
      <c r="G750" t="n">
        <v>4.1</v>
      </c>
      <c r="H750" t="n">
        <v>0</v>
      </c>
      <c r="I750" t="n">
        <v>0</v>
      </c>
      <c r="J750" t="n">
        <v>0</v>
      </c>
      <c r="K750" t="n">
        <v>0</v>
      </c>
      <c r="L750" t="n">
        <v>0</v>
      </c>
      <c r="M750" t="n">
        <v>0</v>
      </c>
      <c r="N750" t="n">
        <v>0</v>
      </c>
      <c r="O750" t="n">
        <v>0</v>
      </c>
      <c r="P750" t="n">
        <v>0</v>
      </c>
      <c r="Q750" t="n">
        <v>0</v>
      </c>
      <c r="R750" s="2" t="inlineStr"/>
    </row>
    <row r="751" ht="15" customHeight="1">
      <c r="A751" t="inlineStr">
        <is>
          <t>A 21230-2025</t>
        </is>
      </c>
      <c r="B751" s="1" t="n">
        <v>45779.54589120371</v>
      </c>
      <c r="C751" s="1" t="n">
        <v>45982</v>
      </c>
      <c r="D751" t="inlineStr">
        <is>
          <t>DALARNAS LÄN</t>
        </is>
      </c>
      <c r="E751" t="inlineStr">
        <is>
          <t>LEKSAND</t>
        </is>
      </c>
      <c r="G751" t="n">
        <v>0.5</v>
      </c>
      <c r="H751" t="n">
        <v>0</v>
      </c>
      <c r="I751" t="n">
        <v>0</v>
      </c>
      <c r="J751" t="n">
        <v>0</v>
      </c>
      <c r="K751" t="n">
        <v>0</v>
      </c>
      <c r="L751" t="n">
        <v>0</v>
      </c>
      <c r="M751" t="n">
        <v>0</v>
      </c>
      <c r="N751" t="n">
        <v>0</v>
      </c>
      <c r="O751" t="n">
        <v>0</v>
      </c>
      <c r="P751" t="n">
        <v>0</v>
      </c>
      <c r="Q751" t="n">
        <v>0</v>
      </c>
      <c r="R751" s="2" t="inlineStr"/>
    </row>
    <row r="752" ht="15" customHeight="1">
      <c r="A752" t="inlineStr">
        <is>
          <t>A 21193-2025</t>
        </is>
      </c>
      <c r="B752" s="1" t="n">
        <v>45779.46675925926</v>
      </c>
      <c r="C752" s="1" t="n">
        <v>45982</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40627-2023</t>
        </is>
      </c>
      <c r="B753" s="1" t="n">
        <v>45170</v>
      </c>
      <c r="C753" s="1" t="n">
        <v>45982</v>
      </c>
      <c r="D753" t="inlineStr">
        <is>
          <t>DALARNAS LÄN</t>
        </is>
      </c>
      <c r="E753" t="inlineStr">
        <is>
          <t>LEKSAND</t>
        </is>
      </c>
      <c r="F753" t="inlineStr">
        <is>
          <t>Bergvik skog väst AB</t>
        </is>
      </c>
      <c r="G753" t="n">
        <v>3.3</v>
      </c>
      <c r="H753" t="n">
        <v>0</v>
      </c>
      <c r="I753" t="n">
        <v>0</v>
      </c>
      <c r="J753" t="n">
        <v>0</v>
      </c>
      <c r="K753" t="n">
        <v>0</v>
      </c>
      <c r="L753" t="n">
        <v>0</v>
      </c>
      <c r="M753" t="n">
        <v>0</v>
      </c>
      <c r="N753" t="n">
        <v>0</v>
      </c>
      <c r="O753" t="n">
        <v>0</v>
      </c>
      <c r="P753" t="n">
        <v>0</v>
      </c>
      <c r="Q753" t="n">
        <v>0</v>
      </c>
      <c r="R753" s="2" t="inlineStr"/>
    </row>
    <row r="754" ht="15" customHeight="1">
      <c r="A754" t="inlineStr">
        <is>
          <t>A 21600-2025</t>
        </is>
      </c>
      <c r="B754" s="1" t="n">
        <v>45783.3521875</v>
      </c>
      <c r="C754" s="1" t="n">
        <v>45982</v>
      </c>
      <c r="D754" t="inlineStr">
        <is>
          <t>DALARNAS LÄN</t>
        </is>
      </c>
      <c r="E754" t="inlineStr">
        <is>
          <t>LEKSAND</t>
        </is>
      </c>
      <c r="G754" t="n">
        <v>7.7</v>
      </c>
      <c r="H754" t="n">
        <v>0</v>
      </c>
      <c r="I754" t="n">
        <v>0</v>
      </c>
      <c r="J754" t="n">
        <v>0</v>
      </c>
      <c r="K754" t="n">
        <v>0</v>
      </c>
      <c r="L754" t="n">
        <v>0</v>
      </c>
      <c r="M754" t="n">
        <v>0</v>
      </c>
      <c r="N754" t="n">
        <v>0</v>
      </c>
      <c r="O754" t="n">
        <v>0</v>
      </c>
      <c r="P754" t="n">
        <v>0</v>
      </c>
      <c r="Q754" t="n">
        <v>0</v>
      </c>
      <c r="R754" s="2" t="inlineStr"/>
    </row>
    <row r="755" ht="15" customHeight="1">
      <c r="A755" t="inlineStr">
        <is>
          <t>A 11872-2024</t>
        </is>
      </c>
      <c r="B755" s="1" t="n">
        <v>45376.46833333333</v>
      </c>
      <c r="C755" s="1" t="n">
        <v>45982</v>
      </c>
      <c r="D755" t="inlineStr">
        <is>
          <t>DALARNAS LÄN</t>
        </is>
      </c>
      <c r="E755" t="inlineStr">
        <is>
          <t>LEKSAND</t>
        </is>
      </c>
      <c r="G755" t="n">
        <v>3.1</v>
      </c>
      <c r="H755" t="n">
        <v>0</v>
      </c>
      <c r="I755" t="n">
        <v>0</v>
      </c>
      <c r="J755" t="n">
        <v>0</v>
      </c>
      <c r="K755" t="n">
        <v>0</v>
      </c>
      <c r="L755" t="n">
        <v>0</v>
      </c>
      <c r="M755" t="n">
        <v>0</v>
      </c>
      <c r="N755" t="n">
        <v>0</v>
      </c>
      <c r="O755" t="n">
        <v>0</v>
      </c>
      <c r="P755" t="n">
        <v>0</v>
      </c>
      <c r="Q755" t="n">
        <v>0</v>
      </c>
      <c r="R755" s="2" t="inlineStr"/>
    </row>
    <row r="756" ht="15" customHeight="1">
      <c r="A756" t="inlineStr">
        <is>
          <t>A 21457-2025</t>
        </is>
      </c>
      <c r="B756" s="1" t="n">
        <v>45782.55451388889</v>
      </c>
      <c r="C756" s="1" t="n">
        <v>45982</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61554-2024</t>
        </is>
      </c>
      <c r="B757" s="1" t="n">
        <v>45646.60748842593</v>
      </c>
      <c r="C757" s="1" t="n">
        <v>45982</v>
      </c>
      <c r="D757" t="inlineStr">
        <is>
          <t>DALARNAS LÄN</t>
        </is>
      </c>
      <c r="E757" t="inlineStr">
        <is>
          <t>LEKSAND</t>
        </is>
      </c>
      <c r="G757" t="n">
        <v>2.6</v>
      </c>
      <c r="H757" t="n">
        <v>0</v>
      </c>
      <c r="I757" t="n">
        <v>0</v>
      </c>
      <c r="J757" t="n">
        <v>0</v>
      </c>
      <c r="K757" t="n">
        <v>0</v>
      </c>
      <c r="L757" t="n">
        <v>0</v>
      </c>
      <c r="M757" t="n">
        <v>0</v>
      </c>
      <c r="N757" t="n">
        <v>0</v>
      </c>
      <c r="O757" t="n">
        <v>0</v>
      </c>
      <c r="P757" t="n">
        <v>0</v>
      </c>
      <c r="Q757" t="n">
        <v>0</v>
      </c>
      <c r="R757" s="2" t="inlineStr"/>
    </row>
    <row r="758" ht="15" customHeight="1">
      <c r="A758" t="inlineStr">
        <is>
          <t>A 22080-2025</t>
        </is>
      </c>
      <c r="B758" s="1" t="n">
        <v>45785</v>
      </c>
      <c r="C758" s="1" t="n">
        <v>45982</v>
      </c>
      <c r="D758" t="inlineStr">
        <is>
          <t>DALARNAS LÄN</t>
        </is>
      </c>
      <c r="E758" t="inlineStr">
        <is>
          <t>LEKSAND</t>
        </is>
      </c>
      <c r="G758" t="n">
        <v>7</v>
      </c>
      <c r="H758" t="n">
        <v>0</v>
      </c>
      <c r="I758" t="n">
        <v>0</v>
      </c>
      <c r="J758" t="n">
        <v>0</v>
      </c>
      <c r="K758" t="n">
        <v>0</v>
      </c>
      <c r="L758" t="n">
        <v>0</v>
      </c>
      <c r="M758" t="n">
        <v>0</v>
      </c>
      <c r="N758" t="n">
        <v>0</v>
      </c>
      <c r="O758" t="n">
        <v>0</v>
      </c>
      <c r="P758" t="n">
        <v>0</v>
      </c>
      <c r="Q758" t="n">
        <v>0</v>
      </c>
      <c r="R758" s="2" t="inlineStr"/>
    </row>
    <row r="759" ht="15" customHeight="1">
      <c r="A759" t="inlineStr">
        <is>
          <t>A 21916-2025</t>
        </is>
      </c>
      <c r="B759" s="1" t="n">
        <v>45784.50115740741</v>
      </c>
      <c r="C759" s="1" t="n">
        <v>45982</v>
      </c>
      <c r="D759" t="inlineStr">
        <is>
          <t>DALARNAS LÄN</t>
        </is>
      </c>
      <c r="E759" t="inlineStr">
        <is>
          <t>LEKSAND</t>
        </is>
      </c>
      <c r="G759" t="n">
        <v>2.6</v>
      </c>
      <c r="H759" t="n">
        <v>0</v>
      </c>
      <c r="I759" t="n">
        <v>0</v>
      </c>
      <c r="J759" t="n">
        <v>0</v>
      </c>
      <c r="K759" t="n">
        <v>0</v>
      </c>
      <c r="L759" t="n">
        <v>0</v>
      </c>
      <c r="M759" t="n">
        <v>0</v>
      </c>
      <c r="N759" t="n">
        <v>0</v>
      </c>
      <c r="O759" t="n">
        <v>0</v>
      </c>
      <c r="P759" t="n">
        <v>0</v>
      </c>
      <c r="Q759" t="n">
        <v>0</v>
      </c>
      <c r="R759" s="2" t="inlineStr"/>
    </row>
    <row r="760" ht="15" customHeight="1">
      <c r="A760" t="inlineStr">
        <is>
          <t>A 62307-2023</t>
        </is>
      </c>
      <c r="B760" s="1" t="n">
        <v>45266</v>
      </c>
      <c r="C760" s="1" t="n">
        <v>45982</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14967-2023</t>
        </is>
      </c>
      <c r="B761" s="1" t="n">
        <v>45015</v>
      </c>
      <c r="C761" s="1" t="n">
        <v>45982</v>
      </c>
      <c r="D761" t="inlineStr">
        <is>
          <t>DALARNAS LÄN</t>
        </is>
      </c>
      <c r="E761" t="inlineStr">
        <is>
          <t>LEKSAND</t>
        </is>
      </c>
      <c r="G761" t="n">
        <v>1.4</v>
      </c>
      <c r="H761" t="n">
        <v>0</v>
      </c>
      <c r="I761" t="n">
        <v>0</v>
      </c>
      <c r="J761" t="n">
        <v>0</v>
      </c>
      <c r="K761" t="n">
        <v>0</v>
      </c>
      <c r="L761" t="n">
        <v>0</v>
      </c>
      <c r="M761" t="n">
        <v>0</v>
      </c>
      <c r="N761" t="n">
        <v>0</v>
      </c>
      <c r="O761" t="n">
        <v>0</v>
      </c>
      <c r="P761" t="n">
        <v>0</v>
      </c>
      <c r="Q761" t="n">
        <v>0</v>
      </c>
      <c r="R761" s="2" t="inlineStr"/>
    </row>
    <row r="762" ht="15" customHeight="1">
      <c r="A762" t="inlineStr">
        <is>
          <t>A 7861-2024</t>
        </is>
      </c>
      <c r="B762" s="1" t="n">
        <v>45350.30831018519</v>
      </c>
      <c r="C762" s="1" t="n">
        <v>45982</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36534-2024</t>
        </is>
      </c>
      <c r="B763" s="1" t="n">
        <v>45537.45143518518</v>
      </c>
      <c r="C763" s="1" t="n">
        <v>45982</v>
      </c>
      <c r="D763" t="inlineStr">
        <is>
          <t>DALARNAS LÄN</t>
        </is>
      </c>
      <c r="E763" t="inlineStr">
        <is>
          <t>LEKSAND</t>
        </is>
      </c>
      <c r="G763" t="n">
        <v>4</v>
      </c>
      <c r="H763" t="n">
        <v>0</v>
      </c>
      <c r="I763" t="n">
        <v>0</v>
      </c>
      <c r="J763" t="n">
        <v>0</v>
      </c>
      <c r="K763" t="n">
        <v>0</v>
      </c>
      <c r="L763" t="n">
        <v>0</v>
      </c>
      <c r="M763" t="n">
        <v>0</v>
      </c>
      <c r="N763" t="n">
        <v>0</v>
      </c>
      <c r="O763" t="n">
        <v>0</v>
      </c>
      <c r="P763" t="n">
        <v>0</v>
      </c>
      <c r="Q763" t="n">
        <v>0</v>
      </c>
      <c r="R763" s="2" t="inlineStr"/>
    </row>
    <row r="764" ht="15" customHeight="1">
      <c r="A764" t="inlineStr">
        <is>
          <t>A 22536-2025</t>
        </is>
      </c>
      <c r="B764" s="1" t="n">
        <v>45787.33037037037</v>
      </c>
      <c r="C764" s="1" t="n">
        <v>45982</v>
      </c>
      <c r="D764" t="inlineStr">
        <is>
          <t>DALARNAS LÄN</t>
        </is>
      </c>
      <c r="E764" t="inlineStr">
        <is>
          <t>LEKSAND</t>
        </is>
      </c>
      <c r="G764" t="n">
        <v>1.8</v>
      </c>
      <c r="H764" t="n">
        <v>0</v>
      </c>
      <c r="I764" t="n">
        <v>0</v>
      </c>
      <c r="J764" t="n">
        <v>0</v>
      </c>
      <c r="K764" t="n">
        <v>0</v>
      </c>
      <c r="L764" t="n">
        <v>0</v>
      </c>
      <c r="M764" t="n">
        <v>0</v>
      </c>
      <c r="N764" t="n">
        <v>0</v>
      </c>
      <c r="O764" t="n">
        <v>0</v>
      </c>
      <c r="P764" t="n">
        <v>0</v>
      </c>
      <c r="Q764" t="n">
        <v>0</v>
      </c>
      <c r="R764" s="2" t="inlineStr"/>
    </row>
    <row r="765">
      <c r="A765" t="inlineStr">
        <is>
          <t>A 60042-2023</t>
        </is>
      </c>
      <c r="B765" s="1" t="n">
        <v>45256</v>
      </c>
      <c r="C765" s="1" t="n">
        <v>45982</v>
      </c>
      <c r="D765" t="inlineStr">
        <is>
          <t>DALARNAS LÄN</t>
        </is>
      </c>
      <c r="E765" t="inlineStr">
        <is>
          <t>LEKSAND</t>
        </is>
      </c>
      <c r="G765" t="n">
        <v>2</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2025-11-21T19:55:19Z</dcterms:created>
  <dcterms:modified xmlns:dcterms="http://purl.org/dc/terms/" xmlns:xsi="http://www.w3.org/2001/XMLSchema-instance" xsi:type="dcterms:W3CDTF">2025-11-21T19:55:20Z</dcterms:modified>
</cp:coreProperties>
</file>