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46038</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46038</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46038</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46038</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46038</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46038</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46038</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46038</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46038</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46038</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46038</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46038</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46038</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46038</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46038</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46038</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41528-2025</t>
        </is>
      </c>
      <c r="B24" s="1" t="n">
        <v>45901.55515046296</v>
      </c>
      <c r="C24" s="1" t="n">
        <v>46038</v>
      </c>
      <c r="D24" t="inlineStr">
        <is>
          <t>DALARNAS LÄN</t>
        </is>
      </c>
      <c r="E24" t="inlineStr">
        <is>
          <t>LEKSAND</t>
        </is>
      </c>
      <c r="F24" t="inlineStr">
        <is>
          <t>Bergvik skog väst AB</t>
        </is>
      </c>
      <c r="G24" t="n">
        <v>2.7</v>
      </c>
      <c r="H24" t="n">
        <v>1</v>
      </c>
      <c r="I24" t="n">
        <v>1</v>
      </c>
      <c r="J24" t="n">
        <v>2</v>
      </c>
      <c r="K24" t="n">
        <v>0</v>
      </c>
      <c r="L24" t="n">
        <v>0</v>
      </c>
      <c r="M24" t="n">
        <v>0</v>
      </c>
      <c r="N24" t="n">
        <v>0</v>
      </c>
      <c r="O24" t="n">
        <v>2</v>
      </c>
      <c r="P24" t="n">
        <v>0</v>
      </c>
      <c r="Q24" t="n">
        <v>3</v>
      </c>
      <c r="R24" s="2" t="inlineStr">
        <is>
          <t>Garnlav
Tretåig hackspett
Mindre märgborre</t>
        </is>
      </c>
      <c r="S24">
        <f>HYPERLINK("https://klasma.github.io/Logging_2029/artfynd/A 41528-2025 artfynd.xlsx", "A 41528-2025")</f>
        <v/>
      </c>
      <c r="T24">
        <f>HYPERLINK("https://klasma.github.io/Logging_2029/kartor/A 41528-2025 karta.png", "A 41528-2025")</f>
        <v/>
      </c>
      <c r="V24">
        <f>HYPERLINK("https://klasma.github.io/Logging_2029/klagomål/A 41528-2025 FSC-klagomål.docx", "A 41528-2025")</f>
        <v/>
      </c>
      <c r="W24">
        <f>HYPERLINK("https://klasma.github.io/Logging_2029/klagomålsmail/A 41528-2025 FSC-klagomål mail.docx", "A 41528-2025")</f>
        <v/>
      </c>
      <c r="X24">
        <f>HYPERLINK("https://klasma.github.io/Logging_2029/tillsyn/A 41528-2025 tillsynsbegäran.docx", "A 41528-2025")</f>
        <v/>
      </c>
      <c r="Y24">
        <f>HYPERLINK("https://klasma.github.io/Logging_2029/tillsynsmail/A 41528-2025 tillsynsbegäran mail.docx", "A 41528-2025")</f>
        <v/>
      </c>
      <c r="Z24">
        <f>HYPERLINK("https://klasma.github.io/Logging_2029/fåglar/A 41528-2025 prioriterade fågelarter.docx", "A 41528-2025")</f>
        <v/>
      </c>
    </row>
    <row r="25" ht="15" customHeight="1">
      <c r="A25" t="inlineStr">
        <is>
          <t>A 62861-2025</t>
        </is>
      </c>
      <c r="B25" s="1" t="n">
        <v>46008.77298611111</v>
      </c>
      <c r="C25" s="1" t="n">
        <v>46038</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9408-2024</t>
        </is>
      </c>
      <c r="B26" s="1" t="n">
        <v>45358</v>
      </c>
      <c r="C26" s="1" t="n">
        <v>46038</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55519-2021</t>
        </is>
      </c>
      <c r="B27" s="1" t="n">
        <v>44475</v>
      </c>
      <c r="C27" s="1" t="n">
        <v>46038</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59111-2024</t>
        </is>
      </c>
      <c r="B28" s="1" t="n">
        <v>45637.36484953704</v>
      </c>
      <c r="C28" s="1" t="n">
        <v>46038</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6778-2022</t>
        </is>
      </c>
      <c r="B29" s="1" t="n">
        <v>44602</v>
      </c>
      <c r="C29" s="1" t="n">
        <v>46038</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18860-2025</t>
        </is>
      </c>
      <c r="B30" s="1" t="n">
        <v>45764.42738425926</v>
      </c>
      <c r="C30" s="1" t="n">
        <v>46038</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35865-2025</t>
        </is>
      </c>
      <c r="B31" s="1" t="n">
        <v>45861.7066087963</v>
      </c>
      <c r="C31" s="1" t="n">
        <v>46038</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41718-2021</t>
        </is>
      </c>
      <c r="B32" s="1" t="n">
        <v>44425</v>
      </c>
      <c r="C32" s="1" t="n">
        <v>46038</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46038</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55633-2024</t>
        </is>
      </c>
      <c r="B34" s="1" t="n">
        <v>45621</v>
      </c>
      <c r="C34" s="1" t="n">
        <v>46038</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6029-2025</t>
        </is>
      </c>
      <c r="B35" s="1" t="n">
        <v>45695</v>
      </c>
      <c r="C35" s="1" t="n">
        <v>46038</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164-2024</t>
        </is>
      </c>
      <c r="B36" s="1" t="n">
        <v>45294.49954861111</v>
      </c>
      <c r="C36" s="1" t="n">
        <v>46038</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53633-2024</t>
        </is>
      </c>
      <c r="B37" s="1" t="n">
        <v>45614.83726851852</v>
      </c>
      <c r="C37" s="1" t="n">
        <v>46038</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4974-2025</t>
        </is>
      </c>
      <c r="B38" s="1" t="n">
        <v>45690.8478587963</v>
      </c>
      <c r="C38" s="1" t="n">
        <v>46038</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41873-2022</t>
        </is>
      </c>
      <c r="B39" s="1" t="n">
        <v>44829</v>
      </c>
      <c r="C39" s="1" t="n">
        <v>46038</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16735-2025</t>
        </is>
      </c>
      <c r="B40" s="1" t="n">
        <v>45754.54314814815</v>
      </c>
      <c r="C40" s="1" t="n">
        <v>46038</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46038</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45375-2025</t>
        </is>
      </c>
      <c r="B42" s="1" t="n">
        <v>45922.39347222223</v>
      </c>
      <c r="C42" s="1" t="n">
        <v>46038</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47601-2025</t>
        </is>
      </c>
      <c r="B43" s="1" t="n">
        <v>45931.46008101852</v>
      </c>
      <c r="C43" s="1" t="n">
        <v>46038</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36778-2025</t>
        </is>
      </c>
      <c r="B44" s="1" t="n">
        <v>45873</v>
      </c>
      <c r="C44" s="1" t="n">
        <v>46038</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11218-2023</t>
        </is>
      </c>
      <c r="B45" s="1" t="n">
        <v>44992.62401620371</v>
      </c>
      <c r="C45" s="1" t="n">
        <v>46038</v>
      </c>
      <c r="D45" t="inlineStr">
        <is>
          <t>DALARNAS LÄN</t>
        </is>
      </c>
      <c r="E45" t="inlineStr">
        <is>
          <t>LEKSAND</t>
        </is>
      </c>
      <c r="G45" t="n">
        <v>2.6</v>
      </c>
      <c r="H45" t="n">
        <v>1</v>
      </c>
      <c r="I45" t="n">
        <v>0</v>
      </c>
      <c r="J45" t="n">
        <v>0</v>
      </c>
      <c r="K45" t="n">
        <v>1</v>
      </c>
      <c r="L45" t="n">
        <v>0</v>
      </c>
      <c r="M45" t="n">
        <v>0</v>
      </c>
      <c r="N45" t="n">
        <v>0</v>
      </c>
      <c r="O45" t="n">
        <v>1</v>
      </c>
      <c r="P45" t="n">
        <v>1</v>
      </c>
      <c r="Q45" t="n">
        <v>1</v>
      </c>
      <c r="R45" s="2" t="inlineStr">
        <is>
          <t>Knärot</t>
        </is>
      </c>
      <c r="S45">
        <f>HYPERLINK("https://klasma.github.io/Logging_2029/artfynd/A 11218-2023 artfynd.xlsx", "A 11218-2023")</f>
        <v/>
      </c>
      <c r="T45">
        <f>HYPERLINK("https://klasma.github.io/Logging_2029/kartor/A 11218-2023 karta.png", "A 11218-2023")</f>
        <v/>
      </c>
      <c r="U45">
        <f>HYPERLINK("https://klasma.github.io/Logging_2029/knärot/A 11218-2023 karta knärot.png", "A 11218-2023")</f>
        <v/>
      </c>
      <c r="V45">
        <f>HYPERLINK("https://klasma.github.io/Logging_2029/klagomål/A 11218-2023 FSC-klagomål.docx", "A 11218-2023")</f>
        <v/>
      </c>
      <c r="W45">
        <f>HYPERLINK("https://klasma.github.io/Logging_2029/klagomålsmail/A 11218-2023 FSC-klagomål mail.docx", "A 11218-2023")</f>
        <v/>
      </c>
      <c r="X45">
        <f>HYPERLINK("https://klasma.github.io/Logging_2029/tillsyn/A 11218-2023 tillsynsbegäran.docx", "A 11218-2023")</f>
        <v/>
      </c>
      <c r="Y45">
        <f>HYPERLINK("https://klasma.github.io/Logging_2029/tillsynsmail/A 11218-2023 tillsynsbegäran mail.docx", "A 11218-2023")</f>
        <v/>
      </c>
    </row>
    <row r="46" ht="15" customHeight="1">
      <c r="A46" t="inlineStr">
        <is>
          <t>A 26287-2023</t>
        </is>
      </c>
      <c r="B46" s="1" t="n">
        <v>45091</v>
      </c>
      <c r="C46" s="1" t="n">
        <v>46038</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59205-2023</t>
        </is>
      </c>
      <c r="B47" s="1" t="n">
        <v>45251</v>
      </c>
      <c r="C47" s="1" t="n">
        <v>46038</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52600-2024</t>
        </is>
      </c>
      <c r="B48" s="1" t="n">
        <v>45609</v>
      </c>
      <c r="C48" s="1" t="n">
        <v>46038</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31124-2024</t>
        </is>
      </c>
      <c r="B49" s="1" t="n">
        <v>45502.62886574074</v>
      </c>
      <c r="C49" s="1" t="n">
        <v>46038</v>
      </c>
      <c r="D49" t="inlineStr">
        <is>
          <t>DALARNAS LÄN</t>
        </is>
      </c>
      <c r="E49" t="inlineStr">
        <is>
          <t>LEKSAND</t>
        </is>
      </c>
      <c r="G49" t="n">
        <v>1.9</v>
      </c>
      <c r="H49" t="n">
        <v>1</v>
      </c>
      <c r="I49" t="n">
        <v>0</v>
      </c>
      <c r="J49" t="n">
        <v>0</v>
      </c>
      <c r="K49" t="n">
        <v>1</v>
      </c>
      <c r="L49" t="n">
        <v>0</v>
      </c>
      <c r="M49" t="n">
        <v>0</v>
      </c>
      <c r="N49" t="n">
        <v>0</v>
      </c>
      <c r="O49" t="n">
        <v>1</v>
      </c>
      <c r="P49" t="n">
        <v>1</v>
      </c>
      <c r="Q49" t="n">
        <v>1</v>
      </c>
      <c r="R49" s="2" t="inlineStr">
        <is>
          <t>Väddnätfjäril</t>
        </is>
      </c>
      <c r="S49">
        <f>HYPERLINK("https://klasma.github.io/Logging_2029/artfynd/A 31124-2024 artfynd.xlsx", "A 31124-2024")</f>
        <v/>
      </c>
      <c r="T49">
        <f>HYPERLINK("https://klasma.github.io/Logging_2029/kartor/A 31124-2024 karta.png", "A 31124-2024")</f>
        <v/>
      </c>
      <c r="V49">
        <f>HYPERLINK("https://klasma.github.io/Logging_2029/klagomål/A 31124-2024 FSC-klagomål.docx", "A 31124-2024")</f>
        <v/>
      </c>
      <c r="W49">
        <f>HYPERLINK("https://klasma.github.io/Logging_2029/klagomålsmail/A 31124-2024 FSC-klagomål mail.docx", "A 31124-2024")</f>
        <v/>
      </c>
      <c r="X49">
        <f>HYPERLINK("https://klasma.github.io/Logging_2029/tillsyn/A 31124-2024 tillsynsbegäran.docx", "A 31124-2024")</f>
        <v/>
      </c>
      <c r="Y49">
        <f>HYPERLINK("https://klasma.github.io/Logging_2029/tillsynsmail/A 31124-2024 tillsynsbegäran mail.docx", "A 31124-2024")</f>
        <v/>
      </c>
    </row>
    <row r="50" ht="15" customHeight="1">
      <c r="A50" t="inlineStr">
        <is>
          <t>A 31951-2025</t>
        </is>
      </c>
      <c r="B50" s="1" t="n">
        <v>45835.33481481481</v>
      </c>
      <c r="C50" s="1" t="n">
        <v>46038</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34993-2025</t>
        </is>
      </c>
      <c r="B51" s="1" t="n">
        <v>45849.82383101852</v>
      </c>
      <c r="C51" s="1" t="n">
        <v>46038</v>
      </c>
      <c r="D51" t="inlineStr">
        <is>
          <t>DALARNAS LÄN</t>
        </is>
      </c>
      <c r="E51" t="inlineStr">
        <is>
          <t>LEKSAND</t>
        </is>
      </c>
      <c r="F51" t="inlineStr">
        <is>
          <t>Bergvik skog väst AB</t>
        </is>
      </c>
      <c r="G51" t="n">
        <v>4.6</v>
      </c>
      <c r="H51" t="n">
        <v>0</v>
      </c>
      <c r="I51" t="n">
        <v>1</v>
      </c>
      <c r="J51" t="n">
        <v>0</v>
      </c>
      <c r="K51" t="n">
        <v>0</v>
      </c>
      <c r="L51" t="n">
        <v>0</v>
      </c>
      <c r="M51" t="n">
        <v>0</v>
      </c>
      <c r="N51" t="n">
        <v>0</v>
      </c>
      <c r="O51" t="n">
        <v>0</v>
      </c>
      <c r="P51" t="n">
        <v>0</v>
      </c>
      <c r="Q51" t="n">
        <v>1</v>
      </c>
      <c r="R51" s="2" t="inlineStr">
        <is>
          <t>Mindre märgborre</t>
        </is>
      </c>
      <c r="S51">
        <f>HYPERLINK("https://klasma.github.io/Logging_2029/artfynd/A 34993-2025 artfynd.xlsx", "A 34993-2025")</f>
        <v/>
      </c>
      <c r="T51">
        <f>HYPERLINK("https://klasma.github.io/Logging_2029/kartor/A 34993-2025 karta.png", "A 34993-2025")</f>
        <v/>
      </c>
      <c r="V51">
        <f>HYPERLINK("https://klasma.github.io/Logging_2029/klagomål/A 34993-2025 FSC-klagomål.docx", "A 34993-2025")</f>
        <v/>
      </c>
      <c r="W51">
        <f>HYPERLINK("https://klasma.github.io/Logging_2029/klagomålsmail/A 34993-2025 FSC-klagomål mail.docx", "A 34993-2025")</f>
        <v/>
      </c>
      <c r="X51">
        <f>HYPERLINK("https://klasma.github.io/Logging_2029/tillsyn/A 34993-2025 tillsynsbegäran.docx", "A 34993-2025")</f>
        <v/>
      </c>
      <c r="Y51">
        <f>HYPERLINK("https://klasma.github.io/Logging_2029/tillsynsmail/A 34993-2025 tillsynsbegäran mail.docx", "A 34993-2025")</f>
        <v/>
      </c>
    </row>
    <row r="52" ht="15" customHeight="1">
      <c r="A52" t="inlineStr">
        <is>
          <t>A 34996-2025</t>
        </is>
      </c>
      <c r="B52" s="1" t="n">
        <v>45849.82798611111</v>
      </c>
      <c r="C52" s="1" t="n">
        <v>46038</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34996-2025 artfynd.xlsx", "A 34996-2025")</f>
        <v/>
      </c>
      <c r="T52">
        <f>HYPERLINK("https://klasma.github.io/Logging_2029/kartor/A 34996-2025 karta.png", "A 34996-2025")</f>
        <v/>
      </c>
      <c r="V52">
        <f>HYPERLINK("https://klasma.github.io/Logging_2029/klagomål/A 34996-2025 FSC-klagomål.docx", "A 34996-2025")</f>
        <v/>
      </c>
      <c r="W52">
        <f>HYPERLINK("https://klasma.github.io/Logging_2029/klagomålsmail/A 34996-2025 FSC-klagomål mail.docx", "A 34996-2025")</f>
        <v/>
      </c>
      <c r="X52">
        <f>HYPERLINK("https://klasma.github.io/Logging_2029/tillsyn/A 34996-2025 tillsynsbegäran.docx", "A 34996-2025")</f>
        <v/>
      </c>
      <c r="Y52">
        <f>HYPERLINK("https://klasma.github.io/Logging_2029/tillsynsmail/A 34996-2025 tillsynsbegäran mail.docx", "A 34996-2025")</f>
        <v/>
      </c>
    </row>
    <row r="53" ht="15" customHeight="1">
      <c r="A53" t="inlineStr">
        <is>
          <t>A 36438-2021</t>
        </is>
      </c>
      <c r="B53" s="1" t="n">
        <v>44390.91288194444</v>
      </c>
      <c r="C53" s="1" t="n">
        <v>46038</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46038</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46038</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46038</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46038</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46038</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46038</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46038</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21132-2021</t>
        </is>
      </c>
      <c r="B61" s="1" t="n">
        <v>44319</v>
      </c>
      <c r="C61" s="1" t="n">
        <v>46038</v>
      </c>
      <c r="D61" t="inlineStr">
        <is>
          <t>DALARNAS LÄN</t>
        </is>
      </c>
      <c r="E61" t="inlineStr">
        <is>
          <t>LEKSAND</t>
        </is>
      </c>
      <c r="G61" t="n">
        <v>6.8</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46038</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46038</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46038</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46038</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9133-2021</t>
        </is>
      </c>
      <c r="B66" s="1" t="n">
        <v>44249</v>
      </c>
      <c r="C66" s="1" t="n">
        <v>46038</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791-2022</t>
        </is>
      </c>
      <c r="B67" s="1" t="n">
        <v>44570</v>
      </c>
      <c r="C67" s="1" t="n">
        <v>46038</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63831-2021</t>
        </is>
      </c>
      <c r="B68" s="1" t="n">
        <v>44509.58097222223</v>
      </c>
      <c r="C68" s="1" t="n">
        <v>46038</v>
      </c>
      <c r="D68" t="inlineStr">
        <is>
          <t>DALARNAS LÄN</t>
        </is>
      </c>
      <c r="E68" t="inlineStr">
        <is>
          <t>LEKSAND</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46038</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46038</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18267-2021</t>
        </is>
      </c>
      <c r="B71" s="1" t="n">
        <v>44305</v>
      </c>
      <c r="C71" s="1" t="n">
        <v>46038</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46038</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37073-2021</t>
        </is>
      </c>
      <c r="B73" s="1" t="n">
        <v>44394</v>
      </c>
      <c r="C73" s="1" t="n">
        <v>46038</v>
      </c>
      <c r="D73" t="inlineStr">
        <is>
          <t>DALARNAS LÄN</t>
        </is>
      </c>
      <c r="E73" t="inlineStr">
        <is>
          <t>LEKSAND</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46038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46038</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71311-2021</t>
        </is>
      </c>
      <c r="B76" s="1" t="n">
        <v>44539</v>
      </c>
      <c r="C76" s="1" t="n">
        <v>46038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43300-2022</t>
        </is>
      </c>
      <c r="B77" s="1" t="n">
        <v>44834</v>
      </c>
      <c r="C77" s="1" t="n">
        <v>46038</v>
      </c>
      <c r="D77" t="inlineStr">
        <is>
          <t>DALARNAS LÄN</t>
        </is>
      </c>
      <c r="E77" t="inlineStr">
        <is>
          <t>LEKSAND</t>
        </is>
      </c>
      <c r="G77" t="n">
        <v>1.4</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46038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70296-2021</t>
        </is>
      </c>
      <c r="B79" s="1" t="n">
        <v>44536.40434027778</v>
      </c>
      <c r="C79" s="1" t="n">
        <v>46038</v>
      </c>
      <c r="D79" t="inlineStr">
        <is>
          <t>DALARNAS LÄN</t>
        </is>
      </c>
      <c r="E79" t="inlineStr">
        <is>
          <t>LEKSAND</t>
        </is>
      </c>
      <c r="G79" t="n">
        <v>2.7</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46038</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46038</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40165-2022</t>
        </is>
      </c>
      <c r="B82" s="1" t="n">
        <v>44820.56857638889</v>
      </c>
      <c r="C82" s="1" t="n">
        <v>46038</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46038</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46038</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46038</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46038</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62279-2021</t>
        </is>
      </c>
      <c r="B87" s="1" t="n">
        <v>44503</v>
      </c>
      <c r="C87" s="1" t="n">
        <v>46038</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46038</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46038</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46672-2022</t>
        </is>
      </c>
      <c r="B90" s="1" t="n">
        <v>44851</v>
      </c>
      <c r="C90" s="1" t="n">
        <v>46038</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46038</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46038</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18870-2022</t>
        </is>
      </c>
      <c r="B93" s="1" t="n">
        <v>44690.50725694445</v>
      </c>
      <c r="C93" s="1" t="n">
        <v>46038</v>
      </c>
      <c r="D93" t="inlineStr">
        <is>
          <t>DALARNAS LÄN</t>
        </is>
      </c>
      <c r="E93" t="inlineStr">
        <is>
          <t>LEKSAND</t>
        </is>
      </c>
      <c r="F93" t="inlineStr">
        <is>
          <t>Övriga Aktiebolag</t>
        </is>
      </c>
      <c r="G93" t="n">
        <v>3.1</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46038</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46038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46038</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46038</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19677-2021</t>
        </is>
      </c>
      <c r="B98" s="1" t="n">
        <v>44312</v>
      </c>
      <c r="C98" s="1" t="n">
        <v>46038</v>
      </c>
      <c r="D98" t="inlineStr">
        <is>
          <t>DALARNAS LÄN</t>
        </is>
      </c>
      <c r="E98" t="inlineStr">
        <is>
          <t>LEKSAND</t>
        </is>
      </c>
      <c r="F98" t="inlineStr">
        <is>
          <t>Bergvik skog väst AB</t>
        </is>
      </c>
      <c r="G98" t="n">
        <v>3.1</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46038</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31871-2022</t>
        </is>
      </c>
      <c r="B100" s="1" t="n">
        <v>44777.37854166667</v>
      </c>
      <c r="C100" s="1" t="n">
        <v>46038</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14140-2022</t>
        </is>
      </c>
      <c r="B101" s="1" t="n">
        <v>44651</v>
      </c>
      <c r="C101" s="1" t="n">
        <v>46038</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49581-2022</t>
        </is>
      </c>
      <c r="B102" s="1" t="n">
        <v>44862.36287037037</v>
      </c>
      <c r="C102" s="1" t="n">
        <v>46038</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45155-2021</t>
        </is>
      </c>
      <c r="B103" s="1" t="n">
        <v>44439</v>
      </c>
      <c r="C103" s="1" t="n">
        <v>46038</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56153-2021</t>
        </is>
      </c>
      <c r="B104" s="1" t="n">
        <v>44477</v>
      </c>
      <c r="C104" s="1" t="n">
        <v>46038</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46038</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46038</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46038</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46038</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46038</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62306-2023</t>
        </is>
      </c>
      <c r="B110" s="1" t="n">
        <v>45266</v>
      </c>
      <c r="C110" s="1" t="n">
        <v>46038</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31971-2024</t>
        </is>
      </c>
      <c r="B111" s="1" t="n">
        <v>45510.55171296297</v>
      </c>
      <c r="C111" s="1" t="n">
        <v>46038</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18040-2024</t>
        </is>
      </c>
      <c r="B112" s="1" t="n">
        <v>45420.36664351852</v>
      </c>
      <c r="C112" s="1" t="n">
        <v>46038</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45040-2021</t>
        </is>
      </c>
      <c r="B113" s="1" t="n">
        <v>44438</v>
      </c>
      <c r="C113" s="1" t="n">
        <v>46038</v>
      </c>
      <c r="D113" t="inlineStr">
        <is>
          <t>DALARNAS LÄN</t>
        </is>
      </c>
      <c r="E113" t="inlineStr">
        <is>
          <t>LEKSAND</t>
        </is>
      </c>
      <c r="G113" t="n">
        <v>2.7</v>
      </c>
      <c r="H113" t="n">
        <v>0</v>
      </c>
      <c r="I113" t="n">
        <v>0</v>
      </c>
      <c r="J113" t="n">
        <v>0</v>
      </c>
      <c r="K113" t="n">
        <v>0</v>
      </c>
      <c r="L113" t="n">
        <v>0</v>
      </c>
      <c r="M113" t="n">
        <v>0</v>
      </c>
      <c r="N113" t="n">
        <v>0</v>
      </c>
      <c r="O113" t="n">
        <v>0</v>
      </c>
      <c r="P113" t="n">
        <v>0</v>
      </c>
      <c r="Q113" t="n">
        <v>0</v>
      </c>
      <c r="R113" s="2" t="inlineStr"/>
    </row>
    <row r="114" ht="15" customHeight="1">
      <c r="A114" t="inlineStr">
        <is>
          <t>A 46141-2022</t>
        </is>
      </c>
      <c r="B114" s="1" t="n">
        <v>44846</v>
      </c>
      <c r="C114" s="1" t="n">
        <v>46038</v>
      </c>
      <c r="D114" t="inlineStr">
        <is>
          <t>DALARNAS LÄN</t>
        </is>
      </c>
      <c r="E114" t="inlineStr">
        <is>
          <t>LEKSAND</t>
        </is>
      </c>
      <c r="G114" t="n">
        <v>2.8</v>
      </c>
      <c r="H114" t="n">
        <v>0</v>
      </c>
      <c r="I114" t="n">
        <v>0</v>
      </c>
      <c r="J114" t="n">
        <v>0</v>
      </c>
      <c r="K114" t="n">
        <v>0</v>
      </c>
      <c r="L114" t="n">
        <v>0</v>
      </c>
      <c r="M114" t="n">
        <v>0</v>
      </c>
      <c r="N114" t="n">
        <v>0</v>
      </c>
      <c r="O114" t="n">
        <v>0</v>
      </c>
      <c r="P114" t="n">
        <v>0</v>
      </c>
      <c r="Q114" t="n">
        <v>0</v>
      </c>
      <c r="R114" s="2" t="inlineStr"/>
    </row>
    <row r="115" ht="15" customHeight="1">
      <c r="A115" t="inlineStr">
        <is>
          <t>A 14616-2024</t>
        </is>
      </c>
      <c r="B115" s="1" t="n">
        <v>45397.2624537037</v>
      </c>
      <c r="C115" s="1" t="n">
        <v>46038</v>
      </c>
      <c r="D115" t="inlineStr">
        <is>
          <t>DALARNAS LÄN</t>
        </is>
      </c>
      <c r="E115" t="inlineStr">
        <is>
          <t>LEKSAND</t>
        </is>
      </c>
      <c r="G115" t="n">
        <v>0.5</v>
      </c>
      <c r="H115" t="n">
        <v>0</v>
      </c>
      <c r="I115" t="n">
        <v>0</v>
      </c>
      <c r="J115" t="n">
        <v>0</v>
      </c>
      <c r="K115" t="n">
        <v>0</v>
      </c>
      <c r="L115" t="n">
        <v>0</v>
      </c>
      <c r="M115" t="n">
        <v>0</v>
      </c>
      <c r="N115" t="n">
        <v>0</v>
      </c>
      <c r="O115" t="n">
        <v>0</v>
      </c>
      <c r="P115" t="n">
        <v>0</v>
      </c>
      <c r="Q115" t="n">
        <v>0</v>
      </c>
      <c r="R115" s="2" t="inlineStr"/>
    </row>
    <row r="116" ht="15" customHeight="1">
      <c r="A116" t="inlineStr">
        <is>
          <t>A 41840-2024</t>
        </is>
      </c>
      <c r="B116" s="1" t="n">
        <v>45561.42170138889</v>
      </c>
      <c r="C116" s="1" t="n">
        <v>46038</v>
      </c>
      <c r="D116" t="inlineStr">
        <is>
          <t>DALARNAS LÄN</t>
        </is>
      </c>
      <c r="E116" t="inlineStr">
        <is>
          <t>LEKSAND</t>
        </is>
      </c>
      <c r="G116" t="n">
        <v>0.4</v>
      </c>
      <c r="H116" t="n">
        <v>0</v>
      </c>
      <c r="I116" t="n">
        <v>0</v>
      </c>
      <c r="J116" t="n">
        <v>0</v>
      </c>
      <c r="K116" t="n">
        <v>0</v>
      </c>
      <c r="L116" t="n">
        <v>0</v>
      </c>
      <c r="M116" t="n">
        <v>0</v>
      </c>
      <c r="N116" t="n">
        <v>0</v>
      </c>
      <c r="O116" t="n">
        <v>0</v>
      </c>
      <c r="P116" t="n">
        <v>0</v>
      </c>
      <c r="Q116" t="n">
        <v>0</v>
      </c>
      <c r="R116" s="2" t="inlineStr"/>
    </row>
    <row r="117" ht="15" customHeight="1">
      <c r="A117" t="inlineStr">
        <is>
          <t>A 22388-2024</t>
        </is>
      </c>
      <c r="B117" s="1" t="n">
        <v>45446</v>
      </c>
      <c r="C117" s="1" t="n">
        <v>46038</v>
      </c>
      <c r="D117" t="inlineStr">
        <is>
          <t>DALARNAS LÄN</t>
        </is>
      </c>
      <c r="E117" t="inlineStr">
        <is>
          <t>LEKSAND</t>
        </is>
      </c>
      <c r="F117" t="inlineStr">
        <is>
          <t>Bergvik skog väst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31728-2024</t>
        </is>
      </c>
      <c r="B118" s="1" t="n">
        <v>45509.34517361111</v>
      </c>
      <c r="C118" s="1" t="n">
        <v>46038</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48644-2023</t>
        </is>
      </c>
      <c r="B119" s="1" t="n">
        <v>45208.58997685185</v>
      </c>
      <c r="C119" s="1" t="n">
        <v>46038</v>
      </c>
      <c r="D119" t="inlineStr">
        <is>
          <t>DALARNAS LÄN</t>
        </is>
      </c>
      <c r="E119" t="inlineStr">
        <is>
          <t>LEKSAND</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46038</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19700-2025</t>
        </is>
      </c>
      <c r="B121" s="1" t="n">
        <v>45771.32445601852</v>
      </c>
      <c r="C121" s="1" t="n">
        <v>46038</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59199-2024</t>
        </is>
      </c>
      <c r="B122" s="1" t="n">
        <v>45637</v>
      </c>
      <c r="C122" s="1" t="n">
        <v>46038</v>
      </c>
      <c r="D122" t="inlineStr">
        <is>
          <t>DALARNAS LÄN</t>
        </is>
      </c>
      <c r="E122" t="inlineStr">
        <is>
          <t>LEKSAND</t>
        </is>
      </c>
      <c r="G122" t="n">
        <v>5.4</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46038</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325-2023</t>
        </is>
      </c>
      <c r="B124" s="1" t="n">
        <v>44929</v>
      </c>
      <c r="C124" s="1" t="n">
        <v>46038</v>
      </c>
      <c r="D124" t="inlineStr">
        <is>
          <t>DALARNAS LÄN</t>
        </is>
      </c>
      <c r="E124" t="inlineStr">
        <is>
          <t>LEKSAND</t>
        </is>
      </c>
      <c r="F124" t="inlineStr">
        <is>
          <t>Övriga Aktiebolag</t>
        </is>
      </c>
      <c r="G124" t="n">
        <v>7.1</v>
      </c>
      <c r="H124" t="n">
        <v>0</v>
      </c>
      <c r="I124" t="n">
        <v>0</v>
      </c>
      <c r="J124" t="n">
        <v>0</v>
      </c>
      <c r="K124" t="n">
        <v>0</v>
      </c>
      <c r="L124" t="n">
        <v>0</v>
      </c>
      <c r="M124" t="n">
        <v>0</v>
      </c>
      <c r="N124" t="n">
        <v>0</v>
      </c>
      <c r="O124" t="n">
        <v>0</v>
      </c>
      <c r="P124" t="n">
        <v>0</v>
      </c>
      <c r="Q124" t="n">
        <v>0</v>
      </c>
      <c r="R124" s="2" t="inlineStr"/>
    </row>
    <row r="125" ht="15" customHeight="1">
      <c r="A125" t="inlineStr">
        <is>
          <t>A 12582-2025</t>
        </is>
      </c>
      <c r="B125" s="1" t="n">
        <v>45732.62988425926</v>
      </c>
      <c r="C125" s="1" t="n">
        <v>46038</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18484-2024</t>
        </is>
      </c>
      <c r="B126" s="1" t="n">
        <v>45425.52559027778</v>
      </c>
      <c r="C126" s="1" t="n">
        <v>46038</v>
      </c>
      <c r="D126" t="inlineStr">
        <is>
          <t>DALARNAS LÄN</t>
        </is>
      </c>
      <c r="E126" t="inlineStr">
        <is>
          <t>LEKSAND</t>
        </is>
      </c>
      <c r="G126" t="n">
        <v>2</v>
      </c>
      <c r="H126" t="n">
        <v>0</v>
      </c>
      <c r="I126" t="n">
        <v>0</v>
      </c>
      <c r="J126" t="n">
        <v>0</v>
      </c>
      <c r="K126" t="n">
        <v>0</v>
      </c>
      <c r="L126" t="n">
        <v>0</v>
      </c>
      <c r="M126" t="n">
        <v>0</v>
      </c>
      <c r="N126" t="n">
        <v>0</v>
      </c>
      <c r="O126" t="n">
        <v>0</v>
      </c>
      <c r="P126" t="n">
        <v>0</v>
      </c>
      <c r="Q126" t="n">
        <v>0</v>
      </c>
      <c r="R126" s="2" t="inlineStr"/>
    </row>
    <row r="127" ht="15" customHeight="1">
      <c r="A127" t="inlineStr">
        <is>
          <t>A 59236-2024</t>
        </is>
      </c>
      <c r="B127" s="1" t="n">
        <v>45637.58795138889</v>
      </c>
      <c r="C127" s="1" t="n">
        <v>46038</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11418-2023</t>
        </is>
      </c>
      <c r="B128" s="1" t="n">
        <v>44993</v>
      </c>
      <c r="C128" s="1" t="n">
        <v>46038</v>
      </c>
      <c r="D128" t="inlineStr">
        <is>
          <t>DALARNAS LÄN</t>
        </is>
      </c>
      <c r="E128" t="inlineStr">
        <is>
          <t>LEKSAND</t>
        </is>
      </c>
      <c r="G128" t="n">
        <v>2.7</v>
      </c>
      <c r="H128" t="n">
        <v>0</v>
      </c>
      <c r="I128" t="n">
        <v>0</v>
      </c>
      <c r="J128" t="n">
        <v>0</v>
      </c>
      <c r="K128" t="n">
        <v>0</v>
      </c>
      <c r="L128" t="n">
        <v>0</v>
      </c>
      <c r="M128" t="n">
        <v>0</v>
      </c>
      <c r="N128" t="n">
        <v>0</v>
      </c>
      <c r="O128" t="n">
        <v>0</v>
      </c>
      <c r="P128" t="n">
        <v>0</v>
      </c>
      <c r="Q128" t="n">
        <v>0</v>
      </c>
      <c r="R128" s="2" t="inlineStr"/>
    </row>
    <row r="129" ht="15" customHeight="1">
      <c r="A129" t="inlineStr">
        <is>
          <t>A 40407-2024</t>
        </is>
      </c>
      <c r="B129" s="1" t="n">
        <v>45555</v>
      </c>
      <c r="C129" s="1" t="n">
        <v>46038</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33180-2024</t>
        </is>
      </c>
      <c r="B130" s="1" t="n">
        <v>45518.44481481481</v>
      </c>
      <c r="C130" s="1" t="n">
        <v>46038</v>
      </c>
      <c r="D130" t="inlineStr">
        <is>
          <t>DALARNAS LÄN</t>
        </is>
      </c>
      <c r="E130" t="inlineStr">
        <is>
          <t>LEKSAND</t>
        </is>
      </c>
      <c r="G130" t="n">
        <v>7.6</v>
      </c>
      <c r="H130" t="n">
        <v>0</v>
      </c>
      <c r="I130" t="n">
        <v>0</v>
      </c>
      <c r="J130" t="n">
        <v>0</v>
      </c>
      <c r="K130" t="n">
        <v>0</v>
      </c>
      <c r="L130" t="n">
        <v>0</v>
      </c>
      <c r="M130" t="n">
        <v>0</v>
      </c>
      <c r="N130" t="n">
        <v>0</v>
      </c>
      <c r="O130" t="n">
        <v>0</v>
      </c>
      <c r="P130" t="n">
        <v>0</v>
      </c>
      <c r="Q130" t="n">
        <v>0</v>
      </c>
      <c r="R130" s="2" t="inlineStr"/>
    </row>
    <row r="131" ht="15" customHeight="1">
      <c r="A131" t="inlineStr">
        <is>
          <t>A 70099-2021</t>
        </is>
      </c>
      <c r="B131" s="1" t="n">
        <v>44533</v>
      </c>
      <c r="C131" s="1" t="n">
        <v>46038</v>
      </c>
      <c r="D131" t="inlineStr">
        <is>
          <t>DALARNAS LÄN</t>
        </is>
      </c>
      <c r="E131" t="inlineStr">
        <is>
          <t>LEKSAND</t>
        </is>
      </c>
      <c r="G131" t="n">
        <v>2.8</v>
      </c>
      <c r="H131" t="n">
        <v>0</v>
      </c>
      <c r="I131" t="n">
        <v>0</v>
      </c>
      <c r="J131" t="n">
        <v>0</v>
      </c>
      <c r="K131" t="n">
        <v>0</v>
      </c>
      <c r="L131" t="n">
        <v>0</v>
      </c>
      <c r="M131" t="n">
        <v>0</v>
      </c>
      <c r="N131" t="n">
        <v>0</v>
      </c>
      <c r="O131" t="n">
        <v>0</v>
      </c>
      <c r="P131" t="n">
        <v>0</v>
      </c>
      <c r="Q131" t="n">
        <v>0</v>
      </c>
      <c r="R131" s="2" t="inlineStr"/>
    </row>
    <row r="132" ht="15" customHeight="1">
      <c r="A132" t="inlineStr">
        <is>
          <t>A 62116-2024</t>
        </is>
      </c>
      <c r="B132" s="1" t="n">
        <v>45646</v>
      </c>
      <c r="C132" s="1" t="n">
        <v>46038</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30169-2023</t>
        </is>
      </c>
      <c r="B133" s="1" t="n">
        <v>45110</v>
      </c>
      <c r="C133" s="1" t="n">
        <v>46038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27791-2023</t>
        </is>
      </c>
      <c r="B134" s="1" t="n">
        <v>45098</v>
      </c>
      <c r="C134" s="1" t="n">
        <v>46038</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52801-2023</t>
        </is>
      </c>
      <c r="B135" s="1" t="n">
        <v>45219</v>
      </c>
      <c r="C135" s="1" t="n">
        <v>46038</v>
      </c>
      <c r="D135" t="inlineStr">
        <is>
          <t>DALARNAS LÄN</t>
        </is>
      </c>
      <c r="E135" t="inlineStr">
        <is>
          <t>LEKSAND</t>
        </is>
      </c>
      <c r="G135" t="n">
        <v>4.9</v>
      </c>
      <c r="H135" t="n">
        <v>0</v>
      </c>
      <c r="I135" t="n">
        <v>0</v>
      </c>
      <c r="J135" t="n">
        <v>0</v>
      </c>
      <c r="K135" t="n">
        <v>0</v>
      </c>
      <c r="L135" t="n">
        <v>0</v>
      </c>
      <c r="M135" t="n">
        <v>0</v>
      </c>
      <c r="N135" t="n">
        <v>0</v>
      </c>
      <c r="O135" t="n">
        <v>0</v>
      </c>
      <c r="P135" t="n">
        <v>0</v>
      </c>
      <c r="Q135" t="n">
        <v>0</v>
      </c>
      <c r="R135" s="2" t="inlineStr"/>
    </row>
    <row r="136" ht="15" customHeight="1">
      <c r="A136" t="inlineStr">
        <is>
          <t>A 9781-2024</t>
        </is>
      </c>
      <c r="B136" s="1" t="n">
        <v>45362.66299768518</v>
      </c>
      <c r="C136" s="1" t="n">
        <v>46038</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33317-2023</t>
        </is>
      </c>
      <c r="B137" s="1" t="n">
        <v>45127.84586805556</v>
      </c>
      <c r="C137" s="1" t="n">
        <v>46038</v>
      </c>
      <c r="D137" t="inlineStr">
        <is>
          <t>DALARNAS LÄN</t>
        </is>
      </c>
      <c r="E137" t="inlineStr">
        <is>
          <t>LEKSAND</t>
        </is>
      </c>
      <c r="G137" t="n">
        <v>2.7</v>
      </c>
      <c r="H137" t="n">
        <v>0</v>
      </c>
      <c r="I137" t="n">
        <v>0</v>
      </c>
      <c r="J137" t="n">
        <v>0</v>
      </c>
      <c r="K137" t="n">
        <v>0</v>
      </c>
      <c r="L137" t="n">
        <v>0</v>
      </c>
      <c r="M137" t="n">
        <v>0</v>
      </c>
      <c r="N137" t="n">
        <v>0</v>
      </c>
      <c r="O137" t="n">
        <v>0</v>
      </c>
      <c r="P137" t="n">
        <v>0</v>
      </c>
      <c r="Q137" t="n">
        <v>0</v>
      </c>
      <c r="R137" s="2" t="inlineStr"/>
    </row>
    <row r="138" ht="15" customHeight="1">
      <c r="A138" t="inlineStr">
        <is>
          <t>A 33318-2023</t>
        </is>
      </c>
      <c r="B138" s="1" t="n">
        <v>45127</v>
      </c>
      <c r="C138" s="1" t="n">
        <v>46038</v>
      </c>
      <c r="D138" t="inlineStr">
        <is>
          <t>DALARNAS LÄN</t>
        </is>
      </c>
      <c r="E138" t="inlineStr">
        <is>
          <t>LEKSAND</t>
        </is>
      </c>
      <c r="G138" t="n">
        <v>5.5</v>
      </c>
      <c r="H138" t="n">
        <v>0</v>
      </c>
      <c r="I138" t="n">
        <v>0</v>
      </c>
      <c r="J138" t="n">
        <v>0</v>
      </c>
      <c r="K138" t="n">
        <v>0</v>
      </c>
      <c r="L138" t="n">
        <v>0</v>
      </c>
      <c r="M138" t="n">
        <v>0</v>
      </c>
      <c r="N138" t="n">
        <v>0</v>
      </c>
      <c r="O138" t="n">
        <v>0</v>
      </c>
      <c r="P138" t="n">
        <v>0</v>
      </c>
      <c r="Q138" t="n">
        <v>0</v>
      </c>
      <c r="R138" s="2" t="inlineStr"/>
    </row>
    <row r="139" ht="15" customHeight="1">
      <c r="A139" t="inlineStr">
        <is>
          <t>A 71817-2021</t>
        </is>
      </c>
      <c r="B139" s="1" t="n">
        <v>44543.59780092593</v>
      </c>
      <c r="C139" s="1" t="n">
        <v>46038</v>
      </c>
      <c r="D139" t="inlineStr">
        <is>
          <t>DALARNAS LÄN</t>
        </is>
      </c>
      <c r="E139" t="inlineStr">
        <is>
          <t>LEKSAND</t>
        </is>
      </c>
      <c r="F139" t="inlineStr">
        <is>
          <t>Bergvik skog väst AB</t>
        </is>
      </c>
      <c r="G139" t="n">
        <v>3</v>
      </c>
      <c r="H139" t="n">
        <v>0</v>
      </c>
      <c r="I139" t="n">
        <v>0</v>
      </c>
      <c r="J139" t="n">
        <v>0</v>
      </c>
      <c r="K139" t="n">
        <v>0</v>
      </c>
      <c r="L139" t="n">
        <v>0</v>
      </c>
      <c r="M139" t="n">
        <v>0</v>
      </c>
      <c r="N139" t="n">
        <v>0</v>
      </c>
      <c r="O139" t="n">
        <v>0</v>
      </c>
      <c r="P139" t="n">
        <v>0</v>
      </c>
      <c r="Q139" t="n">
        <v>0</v>
      </c>
      <c r="R139" s="2" t="inlineStr"/>
    </row>
    <row r="140" ht="15" customHeight="1">
      <c r="A140" t="inlineStr">
        <is>
          <t>A 30175-2023</t>
        </is>
      </c>
      <c r="B140" s="1" t="n">
        <v>45110</v>
      </c>
      <c r="C140" s="1" t="n">
        <v>46038</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61055-2023</t>
        </is>
      </c>
      <c r="B141" s="1" t="n">
        <v>45261</v>
      </c>
      <c r="C141" s="1" t="n">
        <v>46038</v>
      </c>
      <c r="D141" t="inlineStr">
        <is>
          <t>DALARNAS LÄN</t>
        </is>
      </c>
      <c r="E141" t="inlineStr">
        <is>
          <t>LEKSAND</t>
        </is>
      </c>
      <c r="G141" t="n">
        <v>0.3</v>
      </c>
      <c r="H141" t="n">
        <v>0</v>
      </c>
      <c r="I141" t="n">
        <v>0</v>
      </c>
      <c r="J141" t="n">
        <v>0</v>
      </c>
      <c r="K141" t="n">
        <v>0</v>
      </c>
      <c r="L141" t="n">
        <v>0</v>
      </c>
      <c r="M141" t="n">
        <v>0</v>
      </c>
      <c r="N141" t="n">
        <v>0</v>
      </c>
      <c r="O141" t="n">
        <v>0</v>
      </c>
      <c r="P141" t="n">
        <v>0</v>
      </c>
      <c r="Q141" t="n">
        <v>0</v>
      </c>
      <c r="R141" s="2" t="inlineStr"/>
    </row>
    <row r="142" ht="15" customHeight="1">
      <c r="A142" t="inlineStr">
        <is>
          <t>A 13063-2023</t>
        </is>
      </c>
      <c r="B142" s="1" t="n">
        <v>45001</v>
      </c>
      <c r="C142" s="1" t="n">
        <v>46038</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59103-2024</t>
        </is>
      </c>
      <c r="B143" s="1" t="n">
        <v>45637.34184027778</v>
      </c>
      <c r="C143" s="1" t="n">
        <v>46038</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34038-2024</t>
        </is>
      </c>
      <c r="B144" s="1" t="n">
        <v>45523.59578703704</v>
      </c>
      <c r="C144" s="1" t="n">
        <v>46038</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34041-2024</t>
        </is>
      </c>
      <c r="B145" s="1" t="n">
        <v>45523.59895833334</v>
      </c>
      <c r="C145" s="1" t="n">
        <v>46038</v>
      </c>
      <c r="D145" t="inlineStr">
        <is>
          <t>DALARNAS LÄN</t>
        </is>
      </c>
      <c r="E145" t="inlineStr">
        <is>
          <t>LEKSAND</t>
        </is>
      </c>
      <c r="G145" t="n">
        <v>4</v>
      </c>
      <c r="H145" t="n">
        <v>0</v>
      </c>
      <c r="I145" t="n">
        <v>0</v>
      </c>
      <c r="J145" t="n">
        <v>0</v>
      </c>
      <c r="K145" t="n">
        <v>0</v>
      </c>
      <c r="L145" t="n">
        <v>0</v>
      </c>
      <c r="M145" t="n">
        <v>0</v>
      </c>
      <c r="N145" t="n">
        <v>0</v>
      </c>
      <c r="O145" t="n">
        <v>0</v>
      </c>
      <c r="P145" t="n">
        <v>0</v>
      </c>
      <c r="Q145" t="n">
        <v>0</v>
      </c>
      <c r="R145" s="2" t="inlineStr"/>
    </row>
    <row r="146" ht="15" customHeight="1">
      <c r="A146" t="inlineStr">
        <is>
          <t>A 14943-2023</t>
        </is>
      </c>
      <c r="B146" s="1" t="n">
        <v>45015</v>
      </c>
      <c r="C146" s="1" t="n">
        <v>46038</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23896-2024</t>
        </is>
      </c>
      <c r="B147" s="1" t="n">
        <v>45455.6758449074</v>
      </c>
      <c r="C147" s="1" t="n">
        <v>46038</v>
      </c>
      <c r="D147" t="inlineStr">
        <is>
          <t>DALARNAS LÄN</t>
        </is>
      </c>
      <c r="E147" t="inlineStr">
        <is>
          <t>LEKSAND</t>
        </is>
      </c>
      <c r="F147" t="inlineStr">
        <is>
          <t>Övriga Aktiebolag</t>
        </is>
      </c>
      <c r="G147" t="n">
        <v>0.9</v>
      </c>
      <c r="H147" t="n">
        <v>0</v>
      </c>
      <c r="I147" t="n">
        <v>0</v>
      </c>
      <c r="J147" t="n">
        <v>0</v>
      </c>
      <c r="K147" t="n">
        <v>0</v>
      </c>
      <c r="L147" t="n">
        <v>0</v>
      </c>
      <c r="M147" t="n">
        <v>0</v>
      </c>
      <c r="N147" t="n">
        <v>0</v>
      </c>
      <c r="O147" t="n">
        <v>0</v>
      </c>
      <c r="P147" t="n">
        <v>0</v>
      </c>
      <c r="Q147" t="n">
        <v>0</v>
      </c>
      <c r="R147" s="2" t="inlineStr"/>
    </row>
    <row r="148" ht="15" customHeight="1">
      <c r="A148" t="inlineStr">
        <is>
          <t>A 24142-2021</t>
        </is>
      </c>
      <c r="B148" s="1" t="n">
        <v>44336</v>
      </c>
      <c r="C148" s="1" t="n">
        <v>46038</v>
      </c>
      <c r="D148" t="inlineStr">
        <is>
          <t>DALARNAS LÄN</t>
        </is>
      </c>
      <c r="E148" t="inlineStr">
        <is>
          <t>LEKSAND</t>
        </is>
      </c>
      <c r="F148" t="inlineStr">
        <is>
          <t>Bergvik skog väst AB</t>
        </is>
      </c>
      <c r="G148" t="n">
        <v>18.9</v>
      </c>
      <c r="H148" t="n">
        <v>0</v>
      </c>
      <c r="I148" t="n">
        <v>0</v>
      </c>
      <c r="J148" t="n">
        <v>0</v>
      </c>
      <c r="K148" t="n">
        <v>0</v>
      </c>
      <c r="L148" t="n">
        <v>0</v>
      </c>
      <c r="M148" t="n">
        <v>0</v>
      </c>
      <c r="N148" t="n">
        <v>0</v>
      </c>
      <c r="O148" t="n">
        <v>0</v>
      </c>
      <c r="P148" t="n">
        <v>0</v>
      </c>
      <c r="Q148" t="n">
        <v>0</v>
      </c>
      <c r="R148" s="2" t="inlineStr"/>
    </row>
    <row r="149" ht="15" customHeight="1">
      <c r="A149" t="inlineStr">
        <is>
          <t>A 11617-2024</t>
        </is>
      </c>
      <c r="B149" s="1" t="n">
        <v>45373.42898148148</v>
      </c>
      <c r="C149" s="1" t="n">
        <v>46038</v>
      </c>
      <c r="D149" t="inlineStr">
        <is>
          <t>DALARNAS LÄN</t>
        </is>
      </c>
      <c r="E149" t="inlineStr">
        <is>
          <t>LEKSAND</t>
        </is>
      </c>
      <c r="G149" t="n">
        <v>1.9</v>
      </c>
      <c r="H149" t="n">
        <v>0</v>
      </c>
      <c r="I149" t="n">
        <v>0</v>
      </c>
      <c r="J149" t="n">
        <v>0</v>
      </c>
      <c r="K149" t="n">
        <v>0</v>
      </c>
      <c r="L149" t="n">
        <v>0</v>
      </c>
      <c r="M149" t="n">
        <v>0</v>
      </c>
      <c r="N149" t="n">
        <v>0</v>
      </c>
      <c r="O149" t="n">
        <v>0</v>
      </c>
      <c r="P149" t="n">
        <v>0</v>
      </c>
      <c r="Q149" t="n">
        <v>0</v>
      </c>
      <c r="R149" s="2" t="inlineStr"/>
    </row>
    <row r="150" ht="15" customHeight="1">
      <c r="A150" t="inlineStr">
        <is>
          <t>A 14865-2025</t>
        </is>
      </c>
      <c r="B150" s="1" t="n">
        <v>45743.43929398148</v>
      </c>
      <c r="C150" s="1" t="n">
        <v>46038</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28032-2024</t>
        </is>
      </c>
      <c r="B151" s="1" t="n">
        <v>45476.49346064815</v>
      </c>
      <c r="C151" s="1" t="n">
        <v>46038</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54289-2023</t>
        </is>
      </c>
      <c r="B152" s="1" t="n">
        <v>45232.71193287037</v>
      </c>
      <c r="C152" s="1" t="n">
        <v>46038</v>
      </c>
      <c r="D152" t="inlineStr">
        <is>
          <t>DALARNAS LÄN</t>
        </is>
      </c>
      <c r="E152" t="inlineStr">
        <is>
          <t>LEKSAND</t>
        </is>
      </c>
      <c r="G152" t="n">
        <v>2</v>
      </c>
      <c r="H152" t="n">
        <v>0</v>
      </c>
      <c r="I152" t="n">
        <v>0</v>
      </c>
      <c r="J152" t="n">
        <v>0</v>
      </c>
      <c r="K152" t="n">
        <v>0</v>
      </c>
      <c r="L152" t="n">
        <v>0</v>
      </c>
      <c r="M152" t="n">
        <v>0</v>
      </c>
      <c r="N152" t="n">
        <v>0</v>
      </c>
      <c r="O152" t="n">
        <v>0</v>
      </c>
      <c r="P152" t="n">
        <v>0</v>
      </c>
      <c r="Q152" t="n">
        <v>0</v>
      </c>
      <c r="R152" s="2" t="inlineStr"/>
    </row>
    <row r="153" ht="15" customHeight="1">
      <c r="A153" t="inlineStr">
        <is>
          <t>A 38117-2023</t>
        </is>
      </c>
      <c r="B153" s="1" t="n">
        <v>45161</v>
      </c>
      <c r="C153" s="1" t="n">
        <v>46038</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18837-2023</t>
        </is>
      </c>
      <c r="B154" s="1" t="n">
        <v>45044.42940972222</v>
      </c>
      <c r="C154" s="1" t="n">
        <v>46038</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59763-2023</t>
        </is>
      </c>
      <c r="B155" s="1" t="n">
        <v>45257</v>
      </c>
      <c r="C155" s="1" t="n">
        <v>46038</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61288-2022</t>
        </is>
      </c>
      <c r="B156" s="1" t="n">
        <v>44915</v>
      </c>
      <c r="C156" s="1" t="n">
        <v>46038</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33674-2023</t>
        </is>
      </c>
      <c r="B157" s="1" t="n">
        <v>45132</v>
      </c>
      <c r="C157" s="1" t="n">
        <v>46038</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1215-2024</t>
        </is>
      </c>
      <c r="B158" s="1" t="n">
        <v>45302</v>
      </c>
      <c r="C158" s="1" t="n">
        <v>46038</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11869-2024</t>
        </is>
      </c>
      <c r="B159" s="1" t="n">
        <v>45376.45800925926</v>
      </c>
      <c r="C159" s="1" t="n">
        <v>46038</v>
      </c>
      <c r="D159" t="inlineStr">
        <is>
          <t>DALARNAS LÄN</t>
        </is>
      </c>
      <c r="E159" t="inlineStr">
        <is>
          <t>LEKSAND</t>
        </is>
      </c>
      <c r="G159" t="n">
        <v>0.5</v>
      </c>
      <c r="H159" t="n">
        <v>0</v>
      </c>
      <c r="I159" t="n">
        <v>0</v>
      </c>
      <c r="J159" t="n">
        <v>0</v>
      </c>
      <c r="K159" t="n">
        <v>0</v>
      </c>
      <c r="L159" t="n">
        <v>0</v>
      </c>
      <c r="M159" t="n">
        <v>0</v>
      </c>
      <c r="N159" t="n">
        <v>0</v>
      </c>
      <c r="O159" t="n">
        <v>0</v>
      </c>
      <c r="P159" t="n">
        <v>0</v>
      </c>
      <c r="Q159" t="n">
        <v>0</v>
      </c>
      <c r="R159" s="2" t="inlineStr"/>
    </row>
    <row r="160" ht="15" customHeight="1">
      <c r="A160" t="inlineStr">
        <is>
          <t>A 61502-2023</t>
        </is>
      </c>
      <c r="B160" s="1" t="n">
        <v>45264</v>
      </c>
      <c r="C160" s="1" t="n">
        <v>46038</v>
      </c>
      <c r="D160" t="inlineStr">
        <is>
          <t>DALARNAS LÄN</t>
        </is>
      </c>
      <c r="E160" t="inlineStr">
        <is>
          <t>LEKSAND</t>
        </is>
      </c>
      <c r="G160" t="n">
        <v>5.2</v>
      </c>
      <c r="H160" t="n">
        <v>0</v>
      </c>
      <c r="I160" t="n">
        <v>0</v>
      </c>
      <c r="J160" t="n">
        <v>0</v>
      </c>
      <c r="K160" t="n">
        <v>0</v>
      </c>
      <c r="L160" t="n">
        <v>0</v>
      </c>
      <c r="M160" t="n">
        <v>0</v>
      </c>
      <c r="N160" t="n">
        <v>0</v>
      </c>
      <c r="O160" t="n">
        <v>0</v>
      </c>
      <c r="P160" t="n">
        <v>0</v>
      </c>
      <c r="Q160" t="n">
        <v>0</v>
      </c>
      <c r="R160" s="2" t="inlineStr"/>
    </row>
    <row r="161" ht="15" customHeight="1">
      <c r="A161" t="inlineStr">
        <is>
          <t>A 32666-2023</t>
        </is>
      </c>
      <c r="B161" s="1" t="n">
        <v>45121</v>
      </c>
      <c r="C161" s="1" t="n">
        <v>46038</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60040-2023</t>
        </is>
      </c>
      <c r="B162" s="1" t="n">
        <v>45256</v>
      </c>
      <c r="C162" s="1" t="n">
        <v>46038</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12857-2023</t>
        </is>
      </c>
      <c r="B163" s="1" t="n">
        <v>45001.5000462963</v>
      </c>
      <c r="C163" s="1" t="n">
        <v>46038</v>
      </c>
      <c r="D163" t="inlineStr">
        <is>
          <t>DALARNAS LÄN</t>
        </is>
      </c>
      <c r="E163" t="inlineStr">
        <is>
          <t>LEKSAND</t>
        </is>
      </c>
      <c r="G163" t="n">
        <v>0.2</v>
      </c>
      <c r="H163" t="n">
        <v>0</v>
      </c>
      <c r="I163" t="n">
        <v>0</v>
      </c>
      <c r="J163" t="n">
        <v>0</v>
      </c>
      <c r="K163" t="n">
        <v>0</v>
      </c>
      <c r="L163" t="n">
        <v>0</v>
      </c>
      <c r="M163" t="n">
        <v>0</v>
      </c>
      <c r="N163" t="n">
        <v>0</v>
      </c>
      <c r="O163" t="n">
        <v>0</v>
      </c>
      <c r="P163" t="n">
        <v>0</v>
      </c>
      <c r="Q163" t="n">
        <v>0</v>
      </c>
      <c r="R163" s="2" t="inlineStr"/>
    </row>
    <row r="164" ht="15" customHeight="1">
      <c r="A164" t="inlineStr">
        <is>
          <t>A 32072-2024</t>
        </is>
      </c>
      <c r="B164" s="1" t="n">
        <v>45510.98405092592</v>
      </c>
      <c r="C164" s="1" t="n">
        <v>46038</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5231-2024</t>
        </is>
      </c>
      <c r="B165" s="1" t="n">
        <v>45330</v>
      </c>
      <c r="C165" s="1" t="n">
        <v>46038</v>
      </c>
      <c r="D165" t="inlineStr">
        <is>
          <t>DALARNAS LÄN</t>
        </is>
      </c>
      <c r="E165" t="inlineStr">
        <is>
          <t>LEKSAND</t>
        </is>
      </c>
      <c r="F165" t="inlineStr">
        <is>
          <t>Bergvik skog väst AB</t>
        </is>
      </c>
      <c r="G165" t="n">
        <v>11.2</v>
      </c>
      <c r="H165" t="n">
        <v>0</v>
      </c>
      <c r="I165" t="n">
        <v>0</v>
      </c>
      <c r="J165" t="n">
        <v>0</v>
      </c>
      <c r="K165" t="n">
        <v>0</v>
      </c>
      <c r="L165" t="n">
        <v>0</v>
      </c>
      <c r="M165" t="n">
        <v>0</v>
      </c>
      <c r="N165" t="n">
        <v>0</v>
      </c>
      <c r="O165" t="n">
        <v>0</v>
      </c>
      <c r="P165" t="n">
        <v>0</v>
      </c>
      <c r="Q165" t="n">
        <v>0</v>
      </c>
      <c r="R165" s="2" t="inlineStr"/>
    </row>
    <row r="166" ht="15" customHeight="1">
      <c r="A166" t="inlineStr">
        <is>
          <t>A 16137-2023</t>
        </is>
      </c>
      <c r="B166" s="1" t="n">
        <v>45027</v>
      </c>
      <c r="C166" s="1" t="n">
        <v>46038</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52059-2024</t>
        </is>
      </c>
      <c r="B167" s="1" t="n">
        <v>45608.35609953704</v>
      </c>
      <c r="C167" s="1" t="n">
        <v>46038</v>
      </c>
      <c r="D167" t="inlineStr">
        <is>
          <t>DALARNAS LÄN</t>
        </is>
      </c>
      <c r="E167" t="inlineStr">
        <is>
          <t>LEKSAND</t>
        </is>
      </c>
      <c r="G167" t="n">
        <v>0.8</v>
      </c>
      <c r="H167" t="n">
        <v>0</v>
      </c>
      <c r="I167" t="n">
        <v>0</v>
      </c>
      <c r="J167" t="n">
        <v>0</v>
      </c>
      <c r="K167" t="n">
        <v>0</v>
      </c>
      <c r="L167" t="n">
        <v>0</v>
      </c>
      <c r="M167" t="n">
        <v>0</v>
      </c>
      <c r="N167" t="n">
        <v>0</v>
      </c>
      <c r="O167" t="n">
        <v>0</v>
      </c>
      <c r="P167" t="n">
        <v>0</v>
      </c>
      <c r="Q167" t="n">
        <v>0</v>
      </c>
      <c r="R167" s="2" t="inlineStr"/>
    </row>
    <row r="168" ht="15" customHeight="1">
      <c r="A168" t="inlineStr">
        <is>
          <t>A 21839-2022</t>
        </is>
      </c>
      <c r="B168" s="1" t="n">
        <v>44711</v>
      </c>
      <c r="C168" s="1" t="n">
        <v>46038</v>
      </c>
      <c r="D168" t="inlineStr">
        <is>
          <t>DALARNAS LÄN</t>
        </is>
      </c>
      <c r="E168" t="inlineStr">
        <is>
          <t>LEKSAND</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56299-2024</t>
        </is>
      </c>
      <c r="B169" s="1" t="n">
        <v>45624.68607638889</v>
      </c>
      <c r="C169" s="1" t="n">
        <v>46038</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17483-2025</t>
        </is>
      </c>
      <c r="B170" s="1" t="n">
        <v>45757.49408564815</v>
      </c>
      <c r="C170" s="1" t="n">
        <v>46038</v>
      </c>
      <c r="D170" t="inlineStr">
        <is>
          <t>DALARNAS LÄN</t>
        </is>
      </c>
      <c r="E170" t="inlineStr">
        <is>
          <t>LEKSAND</t>
        </is>
      </c>
      <c r="G170" t="n">
        <v>4.1</v>
      </c>
      <c r="H170" t="n">
        <v>0</v>
      </c>
      <c r="I170" t="n">
        <v>0</v>
      </c>
      <c r="J170" t="n">
        <v>0</v>
      </c>
      <c r="K170" t="n">
        <v>0</v>
      </c>
      <c r="L170" t="n">
        <v>0</v>
      </c>
      <c r="M170" t="n">
        <v>0</v>
      </c>
      <c r="N170" t="n">
        <v>0</v>
      </c>
      <c r="O170" t="n">
        <v>0</v>
      </c>
      <c r="P170" t="n">
        <v>0</v>
      </c>
      <c r="Q170" t="n">
        <v>0</v>
      </c>
      <c r="R170" s="2" t="inlineStr"/>
    </row>
    <row r="171" ht="15" customHeight="1">
      <c r="A171" t="inlineStr">
        <is>
          <t>A 19618-2024</t>
        </is>
      </c>
      <c r="B171" s="1" t="n">
        <v>45432.32896990741</v>
      </c>
      <c r="C171" s="1" t="n">
        <v>46038</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54682-2023</t>
        </is>
      </c>
      <c r="B172" s="1" t="n">
        <v>45235.90439814814</v>
      </c>
      <c r="C172" s="1" t="n">
        <v>46038</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36932-2023</t>
        </is>
      </c>
      <c r="B173" s="1" t="n">
        <v>45154</v>
      </c>
      <c r="C173" s="1" t="n">
        <v>46038</v>
      </c>
      <c r="D173" t="inlineStr">
        <is>
          <t>DALARNAS LÄN</t>
        </is>
      </c>
      <c r="E173" t="inlineStr">
        <is>
          <t>LEKSAND</t>
        </is>
      </c>
      <c r="G173" t="n">
        <v>1.3</v>
      </c>
      <c r="H173" t="n">
        <v>0</v>
      </c>
      <c r="I173" t="n">
        <v>0</v>
      </c>
      <c r="J173" t="n">
        <v>0</v>
      </c>
      <c r="K173" t="n">
        <v>0</v>
      </c>
      <c r="L173" t="n">
        <v>0</v>
      </c>
      <c r="M173" t="n">
        <v>0</v>
      </c>
      <c r="N173" t="n">
        <v>0</v>
      </c>
      <c r="O173" t="n">
        <v>0</v>
      </c>
      <c r="P173" t="n">
        <v>0</v>
      </c>
      <c r="Q173" t="n">
        <v>0</v>
      </c>
      <c r="R173" s="2" t="inlineStr"/>
    </row>
    <row r="174" ht="15" customHeight="1">
      <c r="A174" t="inlineStr">
        <is>
          <t>A 55268-2024</t>
        </is>
      </c>
      <c r="B174" s="1" t="n">
        <v>45621.61266203703</v>
      </c>
      <c r="C174" s="1" t="n">
        <v>46038</v>
      </c>
      <c r="D174" t="inlineStr">
        <is>
          <t>DALARNAS LÄN</t>
        </is>
      </c>
      <c r="E174" t="inlineStr">
        <is>
          <t>LEKSAND</t>
        </is>
      </c>
      <c r="G174" t="n">
        <v>4.2</v>
      </c>
      <c r="H174" t="n">
        <v>0</v>
      </c>
      <c r="I174" t="n">
        <v>0</v>
      </c>
      <c r="J174" t="n">
        <v>0</v>
      </c>
      <c r="K174" t="n">
        <v>0</v>
      </c>
      <c r="L174" t="n">
        <v>0</v>
      </c>
      <c r="M174" t="n">
        <v>0</v>
      </c>
      <c r="N174" t="n">
        <v>0</v>
      </c>
      <c r="O174" t="n">
        <v>0</v>
      </c>
      <c r="P174" t="n">
        <v>0</v>
      </c>
      <c r="Q174" t="n">
        <v>0</v>
      </c>
      <c r="R174" s="2" t="inlineStr"/>
    </row>
    <row r="175" ht="15" customHeight="1">
      <c r="A175" t="inlineStr">
        <is>
          <t>A 8743-2023</t>
        </is>
      </c>
      <c r="B175" s="1" t="n">
        <v>44978</v>
      </c>
      <c r="C175" s="1" t="n">
        <v>46038</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15020-2023</t>
        </is>
      </c>
      <c r="B176" s="1" t="n">
        <v>45015.6196412037</v>
      </c>
      <c r="C176" s="1" t="n">
        <v>46038</v>
      </c>
      <c r="D176" t="inlineStr">
        <is>
          <t>DALARNAS LÄN</t>
        </is>
      </c>
      <c r="E176" t="inlineStr">
        <is>
          <t>LEKSAND</t>
        </is>
      </c>
      <c r="G176" t="n">
        <v>2.6</v>
      </c>
      <c r="H176" t="n">
        <v>0</v>
      </c>
      <c r="I176" t="n">
        <v>0</v>
      </c>
      <c r="J176" t="n">
        <v>0</v>
      </c>
      <c r="K176" t="n">
        <v>0</v>
      </c>
      <c r="L176" t="n">
        <v>0</v>
      </c>
      <c r="M176" t="n">
        <v>0</v>
      </c>
      <c r="N176" t="n">
        <v>0</v>
      </c>
      <c r="O176" t="n">
        <v>0</v>
      </c>
      <c r="P176" t="n">
        <v>0</v>
      </c>
      <c r="Q176" t="n">
        <v>0</v>
      </c>
      <c r="R176" s="2" t="inlineStr"/>
    </row>
    <row r="177" ht="15" customHeight="1">
      <c r="A177" t="inlineStr">
        <is>
          <t>A 18481-2024</t>
        </is>
      </c>
      <c r="B177" s="1" t="n">
        <v>45425.52193287037</v>
      </c>
      <c r="C177" s="1" t="n">
        <v>46038</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2579-2022</t>
        </is>
      </c>
      <c r="B178" s="1" t="n">
        <v>44580</v>
      </c>
      <c r="C178" s="1" t="n">
        <v>46038</v>
      </c>
      <c r="D178" t="inlineStr">
        <is>
          <t>DALARNAS LÄN</t>
        </is>
      </c>
      <c r="E178" t="inlineStr">
        <is>
          <t>LEKSAND</t>
        </is>
      </c>
      <c r="G178" t="n">
        <v>0.3</v>
      </c>
      <c r="H178" t="n">
        <v>0</v>
      </c>
      <c r="I178" t="n">
        <v>0</v>
      </c>
      <c r="J178" t="n">
        <v>0</v>
      </c>
      <c r="K178" t="n">
        <v>0</v>
      </c>
      <c r="L178" t="n">
        <v>0</v>
      </c>
      <c r="M178" t="n">
        <v>0</v>
      </c>
      <c r="N178" t="n">
        <v>0</v>
      </c>
      <c r="O178" t="n">
        <v>0</v>
      </c>
      <c r="P178" t="n">
        <v>0</v>
      </c>
      <c r="Q178" t="n">
        <v>0</v>
      </c>
      <c r="R178" s="2" t="inlineStr"/>
    </row>
    <row r="179" ht="15" customHeight="1">
      <c r="A179" t="inlineStr">
        <is>
          <t>A 8046-2024</t>
        </is>
      </c>
      <c r="B179" s="1" t="n">
        <v>45351.31555555556</v>
      </c>
      <c r="C179" s="1" t="n">
        <v>46038</v>
      </c>
      <c r="D179" t="inlineStr">
        <is>
          <t>DALARNAS LÄN</t>
        </is>
      </c>
      <c r="E179" t="inlineStr">
        <is>
          <t>LEKSAND</t>
        </is>
      </c>
      <c r="G179" t="n">
        <v>2.9</v>
      </c>
      <c r="H179" t="n">
        <v>0</v>
      </c>
      <c r="I179" t="n">
        <v>0</v>
      </c>
      <c r="J179" t="n">
        <v>0</v>
      </c>
      <c r="K179" t="n">
        <v>0</v>
      </c>
      <c r="L179" t="n">
        <v>0</v>
      </c>
      <c r="M179" t="n">
        <v>0</v>
      </c>
      <c r="N179" t="n">
        <v>0</v>
      </c>
      <c r="O179" t="n">
        <v>0</v>
      </c>
      <c r="P179" t="n">
        <v>0</v>
      </c>
      <c r="Q179" t="n">
        <v>0</v>
      </c>
      <c r="R179" s="2" t="inlineStr"/>
    </row>
    <row r="180" ht="15" customHeight="1">
      <c r="A180" t="inlineStr">
        <is>
          <t>A 7827-2024</t>
        </is>
      </c>
      <c r="B180" s="1" t="n">
        <v>45349.7467824074</v>
      </c>
      <c r="C180" s="1" t="n">
        <v>46038</v>
      </c>
      <c r="D180" t="inlineStr">
        <is>
          <t>DALARNAS LÄN</t>
        </is>
      </c>
      <c r="E180" t="inlineStr">
        <is>
          <t>LEKSAND</t>
        </is>
      </c>
      <c r="G180" t="n">
        <v>2.2</v>
      </c>
      <c r="H180" t="n">
        <v>0</v>
      </c>
      <c r="I180" t="n">
        <v>0</v>
      </c>
      <c r="J180" t="n">
        <v>0</v>
      </c>
      <c r="K180" t="n">
        <v>0</v>
      </c>
      <c r="L180" t="n">
        <v>0</v>
      </c>
      <c r="M180" t="n">
        <v>0</v>
      </c>
      <c r="N180" t="n">
        <v>0</v>
      </c>
      <c r="O180" t="n">
        <v>0</v>
      </c>
      <c r="P180" t="n">
        <v>0</v>
      </c>
      <c r="Q180" t="n">
        <v>0</v>
      </c>
      <c r="R180" s="2" t="inlineStr"/>
    </row>
    <row r="181" ht="15" customHeight="1">
      <c r="A181" t="inlineStr">
        <is>
          <t>A 57013-2023</t>
        </is>
      </c>
      <c r="B181" s="1" t="n">
        <v>45244</v>
      </c>
      <c r="C181" s="1" t="n">
        <v>46038</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5847-2025</t>
        </is>
      </c>
      <c r="B182" s="1" t="n">
        <v>45695.30824074074</v>
      </c>
      <c r="C182" s="1" t="n">
        <v>46038</v>
      </c>
      <c r="D182" t="inlineStr">
        <is>
          <t>DALARNAS LÄN</t>
        </is>
      </c>
      <c r="E182" t="inlineStr">
        <is>
          <t>LEKSAND</t>
        </is>
      </c>
      <c r="G182" t="n">
        <v>2.6</v>
      </c>
      <c r="H182" t="n">
        <v>0</v>
      </c>
      <c r="I182" t="n">
        <v>0</v>
      </c>
      <c r="J182" t="n">
        <v>0</v>
      </c>
      <c r="K182" t="n">
        <v>0</v>
      </c>
      <c r="L182" t="n">
        <v>0</v>
      </c>
      <c r="M182" t="n">
        <v>0</v>
      </c>
      <c r="N182" t="n">
        <v>0</v>
      </c>
      <c r="O182" t="n">
        <v>0</v>
      </c>
      <c r="P182" t="n">
        <v>0</v>
      </c>
      <c r="Q182" t="n">
        <v>0</v>
      </c>
      <c r="R182" s="2" t="inlineStr"/>
    </row>
    <row r="183" ht="15" customHeight="1">
      <c r="A183" t="inlineStr">
        <is>
          <t>A 43735-2022</t>
        </is>
      </c>
      <c r="B183" s="1" t="n">
        <v>44837.70210648148</v>
      </c>
      <c r="C183" s="1" t="n">
        <v>46038</v>
      </c>
      <c r="D183" t="inlineStr">
        <is>
          <t>DALARNAS LÄN</t>
        </is>
      </c>
      <c r="E183" t="inlineStr">
        <is>
          <t>LEKSAND</t>
        </is>
      </c>
      <c r="G183" t="n">
        <v>2.9</v>
      </c>
      <c r="H183" t="n">
        <v>0</v>
      </c>
      <c r="I183" t="n">
        <v>0</v>
      </c>
      <c r="J183" t="n">
        <v>0</v>
      </c>
      <c r="K183" t="n">
        <v>0</v>
      </c>
      <c r="L183" t="n">
        <v>0</v>
      </c>
      <c r="M183" t="n">
        <v>0</v>
      </c>
      <c r="N183" t="n">
        <v>0</v>
      </c>
      <c r="O183" t="n">
        <v>0</v>
      </c>
      <c r="P183" t="n">
        <v>0</v>
      </c>
      <c r="Q183" t="n">
        <v>0</v>
      </c>
      <c r="R183" s="2" t="inlineStr"/>
    </row>
    <row r="184" ht="15" customHeight="1">
      <c r="A184" t="inlineStr">
        <is>
          <t>A 20936-2023</t>
        </is>
      </c>
      <c r="B184" s="1" t="n">
        <v>45061</v>
      </c>
      <c r="C184" s="1" t="n">
        <v>46038</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44469-2024</t>
        </is>
      </c>
      <c r="B185" s="1" t="n">
        <v>45574</v>
      </c>
      <c r="C185" s="1" t="n">
        <v>46038</v>
      </c>
      <c r="D185" t="inlineStr">
        <is>
          <t>DALARNAS LÄN</t>
        </is>
      </c>
      <c r="E185" t="inlineStr">
        <is>
          <t>LEKSAND</t>
        </is>
      </c>
      <c r="G185" t="n">
        <v>2</v>
      </c>
      <c r="H185" t="n">
        <v>0</v>
      </c>
      <c r="I185" t="n">
        <v>0</v>
      </c>
      <c r="J185" t="n">
        <v>0</v>
      </c>
      <c r="K185" t="n">
        <v>0</v>
      </c>
      <c r="L185" t="n">
        <v>0</v>
      </c>
      <c r="M185" t="n">
        <v>0</v>
      </c>
      <c r="N185" t="n">
        <v>0</v>
      </c>
      <c r="O185" t="n">
        <v>0</v>
      </c>
      <c r="P185" t="n">
        <v>0</v>
      </c>
      <c r="Q185" t="n">
        <v>0</v>
      </c>
      <c r="R185" s="2" t="inlineStr"/>
    </row>
    <row r="186" ht="15" customHeight="1">
      <c r="A186" t="inlineStr">
        <is>
          <t>A 60878-2023</t>
        </is>
      </c>
      <c r="B186" s="1" t="n">
        <v>45259</v>
      </c>
      <c r="C186" s="1" t="n">
        <v>46038</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2140-2024</t>
        </is>
      </c>
      <c r="B187" s="1" t="n">
        <v>45309</v>
      </c>
      <c r="C187" s="1" t="n">
        <v>46038</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17759-2023</t>
        </is>
      </c>
      <c r="B188" s="1" t="n">
        <v>45037.48765046296</v>
      </c>
      <c r="C188" s="1" t="n">
        <v>46038</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36262-2023</t>
        </is>
      </c>
      <c r="B189" s="1" t="n">
        <v>45151.9096875</v>
      </c>
      <c r="C189" s="1" t="n">
        <v>46038</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10367-2023</t>
        </is>
      </c>
      <c r="B190" s="1" t="n">
        <v>44987</v>
      </c>
      <c r="C190" s="1" t="n">
        <v>46038</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53464-2024</t>
        </is>
      </c>
      <c r="B191" s="1" t="n">
        <v>45611</v>
      </c>
      <c r="C191" s="1" t="n">
        <v>46038</v>
      </c>
      <c r="D191" t="inlineStr">
        <is>
          <t>DALARNAS LÄN</t>
        </is>
      </c>
      <c r="E191" t="inlineStr">
        <is>
          <t>LEKSAND</t>
        </is>
      </c>
      <c r="G191" t="n">
        <v>1.7</v>
      </c>
      <c r="H191" t="n">
        <v>0</v>
      </c>
      <c r="I191" t="n">
        <v>0</v>
      </c>
      <c r="J191" t="n">
        <v>0</v>
      </c>
      <c r="K191" t="n">
        <v>0</v>
      </c>
      <c r="L191" t="n">
        <v>0</v>
      </c>
      <c r="M191" t="n">
        <v>0</v>
      </c>
      <c r="N191" t="n">
        <v>0</v>
      </c>
      <c r="O191" t="n">
        <v>0</v>
      </c>
      <c r="P191" t="n">
        <v>0</v>
      </c>
      <c r="Q191" t="n">
        <v>0</v>
      </c>
      <c r="R191" s="2" t="inlineStr"/>
    </row>
    <row r="192" ht="15" customHeight="1">
      <c r="A192" t="inlineStr">
        <is>
          <t>A 72575-2021</t>
        </is>
      </c>
      <c r="B192" s="1" t="n">
        <v>44546</v>
      </c>
      <c r="C192" s="1" t="n">
        <v>46038</v>
      </c>
      <c r="D192" t="inlineStr">
        <is>
          <t>DALARNAS LÄN</t>
        </is>
      </c>
      <c r="E192" t="inlineStr">
        <is>
          <t>LEKSAND</t>
        </is>
      </c>
      <c r="G192" t="n">
        <v>0.7</v>
      </c>
      <c r="H192" t="n">
        <v>0</v>
      </c>
      <c r="I192" t="n">
        <v>0</v>
      </c>
      <c r="J192" t="n">
        <v>0</v>
      </c>
      <c r="K192" t="n">
        <v>0</v>
      </c>
      <c r="L192" t="n">
        <v>0</v>
      </c>
      <c r="M192" t="n">
        <v>0</v>
      </c>
      <c r="N192" t="n">
        <v>0</v>
      </c>
      <c r="O192" t="n">
        <v>0</v>
      </c>
      <c r="P192" t="n">
        <v>0</v>
      </c>
      <c r="Q192" t="n">
        <v>0</v>
      </c>
      <c r="R192" s="2" t="inlineStr"/>
    </row>
    <row r="193" ht="15" customHeight="1">
      <c r="A193" t="inlineStr">
        <is>
          <t>A 72581-2021</t>
        </is>
      </c>
      <c r="B193" s="1" t="n">
        <v>44546.46354166666</v>
      </c>
      <c r="C193" s="1" t="n">
        <v>46038</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33143-2024</t>
        </is>
      </c>
      <c r="B194" s="1" t="n">
        <v>45518</v>
      </c>
      <c r="C194" s="1" t="n">
        <v>46038</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23615-2024</t>
        </is>
      </c>
      <c r="B195" s="1" t="n">
        <v>45454.43050925926</v>
      </c>
      <c r="C195" s="1" t="n">
        <v>46038</v>
      </c>
      <c r="D195" t="inlineStr">
        <is>
          <t>DALARNAS LÄN</t>
        </is>
      </c>
      <c r="E195" t="inlineStr">
        <is>
          <t>LEKSAND</t>
        </is>
      </c>
      <c r="G195" t="n">
        <v>1.7</v>
      </c>
      <c r="H195" t="n">
        <v>0</v>
      </c>
      <c r="I195" t="n">
        <v>0</v>
      </c>
      <c r="J195" t="n">
        <v>0</v>
      </c>
      <c r="K195" t="n">
        <v>0</v>
      </c>
      <c r="L195" t="n">
        <v>0</v>
      </c>
      <c r="M195" t="n">
        <v>0</v>
      </c>
      <c r="N195" t="n">
        <v>0</v>
      </c>
      <c r="O195" t="n">
        <v>0</v>
      </c>
      <c r="P195" t="n">
        <v>0</v>
      </c>
      <c r="Q195" t="n">
        <v>0</v>
      </c>
      <c r="R195" s="2" t="inlineStr"/>
    </row>
    <row r="196" ht="15" customHeight="1">
      <c r="A196" t="inlineStr">
        <is>
          <t>A 46628-2024</t>
        </is>
      </c>
      <c r="B196" s="1" t="n">
        <v>45583.33195601852</v>
      </c>
      <c r="C196" s="1" t="n">
        <v>46038</v>
      </c>
      <c r="D196" t="inlineStr">
        <is>
          <t>DALARNAS LÄN</t>
        </is>
      </c>
      <c r="E196" t="inlineStr">
        <is>
          <t>LEKSAND</t>
        </is>
      </c>
      <c r="G196" t="n">
        <v>0.2</v>
      </c>
      <c r="H196" t="n">
        <v>0</v>
      </c>
      <c r="I196" t="n">
        <v>0</v>
      </c>
      <c r="J196" t="n">
        <v>0</v>
      </c>
      <c r="K196" t="n">
        <v>0</v>
      </c>
      <c r="L196" t="n">
        <v>0</v>
      </c>
      <c r="M196" t="n">
        <v>0</v>
      </c>
      <c r="N196" t="n">
        <v>0</v>
      </c>
      <c r="O196" t="n">
        <v>0</v>
      </c>
      <c r="P196" t="n">
        <v>0</v>
      </c>
      <c r="Q196" t="n">
        <v>0</v>
      </c>
      <c r="R196" s="2" t="inlineStr"/>
    </row>
    <row r="197" ht="15" customHeight="1">
      <c r="A197" t="inlineStr">
        <is>
          <t>A 43222-2024</t>
        </is>
      </c>
      <c r="B197" s="1" t="n">
        <v>45567.87177083334</v>
      </c>
      <c r="C197" s="1" t="n">
        <v>46038</v>
      </c>
      <c r="D197" t="inlineStr">
        <is>
          <t>DALARNAS LÄN</t>
        </is>
      </c>
      <c r="E197" t="inlineStr">
        <is>
          <t>LEKSAND</t>
        </is>
      </c>
      <c r="F197" t="inlineStr">
        <is>
          <t>Bergvik skog väst AB</t>
        </is>
      </c>
      <c r="G197" t="n">
        <v>8.6</v>
      </c>
      <c r="H197" t="n">
        <v>0</v>
      </c>
      <c r="I197" t="n">
        <v>0</v>
      </c>
      <c r="J197" t="n">
        <v>0</v>
      </c>
      <c r="K197" t="n">
        <v>0</v>
      </c>
      <c r="L197" t="n">
        <v>0</v>
      </c>
      <c r="M197" t="n">
        <v>0</v>
      </c>
      <c r="N197" t="n">
        <v>0</v>
      </c>
      <c r="O197" t="n">
        <v>0</v>
      </c>
      <c r="P197" t="n">
        <v>0</v>
      </c>
      <c r="Q197" t="n">
        <v>0</v>
      </c>
      <c r="R197" s="2" t="inlineStr"/>
    </row>
    <row r="198" ht="15" customHeight="1">
      <c r="A198" t="inlineStr">
        <is>
          <t>A 43231-2024</t>
        </is>
      </c>
      <c r="B198" s="1" t="n">
        <v>45567.89709490741</v>
      </c>
      <c r="C198" s="1" t="n">
        <v>46038</v>
      </c>
      <c r="D198" t="inlineStr">
        <is>
          <t>DALARNAS LÄN</t>
        </is>
      </c>
      <c r="E198" t="inlineStr">
        <is>
          <t>LEKSAND</t>
        </is>
      </c>
      <c r="G198" t="n">
        <v>1.9</v>
      </c>
      <c r="H198" t="n">
        <v>0</v>
      </c>
      <c r="I198" t="n">
        <v>0</v>
      </c>
      <c r="J198" t="n">
        <v>0</v>
      </c>
      <c r="K198" t="n">
        <v>0</v>
      </c>
      <c r="L198" t="n">
        <v>0</v>
      </c>
      <c r="M198" t="n">
        <v>0</v>
      </c>
      <c r="N198" t="n">
        <v>0</v>
      </c>
      <c r="O198" t="n">
        <v>0</v>
      </c>
      <c r="P198" t="n">
        <v>0</v>
      </c>
      <c r="Q198" t="n">
        <v>0</v>
      </c>
      <c r="R198" s="2" t="inlineStr"/>
    </row>
    <row r="199" ht="15" customHeight="1">
      <c r="A199" t="inlineStr">
        <is>
          <t>A 17533-2023</t>
        </is>
      </c>
      <c r="B199" s="1" t="n">
        <v>45036</v>
      </c>
      <c r="C199" s="1" t="n">
        <v>46038</v>
      </c>
      <c r="D199" t="inlineStr">
        <is>
          <t>DALARNAS LÄN</t>
        </is>
      </c>
      <c r="E199" t="inlineStr">
        <is>
          <t>LEKSAND</t>
        </is>
      </c>
      <c r="G199" t="n">
        <v>3</v>
      </c>
      <c r="H199" t="n">
        <v>0</v>
      </c>
      <c r="I199" t="n">
        <v>0</v>
      </c>
      <c r="J199" t="n">
        <v>0</v>
      </c>
      <c r="K199" t="n">
        <v>0</v>
      </c>
      <c r="L199" t="n">
        <v>0</v>
      </c>
      <c r="M199" t="n">
        <v>0</v>
      </c>
      <c r="N199" t="n">
        <v>0</v>
      </c>
      <c r="O199" t="n">
        <v>0</v>
      </c>
      <c r="P199" t="n">
        <v>0</v>
      </c>
      <c r="Q199" t="n">
        <v>0</v>
      </c>
      <c r="R199" s="2" t="inlineStr"/>
    </row>
    <row r="200" ht="15" customHeight="1">
      <c r="A200" t="inlineStr">
        <is>
          <t>A 54914-2024</t>
        </is>
      </c>
      <c r="B200" s="1" t="n">
        <v>45618.69380787037</v>
      </c>
      <c r="C200" s="1" t="n">
        <v>46038</v>
      </c>
      <c r="D200" t="inlineStr">
        <is>
          <t>DALARNAS LÄN</t>
        </is>
      </c>
      <c r="E200" t="inlineStr">
        <is>
          <t>LEKSAND</t>
        </is>
      </c>
      <c r="G200" t="n">
        <v>1.7</v>
      </c>
      <c r="H200" t="n">
        <v>0</v>
      </c>
      <c r="I200" t="n">
        <v>0</v>
      </c>
      <c r="J200" t="n">
        <v>0</v>
      </c>
      <c r="K200" t="n">
        <v>0</v>
      </c>
      <c r="L200" t="n">
        <v>0</v>
      </c>
      <c r="M200" t="n">
        <v>0</v>
      </c>
      <c r="N200" t="n">
        <v>0</v>
      </c>
      <c r="O200" t="n">
        <v>0</v>
      </c>
      <c r="P200" t="n">
        <v>0</v>
      </c>
      <c r="Q200" t="n">
        <v>0</v>
      </c>
      <c r="R200" s="2" t="inlineStr"/>
    </row>
    <row r="201" ht="15" customHeight="1">
      <c r="A201" t="inlineStr">
        <is>
          <t>A 30863-2024</t>
        </is>
      </c>
      <c r="B201" s="1" t="n">
        <v>45497.71074074074</v>
      </c>
      <c r="C201" s="1" t="n">
        <v>46038</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39921-2024</t>
        </is>
      </c>
      <c r="B202" s="1" t="n">
        <v>45553</v>
      </c>
      <c r="C202" s="1" t="n">
        <v>46038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58244-2024</t>
        </is>
      </c>
      <c r="B203" s="1" t="n">
        <v>45631</v>
      </c>
      <c r="C203" s="1" t="n">
        <v>46038</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22349-2024</t>
        </is>
      </c>
      <c r="B204" s="1" t="n">
        <v>45446</v>
      </c>
      <c r="C204" s="1" t="n">
        <v>46038</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24481-2024</t>
        </is>
      </c>
      <c r="B205" s="1" t="n">
        <v>45459.36460648148</v>
      </c>
      <c r="C205" s="1" t="n">
        <v>46038</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402-2024</t>
        </is>
      </c>
      <c r="B206" s="1" t="n">
        <v>45296.45545138889</v>
      </c>
      <c r="C206" s="1" t="n">
        <v>46038</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61546-2021</t>
        </is>
      </c>
      <c r="B207" s="1" t="n">
        <v>44501</v>
      </c>
      <c r="C207" s="1" t="n">
        <v>46038</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41046-2024</t>
        </is>
      </c>
      <c r="B208" s="1" t="n">
        <v>45559.36677083333</v>
      </c>
      <c r="C208" s="1" t="n">
        <v>46038</v>
      </c>
      <c r="D208" t="inlineStr">
        <is>
          <t>DALARNAS LÄN</t>
        </is>
      </c>
      <c r="E208" t="inlineStr">
        <is>
          <t>LEKSAND</t>
        </is>
      </c>
      <c r="G208" t="n">
        <v>1.9</v>
      </c>
      <c r="H208" t="n">
        <v>0</v>
      </c>
      <c r="I208" t="n">
        <v>0</v>
      </c>
      <c r="J208" t="n">
        <v>0</v>
      </c>
      <c r="K208" t="n">
        <v>0</v>
      </c>
      <c r="L208" t="n">
        <v>0</v>
      </c>
      <c r="M208" t="n">
        <v>0</v>
      </c>
      <c r="N208" t="n">
        <v>0</v>
      </c>
      <c r="O208" t="n">
        <v>0</v>
      </c>
      <c r="P208" t="n">
        <v>0</v>
      </c>
      <c r="Q208" t="n">
        <v>0</v>
      </c>
      <c r="R208" s="2" t="inlineStr"/>
    </row>
    <row r="209" ht="15" customHeight="1">
      <c r="A209" t="inlineStr">
        <is>
          <t>A 58495-2023</t>
        </is>
      </c>
      <c r="B209" s="1" t="n">
        <v>45251</v>
      </c>
      <c r="C209" s="1" t="n">
        <v>46038</v>
      </c>
      <c r="D209" t="inlineStr">
        <is>
          <t>DALARNAS LÄN</t>
        </is>
      </c>
      <c r="E209" t="inlineStr">
        <is>
          <t>LEKSAND</t>
        </is>
      </c>
      <c r="G209" t="n">
        <v>1.7</v>
      </c>
      <c r="H209" t="n">
        <v>0</v>
      </c>
      <c r="I209" t="n">
        <v>0</v>
      </c>
      <c r="J209" t="n">
        <v>0</v>
      </c>
      <c r="K209" t="n">
        <v>0</v>
      </c>
      <c r="L209" t="n">
        <v>0</v>
      </c>
      <c r="M209" t="n">
        <v>0</v>
      </c>
      <c r="N209" t="n">
        <v>0</v>
      </c>
      <c r="O209" t="n">
        <v>0</v>
      </c>
      <c r="P209" t="n">
        <v>0</v>
      </c>
      <c r="Q209" t="n">
        <v>0</v>
      </c>
      <c r="R209" s="2" t="inlineStr"/>
    </row>
    <row r="210" ht="15" customHeight="1">
      <c r="A210" t="inlineStr">
        <is>
          <t>A 27317-2021</t>
        </is>
      </c>
      <c r="B210" s="1" t="n">
        <v>44351</v>
      </c>
      <c r="C210" s="1" t="n">
        <v>46038</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2517-2024</t>
        </is>
      </c>
      <c r="B211" s="1" t="n">
        <v>45313</v>
      </c>
      <c r="C211" s="1" t="n">
        <v>46038</v>
      </c>
      <c r="D211" t="inlineStr">
        <is>
          <t>DALARNAS LÄN</t>
        </is>
      </c>
      <c r="E211" t="inlineStr">
        <is>
          <t>LEKSAND</t>
        </is>
      </c>
      <c r="F211" t="inlineStr">
        <is>
          <t>Bergvik skog väst AB</t>
        </is>
      </c>
      <c r="G211" t="n">
        <v>4</v>
      </c>
      <c r="H211" t="n">
        <v>0</v>
      </c>
      <c r="I211" t="n">
        <v>0</v>
      </c>
      <c r="J211" t="n">
        <v>0</v>
      </c>
      <c r="K211" t="n">
        <v>0</v>
      </c>
      <c r="L211" t="n">
        <v>0</v>
      </c>
      <c r="M211" t="n">
        <v>0</v>
      </c>
      <c r="N211" t="n">
        <v>0</v>
      </c>
      <c r="O211" t="n">
        <v>0</v>
      </c>
      <c r="P211" t="n">
        <v>0</v>
      </c>
      <c r="Q211" t="n">
        <v>0</v>
      </c>
      <c r="R211" s="2" t="inlineStr"/>
    </row>
    <row r="212" ht="15" customHeight="1">
      <c r="A212" t="inlineStr">
        <is>
          <t>A 16005-2025</t>
        </is>
      </c>
      <c r="B212" s="1" t="n">
        <v>45749.59765046297</v>
      </c>
      <c r="C212" s="1" t="n">
        <v>46038</v>
      </c>
      <c r="D212" t="inlineStr">
        <is>
          <t>DALARNAS LÄN</t>
        </is>
      </c>
      <c r="E212" t="inlineStr">
        <is>
          <t>LEKSAND</t>
        </is>
      </c>
      <c r="G212" t="n">
        <v>2.1</v>
      </c>
      <c r="H212" t="n">
        <v>0</v>
      </c>
      <c r="I212" t="n">
        <v>0</v>
      </c>
      <c r="J212" t="n">
        <v>0</v>
      </c>
      <c r="K212" t="n">
        <v>0</v>
      </c>
      <c r="L212" t="n">
        <v>0</v>
      </c>
      <c r="M212" t="n">
        <v>0</v>
      </c>
      <c r="N212" t="n">
        <v>0</v>
      </c>
      <c r="O212" t="n">
        <v>0</v>
      </c>
      <c r="P212" t="n">
        <v>0</v>
      </c>
      <c r="Q212" t="n">
        <v>0</v>
      </c>
      <c r="R212" s="2" t="inlineStr"/>
    </row>
    <row r="213" ht="15" customHeight="1">
      <c r="A213" t="inlineStr">
        <is>
          <t>A 12923-2025</t>
        </is>
      </c>
      <c r="B213" s="1" t="n">
        <v>45734.29193287037</v>
      </c>
      <c r="C213" s="1" t="n">
        <v>46038</v>
      </c>
      <c r="D213" t="inlineStr">
        <is>
          <t>DALARNAS LÄN</t>
        </is>
      </c>
      <c r="E213" t="inlineStr">
        <is>
          <t>LEKSAND</t>
        </is>
      </c>
      <c r="G213" t="n">
        <v>7.2</v>
      </c>
      <c r="H213" t="n">
        <v>0</v>
      </c>
      <c r="I213" t="n">
        <v>0</v>
      </c>
      <c r="J213" t="n">
        <v>0</v>
      </c>
      <c r="K213" t="n">
        <v>0</v>
      </c>
      <c r="L213" t="n">
        <v>0</v>
      </c>
      <c r="M213" t="n">
        <v>0</v>
      </c>
      <c r="N213" t="n">
        <v>0</v>
      </c>
      <c r="O213" t="n">
        <v>0</v>
      </c>
      <c r="P213" t="n">
        <v>0</v>
      </c>
      <c r="Q213" t="n">
        <v>0</v>
      </c>
      <c r="R213" s="2" t="inlineStr"/>
    </row>
    <row r="214" ht="15" customHeight="1">
      <c r="A214" t="inlineStr">
        <is>
          <t>A 5738-2023</t>
        </is>
      </c>
      <c r="B214" s="1" t="n">
        <v>44962</v>
      </c>
      <c r="C214" s="1" t="n">
        <v>46038</v>
      </c>
      <c r="D214" t="inlineStr">
        <is>
          <t>DALARNAS LÄN</t>
        </is>
      </c>
      <c r="E214" t="inlineStr">
        <is>
          <t>LEKSAND</t>
        </is>
      </c>
      <c r="G214" t="n">
        <v>0.2</v>
      </c>
      <c r="H214" t="n">
        <v>0</v>
      </c>
      <c r="I214" t="n">
        <v>0</v>
      </c>
      <c r="J214" t="n">
        <v>0</v>
      </c>
      <c r="K214" t="n">
        <v>0</v>
      </c>
      <c r="L214" t="n">
        <v>0</v>
      </c>
      <c r="M214" t="n">
        <v>0</v>
      </c>
      <c r="N214" t="n">
        <v>0</v>
      </c>
      <c r="O214" t="n">
        <v>0</v>
      </c>
      <c r="P214" t="n">
        <v>0</v>
      </c>
      <c r="Q214" t="n">
        <v>0</v>
      </c>
      <c r="R214" s="2" t="inlineStr"/>
    </row>
    <row r="215" ht="15" customHeight="1">
      <c r="A215" t="inlineStr">
        <is>
          <t>A 53717-2023</t>
        </is>
      </c>
      <c r="B215" s="1" t="n">
        <v>45230</v>
      </c>
      <c r="C215" s="1" t="n">
        <v>46038</v>
      </c>
      <c r="D215" t="inlineStr">
        <is>
          <t>DALARNAS LÄN</t>
        </is>
      </c>
      <c r="E215" t="inlineStr">
        <is>
          <t>LEKSAND</t>
        </is>
      </c>
      <c r="G215" t="n">
        <v>2.4</v>
      </c>
      <c r="H215" t="n">
        <v>0</v>
      </c>
      <c r="I215" t="n">
        <v>0</v>
      </c>
      <c r="J215" t="n">
        <v>0</v>
      </c>
      <c r="K215" t="n">
        <v>0</v>
      </c>
      <c r="L215" t="n">
        <v>0</v>
      </c>
      <c r="M215" t="n">
        <v>0</v>
      </c>
      <c r="N215" t="n">
        <v>0</v>
      </c>
      <c r="O215" t="n">
        <v>0</v>
      </c>
      <c r="P215" t="n">
        <v>0</v>
      </c>
      <c r="Q215" t="n">
        <v>0</v>
      </c>
      <c r="R215" s="2" t="inlineStr"/>
    </row>
    <row r="216" ht="15" customHeight="1">
      <c r="A216" t="inlineStr">
        <is>
          <t>A 1519-2024</t>
        </is>
      </c>
      <c r="B216" s="1" t="n">
        <v>45306</v>
      </c>
      <c r="C216" s="1" t="n">
        <v>46038</v>
      </c>
      <c r="D216" t="inlineStr">
        <is>
          <t>DALARNAS LÄN</t>
        </is>
      </c>
      <c r="E216" t="inlineStr">
        <is>
          <t>LEKSAND</t>
        </is>
      </c>
      <c r="G216" t="n">
        <v>3.3</v>
      </c>
      <c r="H216" t="n">
        <v>0</v>
      </c>
      <c r="I216" t="n">
        <v>0</v>
      </c>
      <c r="J216" t="n">
        <v>0</v>
      </c>
      <c r="K216" t="n">
        <v>0</v>
      </c>
      <c r="L216" t="n">
        <v>0</v>
      </c>
      <c r="M216" t="n">
        <v>0</v>
      </c>
      <c r="N216" t="n">
        <v>0</v>
      </c>
      <c r="O216" t="n">
        <v>0</v>
      </c>
      <c r="P216" t="n">
        <v>0</v>
      </c>
      <c r="Q216" t="n">
        <v>0</v>
      </c>
      <c r="R216" s="2" t="inlineStr"/>
    </row>
    <row r="217" ht="15" customHeight="1">
      <c r="A217" t="inlineStr">
        <is>
          <t>A 11277-2025</t>
        </is>
      </c>
      <c r="B217" s="1" t="n">
        <v>45726.41565972222</v>
      </c>
      <c r="C217" s="1" t="n">
        <v>46038</v>
      </c>
      <c r="D217" t="inlineStr">
        <is>
          <t>DALARNAS LÄN</t>
        </is>
      </c>
      <c r="E217" t="inlineStr">
        <is>
          <t>LEKSAND</t>
        </is>
      </c>
      <c r="G217" t="n">
        <v>2</v>
      </c>
      <c r="H217" t="n">
        <v>0</v>
      </c>
      <c r="I217" t="n">
        <v>0</v>
      </c>
      <c r="J217" t="n">
        <v>0</v>
      </c>
      <c r="K217" t="n">
        <v>0</v>
      </c>
      <c r="L217" t="n">
        <v>0</v>
      </c>
      <c r="M217" t="n">
        <v>0</v>
      </c>
      <c r="N217" t="n">
        <v>0</v>
      </c>
      <c r="O217" t="n">
        <v>0</v>
      </c>
      <c r="P217" t="n">
        <v>0</v>
      </c>
      <c r="Q217" t="n">
        <v>0</v>
      </c>
      <c r="R217" s="2" t="inlineStr"/>
    </row>
    <row r="218" ht="15" customHeight="1">
      <c r="A218" t="inlineStr">
        <is>
          <t>A 8940-2023</t>
        </is>
      </c>
      <c r="B218" s="1" t="n">
        <v>44974</v>
      </c>
      <c r="C218" s="1" t="n">
        <v>46038</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11128-2023</t>
        </is>
      </c>
      <c r="B219" s="1" t="n">
        <v>44992</v>
      </c>
      <c r="C219" s="1" t="n">
        <v>46038</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5570-2024</t>
        </is>
      </c>
      <c r="B220" s="1" t="n">
        <v>45334</v>
      </c>
      <c r="C220" s="1" t="n">
        <v>46038</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54917-2024</t>
        </is>
      </c>
      <c r="B221" s="1" t="n">
        <v>45618.69581018519</v>
      </c>
      <c r="C221" s="1" t="n">
        <v>46038</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1458-2024</t>
        </is>
      </c>
      <c r="B222" s="1" t="n">
        <v>45303</v>
      </c>
      <c r="C222" s="1" t="n">
        <v>46038</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1461-2024</t>
        </is>
      </c>
      <c r="B223" s="1" t="n">
        <v>45303</v>
      </c>
      <c r="C223" s="1" t="n">
        <v>46038</v>
      </c>
      <c r="D223" t="inlineStr">
        <is>
          <t>DALARNAS LÄN</t>
        </is>
      </c>
      <c r="E223" t="inlineStr">
        <is>
          <t>LEKSAND</t>
        </is>
      </c>
      <c r="G223" t="n">
        <v>2.4</v>
      </c>
      <c r="H223" t="n">
        <v>0</v>
      </c>
      <c r="I223" t="n">
        <v>0</v>
      </c>
      <c r="J223" t="n">
        <v>0</v>
      </c>
      <c r="K223" t="n">
        <v>0</v>
      </c>
      <c r="L223" t="n">
        <v>0</v>
      </c>
      <c r="M223" t="n">
        <v>0</v>
      </c>
      <c r="N223" t="n">
        <v>0</v>
      </c>
      <c r="O223" t="n">
        <v>0</v>
      </c>
      <c r="P223" t="n">
        <v>0</v>
      </c>
      <c r="Q223" t="n">
        <v>0</v>
      </c>
      <c r="R223" s="2" t="inlineStr"/>
    </row>
    <row r="224" ht="15" customHeight="1">
      <c r="A224" t="inlineStr">
        <is>
          <t>A 11403-2023</t>
        </is>
      </c>
      <c r="B224" s="1" t="n">
        <v>44993</v>
      </c>
      <c r="C224" s="1" t="n">
        <v>46038</v>
      </c>
      <c r="D224" t="inlineStr">
        <is>
          <t>DALARNAS LÄN</t>
        </is>
      </c>
      <c r="E224" t="inlineStr">
        <is>
          <t>LEKSAND</t>
        </is>
      </c>
      <c r="G224" t="n">
        <v>0.1</v>
      </c>
      <c r="H224" t="n">
        <v>0</v>
      </c>
      <c r="I224" t="n">
        <v>0</v>
      </c>
      <c r="J224" t="n">
        <v>0</v>
      </c>
      <c r="K224" t="n">
        <v>0</v>
      </c>
      <c r="L224" t="n">
        <v>0</v>
      </c>
      <c r="M224" t="n">
        <v>0</v>
      </c>
      <c r="N224" t="n">
        <v>0</v>
      </c>
      <c r="O224" t="n">
        <v>0</v>
      </c>
      <c r="P224" t="n">
        <v>0</v>
      </c>
      <c r="Q224" t="n">
        <v>0</v>
      </c>
      <c r="R224" s="2" t="inlineStr"/>
    </row>
    <row r="225" ht="15" customHeight="1">
      <c r="A225" t="inlineStr">
        <is>
          <t>A 2694-2025</t>
        </is>
      </c>
      <c r="B225" s="1" t="n">
        <v>45677.38246527778</v>
      </c>
      <c r="C225" s="1" t="n">
        <v>46038</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28892-2022</t>
        </is>
      </c>
      <c r="B226" s="1" t="n">
        <v>44749</v>
      </c>
      <c r="C226" s="1" t="n">
        <v>46038</v>
      </c>
      <c r="D226" t="inlineStr">
        <is>
          <t>DALARNAS LÄN</t>
        </is>
      </c>
      <c r="E226" t="inlineStr">
        <is>
          <t>LEKSAND</t>
        </is>
      </c>
      <c r="F226" t="inlineStr">
        <is>
          <t>Bergvik skog väst AB</t>
        </is>
      </c>
      <c r="G226" t="n">
        <v>9.1</v>
      </c>
      <c r="H226" t="n">
        <v>0</v>
      </c>
      <c r="I226" t="n">
        <v>0</v>
      </c>
      <c r="J226" t="n">
        <v>0</v>
      </c>
      <c r="K226" t="n">
        <v>0</v>
      </c>
      <c r="L226" t="n">
        <v>0</v>
      </c>
      <c r="M226" t="n">
        <v>0</v>
      </c>
      <c r="N226" t="n">
        <v>0</v>
      </c>
      <c r="O226" t="n">
        <v>0</v>
      </c>
      <c r="P226" t="n">
        <v>0</v>
      </c>
      <c r="Q226" t="n">
        <v>0</v>
      </c>
      <c r="R226" s="2" t="inlineStr"/>
    </row>
    <row r="227" ht="15" customHeight="1">
      <c r="A227" t="inlineStr">
        <is>
          <t>A 38001-2023</t>
        </is>
      </c>
      <c r="B227" s="1" t="n">
        <v>45160</v>
      </c>
      <c r="C227" s="1" t="n">
        <v>46038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47673-2023</t>
        </is>
      </c>
      <c r="B228" s="1" t="n">
        <v>45203</v>
      </c>
      <c r="C228" s="1" t="n">
        <v>46038</v>
      </c>
      <c r="D228" t="inlineStr">
        <is>
          <t>DALARNAS LÄN</t>
        </is>
      </c>
      <c r="E228" t="inlineStr">
        <is>
          <t>LEKSAND</t>
        </is>
      </c>
      <c r="G228" t="n">
        <v>2</v>
      </c>
      <c r="H228" t="n">
        <v>0</v>
      </c>
      <c r="I228" t="n">
        <v>0</v>
      </c>
      <c r="J228" t="n">
        <v>0</v>
      </c>
      <c r="K228" t="n">
        <v>0</v>
      </c>
      <c r="L228" t="n">
        <v>0</v>
      </c>
      <c r="M228" t="n">
        <v>0</v>
      </c>
      <c r="N228" t="n">
        <v>0</v>
      </c>
      <c r="O228" t="n">
        <v>0</v>
      </c>
      <c r="P228" t="n">
        <v>0</v>
      </c>
      <c r="Q228" t="n">
        <v>0</v>
      </c>
      <c r="R228" s="2" t="inlineStr"/>
    </row>
    <row r="229" ht="15" customHeight="1">
      <c r="A229" t="inlineStr">
        <is>
          <t>A 33593-2024</t>
        </is>
      </c>
      <c r="B229" s="1" t="n">
        <v>45520.36055555556</v>
      </c>
      <c r="C229" s="1" t="n">
        <v>46038</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19820-2024</t>
        </is>
      </c>
      <c r="B230" s="1" t="n">
        <v>45433.33907407407</v>
      </c>
      <c r="C230" s="1" t="n">
        <v>46038</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19823-2024</t>
        </is>
      </c>
      <c r="B231" s="1" t="n">
        <v>45433.34469907408</v>
      </c>
      <c r="C231" s="1" t="n">
        <v>46038</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7778-2025</t>
        </is>
      </c>
      <c r="B232" s="1" t="n">
        <v>45706</v>
      </c>
      <c r="C232" s="1" t="n">
        <v>46038</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60129-2023</t>
        </is>
      </c>
      <c r="B233" s="1" t="n">
        <v>45258.49056712963</v>
      </c>
      <c r="C233" s="1" t="n">
        <v>46038</v>
      </c>
      <c r="D233" t="inlineStr">
        <is>
          <t>DALARNAS LÄN</t>
        </is>
      </c>
      <c r="E233" t="inlineStr">
        <is>
          <t>LEKSAND</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7653-2025</t>
        </is>
      </c>
      <c r="B234" s="1" t="n">
        <v>45705.95238425926</v>
      </c>
      <c r="C234" s="1" t="n">
        <v>46038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6039-2023</t>
        </is>
      </c>
      <c r="B235" s="1" t="n">
        <v>44959</v>
      </c>
      <c r="C235" s="1" t="n">
        <v>46038</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3737-2023</t>
        </is>
      </c>
      <c r="B236" s="1" t="n">
        <v>44951.42983796296</v>
      </c>
      <c r="C236" s="1" t="n">
        <v>46038</v>
      </c>
      <c r="D236" t="inlineStr">
        <is>
          <t>DALARNAS LÄN</t>
        </is>
      </c>
      <c r="E236" t="inlineStr">
        <is>
          <t>LEKSAND</t>
        </is>
      </c>
      <c r="G236" t="n">
        <v>3.1</v>
      </c>
      <c r="H236" t="n">
        <v>0</v>
      </c>
      <c r="I236" t="n">
        <v>0</v>
      </c>
      <c r="J236" t="n">
        <v>0</v>
      </c>
      <c r="K236" t="n">
        <v>0</v>
      </c>
      <c r="L236" t="n">
        <v>0</v>
      </c>
      <c r="M236" t="n">
        <v>0</v>
      </c>
      <c r="N236" t="n">
        <v>0</v>
      </c>
      <c r="O236" t="n">
        <v>0</v>
      </c>
      <c r="P236" t="n">
        <v>0</v>
      </c>
      <c r="Q236" t="n">
        <v>0</v>
      </c>
      <c r="R236" s="2" t="inlineStr"/>
    </row>
    <row r="237" ht="15" customHeight="1">
      <c r="A237" t="inlineStr">
        <is>
          <t>A 6758-2024</t>
        </is>
      </c>
      <c r="B237" s="1" t="n">
        <v>45342.46857638889</v>
      </c>
      <c r="C237" s="1" t="n">
        <v>46038</v>
      </c>
      <c r="D237" t="inlineStr">
        <is>
          <t>DALARNAS LÄN</t>
        </is>
      </c>
      <c r="E237" t="inlineStr">
        <is>
          <t>LEKSAND</t>
        </is>
      </c>
      <c r="F237" t="inlineStr">
        <is>
          <t>Bergvik skog väst AB</t>
        </is>
      </c>
      <c r="G237" t="n">
        <v>6.2</v>
      </c>
      <c r="H237" t="n">
        <v>0</v>
      </c>
      <c r="I237" t="n">
        <v>0</v>
      </c>
      <c r="J237" t="n">
        <v>0</v>
      </c>
      <c r="K237" t="n">
        <v>0</v>
      </c>
      <c r="L237" t="n">
        <v>0</v>
      </c>
      <c r="M237" t="n">
        <v>0</v>
      </c>
      <c r="N237" t="n">
        <v>0</v>
      </c>
      <c r="O237" t="n">
        <v>0</v>
      </c>
      <c r="P237" t="n">
        <v>0</v>
      </c>
      <c r="Q237" t="n">
        <v>0</v>
      </c>
      <c r="R237" s="2" t="inlineStr"/>
    </row>
    <row r="238" ht="15" customHeight="1">
      <c r="A238" t="inlineStr">
        <is>
          <t>A 43237-2024</t>
        </is>
      </c>
      <c r="B238" s="1" t="n">
        <v>45567</v>
      </c>
      <c r="C238" s="1" t="n">
        <v>46038</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4257-2022</t>
        </is>
      </c>
      <c r="B239" s="1" t="n">
        <v>44588</v>
      </c>
      <c r="C239" s="1" t="n">
        <v>46038</v>
      </c>
      <c r="D239" t="inlineStr">
        <is>
          <t>DALARNAS LÄN</t>
        </is>
      </c>
      <c r="E239" t="inlineStr">
        <is>
          <t>LEKSAND</t>
        </is>
      </c>
      <c r="G239" t="n">
        <v>6.8</v>
      </c>
      <c r="H239" t="n">
        <v>0</v>
      </c>
      <c r="I239" t="n">
        <v>0</v>
      </c>
      <c r="J239" t="n">
        <v>0</v>
      </c>
      <c r="K239" t="n">
        <v>0</v>
      </c>
      <c r="L239" t="n">
        <v>0</v>
      </c>
      <c r="M239" t="n">
        <v>0</v>
      </c>
      <c r="N239" t="n">
        <v>0</v>
      </c>
      <c r="O239" t="n">
        <v>0</v>
      </c>
      <c r="P239" t="n">
        <v>0</v>
      </c>
      <c r="Q239" t="n">
        <v>0</v>
      </c>
      <c r="R239" s="2" t="inlineStr"/>
    </row>
    <row r="240" ht="15" customHeight="1">
      <c r="A240" t="inlineStr">
        <is>
          <t>A 23068-2024</t>
        </is>
      </c>
      <c r="B240" s="1" t="n">
        <v>45450.45521990741</v>
      </c>
      <c r="C240" s="1" t="n">
        <v>46038</v>
      </c>
      <c r="D240" t="inlineStr">
        <is>
          <t>DALARNAS LÄN</t>
        </is>
      </c>
      <c r="E240" t="inlineStr">
        <is>
          <t>LEKSAND</t>
        </is>
      </c>
      <c r="G240" t="n">
        <v>2.4</v>
      </c>
      <c r="H240" t="n">
        <v>0</v>
      </c>
      <c r="I240" t="n">
        <v>0</v>
      </c>
      <c r="J240" t="n">
        <v>0</v>
      </c>
      <c r="K240" t="n">
        <v>0</v>
      </c>
      <c r="L240" t="n">
        <v>0</v>
      </c>
      <c r="M240" t="n">
        <v>0</v>
      </c>
      <c r="N240" t="n">
        <v>0</v>
      </c>
      <c r="O240" t="n">
        <v>0</v>
      </c>
      <c r="P240" t="n">
        <v>0</v>
      </c>
      <c r="Q240" t="n">
        <v>0</v>
      </c>
      <c r="R240" s="2" t="inlineStr"/>
    </row>
    <row r="241" ht="15" customHeight="1">
      <c r="A241" t="inlineStr">
        <is>
          <t>A 12356-2023</t>
        </is>
      </c>
      <c r="B241" s="1" t="n">
        <v>44998</v>
      </c>
      <c r="C241" s="1" t="n">
        <v>46038</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12363-2023</t>
        </is>
      </c>
      <c r="B242" s="1" t="n">
        <v>44998</v>
      </c>
      <c r="C242" s="1" t="n">
        <v>46038</v>
      </c>
      <c r="D242" t="inlineStr">
        <is>
          <t>DALARNAS LÄN</t>
        </is>
      </c>
      <c r="E242" t="inlineStr">
        <is>
          <t>LEKSAND</t>
        </is>
      </c>
      <c r="G242" t="n">
        <v>10</v>
      </c>
      <c r="H242" t="n">
        <v>0</v>
      </c>
      <c r="I242" t="n">
        <v>0</v>
      </c>
      <c r="J242" t="n">
        <v>0</v>
      </c>
      <c r="K242" t="n">
        <v>0</v>
      </c>
      <c r="L242" t="n">
        <v>0</v>
      </c>
      <c r="M242" t="n">
        <v>0</v>
      </c>
      <c r="N242" t="n">
        <v>0</v>
      </c>
      <c r="O242" t="n">
        <v>0</v>
      </c>
      <c r="P242" t="n">
        <v>0</v>
      </c>
      <c r="Q242" t="n">
        <v>0</v>
      </c>
      <c r="R242" s="2" t="inlineStr"/>
    </row>
    <row r="243" ht="15" customHeight="1">
      <c r="A243" t="inlineStr">
        <is>
          <t>A 7894-2025</t>
        </is>
      </c>
      <c r="B243" s="1" t="n">
        <v>45707.30268518518</v>
      </c>
      <c r="C243" s="1" t="n">
        <v>46038</v>
      </c>
      <c r="D243" t="inlineStr">
        <is>
          <t>DALARNAS LÄN</t>
        </is>
      </c>
      <c r="E243" t="inlineStr">
        <is>
          <t>LEKSAND</t>
        </is>
      </c>
      <c r="G243" t="n">
        <v>1.6</v>
      </c>
      <c r="H243" t="n">
        <v>0</v>
      </c>
      <c r="I243" t="n">
        <v>0</v>
      </c>
      <c r="J243" t="n">
        <v>0</v>
      </c>
      <c r="K243" t="n">
        <v>0</v>
      </c>
      <c r="L243" t="n">
        <v>0</v>
      </c>
      <c r="M243" t="n">
        <v>0</v>
      </c>
      <c r="N243" t="n">
        <v>0</v>
      </c>
      <c r="O243" t="n">
        <v>0</v>
      </c>
      <c r="P243" t="n">
        <v>0</v>
      </c>
      <c r="Q243" t="n">
        <v>0</v>
      </c>
      <c r="R243" s="2" t="inlineStr"/>
    </row>
    <row r="244" ht="15" customHeight="1">
      <c r="A244" t="inlineStr">
        <is>
          <t>A 55015-2024</t>
        </is>
      </c>
      <c r="B244" s="1" t="n">
        <v>45621.35554398148</v>
      </c>
      <c r="C244" s="1" t="n">
        <v>46038</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28674-2024</t>
        </is>
      </c>
      <c r="B245" s="1" t="n">
        <v>45478.47863425926</v>
      </c>
      <c r="C245" s="1" t="n">
        <v>46038</v>
      </c>
      <c r="D245" t="inlineStr">
        <is>
          <t>DALARNAS LÄN</t>
        </is>
      </c>
      <c r="E245" t="inlineStr">
        <is>
          <t>LEKSAND</t>
        </is>
      </c>
      <c r="G245" t="n">
        <v>4.9</v>
      </c>
      <c r="H245" t="n">
        <v>0</v>
      </c>
      <c r="I245" t="n">
        <v>0</v>
      </c>
      <c r="J245" t="n">
        <v>0</v>
      </c>
      <c r="K245" t="n">
        <v>0</v>
      </c>
      <c r="L245" t="n">
        <v>0</v>
      </c>
      <c r="M245" t="n">
        <v>0</v>
      </c>
      <c r="N245" t="n">
        <v>0</v>
      </c>
      <c r="O245" t="n">
        <v>0</v>
      </c>
      <c r="P245" t="n">
        <v>0</v>
      </c>
      <c r="Q245" t="n">
        <v>0</v>
      </c>
      <c r="R245" s="2" t="inlineStr"/>
    </row>
    <row r="246" ht="15" customHeight="1">
      <c r="A246" t="inlineStr">
        <is>
          <t>A 28965-2023</t>
        </is>
      </c>
      <c r="B246" s="1" t="n">
        <v>45104</v>
      </c>
      <c r="C246" s="1" t="n">
        <v>46038</v>
      </c>
      <c r="D246" t="inlineStr">
        <is>
          <t>DALARNAS LÄN</t>
        </is>
      </c>
      <c r="E246" t="inlineStr">
        <is>
          <t>LEKSAND</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16293-2025</t>
        </is>
      </c>
      <c r="B247" s="1" t="n">
        <v>45751.33447916667</v>
      </c>
      <c r="C247" s="1" t="n">
        <v>46038</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16231-2021</t>
        </is>
      </c>
      <c r="B248" s="1" t="n">
        <v>44292</v>
      </c>
      <c r="C248" s="1" t="n">
        <v>46038</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28921-2023</t>
        </is>
      </c>
      <c r="B249" s="1" t="n">
        <v>45104</v>
      </c>
      <c r="C249" s="1" t="n">
        <v>46038</v>
      </c>
      <c r="D249" t="inlineStr">
        <is>
          <t>DALARNAS LÄN</t>
        </is>
      </c>
      <c r="E249" t="inlineStr">
        <is>
          <t>LEKSAND</t>
        </is>
      </c>
      <c r="G249" t="n">
        <v>4.4</v>
      </c>
      <c r="H249" t="n">
        <v>0</v>
      </c>
      <c r="I249" t="n">
        <v>0</v>
      </c>
      <c r="J249" t="n">
        <v>0</v>
      </c>
      <c r="K249" t="n">
        <v>0</v>
      </c>
      <c r="L249" t="n">
        <v>0</v>
      </c>
      <c r="M249" t="n">
        <v>0</v>
      </c>
      <c r="N249" t="n">
        <v>0</v>
      </c>
      <c r="O249" t="n">
        <v>0</v>
      </c>
      <c r="P249" t="n">
        <v>0</v>
      </c>
      <c r="Q249" t="n">
        <v>0</v>
      </c>
      <c r="R249" s="2" t="inlineStr"/>
    </row>
    <row r="250" ht="15" customHeight="1">
      <c r="A250" t="inlineStr">
        <is>
          <t>A 30998-2023</t>
        </is>
      </c>
      <c r="B250" s="1" t="n">
        <v>45113.54193287037</v>
      </c>
      <c r="C250" s="1" t="n">
        <v>46038</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6027-2025</t>
        </is>
      </c>
      <c r="B251" s="1" t="n">
        <v>45695</v>
      </c>
      <c r="C251" s="1" t="n">
        <v>46038</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56283-2024</t>
        </is>
      </c>
      <c r="B252" s="1" t="n">
        <v>45624.67864583333</v>
      </c>
      <c r="C252" s="1" t="n">
        <v>46038</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31254-2023</t>
        </is>
      </c>
      <c r="B253" s="1" t="n">
        <v>45114</v>
      </c>
      <c r="C253" s="1" t="n">
        <v>46038</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23283-2024</t>
        </is>
      </c>
      <c r="B254" s="1" t="n">
        <v>45453</v>
      </c>
      <c r="C254" s="1" t="n">
        <v>46038</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39807-2024</t>
        </is>
      </c>
      <c r="B255" s="1" t="n">
        <v>45553.35763888889</v>
      </c>
      <c r="C255" s="1" t="n">
        <v>46038</v>
      </c>
      <c r="D255" t="inlineStr">
        <is>
          <t>DALARNAS LÄN</t>
        </is>
      </c>
      <c r="E255" t="inlineStr">
        <is>
          <t>LEKSAND</t>
        </is>
      </c>
      <c r="F255" t="inlineStr">
        <is>
          <t>Bergvik skog väst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11678-2023</t>
        </is>
      </c>
      <c r="B256" s="1" t="n">
        <v>44994</v>
      </c>
      <c r="C256" s="1" t="n">
        <v>46038</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57925-2024</t>
        </is>
      </c>
      <c r="B257" s="1" t="n">
        <v>45630</v>
      </c>
      <c r="C257" s="1" t="n">
        <v>46038</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1463-2024</t>
        </is>
      </c>
      <c r="B258" s="1" t="n">
        <v>45303</v>
      </c>
      <c r="C258" s="1" t="n">
        <v>46038</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16611-2024</t>
        </is>
      </c>
      <c r="B259" s="1" t="n">
        <v>45408.55504629629</v>
      </c>
      <c r="C259" s="1" t="n">
        <v>46038</v>
      </c>
      <c r="D259" t="inlineStr">
        <is>
          <t>DALARNAS LÄN</t>
        </is>
      </c>
      <c r="E259" t="inlineStr">
        <is>
          <t>LEKSAND</t>
        </is>
      </c>
      <c r="G259" t="n">
        <v>5.9</v>
      </c>
      <c r="H259" t="n">
        <v>0</v>
      </c>
      <c r="I259" t="n">
        <v>0</v>
      </c>
      <c r="J259" t="n">
        <v>0</v>
      </c>
      <c r="K259" t="n">
        <v>0</v>
      </c>
      <c r="L259" t="n">
        <v>0</v>
      </c>
      <c r="M259" t="n">
        <v>0</v>
      </c>
      <c r="N259" t="n">
        <v>0</v>
      </c>
      <c r="O259" t="n">
        <v>0</v>
      </c>
      <c r="P259" t="n">
        <v>0</v>
      </c>
      <c r="Q259" t="n">
        <v>0</v>
      </c>
      <c r="R259" s="2" t="inlineStr"/>
    </row>
    <row r="260" ht="15" customHeight="1">
      <c r="A260" t="inlineStr">
        <is>
          <t>A 8755-2023</t>
        </is>
      </c>
      <c r="B260" s="1" t="n">
        <v>44978</v>
      </c>
      <c r="C260" s="1" t="n">
        <v>46038</v>
      </c>
      <c r="D260" t="inlineStr">
        <is>
          <t>DALARNAS LÄN</t>
        </is>
      </c>
      <c r="E260" t="inlineStr">
        <is>
          <t>LEKSAND</t>
        </is>
      </c>
      <c r="G260" t="n">
        <v>2.3</v>
      </c>
      <c r="H260" t="n">
        <v>0</v>
      </c>
      <c r="I260" t="n">
        <v>0</v>
      </c>
      <c r="J260" t="n">
        <v>0</v>
      </c>
      <c r="K260" t="n">
        <v>0</v>
      </c>
      <c r="L260" t="n">
        <v>0</v>
      </c>
      <c r="M260" t="n">
        <v>0</v>
      </c>
      <c r="N260" t="n">
        <v>0</v>
      </c>
      <c r="O260" t="n">
        <v>0</v>
      </c>
      <c r="P260" t="n">
        <v>0</v>
      </c>
      <c r="Q260" t="n">
        <v>0</v>
      </c>
      <c r="R260" s="2" t="inlineStr"/>
    </row>
    <row r="261" ht="15" customHeight="1">
      <c r="A261" t="inlineStr">
        <is>
          <t>A 5582-2024</t>
        </is>
      </c>
      <c r="B261" s="1" t="n">
        <v>45334</v>
      </c>
      <c r="C261" s="1" t="n">
        <v>46038</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45768-2023</t>
        </is>
      </c>
      <c r="B262" s="1" t="n">
        <v>45195</v>
      </c>
      <c r="C262" s="1" t="n">
        <v>46038</v>
      </c>
      <c r="D262" t="inlineStr">
        <is>
          <t>DALARNAS LÄN</t>
        </is>
      </c>
      <c r="E262" t="inlineStr">
        <is>
          <t>LEKSAND</t>
        </is>
      </c>
      <c r="G262" t="n">
        <v>0.4</v>
      </c>
      <c r="H262" t="n">
        <v>0</v>
      </c>
      <c r="I262" t="n">
        <v>0</v>
      </c>
      <c r="J262" t="n">
        <v>0</v>
      </c>
      <c r="K262" t="n">
        <v>0</v>
      </c>
      <c r="L262" t="n">
        <v>0</v>
      </c>
      <c r="M262" t="n">
        <v>0</v>
      </c>
      <c r="N262" t="n">
        <v>0</v>
      </c>
      <c r="O262" t="n">
        <v>0</v>
      </c>
      <c r="P262" t="n">
        <v>0</v>
      </c>
      <c r="Q262" t="n">
        <v>0</v>
      </c>
      <c r="R262" s="2" t="inlineStr"/>
    </row>
    <row r="263" ht="15" customHeight="1">
      <c r="A263" t="inlineStr">
        <is>
          <t>A 11004-2023</t>
        </is>
      </c>
      <c r="B263" s="1" t="n">
        <v>44986</v>
      </c>
      <c r="C263" s="1" t="n">
        <v>46038</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32688-2024</t>
        </is>
      </c>
      <c r="B264" s="1" t="n">
        <v>45515.83091435185</v>
      </c>
      <c r="C264" s="1" t="n">
        <v>46038</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25025-2023</t>
        </is>
      </c>
      <c r="B265" s="1" t="n">
        <v>45085.92146990741</v>
      </c>
      <c r="C265" s="1" t="n">
        <v>46038</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25038-2023</t>
        </is>
      </c>
      <c r="B266" s="1" t="n">
        <v>45085</v>
      </c>
      <c r="C266" s="1" t="n">
        <v>46038</v>
      </c>
      <c r="D266" t="inlineStr">
        <is>
          <t>DALARNAS LÄN</t>
        </is>
      </c>
      <c r="E266" t="inlineStr">
        <is>
          <t>LEKSAND</t>
        </is>
      </c>
      <c r="G266" t="n">
        <v>0.7</v>
      </c>
      <c r="H266" t="n">
        <v>0</v>
      </c>
      <c r="I266" t="n">
        <v>0</v>
      </c>
      <c r="J266" t="n">
        <v>0</v>
      </c>
      <c r="K266" t="n">
        <v>0</v>
      </c>
      <c r="L266" t="n">
        <v>0</v>
      </c>
      <c r="M266" t="n">
        <v>0</v>
      </c>
      <c r="N266" t="n">
        <v>0</v>
      </c>
      <c r="O266" t="n">
        <v>0</v>
      </c>
      <c r="P266" t="n">
        <v>0</v>
      </c>
      <c r="Q266" t="n">
        <v>0</v>
      </c>
      <c r="R266" s="2" t="inlineStr"/>
    </row>
    <row r="267" ht="15" customHeight="1">
      <c r="A267" t="inlineStr">
        <is>
          <t>A 46505-2023</t>
        </is>
      </c>
      <c r="B267" s="1" t="n">
        <v>45197</v>
      </c>
      <c r="C267" s="1" t="n">
        <v>46038</v>
      </c>
      <c r="D267" t="inlineStr">
        <is>
          <t>DALARNAS LÄN</t>
        </is>
      </c>
      <c r="E267" t="inlineStr">
        <is>
          <t>LEKSAND</t>
        </is>
      </c>
      <c r="G267" t="n">
        <v>2.3</v>
      </c>
      <c r="H267" t="n">
        <v>0</v>
      </c>
      <c r="I267" t="n">
        <v>0</v>
      </c>
      <c r="J267" t="n">
        <v>0</v>
      </c>
      <c r="K267" t="n">
        <v>0</v>
      </c>
      <c r="L267" t="n">
        <v>0</v>
      </c>
      <c r="M267" t="n">
        <v>0</v>
      </c>
      <c r="N267" t="n">
        <v>0</v>
      </c>
      <c r="O267" t="n">
        <v>0</v>
      </c>
      <c r="P267" t="n">
        <v>0</v>
      </c>
      <c r="Q267" t="n">
        <v>0</v>
      </c>
      <c r="R267" s="2" t="inlineStr"/>
    </row>
    <row r="268" ht="15" customHeight="1">
      <c r="A268" t="inlineStr">
        <is>
          <t>A 11092-2023</t>
        </is>
      </c>
      <c r="B268" s="1" t="n">
        <v>44992</v>
      </c>
      <c r="C268" s="1" t="n">
        <v>46038</v>
      </c>
      <c r="D268" t="inlineStr">
        <is>
          <t>DALARNAS LÄN</t>
        </is>
      </c>
      <c r="E268" t="inlineStr">
        <is>
          <t>LEKSAND</t>
        </is>
      </c>
      <c r="G268" t="n">
        <v>0.5</v>
      </c>
      <c r="H268" t="n">
        <v>0</v>
      </c>
      <c r="I268" t="n">
        <v>0</v>
      </c>
      <c r="J268" t="n">
        <v>0</v>
      </c>
      <c r="K268" t="n">
        <v>0</v>
      </c>
      <c r="L268" t="n">
        <v>0</v>
      </c>
      <c r="M268" t="n">
        <v>0</v>
      </c>
      <c r="N268" t="n">
        <v>0</v>
      </c>
      <c r="O268" t="n">
        <v>0</v>
      </c>
      <c r="P268" t="n">
        <v>0</v>
      </c>
      <c r="Q268" t="n">
        <v>0</v>
      </c>
      <c r="R268" s="2" t="inlineStr"/>
    </row>
    <row r="269" ht="15" customHeight="1">
      <c r="A269" t="inlineStr">
        <is>
          <t>A 43419-2024</t>
        </is>
      </c>
      <c r="B269" s="1" t="n">
        <v>45568</v>
      </c>
      <c r="C269" s="1" t="n">
        <v>46038</v>
      </c>
      <c r="D269" t="inlineStr">
        <is>
          <t>DALARNAS LÄN</t>
        </is>
      </c>
      <c r="E269" t="inlineStr">
        <is>
          <t>LEKSAND</t>
        </is>
      </c>
      <c r="G269" t="n">
        <v>0.4</v>
      </c>
      <c r="H269" t="n">
        <v>0</v>
      </c>
      <c r="I269" t="n">
        <v>0</v>
      </c>
      <c r="J269" t="n">
        <v>0</v>
      </c>
      <c r="K269" t="n">
        <v>0</v>
      </c>
      <c r="L269" t="n">
        <v>0</v>
      </c>
      <c r="M269" t="n">
        <v>0</v>
      </c>
      <c r="N269" t="n">
        <v>0</v>
      </c>
      <c r="O269" t="n">
        <v>0</v>
      </c>
      <c r="P269" t="n">
        <v>0</v>
      </c>
      <c r="Q269" t="n">
        <v>0</v>
      </c>
      <c r="R269" s="2" t="inlineStr"/>
    </row>
    <row r="270" ht="15" customHeight="1">
      <c r="A270" t="inlineStr">
        <is>
          <t>A 28578-2023</t>
        </is>
      </c>
      <c r="B270" s="1" t="n">
        <v>45103</v>
      </c>
      <c r="C270" s="1" t="n">
        <v>46038</v>
      </c>
      <c r="D270" t="inlineStr">
        <is>
          <t>DALARNAS LÄN</t>
        </is>
      </c>
      <c r="E270" t="inlineStr">
        <is>
          <t>LEKSAND</t>
        </is>
      </c>
      <c r="G270" t="n">
        <v>4.4</v>
      </c>
      <c r="H270" t="n">
        <v>0</v>
      </c>
      <c r="I270" t="n">
        <v>0</v>
      </c>
      <c r="J270" t="n">
        <v>0</v>
      </c>
      <c r="K270" t="n">
        <v>0</v>
      </c>
      <c r="L270" t="n">
        <v>0</v>
      </c>
      <c r="M270" t="n">
        <v>0</v>
      </c>
      <c r="N270" t="n">
        <v>0</v>
      </c>
      <c r="O270" t="n">
        <v>0</v>
      </c>
      <c r="P270" t="n">
        <v>0</v>
      </c>
      <c r="Q270" t="n">
        <v>0</v>
      </c>
      <c r="R270" s="2" t="inlineStr"/>
    </row>
    <row r="271" ht="15" customHeight="1">
      <c r="A271" t="inlineStr">
        <is>
          <t>A 58619-2022</t>
        </is>
      </c>
      <c r="B271" s="1" t="n">
        <v>44902.59579861111</v>
      </c>
      <c r="C271" s="1" t="n">
        <v>46038</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19371-2024</t>
        </is>
      </c>
      <c r="B272" s="1" t="n">
        <v>45429.34969907408</v>
      </c>
      <c r="C272" s="1" t="n">
        <v>46038</v>
      </c>
      <c r="D272" t="inlineStr">
        <is>
          <t>DALARNAS LÄN</t>
        </is>
      </c>
      <c r="E272" t="inlineStr">
        <is>
          <t>LEKSAND</t>
        </is>
      </c>
      <c r="G272" t="n">
        <v>0.6</v>
      </c>
      <c r="H272" t="n">
        <v>0</v>
      </c>
      <c r="I272" t="n">
        <v>0</v>
      </c>
      <c r="J272" t="n">
        <v>0</v>
      </c>
      <c r="K272" t="n">
        <v>0</v>
      </c>
      <c r="L272" t="n">
        <v>0</v>
      </c>
      <c r="M272" t="n">
        <v>0</v>
      </c>
      <c r="N272" t="n">
        <v>0</v>
      </c>
      <c r="O272" t="n">
        <v>0</v>
      </c>
      <c r="P272" t="n">
        <v>0</v>
      </c>
      <c r="Q272" t="n">
        <v>0</v>
      </c>
      <c r="R272" s="2" t="inlineStr"/>
    </row>
    <row r="273" ht="15" customHeight="1">
      <c r="A273" t="inlineStr">
        <is>
          <t>A 54911-2024</t>
        </is>
      </c>
      <c r="B273" s="1" t="n">
        <v>45618.68929398148</v>
      </c>
      <c r="C273" s="1" t="n">
        <v>46038</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47854-2023</t>
        </is>
      </c>
      <c r="B274" s="1" t="n">
        <v>45198</v>
      </c>
      <c r="C274" s="1" t="n">
        <v>46038</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40193-2024</t>
        </is>
      </c>
      <c r="B275" s="1" t="n">
        <v>45554.5734375</v>
      </c>
      <c r="C275" s="1" t="n">
        <v>46038</v>
      </c>
      <c r="D275" t="inlineStr">
        <is>
          <t>DALARNAS LÄN</t>
        </is>
      </c>
      <c r="E275" t="inlineStr">
        <is>
          <t>LEKSAND</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39558-2023</t>
        </is>
      </c>
      <c r="B276" s="1" t="n">
        <v>45167.38664351852</v>
      </c>
      <c r="C276" s="1" t="n">
        <v>46038</v>
      </c>
      <c r="D276" t="inlineStr">
        <is>
          <t>DALARNAS LÄN</t>
        </is>
      </c>
      <c r="E276" t="inlineStr">
        <is>
          <t>LEKSAND</t>
        </is>
      </c>
      <c r="G276" t="n">
        <v>39.9</v>
      </c>
      <c r="H276" t="n">
        <v>0</v>
      </c>
      <c r="I276" t="n">
        <v>0</v>
      </c>
      <c r="J276" t="n">
        <v>0</v>
      </c>
      <c r="K276" t="n">
        <v>0</v>
      </c>
      <c r="L276" t="n">
        <v>0</v>
      </c>
      <c r="M276" t="n">
        <v>0</v>
      </c>
      <c r="N276" t="n">
        <v>0</v>
      </c>
      <c r="O276" t="n">
        <v>0</v>
      </c>
      <c r="P276" t="n">
        <v>0</v>
      </c>
      <c r="Q276" t="n">
        <v>0</v>
      </c>
      <c r="R276" s="2" t="inlineStr"/>
    </row>
    <row r="277" ht="15" customHeight="1">
      <c r="A277" t="inlineStr">
        <is>
          <t>A 28633-2023</t>
        </is>
      </c>
      <c r="B277" s="1" t="n">
        <v>45103.61575231481</v>
      </c>
      <c r="C277" s="1" t="n">
        <v>46038</v>
      </c>
      <c r="D277" t="inlineStr">
        <is>
          <t>DALARNAS LÄN</t>
        </is>
      </c>
      <c r="E277" t="inlineStr">
        <is>
          <t>LEKSAND</t>
        </is>
      </c>
      <c r="F277" t="inlineStr">
        <is>
          <t>Bergvik skog väst AB</t>
        </is>
      </c>
      <c r="G277" t="n">
        <v>0.5</v>
      </c>
      <c r="H277" t="n">
        <v>0</v>
      </c>
      <c r="I277" t="n">
        <v>0</v>
      </c>
      <c r="J277" t="n">
        <v>0</v>
      </c>
      <c r="K277" t="n">
        <v>0</v>
      </c>
      <c r="L277" t="n">
        <v>0</v>
      </c>
      <c r="M277" t="n">
        <v>0</v>
      </c>
      <c r="N277" t="n">
        <v>0</v>
      </c>
      <c r="O277" t="n">
        <v>0</v>
      </c>
      <c r="P277" t="n">
        <v>0</v>
      </c>
      <c r="Q277" t="n">
        <v>0</v>
      </c>
      <c r="R277" s="2" t="inlineStr"/>
    </row>
    <row r="278" ht="15" customHeight="1">
      <c r="A278" t="inlineStr">
        <is>
          <t>A 9138-2023</t>
        </is>
      </c>
      <c r="B278" s="1" t="n">
        <v>44974</v>
      </c>
      <c r="C278" s="1" t="n">
        <v>46038</v>
      </c>
      <c r="D278" t="inlineStr">
        <is>
          <t>DALARNAS LÄN</t>
        </is>
      </c>
      <c r="E278" t="inlineStr">
        <is>
          <t>LEKSAND</t>
        </is>
      </c>
      <c r="G278" t="n">
        <v>4.6</v>
      </c>
      <c r="H278" t="n">
        <v>0</v>
      </c>
      <c r="I278" t="n">
        <v>0</v>
      </c>
      <c r="J278" t="n">
        <v>0</v>
      </c>
      <c r="K278" t="n">
        <v>0</v>
      </c>
      <c r="L278" t="n">
        <v>0</v>
      </c>
      <c r="M278" t="n">
        <v>0</v>
      </c>
      <c r="N278" t="n">
        <v>0</v>
      </c>
      <c r="O278" t="n">
        <v>0</v>
      </c>
      <c r="P278" t="n">
        <v>0</v>
      </c>
      <c r="Q278" t="n">
        <v>0</v>
      </c>
      <c r="R278" s="2" t="inlineStr"/>
    </row>
    <row r="279" ht="15" customHeight="1">
      <c r="A279" t="inlineStr">
        <is>
          <t>A 9141-2023</t>
        </is>
      </c>
      <c r="B279" s="1" t="n">
        <v>44974</v>
      </c>
      <c r="C279" s="1" t="n">
        <v>46038</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8045-2024</t>
        </is>
      </c>
      <c r="B280" s="1" t="n">
        <v>45351.31371527778</v>
      </c>
      <c r="C280" s="1" t="n">
        <v>46038</v>
      </c>
      <c r="D280" t="inlineStr">
        <is>
          <t>DALARNAS LÄN</t>
        </is>
      </c>
      <c r="E280" t="inlineStr">
        <is>
          <t>LEKSAND</t>
        </is>
      </c>
      <c r="G280" t="n">
        <v>6.7</v>
      </c>
      <c r="H280" t="n">
        <v>0</v>
      </c>
      <c r="I280" t="n">
        <v>0</v>
      </c>
      <c r="J280" t="n">
        <v>0</v>
      </c>
      <c r="K280" t="n">
        <v>0</v>
      </c>
      <c r="L280" t="n">
        <v>0</v>
      </c>
      <c r="M280" t="n">
        <v>0</v>
      </c>
      <c r="N280" t="n">
        <v>0</v>
      </c>
      <c r="O280" t="n">
        <v>0</v>
      </c>
      <c r="P280" t="n">
        <v>0</v>
      </c>
      <c r="Q280" t="n">
        <v>0</v>
      </c>
      <c r="R280" s="2" t="inlineStr"/>
    </row>
    <row r="281" ht="15" customHeight="1">
      <c r="A281" t="inlineStr">
        <is>
          <t>A 2630-2025</t>
        </is>
      </c>
      <c r="B281" s="1" t="n">
        <v>45675.85865740741</v>
      </c>
      <c r="C281" s="1" t="n">
        <v>46038</v>
      </c>
      <c r="D281" t="inlineStr">
        <is>
          <t>DALARNAS LÄN</t>
        </is>
      </c>
      <c r="E281" t="inlineStr">
        <is>
          <t>LEKSAND</t>
        </is>
      </c>
      <c r="G281" t="n">
        <v>1.6</v>
      </c>
      <c r="H281" t="n">
        <v>0</v>
      </c>
      <c r="I281" t="n">
        <v>0</v>
      </c>
      <c r="J281" t="n">
        <v>0</v>
      </c>
      <c r="K281" t="n">
        <v>0</v>
      </c>
      <c r="L281" t="n">
        <v>0</v>
      </c>
      <c r="M281" t="n">
        <v>0</v>
      </c>
      <c r="N281" t="n">
        <v>0</v>
      </c>
      <c r="O281" t="n">
        <v>0</v>
      </c>
      <c r="P281" t="n">
        <v>0</v>
      </c>
      <c r="Q281" t="n">
        <v>0</v>
      </c>
      <c r="R281" s="2" t="inlineStr"/>
    </row>
    <row r="282" ht="15" customHeight="1">
      <c r="A282" t="inlineStr">
        <is>
          <t>A 33001-2023</t>
        </is>
      </c>
      <c r="B282" s="1" t="n">
        <v>45125</v>
      </c>
      <c r="C282" s="1" t="n">
        <v>46038</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15986-2025</t>
        </is>
      </c>
      <c r="B283" s="1" t="n">
        <v>45749.57331018519</v>
      </c>
      <c r="C283" s="1" t="n">
        <v>46038</v>
      </c>
      <c r="D283" t="inlineStr">
        <is>
          <t>DALARNAS LÄN</t>
        </is>
      </c>
      <c r="E283" t="inlineStr">
        <is>
          <t>LEKSAND</t>
        </is>
      </c>
      <c r="G283" t="n">
        <v>2.7</v>
      </c>
      <c r="H283" t="n">
        <v>0</v>
      </c>
      <c r="I283" t="n">
        <v>0</v>
      </c>
      <c r="J283" t="n">
        <v>0</v>
      </c>
      <c r="K283" t="n">
        <v>0</v>
      </c>
      <c r="L283" t="n">
        <v>0</v>
      </c>
      <c r="M283" t="n">
        <v>0</v>
      </c>
      <c r="N283" t="n">
        <v>0</v>
      </c>
      <c r="O283" t="n">
        <v>0</v>
      </c>
      <c r="P283" t="n">
        <v>0</v>
      </c>
      <c r="Q283" t="n">
        <v>0</v>
      </c>
      <c r="R283" s="2" t="inlineStr"/>
    </row>
    <row r="284" ht="15" customHeight="1">
      <c r="A284" t="inlineStr">
        <is>
          <t>A 1946-2024</t>
        </is>
      </c>
      <c r="B284" s="1" t="n">
        <v>45308</v>
      </c>
      <c r="C284" s="1" t="n">
        <v>46038</v>
      </c>
      <c r="D284" t="inlineStr">
        <is>
          <t>DALARNAS LÄN</t>
        </is>
      </c>
      <c r="E284" t="inlineStr">
        <is>
          <t>LEKSAND</t>
        </is>
      </c>
      <c r="G284" t="n">
        <v>2.3</v>
      </c>
      <c r="H284" t="n">
        <v>0</v>
      </c>
      <c r="I284" t="n">
        <v>0</v>
      </c>
      <c r="J284" t="n">
        <v>0</v>
      </c>
      <c r="K284" t="n">
        <v>0</v>
      </c>
      <c r="L284" t="n">
        <v>0</v>
      </c>
      <c r="M284" t="n">
        <v>0</v>
      </c>
      <c r="N284" t="n">
        <v>0</v>
      </c>
      <c r="O284" t="n">
        <v>0</v>
      </c>
      <c r="P284" t="n">
        <v>0</v>
      </c>
      <c r="Q284" t="n">
        <v>0</v>
      </c>
      <c r="R284" s="2" t="inlineStr"/>
    </row>
    <row r="285" ht="15" customHeight="1">
      <c r="A285" t="inlineStr">
        <is>
          <t>A 11678-2025</t>
        </is>
      </c>
      <c r="B285" s="1" t="n">
        <v>45726</v>
      </c>
      <c r="C285" s="1" t="n">
        <v>46038</v>
      </c>
      <c r="D285" t="inlineStr">
        <is>
          <t>DALARNAS LÄN</t>
        </is>
      </c>
      <c r="E285" t="inlineStr">
        <is>
          <t>LEKSAND</t>
        </is>
      </c>
      <c r="G285" t="n">
        <v>9.4</v>
      </c>
      <c r="H285" t="n">
        <v>0</v>
      </c>
      <c r="I285" t="n">
        <v>0</v>
      </c>
      <c r="J285" t="n">
        <v>0</v>
      </c>
      <c r="K285" t="n">
        <v>0</v>
      </c>
      <c r="L285" t="n">
        <v>0</v>
      </c>
      <c r="M285" t="n">
        <v>0</v>
      </c>
      <c r="N285" t="n">
        <v>0</v>
      </c>
      <c r="O285" t="n">
        <v>0</v>
      </c>
      <c r="P285" t="n">
        <v>0</v>
      </c>
      <c r="Q285" t="n">
        <v>0</v>
      </c>
      <c r="R285" s="2" t="inlineStr"/>
    </row>
    <row r="286" ht="15" customHeight="1">
      <c r="A286" t="inlineStr">
        <is>
          <t>A 38498-2025</t>
        </is>
      </c>
      <c r="B286" s="1" t="n">
        <v>45884.3706712963</v>
      </c>
      <c r="C286" s="1" t="n">
        <v>46038</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9459-2023</t>
        </is>
      </c>
      <c r="B287" s="1" t="n">
        <v>44977</v>
      </c>
      <c r="C287" s="1" t="n">
        <v>46038</v>
      </c>
      <c r="D287" t="inlineStr">
        <is>
          <t>DALARNAS LÄN</t>
        </is>
      </c>
      <c r="E287" t="inlineStr">
        <is>
          <t>LEKSAND</t>
        </is>
      </c>
      <c r="G287" t="n">
        <v>1.1</v>
      </c>
      <c r="H287" t="n">
        <v>0</v>
      </c>
      <c r="I287" t="n">
        <v>0</v>
      </c>
      <c r="J287" t="n">
        <v>0</v>
      </c>
      <c r="K287" t="n">
        <v>0</v>
      </c>
      <c r="L287" t="n">
        <v>0</v>
      </c>
      <c r="M287" t="n">
        <v>0</v>
      </c>
      <c r="N287" t="n">
        <v>0</v>
      </c>
      <c r="O287" t="n">
        <v>0</v>
      </c>
      <c r="P287" t="n">
        <v>0</v>
      </c>
      <c r="Q287" t="n">
        <v>0</v>
      </c>
      <c r="R287" s="2" t="inlineStr"/>
    </row>
    <row r="288" ht="15" customHeight="1">
      <c r="A288" t="inlineStr">
        <is>
          <t>A 32394-2024</t>
        </is>
      </c>
      <c r="B288" s="1" t="n">
        <v>45512.64349537037</v>
      </c>
      <c r="C288" s="1" t="n">
        <v>46038</v>
      </c>
      <c r="D288" t="inlineStr">
        <is>
          <t>DALARNAS LÄN</t>
        </is>
      </c>
      <c r="E288" t="inlineStr">
        <is>
          <t>LEKSAND</t>
        </is>
      </c>
      <c r="F288" t="inlineStr">
        <is>
          <t>Bergvik skog väst AB</t>
        </is>
      </c>
      <c r="G288" t="n">
        <v>6</v>
      </c>
      <c r="H288" t="n">
        <v>0</v>
      </c>
      <c r="I288" t="n">
        <v>0</v>
      </c>
      <c r="J288" t="n">
        <v>0</v>
      </c>
      <c r="K288" t="n">
        <v>0</v>
      </c>
      <c r="L288" t="n">
        <v>0</v>
      </c>
      <c r="M288" t="n">
        <v>0</v>
      </c>
      <c r="N288" t="n">
        <v>0</v>
      </c>
      <c r="O288" t="n">
        <v>0</v>
      </c>
      <c r="P288" t="n">
        <v>0</v>
      </c>
      <c r="Q288" t="n">
        <v>0</v>
      </c>
      <c r="R288" s="2" t="inlineStr"/>
    </row>
    <row r="289" ht="15" customHeight="1">
      <c r="A289" t="inlineStr">
        <is>
          <t>A 62161-2024</t>
        </is>
      </c>
      <c r="B289" s="1" t="n">
        <v>45656.86009259259</v>
      </c>
      <c r="C289" s="1" t="n">
        <v>46038</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30198-2024</t>
        </is>
      </c>
      <c r="B290" s="1" t="n">
        <v>45490.34765046297</v>
      </c>
      <c r="C290" s="1" t="n">
        <v>46038</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59718-2023</t>
        </is>
      </c>
      <c r="B291" s="1" t="n">
        <v>45257</v>
      </c>
      <c r="C291" s="1" t="n">
        <v>46038</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11015-2022</t>
        </is>
      </c>
      <c r="B292" s="1" t="n">
        <v>44628.52340277778</v>
      </c>
      <c r="C292" s="1" t="n">
        <v>46038</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7395-2025</t>
        </is>
      </c>
      <c r="B293" s="1" t="n">
        <v>45705.34516203704</v>
      </c>
      <c r="C293" s="1" t="n">
        <v>46038</v>
      </c>
      <c r="D293" t="inlineStr">
        <is>
          <t>DALARNAS LÄN</t>
        </is>
      </c>
      <c r="E293" t="inlineStr">
        <is>
          <t>LEKSAND</t>
        </is>
      </c>
      <c r="G293" t="n">
        <v>1.8</v>
      </c>
      <c r="H293" t="n">
        <v>0</v>
      </c>
      <c r="I293" t="n">
        <v>0</v>
      </c>
      <c r="J293" t="n">
        <v>0</v>
      </c>
      <c r="K293" t="n">
        <v>0</v>
      </c>
      <c r="L293" t="n">
        <v>0</v>
      </c>
      <c r="M293" t="n">
        <v>0</v>
      </c>
      <c r="N293" t="n">
        <v>0</v>
      </c>
      <c r="O293" t="n">
        <v>0</v>
      </c>
      <c r="P293" t="n">
        <v>0</v>
      </c>
      <c r="Q293" t="n">
        <v>0</v>
      </c>
      <c r="R293" s="2" t="inlineStr"/>
    </row>
    <row r="294" ht="15" customHeight="1">
      <c r="A294" t="inlineStr">
        <is>
          <t>A 16744-2025</t>
        </is>
      </c>
      <c r="B294" s="1" t="n">
        <v>45754</v>
      </c>
      <c r="C294" s="1" t="n">
        <v>46038</v>
      </c>
      <c r="D294" t="inlineStr">
        <is>
          <t>DALARNAS LÄN</t>
        </is>
      </c>
      <c r="E294" t="inlineStr">
        <is>
          <t>LEKSAND</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40752-2024</t>
        </is>
      </c>
      <c r="B295" s="1" t="n">
        <v>45558.45638888889</v>
      </c>
      <c r="C295" s="1" t="n">
        <v>46038</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1983-2025</t>
        </is>
      </c>
      <c r="B296" s="1" t="n">
        <v>45670</v>
      </c>
      <c r="C296" s="1" t="n">
        <v>46038</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15882-2023</t>
        </is>
      </c>
      <c r="B297" s="1" t="n">
        <v>45022</v>
      </c>
      <c r="C297" s="1" t="n">
        <v>46038</v>
      </c>
      <c r="D297" t="inlineStr">
        <is>
          <t>DALARNAS LÄN</t>
        </is>
      </c>
      <c r="E297" t="inlineStr">
        <is>
          <t>LEKSAND</t>
        </is>
      </c>
      <c r="G297" t="n">
        <v>0.1</v>
      </c>
      <c r="H297" t="n">
        <v>0</v>
      </c>
      <c r="I297" t="n">
        <v>0</v>
      </c>
      <c r="J297" t="n">
        <v>0</v>
      </c>
      <c r="K297" t="n">
        <v>0</v>
      </c>
      <c r="L297" t="n">
        <v>0</v>
      </c>
      <c r="M297" t="n">
        <v>0</v>
      </c>
      <c r="N297" t="n">
        <v>0</v>
      </c>
      <c r="O297" t="n">
        <v>0</v>
      </c>
      <c r="P297" t="n">
        <v>0</v>
      </c>
      <c r="Q297" t="n">
        <v>0</v>
      </c>
      <c r="R297" s="2" t="inlineStr"/>
    </row>
    <row r="298" ht="15" customHeight="1">
      <c r="A298" t="inlineStr">
        <is>
          <t>A 11859-2024</t>
        </is>
      </c>
      <c r="B298" s="1" t="n">
        <v>45376.44569444445</v>
      </c>
      <c r="C298" s="1" t="n">
        <v>46038</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59840-2024</t>
        </is>
      </c>
      <c r="B299" s="1" t="n">
        <v>45638</v>
      </c>
      <c r="C299" s="1" t="n">
        <v>46038</v>
      </c>
      <c r="D299" t="inlineStr">
        <is>
          <t>DALARNAS LÄN</t>
        </is>
      </c>
      <c r="E299" t="inlineStr">
        <is>
          <t>LEKSAND</t>
        </is>
      </c>
      <c r="G299" t="n">
        <v>0.6</v>
      </c>
      <c r="H299" t="n">
        <v>0</v>
      </c>
      <c r="I299" t="n">
        <v>0</v>
      </c>
      <c r="J299" t="n">
        <v>0</v>
      </c>
      <c r="K299" t="n">
        <v>0</v>
      </c>
      <c r="L299" t="n">
        <v>0</v>
      </c>
      <c r="M299" t="n">
        <v>0</v>
      </c>
      <c r="N299" t="n">
        <v>0</v>
      </c>
      <c r="O299" t="n">
        <v>0</v>
      </c>
      <c r="P299" t="n">
        <v>0</v>
      </c>
      <c r="Q299" t="n">
        <v>0</v>
      </c>
      <c r="R299" s="2" t="inlineStr"/>
    </row>
    <row r="300" ht="15" customHeight="1">
      <c r="A300" t="inlineStr">
        <is>
          <t>A 5583-2024</t>
        </is>
      </c>
      <c r="B300" s="1" t="n">
        <v>45334</v>
      </c>
      <c r="C300" s="1" t="n">
        <v>46038</v>
      </c>
      <c r="D300" t="inlineStr">
        <is>
          <t>DALARNAS LÄN</t>
        </is>
      </c>
      <c r="E300" t="inlineStr">
        <is>
          <t>LEKSAND</t>
        </is>
      </c>
      <c r="F300" t="inlineStr">
        <is>
          <t>Kyrkan</t>
        </is>
      </c>
      <c r="G300" t="n">
        <v>0.4</v>
      </c>
      <c r="H300" t="n">
        <v>0</v>
      </c>
      <c r="I300" t="n">
        <v>0</v>
      </c>
      <c r="J300" t="n">
        <v>0</v>
      </c>
      <c r="K300" t="n">
        <v>0</v>
      </c>
      <c r="L300" t="n">
        <v>0</v>
      </c>
      <c r="M300" t="n">
        <v>0</v>
      </c>
      <c r="N300" t="n">
        <v>0</v>
      </c>
      <c r="O300" t="n">
        <v>0</v>
      </c>
      <c r="P300" t="n">
        <v>0</v>
      </c>
      <c r="Q300" t="n">
        <v>0</v>
      </c>
      <c r="R300" s="2" t="inlineStr"/>
    </row>
    <row r="301" ht="15" customHeight="1">
      <c r="A301" t="inlineStr">
        <is>
          <t>A 56950-2024</t>
        </is>
      </c>
      <c r="B301" s="1" t="n">
        <v>45625</v>
      </c>
      <c r="C301" s="1" t="n">
        <v>46038</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33566-2023</t>
        </is>
      </c>
      <c r="B302" s="1" t="n">
        <v>45131.64390046296</v>
      </c>
      <c r="C302" s="1" t="n">
        <v>46038</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15120-2023</t>
        </is>
      </c>
      <c r="B303" s="1" t="n">
        <v>45016.46484953703</v>
      </c>
      <c r="C303" s="1" t="n">
        <v>46038</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30611-2023</t>
        </is>
      </c>
      <c r="B304" s="1" t="n">
        <v>45112</v>
      </c>
      <c r="C304" s="1" t="n">
        <v>46038</v>
      </c>
      <c r="D304" t="inlineStr">
        <is>
          <t>DALARNAS LÄN</t>
        </is>
      </c>
      <c r="E304" t="inlineStr">
        <is>
          <t>LEKSAND</t>
        </is>
      </c>
      <c r="G304" t="n">
        <v>3.1</v>
      </c>
      <c r="H304" t="n">
        <v>0</v>
      </c>
      <c r="I304" t="n">
        <v>0</v>
      </c>
      <c r="J304" t="n">
        <v>0</v>
      </c>
      <c r="K304" t="n">
        <v>0</v>
      </c>
      <c r="L304" t="n">
        <v>0</v>
      </c>
      <c r="M304" t="n">
        <v>0</v>
      </c>
      <c r="N304" t="n">
        <v>0</v>
      </c>
      <c r="O304" t="n">
        <v>0</v>
      </c>
      <c r="P304" t="n">
        <v>0</v>
      </c>
      <c r="Q304" t="n">
        <v>0</v>
      </c>
      <c r="R304" s="2" t="inlineStr"/>
    </row>
    <row r="305" ht="15" customHeight="1">
      <c r="A305" t="inlineStr">
        <is>
          <t>A 43693-2022</t>
        </is>
      </c>
      <c r="B305" s="1" t="n">
        <v>44837.6369212963</v>
      </c>
      <c r="C305" s="1" t="n">
        <v>46038</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7897-2025</t>
        </is>
      </c>
      <c r="B306" s="1" t="n">
        <v>45707.30969907407</v>
      </c>
      <c r="C306" s="1" t="n">
        <v>46038</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38721-2025</t>
        </is>
      </c>
      <c r="B307" s="1" t="n">
        <v>45886.83605324074</v>
      </c>
      <c r="C307" s="1" t="n">
        <v>46038</v>
      </c>
      <c r="D307" t="inlineStr">
        <is>
          <t>DALARNAS LÄN</t>
        </is>
      </c>
      <c r="E307" t="inlineStr">
        <is>
          <t>LEKSAND</t>
        </is>
      </c>
      <c r="G307" t="n">
        <v>1.3</v>
      </c>
      <c r="H307" t="n">
        <v>0</v>
      </c>
      <c r="I307" t="n">
        <v>0</v>
      </c>
      <c r="J307" t="n">
        <v>0</v>
      </c>
      <c r="K307" t="n">
        <v>0</v>
      </c>
      <c r="L307" t="n">
        <v>0</v>
      </c>
      <c r="M307" t="n">
        <v>0</v>
      </c>
      <c r="N307" t="n">
        <v>0</v>
      </c>
      <c r="O307" t="n">
        <v>0</v>
      </c>
      <c r="P307" t="n">
        <v>0</v>
      </c>
      <c r="Q307" t="n">
        <v>0</v>
      </c>
      <c r="R307" s="2" t="inlineStr"/>
    </row>
    <row r="308" ht="15" customHeight="1">
      <c r="A308" t="inlineStr">
        <is>
          <t>A 51320-2023</t>
        </is>
      </c>
      <c r="B308" s="1" t="n">
        <v>45219.57456018519</v>
      </c>
      <c r="C308" s="1" t="n">
        <v>46038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47640-2024</t>
        </is>
      </c>
      <c r="B309" s="1" t="n">
        <v>45588.36508101852</v>
      </c>
      <c r="C309" s="1" t="n">
        <v>46038</v>
      </c>
      <c r="D309" t="inlineStr">
        <is>
          <t>DALARNAS LÄN</t>
        </is>
      </c>
      <c r="E309" t="inlineStr">
        <is>
          <t>LEKSAND</t>
        </is>
      </c>
      <c r="G309" t="n">
        <v>9.1</v>
      </c>
      <c r="H309" t="n">
        <v>0</v>
      </c>
      <c r="I309" t="n">
        <v>0</v>
      </c>
      <c r="J309" t="n">
        <v>0</v>
      </c>
      <c r="K309" t="n">
        <v>0</v>
      </c>
      <c r="L309" t="n">
        <v>0</v>
      </c>
      <c r="M309" t="n">
        <v>0</v>
      </c>
      <c r="N309" t="n">
        <v>0</v>
      </c>
      <c r="O309" t="n">
        <v>0</v>
      </c>
      <c r="P309" t="n">
        <v>0</v>
      </c>
      <c r="Q309" t="n">
        <v>0</v>
      </c>
      <c r="R309" s="2" t="inlineStr"/>
    </row>
    <row r="310" ht="15" customHeight="1">
      <c r="A310" t="inlineStr">
        <is>
          <t>A 5453-2025</t>
        </is>
      </c>
      <c r="B310" s="1" t="n">
        <v>45692.95231481481</v>
      </c>
      <c r="C310" s="1" t="n">
        <v>46038</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3352-2024</t>
        </is>
      </c>
      <c r="B311" s="1" t="n">
        <v>45317</v>
      </c>
      <c r="C311" s="1" t="n">
        <v>46038</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52755-2024</t>
        </is>
      </c>
      <c r="B312" s="1" t="n">
        <v>45610.50217592593</v>
      </c>
      <c r="C312" s="1" t="n">
        <v>46038</v>
      </c>
      <c r="D312" t="inlineStr">
        <is>
          <t>DALARNAS LÄN</t>
        </is>
      </c>
      <c r="E312" t="inlineStr">
        <is>
          <t>LEKSAND</t>
        </is>
      </c>
      <c r="G312" t="n">
        <v>1.3</v>
      </c>
      <c r="H312" t="n">
        <v>0</v>
      </c>
      <c r="I312" t="n">
        <v>0</v>
      </c>
      <c r="J312" t="n">
        <v>0</v>
      </c>
      <c r="K312" t="n">
        <v>0</v>
      </c>
      <c r="L312" t="n">
        <v>0</v>
      </c>
      <c r="M312" t="n">
        <v>0</v>
      </c>
      <c r="N312" t="n">
        <v>0</v>
      </c>
      <c r="O312" t="n">
        <v>0</v>
      </c>
      <c r="P312" t="n">
        <v>0</v>
      </c>
      <c r="Q312" t="n">
        <v>0</v>
      </c>
      <c r="R312" s="2" t="inlineStr"/>
    </row>
    <row r="313" ht="15" customHeight="1">
      <c r="A313" t="inlineStr">
        <is>
          <t>A 28630-2023</t>
        </is>
      </c>
      <c r="B313" s="1" t="n">
        <v>45103.61003472222</v>
      </c>
      <c r="C313" s="1" t="n">
        <v>46038</v>
      </c>
      <c r="D313" t="inlineStr">
        <is>
          <t>DALARNAS LÄN</t>
        </is>
      </c>
      <c r="E313" t="inlineStr">
        <is>
          <t>LEKSAND</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13165-2023</t>
        </is>
      </c>
      <c r="B314" s="1" t="n">
        <v>45002.57731481481</v>
      </c>
      <c r="C314" s="1" t="n">
        <v>46038</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12621-2025</t>
        </is>
      </c>
      <c r="B315" s="1" t="n">
        <v>45733.3575</v>
      </c>
      <c r="C315" s="1" t="n">
        <v>46038</v>
      </c>
      <c r="D315" t="inlineStr">
        <is>
          <t>DALARNAS LÄN</t>
        </is>
      </c>
      <c r="E315" t="inlineStr">
        <is>
          <t>LEKSAND</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39620-2024</t>
        </is>
      </c>
      <c r="B316" s="1" t="n">
        <v>45552.43163194445</v>
      </c>
      <c r="C316" s="1" t="n">
        <v>46038</v>
      </c>
      <c r="D316" t="inlineStr">
        <is>
          <t>DALARNAS LÄN</t>
        </is>
      </c>
      <c r="E316" t="inlineStr">
        <is>
          <t>LEKSAND</t>
        </is>
      </c>
      <c r="G316" t="n">
        <v>2.3</v>
      </c>
      <c r="H316" t="n">
        <v>0</v>
      </c>
      <c r="I316" t="n">
        <v>0</v>
      </c>
      <c r="J316" t="n">
        <v>0</v>
      </c>
      <c r="K316" t="n">
        <v>0</v>
      </c>
      <c r="L316" t="n">
        <v>0</v>
      </c>
      <c r="M316" t="n">
        <v>0</v>
      </c>
      <c r="N316" t="n">
        <v>0</v>
      </c>
      <c r="O316" t="n">
        <v>0</v>
      </c>
      <c r="P316" t="n">
        <v>0</v>
      </c>
      <c r="Q316" t="n">
        <v>0</v>
      </c>
      <c r="R316" s="2" t="inlineStr"/>
    </row>
    <row r="317" ht="15" customHeight="1">
      <c r="A317" t="inlineStr">
        <is>
          <t>A 30860-2024</t>
        </is>
      </c>
      <c r="B317" s="1" t="n">
        <v>45497.69108796296</v>
      </c>
      <c r="C317" s="1" t="n">
        <v>46038</v>
      </c>
      <c r="D317" t="inlineStr">
        <is>
          <t>DALARNAS LÄN</t>
        </is>
      </c>
      <c r="E317" t="inlineStr">
        <is>
          <t>LEKSAND</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30864-2024</t>
        </is>
      </c>
      <c r="B318" s="1" t="n">
        <v>45497.71550925926</v>
      </c>
      <c r="C318" s="1" t="n">
        <v>46038</v>
      </c>
      <c r="D318" t="inlineStr">
        <is>
          <t>DALARNAS LÄN</t>
        </is>
      </c>
      <c r="E318" t="inlineStr">
        <is>
          <t>LEKSAND</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30204-2024</t>
        </is>
      </c>
      <c r="B319" s="1" t="n">
        <v>45490.35402777778</v>
      </c>
      <c r="C319" s="1" t="n">
        <v>46038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6050-2023</t>
        </is>
      </c>
      <c r="B320" s="1" t="n">
        <v>44959</v>
      </c>
      <c r="C320" s="1" t="n">
        <v>46038</v>
      </c>
      <c r="D320" t="inlineStr">
        <is>
          <t>DALARNAS LÄN</t>
        </is>
      </c>
      <c r="E320" t="inlineStr">
        <is>
          <t>LEKSAND</t>
        </is>
      </c>
      <c r="G320" t="n">
        <v>6.2</v>
      </c>
      <c r="H320" t="n">
        <v>0</v>
      </c>
      <c r="I320" t="n">
        <v>0</v>
      </c>
      <c r="J320" t="n">
        <v>0</v>
      </c>
      <c r="K320" t="n">
        <v>0</v>
      </c>
      <c r="L320" t="n">
        <v>0</v>
      </c>
      <c r="M320" t="n">
        <v>0</v>
      </c>
      <c r="N320" t="n">
        <v>0</v>
      </c>
      <c r="O320" t="n">
        <v>0</v>
      </c>
      <c r="P320" t="n">
        <v>0</v>
      </c>
      <c r="Q320" t="n">
        <v>0</v>
      </c>
      <c r="R320" s="2" t="inlineStr"/>
    </row>
    <row r="321" ht="15" customHeight="1">
      <c r="A321" t="inlineStr">
        <is>
          <t>A 17730-2024</t>
        </is>
      </c>
      <c r="B321" s="1" t="n">
        <v>45418</v>
      </c>
      <c r="C321" s="1" t="n">
        <v>46038</v>
      </c>
      <c r="D321" t="inlineStr">
        <is>
          <t>DALARNAS LÄN</t>
        </is>
      </c>
      <c r="E321" t="inlineStr">
        <is>
          <t>LEKSAND</t>
        </is>
      </c>
      <c r="G321" t="n">
        <v>2.4</v>
      </c>
      <c r="H321" t="n">
        <v>0</v>
      </c>
      <c r="I321" t="n">
        <v>0</v>
      </c>
      <c r="J321" t="n">
        <v>0</v>
      </c>
      <c r="K321" t="n">
        <v>0</v>
      </c>
      <c r="L321" t="n">
        <v>0</v>
      </c>
      <c r="M321" t="n">
        <v>0</v>
      </c>
      <c r="N321" t="n">
        <v>0</v>
      </c>
      <c r="O321" t="n">
        <v>0</v>
      </c>
      <c r="P321" t="n">
        <v>0</v>
      </c>
      <c r="Q321" t="n">
        <v>0</v>
      </c>
      <c r="R321" s="2" t="inlineStr"/>
    </row>
    <row r="322" ht="15" customHeight="1">
      <c r="A322" t="inlineStr">
        <is>
          <t>A 10299-2024</t>
        </is>
      </c>
      <c r="B322" s="1" t="n">
        <v>45365.50425925926</v>
      </c>
      <c r="C322" s="1" t="n">
        <v>46038</v>
      </c>
      <c r="D322" t="inlineStr">
        <is>
          <t>DALARNAS LÄN</t>
        </is>
      </c>
      <c r="E322" t="inlineStr">
        <is>
          <t>LEKSAND</t>
        </is>
      </c>
      <c r="G322" t="n">
        <v>3.6</v>
      </c>
      <c r="H322" t="n">
        <v>0</v>
      </c>
      <c r="I322" t="n">
        <v>0</v>
      </c>
      <c r="J322" t="n">
        <v>0</v>
      </c>
      <c r="K322" t="n">
        <v>0</v>
      </c>
      <c r="L322" t="n">
        <v>0</v>
      </c>
      <c r="M322" t="n">
        <v>0</v>
      </c>
      <c r="N322" t="n">
        <v>0</v>
      </c>
      <c r="O322" t="n">
        <v>0</v>
      </c>
      <c r="P322" t="n">
        <v>0</v>
      </c>
      <c r="Q322" t="n">
        <v>0</v>
      </c>
      <c r="R322" s="2" t="inlineStr"/>
    </row>
    <row r="323" ht="15" customHeight="1">
      <c r="A323" t="inlineStr">
        <is>
          <t>A 16135-2023</t>
        </is>
      </c>
      <c r="B323" s="1" t="n">
        <v>45027.63717592593</v>
      </c>
      <c r="C323" s="1" t="n">
        <v>46038</v>
      </c>
      <c r="D323" t="inlineStr">
        <is>
          <t>DALARNAS LÄN</t>
        </is>
      </c>
      <c r="E323" t="inlineStr">
        <is>
          <t>LEKSAND</t>
        </is>
      </c>
      <c r="G323" t="n">
        <v>4.9</v>
      </c>
      <c r="H323" t="n">
        <v>0</v>
      </c>
      <c r="I323" t="n">
        <v>0</v>
      </c>
      <c r="J323" t="n">
        <v>0</v>
      </c>
      <c r="K323" t="n">
        <v>0</v>
      </c>
      <c r="L323" t="n">
        <v>0</v>
      </c>
      <c r="M323" t="n">
        <v>0</v>
      </c>
      <c r="N323" t="n">
        <v>0</v>
      </c>
      <c r="O323" t="n">
        <v>0</v>
      </c>
      <c r="P323" t="n">
        <v>0</v>
      </c>
      <c r="Q323" t="n">
        <v>0</v>
      </c>
      <c r="R323" s="2" t="inlineStr"/>
    </row>
    <row r="324" ht="15" customHeight="1">
      <c r="A324" t="inlineStr">
        <is>
          <t>A 20946-2023</t>
        </is>
      </c>
      <c r="B324" s="1" t="n">
        <v>45061</v>
      </c>
      <c r="C324" s="1" t="n">
        <v>46038</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34039-2024</t>
        </is>
      </c>
      <c r="B325" s="1" t="n">
        <v>45523.5974537037</v>
      </c>
      <c r="C325" s="1" t="n">
        <v>46038</v>
      </c>
      <c r="D325" t="inlineStr">
        <is>
          <t>DALARNAS LÄN</t>
        </is>
      </c>
      <c r="E325" t="inlineStr">
        <is>
          <t>LEKSAND</t>
        </is>
      </c>
      <c r="G325" t="n">
        <v>7.1</v>
      </c>
      <c r="H325" t="n">
        <v>0</v>
      </c>
      <c r="I325" t="n">
        <v>0</v>
      </c>
      <c r="J325" t="n">
        <v>0</v>
      </c>
      <c r="K325" t="n">
        <v>0</v>
      </c>
      <c r="L325" t="n">
        <v>0</v>
      </c>
      <c r="M325" t="n">
        <v>0</v>
      </c>
      <c r="N325" t="n">
        <v>0</v>
      </c>
      <c r="O325" t="n">
        <v>0</v>
      </c>
      <c r="P325" t="n">
        <v>0</v>
      </c>
      <c r="Q325" t="n">
        <v>0</v>
      </c>
      <c r="R325" s="2" t="inlineStr"/>
    </row>
    <row r="326" ht="15" customHeight="1">
      <c r="A326" t="inlineStr">
        <is>
          <t>A 7759-2025</t>
        </is>
      </c>
      <c r="B326" s="1" t="n">
        <v>45706.53827546296</v>
      </c>
      <c r="C326" s="1" t="n">
        <v>46038</v>
      </c>
      <c r="D326" t="inlineStr">
        <is>
          <t>DALARNAS LÄN</t>
        </is>
      </c>
      <c r="E326" t="inlineStr">
        <is>
          <t>LEKSAND</t>
        </is>
      </c>
      <c r="G326" t="n">
        <v>3.3</v>
      </c>
      <c r="H326" t="n">
        <v>0</v>
      </c>
      <c r="I326" t="n">
        <v>0</v>
      </c>
      <c r="J326" t="n">
        <v>0</v>
      </c>
      <c r="K326" t="n">
        <v>0</v>
      </c>
      <c r="L326" t="n">
        <v>0</v>
      </c>
      <c r="M326" t="n">
        <v>0</v>
      </c>
      <c r="N326" t="n">
        <v>0</v>
      </c>
      <c r="O326" t="n">
        <v>0</v>
      </c>
      <c r="P326" t="n">
        <v>0</v>
      </c>
      <c r="Q326" t="n">
        <v>0</v>
      </c>
      <c r="R326" s="2" t="inlineStr"/>
    </row>
    <row r="327" ht="15" customHeight="1">
      <c r="A327" t="inlineStr">
        <is>
          <t>A 61252-2023</t>
        </is>
      </c>
      <c r="B327" s="1" t="n">
        <v>45261</v>
      </c>
      <c r="C327" s="1" t="n">
        <v>46038</v>
      </c>
      <c r="D327" t="inlineStr">
        <is>
          <t>DALARNAS LÄN</t>
        </is>
      </c>
      <c r="E327" t="inlineStr">
        <is>
          <t>LEKSAND</t>
        </is>
      </c>
      <c r="G327" t="n">
        <v>1.9</v>
      </c>
      <c r="H327" t="n">
        <v>0</v>
      </c>
      <c r="I327" t="n">
        <v>0</v>
      </c>
      <c r="J327" t="n">
        <v>0</v>
      </c>
      <c r="K327" t="n">
        <v>0</v>
      </c>
      <c r="L327" t="n">
        <v>0</v>
      </c>
      <c r="M327" t="n">
        <v>0</v>
      </c>
      <c r="N327" t="n">
        <v>0</v>
      </c>
      <c r="O327" t="n">
        <v>0</v>
      </c>
      <c r="P327" t="n">
        <v>0</v>
      </c>
      <c r="Q327" t="n">
        <v>0</v>
      </c>
      <c r="R327" s="2" t="inlineStr"/>
    </row>
    <row r="328" ht="15" customHeight="1">
      <c r="A328" t="inlineStr">
        <is>
          <t>A 59859-2023</t>
        </is>
      </c>
      <c r="B328" s="1" t="n">
        <v>45257</v>
      </c>
      <c r="C328" s="1" t="n">
        <v>46038</v>
      </c>
      <c r="D328" t="inlineStr">
        <is>
          <t>DALARNAS LÄN</t>
        </is>
      </c>
      <c r="E328" t="inlineStr">
        <is>
          <t>LEKSAND</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39136-2023</t>
        </is>
      </c>
      <c r="B329" s="1" t="n">
        <v>45165</v>
      </c>
      <c r="C329" s="1" t="n">
        <v>46038</v>
      </c>
      <c r="D329" t="inlineStr">
        <is>
          <t>DALARNAS LÄN</t>
        </is>
      </c>
      <c r="E329" t="inlineStr">
        <is>
          <t>LEKSAND</t>
        </is>
      </c>
      <c r="G329" t="n">
        <v>0.3</v>
      </c>
      <c r="H329" t="n">
        <v>0</v>
      </c>
      <c r="I329" t="n">
        <v>0</v>
      </c>
      <c r="J329" t="n">
        <v>0</v>
      </c>
      <c r="K329" t="n">
        <v>0</v>
      </c>
      <c r="L329" t="n">
        <v>0</v>
      </c>
      <c r="M329" t="n">
        <v>0</v>
      </c>
      <c r="N329" t="n">
        <v>0</v>
      </c>
      <c r="O329" t="n">
        <v>0</v>
      </c>
      <c r="P329" t="n">
        <v>0</v>
      </c>
      <c r="Q329" t="n">
        <v>0</v>
      </c>
      <c r="R329" s="2" t="inlineStr"/>
    </row>
    <row r="330" ht="15" customHeight="1">
      <c r="A330" t="inlineStr">
        <is>
          <t>A 53193-2024</t>
        </is>
      </c>
      <c r="B330" s="1" t="n">
        <v>45610</v>
      </c>
      <c r="C330" s="1" t="n">
        <v>46038</v>
      </c>
      <c r="D330" t="inlineStr">
        <is>
          <t>DALARNAS LÄN</t>
        </is>
      </c>
      <c r="E330" t="inlineStr">
        <is>
          <t>LEKSAND</t>
        </is>
      </c>
      <c r="G330" t="n">
        <v>1.4</v>
      </c>
      <c r="H330" t="n">
        <v>0</v>
      </c>
      <c r="I330" t="n">
        <v>0</v>
      </c>
      <c r="J330" t="n">
        <v>0</v>
      </c>
      <c r="K330" t="n">
        <v>0</v>
      </c>
      <c r="L330" t="n">
        <v>0</v>
      </c>
      <c r="M330" t="n">
        <v>0</v>
      </c>
      <c r="N330" t="n">
        <v>0</v>
      </c>
      <c r="O330" t="n">
        <v>0</v>
      </c>
      <c r="P330" t="n">
        <v>0</v>
      </c>
      <c r="Q330" t="n">
        <v>0</v>
      </c>
      <c r="R330" s="2" t="inlineStr"/>
    </row>
    <row r="331" ht="15" customHeight="1">
      <c r="A331" t="inlineStr">
        <is>
          <t>A 14615-2024</t>
        </is>
      </c>
      <c r="B331" s="1" t="n">
        <v>45397.26047453703</v>
      </c>
      <c r="C331" s="1" t="n">
        <v>46038</v>
      </c>
      <c r="D331" t="inlineStr">
        <is>
          <t>DALARNAS LÄN</t>
        </is>
      </c>
      <c r="E331" t="inlineStr">
        <is>
          <t>LEKSAND</t>
        </is>
      </c>
      <c r="G331" t="n">
        <v>0.4</v>
      </c>
      <c r="H331" t="n">
        <v>0</v>
      </c>
      <c r="I331" t="n">
        <v>0</v>
      </c>
      <c r="J331" t="n">
        <v>0</v>
      </c>
      <c r="K331" t="n">
        <v>0</v>
      </c>
      <c r="L331" t="n">
        <v>0</v>
      </c>
      <c r="M331" t="n">
        <v>0</v>
      </c>
      <c r="N331" t="n">
        <v>0</v>
      </c>
      <c r="O331" t="n">
        <v>0</v>
      </c>
      <c r="P331" t="n">
        <v>0</v>
      </c>
      <c r="Q331" t="n">
        <v>0</v>
      </c>
      <c r="R331" s="2" t="inlineStr"/>
    </row>
    <row r="332" ht="15" customHeight="1">
      <c r="A332" t="inlineStr">
        <is>
          <t>A 23663-2024</t>
        </is>
      </c>
      <c r="B332" s="1" t="n">
        <v>45454.57049768518</v>
      </c>
      <c r="C332" s="1" t="n">
        <v>46038</v>
      </c>
      <c r="D332" t="inlineStr">
        <is>
          <t>DALARNAS LÄN</t>
        </is>
      </c>
      <c r="E332" t="inlineStr">
        <is>
          <t>LEKSAND</t>
        </is>
      </c>
      <c r="G332" t="n">
        <v>2.5</v>
      </c>
      <c r="H332" t="n">
        <v>0</v>
      </c>
      <c r="I332" t="n">
        <v>0</v>
      </c>
      <c r="J332" t="n">
        <v>0</v>
      </c>
      <c r="K332" t="n">
        <v>0</v>
      </c>
      <c r="L332" t="n">
        <v>0</v>
      </c>
      <c r="M332" t="n">
        <v>0</v>
      </c>
      <c r="N332" t="n">
        <v>0</v>
      </c>
      <c r="O332" t="n">
        <v>0</v>
      </c>
      <c r="P332" t="n">
        <v>0</v>
      </c>
      <c r="Q332" t="n">
        <v>0</v>
      </c>
      <c r="R332" s="2" t="inlineStr"/>
    </row>
    <row r="333" ht="15" customHeight="1">
      <c r="A333" t="inlineStr">
        <is>
          <t>A 39569-2025</t>
        </is>
      </c>
      <c r="B333" s="1" t="n">
        <v>45890</v>
      </c>
      <c r="C333" s="1" t="n">
        <v>46038</v>
      </c>
      <c r="D333" t="inlineStr">
        <is>
          <t>DALARNAS LÄN</t>
        </is>
      </c>
      <c r="E333" t="inlineStr">
        <is>
          <t>LEKSAND</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39572-2025</t>
        </is>
      </c>
      <c r="B334" s="1" t="n">
        <v>45890</v>
      </c>
      <c r="C334" s="1" t="n">
        <v>46038</v>
      </c>
      <c r="D334" t="inlineStr">
        <is>
          <t>DALARNAS LÄN</t>
        </is>
      </c>
      <c r="E334" t="inlineStr">
        <is>
          <t>LEKSAND</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39660-2025</t>
        </is>
      </c>
      <c r="B335" s="1" t="n">
        <v>45890.63006944444</v>
      </c>
      <c r="C335" s="1" t="n">
        <v>46038</v>
      </c>
      <c r="D335" t="inlineStr">
        <is>
          <t>DALARNAS LÄN</t>
        </is>
      </c>
      <c r="E335" t="inlineStr">
        <is>
          <t>LEKSAND</t>
        </is>
      </c>
      <c r="F335" t="inlineStr">
        <is>
          <t>Bergvik skog väst AB</t>
        </is>
      </c>
      <c r="G335" t="n">
        <v>5.8</v>
      </c>
      <c r="H335" t="n">
        <v>0</v>
      </c>
      <c r="I335" t="n">
        <v>0</v>
      </c>
      <c r="J335" t="n">
        <v>0</v>
      </c>
      <c r="K335" t="n">
        <v>0</v>
      </c>
      <c r="L335" t="n">
        <v>0</v>
      </c>
      <c r="M335" t="n">
        <v>0</v>
      </c>
      <c r="N335" t="n">
        <v>0</v>
      </c>
      <c r="O335" t="n">
        <v>0</v>
      </c>
      <c r="P335" t="n">
        <v>0</v>
      </c>
      <c r="Q335" t="n">
        <v>0</v>
      </c>
      <c r="R335" s="2" t="inlineStr"/>
    </row>
    <row r="336" ht="15" customHeight="1">
      <c r="A336" t="inlineStr">
        <is>
          <t>A 39693-2025</t>
        </is>
      </c>
      <c r="B336" s="1" t="n">
        <v>45890.68304398148</v>
      </c>
      <c r="C336" s="1" t="n">
        <v>46038</v>
      </c>
      <c r="D336" t="inlineStr">
        <is>
          <t>DALARNAS LÄN</t>
        </is>
      </c>
      <c r="E336" t="inlineStr">
        <is>
          <t>LEKSAND</t>
        </is>
      </c>
      <c r="G336" t="n">
        <v>3.1</v>
      </c>
      <c r="H336" t="n">
        <v>0</v>
      </c>
      <c r="I336" t="n">
        <v>0</v>
      </c>
      <c r="J336" t="n">
        <v>0</v>
      </c>
      <c r="K336" t="n">
        <v>0</v>
      </c>
      <c r="L336" t="n">
        <v>0</v>
      </c>
      <c r="M336" t="n">
        <v>0</v>
      </c>
      <c r="N336" t="n">
        <v>0</v>
      </c>
      <c r="O336" t="n">
        <v>0</v>
      </c>
      <c r="P336" t="n">
        <v>0</v>
      </c>
      <c r="Q336" t="n">
        <v>0</v>
      </c>
      <c r="R336" s="2" t="inlineStr"/>
    </row>
    <row r="337" ht="15" customHeight="1">
      <c r="A337" t="inlineStr">
        <is>
          <t>A 39546-2025</t>
        </is>
      </c>
      <c r="B337" s="1" t="n">
        <v>45890.45706018519</v>
      </c>
      <c r="C337" s="1" t="n">
        <v>46038</v>
      </c>
      <c r="D337" t="inlineStr">
        <is>
          <t>DALARNAS LÄN</t>
        </is>
      </c>
      <c r="E337" t="inlineStr">
        <is>
          <t>LEKSAND</t>
        </is>
      </c>
      <c r="G337" t="n">
        <v>4.6</v>
      </c>
      <c r="H337" t="n">
        <v>0</v>
      </c>
      <c r="I337" t="n">
        <v>0</v>
      </c>
      <c r="J337" t="n">
        <v>0</v>
      </c>
      <c r="K337" t="n">
        <v>0</v>
      </c>
      <c r="L337" t="n">
        <v>0</v>
      </c>
      <c r="M337" t="n">
        <v>0</v>
      </c>
      <c r="N337" t="n">
        <v>0</v>
      </c>
      <c r="O337" t="n">
        <v>0</v>
      </c>
      <c r="P337" t="n">
        <v>0</v>
      </c>
      <c r="Q337" t="n">
        <v>0</v>
      </c>
      <c r="R337" s="2" t="inlineStr"/>
    </row>
    <row r="338" ht="15" customHeight="1">
      <c r="A338" t="inlineStr">
        <is>
          <t>A 19622-2024</t>
        </is>
      </c>
      <c r="B338" s="1" t="n">
        <v>45432.33592592592</v>
      </c>
      <c r="C338" s="1" t="n">
        <v>46038</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39516-2025</t>
        </is>
      </c>
      <c r="B339" s="1" t="n">
        <v>45890.42633101852</v>
      </c>
      <c r="C339" s="1" t="n">
        <v>46038</v>
      </c>
      <c r="D339" t="inlineStr">
        <is>
          <t>DALARNAS LÄN</t>
        </is>
      </c>
      <c r="E339" t="inlineStr">
        <is>
          <t>LEKSAND</t>
        </is>
      </c>
      <c r="G339" t="n">
        <v>3.6</v>
      </c>
      <c r="H339" t="n">
        <v>0</v>
      </c>
      <c r="I339" t="n">
        <v>0</v>
      </c>
      <c r="J339" t="n">
        <v>0</v>
      </c>
      <c r="K339" t="n">
        <v>0</v>
      </c>
      <c r="L339" t="n">
        <v>0</v>
      </c>
      <c r="M339" t="n">
        <v>0</v>
      </c>
      <c r="N339" t="n">
        <v>0</v>
      </c>
      <c r="O339" t="n">
        <v>0</v>
      </c>
      <c r="P339" t="n">
        <v>0</v>
      </c>
      <c r="Q339" t="n">
        <v>0</v>
      </c>
      <c r="R339" s="2" t="inlineStr"/>
    </row>
    <row r="340" ht="15" customHeight="1">
      <c r="A340" t="inlineStr">
        <is>
          <t>A 41169-2024</t>
        </is>
      </c>
      <c r="B340" s="1" t="n">
        <v>45559.48637731482</v>
      </c>
      <c r="C340" s="1" t="n">
        <v>46038</v>
      </c>
      <c r="D340" t="inlineStr">
        <is>
          <t>DALARNAS LÄN</t>
        </is>
      </c>
      <c r="E340" t="inlineStr">
        <is>
          <t>LEKSAND</t>
        </is>
      </c>
      <c r="G340" t="n">
        <v>8.9</v>
      </c>
      <c r="H340" t="n">
        <v>0</v>
      </c>
      <c r="I340" t="n">
        <v>0</v>
      </c>
      <c r="J340" t="n">
        <v>0</v>
      </c>
      <c r="K340" t="n">
        <v>0</v>
      </c>
      <c r="L340" t="n">
        <v>0</v>
      </c>
      <c r="M340" t="n">
        <v>0</v>
      </c>
      <c r="N340" t="n">
        <v>0</v>
      </c>
      <c r="O340" t="n">
        <v>0</v>
      </c>
      <c r="P340" t="n">
        <v>0</v>
      </c>
      <c r="Q340" t="n">
        <v>0</v>
      </c>
      <c r="R340" s="2" t="inlineStr"/>
    </row>
    <row r="341" ht="15" customHeight="1">
      <c r="A341" t="inlineStr">
        <is>
          <t>A 40230-2023</t>
        </is>
      </c>
      <c r="B341" s="1" t="n">
        <v>45169.46887731482</v>
      </c>
      <c r="C341" s="1" t="n">
        <v>46038</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45512-2023</t>
        </is>
      </c>
      <c r="B342" s="1" t="n">
        <v>45194.49178240741</v>
      </c>
      <c r="C342" s="1" t="n">
        <v>46038</v>
      </c>
      <c r="D342" t="inlineStr">
        <is>
          <t>DALARNAS LÄN</t>
        </is>
      </c>
      <c r="E342" t="inlineStr">
        <is>
          <t>LEKSAND</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11712-2025</t>
        </is>
      </c>
      <c r="B343" s="1" t="n">
        <v>45727</v>
      </c>
      <c r="C343" s="1" t="n">
        <v>46038</v>
      </c>
      <c r="D343" t="inlineStr">
        <is>
          <t>DALARNAS LÄN</t>
        </is>
      </c>
      <c r="E343" t="inlineStr">
        <is>
          <t>LEKSAND</t>
        </is>
      </c>
      <c r="G343" t="n">
        <v>6</v>
      </c>
      <c r="H343" t="n">
        <v>0</v>
      </c>
      <c r="I343" t="n">
        <v>0</v>
      </c>
      <c r="J343" t="n">
        <v>0</v>
      </c>
      <c r="K343" t="n">
        <v>0</v>
      </c>
      <c r="L343" t="n">
        <v>0</v>
      </c>
      <c r="M343" t="n">
        <v>0</v>
      </c>
      <c r="N343" t="n">
        <v>0</v>
      </c>
      <c r="O343" t="n">
        <v>0</v>
      </c>
      <c r="P343" t="n">
        <v>0</v>
      </c>
      <c r="Q343" t="n">
        <v>0</v>
      </c>
      <c r="R343" s="2" t="inlineStr"/>
    </row>
    <row r="344" ht="15" customHeight="1">
      <c r="A344" t="inlineStr">
        <is>
          <t>A 6030-2025</t>
        </is>
      </c>
      <c r="B344" s="1" t="n">
        <v>45695</v>
      </c>
      <c r="C344" s="1" t="n">
        <v>46038</v>
      </c>
      <c r="D344" t="inlineStr">
        <is>
          <t>DALARNAS LÄN</t>
        </is>
      </c>
      <c r="E344" t="inlineStr">
        <is>
          <t>LEKSAND</t>
        </is>
      </c>
      <c r="G344" t="n">
        <v>1.4</v>
      </c>
      <c r="H344" t="n">
        <v>0</v>
      </c>
      <c r="I344" t="n">
        <v>0</v>
      </c>
      <c r="J344" t="n">
        <v>0</v>
      </c>
      <c r="K344" t="n">
        <v>0</v>
      </c>
      <c r="L344" t="n">
        <v>0</v>
      </c>
      <c r="M344" t="n">
        <v>0</v>
      </c>
      <c r="N344" t="n">
        <v>0</v>
      </c>
      <c r="O344" t="n">
        <v>0</v>
      </c>
      <c r="P344" t="n">
        <v>0</v>
      </c>
      <c r="Q344" t="n">
        <v>0</v>
      </c>
      <c r="R344" s="2" t="inlineStr"/>
    </row>
    <row r="345" ht="15" customHeight="1">
      <c r="A345" t="inlineStr">
        <is>
          <t>A 42230-2023</t>
        </is>
      </c>
      <c r="B345" s="1" t="n">
        <v>45180</v>
      </c>
      <c r="C345" s="1" t="n">
        <v>46038</v>
      </c>
      <c r="D345" t="inlineStr">
        <is>
          <t>DALARNAS LÄN</t>
        </is>
      </c>
      <c r="E345" t="inlineStr">
        <is>
          <t>LEKSAND</t>
        </is>
      </c>
      <c r="G345" t="n">
        <v>0.6</v>
      </c>
      <c r="H345" t="n">
        <v>0</v>
      </c>
      <c r="I345" t="n">
        <v>0</v>
      </c>
      <c r="J345" t="n">
        <v>0</v>
      </c>
      <c r="K345" t="n">
        <v>0</v>
      </c>
      <c r="L345" t="n">
        <v>0</v>
      </c>
      <c r="M345" t="n">
        <v>0</v>
      </c>
      <c r="N345" t="n">
        <v>0</v>
      </c>
      <c r="O345" t="n">
        <v>0</v>
      </c>
      <c r="P345" t="n">
        <v>0</v>
      </c>
      <c r="Q345" t="n">
        <v>0</v>
      </c>
      <c r="R345" s="2" t="inlineStr"/>
    </row>
    <row r="346" ht="15" customHeight="1">
      <c r="A346" t="inlineStr">
        <is>
          <t>A 40513-2025</t>
        </is>
      </c>
      <c r="B346" s="1" t="n">
        <v>45896.35100694445</v>
      </c>
      <c r="C346" s="1" t="n">
        <v>46038</v>
      </c>
      <c r="D346" t="inlineStr">
        <is>
          <t>DALARNAS LÄN</t>
        </is>
      </c>
      <c r="E346" t="inlineStr">
        <is>
          <t>LEKSAND</t>
        </is>
      </c>
      <c r="G346" t="n">
        <v>7.1</v>
      </c>
      <c r="H346" t="n">
        <v>0</v>
      </c>
      <c r="I346" t="n">
        <v>0</v>
      </c>
      <c r="J346" t="n">
        <v>0</v>
      </c>
      <c r="K346" t="n">
        <v>0</v>
      </c>
      <c r="L346" t="n">
        <v>0</v>
      </c>
      <c r="M346" t="n">
        <v>0</v>
      </c>
      <c r="N346" t="n">
        <v>0</v>
      </c>
      <c r="O346" t="n">
        <v>0</v>
      </c>
      <c r="P346" t="n">
        <v>0</v>
      </c>
      <c r="Q346" t="n">
        <v>0</v>
      </c>
      <c r="R346" s="2" t="inlineStr"/>
    </row>
    <row r="347" ht="15" customHeight="1">
      <c r="A347" t="inlineStr">
        <is>
          <t>A 40517-2025</t>
        </is>
      </c>
      <c r="B347" s="1" t="n">
        <v>45896.36368055556</v>
      </c>
      <c r="C347" s="1" t="n">
        <v>46038</v>
      </c>
      <c r="D347" t="inlineStr">
        <is>
          <t>DALARNAS LÄN</t>
        </is>
      </c>
      <c r="E347" t="inlineStr">
        <is>
          <t>LEKSAND</t>
        </is>
      </c>
      <c r="G347" t="n">
        <v>1.6</v>
      </c>
      <c r="H347" t="n">
        <v>0</v>
      </c>
      <c r="I347" t="n">
        <v>0</v>
      </c>
      <c r="J347" t="n">
        <v>0</v>
      </c>
      <c r="K347" t="n">
        <v>0</v>
      </c>
      <c r="L347" t="n">
        <v>0</v>
      </c>
      <c r="M347" t="n">
        <v>0</v>
      </c>
      <c r="N347" t="n">
        <v>0</v>
      </c>
      <c r="O347" t="n">
        <v>0</v>
      </c>
      <c r="P347" t="n">
        <v>0</v>
      </c>
      <c r="Q347" t="n">
        <v>0</v>
      </c>
      <c r="R347" s="2" t="inlineStr"/>
    </row>
    <row r="348" ht="15" customHeight="1">
      <c r="A348" t="inlineStr">
        <is>
          <t>A 41487-2025</t>
        </is>
      </c>
      <c r="B348" s="1" t="n">
        <v>45901.4815625</v>
      </c>
      <c r="C348" s="1" t="n">
        <v>46038</v>
      </c>
      <c r="D348" t="inlineStr">
        <is>
          <t>DALARNAS LÄN</t>
        </is>
      </c>
      <c r="E348" t="inlineStr">
        <is>
          <t>LEKSAND</t>
        </is>
      </c>
      <c r="F348" t="inlineStr">
        <is>
          <t>Bergvik skog väst AB</t>
        </is>
      </c>
      <c r="G348" t="n">
        <v>7.3</v>
      </c>
      <c r="H348" t="n">
        <v>0</v>
      </c>
      <c r="I348" t="n">
        <v>0</v>
      </c>
      <c r="J348" t="n">
        <v>0</v>
      </c>
      <c r="K348" t="n">
        <v>0</v>
      </c>
      <c r="L348" t="n">
        <v>0</v>
      </c>
      <c r="M348" t="n">
        <v>0</v>
      </c>
      <c r="N348" t="n">
        <v>0</v>
      </c>
      <c r="O348" t="n">
        <v>0</v>
      </c>
      <c r="P348" t="n">
        <v>0</v>
      </c>
      <c r="Q348" t="n">
        <v>0</v>
      </c>
      <c r="R348" s="2" t="inlineStr"/>
    </row>
    <row r="349" ht="15" customHeight="1">
      <c r="A349" t="inlineStr">
        <is>
          <t>A 41237-2025</t>
        </is>
      </c>
      <c r="B349" s="1" t="n">
        <v>45898.59570601852</v>
      </c>
      <c r="C349" s="1" t="n">
        <v>46038</v>
      </c>
      <c r="D349" t="inlineStr">
        <is>
          <t>DALARNAS LÄN</t>
        </is>
      </c>
      <c r="E349" t="inlineStr">
        <is>
          <t>LEKSAND</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41248-2025</t>
        </is>
      </c>
      <c r="B350" s="1" t="n">
        <v>45898.60199074074</v>
      </c>
      <c r="C350" s="1" t="n">
        <v>46038</v>
      </c>
      <c r="D350" t="inlineStr">
        <is>
          <t>DALARNAS LÄN</t>
        </is>
      </c>
      <c r="E350" t="inlineStr">
        <is>
          <t>LEKSAND</t>
        </is>
      </c>
      <c r="F350" t="inlineStr">
        <is>
          <t>Bergvik skog väst AB</t>
        </is>
      </c>
      <c r="G350" t="n">
        <v>2.5</v>
      </c>
      <c r="H350" t="n">
        <v>0</v>
      </c>
      <c r="I350" t="n">
        <v>0</v>
      </c>
      <c r="J350" t="n">
        <v>0</v>
      </c>
      <c r="K350" t="n">
        <v>0</v>
      </c>
      <c r="L350" t="n">
        <v>0</v>
      </c>
      <c r="M350" t="n">
        <v>0</v>
      </c>
      <c r="N350" t="n">
        <v>0</v>
      </c>
      <c r="O350" t="n">
        <v>0</v>
      </c>
      <c r="P350" t="n">
        <v>0</v>
      </c>
      <c r="Q350" t="n">
        <v>0</v>
      </c>
      <c r="R350" s="2" t="inlineStr"/>
    </row>
    <row r="351" ht="15" customHeight="1">
      <c r="A351" t="inlineStr">
        <is>
          <t>A 60024-2023</t>
        </is>
      </c>
      <c r="B351" s="1" t="n">
        <v>45258</v>
      </c>
      <c r="C351" s="1" t="n">
        <v>46038</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41308-2025</t>
        </is>
      </c>
      <c r="B352" s="1" t="n">
        <v>45898</v>
      </c>
      <c r="C352" s="1" t="n">
        <v>46038</v>
      </c>
      <c r="D352" t="inlineStr">
        <is>
          <t>DALARNAS LÄN</t>
        </is>
      </c>
      <c r="E352" t="inlineStr">
        <is>
          <t>LEKSAND</t>
        </is>
      </c>
      <c r="F352" t="inlineStr">
        <is>
          <t>Bergvik skog väst AB</t>
        </is>
      </c>
      <c r="G352" t="n">
        <v>6.7</v>
      </c>
      <c r="H352" t="n">
        <v>0</v>
      </c>
      <c r="I352" t="n">
        <v>0</v>
      </c>
      <c r="J352" t="n">
        <v>0</v>
      </c>
      <c r="K352" t="n">
        <v>0</v>
      </c>
      <c r="L352" t="n">
        <v>0</v>
      </c>
      <c r="M352" t="n">
        <v>0</v>
      </c>
      <c r="N352" t="n">
        <v>0</v>
      </c>
      <c r="O352" t="n">
        <v>0</v>
      </c>
      <c r="P352" t="n">
        <v>0</v>
      </c>
      <c r="Q352" t="n">
        <v>0</v>
      </c>
      <c r="R352" s="2" t="inlineStr"/>
    </row>
    <row r="353" ht="15" customHeight="1">
      <c r="A353" t="inlineStr">
        <is>
          <t>A 19330-2025</t>
        </is>
      </c>
      <c r="B353" s="1" t="n">
        <v>45769</v>
      </c>
      <c r="C353" s="1" t="n">
        <v>46038</v>
      </c>
      <c r="D353" t="inlineStr">
        <is>
          <t>DALARNAS LÄN</t>
        </is>
      </c>
      <c r="E353" t="inlineStr">
        <is>
          <t>LEKSAND</t>
        </is>
      </c>
      <c r="G353" t="n">
        <v>1.6</v>
      </c>
      <c r="H353" t="n">
        <v>0</v>
      </c>
      <c r="I353" t="n">
        <v>0</v>
      </c>
      <c r="J353" t="n">
        <v>0</v>
      </c>
      <c r="K353" t="n">
        <v>0</v>
      </c>
      <c r="L353" t="n">
        <v>0</v>
      </c>
      <c r="M353" t="n">
        <v>0</v>
      </c>
      <c r="N353" t="n">
        <v>0</v>
      </c>
      <c r="O353" t="n">
        <v>0</v>
      </c>
      <c r="P353" t="n">
        <v>0</v>
      </c>
      <c r="Q353" t="n">
        <v>0</v>
      </c>
      <c r="R353" s="2" t="inlineStr"/>
    </row>
    <row r="354" ht="15" customHeight="1">
      <c r="A354" t="inlineStr">
        <is>
          <t>A 55643-2024</t>
        </is>
      </c>
      <c r="B354" s="1" t="n">
        <v>45621</v>
      </c>
      <c r="C354" s="1" t="n">
        <v>46038</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41335-2025</t>
        </is>
      </c>
      <c r="B355" s="1" t="n">
        <v>45899.36747685185</v>
      </c>
      <c r="C355" s="1" t="n">
        <v>46038</v>
      </c>
      <c r="D355" t="inlineStr">
        <is>
          <t>DALARNAS LÄN</t>
        </is>
      </c>
      <c r="E355" t="inlineStr">
        <is>
          <t>LEKSAND</t>
        </is>
      </c>
      <c r="G355" t="n">
        <v>5.9</v>
      </c>
      <c r="H355" t="n">
        <v>0</v>
      </c>
      <c r="I355" t="n">
        <v>0</v>
      </c>
      <c r="J355" t="n">
        <v>0</v>
      </c>
      <c r="K355" t="n">
        <v>0</v>
      </c>
      <c r="L355" t="n">
        <v>0</v>
      </c>
      <c r="M355" t="n">
        <v>0</v>
      </c>
      <c r="N355" t="n">
        <v>0</v>
      </c>
      <c r="O355" t="n">
        <v>0</v>
      </c>
      <c r="P355" t="n">
        <v>0</v>
      </c>
      <c r="Q355" t="n">
        <v>0</v>
      </c>
      <c r="R355" s="2" t="inlineStr"/>
    </row>
    <row r="356" ht="15" customHeight="1">
      <c r="A356" t="inlineStr">
        <is>
          <t>A 22281-2024</t>
        </is>
      </c>
      <c r="B356" s="1" t="n">
        <v>45446.54756944445</v>
      </c>
      <c r="C356" s="1" t="n">
        <v>46038</v>
      </c>
      <c r="D356" t="inlineStr">
        <is>
          <t>DALARNAS LÄN</t>
        </is>
      </c>
      <c r="E356" t="inlineStr">
        <is>
          <t>LEKSAND</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41380-2025</t>
        </is>
      </c>
      <c r="B357" s="1" t="n">
        <v>45900.92826388889</v>
      </c>
      <c r="C357" s="1" t="n">
        <v>46038</v>
      </c>
      <c r="D357" t="inlineStr">
        <is>
          <t>DALARNAS LÄN</t>
        </is>
      </c>
      <c r="E357" t="inlineStr">
        <is>
          <t>LEKSAND</t>
        </is>
      </c>
      <c r="G357" t="n">
        <v>1.4</v>
      </c>
      <c r="H357" t="n">
        <v>0</v>
      </c>
      <c r="I357" t="n">
        <v>0</v>
      </c>
      <c r="J357" t="n">
        <v>0</v>
      </c>
      <c r="K357" t="n">
        <v>0</v>
      </c>
      <c r="L357" t="n">
        <v>0</v>
      </c>
      <c r="M357" t="n">
        <v>0</v>
      </c>
      <c r="N357" t="n">
        <v>0</v>
      </c>
      <c r="O357" t="n">
        <v>0</v>
      </c>
      <c r="P357" t="n">
        <v>0</v>
      </c>
      <c r="Q357" t="n">
        <v>0</v>
      </c>
      <c r="R357" s="2" t="inlineStr"/>
    </row>
    <row r="358" ht="15" customHeight="1">
      <c r="A358" t="inlineStr">
        <is>
          <t>A 59826-2023</t>
        </is>
      </c>
      <c r="B358" s="1" t="n">
        <v>45254</v>
      </c>
      <c r="C358" s="1" t="n">
        <v>46038</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28913-2024</t>
        </is>
      </c>
      <c r="B359" s="1" t="n">
        <v>45480.75318287037</v>
      </c>
      <c r="C359" s="1" t="n">
        <v>46038</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46038</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23892-2025</t>
        </is>
      </c>
      <c r="B361" s="1" t="n">
        <v>45793</v>
      </c>
      <c r="C361" s="1" t="n">
        <v>46038</v>
      </c>
      <c r="D361" t="inlineStr">
        <is>
          <t>DALARNAS LÄN</t>
        </is>
      </c>
      <c r="E361" t="inlineStr">
        <is>
          <t>LEKSAND</t>
        </is>
      </c>
      <c r="F361" t="inlineStr">
        <is>
          <t>Kommuner</t>
        </is>
      </c>
      <c r="G361" t="n">
        <v>1.5</v>
      </c>
      <c r="H361" t="n">
        <v>0</v>
      </c>
      <c r="I361" t="n">
        <v>0</v>
      </c>
      <c r="J361" t="n">
        <v>0</v>
      </c>
      <c r="K361" t="n">
        <v>0</v>
      </c>
      <c r="L361" t="n">
        <v>0</v>
      </c>
      <c r="M361" t="n">
        <v>0</v>
      </c>
      <c r="N361" t="n">
        <v>0</v>
      </c>
      <c r="O361" t="n">
        <v>0</v>
      </c>
      <c r="P361" t="n">
        <v>0</v>
      </c>
      <c r="Q361" t="n">
        <v>0</v>
      </c>
      <c r="R361" s="2" t="inlineStr"/>
    </row>
    <row r="362" ht="15" customHeight="1">
      <c r="A362" t="inlineStr">
        <is>
          <t>A 17282-2025</t>
        </is>
      </c>
      <c r="B362" s="1" t="n">
        <v>45756.57114583333</v>
      </c>
      <c r="C362" s="1" t="n">
        <v>46038</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60945-2024</t>
        </is>
      </c>
      <c r="B363" s="1" t="n">
        <v>45645.37893518519</v>
      </c>
      <c r="C363" s="1" t="n">
        <v>46038</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56016-2024</t>
        </is>
      </c>
      <c r="B364" s="1" t="n">
        <v>45623.87737268519</v>
      </c>
      <c r="C364" s="1" t="n">
        <v>46038</v>
      </c>
      <c r="D364" t="inlineStr">
        <is>
          <t>DALARNAS LÄN</t>
        </is>
      </c>
      <c r="E364" t="inlineStr">
        <is>
          <t>LEKSAND</t>
        </is>
      </c>
      <c r="G364" t="n">
        <v>6.1</v>
      </c>
      <c r="H364" t="n">
        <v>0</v>
      </c>
      <c r="I364" t="n">
        <v>0</v>
      </c>
      <c r="J364" t="n">
        <v>0</v>
      </c>
      <c r="K364" t="n">
        <v>0</v>
      </c>
      <c r="L364" t="n">
        <v>0</v>
      </c>
      <c r="M364" t="n">
        <v>0</v>
      </c>
      <c r="N364" t="n">
        <v>0</v>
      </c>
      <c r="O364" t="n">
        <v>0</v>
      </c>
      <c r="P364" t="n">
        <v>0</v>
      </c>
      <c r="Q364" t="n">
        <v>0</v>
      </c>
      <c r="R364" s="2" t="inlineStr"/>
    </row>
    <row r="365" ht="15" customHeight="1">
      <c r="A365" t="inlineStr">
        <is>
          <t>A 60692-2023</t>
        </is>
      </c>
      <c r="B365" s="1" t="n">
        <v>45260.50008101852</v>
      </c>
      <c r="C365" s="1" t="n">
        <v>46038</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46038</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44491-2023</t>
        </is>
      </c>
      <c r="B367" s="1" t="n">
        <v>45183</v>
      </c>
      <c r="C367" s="1" t="n">
        <v>46038</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9857-2025</t>
        </is>
      </c>
      <c r="B368" s="1" t="n">
        <v>45716.62609953704</v>
      </c>
      <c r="C368" s="1" t="n">
        <v>46038</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42284-2025</t>
        </is>
      </c>
      <c r="B369" s="1" t="n">
        <v>45903</v>
      </c>
      <c r="C369" s="1" t="n">
        <v>46038</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5873-2025</t>
        </is>
      </c>
      <c r="B370" s="1" t="n">
        <v>45695.36715277778</v>
      </c>
      <c r="C370" s="1" t="n">
        <v>46038</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30994-2023</t>
        </is>
      </c>
      <c r="B371" s="1" t="n">
        <v>45113</v>
      </c>
      <c r="C371" s="1" t="n">
        <v>46038</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33306-2023</t>
        </is>
      </c>
      <c r="B372" s="1" t="n">
        <v>45127</v>
      </c>
      <c r="C372" s="1" t="n">
        <v>46038</v>
      </c>
      <c r="D372" t="inlineStr">
        <is>
          <t>DALARNAS LÄN</t>
        </is>
      </c>
      <c r="E372" t="inlineStr">
        <is>
          <t>LEKSAND</t>
        </is>
      </c>
      <c r="G372" t="n">
        <v>2.2</v>
      </c>
      <c r="H372" t="n">
        <v>0</v>
      </c>
      <c r="I372" t="n">
        <v>0</v>
      </c>
      <c r="J372" t="n">
        <v>0</v>
      </c>
      <c r="K372" t="n">
        <v>0</v>
      </c>
      <c r="L372" t="n">
        <v>0</v>
      </c>
      <c r="M372" t="n">
        <v>0</v>
      </c>
      <c r="N372" t="n">
        <v>0</v>
      </c>
      <c r="O372" t="n">
        <v>0</v>
      </c>
      <c r="P372" t="n">
        <v>0</v>
      </c>
      <c r="Q372" t="n">
        <v>0</v>
      </c>
      <c r="R372" s="2" t="inlineStr"/>
    </row>
    <row r="373" ht="15" customHeight="1">
      <c r="A373" t="inlineStr">
        <is>
          <t>A 33316-2023</t>
        </is>
      </c>
      <c r="B373" s="1" t="n">
        <v>45127</v>
      </c>
      <c r="C373" s="1" t="n">
        <v>46038</v>
      </c>
      <c r="D373" t="inlineStr">
        <is>
          <t>DALARNAS LÄN</t>
        </is>
      </c>
      <c r="E373" t="inlineStr">
        <is>
          <t>LEKSAND</t>
        </is>
      </c>
      <c r="G373" t="n">
        <v>8.9</v>
      </c>
      <c r="H373" t="n">
        <v>0</v>
      </c>
      <c r="I373" t="n">
        <v>0</v>
      </c>
      <c r="J373" t="n">
        <v>0</v>
      </c>
      <c r="K373" t="n">
        <v>0</v>
      </c>
      <c r="L373" t="n">
        <v>0</v>
      </c>
      <c r="M373" t="n">
        <v>0</v>
      </c>
      <c r="N373" t="n">
        <v>0</v>
      </c>
      <c r="O373" t="n">
        <v>0</v>
      </c>
      <c r="P373" t="n">
        <v>0</v>
      </c>
      <c r="Q373" t="n">
        <v>0</v>
      </c>
      <c r="R373" s="2" t="inlineStr"/>
    </row>
    <row r="374" ht="15" customHeight="1">
      <c r="A374" t="inlineStr">
        <is>
          <t>A 37832-2023</t>
        </is>
      </c>
      <c r="B374" s="1" t="n">
        <v>45160.3479050926</v>
      </c>
      <c r="C374" s="1" t="n">
        <v>46038</v>
      </c>
      <c r="D374" t="inlineStr">
        <is>
          <t>DALARNAS LÄN</t>
        </is>
      </c>
      <c r="E374" t="inlineStr">
        <is>
          <t>LEKSAND</t>
        </is>
      </c>
      <c r="G374" t="n">
        <v>2</v>
      </c>
      <c r="H374" t="n">
        <v>0</v>
      </c>
      <c r="I374" t="n">
        <v>0</v>
      </c>
      <c r="J374" t="n">
        <v>0</v>
      </c>
      <c r="K374" t="n">
        <v>0</v>
      </c>
      <c r="L374" t="n">
        <v>0</v>
      </c>
      <c r="M374" t="n">
        <v>0</v>
      </c>
      <c r="N374" t="n">
        <v>0</v>
      </c>
      <c r="O374" t="n">
        <v>0</v>
      </c>
      <c r="P374" t="n">
        <v>0</v>
      </c>
      <c r="Q374" t="n">
        <v>0</v>
      </c>
      <c r="R374" s="2" t="inlineStr"/>
    </row>
    <row r="375" ht="15" customHeight="1">
      <c r="A375" t="inlineStr">
        <is>
          <t>A 9143-2023</t>
        </is>
      </c>
      <c r="B375" s="1" t="n">
        <v>44974</v>
      </c>
      <c r="C375" s="1" t="n">
        <v>46038</v>
      </c>
      <c r="D375" t="inlineStr">
        <is>
          <t>DALARNAS LÄN</t>
        </is>
      </c>
      <c r="E375" t="inlineStr">
        <is>
          <t>LEKSAND</t>
        </is>
      </c>
      <c r="G375" t="n">
        <v>4.3</v>
      </c>
      <c r="H375" t="n">
        <v>0</v>
      </c>
      <c r="I375" t="n">
        <v>0</v>
      </c>
      <c r="J375" t="n">
        <v>0</v>
      </c>
      <c r="K375" t="n">
        <v>0</v>
      </c>
      <c r="L375" t="n">
        <v>0</v>
      </c>
      <c r="M375" t="n">
        <v>0</v>
      </c>
      <c r="N375" t="n">
        <v>0</v>
      </c>
      <c r="O375" t="n">
        <v>0</v>
      </c>
      <c r="P375" t="n">
        <v>0</v>
      </c>
      <c r="Q375" t="n">
        <v>0</v>
      </c>
      <c r="R375" s="2" t="inlineStr"/>
    </row>
    <row r="376" ht="15" customHeight="1">
      <c r="A376" t="inlineStr">
        <is>
          <t>A 61614-2023</t>
        </is>
      </c>
      <c r="B376" s="1" t="n">
        <v>45261</v>
      </c>
      <c r="C376" s="1" t="n">
        <v>46038</v>
      </c>
      <c r="D376" t="inlineStr">
        <is>
          <t>DALARNAS LÄN</t>
        </is>
      </c>
      <c r="E376" t="inlineStr">
        <is>
          <t>LEKSAND</t>
        </is>
      </c>
      <c r="G376" t="n">
        <v>0.8</v>
      </c>
      <c r="H376" t="n">
        <v>0</v>
      </c>
      <c r="I376" t="n">
        <v>0</v>
      </c>
      <c r="J376" t="n">
        <v>0</v>
      </c>
      <c r="K376" t="n">
        <v>0</v>
      </c>
      <c r="L376" t="n">
        <v>0</v>
      </c>
      <c r="M376" t="n">
        <v>0</v>
      </c>
      <c r="N376" t="n">
        <v>0</v>
      </c>
      <c r="O376" t="n">
        <v>0</v>
      </c>
      <c r="P376" t="n">
        <v>0</v>
      </c>
      <c r="Q376" t="n">
        <v>0</v>
      </c>
      <c r="R376" s="2" t="inlineStr"/>
    </row>
    <row r="377" ht="15" customHeight="1">
      <c r="A377" t="inlineStr">
        <is>
          <t>A 42402-2025</t>
        </is>
      </c>
      <c r="B377" s="1" t="n">
        <v>45905.3753125</v>
      </c>
      <c r="C377" s="1" t="n">
        <v>46038</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33310-2023</t>
        </is>
      </c>
      <c r="B378" s="1" t="n">
        <v>45127.82231481482</v>
      </c>
      <c r="C378" s="1" t="n">
        <v>46038</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54844-2021</t>
        </is>
      </c>
      <c r="B379" s="1" t="n">
        <v>44474.30614583333</v>
      </c>
      <c r="C379" s="1" t="n">
        <v>46038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471-2025</t>
        </is>
      </c>
      <c r="B380" s="1" t="n">
        <v>45664.43394675926</v>
      </c>
      <c r="C380" s="1" t="n">
        <v>46038</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51857-2022</t>
        </is>
      </c>
      <c r="B381" s="1" t="n">
        <v>44867</v>
      </c>
      <c r="C381" s="1" t="n">
        <v>46038</v>
      </c>
      <c r="D381" t="inlineStr">
        <is>
          <t>DALARNAS LÄN</t>
        </is>
      </c>
      <c r="E381" t="inlineStr">
        <is>
          <t>LEKSAND</t>
        </is>
      </c>
      <c r="G381" t="n">
        <v>1.2</v>
      </c>
      <c r="H381" t="n">
        <v>0</v>
      </c>
      <c r="I381" t="n">
        <v>0</v>
      </c>
      <c r="J381" t="n">
        <v>0</v>
      </c>
      <c r="K381" t="n">
        <v>0</v>
      </c>
      <c r="L381" t="n">
        <v>0</v>
      </c>
      <c r="M381" t="n">
        <v>0</v>
      </c>
      <c r="N381" t="n">
        <v>0</v>
      </c>
      <c r="O381" t="n">
        <v>0</v>
      </c>
      <c r="P381" t="n">
        <v>0</v>
      </c>
      <c r="Q381" t="n">
        <v>0</v>
      </c>
      <c r="R381" s="2" t="inlineStr"/>
    </row>
    <row r="382" ht="15" customHeight="1">
      <c r="A382" t="inlineStr">
        <is>
          <t>A 1267-2025</t>
        </is>
      </c>
      <c r="B382" s="1" t="n">
        <v>45667</v>
      </c>
      <c r="C382" s="1" t="n">
        <v>46038</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24714-2025</t>
        </is>
      </c>
      <c r="B383" s="1" t="n">
        <v>45798.96927083333</v>
      </c>
      <c r="C383" s="1" t="n">
        <v>46038</v>
      </c>
      <c r="D383" t="inlineStr">
        <is>
          <t>DALARNAS LÄN</t>
        </is>
      </c>
      <c r="E383" t="inlineStr">
        <is>
          <t>LEKSAND</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52293-2024</t>
        </is>
      </c>
      <c r="B384" s="1" t="n">
        <v>45608.71297453704</v>
      </c>
      <c r="C384" s="1" t="n">
        <v>46038</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1182-2025</t>
        </is>
      </c>
      <c r="B385" s="1" t="n">
        <v>45667.35712962963</v>
      </c>
      <c r="C385" s="1" t="n">
        <v>46038</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43629-2025</t>
        </is>
      </c>
      <c r="B386" s="1" t="n">
        <v>45911.70180555555</v>
      </c>
      <c r="C386" s="1" t="n">
        <v>46038</v>
      </c>
      <c r="D386" t="inlineStr">
        <is>
          <t>DALARNAS LÄN</t>
        </is>
      </c>
      <c r="E386" t="inlineStr">
        <is>
          <t>LEKSAND</t>
        </is>
      </c>
      <c r="G386" t="n">
        <v>2.1</v>
      </c>
      <c r="H386" t="n">
        <v>0</v>
      </c>
      <c r="I386" t="n">
        <v>0</v>
      </c>
      <c r="J386" t="n">
        <v>0</v>
      </c>
      <c r="K386" t="n">
        <v>0</v>
      </c>
      <c r="L386" t="n">
        <v>0</v>
      </c>
      <c r="M386" t="n">
        <v>0</v>
      </c>
      <c r="N386" t="n">
        <v>0</v>
      </c>
      <c r="O386" t="n">
        <v>0</v>
      </c>
      <c r="P386" t="n">
        <v>0</v>
      </c>
      <c r="Q386" t="n">
        <v>0</v>
      </c>
      <c r="R386" s="2" t="inlineStr"/>
    </row>
    <row r="387" ht="15" customHeight="1">
      <c r="A387" t="inlineStr">
        <is>
          <t>A 43628-2025</t>
        </is>
      </c>
      <c r="B387" s="1" t="n">
        <v>45911.70060185185</v>
      </c>
      <c r="C387" s="1" t="n">
        <v>46038</v>
      </c>
      <c r="D387" t="inlineStr">
        <is>
          <t>DALARNAS LÄN</t>
        </is>
      </c>
      <c r="E387" t="inlineStr">
        <is>
          <t>LEKSAND</t>
        </is>
      </c>
      <c r="G387" t="n">
        <v>1.4</v>
      </c>
      <c r="H387" t="n">
        <v>0</v>
      </c>
      <c r="I387" t="n">
        <v>0</v>
      </c>
      <c r="J387" t="n">
        <v>0</v>
      </c>
      <c r="K387" t="n">
        <v>0</v>
      </c>
      <c r="L387" t="n">
        <v>0</v>
      </c>
      <c r="M387" t="n">
        <v>0</v>
      </c>
      <c r="N387" t="n">
        <v>0</v>
      </c>
      <c r="O387" t="n">
        <v>0</v>
      </c>
      <c r="P387" t="n">
        <v>0</v>
      </c>
      <c r="Q387" t="n">
        <v>0</v>
      </c>
      <c r="R387" s="2" t="inlineStr"/>
    </row>
    <row r="388" ht="15" customHeight="1">
      <c r="A388" t="inlineStr">
        <is>
          <t>A 43607-2025</t>
        </is>
      </c>
      <c r="B388" s="1" t="n">
        <v>45911.66873842593</v>
      </c>
      <c r="C388" s="1" t="n">
        <v>46038</v>
      </c>
      <c r="D388" t="inlineStr">
        <is>
          <t>DALARNAS LÄN</t>
        </is>
      </c>
      <c r="E388" t="inlineStr">
        <is>
          <t>LEKSAND</t>
        </is>
      </c>
      <c r="G388" t="n">
        <v>7.3</v>
      </c>
      <c r="H388" t="n">
        <v>0</v>
      </c>
      <c r="I388" t="n">
        <v>0</v>
      </c>
      <c r="J388" t="n">
        <v>0</v>
      </c>
      <c r="K388" t="n">
        <v>0</v>
      </c>
      <c r="L388" t="n">
        <v>0</v>
      </c>
      <c r="M388" t="n">
        <v>0</v>
      </c>
      <c r="N388" t="n">
        <v>0</v>
      </c>
      <c r="O388" t="n">
        <v>0</v>
      </c>
      <c r="P388" t="n">
        <v>0</v>
      </c>
      <c r="Q388" t="n">
        <v>0</v>
      </c>
      <c r="R388" s="2" t="inlineStr"/>
    </row>
    <row r="389" ht="15" customHeight="1">
      <c r="A389" t="inlineStr">
        <is>
          <t>A 43195-2025</t>
        </is>
      </c>
      <c r="B389" s="1" t="n">
        <v>45910.4294212963</v>
      </c>
      <c r="C389" s="1" t="n">
        <v>46038</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43630-2025</t>
        </is>
      </c>
      <c r="B390" s="1" t="n">
        <v>45911.70278935185</v>
      </c>
      <c r="C390" s="1" t="n">
        <v>46038</v>
      </c>
      <c r="D390" t="inlineStr">
        <is>
          <t>DALARNAS LÄN</t>
        </is>
      </c>
      <c r="E390" t="inlineStr">
        <is>
          <t>LEKSAND</t>
        </is>
      </c>
      <c r="G390" t="n">
        <v>4.7</v>
      </c>
      <c r="H390" t="n">
        <v>0</v>
      </c>
      <c r="I390" t="n">
        <v>0</v>
      </c>
      <c r="J390" t="n">
        <v>0</v>
      </c>
      <c r="K390" t="n">
        <v>0</v>
      </c>
      <c r="L390" t="n">
        <v>0</v>
      </c>
      <c r="M390" t="n">
        <v>0</v>
      </c>
      <c r="N390" t="n">
        <v>0</v>
      </c>
      <c r="O390" t="n">
        <v>0</v>
      </c>
      <c r="P390" t="n">
        <v>0</v>
      </c>
      <c r="Q390" t="n">
        <v>0</v>
      </c>
      <c r="R390" s="2" t="inlineStr"/>
    </row>
    <row r="391" ht="15" customHeight="1">
      <c r="A391" t="inlineStr">
        <is>
          <t>A 46665-2023</t>
        </is>
      </c>
      <c r="B391" s="1" t="n">
        <v>45198.47399305556</v>
      </c>
      <c r="C391" s="1" t="n">
        <v>46038</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56943-2024</t>
        </is>
      </c>
      <c r="B392" s="1" t="n">
        <v>45625</v>
      </c>
      <c r="C392" s="1" t="n">
        <v>46038</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60715-2022</t>
        </is>
      </c>
      <c r="B393" s="1" t="n">
        <v>44912</v>
      </c>
      <c r="C393" s="1" t="n">
        <v>46038</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43830-2025</t>
        </is>
      </c>
      <c r="B394" s="1" t="n">
        <v>45912</v>
      </c>
      <c r="C394" s="1" t="n">
        <v>46038</v>
      </c>
      <c r="D394" t="inlineStr">
        <is>
          <t>DALARNAS LÄN</t>
        </is>
      </c>
      <c r="E394" t="inlineStr">
        <is>
          <t>LEKSAND</t>
        </is>
      </c>
      <c r="F394" t="inlineStr">
        <is>
          <t>Bergvik skog väst AB</t>
        </is>
      </c>
      <c r="G394" t="n">
        <v>3.1</v>
      </c>
      <c r="H394" t="n">
        <v>0</v>
      </c>
      <c r="I394" t="n">
        <v>0</v>
      </c>
      <c r="J394" t="n">
        <v>0</v>
      </c>
      <c r="K394" t="n">
        <v>0</v>
      </c>
      <c r="L394" t="n">
        <v>0</v>
      </c>
      <c r="M394" t="n">
        <v>0</v>
      </c>
      <c r="N394" t="n">
        <v>0</v>
      </c>
      <c r="O394" t="n">
        <v>0</v>
      </c>
      <c r="P394" t="n">
        <v>0</v>
      </c>
      <c r="Q394" t="n">
        <v>0</v>
      </c>
      <c r="R394" s="2" t="inlineStr"/>
    </row>
    <row r="395" ht="15" customHeight="1">
      <c r="A395" t="inlineStr">
        <is>
          <t>A 43888-2025</t>
        </is>
      </c>
      <c r="B395" s="1" t="n">
        <v>45912</v>
      </c>
      <c r="C395" s="1" t="n">
        <v>46038</v>
      </c>
      <c r="D395" t="inlineStr">
        <is>
          <t>DALARNAS LÄN</t>
        </is>
      </c>
      <c r="E395" t="inlineStr">
        <is>
          <t>LEKSAND</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43781-2025</t>
        </is>
      </c>
      <c r="B396" s="1" t="n">
        <v>45912.52229166667</v>
      </c>
      <c r="C396" s="1" t="n">
        <v>46038</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15619-2025</t>
        </is>
      </c>
      <c r="B397" s="1" t="n">
        <v>45747</v>
      </c>
      <c r="C397" s="1" t="n">
        <v>46038</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21954-2023</t>
        </is>
      </c>
      <c r="B398" s="1" t="n">
        <v>45068</v>
      </c>
      <c r="C398" s="1" t="n">
        <v>46038</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44237-2025</t>
        </is>
      </c>
      <c r="B399" s="1" t="n">
        <v>45915.6677199074</v>
      </c>
      <c r="C399" s="1" t="n">
        <v>46038</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43875-2025</t>
        </is>
      </c>
      <c r="B400" s="1" t="n">
        <v>45912.67685185185</v>
      </c>
      <c r="C400" s="1" t="n">
        <v>46038</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14797-2025</t>
        </is>
      </c>
      <c r="B401" s="1" t="n">
        <v>45742.90363425926</v>
      </c>
      <c r="C401" s="1" t="n">
        <v>46038</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59751-2024</t>
        </is>
      </c>
      <c r="B402" s="1" t="n">
        <v>45638</v>
      </c>
      <c r="C402" s="1" t="n">
        <v>46038</v>
      </c>
      <c r="D402" t="inlineStr">
        <is>
          <t>DALARNAS LÄN</t>
        </is>
      </c>
      <c r="E402" t="inlineStr">
        <is>
          <t>LEKSAND</t>
        </is>
      </c>
      <c r="G402" t="n">
        <v>5.2</v>
      </c>
      <c r="H402" t="n">
        <v>0</v>
      </c>
      <c r="I402" t="n">
        <v>0</v>
      </c>
      <c r="J402" t="n">
        <v>0</v>
      </c>
      <c r="K402" t="n">
        <v>0</v>
      </c>
      <c r="L402" t="n">
        <v>0</v>
      </c>
      <c r="M402" t="n">
        <v>0</v>
      </c>
      <c r="N402" t="n">
        <v>0</v>
      </c>
      <c r="O402" t="n">
        <v>0</v>
      </c>
      <c r="P402" t="n">
        <v>0</v>
      </c>
      <c r="Q402" t="n">
        <v>0</v>
      </c>
      <c r="R402" s="2" t="inlineStr"/>
    </row>
    <row r="403" ht="15" customHeight="1">
      <c r="A403" t="inlineStr">
        <is>
          <t>A 44519-2025</t>
        </is>
      </c>
      <c r="B403" s="1" t="n">
        <v>45916.71483796297</v>
      </c>
      <c r="C403" s="1" t="n">
        <v>46038</v>
      </c>
      <c r="D403" t="inlineStr">
        <is>
          <t>DALARNAS LÄN</t>
        </is>
      </c>
      <c r="E403" t="inlineStr">
        <is>
          <t>LEKSAND</t>
        </is>
      </c>
      <c r="G403" t="n">
        <v>3.6</v>
      </c>
      <c r="H403" t="n">
        <v>0</v>
      </c>
      <c r="I403" t="n">
        <v>0</v>
      </c>
      <c r="J403" t="n">
        <v>0</v>
      </c>
      <c r="K403" t="n">
        <v>0</v>
      </c>
      <c r="L403" t="n">
        <v>0</v>
      </c>
      <c r="M403" t="n">
        <v>0</v>
      </c>
      <c r="N403" t="n">
        <v>0</v>
      </c>
      <c r="O403" t="n">
        <v>0</v>
      </c>
      <c r="P403" t="n">
        <v>0</v>
      </c>
      <c r="Q403" t="n">
        <v>0</v>
      </c>
      <c r="R403" s="2" t="inlineStr"/>
    </row>
    <row r="404" ht="15" customHeight="1">
      <c r="A404" t="inlineStr">
        <is>
          <t>A 28128-2022</t>
        </is>
      </c>
      <c r="B404" s="1" t="n">
        <v>44746.50628472222</v>
      </c>
      <c r="C404" s="1" t="n">
        <v>46038</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61787-2022</t>
        </is>
      </c>
      <c r="B405" s="1" t="n">
        <v>44917</v>
      </c>
      <c r="C405" s="1" t="n">
        <v>46038</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44516-2025</t>
        </is>
      </c>
      <c r="B406" s="1" t="n">
        <v>45916.70982638889</v>
      </c>
      <c r="C406" s="1" t="n">
        <v>46038</v>
      </c>
      <c r="D406" t="inlineStr">
        <is>
          <t>DALARNAS LÄN</t>
        </is>
      </c>
      <c r="E406" t="inlineStr">
        <is>
          <t>LEKSAND</t>
        </is>
      </c>
      <c r="G406" t="n">
        <v>1.8</v>
      </c>
      <c r="H406" t="n">
        <v>0</v>
      </c>
      <c r="I406" t="n">
        <v>0</v>
      </c>
      <c r="J406" t="n">
        <v>0</v>
      </c>
      <c r="K406" t="n">
        <v>0</v>
      </c>
      <c r="L406" t="n">
        <v>0</v>
      </c>
      <c r="M406" t="n">
        <v>0</v>
      </c>
      <c r="N406" t="n">
        <v>0</v>
      </c>
      <c r="O406" t="n">
        <v>0</v>
      </c>
      <c r="P406" t="n">
        <v>0</v>
      </c>
      <c r="Q406" t="n">
        <v>0</v>
      </c>
      <c r="R406" s="2" t="inlineStr"/>
    </row>
    <row r="407" ht="15" customHeight="1">
      <c r="A407" t="inlineStr">
        <is>
          <t>A 44672-2025</t>
        </is>
      </c>
      <c r="B407" s="1" t="n">
        <v>45917.56780092593</v>
      </c>
      <c r="C407" s="1" t="n">
        <v>46038</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61269-2022</t>
        </is>
      </c>
      <c r="B408" s="1" t="n">
        <v>44909</v>
      </c>
      <c r="C408" s="1" t="n">
        <v>46038</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44948-2025</t>
        </is>
      </c>
      <c r="B409" s="1" t="n">
        <v>45918.60555555556</v>
      </c>
      <c r="C409" s="1" t="n">
        <v>46038</v>
      </c>
      <c r="D409" t="inlineStr">
        <is>
          <t>DALARNAS LÄN</t>
        </is>
      </c>
      <c r="E409" t="inlineStr">
        <is>
          <t>LEKSAND</t>
        </is>
      </c>
      <c r="G409" t="n">
        <v>5.1</v>
      </c>
      <c r="H409" t="n">
        <v>0</v>
      </c>
      <c r="I409" t="n">
        <v>0</v>
      </c>
      <c r="J409" t="n">
        <v>0</v>
      </c>
      <c r="K409" t="n">
        <v>0</v>
      </c>
      <c r="L409" t="n">
        <v>0</v>
      </c>
      <c r="M409" t="n">
        <v>0</v>
      </c>
      <c r="N409" t="n">
        <v>0</v>
      </c>
      <c r="O409" t="n">
        <v>0</v>
      </c>
      <c r="P409" t="n">
        <v>0</v>
      </c>
      <c r="Q409" t="n">
        <v>0</v>
      </c>
      <c r="R409" s="2" t="inlineStr"/>
    </row>
    <row r="410" ht="15" customHeight="1">
      <c r="A410" t="inlineStr">
        <is>
          <t>A 64933-2023</t>
        </is>
      </c>
      <c r="B410" s="1" t="n">
        <v>45282</v>
      </c>
      <c r="C410" s="1" t="n">
        <v>46038</v>
      </c>
      <c r="D410" t="inlineStr">
        <is>
          <t>DALARNAS LÄN</t>
        </is>
      </c>
      <c r="E410" t="inlineStr">
        <is>
          <t>LEKSAND</t>
        </is>
      </c>
      <c r="G410" t="n">
        <v>2.3</v>
      </c>
      <c r="H410" t="n">
        <v>0</v>
      </c>
      <c r="I410" t="n">
        <v>0</v>
      </c>
      <c r="J410" t="n">
        <v>0</v>
      </c>
      <c r="K410" t="n">
        <v>0</v>
      </c>
      <c r="L410" t="n">
        <v>0</v>
      </c>
      <c r="M410" t="n">
        <v>0</v>
      </c>
      <c r="N410" t="n">
        <v>0</v>
      </c>
      <c r="O410" t="n">
        <v>0</v>
      </c>
      <c r="P410" t="n">
        <v>0</v>
      </c>
      <c r="Q410" t="n">
        <v>0</v>
      </c>
      <c r="R410" s="2" t="inlineStr"/>
    </row>
    <row r="411" ht="15" customHeight="1">
      <c r="A411" t="inlineStr">
        <is>
          <t>A 24003-2024</t>
        </is>
      </c>
      <c r="B411" s="1" t="n">
        <v>45456.39003472222</v>
      </c>
      <c r="C411" s="1" t="n">
        <v>46038</v>
      </c>
      <c r="D411" t="inlineStr">
        <is>
          <t>DALARNAS LÄN</t>
        </is>
      </c>
      <c r="E411" t="inlineStr">
        <is>
          <t>LEKSAND</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45101-2025</t>
        </is>
      </c>
      <c r="B412" s="1" t="n">
        <v>45919.39679398148</v>
      </c>
      <c r="C412" s="1" t="n">
        <v>46038</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34585-2024</t>
        </is>
      </c>
      <c r="B413" s="1" t="n">
        <v>45526.37697916666</v>
      </c>
      <c r="C413" s="1" t="n">
        <v>46038</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10743-2024</t>
        </is>
      </c>
      <c r="B414" s="1" t="n">
        <v>45369.52167824074</v>
      </c>
      <c r="C414" s="1" t="n">
        <v>46038</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10771-2024</t>
        </is>
      </c>
      <c r="B415" s="1" t="n">
        <v>45369.57342592593</v>
      </c>
      <c r="C415" s="1" t="n">
        <v>46038</v>
      </c>
      <c r="D415" t="inlineStr">
        <is>
          <t>DALARNAS LÄN</t>
        </is>
      </c>
      <c r="E415" t="inlineStr">
        <is>
          <t>LEKSAND</t>
        </is>
      </c>
      <c r="G415" t="n">
        <v>0.4</v>
      </c>
      <c r="H415" t="n">
        <v>0</v>
      </c>
      <c r="I415" t="n">
        <v>0</v>
      </c>
      <c r="J415" t="n">
        <v>0</v>
      </c>
      <c r="K415" t="n">
        <v>0</v>
      </c>
      <c r="L415" t="n">
        <v>0</v>
      </c>
      <c r="M415" t="n">
        <v>0</v>
      </c>
      <c r="N415" t="n">
        <v>0</v>
      </c>
      <c r="O415" t="n">
        <v>0</v>
      </c>
      <c r="P415" t="n">
        <v>0</v>
      </c>
      <c r="Q415" t="n">
        <v>0</v>
      </c>
      <c r="R415" s="2" t="inlineStr"/>
    </row>
    <row r="416" ht="15" customHeight="1">
      <c r="A416" t="inlineStr">
        <is>
          <t>A 45381-2025</t>
        </is>
      </c>
      <c r="B416" s="1" t="n">
        <v>45922.39989583333</v>
      </c>
      <c r="C416" s="1" t="n">
        <v>46038</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45300-2025</t>
        </is>
      </c>
      <c r="B417" s="1" t="n">
        <v>45921.30490740741</v>
      </c>
      <c r="C417" s="1" t="n">
        <v>46038</v>
      </c>
      <c r="D417" t="inlineStr">
        <is>
          <t>DALARNAS LÄN</t>
        </is>
      </c>
      <c r="E417" t="inlineStr">
        <is>
          <t>LEKSAND</t>
        </is>
      </c>
      <c r="G417" t="n">
        <v>2.3</v>
      </c>
      <c r="H417" t="n">
        <v>0</v>
      </c>
      <c r="I417" t="n">
        <v>0</v>
      </c>
      <c r="J417" t="n">
        <v>0</v>
      </c>
      <c r="K417" t="n">
        <v>0</v>
      </c>
      <c r="L417" t="n">
        <v>0</v>
      </c>
      <c r="M417" t="n">
        <v>0</v>
      </c>
      <c r="N417" t="n">
        <v>0</v>
      </c>
      <c r="O417" t="n">
        <v>0</v>
      </c>
      <c r="P417" t="n">
        <v>0</v>
      </c>
      <c r="Q417" t="n">
        <v>0</v>
      </c>
      <c r="R417" s="2" t="inlineStr"/>
    </row>
    <row r="418" ht="15" customHeight="1">
      <c r="A418" t="inlineStr">
        <is>
          <t>A 45318-2025</t>
        </is>
      </c>
      <c r="B418" s="1" t="n">
        <v>45921.85230324074</v>
      </c>
      <c r="C418" s="1" t="n">
        <v>46038</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56941-2024</t>
        </is>
      </c>
      <c r="B419" s="1" t="n">
        <v>45625</v>
      </c>
      <c r="C419" s="1" t="n">
        <v>46038</v>
      </c>
      <c r="D419" t="inlineStr">
        <is>
          <t>DALARNAS LÄN</t>
        </is>
      </c>
      <c r="E419" t="inlineStr">
        <is>
          <t>LEKSAND</t>
        </is>
      </c>
      <c r="G419" t="n">
        <v>1.8</v>
      </c>
      <c r="H419" t="n">
        <v>0</v>
      </c>
      <c r="I419" t="n">
        <v>0</v>
      </c>
      <c r="J419" t="n">
        <v>0</v>
      </c>
      <c r="K419" t="n">
        <v>0</v>
      </c>
      <c r="L419" t="n">
        <v>0</v>
      </c>
      <c r="M419" t="n">
        <v>0</v>
      </c>
      <c r="N419" t="n">
        <v>0</v>
      </c>
      <c r="O419" t="n">
        <v>0</v>
      </c>
      <c r="P419" t="n">
        <v>0</v>
      </c>
      <c r="Q419" t="n">
        <v>0</v>
      </c>
      <c r="R419" s="2" t="inlineStr"/>
    </row>
    <row r="420" ht="15" customHeight="1">
      <c r="A420" t="inlineStr">
        <is>
          <t>A 46176-2025</t>
        </is>
      </c>
      <c r="B420" s="1" t="n">
        <v>45924.65101851852</v>
      </c>
      <c r="C420" s="1" t="n">
        <v>46038</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16051-2023</t>
        </is>
      </c>
      <c r="B421" s="1" t="n">
        <v>45027</v>
      </c>
      <c r="C421" s="1" t="n">
        <v>46038</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63514-2023</t>
        </is>
      </c>
      <c r="B422" s="1" t="n">
        <v>45274</v>
      </c>
      <c r="C422" s="1" t="n">
        <v>46038</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2311-2021</t>
        </is>
      </c>
      <c r="B423" s="1" t="n">
        <v>44213</v>
      </c>
      <c r="C423" s="1" t="n">
        <v>46038</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46405-2025</t>
        </is>
      </c>
      <c r="B424" s="1" t="n">
        <v>45925.56306712963</v>
      </c>
      <c r="C424" s="1" t="n">
        <v>46038</v>
      </c>
      <c r="D424" t="inlineStr">
        <is>
          <t>DALARNAS LÄN</t>
        </is>
      </c>
      <c r="E424" t="inlineStr">
        <is>
          <t>LEKSAND</t>
        </is>
      </c>
      <c r="G424" t="n">
        <v>5.7</v>
      </c>
      <c r="H424" t="n">
        <v>0</v>
      </c>
      <c r="I424" t="n">
        <v>0</v>
      </c>
      <c r="J424" t="n">
        <v>0</v>
      </c>
      <c r="K424" t="n">
        <v>0</v>
      </c>
      <c r="L424" t="n">
        <v>0</v>
      </c>
      <c r="M424" t="n">
        <v>0</v>
      </c>
      <c r="N424" t="n">
        <v>0</v>
      </c>
      <c r="O424" t="n">
        <v>0</v>
      </c>
      <c r="P424" t="n">
        <v>0</v>
      </c>
      <c r="Q424" t="n">
        <v>0</v>
      </c>
      <c r="R424" s="2" t="inlineStr"/>
    </row>
    <row r="425" ht="15" customHeight="1">
      <c r="A425" t="inlineStr">
        <is>
          <t>A 46483-2025</t>
        </is>
      </c>
      <c r="B425" s="1" t="n">
        <v>45925.70248842592</v>
      </c>
      <c r="C425" s="1" t="n">
        <v>46038</v>
      </c>
      <c r="D425" t="inlineStr">
        <is>
          <t>DALARNAS LÄN</t>
        </is>
      </c>
      <c r="E425" t="inlineStr">
        <is>
          <t>LEKSAND</t>
        </is>
      </c>
      <c r="G425" t="n">
        <v>3.6</v>
      </c>
      <c r="H425" t="n">
        <v>0</v>
      </c>
      <c r="I425" t="n">
        <v>0</v>
      </c>
      <c r="J425" t="n">
        <v>0</v>
      </c>
      <c r="K425" t="n">
        <v>0</v>
      </c>
      <c r="L425" t="n">
        <v>0</v>
      </c>
      <c r="M425" t="n">
        <v>0</v>
      </c>
      <c r="N425" t="n">
        <v>0</v>
      </c>
      <c r="O425" t="n">
        <v>0</v>
      </c>
      <c r="P425" t="n">
        <v>0</v>
      </c>
      <c r="Q425" t="n">
        <v>0</v>
      </c>
      <c r="R425" s="2" t="inlineStr"/>
    </row>
    <row r="426" ht="15" customHeight="1">
      <c r="A426" t="inlineStr">
        <is>
          <t>A 46446-2023</t>
        </is>
      </c>
      <c r="B426" s="1" t="n">
        <v>45197.59344907408</v>
      </c>
      <c r="C426" s="1" t="n">
        <v>46038</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52100-2024</t>
        </is>
      </c>
      <c r="B427" s="1" t="n">
        <v>45608.41634259259</v>
      </c>
      <c r="C427" s="1" t="n">
        <v>46038</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53981-2024</t>
        </is>
      </c>
      <c r="B428" s="1" t="n">
        <v>45615</v>
      </c>
      <c r="C428" s="1" t="n">
        <v>46038</v>
      </c>
      <c r="D428" t="inlineStr">
        <is>
          <t>DALARNAS LÄN</t>
        </is>
      </c>
      <c r="E428" t="inlineStr">
        <is>
          <t>LEKSAND</t>
        </is>
      </c>
      <c r="G428" t="n">
        <v>5.4</v>
      </c>
      <c r="H428" t="n">
        <v>0</v>
      </c>
      <c r="I428" t="n">
        <v>0</v>
      </c>
      <c r="J428" t="n">
        <v>0</v>
      </c>
      <c r="K428" t="n">
        <v>0</v>
      </c>
      <c r="L428" t="n">
        <v>0</v>
      </c>
      <c r="M428" t="n">
        <v>0</v>
      </c>
      <c r="N428" t="n">
        <v>0</v>
      </c>
      <c r="O428" t="n">
        <v>0</v>
      </c>
      <c r="P428" t="n">
        <v>0</v>
      </c>
      <c r="Q428" t="n">
        <v>0</v>
      </c>
      <c r="R428" s="2" t="inlineStr"/>
    </row>
    <row r="429" ht="15" customHeight="1">
      <c r="A429" t="inlineStr">
        <is>
          <t>A 34033-2024</t>
        </is>
      </c>
      <c r="B429" s="1" t="n">
        <v>45523.59265046296</v>
      </c>
      <c r="C429" s="1" t="n">
        <v>46038</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47068-2025</t>
        </is>
      </c>
      <c r="B430" s="1" t="n">
        <v>45929.63511574074</v>
      </c>
      <c r="C430" s="1" t="n">
        <v>46038</v>
      </c>
      <c r="D430" t="inlineStr">
        <is>
          <t>DALARNAS LÄN</t>
        </is>
      </c>
      <c r="E430" t="inlineStr">
        <is>
          <t>LEKSAND</t>
        </is>
      </c>
      <c r="G430" t="n">
        <v>3.4</v>
      </c>
      <c r="H430" t="n">
        <v>0</v>
      </c>
      <c r="I430" t="n">
        <v>0</v>
      </c>
      <c r="J430" t="n">
        <v>0</v>
      </c>
      <c r="K430" t="n">
        <v>0</v>
      </c>
      <c r="L430" t="n">
        <v>0</v>
      </c>
      <c r="M430" t="n">
        <v>0</v>
      </c>
      <c r="N430" t="n">
        <v>0</v>
      </c>
      <c r="O430" t="n">
        <v>0</v>
      </c>
      <c r="P430" t="n">
        <v>0</v>
      </c>
      <c r="Q430" t="n">
        <v>0</v>
      </c>
      <c r="R430" s="2" t="inlineStr"/>
    </row>
    <row r="431" ht="15" customHeight="1">
      <c r="A431" t="inlineStr">
        <is>
          <t>A 46949-2025</t>
        </is>
      </c>
      <c r="B431" s="1" t="n">
        <v>45929.46811342592</v>
      </c>
      <c r="C431" s="1" t="n">
        <v>46038</v>
      </c>
      <c r="D431" t="inlineStr">
        <is>
          <t>DALARNAS LÄN</t>
        </is>
      </c>
      <c r="E431" t="inlineStr">
        <is>
          <t>LEKSAND</t>
        </is>
      </c>
      <c r="G431" t="n">
        <v>5</v>
      </c>
      <c r="H431" t="n">
        <v>0</v>
      </c>
      <c r="I431" t="n">
        <v>0</v>
      </c>
      <c r="J431" t="n">
        <v>0</v>
      </c>
      <c r="K431" t="n">
        <v>0</v>
      </c>
      <c r="L431" t="n">
        <v>0</v>
      </c>
      <c r="M431" t="n">
        <v>0</v>
      </c>
      <c r="N431" t="n">
        <v>0</v>
      </c>
      <c r="O431" t="n">
        <v>0</v>
      </c>
      <c r="P431" t="n">
        <v>0</v>
      </c>
      <c r="Q431" t="n">
        <v>0</v>
      </c>
      <c r="R431" s="2" t="inlineStr"/>
    </row>
    <row r="432" ht="15" customHeight="1">
      <c r="A432" t="inlineStr">
        <is>
          <t>A 46978-2025</t>
        </is>
      </c>
      <c r="B432" s="1" t="n">
        <v>45929.51811342593</v>
      </c>
      <c r="C432" s="1" t="n">
        <v>46038</v>
      </c>
      <c r="D432" t="inlineStr">
        <is>
          <t>DALARNAS LÄN</t>
        </is>
      </c>
      <c r="E432" t="inlineStr">
        <is>
          <t>LEKSAND</t>
        </is>
      </c>
      <c r="G432" t="n">
        <v>2</v>
      </c>
      <c r="H432" t="n">
        <v>0</v>
      </c>
      <c r="I432" t="n">
        <v>0</v>
      </c>
      <c r="J432" t="n">
        <v>0</v>
      </c>
      <c r="K432" t="n">
        <v>0</v>
      </c>
      <c r="L432" t="n">
        <v>0</v>
      </c>
      <c r="M432" t="n">
        <v>0</v>
      </c>
      <c r="N432" t="n">
        <v>0</v>
      </c>
      <c r="O432" t="n">
        <v>0</v>
      </c>
      <c r="P432" t="n">
        <v>0</v>
      </c>
      <c r="Q432" t="n">
        <v>0</v>
      </c>
      <c r="R432" s="2" t="inlineStr"/>
    </row>
    <row r="433" ht="15" customHeight="1">
      <c r="A433" t="inlineStr">
        <is>
          <t>A 14504-2025</t>
        </is>
      </c>
      <c r="B433" s="1" t="n">
        <v>45741</v>
      </c>
      <c r="C433" s="1" t="n">
        <v>46038</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64516-2023</t>
        </is>
      </c>
      <c r="B434" s="1" t="n">
        <v>45280</v>
      </c>
      <c r="C434" s="1" t="n">
        <v>46038</v>
      </c>
      <c r="D434" t="inlineStr">
        <is>
          <t>DALARNAS LÄN</t>
        </is>
      </c>
      <c r="E434" t="inlineStr">
        <is>
          <t>LEKSAND</t>
        </is>
      </c>
      <c r="G434" t="n">
        <v>4.4</v>
      </c>
      <c r="H434" t="n">
        <v>0</v>
      </c>
      <c r="I434" t="n">
        <v>0</v>
      </c>
      <c r="J434" t="n">
        <v>0</v>
      </c>
      <c r="K434" t="n">
        <v>0</v>
      </c>
      <c r="L434" t="n">
        <v>0</v>
      </c>
      <c r="M434" t="n">
        <v>0</v>
      </c>
      <c r="N434" t="n">
        <v>0</v>
      </c>
      <c r="O434" t="n">
        <v>0</v>
      </c>
      <c r="P434" t="n">
        <v>0</v>
      </c>
      <c r="Q434" t="n">
        <v>0</v>
      </c>
      <c r="R434" s="2" t="inlineStr"/>
    </row>
    <row r="435" ht="15" customHeight="1">
      <c r="A435" t="inlineStr">
        <is>
          <t>A 45788-2021</t>
        </is>
      </c>
      <c r="B435" s="1" t="n">
        <v>44441</v>
      </c>
      <c r="C435" s="1" t="n">
        <v>46038</v>
      </c>
      <c r="D435" t="inlineStr">
        <is>
          <t>DALARNAS LÄN</t>
        </is>
      </c>
      <c r="E435" t="inlineStr">
        <is>
          <t>LEKSAND</t>
        </is>
      </c>
      <c r="G435" t="n">
        <v>3</v>
      </c>
      <c r="H435" t="n">
        <v>0</v>
      </c>
      <c r="I435" t="n">
        <v>0</v>
      </c>
      <c r="J435" t="n">
        <v>0</v>
      </c>
      <c r="K435" t="n">
        <v>0</v>
      </c>
      <c r="L435" t="n">
        <v>0</v>
      </c>
      <c r="M435" t="n">
        <v>0</v>
      </c>
      <c r="N435" t="n">
        <v>0</v>
      </c>
      <c r="O435" t="n">
        <v>0</v>
      </c>
      <c r="P435" t="n">
        <v>0</v>
      </c>
      <c r="Q435" t="n">
        <v>0</v>
      </c>
      <c r="R435" s="2" t="inlineStr"/>
    </row>
    <row r="436" ht="15" customHeight="1">
      <c r="A436" t="inlineStr">
        <is>
          <t>A 47976-2025</t>
        </is>
      </c>
      <c r="B436" s="1" t="n">
        <v>45932.60846064815</v>
      </c>
      <c r="C436" s="1" t="n">
        <v>46038</v>
      </c>
      <c r="D436" t="inlineStr">
        <is>
          <t>DALARNAS LÄN</t>
        </is>
      </c>
      <c r="E436" t="inlineStr">
        <is>
          <t>LEKSAND</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47977-2025</t>
        </is>
      </c>
      <c r="B437" s="1" t="n">
        <v>45932.60920138889</v>
      </c>
      <c r="C437" s="1" t="n">
        <v>46038</v>
      </c>
      <c r="D437" t="inlineStr">
        <is>
          <t>DALARNAS LÄN</t>
        </is>
      </c>
      <c r="E437" t="inlineStr">
        <is>
          <t>LEKSAND</t>
        </is>
      </c>
      <c r="F437" t="inlineStr">
        <is>
          <t>Bergvik skog väst AB</t>
        </is>
      </c>
      <c r="G437" t="n">
        <v>0.2</v>
      </c>
      <c r="H437" t="n">
        <v>0</v>
      </c>
      <c r="I437" t="n">
        <v>0</v>
      </c>
      <c r="J437" t="n">
        <v>0</v>
      </c>
      <c r="K437" t="n">
        <v>0</v>
      </c>
      <c r="L437" t="n">
        <v>0</v>
      </c>
      <c r="M437" t="n">
        <v>0</v>
      </c>
      <c r="N437" t="n">
        <v>0</v>
      </c>
      <c r="O437" t="n">
        <v>0</v>
      </c>
      <c r="P437" t="n">
        <v>0</v>
      </c>
      <c r="Q437" t="n">
        <v>0</v>
      </c>
      <c r="R437" s="2" t="inlineStr"/>
    </row>
    <row r="438" ht="15" customHeight="1">
      <c r="A438" t="inlineStr">
        <is>
          <t>A 52977-2022</t>
        </is>
      </c>
      <c r="B438" s="1" t="n">
        <v>44875</v>
      </c>
      <c r="C438" s="1" t="n">
        <v>46038</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43221-2024</t>
        </is>
      </c>
      <c r="B439" s="1" t="n">
        <v>45567.86695601852</v>
      </c>
      <c r="C439" s="1" t="n">
        <v>46038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17589-2025</t>
        </is>
      </c>
      <c r="B440" s="1" t="n">
        <v>45757.67844907408</v>
      </c>
      <c r="C440" s="1" t="n">
        <v>46038</v>
      </c>
      <c r="D440" t="inlineStr">
        <is>
          <t>DALARNAS LÄN</t>
        </is>
      </c>
      <c r="E440" t="inlineStr">
        <is>
          <t>LEKSAND</t>
        </is>
      </c>
      <c r="G440" t="n">
        <v>5.8</v>
      </c>
      <c r="H440" t="n">
        <v>0</v>
      </c>
      <c r="I440" t="n">
        <v>0</v>
      </c>
      <c r="J440" t="n">
        <v>0</v>
      </c>
      <c r="K440" t="n">
        <v>0</v>
      </c>
      <c r="L440" t="n">
        <v>0</v>
      </c>
      <c r="M440" t="n">
        <v>0</v>
      </c>
      <c r="N440" t="n">
        <v>0</v>
      </c>
      <c r="O440" t="n">
        <v>0</v>
      </c>
      <c r="P440" t="n">
        <v>0</v>
      </c>
      <c r="Q440" t="n">
        <v>0</v>
      </c>
      <c r="R440" s="2" t="inlineStr"/>
    </row>
    <row r="441" ht="15" customHeight="1">
      <c r="A441" t="inlineStr">
        <is>
          <t>A 48421-2025</t>
        </is>
      </c>
      <c r="B441" s="1" t="n">
        <v>45934.67564814815</v>
      </c>
      <c r="C441" s="1" t="n">
        <v>46038</v>
      </c>
      <c r="D441" t="inlineStr">
        <is>
          <t>DALARNAS LÄN</t>
        </is>
      </c>
      <c r="E441" t="inlineStr">
        <is>
          <t>LEKSAND</t>
        </is>
      </c>
      <c r="G441" t="n">
        <v>2.2</v>
      </c>
      <c r="H441" t="n">
        <v>0</v>
      </c>
      <c r="I441" t="n">
        <v>0</v>
      </c>
      <c r="J441" t="n">
        <v>0</v>
      </c>
      <c r="K441" t="n">
        <v>0</v>
      </c>
      <c r="L441" t="n">
        <v>0</v>
      </c>
      <c r="M441" t="n">
        <v>0</v>
      </c>
      <c r="N441" t="n">
        <v>0</v>
      </c>
      <c r="O441" t="n">
        <v>0</v>
      </c>
      <c r="P441" t="n">
        <v>0</v>
      </c>
      <c r="Q441" t="n">
        <v>0</v>
      </c>
      <c r="R441" s="2" t="inlineStr"/>
    </row>
    <row r="442" ht="15" customHeight="1">
      <c r="A442" t="inlineStr">
        <is>
          <t>A 29157-2022</t>
        </is>
      </c>
      <c r="B442" s="1" t="n">
        <v>44750.48355324074</v>
      </c>
      <c r="C442" s="1" t="n">
        <v>46038</v>
      </c>
      <c r="D442" t="inlineStr">
        <is>
          <t>DALARNAS LÄN</t>
        </is>
      </c>
      <c r="E442" t="inlineStr">
        <is>
          <t>LEKSAND</t>
        </is>
      </c>
      <c r="F442" t="inlineStr">
        <is>
          <t>Bergvik skog väst AB</t>
        </is>
      </c>
      <c r="G442" t="n">
        <v>2.7</v>
      </c>
      <c r="H442" t="n">
        <v>0</v>
      </c>
      <c r="I442" t="n">
        <v>0</v>
      </c>
      <c r="J442" t="n">
        <v>0</v>
      </c>
      <c r="K442" t="n">
        <v>0</v>
      </c>
      <c r="L442" t="n">
        <v>0</v>
      </c>
      <c r="M442" t="n">
        <v>0</v>
      </c>
      <c r="N442" t="n">
        <v>0</v>
      </c>
      <c r="O442" t="n">
        <v>0</v>
      </c>
      <c r="P442" t="n">
        <v>0</v>
      </c>
      <c r="Q442" t="n">
        <v>0</v>
      </c>
      <c r="R442" s="2" t="inlineStr"/>
    </row>
    <row r="443" ht="15" customHeight="1">
      <c r="A443" t="inlineStr">
        <is>
          <t>A 11080-2023</t>
        </is>
      </c>
      <c r="B443" s="1" t="n">
        <v>44992</v>
      </c>
      <c r="C443" s="1" t="n">
        <v>46038</v>
      </c>
      <c r="D443" t="inlineStr">
        <is>
          <t>DALARNAS LÄN</t>
        </is>
      </c>
      <c r="E443" t="inlineStr">
        <is>
          <t>LEKSAND</t>
        </is>
      </c>
      <c r="G443" t="n">
        <v>6.9</v>
      </c>
      <c r="H443" t="n">
        <v>0</v>
      </c>
      <c r="I443" t="n">
        <v>0</v>
      </c>
      <c r="J443" t="n">
        <v>0</v>
      </c>
      <c r="K443" t="n">
        <v>0</v>
      </c>
      <c r="L443" t="n">
        <v>0</v>
      </c>
      <c r="M443" t="n">
        <v>0</v>
      </c>
      <c r="N443" t="n">
        <v>0</v>
      </c>
      <c r="O443" t="n">
        <v>0</v>
      </c>
      <c r="P443" t="n">
        <v>0</v>
      </c>
      <c r="Q443" t="n">
        <v>0</v>
      </c>
      <c r="R443" s="2" t="inlineStr"/>
    </row>
    <row r="444" ht="15" customHeight="1">
      <c r="A444" t="inlineStr">
        <is>
          <t>A 320-2023</t>
        </is>
      </c>
      <c r="B444" s="1" t="n">
        <v>44929</v>
      </c>
      <c r="C444" s="1" t="n">
        <v>46038</v>
      </c>
      <c r="D444" t="inlineStr">
        <is>
          <t>DALARNAS LÄN</t>
        </is>
      </c>
      <c r="E444" t="inlineStr">
        <is>
          <t>LEKSAND</t>
        </is>
      </c>
      <c r="F444" t="inlineStr">
        <is>
          <t>Övriga Aktiebolag</t>
        </is>
      </c>
      <c r="G444" t="n">
        <v>5.4</v>
      </c>
      <c r="H444" t="n">
        <v>0</v>
      </c>
      <c r="I444" t="n">
        <v>0</v>
      </c>
      <c r="J444" t="n">
        <v>0</v>
      </c>
      <c r="K444" t="n">
        <v>0</v>
      </c>
      <c r="L444" t="n">
        <v>0</v>
      </c>
      <c r="M444" t="n">
        <v>0</v>
      </c>
      <c r="N444" t="n">
        <v>0</v>
      </c>
      <c r="O444" t="n">
        <v>0</v>
      </c>
      <c r="P444" t="n">
        <v>0</v>
      </c>
      <c r="Q444" t="n">
        <v>0</v>
      </c>
      <c r="R444" s="2" t="inlineStr"/>
    </row>
    <row r="445" ht="15" customHeight="1">
      <c r="A445" t="inlineStr">
        <is>
          <t>A 48829-2025</t>
        </is>
      </c>
      <c r="B445" s="1" t="n">
        <v>45936</v>
      </c>
      <c r="C445" s="1" t="n">
        <v>46038</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57930-2024</t>
        </is>
      </c>
      <c r="B446" s="1" t="n">
        <v>45630</v>
      </c>
      <c r="C446" s="1" t="n">
        <v>46038</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57927-2024</t>
        </is>
      </c>
      <c r="B447" s="1" t="n">
        <v>45630</v>
      </c>
      <c r="C447" s="1" t="n">
        <v>46038</v>
      </c>
      <c r="D447" t="inlineStr">
        <is>
          <t>DALARNAS LÄN</t>
        </is>
      </c>
      <c r="E447" t="inlineStr">
        <is>
          <t>LEKSAND</t>
        </is>
      </c>
      <c r="G447" t="n">
        <v>0.2</v>
      </c>
      <c r="H447" t="n">
        <v>0</v>
      </c>
      <c r="I447" t="n">
        <v>0</v>
      </c>
      <c r="J447" t="n">
        <v>0</v>
      </c>
      <c r="K447" t="n">
        <v>0</v>
      </c>
      <c r="L447" t="n">
        <v>0</v>
      </c>
      <c r="M447" t="n">
        <v>0</v>
      </c>
      <c r="N447" t="n">
        <v>0</v>
      </c>
      <c r="O447" t="n">
        <v>0</v>
      </c>
      <c r="P447" t="n">
        <v>0</v>
      </c>
      <c r="Q447" t="n">
        <v>0</v>
      </c>
      <c r="R447" s="2" t="inlineStr"/>
    </row>
    <row r="448" ht="15" customHeight="1">
      <c r="A448" t="inlineStr">
        <is>
          <t>A 40181-2023</t>
        </is>
      </c>
      <c r="B448" s="1" t="n">
        <v>45169</v>
      </c>
      <c r="C448" s="1" t="n">
        <v>46038</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49505-2025</t>
        </is>
      </c>
      <c r="B449" s="1" t="n">
        <v>45939.37564814815</v>
      </c>
      <c r="C449" s="1" t="n">
        <v>46038</v>
      </c>
      <c r="D449" t="inlineStr">
        <is>
          <t>DALARNAS LÄN</t>
        </is>
      </c>
      <c r="E449" t="inlineStr">
        <is>
          <t>LEKSAND</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48922-2025</t>
        </is>
      </c>
      <c r="B450" s="1" t="n">
        <v>45937.50077546296</v>
      </c>
      <c r="C450" s="1" t="n">
        <v>46038</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63544-2023</t>
        </is>
      </c>
      <c r="B451" s="1" t="n">
        <v>45275</v>
      </c>
      <c r="C451" s="1" t="n">
        <v>46038</v>
      </c>
      <c r="D451" t="inlineStr">
        <is>
          <t>DALARNAS LÄN</t>
        </is>
      </c>
      <c r="E451" t="inlineStr">
        <is>
          <t>LEKSAND</t>
        </is>
      </c>
      <c r="G451" t="n">
        <v>0.3</v>
      </c>
      <c r="H451" t="n">
        <v>0</v>
      </c>
      <c r="I451" t="n">
        <v>0</v>
      </c>
      <c r="J451" t="n">
        <v>0</v>
      </c>
      <c r="K451" t="n">
        <v>0</v>
      </c>
      <c r="L451" t="n">
        <v>0</v>
      </c>
      <c r="M451" t="n">
        <v>0</v>
      </c>
      <c r="N451" t="n">
        <v>0</v>
      </c>
      <c r="O451" t="n">
        <v>0</v>
      </c>
      <c r="P451" t="n">
        <v>0</v>
      </c>
      <c r="Q451" t="n">
        <v>0</v>
      </c>
      <c r="R451" s="2" t="inlineStr"/>
    </row>
    <row r="452" ht="15" customHeight="1">
      <c r="A452" t="inlineStr">
        <is>
          <t>A 49076-2025</t>
        </is>
      </c>
      <c r="B452" s="1" t="n">
        <v>45937.65601851852</v>
      </c>
      <c r="C452" s="1" t="n">
        <v>46038</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58877-2023</t>
        </is>
      </c>
      <c r="B453" s="1" t="n">
        <v>45252</v>
      </c>
      <c r="C453" s="1" t="n">
        <v>46038</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48824-2025</t>
        </is>
      </c>
      <c r="B454" s="1" t="n">
        <v>45937.37949074074</v>
      </c>
      <c r="C454" s="1" t="n">
        <v>46038</v>
      </c>
      <c r="D454" t="inlineStr">
        <is>
          <t>DALARNAS LÄN</t>
        </is>
      </c>
      <c r="E454" t="inlineStr">
        <is>
          <t>LEKSAND</t>
        </is>
      </c>
      <c r="G454" t="n">
        <v>6.3</v>
      </c>
      <c r="H454" t="n">
        <v>0</v>
      </c>
      <c r="I454" t="n">
        <v>0</v>
      </c>
      <c r="J454" t="n">
        <v>0</v>
      </c>
      <c r="K454" t="n">
        <v>0</v>
      </c>
      <c r="L454" t="n">
        <v>0</v>
      </c>
      <c r="M454" t="n">
        <v>0</v>
      </c>
      <c r="N454" t="n">
        <v>0</v>
      </c>
      <c r="O454" t="n">
        <v>0</v>
      </c>
      <c r="P454" t="n">
        <v>0</v>
      </c>
      <c r="Q454" t="n">
        <v>0</v>
      </c>
      <c r="R454" s="2" t="inlineStr"/>
    </row>
    <row r="455" ht="15" customHeight="1">
      <c r="A455" t="inlineStr">
        <is>
          <t>A 51377-2023</t>
        </is>
      </c>
      <c r="B455" s="1" t="n">
        <v>45219</v>
      </c>
      <c r="C455" s="1" t="n">
        <v>46038</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49212-2025</t>
        </is>
      </c>
      <c r="B456" s="1" t="n">
        <v>45938.43855324074</v>
      </c>
      <c r="C456" s="1" t="n">
        <v>46038</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49209-2025</t>
        </is>
      </c>
      <c r="B457" s="1" t="n">
        <v>45938.43589120371</v>
      </c>
      <c r="C457" s="1" t="n">
        <v>46038</v>
      </c>
      <c r="D457" t="inlineStr">
        <is>
          <t>DALARNAS LÄN</t>
        </is>
      </c>
      <c r="E457" t="inlineStr">
        <is>
          <t>LEKSAND</t>
        </is>
      </c>
      <c r="G457" t="n">
        <v>4.8</v>
      </c>
      <c r="H457" t="n">
        <v>0</v>
      </c>
      <c r="I457" t="n">
        <v>0</v>
      </c>
      <c r="J457" t="n">
        <v>0</v>
      </c>
      <c r="K457" t="n">
        <v>0</v>
      </c>
      <c r="L457" t="n">
        <v>0</v>
      </c>
      <c r="M457" t="n">
        <v>0</v>
      </c>
      <c r="N457" t="n">
        <v>0</v>
      </c>
      <c r="O457" t="n">
        <v>0</v>
      </c>
      <c r="P457" t="n">
        <v>0</v>
      </c>
      <c r="Q457" t="n">
        <v>0</v>
      </c>
      <c r="R457" s="2" t="inlineStr"/>
    </row>
    <row r="458" ht="15" customHeight="1">
      <c r="A458" t="inlineStr">
        <is>
          <t>A 52572-2024</t>
        </is>
      </c>
      <c r="B458" s="1" t="n">
        <v>45609.66488425926</v>
      </c>
      <c r="C458" s="1" t="n">
        <v>46038</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41853-2023</t>
        </is>
      </c>
      <c r="B459" s="1" t="n">
        <v>45176.62483796296</v>
      </c>
      <c r="C459" s="1" t="n">
        <v>46038</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27520-2023</t>
        </is>
      </c>
      <c r="B460" s="1" t="n">
        <v>45097</v>
      </c>
      <c r="C460" s="1" t="n">
        <v>46038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55926-2024</t>
        </is>
      </c>
      <c r="B461" s="1" t="n">
        <v>45623.601875</v>
      </c>
      <c r="C461" s="1" t="n">
        <v>46038</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49405-2024</t>
        </is>
      </c>
      <c r="B462" s="1" t="n">
        <v>45595</v>
      </c>
      <c r="C462" s="1" t="n">
        <v>46038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32726-2025</t>
        </is>
      </c>
      <c r="B463" s="1" t="n">
        <v>45839.3969212963</v>
      </c>
      <c r="C463" s="1" t="n">
        <v>46038</v>
      </c>
      <c r="D463" t="inlineStr">
        <is>
          <t>DALARNAS LÄN</t>
        </is>
      </c>
      <c r="E463" t="inlineStr">
        <is>
          <t>LEKSAND</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17078-2023</t>
        </is>
      </c>
      <c r="B464" s="1" t="n">
        <v>45034</v>
      </c>
      <c r="C464" s="1" t="n">
        <v>46038</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11110-2023</t>
        </is>
      </c>
      <c r="B465" s="1" t="n">
        <v>44992</v>
      </c>
      <c r="C465" s="1" t="n">
        <v>46038</v>
      </c>
      <c r="D465" t="inlineStr">
        <is>
          <t>DALARNAS LÄN</t>
        </is>
      </c>
      <c r="E465" t="inlineStr">
        <is>
          <t>LEKSAND</t>
        </is>
      </c>
      <c r="G465" t="n">
        <v>11.2</v>
      </c>
      <c r="H465" t="n">
        <v>0</v>
      </c>
      <c r="I465" t="n">
        <v>0</v>
      </c>
      <c r="J465" t="n">
        <v>0</v>
      </c>
      <c r="K465" t="n">
        <v>0</v>
      </c>
      <c r="L465" t="n">
        <v>0</v>
      </c>
      <c r="M465" t="n">
        <v>0</v>
      </c>
      <c r="N465" t="n">
        <v>0</v>
      </c>
      <c r="O465" t="n">
        <v>0</v>
      </c>
      <c r="P465" t="n">
        <v>0</v>
      </c>
      <c r="Q465" t="n">
        <v>0</v>
      </c>
      <c r="R465" s="2" t="inlineStr"/>
    </row>
    <row r="466" ht="15" customHeight="1">
      <c r="A466" t="inlineStr">
        <is>
          <t>A 50332-2025</t>
        </is>
      </c>
      <c r="B466" s="1" t="n">
        <v>45944.47092592593</v>
      </c>
      <c r="C466" s="1" t="n">
        <v>46038</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56059-2024</t>
        </is>
      </c>
      <c r="B467" s="1" t="n">
        <v>45624.36729166667</v>
      </c>
      <c r="C467" s="1" t="n">
        <v>46038</v>
      </c>
      <c r="D467" t="inlineStr">
        <is>
          <t>DALARNAS LÄN</t>
        </is>
      </c>
      <c r="E467" t="inlineStr">
        <is>
          <t>LEKSAND</t>
        </is>
      </c>
      <c r="G467" t="n">
        <v>3.1</v>
      </c>
      <c r="H467" t="n">
        <v>0</v>
      </c>
      <c r="I467" t="n">
        <v>0</v>
      </c>
      <c r="J467" t="n">
        <v>0</v>
      </c>
      <c r="K467" t="n">
        <v>0</v>
      </c>
      <c r="L467" t="n">
        <v>0</v>
      </c>
      <c r="M467" t="n">
        <v>0</v>
      </c>
      <c r="N467" t="n">
        <v>0</v>
      </c>
      <c r="O467" t="n">
        <v>0</v>
      </c>
      <c r="P467" t="n">
        <v>0</v>
      </c>
      <c r="Q467" t="n">
        <v>0</v>
      </c>
      <c r="R467" s="2" t="inlineStr"/>
    </row>
    <row r="468" ht="15" customHeight="1">
      <c r="A468" t="inlineStr">
        <is>
          <t>A 45943-2022</t>
        </is>
      </c>
      <c r="B468" s="1" t="n">
        <v>44846.64418981481</v>
      </c>
      <c r="C468" s="1" t="n">
        <v>46038</v>
      </c>
      <c r="D468" t="inlineStr">
        <is>
          <t>DALARNAS LÄN</t>
        </is>
      </c>
      <c r="E468" t="inlineStr">
        <is>
          <t>LEKSAND</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50704-2025</t>
        </is>
      </c>
      <c r="B469" s="1" t="n">
        <v>45946.27984953704</v>
      </c>
      <c r="C469" s="1" t="n">
        <v>46038</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7928-2023</t>
        </is>
      </c>
      <c r="B470" s="1" t="n">
        <v>44973</v>
      </c>
      <c r="C470" s="1" t="n">
        <v>46038</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6028-2025</t>
        </is>
      </c>
      <c r="B471" s="1" t="n">
        <v>45695</v>
      </c>
      <c r="C471" s="1" t="n">
        <v>46038</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60113-2022</t>
        </is>
      </c>
      <c r="B472" s="1" t="n">
        <v>44909</v>
      </c>
      <c r="C472" s="1" t="n">
        <v>46038</v>
      </c>
      <c r="D472" t="inlineStr">
        <is>
          <t>DALARNAS LÄN</t>
        </is>
      </c>
      <c r="E472" t="inlineStr">
        <is>
          <t>LEKSAND</t>
        </is>
      </c>
      <c r="G472" t="n">
        <v>3.7</v>
      </c>
      <c r="H472" t="n">
        <v>0</v>
      </c>
      <c r="I472" t="n">
        <v>0</v>
      </c>
      <c r="J472" t="n">
        <v>0</v>
      </c>
      <c r="K472" t="n">
        <v>0</v>
      </c>
      <c r="L472" t="n">
        <v>0</v>
      </c>
      <c r="M472" t="n">
        <v>0</v>
      </c>
      <c r="N472" t="n">
        <v>0</v>
      </c>
      <c r="O472" t="n">
        <v>0</v>
      </c>
      <c r="P472" t="n">
        <v>0</v>
      </c>
      <c r="Q472" t="n">
        <v>0</v>
      </c>
      <c r="R472" s="2" t="inlineStr"/>
    </row>
    <row r="473" ht="15" customHeight="1">
      <c r="A473" t="inlineStr">
        <is>
          <t>A 19550-2023</t>
        </is>
      </c>
      <c r="B473" s="1" t="n">
        <v>45049</v>
      </c>
      <c r="C473" s="1" t="n">
        <v>46038</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31915-2024</t>
        </is>
      </c>
      <c r="B474" s="1" t="n">
        <v>45510.38956018518</v>
      </c>
      <c r="C474" s="1" t="n">
        <v>46038</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51768-2025</t>
        </is>
      </c>
      <c r="B475" s="1" t="n">
        <v>45951.64041666667</v>
      </c>
      <c r="C475" s="1" t="n">
        <v>46038</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51480-2022</t>
        </is>
      </c>
      <c r="B476" s="1" t="n">
        <v>44869.57961805556</v>
      </c>
      <c r="C476" s="1" t="n">
        <v>46038</v>
      </c>
      <c r="D476" t="inlineStr">
        <is>
          <t>DALARNAS LÄN</t>
        </is>
      </c>
      <c r="E476" t="inlineStr">
        <is>
          <t>LEKSAND</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51728-2025</t>
        </is>
      </c>
      <c r="B477" s="1" t="n">
        <v>45951</v>
      </c>
      <c r="C477" s="1" t="n">
        <v>46038</v>
      </c>
      <c r="D477" t="inlineStr">
        <is>
          <t>DALARNAS LÄN</t>
        </is>
      </c>
      <c r="E477" t="inlineStr">
        <is>
          <t>LEKSAND</t>
        </is>
      </c>
      <c r="F477" t="inlineStr">
        <is>
          <t>Bergvik skog väst AB</t>
        </is>
      </c>
      <c r="G477" t="n">
        <v>14.2</v>
      </c>
      <c r="H477" t="n">
        <v>0</v>
      </c>
      <c r="I477" t="n">
        <v>0</v>
      </c>
      <c r="J477" t="n">
        <v>0</v>
      </c>
      <c r="K477" t="n">
        <v>0</v>
      </c>
      <c r="L477" t="n">
        <v>0</v>
      </c>
      <c r="M477" t="n">
        <v>0</v>
      </c>
      <c r="N477" t="n">
        <v>0</v>
      </c>
      <c r="O477" t="n">
        <v>0</v>
      </c>
      <c r="P477" t="n">
        <v>0</v>
      </c>
      <c r="Q477" t="n">
        <v>0</v>
      </c>
      <c r="R477" s="2" t="inlineStr"/>
    </row>
    <row r="478" ht="15" customHeight="1">
      <c r="A478" t="inlineStr">
        <is>
          <t>A 43220-2024</t>
        </is>
      </c>
      <c r="B478" s="1" t="n">
        <v>45567.86112268519</v>
      </c>
      <c r="C478" s="1" t="n">
        <v>46038</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51663-2025</t>
        </is>
      </c>
      <c r="B479" s="1" t="n">
        <v>45951</v>
      </c>
      <c r="C479" s="1" t="n">
        <v>46038</v>
      </c>
      <c r="D479" t="inlineStr">
        <is>
          <t>DALARNAS LÄN</t>
        </is>
      </c>
      <c r="E479" t="inlineStr">
        <is>
          <t>LEKSAND</t>
        </is>
      </c>
      <c r="F479" t="inlineStr">
        <is>
          <t>Bergvik skog väst AB</t>
        </is>
      </c>
      <c r="G479" t="n">
        <v>3.1</v>
      </c>
      <c r="H479" t="n">
        <v>0</v>
      </c>
      <c r="I479" t="n">
        <v>0</v>
      </c>
      <c r="J479" t="n">
        <v>0</v>
      </c>
      <c r="K479" t="n">
        <v>0</v>
      </c>
      <c r="L479" t="n">
        <v>0</v>
      </c>
      <c r="M479" t="n">
        <v>0</v>
      </c>
      <c r="N479" t="n">
        <v>0</v>
      </c>
      <c r="O479" t="n">
        <v>0</v>
      </c>
      <c r="P479" t="n">
        <v>0</v>
      </c>
      <c r="Q479" t="n">
        <v>0</v>
      </c>
      <c r="R479" s="2" t="inlineStr"/>
    </row>
    <row r="480" ht="15" customHeight="1">
      <c r="A480" t="inlineStr">
        <is>
          <t>A 49397-2024</t>
        </is>
      </c>
      <c r="B480" s="1" t="n">
        <v>45595</v>
      </c>
      <c r="C480" s="1" t="n">
        <v>46038</v>
      </c>
      <c r="D480" t="inlineStr">
        <is>
          <t>DALARNAS LÄN</t>
        </is>
      </c>
      <c r="E480" t="inlineStr">
        <is>
          <t>LEKSAND</t>
        </is>
      </c>
      <c r="G480" t="n">
        <v>4.3</v>
      </c>
      <c r="H480" t="n">
        <v>0</v>
      </c>
      <c r="I480" t="n">
        <v>0</v>
      </c>
      <c r="J480" t="n">
        <v>0</v>
      </c>
      <c r="K480" t="n">
        <v>0</v>
      </c>
      <c r="L480" t="n">
        <v>0</v>
      </c>
      <c r="M480" t="n">
        <v>0</v>
      </c>
      <c r="N480" t="n">
        <v>0</v>
      </c>
      <c r="O480" t="n">
        <v>0</v>
      </c>
      <c r="P480" t="n">
        <v>0</v>
      </c>
      <c r="Q480" t="n">
        <v>0</v>
      </c>
      <c r="R480" s="2" t="inlineStr"/>
    </row>
    <row r="481" ht="15" customHeight="1">
      <c r="A481" t="inlineStr">
        <is>
          <t>A 57907-2024</t>
        </is>
      </c>
      <c r="B481" s="1" t="n">
        <v>45630</v>
      </c>
      <c r="C481" s="1" t="n">
        <v>46038</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51926-2025</t>
        </is>
      </c>
      <c r="B482" s="1" t="n">
        <v>45952.49537037037</v>
      </c>
      <c r="C482" s="1" t="n">
        <v>46038</v>
      </c>
      <c r="D482" t="inlineStr">
        <is>
          <t>DALARNAS LÄN</t>
        </is>
      </c>
      <c r="E482" t="inlineStr">
        <is>
          <t>LEKSAND</t>
        </is>
      </c>
      <c r="G482" t="n">
        <v>2.3</v>
      </c>
      <c r="H482" t="n">
        <v>0</v>
      </c>
      <c r="I482" t="n">
        <v>0</v>
      </c>
      <c r="J482" t="n">
        <v>0</v>
      </c>
      <c r="K482" t="n">
        <v>0</v>
      </c>
      <c r="L482" t="n">
        <v>0</v>
      </c>
      <c r="M482" t="n">
        <v>0</v>
      </c>
      <c r="N482" t="n">
        <v>0</v>
      </c>
      <c r="O482" t="n">
        <v>0</v>
      </c>
      <c r="P482" t="n">
        <v>0</v>
      </c>
      <c r="Q482" t="n">
        <v>0</v>
      </c>
      <c r="R482" s="2" t="inlineStr"/>
    </row>
    <row r="483" ht="15" customHeight="1">
      <c r="A483" t="inlineStr">
        <is>
          <t>A 52671-2025</t>
        </is>
      </c>
      <c r="B483" s="1" t="n">
        <v>45955.98113425926</v>
      </c>
      <c r="C483" s="1" t="n">
        <v>46038</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60338-2025</t>
        </is>
      </c>
      <c r="B484" s="1" t="n">
        <v>45993</v>
      </c>
      <c r="C484" s="1" t="n">
        <v>46038</v>
      </c>
      <c r="D484" t="inlineStr">
        <is>
          <t>DALARNAS LÄN</t>
        </is>
      </c>
      <c r="E484" t="inlineStr">
        <is>
          <t>LEKSAND</t>
        </is>
      </c>
      <c r="G484" t="n">
        <v>2.5</v>
      </c>
      <c r="H484" t="n">
        <v>0</v>
      </c>
      <c r="I484" t="n">
        <v>0</v>
      </c>
      <c r="J484" t="n">
        <v>0</v>
      </c>
      <c r="K484" t="n">
        <v>0</v>
      </c>
      <c r="L484" t="n">
        <v>0</v>
      </c>
      <c r="M484" t="n">
        <v>0</v>
      </c>
      <c r="N484" t="n">
        <v>0</v>
      </c>
      <c r="O484" t="n">
        <v>0</v>
      </c>
      <c r="P484" t="n">
        <v>0</v>
      </c>
      <c r="Q484" t="n">
        <v>0</v>
      </c>
      <c r="R484" s="2" t="inlineStr"/>
    </row>
    <row r="485" ht="15" customHeight="1">
      <c r="A485" t="inlineStr">
        <is>
          <t>A 60614-2025</t>
        </is>
      </c>
      <c r="B485" s="1" t="n">
        <v>45996.36671296296</v>
      </c>
      <c r="C485" s="1" t="n">
        <v>46038</v>
      </c>
      <c r="D485" t="inlineStr">
        <is>
          <t>DALARNAS LÄN</t>
        </is>
      </c>
      <c r="E485" t="inlineStr">
        <is>
          <t>LEKSAND</t>
        </is>
      </c>
      <c r="G485" t="n">
        <v>3.4</v>
      </c>
      <c r="H485" t="n">
        <v>0</v>
      </c>
      <c r="I485" t="n">
        <v>0</v>
      </c>
      <c r="J485" t="n">
        <v>0</v>
      </c>
      <c r="K485" t="n">
        <v>0</v>
      </c>
      <c r="L485" t="n">
        <v>0</v>
      </c>
      <c r="M485" t="n">
        <v>0</v>
      </c>
      <c r="N485" t="n">
        <v>0</v>
      </c>
      <c r="O485" t="n">
        <v>0</v>
      </c>
      <c r="P485" t="n">
        <v>0</v>
      </c>
      <c r="Q485" t="n">
        <v>0</v>
      </c>
      <c r="R485" s="2" t="inlineStr"/>
    </row>
    <row r="486" ht="15" customHeight="1">
      <c r="A486" t="inlineStr">
        <is>
          <t>A 9105-2024</t>
        </is>
      </c>
      <c r="B486" s="1" t="n">
        <v>45357</v>
      </c>
      <c r="C486" s="1" t="n">
        <v>46038</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24005-2024</t>
        </is>
      </c>
      <c r="B487" s="1" t="n">
        <v>45456.39239583333</v>
      </c>
      <c r="C487" s="1" t="n">
        <v>46038</v>
      </c>
      <c r="D487" t="inlineStr">
        <is>
          <t>DALARNAS LÄN</t>
        </is>
      </c>
      <c r="E487" t="inlineStr">
        <is>
          <t>LEKSAND</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61225-2023</t>
        </is>
      </c>
      <c r="B488" s="1" t="n">
        <v>45264</v>
      </c>
      <c r="C488" s="1" t="n">
        <v>46038</v>
      </c>
      <c r="D488" t="inlineStr">
        <is>
          <t>DALARNAS LÄN</t>
        </is>
      </c>
      <c r="E488" t="inlineStr">
        <is>
          <t>LEKSAND</t>
        </is>
      </c>
      <c r="G488" t="n">
        <v>7</v>
      </c>
      <c r="H488" t="n">
        <v>0</v>
      </c>
      <c r="I488" t="n">
        <v>0</v>
      </c>
      <c r="J488" t="n">
        <v>0</v>
      </c>
      <c r="K488" t="n">
        <v>0</v>
      </c>
      <c r="L488" t="n">
        <v>0</v>
      </c>
      <c r="M488" t="n">
        <v>0</v>
      </c>
      <c r="N488" t="n">
        <v>0</v>
      </c>
      <c r="O488" t="n">
        <v>0</v>
      </c>
      <c r="P488" t="n">
        <v>0</v>
      </c>
      <c r="Q488" t="n">
        <v>0</v>
      </c>
      <c r="R488" s="2" t="inlineStr"/>
    </row>
    <row r="489" ht="15" customHeight="1">
      <c r="A489" t="inlineStr">
        <is>
          <t>A 15968-2025</t>
        </is>
      </c>
      <c r="B489" s="1" t="n">
        <v>45749.54818287037</v>
      </c>
      <c r="C489" s="1" t="n">
        <v>46038</v>
      </c>
      <c r="D489" t="inlineStr">
        <is>
          <t>DALARNAS LÄN</t>
        </is>
      </c>
      <c r="E489" t="inlineStr">
        <is>
          <t>LEKSAND</t>
        </is>
      </c>
      <c r="G489" t="n">
        <v>3.2</v>
      </c>
      <c r="H489" t="n">
        <v>0</v>
      </c>
      <c r="I489" t="n">
        <v>0</v>
      </c>
      <c r="J489" t="n">
        <v>0</v>
      </c>
      <c r="K489" t="n">
        <v>0</v>
      </c>
      <c r="L489" t="n">
        <v>0</v>
      </c>
      <c r="M489" t="n">
        <v>0</v>
      </c>
      <c r="N489" t="n">
        <v>0</v>
      </c>
      <c r="O489" t="n">
        <v>0</v>
      </c>
      <c r="P489" t="n">
        <v>0</v>
      </c>
      <c r="Q489" t="n">
        <v>0</v>
      </c>
      <c r="R489" s="2" t="inlineStr"/>
    </row>
    <row r="490" ht="15" customHeight="1">
      <c r="A490" t="inlineStr">
        <is>
          <t>A 30196-2023</t>
        </is>
      </c>
      <c r="B490" s="1" t="n">
        <v>45110</v>
      </c>
      <c r="C490" s="1" t="n">
        <v>46038</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10833-2023</t>
        </is>
      </c>
      <c r="B491" s="1" t="n">
        <v>44990</v>
      </c>
      <c r="C491" s="1" t="n">
        <v>46038</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53243-2025</t>
        </is>
      </c>
      <c r="B492" s="1" t="n">
        <v>45958.6442824074</v>
      </c>
      <c r="C492" s="1" t="n">
        <v>46038</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47121-2021</t>
        </is>
      </c>
      <c r="B493" s="1" t="n">
        <v>44446</v>
      </c>
      <c r="C493" s="1" t="n">
        <v>46038</v>
      </c>
      <c r="D493" t="inlineStr">
        <is>
          <t>DALARNAS LÄN</t>
        </is>
      </c>
      <c r="E493" t="inlineStr">
        <is>
          <t>LEKSAND</t>
        </is>
      </c>
      <c r="G493" t="n">
        <v>3.5</v>
      </c>
      <c r="H493" t="n">
        <v>0</v>
      </c>
      <c r="I493" t="n">
        <v>0</v>
      </c>
      <c r="J493" t="n">
        <v>0</v>
      </c>
      <c r="K493" t="n">
        <v>0</v>
      </c>
      <c r="L493" t="n">
        <v>0</v>
      </c>
      <c r="M493" t="n">
        <v>0</v>
      </c>
      <c r="N493" t="n">
        <v>0</v>
      </c>
      <c r="O493" t="n">
        <v>0</v>
      </c>
      <c r="P493" t="n">
        <v>0</v>
      </c>
      <c r="Q493" t="n">
        <v>0</v>
      </c>
      <c r="R493" s="2" t="inlineStr"/>
    </row>
    <row r="494" ht="15" customHeight="1">
      <c r="A494" t="inlineStr">
        <is>
          <t>A 36444-2023</t>
        </is>
      </c>
      <c r="B494" s="1" t="n">
        <v>45152.63138888889</v>
      </c>
      <c r="C494" s="1" t="n">
        <v>46038</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46038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31391-2024</t>
        </is>
      </c>
      <c r="B496" s="1" t="n">
        <v>45505.46616898148</v>
      </c>
      <c r="C496" s="1" t="n">
        <v>46038</v>
      </c>
      <c r="D496" t="inlineStr">
        <is>
          <t>DALARNAS LÄN</t>
        </is>
      </c>
      <c r="E496" t="inlineStr">
        <is>
          <t>LEKSAND</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167-2023</t>
        </is>
      </c>
      <c r="B497" s="1" t="n">
        <v>44918</v>
      </c>
      <c r="C497" s="1" t="n">
        <v>46038</v>
      </c>
      <c r="D497" t="inlineStr">
        <is>
          <t>DALARNAS LÄN</t>
        </is>
      </c>
      <c r="E497" t="inlineStr">
        <is>
          <t>LEKSAND</t>
        </is>
      </c>
      <c r="G497" t="n">
        <v>0.5</v>
      </c>
      <c r="H497" t="n">
        <v>0</v>
      </c>
      <c r="I497" t="n">
        <v>0</v>
      </c>
      <c r="J497" t="n">
        <v>0</v>
      </c>
      <c r="K497" t="n">
        <v>0</v>
      </c>
      <c r="L497" t="n">
        <v>0</v>
      </c>
      <c r="M497" t="n">
        <v>0</v>
      </c>
      <c r="N497" t="n">
        <v>0</v>
      </c>
      <c r="O497" t="n">
        <v>0</v>
      </c>
      <c r="P497" t="n">
        <v>0</v>
      </c>
      <c r="Q497" t="n">
        <v>0</v>
      </c>
      <c r="R497" s="2" t="inlineStr"/>
    </row>
    <row r="498" ht="15" customHeight="1">
      <c r="A498" t="inlineStr">
        <is>
          <t>A 53438-2025</t>
        </is>
      </c>
      <c r="B498" s="1" t="n">
        <v>45959.63711805556</v>
      </c>
      <c r="C498" s="1" t="n">
        <v>46038</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61491-2025</t>
        </is>
      </c>
      <c r="B499" s="1" t="n">
        <v>46001.63854166667</v>
      </c>
      <c r="C499" s="1" t="n">
        <v>46038</v>
      </c>
      <c r="D499" t="inlineStr">
        <is>
          <t>DALARNAS LÄN</t>
        </is>
      </c>
      <c r="E499" t="inlineStr">
        <is>
          <t>LEKSAND</t>
        </is>
      </c>
      <c r="G499" t="n">
        <v>1.8</v>
      </c>
      <c r="H499" t="n">
        <v>0</v>
      </c>
      <c r="I499" t="n">
        <v>0</v>
      </c>
      <c r="J499" t="n">
        <v>0</v>
      </c>
      <c r="K499" t="n">
        <v>0</v>
      </c>
      <c r="L499" t="n">
        <v>0</v>
      </c>
      <c r="M499" t="n">
        <v>0</v>
      </c>
      <c r="N499" t="n">
        <v>0</v>
      </c>
      <c r="O499" t="n">
        <v>0</v>
      </c>
      <c r="P499" t="n">
        <v>0</v>
      </c>
      <c r="Q499" t="n">
        <v>0</v>
      </c>
      <c r="R499" s="2" t="inlineStr"/>
    </row>
    <row r="500" ht="15" customHeight="1">
      <c r="A500" t="inlineStr">
        <is>
          <t>A 31850-2024</t>
        </is>
      </c>
      <c r="B500" s="1" t="n">
        <v>45509.67334490741</v>
      </c>
      <c r="C500" s="1" t="n">
        <v>46038</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53041-2025</t>
        </is>
      </c>
      <c r="B501" s="1" t="n">
        <v>45958.35487268519</v>
      </c>
      <c r="C501" s="1" t="n">
        <v>46038</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27244-2023</t>
        </is>
      </c>
      <c r="B502" s="1" t="n">
        <v>45096</v>
      </c>
      <c r="C502" s="1" t="n">
        <v>46038</v>
      </c>
      <c r="D502" t="inlineStr">
        <is>
          <t>DALARNAS LÄN</t>
        </is>
      </c>
      <c r="E502" t="inlineStr">
        <is>
          <t>LEKSAND</t>
        </is>
      </c>
      <c r="G502" t="n">
        <v>5</v>
      </c>
      <c r="H502" t="n">
        <v>0</v>
      </c>
      <c r="I502" t="n">
        <v>0</v>
      </c>
      <c r="J502" t="n">
        <v>0</v>
      </c>
      <c r="K502" t="n">
        <v>0</v>
      </c>
      <c r="L502" t="n">
        <v>0</v>
      </c>
      <c r="M502" t="n">
        <v>0</v>
      </c>
      <c r="N502" t="n">
        <v>0</v>
      </c>
      <c r="O502" t="n">
        <v>0</v>
      </c>
      <c r="P502" t="n">
        <v>0</v>
      </c>
      <c r="Q502" t="n">
        <v>0</v>
      </c>
      <c r="R502" s="2" t="inlineStr"/>
    </row>
    <row r="503" ht="15" customHeight="1">
      <c r="A503" t="inlineStr">
        <is>
          <t>A 53190-2025</t>
        </is>
      </c>
      <c r="B503" s="1" t="n">
        <v>45958.56283564815</v>
      </c>
      <c r="C503" s="1" t="n">
        <v>46038</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3183-2025</t>
        </is>
      </c>
      <c r="B504" s="1" t="n">
        <v>45679.40298611111</v>
      </c>
      <c r="C504" s="1" t="n">
        <v>46038</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61684-2025</t>
        </is>
      </c>
      <c r="B505" s="1" t="n">
        <v>46002.49790509259</v>
      </c>
      <c r="C505" s="1" t="n">
        <v>46038</v>
      </c>
      <c r="D505" t="inlineStr">
        <is>
          <t>DALARNAS LÄN</t>
        </is>
      </c>
      <c r="E505" t="inlineStr">
        <is>
          <t>LEKSAND</t>
        </is>
      </c>
      <c r="G505" t="n">
        <v>2.4</v>
      </c>
      <c r="H505" t="n">
        <v>0</v>
      </c>
      <c r="I505" t="n">
        <v>0</v>
      </c>
      <c r="J505" t="n">
        <v>0</v>
      </c>
      <c r="K505" t="n">
        <v>0</v>
      </c>
      <c r="L505" t="n">
        <v>0</v>
      </c>
      <c r="M505" t="n">
        <v>0</v>
      </c>
      <c r="N505" t="n">
        <v>0</v>
      </c>
      <c r="O505" t="n">
        <v>0</v>
      </c>
      <c r="P505" t="n">
        <v>0</v>
      </c>
      <c r="Q505" t="n">
        <v>0</v>
      </c>
      <c r="R505" s="2" t="inlineStr"/>
    </row>
    <row r="506" ht="15" customHeight="1">
      <c r="A506" t="inlineStr">
        <is>
          <t>A 54015-2025</t>
        </is>
      </c>
      <c r="B506" s="1" t="n">
        <v>45961.64158564815</v>
      </c>
      <c r="C506" s="1" t="n">
        <v>46038</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16592-2023</t>
        </is>
      </c>
      <c r="B507" s="1" t="n">
        <v>45030</v>
      </c>
      <c r="C507" s="1" t="n">
        <v>46038</v>
      </c>
      <c r="D507" t="inlineStr">
        <is>
          <t>DALARNAS LÄN</t>
        </is>
      </c>
      <c r="E507" t="inlineStr">
        <is>
          <t>LEKSAND</t>
        </is>
      </c>
      <c r="G507" t="n">
        <v>11.5</v>
      </c>
      <c r="H507" t="n">
        <v>0</v>
      </c>
      <c r="I507" t="n">
        <v>0</v>
      </c>
      <c r="J507" t="n">
        <v>0</v>
      </c>
      <c r="K507" t="n">
        <v>0</v>
      </c>
      <c r="L507" t="n">
        <v>0</v>
      </c>
      <c r="M507" t="n">
        <v>0</v>
      </c>
      <c r="N507" t="n">
        <v>0</v>
      </c>
      <c r="O507" t="n">
        <v>0</v>
      </c>
      <c r="P507" t="n">
        <v>0</v>
      </c>
      <c r="Q507" t="n">
        <v>0</v>
      </c>
      <c r="R507" s="2" t="inlineStr"/>
    </row>
    <row r="508" ht="15" customHeight="1">
      <c r="A508" t="inlineStr">
        <is>
          <t>A 12290-2024</t>
        </is>
      </c>
      <c r="B508" s="1" t="n">
        <v>45378.57877314815</v>
      </c>
      <c r="C508" s="1" t="n">
        <v>46038</v>
      </c>
      <c r="D508" t="inlineStr">
        <is>
          <t>DALARNAS LÄN</t>
        </is>
      </c>
      <c r="E508" t="inlineStr">
        <is>
          <t>LEKSAND</t>
        </is>
      </c>
      <c r="G508" t="n">
        <v>2.5</v>
      </c>
      <c r="H508" t="n">
        <v>0</v>
      </c>
      <c r="I508" t="n">
        <v>0</v>
      </c>
      <c r="J508" t="n">
        <v>0</v>
      </c>
      <c r="K508" t="n">
        <v>0</v>
      </c>
      <c r="L508" t="n">
        <v>0</v>
      </c>
      <c r="M508" t="n">
        <v>0</v>
      </c>
      <c r="N508" t="n">
        <v>0</v>
      </c>
      <c r="O508" t="n">
        <v>0</v>
      </c>
      <c r="P508" t="n">
        <v>0</v>
      </c>
      <c r="Q508" t="n">
        <v>0</v>
      </c>
      <c r="R508" s="2" t="inlineStr"/>
    </row>
    <row r="509" ht="15" customHeight="1">
      <c r="A509" t="inlineStr">
        <is>
          <t>A 53838-2025</t>
        </is>
      </c>
      <c r="B509" s="1" t="n">
        <v>45961.34895833334</v>
      </c>
      <c r="C509" s="1" t="n">
        <v>46038</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17606-2024</t>
        </is>
      </c>
      <c r="B510" s="1" t="n">
        <v>45415</v>
      </c>
      <c r="C510" s="1" t="n">
        <v>46038</v>
      </c>
      <c r="D510" t="inlineStr">
        <is>
          <t>DALARNAS LÄN</t>
        </is>
      </c>
      <c r="E510" t="inlineStr">
        <is>
          <t>LEKSAND</t>
        </is>
      </c>
      <c r="G510" t="n">
        <v>0.6</v>
      </c>
      <c r="H510" t="n">
        <v>0</v>
      </c>
      <c r="I510" t="n">
        <v>0</v>
      </c>
      <c r="J510" t="n">
        <v>0</v>
      </c>
      <c r="K510" t="n">
        <v>0</v>
      </c>
      <c r="L510" t="n">
        <v>0</v>
      </c>
      <c r="M510" t="n">
        <v>0</v>
      </c>
      <c r="N510" t="n">
        <v>0</v>
      </c>
      <c r="O510" t="n">
        <v>0</v>
      </c>
      <c r="P510" t="n">
        <v>0</v>
      </c>
      <c r="Q510" t="n">
        <v>0</v>
      </c>
      <c r="R510" s="2" t="inlineStr"/>
    </row>
    <row r="511" ht="15" customHeight="1">
      <c r="A511" t="inlineStr">
        <is>
          <t>A 53619-2025</t>
        </is>
      </c>
      <c r="B511" s="1" t="n">
        <v>45960</v>
      </c>
      <c r="C511" s="1" t="n">
        <v>46038</v>
      </c>
      <c r="D511" t="inlineStr">
        <is>
          <t>DALARNAS LÄN</t>
        </is>
      </c>
      <c r="E511" t="inlineStr">
        <is>
          <t>LEKSAND</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39819-2024</t>
        </is>
      </c>
      <c r="B512" s="1" t="n">
        <v>45553.38774305556</v>
      </c>
      <c r="C512" s="1" t="n">
        <v>46038</v>
      </c>
      <c r="D512" t="inlineStr">
        <is>
          <t>DALARNAS LÄN</t>
        </is>
      </c>
      <c r="E512" t="inlineStr">
        <is>
          <t>LEKSAND</t>
        </is>
      </c>
      <c r="F512" t="inlineStr">
        <is>
          <t>Bergvik skog väst AB</t>
        </is>
      </c>
      <c r="G512" t="n">
        <v>3.7</v>
      </c>
      <c r="H512" t="n">
        <v>0</v>
      </c>
      <c r="I512" t="n">
        <v>0</v>
      </c>
      <c r="J512" t="n">
        <v>0</v>
      </c>
      <c r="K512" t="n">
        <v>0</v>
      </c>
      <c r="L512" t="n">
        <v>0</v>
      </c>
      <c r="M512" t="n">
        <v>0</v>
      </c>
      <c r="N512" t="n">
        <v>0</v>
      </c>
      <c r="O512" t="n">
        <v>0</v>
      </c>
      <c r="P512" t="n">
        <v>0</v>
      </c>
      <c r="Q512" t="n">
        <v>0</v>
      </c>
      <c r="R512" s="2" t="inlineStr"/>
    </row>
    <row r="513" ht="15" customHeight="1">
      <c r="A513" t="inlineStr">
        <is>
          <t>A 53804-2025</t>
        </is>
      </c>
      <c r="B513" s="1" t="n">
        <v>45960.83247685185</v>
      </c>
      <c r="C513" s="1" t="n">
        <v>46038</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53836-2025</t>
        </is>
      </c>
      <c r="B514" s="1" t="n">
        <v>45961.3475462963</v>
      </c>
      <c r="C514" s="1" t="n">
        <v>46038</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36450-2023</t>
        </is>
      </c>
      <c r="B515" s="1" t="n">
        <v>45152.64842592592</v>
      </c>
      <c r="C515" s="1" t="n">
        <v>46038</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19559-2023</t>
        </is>
      </c>
      <c r="B516" s="1" t="n">
        <v>45050</v>
      </c>
      <c r="C516" s="1" t="n">
        <v>46038</v>
      </c>
      <c r="D516" t="inlineStr">
        <is>
          <t>DALARNAS LÄN</t>
        </is>
      </c>
      <c r="E516" t="inlineStr">
        <is>
          <t>LEKSAND</t>
        </is>
      </c>
      <c r="G516" t="n">
        <v>0.1</v>
      </c>
      <c r="H516" t="n">
        <v>0</v>
      </c>
      <c r="I516" t="n">
        <v>0</v>
      </c>
      <c r="J516" t="n">
        <v>0</v>
      </c>
      <c r="K516" t="n">
        <v>0</v>
      </c>
      <c r="L516" t="n">
        <v>0</v>
      </c>
      <c r="M516" t="n">
        <v>0</v>
      </c>
      <c r="N516" t="n">
        <v>0</v>
      </c>
      <c r="O516" t="n">
        <v>0</v>
      </c>
      <c r="P516" t="n">
        <v>0</v>
      </c>
      <c r="Q516" t="n">
        <v>0</v>
      </c>
      <c r="R516" s="2" t="inlineStr"/>
    </row>
    <row r="517" ht="15" customHeight="1">
      <c r="A517" t="inlineStr">
        <is>
          <t>A 53718-2025</t>
        </is>
      </c>
      <c r="B517" s="1" t="n">
        <v>45960.61840277778</v>
      </c>
      <c r="C517" s="1" t="n">
        <v>46038</v>
      </c>
      <c r="D517" t="inlineStr">
        <is>
          <t>DALARNAS LÄN</t>
        </is>
      </c>
      <c r="E517" t="inlineStr">
        <is>
          <t>LEKSAND</t>
        </is>
      </c>
      <c r="G517" t="n">
        <v>7.5</v>
      </c>
      <c r="H517" t="n">
        <v>0</v>
      </c>
      <c r="I517" t="n">
        <v>0</v>
      </c>
      <c r="J517" t="n">
        <v>0</v>
      </c>
      <c r="K517" t="n">
        <v>0</v>
      </c>
      <c r="L517" t="n">
        <v>0</v>
      </c>
      <c r="M517" t="n">
        <v>0</v>
      </c>
      <c r="N517" t="n">
        <v>0</v>
      </c>
      <c r="O517" t="n">
        <v>0</v>
      </c>
      <c r="P517" t="n">
        <v>0</v>
      </c>
      <c r="Q517" t="n">
        <v>0</v>
      </c>
      <c r="R517" s="2" t="inlineStr"/>
    </row>
    <row r="518" ht="15" customHeight="1">
      <c r="A518" t="inlineStr">
        <is>
          <t>A 48721-2023</t>
        </is>
      </c>
      <c r="B518" s="1" t="n">
        <v>45203</v>
      </c>
      <c r="C518" s="1" t="n">
        <v>46038</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43142-2024</t>
        </is>
      </c>
      <c r="B519" s="1" t="n">
        <v>45567.62144675926</v>
      </c>
      <c r="C519" s="1" t="n">
        <v>46038</v>
      </c>
      <c r="D519" t="inlineStr">
        <is>
          <t>DALARNAS LÄN</t>
        </is>
      </c>
      <c r="E519" t="inlineStr">
        <is>
          <t>LEKSAND</t>
        </is>
      </c>
      <c r="F519" t="inlineStr">
        <is>
          <t>Bergvik skog väst AB</t>
        </is>
      </c>
      <c r="G519" t="n">
        <v>2.9</v>
      </c>
      <c r="H519" t="n">
        <v>0</v>
      </c>
      <c r="I519" t="n">
        <v>0</v>
      </c>
      <c r="J519" t="n">
        <v>0</v>
      </c>
      <c r="K519" t="n">
        <v>0</v>
      </c>
      <c r="L519" t="n">
        <v>0</v>
      </c>
      <c r="M519" t="n">
        <v>0</v>
      </c>
      <c r="N519" t="n">
        <v>0</v>
      </c>
      <c r="O519" t="n">
        <v>0</v>
      </c>
      <c r="P519" t="n">
        <v>0</v>
      </c>
      <c r="Q519" t="n">
        <v>0</v>
      </c>
      <c r="R519" s="2" t="inlineStr"/>
    </row>
    <row r="520" ht="15" customHeight="1">
      <c r="A520" t="inlineStr">
        <is>
          <t>A 1984-2025</t>
        </is>
      </c>
      <c r="B520" s="1" t="n">
        <v>45670</v>
      </c>
      <c r="C520" s="1" t="n">
        <v>46038</v>
      </c>
      <c r="D520" t="inlineStr">
        <is>
          <t>DALARNAS LÄN</t>
        </is>
      </c>
      <c r="E520" t="inlineStr">
        <is>
          <t>LEKSAND</t>
        </is>
      </c>
      <c r="G520" t="n">
        <v>0.7</v>
      </c>
      <c r="H520" t="n">
        <v>0</v>
      </c>
      <c r="I520" t="n">
        <v>0</v>
      </c>
      <c r="J520" t="n">
        <v>0</v>
      </c>
      <c r="K520" t="n">
        <v>0</v>
      </c>
      <c r="L520" t="n">
        <v>0</v>
      </c>
      <c r="M520" t="n">
        <v>0</v>
      </c>
      <c r="N520" t="n">
        <v>0</v>
      </c>
      <c r="O520" t="n">
        <v>0</v>
      </c>
      <c r="P520" t="n">
        <v>0</v>
      </c>
      <c r="Q520" t="n">
        <v>0</v>
      </c>
      <c r="R520" s="2" t="inlineStr"/>
    </row>
    <row r="521" ht="15" customHeight="1">
      <c r="A521" t="inlineStr">
        <is>
          <t>A 1443-2024</t>
        </is>
      </c>
      <c r="B521" s="1" t="n">
        <v>45303</v>
      </c>
      <c r="C521" s="1" t="n">
        <v>46038</v>
      </c>
      <c r="D521" t="inlineStr">
        <is>
          <t>DALARNAS LÄN</t>
        </is>
      </c>
      <c r="E521" t="inlineStr">
        <is>
          <t>LEKSAND</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62557-2025</t>
        </is>
      </c>
      <c r="B522" s="1" t="n">
        <v>46007.68412037037</v>
      </c>
      <c r="C522" s="1" t="n">
        <v>46038</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62549-2025</t>
        </is>
      </c>
      <c r="B523" s="1" t="n">
        <v>46007.66886574074</v>
      </c>
      <c r="C523" s="1" t="n">
        <v>46038</v>
      </c>
      <c r="D523" t="inlineStr">
        <is>
          <t>DALARNAS LÄN</t>
        </is>
      </c>
      <c r="E523" t="inlineStr">
        <is>
          <t>LEKSAND</t>
        </is>
      </c>
      <c r="G523" t="n">
        <v>1.2</v>
      </c>
      <c r="H523" t="n">
        <v>0</v>
      </c>
      <c r="I523" t="n">
        <v>0</v>
      </c>
      <c r="J523" t="n">
        <v>0</v>
      </c>
      <c r="K523" t="n">
        <v>0</v>
      </c>
      <c r="L523" t="n">
        <v>0</v>
      </c>
      <c r="M523" t="n">
        <v>0</v>
      </c>
      <c r="N523" t="n">
        <v>0</v>
      </c>
      <c r="O523" t="n">
        <v>0</v>
      </c>
      <c r="P523" t="n">
        <v>0</v>
      </c>
      <c r="Q523" t="n">
        <v>0</v>
      </c>
      <c r="R523" s="2" t="inlineStr"/>
    </row>
    <row r="524" ht="15" customHeight="1">
      <c r="A524" t="inlineStr">
        <is>
          <t>A 54440-2025</t>
        </is>
      </c>
      <c r="B524" s="1" t="n">
        <v>45965.50385416667</v>
      </c>
      <c r="C524" s="1" t="n">
        <v>46038</v>
      </c>
      <c r="D524" t="inlineStr">
        <is>
          <t>DALARNAS LÄN</t>
        </is>
      </c>
      <c r="E524" t="inlineStr">
        <is>
          <t>LEKSAND</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54120-2025</t>
        </is>
      </c>
      <c r="B525" s="1" t="n">
        <v>45964.45040509259</v>
      </c>
      <c r="C525" s="1" t="n">
        <v>46038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54125-2025</t>
        </is>
      </c>
      <c r="B526" s="1" t="n">
        <v>45964.45671296296</v>
      </c>
      <c r="C526" s="1" t="n">
        <v>46038</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27446-2024</t>
        </is>
      </c>
      <c r="B527" s="1" t="n">
        <v>45474.42671296297</v>
      </c>
      <c r="C527" s="1" t="n">
        <v>46038</v>
      </c>
      <c r="D527" t="inlineStr">
        <is>
          <t>DALARNAS LÄN</t>
        </is>
      </c>
      <c r="E527" t="inlineStr">
        <is>
          <t>LEKSAND</t>
        </is>
      </c>
      <c r="G527" t="n">
        <v>2.9</v>
      </c>
      <c r="H527" t="n">
        <v>0</v>
      </c>
      <c r="I527" t="n">
        <v>0</v>
      </c>
      <c r="J527" t="n">
        <v>0</v>
      </c>
      <c r="K527" t="n">
        <v>0</v>
      </c>
      <c r="L527" t="n">
        <v>0</v>
      </c>
      <c r="M527" t="n">
        <v>0</v>
      </c>
      <c r="N527" t="n">
        <v>0</v>
      </c>
      <c r="O527" t="n">
        <v>0</v>
      </c>
      <c r="P527" t="n">
        <v>0</v>
      </c>
      <c r="Q527" t="n">
        <v>0</v>
      </c>
      <c r="R527" s="2" t="inlineStr"/>
    </row>
    <row r="528" ht="15" customHeight="1">
      <c r="A528" t="inlineStr">
        <is>
          <t>A 62574-2025</t>
        </is>
      </c>
      <c r="B528" s="1" t="n">
        <v>46007.73261574074</v>
      </c>
      <c r="C528" s="1" t="n">
        <v>46038</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62306-2025</t>
        </is>
      </c>
      <c r="B529" s="1" t="n">
        <v>46006.66878472222</v>
      </c>
      <c r="C529" s="1" t="n">
        <v>46038</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54293-2025</t>
        </is>
      </c>
      <c r="B530" s="1" t="n">
        <v>45964.86651620371</v>
      </c>
      <c r="C530" s="1" t="n">
        <v>46038</v>
      </c>
      <c r="D530" t="inlineStr">
        <is>
          <t>DALARNAS LÄN</t>
        </is>
      </c>
      <c r="E530" t="inlineStr">
        <is>
          <t>LEKSAND</t>
        </is>
      </c>
      <c r="G530" t="n">
        <v>1.1</v>
      </c>
      <c r="H530" t="n">
        <v>0</v>
      </c>
      <c r="I530" t="n">
        <v>0</v>
      </c>
      <c r="J530" t="n">
        <v>0</v>
      </c>
      <c r="K530" t="n">
        <v>0</v>
      </c>
      <c r="L530" t="n">
        <v>0</v>
      </c>
      <c r="M530" t="n">
        <v>0</v>
      </c>
      <c r="N530" t="n">
        <v>0</v>
      </c>
      <c r="O530" t="n">
        <v>0</v>
      </c>
      <c r="P530" t="n">
        <v>0</v>
      </c>
      <c r="Q530" t="n">
        <v>0</v>
      </c>
      <c r="R530" s="2" t="inlineStr"/>
    </row>
    <row r="531" ht="15" customHeight="1">
      <c r="A531" t="inlineStr">
        <is>
          <t>A 62556-2025</t>
        </is>
      </c>
      <c r="B531" s="1" t="n">
        <v>46007.68230324074</v>
      </c>
      <c r="C531" s="1" t="n">
        <v>46038</v>
      </c>
      <c r="D531" t="inlineStr">
        <is>
          <t>DALARNAS LÄN</t>
        </is>
      </c>
      <c r="E531" t="inlineStr">
        <is>
          <t>LEKSAND</t>
        </is>
      </c>
      <c r="G531" t="n">
        <v>0.7</v>
      </c>
      <c r="H531" t="n">
        <v>0</v>
      </c>
      <c r="I531" t="n">
        <v>0</v>
      </c>
      <c r="J531" t="n">
        <v>0</v>
      </c>
      <c r="K531" t="n">
        <v>0</v>
      </c>
      <c r="L531" t="n">
        <v>0</v>
      </c>
      <c r="M531" t="n">
        <v>0</v>
      </c>
      <c r="N531" t="n">
        <v>0</v>
      </c>
      <c r="O531" t="n">
        <v>0</v>
      </c>
      <c r="P531" t="n">
        <v>0</v>
      </c>
      <c r="Q531" t="n">
        <v>0</v>
      </c>
      <c r="R531" s="2" t="inlineStr"/>
    </row>
    <row r="532" ht="15" customHeight="1">
      <c r="A532" t="inlineStr">
        <is>
          <t>A 62560-2025</t>
        </is>
      </c>
      <c r="B532" s="1" t="n">
        <v>46007.68733796296</v>
      </c>
      <c r="C532" s="1" t="n">
        <v>46038</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53817-2023</t>
        </is>
      </c>
      <c r="B533" s="1" t="n">
        <v>45231.40488425926</v>
      </c>
      <c r="C533" s="1" t="n">
        <v>46038</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54295-2025</t>
        </is>
      </c>
      <c r="B534" s="1" t="n">
        <v>45964.87122685185</v>
      </c>
      <c r="C534" s="1" t="n">
        <v>46038</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54494-2025</t>
        </is>
      </c>
      <c r="B535" s="1" t="n">
        <v>45965.59965277778</v>
      </c>
      <c r="C535" s="1" t="n">
        <v>46038</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62993-2023</t>
        </is>
      </c>
      <c r="B536" s="1" t="n">
        <v>45272</v>
      </c>
      <c r="C536" s="1" t="n">
        <v>46038</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62301-2025</t>
        </is>
      </c>
      <c r="B537" s="1" t="n">
        <v>46006.65743055556</v>
      </c>
      <c r="C537" s="1" t="n">
        <v>46038</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62337-2025</t>
        </is>
      </c>
      <c r="B538" s="1" t="n">
        <v>46006</v>
      </c>
      <c r="C538" s="1" t="n">
        <v>46038</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62525-2025</t>
        </is>
      </c>
      <c r="B539" s="1" t="n">
        <v>46007.63509259259</v>
      </c>
      <c r="C539" s="1" t="n">
        <v>46038</v>
      </c>
      <c r="D539" t="inlineStr">
        <is>
          <t>DALARNAS LÄN</t>
        </is>
      </c>
      <c r="E539" t="inlineStr">
        <is>
          <t>LEKSAND</t>
        </is>
      </c>
      <c r="G539" t="n">
        <v>5.7</v>
      </c>
      <c r="H539" t="n">
        <v>0</v>
      </c>
      <c r="I539" t="n">
        <v>0</v>
      </c>
      <c r="J539" t="n">
        <v>0</v>
      </c>
      <c r="K539" t="n">
        <v>0</v>
      </c>
      <c r="L539" t="n">
        <v>0</v>
      </c>
      <c r="M539" t="n">
        <v>0</v>
      </c>
      <c r="N539" t="n">
        <v>0</v>
      </c>
      <c r="O539" t="n">
        <v>0</v>
      </c>
      <c r="P539" t="n">
        <v>0</v>
      </c>
      <c r="Q539" t="n">
        <v>0</v>
      </c>
      <c r="R539" s="2" t="inlineStr"/>
    </row>
    <row r="540" ht="15" customHeight="1">
      <c r="A540" t="inlineStr">
        <is>
          <t>A 62322-2025</t>
        </is>
      </c>
      <c r="B540" s="1" t="n">
        <v>46006</v>
      </c>
      <c r="C540" s="1" t="n">
        <v>46038</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17455-2022</t>
        </is>
      </c>
      <c r="B541" s="1" t="n">
        <v>44679.3775</v>
      </c>
      <c r="C541" s="1" t="n">
        <v>46038</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54752-2025</t>
        </is>
      </c>
      <c r="B542" s="1" t="n">
        <v>45966.5916087963</v>
      </c>
      <c r="C542" s="1" t="n">
        <v>46038</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54767-2025</t>
        </is>
      </c>
      <c r="B543" s="1" t="n">
        <v>45966.60414351852</v>
      </c>
      <c r="C543" s="1" t="n">
        <v>46038</v>
      </c>
      <c r="D543" t="inlineStr">
        <is>
          <t>DALARNAS LÄN</t>
        </is>
      </c>
      <c r="E543" t="inlineStr">
        <is>
          <t>LEKSAND</t>
        </is>
      </c>
      <c r="G543" t="n">
        <v>2.4</v>
      </c>
      <c r="H543" t="n">
        <v>0</v>
      </c>
      <c r="I543" t="n">
        <v>0</v>
      </c>
      <c r="J543" t="n">
        <v>0</v>
      </c>
      <c r="K543" t="n">
        <v>0</v>
      </c>
      <c r="L543" t="n">
        <v>0</v>
      </c>
      <c r="M543" t="n">
        <v>0</v>
      </c>
      <c r="N543" t="n">
        <v>0</v>
      </c>
      <c r="O543" t="n">
        <v>0</v>
      </c>
      <c r="P543" t="n">
        <v>0</v>
      </c>
      <c r="Q543" t="n">
        <v>0</v>
      </c>
      <c r="R543" s="2" t="inlineStr"/>
    </row>
    <row r="544" ht="15" customHeight="1">
      <c r="A544" t="inlineStr">
        <is>
          <t>A 54785-2025</t>
        </is>
      </c>
      <c r="B544" s="1" t="n">
        <v>45966.62619212963</v>
      </c>
      <c r="C544" s="1" t="n">
        <v>46038</v>
      </c>
      <c r="D544" t="inlineStr">
        <is>
          <t>DALARNAS LÄN</t>
        </is>
      </c>
      <c r="E544" t="inlineStr">
        <is>
          <t>LEKSAND</t>
        </is>
      </c>
      <c r="G544" t="n">
        <v>1.2</v>
      </c>
      <c r="H544" t="n">
        <v>0</v>
      </c>
      <c r="I544" t="n">
        <v>0</v>
      </c>
      <c r="J544" t="n">
        <v>0</v>
      </c>
      <c r="K544" t="n">
        <v>0</v>
      </c>
      <c r="L544" t="n">
        <v>0</v>
      </c>
      <c r="M544" t="n">
        <v>0</v>
      </c>
      <c r="N544" t="n">
        <v>0</v>
      </c>
      <c r="O544" t="n">
        <v>0</v>
      </c>
      <c r="P544" t="n">
        <v>0</v>
      </c>
      <c r="Q544" t="n">
        <v>0</v>
      </c>
      <c r="R544" s="2" t="inlineStr"/>
    </row>
    <row r="545" ht="15" customHeight="1">
      <c r="A545" t="inlineStr">
        <is>
          <t>A 54805-2025</t>
        </is>
      </c>
      <c r="B545" s="1" t="n">
        <v>45966.64165509259</v>
      </c>
      <c r="C545" s="1" t="n">
        <v>46038</v>
      </c>
      <c r="D545" t="inlineStr">
        <is>
          <t>DALARNAS LÄN</t>
        </is>
      </c>
      <c r="E545" t="inlineStr">
        <is>
          <t>LEKSAND</t>
        </is>
      </c>
      <c r="G545" t="n">
        <v>1.8</v>
      </c>
      <c r="H545" t="n">
        <v>0</v>
      </c>
      <c r="I545" t="n">
        <v>0</v>
      </c>
      <c r="J545" t="n">
        <v>0</v>
      </c>
      <c r="K545" t="n">
        <v>0</v>
      </c>
      <c r="L545" t="n">
        <v>0</v>
      </c>
      <c r="M545" t="n">
        <v>0</v>
      </c>
      <c r="N545" t="n">
        <v>0</v>
      </c>
      <c r="O545" t="n">
        <v>0</v>
      </c>
      <c r="P545" t="n">
        <v>0</v>
      </c>
      <c r="Q545" t="n">
        <v>0</v>
      </c>
      <c r="R545" s="2" t="inlineStr"/>
    </row>
    <row r="546" ht="15" customHeight="1">
      <c r="A546" t="inlineStr">
        <is>
          <t>A 43158-2025</t>
        </is>
      </c>
      <c r="B546" s="1" t="n">
        <v>45910.35496527778</v>
      </c>
      <c r="C546" s="1" t="n">
        <v>46038</v>
      </c>
      <c r="D546" t="inlineStr">
        <is>
          <t>DALARNAS LÄN</t>
        </is>
      </c>
      <c r="E546" t="inlineStr">
        <is>
          <t>LEKSAND</t>
        </is>
      </c>
      <c r="G546" t="n">
        <v>1.9</v>
      </c>
      <c r="H546" t="n">
        <v>0</v>
      </c>
      <c r="I546" t="n">
        <v>0</v>
      </c>
      <c r="J546" t="n">
        <v>0</v>
      </c>
      <c r="K546" t="n">
        <v>0</v>
      </c>
      <c r="L546" t="n">
        <v>0</v>
      </c>
      <c r="M546" t="n">
        <v>0</v>
      </c>
      <c r="N546" t="n">
        <v>0</v>
      </c>
      <c r="O546" t="n">
        <v>0</v>
      </c>
      <c r="P546" t="n">
        <v>0</v>
      </c>
      <c r="Q546" t="n">
        <v>0</v>
      </c>
      <c r="R546" s="2" t="inlineStr"/>
    </row>
    <row r="547" ht="15" customHeight="1">
      <c r="A547" t="inlineStr">
        <is>
          <t>A 54789-2025</t>
        </is>
      </c>
      <c r="B547" s="1" t="n">
        <v>45966</v>
      </c>
      <c r="C547" s="1" t="n">
        <v>46038</v>
      </c>
      <c r="D547" t="inlineStr">
        <is>
          <t>DALARNAS LÄN</t>
        </is>
      </c>
      <c r="E547" t="inlineStr">
        <is>
          <t>LEKSAND</t>
        </is>
      </c>
      <c r="F547" t="inlineStr">
        <is>
          <t>Bergvik skog väst AB</t>
        </is>
      </c>
      <c r="G547" t="n">
        <v>1.6</v>
      </c>
      <c r="H547" t="n">
        <v>0</v>
      </c>
      <c r="I547" t="n">
        <v>0</v>
      </c>
      <c r="J547" t="n">
        <v>0</v>
      </c>
      <c r="K547" t="n">
        <v>0</v>
      </c>
      <c r="L547" t="n">
        <v>0</v>
      </c>
      <c r="M547" t="n">
        <v>0</v>
      </c>
      <c r="N547" t="n">
        <v>0</v>
      </c>
      <c r="O547" t="n">
        <v>0</v>
      </c>
      <c r="P547" t="n">
        <v>0</v>
      </c>
      <c r="Q547" t="n">
        <v>0</v>
      </c>
      <c r="R547" s="2" t="inlineStr"/>
    </row>
    <row r="548" ht="15" customHeight="1">
      <c r="A548" t="inlineStr">
        <is>
          <t>A 7417-2024</t>
        </is>
      </c>
      <c r="B548" s="1" t="n">
        <v>45345.62378472222</v>
      </c>
      <c r="C548" s="1" t="n">
        <v>46038</v>
      </c>
      <c r="D548" t="inlineStr">
        <is>
          <t>DALARNAS LÄN</t>
        </is>
      </c>
      <c r="E548" t="inlineStr">
        <is>
          <t>LEKSAND</t>
        </is>
      </c>
      <c r="G548" t="n">
        <v>2.8</v>
      </c>
      <c r="H548" t="n">
        <v>0</v>
      </c>
      <c r="I548" t="n">
        <v>0</v>
      </c>
      <c r="J548" t="n">
        <v>0</v>
      </c>
      <c r="K548" t="n">
        <v>0</v>
      </c>
      <c r="L548" t="n">
        <v>0</v>
      </c>
      <c r="M548" t="n">
        <v>0</v>
      </c>
      <c r="N548" t="n">
        <v>0</v>
      </c>
      <c r="O548" t="n">
        <v>0</v>
      </c>
      <c r="P548" t="n">
        <v>0</v>
      </c>
      <c r="Q548" t="n">
        <v>0</v>
      </c>
      <c r="R548" s="2" t="inlineStr"/>
    </row>
    <row r="549" ht="15" customHeight="1">
      <c r="A549" t="inlineStr">
        <is>
          <t>A 62863-2025</t>
        </is>
      </c>
      <c r="B549" s="1" t="n">
        <v>46008.78130787037</v>
      </c>
      <c r="C549" s="1" t="n">
        <v>46038</v>
      </c>
      <c r="D549" t="inlineStr">
        <is>
          <t>DALARNAS LÄN</t>
        </is>
      </c>
      <c r="E549" t="inlineStr">
        <is>
          <t>LEKSAND</t>
        </is>
      </c>
      <c r="F549" t="inlineStr">
        <is>
          <t>Bergvik skog väst AB</t>
        </is>
      </c>
      <c r="G549" t="n">
        <v>5.2</v>
      </c>
      <c r="H549" t="n">
        <v>0</v>
      </c>
      <c r="I549" t="n">
        <v>0</v>
      </c>
      <c r="J549" t="n">
        <v>0</v>
      </c>
      <c r="K549" t="n">
        <v>0</v>
      </c>
      <c r="L549" t="n">
        <v>0</v>
      </c>
      <c r="M549" t="n">
        <v>0</v>
      </c>
      <c r="N549" t="n">
        <v>0</v>
      </c>
      <c r="O549" t="n">
        <v>0</v>
      </c>
      <c r="P549" t="n">
        <v>0</v>
      </c>
      <c r="Q549" t="n">
        <v>0</v>
      </c>
      <c r="R549" s="2" t="inlineStr"/>
    </row>
    <row r="550" ht="15" customHeight="1">
      <c r="A550" t="inlineStr">
        <is>
          <t>A 54779-2025</t>
        </is>
      </c>
      <c r="B550" s="1" t="n">
        <v>45966.61672453704</v>
      </c>
      <c r="C550" s="1" t="n">
        <v>46038</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54815-2025</t>
        </is>
      </c>
      <c r="B551" s="1" t="n">
        <v>45966.65237268519</v>
      </c>
      <c r="C551" s="1" t="n">
        <v>46038</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55493-2025</t>
        </is>
      </c>
      <c r="B552" s="1" t="n">
        <v>45971.57913194445</v>
      </c>
      <c r="C552" s="1" t="n">
        <v>46038</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5574-2024</t>
        </is>
      </c>
      <c r="B553" s="1" t="n">
        <v>45334</v>
      </c>
      <c r="C553" s="1" t="n">
        <v>46038</v>
      </c>
      <c r="D553" t="inlineStr">
        <is>
          <t>DALARNAS LÄN</t>
        </is>
      </c>
      <c r="E553" t="inlineStr">
        <is>
          <t>LEKSAND</t>
        </is>
      </c>
      <c r="G553" t="n">
        <v>0.4</v>
      </c>
      <c r="H553" t="n">
        <v>0</v>
      </c>
      <c r="I553" t="n">
        <v>0</v>
      </c>
      <c r="J553" t="n">
        <v>0</v>
      </c>
      <c r="K553" t="n">
        <v>0</v>
      </c>
      <c r="L553" t="n">
        <v>0</v>
      </c>
      <c r="M553" t="n">
        <v>0</v>
      </c>
      <c r="N553" t="n">
        <v>0</v>
      </c>
      <c r="O553" t="n">
        <v>0</v>
      </c>
      <c r="P553" t="n">
        <v>0</v>
      </c>
      <c r="Q553" t="n">
        <v>0</v>
      </c>
      <c r="R553" s="2" t="inlineStr"/>
    </row>
    <row r="554" ht="15" customHeight="1">
      <c r="A554" t="inlineStr">
        <is>
          <t>A 4121-2024</t>
        </is>
      </c>
      <c r="B554" s="1" t="n">
        <v>45323</v>
      </c>
      <c r="C554" s="1" t="n">
        <v>46038</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63360-2025</t>
        </is>
      </c>
      <c r="B555" s="1" t="n">
        <v>46010.67482638889</v>
      </c>
      <c r="C555" s="1" t="n">
        <v>46038</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57665-2023</t>
        </is>
      </c>
      <c r="B556" s="1" t="n">
        <v>45246</v>
      </c>
      <c r="C556" s="1" t="n">
        <v>46038</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30858-2024</t>
        </is>
      </c>
      <c r="B557" s="1" t="n">
        <v>45497.67601851852</v>
      </c>
      <c r="C557" s="1" t="n">
        <v>46038</v>
      </c>
      <c r="D557" t="inlineStr">
        <is>
          <t>DALARNAS LÄN</t>
        </is>
      </c>
      <c r="E557" t="inlineStr">
        <is>
          <t>LEKSAND</t>
        </is>
      </c>
      <c r="F557" t="inlineStr">
        <is>
          <t>Bergvik skog väst AB</t>
        </is>
      </c>
      <c r="G557" t="n">
        <v>1.6</v>
      </c>
      <c r="H557" t="n">
        <v>0</v>
      </c>
      <c r="I557" t="n">
        <v>0</v>
      </c>
      <c r="J557" t="n">
        <v>0</v>
      </c>
      <c r="K557" t="n">
        <v>0</v>
      </c>
      <c r="L557" t="n">
        <v>0</v>
      </c>
      <c r="M557" t="n">
        <v>0</v>
      </c>
      <c r="N557" t="n">
        <v>0</v>
      </c>
      <c r="O557" t="n">
        <v>0</v>
      </c>
      <c r="P557" t="n">
        <v>0</v>
      </c>
      <c r="Q557" t="n">
        <v>0</v>
      </c>
      <c r="R557" s="2" t="inlineStr"/>
    </row>
    <row r="558" ht="15" customHeight="1">
      <c r="A558" t="inlineStr">
        <is>
          <t>A 63260-2025</t>
        </is>
      </c>
      <c r="B558" s="1" t="n">
        <v>46010.55725694444</v>
      </c>
      <c r="C558" s="1" t="n">
        <v>46038</v>
      </c>
      <c r="D558" t="inlineStr">
        <is>
          <t>DALARNAS LÄN</t>
        </is>
      </c>
      <c r="E558" t="inlineStr">
        <is>
          <t>LEKSAND</t>
        </is>
      </c>
      <c r="G558" t="n">
        <v>11.7</v>
      </c>
      <c r="H558" t="n">
        <v>0</v>
      </c>
      <c r="I558" t="n">
        <v>0</v>
      </c>
      <c r="J558" t="n">
        <v>0</v>
      </c>
      <c r="K558" t="n">
        <v>0</v>
      </c>
      <c r="L558" t="n">
        <v>0</v>
      </c>
      <c r="M558" t="n">
        <v>0</v>
      </c>
      <c r="N558" t="n">
        <v>0</v>
      </c>
      <c r="O558" t="n">
        <v>0</v>
      </c>
      <c r="P558" t="n">
        <v>0</v>
      </c>
      <c r="Q558" t="n">
        <v>0</v>
      </c>
      <c r="R558" s="2" t="inlineStr"/>
    </row>
    <row r="559" ht="15" customHeight="1">
      <c r="A559" t="inlineStr">
        <is>
          <t>A 25921-2024</t>
        </is>
      </c>
      <c r="B559" s="1" t="n">
        <v>45467.6053587963</v>
      </c>
      <c r="C559" s="1" t="n">
        <v>46038</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41306-2024</t>
        </is>
      </c>
      <c r="B560" s="1" t="n">
        <v>45559.62550925926</v>
      </c>
      <c r="C560" s="1" t="n">
        <v>46038</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17377-2025</t>
        </is>
      </c>
      <c r="B561" s="1" t="n">
        <v>45756.983125</v>
      </c>
      <c r="C561" s="1" t="n">
        <v>46038</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63592-2025</t>
        </is>
      </c>
      <c r="B562" s="1" t="n">
        <v>46013.89994212963</v>
      </c>
      <c r="C562" s="1" t="n">
        <v>46038</v>
      </c>
      <c r="D562" t="inlineStr">
        <is>
          <t>DALARNAS LÄN</t>
        </is>
      </c>
      <c r="E562" t="inlineStr">
        <is>
          <t>LEKSAND</t>
        </is>
      </c>
      <c r="G562" t="n">
        <v>2.7</v>
      </c>
      <c r="H562" t="n">
        <v>0</v>
      </c>
      <c r="I562" t="n">
        <v>0</v>
      </c>
      <c r="J562" t="n">
        <v>0</v>
      </c>
      <c r="K562" t="n">
        <v>0</v>
      </c>
      <c r="L562" t="n">
        <v>0</v>
      </c>
      <c r="M562" t="n">
        <v>0</v>
      </c>
      <c r="N562" t="n">
        <v>0</v>
      </c>
      <c r="O562" t="n">
        <v>0</v>
      </c>
      <c r="P562" t="n">
        <v>0</v>
      </c>
      <c r="Q562" t="n">
        <v>0</v>
      </c>
      <c r="R562" s="2" t="inlineStr"/>
    </row>
    <row r="563" ht="15" customHeight="1">
      <c r="A563" t="inlineStr">
        <is>
          <t>A 13288-2023</t>
        </is>
      </c>
      <c r="B563" s="1" t="n">
        <v>45004.8160300926</v>
      </c>
      <c r="C563" s="1" t="n">
        <v>46038</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55784-2025</t>
        </is>
      </c>
      <c r="B564" s="1" t="n">
        <v>45972.63765046297</v>
      </c>
      <c r="C564" s="1" t="n">
        <v>46038</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17233-2023</t>
        </is>
      </c>
      <c r="B565" s="1" t="n">
        <v>45035</v>
      </c>
      <c r="C565" s="1" t="n">
        <v>46038</v>
      </c>
      <c r="D565" t="inlineStr">
        <is>
          <t>DALARNAS LÄN</t>
        </is>
      </c>
      <c r="E565" t="inlineStr">
        <is>
          <t>LEKSAND</t>
        </is>
      </c>
      <c r="G565" t="n">
        <v>1.6</v>
      </c>
      <c r="H565" t="n">
        <v>0</v>
      </c>
      <c r="I565" t="n">
        <v>0</v>
      </c>
      <c r="J565" t="n">
        <v>0</v>
      </c>
      <c r="K565" t="n">
        <v>0</v>
      </c>
      <c r="L565" t="n">
        <v>0</v>
      </c>
      <c r="M565" t="n">
        <v>0</v>
      </c>
      <c r="N565" t="n">
        <v>0</v>
      </c>
      <c r="O565" t="n">
        <v>0</v>
      </c>
      <c r="P565" t="n">
        <v>0</v>
      </c>
      <c r="Q565" t="n">
        <v>0</v>
      </c>
      <c r="R565" s="2" t="inlineStr"/>
    </row>
    <row r="566" ht="15" customHeight="1">
      <c r="A566" t="inlineStr">
        <is>
          <t>A 46931-2023</t>
        </is>
      </c>
      <c r="B566" s="1" t="n">
        <v>45201</v>
      </c>
      <c r="C566" s="1" t="n">
        <v>46038</v>
      </c>
      <c r="D566" t="inlineStr">
        <is>
          <t>DALARNAS LÄN</t>
        </is>
      </c>
      <c r="E566" t="inlineStr">
        <is>
          <t>LEKSAND</t>
        </is>
      </c>
      <c r="G566" t="n">
        <v>1.4</v>
      </c>
      <c r="H566" t="n">
        <v>0</v>
      </c>
      <c r="I566" t="n">
        <v>0</v>
      </c>
      <c r="J566" t="n">
        <v>0</v>
      </c>
      <c r="K566" t="n">
        <v>0</v>
      </c>
      <c r="L566" t="n">
        <v>0</v>
      </c>
      <c r="M566" t="n">
        <v>0</v>
      </c>
      <c r="N566" t="n">
        <v>0</v>
      </c>
      <c r="O566" t="n">
        <v>0</v>
      </c>
      <c r="P566" t="n">
        <v>0</v>
      </c>
      <c r="Q566" t="n">
        <v>0</v>
      </c>
      <c r="R566" s="2" t="inlineStr"/>
    </row>
    <row r="567" ht="15" customHeight="1">
      <c r="A567" t="inlineStr">
        <is>
          <t>A 11740-2025</t>
        </is>
      </c>
      <c r="B567" s="1" t="n">
        <v>45727.62582175926</v>
      </c>
      <c r="C567" s="1" t="n">
        <v>46038</v>
      </c>
      <c r="D567" t="inlineStr">
        <is>
          <t>DALARNAS LÄN</t>
        </is>
      </c>
      <c r="E567" t="inlineStr">
        <is>
          <t>LEKSAND</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56517-2025</t>
        </is>
      </c>
      <c r="B568" s="1" t="n">
        <v>45975.45777777778</v>
      </c>
      <c r="C568" s="1" t="n">
        <v>46038</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56514-2025</t>
        </is>
      </c>
      <c r="B569" s="1" t="n">
        <v>45975.45502314815</v>
      </c>
      <c r="C569" s="1" t="n">
        <v>46038</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56623-2025</t>
        </is>
      </c>
      <c r="B570" s="1" t="n">
        <v>45975.60164351852</v>
      </c>
      <c r="C570" s="1" t="n">
        <v>46038</v>
      </c>
      <c r="D570" t="inlineStr">
        <is>
          <t>DALARNAS LÄN</t>
        </is>
      </c>
      <c r="E570" t="inlineStr">
        <is>
          <t>LEKSAND</t>
        </is>
      </c>
      <c r="F570" t="inlineStr">
        <is>
          <t>Bergvik skog väst AB</t>
        </is>
      </c>
      <c r="G570" t="n">
        <v>0.8</v>
      </c>
      <c r="H570" t="n">
        <v>0</v>
      </c>
      <c r="I570" t="n">
        <v>0</v>
      </c>
      <c r="J570" t="n">
        <v>0</v>
      </c>
      <c r="K570" t="n">
        <v>0</v>
      </c>
      <c r="L570" t="n">
        <v>0</v>
      </c>
      <c r="M570" t="n">
        <v>0</v>
      </c>
      <c r="N570" t="n">
        <v>0</v>
      </c>
      <c r="O570" t="n">
        <v>0</v>
      </c>
      <c r="P570" t="n">
        <v>0</v>
      </c>
      <c r="Q570" t="n">
        <v>0</v>
      </c>
      <c r="R570" s="2" t="inlineStr"/>
    </row>
    <row r="571" ht="15" customHeight="1">
      <c r="A571" t="inlineStr">
        <is>
          <t>A 10373-2023</t>
        </is>
      </c>
      <c r="B571" s="1" t="n">
        <v>44987</v>
      </c>
      <c r="C571" s="1" t="n">
        <v>46038</v>
      </c>
      <c r="D571" t="inlineStr">
        <is>
          <t>DALARNAS LÄN</t>
        </is>
      </c>
      <c r="E571" t="inlineStr">
        <is>
          <t>LEKSAND</t>
        </is>
      </c>
      <c r="G571" t="n">
        <v>0.3</v>
      </c>
      <c r="H571" t="n">
        <v>0</v>
      </c>
      <c r="I571" t="n">
        <v>0</v>
      </c>
      <c r="J571" t="n">
        <v>0</v>
      </c>
      <c r="K571" t="n">
        <v>0</v>
      </c>
      <c r="L571" t="n">
        <v>0</v>
      </c>
      <c r="M571" t="n">
        <v>0</v>
      </c>
      <c r="N571" t="n">
        <v>0</v>
      </c>
      <c r="O571" t="n">
        <v>0</v>
      </c>
      <c r="P571" t="n">
        <v>0</v>
      </c>
      <c r="Q571" t="n">
        <v>0</v>
      </c>
      <c r="R571" s="2" t="inlineStr"/>
    </row>
    <row r="572" ht="15" customHeight="1">
      <c r="A572" t="inlineStr">
        <is>
          <t>A 56161-2025</t>
        </is>
      </c>
      <c r="B572" s="1" t="n">
        <v>45974.37554398148</v>
      </c>
      <c r="C572" s="1" t="n">
        <v>46038</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56331-2025</t>
        </is>
      </c>
      <c r="B573" s="1" t="n">
        <v>45974.64157407408</v>
      </c>
      <c r="C573" s="1" t="n">
        <v>46038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2820-2024</t>
        </is>
      </c>
      <c r="B574" s="1" t="n">
        <v>45314.76287037037</v>
      </c>
      <c r="C574" s="1" t="n">
        <v>46038</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2822-2024</t>
        </is>
      </c>
      <c r="B575" s="1" t="n">
        <v>45314.76622685185</v>
      </c>
      <c r="C575" s="1" t="n">
        <v>46038</v>
      </c>
      <c r="D575" t="inlineStr">
        <is>
          <t>DALARNAS LÄN</t>
        </is>
      </c>
      <c r="E575" t="inlineStr">
        <is>
          <t>LEKSAND</t>
        </is>
      </c>
      <c r="G575" t="n">
        <v>1.6</v>
      </c>
      <c r="H575" t="n">
        <v>0</v>
      </c>
      <c r="I575" t="n">
        <v>0</v>
      </c>
      <c r="J575" t="n">
        <v>0</v>
      </c>
      <c r="K575" t="n">
        <v>0</v>
      </c>
      <c r="L575" t="n">
        <v>0</v>
      </c>
      <c r="M575" t="n">
        <v>0</v>
      </c>
      <c r="N575" t="n">
        <v>0</v>
      </c>
      <c r="O575" t="n">
        <v>0</v>
      </c>
      <c r="P575" t="n">
        <v>0</v>
      </c>
      <c r="Q575" t="n">
        <v>0</v>
      </c>
      <c r="R575" s="2" t="inlineStr"/>
    </row>
    <row r="576" ht="15" customHeight="1">
      <c r="A576" t="inlineStr">
        <is>
          <t>A 57223-2025</t>
        </is>
      </c>
      <c r="B576" s="1" t="n">
        <v>45979.61486111111</v>
      </c>
      <c r="C576" s="1" t="n">
        <v>46038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57267-2025</t>
        </is>
      </c>
      <c r="B577" s="1" t="n">
        <v>45979.67476851852</v>
      </c>
      <c r="C577" s="1" t="n">
        <v>46038</v>
      </c>
      <c r="D577" t="inlineStr">
        <is>
          <t>DALARNAS LÄN</t>
        </is>
      </c>
      <c r="E577" t="inlineStr">
        <is>
          <t>LEKSAND</t>
        </is>
      </c>
      <c r="G577" t="n">
        <v>1.9</v>
      </c>
      <c r="H577" t="n">
        <v>0</v>
      </c>
      <c r="I577" t="n">
        <v>0</v>
      </c>
      <c r="J577" t="n">
        <v>0</v>
      </c>
      <c r="K577" t="n">
        <v>0</v>
      </c>
      <c r="L577" t="n">
        <v>0</v>
      </c>
      <c r="M577" t="n">
        <v>0</v>
      </c>
      <c r="N577" t="n">
        <v>0</v>
      </c>
      <c r="O577" t="n">
        <v>0</v>
      </c>
      <c r="P577" t="n">
        <v>0</v>
      </c>
      <c r="Q577" t="n">
        <v>0</v>
      </c>
      <c r="R577" s="2" t="inlineStr"/>
    </row>
    <row r="578" ht="15" customHeight="1">
      <c r="A578" t="inlineStr">
        <is>
          <t>A 57231-2025</t>
        </is>
      </c>
      <c r="B578" s="1" t="n">
        <v>45979.62025462963</v>
      </c>
      <c r="C578" s="1" t="n">
        <v>46038</v>
      </c>
      <c r="D578" t="inlineStr">
        <is>
          <t>DALARNAS LÄN</t>
        </is>
      </c>
      <c r="E578" t="inlineStr">
        <is>
          <t>LEKSAND</t>
        </is>
      </c>
      <c r="G578" t="n">
        <v>1.8</v>
      </c>
      <c r="H578" t="n">
        <v>0</v>
      </c>
      <c r="I578" t="n">
        <v>0</v>
      </c>
      <c r="J578" t="n">
        <v>0</v>
      </c>
      <c r="K578" t="n">
        <v>0</v>
      </c>
      <c r="L578" t="n">
        <v>0</v>
      </c>
      <c r="M578" t="n">
        <v>0</v>
      </c>
      <c r="N578" t="n">
        <v>0</v>
      </c>
      <c r="O578" t="n">
        <v>0</v>
      </c>
      <c r="P578" t="n">
        <v>0</v>
      </c>
      <c r="Q578" t="n">
        <v>0</v>
      </c>
      <c r="R578" s="2" t="inlineStr"/>
    </row>
    <row r="579" ht="15" customHeight="1">
      <c r="A579" t="inlineStr">
        <is>
          <t>A 56960-2025</t>
        </is>
      </c>
      <c r="B579" s="1" t="n">
        <v>45978.65903935185</v>
      </c>
      <c r="C579" s="1" t="n">
        <v>46038</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63894-2025</t>
        </is>
      </c>
      <c r="B580" s="1" t="n">
        <v>46020.6441087963</v>
      </c>
      <c r="C580" s="1" t="n">
        <v>46038</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37952-2024</t>
        </is>
      </c>
      <c r="B581" s="1" t="n">
        <v>45544.5200462963</v>
      </c>
      <c r="C581" s="1" t="n">
        <v>46038</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63968-2025</t>
        </is>
      </c>
      <c r="B582" s="1" t="n">
        <v>46021.32299768519</v>
      </c>
      <c r="C582" s="1" t="n">
        <v>46038</v>
      </c>
      <c r="D582" t="inlineStr">
        <is>
          <t>DALARNAS LÄN</t>
        </is>
      </c>
      <c r="E582" t="inlineStr">
        <is>
          <t>LEKSAND</t>
        </is>
      </c>
      <c r="G582" t="n">
        <v>2.6</v>
      </c>
      <c r="H582" t="n">
        <v>0</v>
      </c>
      <c r="I582" t="n">
        <v>0</v>
      </c>
      <c r="J582" t="n">
        <v>0</v>
      </c>
      <c r="K582" t="n">
        <v>0</v>
      </c>
      <c r="L582" t="n">
        <v>0</v>
      </c>
      <c r="M582" t="n">
        <v>0</v>
      </c>
      <c r="N582" t="n">
        <v>0</v>
      </c>
      <c r="O582" t="n">
        <v>0</v>
      </c>
      <c r="P582" t="n">
        <v>0</v>
      </c>
      <c r="Q582" t="n">
        <v>0</v>
      </c>
      <c r="R582" s="2" t="inlineStr"/>
    </row>
    <row r="583" ht="15" customHeight="1">
      <c r="A583" t="inlineStr">
        <is>
          <t>A 63890-2025</t>
        </is>
      </c>
      <c r="B583" s="1" t="n">
        <v>46020.63613425926</v>
      </c>
      <c r="C583" s="1" t="n">
        <v>46038</v>
      </c>
      <c r="D583" t="inlineStr">
        <is>
          <t>DALARNAS LÄN</t>
        </is>
      </c>
      <c r="E583" t="inlineStr">
        <is>
          <t>LEKSAND</t>
        </is>
      </c>
      <c r="G583" t="n">
        <v>3.3</v>
      </c>
      <c r="H583" t="n">
        <v>0</v>
      </c>
      <c r="I583" t="n">
        <v>0</v>
      </c>
      <c r="J583" t="n">
        <v>0</v>
      </c>
      <c r="K583" t="n">
        <v>0</v>
      </c>
      <c r="L583" t="n">
        <v>0</v>
      </c>
      <c r="M583" t="n">
        <v>0</v>
      </c>
      <c r="N583" t="n">
        <v>0</v>
      </c>
      <c r="O583" t="n">
        <v>0</v>
      </c>
      <c r="P583" t="n">
        <v>0</v>
      </c>
      <c r="Q583" t="n">
        <v>0</v>
      </c>
      <c r="R583" s="2" t="inlineStr"/>
    </row>
    <row r="584" ht="15" customHeight="1">
      <c r="A584" t="inlineStr">
        <is>
          <t>A 63757-2025</t>
        </is>
      </c>
      <c r="B584" s="1" t="n">
        <v>46018.42364583333</v>
      </c>
      <c r="C584" s="1" t="n">
        <v>46038</v>
      </c>
      <c r="D584" t="inlineStr">
        <is>
          <t>DALARNAS LÄN</t>
        </is>
      </c>
      <c r="E584" t="inlineStr">
        <is>
          <t>LEKSAND</t>
        </is>
      </c>
      <c r="G584" t="n">
        <v>4</v>
      </c>
      <c r="H584" t="n">
        <v>0</v>
      </c>
      <c r="I584" t="n">
        <v>0</v>
      </c>
      <c r="J584" t="n">
        <v>0</v>
      </c>
      <c r="K584" t="n">
        <v>0</v>
      </c>
      <c r="L584" t="n">
        <v>0</v>
      </c>
      <c r="M584" t="n">
        <v>0</v>
      </c>
      <c r="N584" t="n">
        <v>0</v>
      </c>
      <c r="O584" t="n">
        <v>0</v>
      </c>
      <c r="P584" t="n">
        <v>0</v>
      </c>
      <c r="Q584" t="n">
        <v>0</v>
      </c>
      <c r="R584" s="2" t="inlineStr"/>
    </row>
    <row r="585" ht="15" customHeight="1">
      <c r="A585" t="inlineStr">
        <is>
          <t>A 57536-2025</t>
        </is>
      </c>
      <c r="B585" s="1" t="n">
        <v>45980.64287037037</v>
      </c>
      <c r="C585" s="1" t="n">
        <v>46038</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57760-2025</t>
        </is>
      </c>
      <c r="B586" s="1" t="n">
        <v>45981</v>
      </c>
      <c r="C586" s="1" t="n">
        <v>46038</v>
      </c>
      <c r="D586" t="inlineStr">
        <is>
          <t>DALARNAS LÄN</t>
        </is>
      </c>
      <c r="E586" t="inlineStr">
        <is>
          <t>LEKSAND</t>
        </is>
      </c>
      <c r="G586" t="n">
        <v>3.9</v>
      </c>
      <c r="H586" t="n">
        <v>0</v>
      </c>
      <c r="I586" t="n">
        <v>0</v>
      </c>
      <c r="J586" t="n">
        <v>0</v>
      </c>
      <c r="K586" t="n">
        <v>0</v>
      </c>
      <c r="L586" t="n">
        <v>0</v>
      </c>
      <c r="M586" t="n">
        <v>0</v>
      </c>
      <c r="N586" t="n">
        <v>0</v>
      </c>
      <c r="O586" t="n">
        <v>0</v>
      </c>
      <c r="P586" t="n">
        <v>0</v>
      </c>
      <c r="Q586" t="n">
        <v>0</v>
      </c>
      <c r="R586" s="2" t="inlineStr"/>
    </row>
    <row r="587" ht="15" customHeight="1">
      <c r="A587" t="inlineStr">
        <is>
          <t>A 15257-2025</t>
        </is>
      </c>
      <c r="B587" s="1" t="n">
        <v>45744</v>
      </c>
      <c r="C587" s="1" t="n">
        <v>46038</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57869-2025</t>
        </is>
      </c>
      <c r="B588" s="1" t="n">
        <v>45981.65211805556</v>
      </c>
      <c r="C588" s="1" t="n">
        <v>46038</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46834-2023</t>
        </is>
      </c>
      <c r="B589" s="1" t="n">
        <v>45199.35668981481</v>
      </c>
      <c r="C589" s="1" t="n">
        <v>46038</v>
      </c>
      <c r="D589" t="inlineStr">
        <is>
          <t>DALARNAS LÄN</t>
        </is>
      </c>
      <c r="E589" t="inlineStr">
        <is>
          <t>LEKSAND</t>
        </is>
      </c>
      <c r="G589" t="n">
        <v>16.3</v>
      </c>
      <c r="H589" t="n">
        <v>0</v>
      </c>
      <c r="I589" t="n">
        <v>0</v>
      </c>
      <c r="J589" t="n">
        <v>0</v>
      </c>
      <c r="K589" t="n">
        <v>0</v>
      </c>
      <c r="L589" t="n">
        <v>0</v>
      </c>
      <c r="M589" t="n">
        <v>0</v>
      </c>
      <c r="N589" t="n">
        <v>0</v>
      </c>
      <c r="O589" t="n">
        <v>0</v>
      </c>
      <c r="P589" t="n">
        <v>0</v>
      </c>
      <c r="Q589" t="n">
        <v>0</v>
      </c>
      <c r="R589" s="2" t="inlineStr"/>
    </row>
    <row r="590" ht="15" customHeight="1">
      <c r="A590" t="inlineStr">
        <is>
          <t>A 12851-2023</t>
        </is>
      </c>
      <c r="B590" s="1" t="n">
        <v>45001.49347222222</v>
      </c>
      <c r="C590" s="1" t="n">
        <v>46038</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57688-2025</t>
        </is>
      </c>
      <c r="B591" s="1" t="n">
        <v>45981.44429398148</v>
      </c>
      <c r="C591" s="1" t="n">
        <v>46038</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94-2026</t>
        </is>
      </c>
      <c r="B592" s="1" t="n">
        <v>46024.49158564815</v>
      </c>
      <c r="C592" s="1" t="n">
        <v>46038</v>
      </c>
      <c r="D592" t="inlineStr">
        <is>
          <t>DALARNAS LÄN</t>
        </is>
      </c>
      <c r="E592" t="inlineStr">
        <is>
          <t>LEKSAND</t>
        </is>
      </c>
      <c r="G592" t="n">
        <v>2.6</v>
      </c>
      <c r="H592" t="n">
        <v>0</v>
      </c>
      <c r="I592" t="n">
        <v>0</v>
      </c>
      <c r="J592" t="n">
        <v>0</v>
      </c>
      <c r="K592" t="n">
        <v>0</v>
      </c>
      <c r="L592" t="n">
        <v>0</v>
      </c>
      <c r="M592" t="n">
        <v>0</v>
      </c>
      <c r="N592" t="n">
        <v>0</v>
      </c>
      <c r="O592" t="n">
        <v>0</v>
      </c>
      <c r="P592" t="n">
        <v>0</v>
      </c>
      <c r="Q592" t="n">
        <v>0</v>
      </c>
      <c r="R592" s="2" t="inlineStr"/>
    </row>
    <row r="593" ht="15" customHeight="1">
      <c r="A593" t="inlineStr">
        <is>
          <t>A 54677-2025</t>
        </is>
      </c>
      <c r="B593" s="1" t="n">
        <v>45966</v>
      </c>
      <c r="C593" s="1" t="n">
        <v>46038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58376-2025</t>
        </is>
      </c>
      <c r="B594" s="1" t="n">
        <v>45985.53180555555</v>
      </c>
      <c r="C594" s="1" t="n">
        <v>46038</v>
      </c>
      <c r="D594" t="inlineStr">
        <is>
          <t>DALARNAS LÄN</t>
        </is>
      </c>
      <c r="E594" t="inlineStr">
        <is>
          <t>LEKSAND</t>
        </is>
      </c>
      <c r="G594" t="n">
        <v>5.7</v>
      </c>
      <c r="H594" t="n">
        <v>0</v>
      </c>
      <c r="I594" t="n">
        <v>0</v>
      </c>
      <c r="J594" t="n">
        <v>0</v>
      </c>
      <c r="K594" t="n">
        <v>0</v>
      </c>
      <c r="L594" t="n">
        <v>0</v>
      </c>
      <c r="M594" t="n">
        <v>0</v>
      </c>
      <c r="N594" t="n">
        <v>0</v>
      </c>
      <c r="O594" t="n">
        <v>0</v>
      </c>
      <c r="P594" t="n">
        <v>0</v>
      </c>
      <c r="Q594" t="n">
        <v>0</v>
      </c>
      <c r="R594" s="2" t="inlineStr"/>
    </row>
    <row r="595" ht="15" customHeight="1">
      <c r="A595" t="inlineStr">
        <is>
          <t>A 58519-2025</t>
        </is>
      </c>
      <c r="B595" s="1" t="n">
        <v>45985.70894675926</v>
      </c>
      <c r="C595" s="1" t="n">
        <v>46038</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58516-2025</t>
        </is>
      </c>
      <c r="B596" s="1" t="n">
        <v>45985.70596064815</v>
      </c>
      <c r="C596" s="1" t="n">
        <v>46038</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53122-2023</t>
        </is>
      </c>
      <c r="B597" s="1" t="n">
        <v>45228</v>
      </c>
      <c r="C597" s="1" t="n">
        <v>46038</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133-2026</t>
        </is>
      </c>
      <c r="B598" s="1" t="n">
        <v>46024.60450231482</v>
      </c>
      <c r="C598" s="1" t="n">
        <v>46038</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58449-2025</t>
        </is>
      </c>
      <c r="B599" s="1" t="n">
        <v>45985.62520833333</v>
      </c>
      <c r="C599" s="1" t="n">
        <v>46038</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57962-2025</t>
        </is>
      </c>
      <c r="B600" s="1" t="n">
        <v>45982.37767361111</v>
      </c>
      <c r="C600" s="1" t="n">
        <v>46038</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58114-2025</t>
        </is>
      </c>
      <c r="B601" s="1" t="n">
        <v>45982.60335648148</v>
      </c>
      <c r="C601" s="1" t="n">
        <v>46038</v>
      </c>
      <c r="D601" t="inlineStr">
        <is>
          <t>DALARNAS LÄN</t>
        </is>
      </c>
      <c r="E601" t="inlineStr">
        <is>
          <t>LEKSAND</t>
        </is>
      </c>
      <c r="G601" t="n">
        <v>3</v>
      </c>
      <c r="H601" t="n">
        <v>0</v>
      </c>
      <c r="I601" t="n">
        <v>0</v>
      </c>
      <c r="J601" t="n">
        <v>0</v>
      </c>
      <c r="K601" t="n">
        <v>0</v>
      </c>
      <c r="L601" t="n">
        <v>0</v>
      </c>
      <c r="M601" t="n">
        <v>0</v>
      </c>
      <c r="N601" t="n">
        <v>0</v>
      </c>
      <c r="O601" t="n">
        <v>0</v>
      </c>
      <c r="P601" t="n">
        <v>0</v>
      </c>
      <c r="Q601" t="n">
        <v>0</v>
      </c>
      <c r="R601" s="2" t="inlineStr"/>
    </row>
    <row r="602" ht="15" customHeight="1">
      <c r="A602" t="inlineStr">
        <is>
          <t>A 63967-2025</t>
        </is>
      </c>
      <c r="B602" s="1" t="n">
        <v>46021.31668981481</v>
      </c>
      <c r="C602" s="1" t="n">
        <v>46038</v>
      </c>
      <c r="D602" t="inlineStr">
        <is>
          <t>DALARNAS LÄN</t>
        </is>
      </c>
      <c r="E602" t="inlineStr">
        <is>
          <t>LEKSAND</t>
        </is>
      </c>
      <c r="G602" t="n">
        <v>6.4</v>
      </c>
      <c r="H602" t="n">
        <v>0</v>
      </c>
      <c r="I602" t="n">
        <v>0</v>
      </c>
      <c r="J602" t="n">
        <v>0</v>
      </c>
      <c r="K602" t="n">
        <v>0</v>
      </c>
      <c r="L602" t="n">
        <v>0</v>
      </c>
      <c r="M602" t="n">
        <v>0</v>
      </c>
      <c r="N602" t="n">
        <v>0</v>
      </c>
      <c r="O602" t="n">
        <v>0</v>
      </c>
      <c r="P602" t="n">
        <v>0</v>
      </c>
      <c r="Q602" t="n">
        <v>0</v>
      </c>
      <c r="R602" s="2" t="inlineStr"/>
    </row>
    <row r="603" ht="15" customHeight="1">
      <c r="A603" t="inlineStr">
        <is>
          <t>A 319-2026</t>
        </is>
      </c>
      <c r="B603" s="1" t="n">
        <v>46027.57685185185</v>
      </c>
      <c r="C603" s="1" t="n">
        <v>46038</v>
      </c>
      <c r="D603" t="inlineStr">
        <is>
          <t>DALARNAS LÄN</t>
        </is>
      </c>
      <c r="E603" t="inlineStr">
        <is>
          <t>LEKSAND</t>
        </is>
      </c>
      <c r="G603" t="n">
        <v>12.9</v>
      </c>
      <c r="H603" t="n">
        <v>0</v>
      </c>
      <c r="I603" t="n">
        <v>0</v>
      </c>
      <c r="J603" t="n">
        <v>0</v>
      </c>
      <c r="K603" t="n">
        <v>0</v>
      </c>
      <c r="L603" t="n">
        <v>0</v>
      </c>
      <c r="M603" t="n">
        <v>0</v>
      </c>
      <c r="N603" t="n">
        <v>0</v>
      </c>
      <c r="O603" t="n">
        <v>0</v>
      </c>
      <c r="P603" t="n">
        <v>0</v>
      </c>
      <c r="Q603" t="n">
        <v>0</v>
      </c>
      <c r="R603" s="2" t="inlineStr"/>
    </row>
    <row r="604" ht="15" customHeight="1">
      <c r="A604" t="inlineStr">
        <is>
          <t>A 63969-2025</t>
        </is>
      </c>
      <c r="B604" s="1" t="n">
        <v>46021.32637731481</v>
      </c>
      <c r="C604" s="1" t="n">
        <v>46038</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34482-2022</t>
        </is>
      </c>
      <c r="B605" s="1" t="n">
        <v>44792</v>
      </c>
      <c r="C605" s="1" t="n">
        <v>46038</v>
      </c>
      <c r="D605" t="inlineStr">
        <is>
          <t>DALARNAS LÄN</t>
        </is>
      </c>
      <c r="E605" t="inlineStr">
        <is>
          <t>LEKSAND</t>
        </is>
      </c>
      <c r="G605" t="n">
        <v>2.6</v>
      </c>
      <c r="H605" t="n">
        <v>0</v>
      </c>
      <c r="I605" t="n">
        <v>0</v>
      </c>
      <c r="J605" t="n">
        <v>0</v>
      </c>
      <c r="K605" t="n">
        <v>0</v>
      </c>
      <c r="L605" t="n">
        <v>0</v>
      </c>
      <c r="M605" t="n">
        <v>0</v>
      </c>
      <c r="N605" t="n">
        <v>0</v>
      </c>
      <c r="O605" t="n">
        <v>0</v>
      </c>
      <c r="P605" t="n">
        <v>0</v>
      </c>
      <c r="Q605" t="n">
        <v>0</v>
      </c>
      <c r="R605" s="2" t="inlineStr"/>
    </row>
    <row r="606" ht="15" customHeight="1">
      <c r="A606" t="inlineStr">
        <is>
          <t>A 489-2026</t>
        </is>
      </c>
      <c r="B606" s="1" t="n">
        <v>46029.42424768519</v>
      </c>
      <c r="C606" s="1" t="n">
        <v>46038</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5584-2024</t>
        </is>
      </c>
      <c r="B607" s="1" t="n">
        <v>45334</v>
      </c>
      <c r="C607" s="1" t="n">
        <v>46038</v>
      </c>
      <c r="D607" t="inlineStr">
        <is>
          <t>DALARNAS LÄN</t>
        </is>
      </c>
      <c r="E607" t="inlineStr">
        <is>
          <t>LEKSAND</t>
        </is>
      </c>
      <c r="F607" t="inlineStr">
        <is>
          <t>Kyrkan</t>
        </is>
      </c>
      <c r="G607" t="n">
        <v>0.4</v>
      </c>
      <c r="H607" t="n">
        <v>0</v>
      </c>
      <c r="I607" t="n">
        <v>0</v>
      </c>
      <c r="J607" t="n">
        <v>0</v>
      </c>
      <c r="K607" t="n">
        <v>0</v>
      </c>
      <c r="L607" t="n">
        <v>0</v>
      </c>
      <c r="M607" t="n">
        <v>0</v>
      </c>
      <c r="N607" t="n">
        <v>0</v>
      </c>
      <c r="O607" t="n">
        <v>0</v>
      </c>
      <c r="P607" t="n">
        <v>0</v>
      </c>
      <c r="Q607" t="n">
        <v>0</v>
      </c>
      <c r="R607" s="2" t="inlineStr"/>
    </row>
    <row r="608" ht="15" customHeight="1">
      <c r="A608" t="inlineStr">
        <is>
          <t>A 51860-2024</t>
        </is>
      </c>
      <c r="B608" s="1" t="n">
        <v>45607.54511574074</v>
      </c>
      <c r="C608" s="1" t="n">
        <v>46038</v>
      </c>
      <c r="D608" t="inlineStr">
        <is>
          <t>DALARNAS LÄN</t>
        </is>
      </c>
      <c r="E608" t="inlineStr">
        <is>
          <t>LEKSAND</t>
        </is>
      </c>
      <c r="F608" t="inlineStr">
        <is>
          <t>Bergvik skog väst AB</t>
        </is>
      </c>
      <c r="G608" t="n">
        <v>3.4</v>
      </c>
      <c r="H608" t="n">
        <v>0</v>
      </c>
      <c r="I608" t="n">
        <v>0</v>
      </c>
      <c r="J608" t="n">
        <v>0</v>
      </c>
      <c r="K608" t="n">
        <v>0</v>
      </c>
      <c r="L608" t="n">
        <v>0</v>
      </c>
      <c r="M608" t="n">
        <v>0</v>
      </c>
      <c r="N608" t="n">
        <v>0</v>
      </c>
      <c r="O608" t="n">
        <v>0</v>
      </c>
      <c r="P608" t="n">
        <v>0</v>
      </c>
      <c r="Q608" t="n">
        <v>0</v>
      </c>
      <c r="R608" s="2" t="inlineStr"/>
    </row>
    <row r="609" ht="15" customHeight="1">
      <c r="A609" t="inlineStr">
        <is>
          <t>A 22681-2022</t>
        </is>
      </c>
      <c r="B609" s="1" t="n">
        <v>44714.50961805556</v>
      </c>
      <c r="C609" s="1" t="n">
        <v>46038</v>
      </c>
      <c r="D609" t="inlineStr">
        <is>
          <t>DALARNAS LÄN</t>
        </is>
      </c>
      <c r="E609" t="inlineStr">
        <is>
          <t>LEKSAND</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435-2026</t>
        </is>
      </c>
      <c r="B610" s="1" t="n">
        <v>46029.33446759259</v>
      </c>
      <c r="C610" s="1" t="n">
        <v>46038</v>
      </c>
      <c r="D610" t="inlineStr">
        <is>
          <t>DALARNAS LÄN</t>
        </is>
      </c>
      <c r="E610" t="inlineStr">
        <is>
          <t>LEKSAND</t>
        </is>
      </c>
      <c r="G610" t="n">
        <v>3.5</v>
      </c>
      <c r="H610" t="n">
        <v>0</v>
      </c>
      <c r="I610" t="n">
        <v>0</v>
      </c>
      <c r="J610" t="n">
        <v>0</v>
      </c>
      <c r="K610" t="n">
        <v>0</v>
      </c>
      <c r="L610" t="n">
        <v>0</v>
      </c>
      <c r="M610" t="n">
        <v>0</v>
      </c>
      <c r="N610" t="n">
        <v>0</v>
      </c>
      <c r="O610" t="n">
        <v>0</v>
      </c>
      <c r="P610" t="n">
        <v>0</v>
      </c>
      <c r="Q610" t="n">
        <v>0</v>
      </c>
      <c r="R610" s="2" t="inlineStr"/>
    </row>
    <row r="611" ht="15" customHeight="1">
      <c r="A611" t="inlineStr">
        <is>
          <t>A 1457-2024</t>
        </is>
      </c>
      <c r="B611" s="1" t="n">
        <v>45303</v>
      </c>
      <c r="C611" s="1" t="n">
        <v>46038</v>
      </c>
      <c r="D611" t="inlineStr">
        <is>
          <t>DALARNAS LÄN</t>
        </is>
      </c>
      <c r="E611" t="inlineStr">
        <is>
          <t>LEKSAND</t>
        </is>
      </c>
      <c r="G611" t="n">
        <v>4.4</v>
      </c>
      <c r="H611" t="n">
        <v>0</v>
      </c>
      <c r="I611" t="n">
        <v>0</v>
      </c>
      <c r="J611" t="n">
        <v>0</v>
      </c>
      <c r="K611" t="n">
        <v>0</v>
      </c>
      <c r="L611" t="n">
        <v>0</v>
      </c>
      <c r="M611" t="n">
        <v>0</v>
      </c>
      <c r="N611" t="n">
        <v>0</v>
      </c>
      <c r="O611" t="n">
        <v>0</v>
      </c>
      <c r="P611" t="n">
        <v>0</v>
      </c>
      <c r="Q611" t="n">
        <v>0</v>
      </c>
      <c r="R611" s="2" t="inlineStr"/>
    </row>
    <row r="612" ht="15" customHeight="1">
      <c r="A612" t="inlineStr">
        <is>
          <t>A 720-2026</t>
        </is>
      </c>
      <c r="B612" s="1" t="n">
        <v>46029.635</v>
      </c>
      <c r="C612" s="1" t="n">
        <v>46038</v>
      </c>
      <c r="D612" t="inlineStr">
        <is>
          <t>DALARNAS LÄN</t>
        </is>
      </c>
      <c r="E612" t="inlineStr">
        <is>
          <t>LEKSAND</t>
        </is>
      </c>
      <c r="G612" t="n">
        <v>6.7</v>
      </c>
      <c r="H612" t="n">
        <v>0</v>
      </c>
      <c r="I612" t="n">
        <v>0</v>
      </c>
      <c r="J612" t="n">
        <v>0</v>
      </c>
      <c r="K612" t="n">
        <v>0</v>
      </c>
      <c r="L612" t="n">
        <v>0</v>
      </c>
      <c r="M612" t="n">
        <v>0</v>
      </c>
      <c r="N612" t="n">
        <v>0</v>
      </c>
      <c r="O612" t="n">
        <v>0</v>
      </c>
      <c r="P612" t="n">
        <v>0</v>
      </c>
      <c r="Q612" t="n">
        <v>0</v>
      </c>
      <c r="R612" s="2" t="inlineStr"/>
    </row>
    <row r="613" ht="15" customHeight="1">
      <c r="A613" t="inlineStr">
        <is>
          <t>A 58900-2025</t>
        </is>
      </c>
      <c r="B613" s="1" t="n">
        <v>45987</v>
      </c>
      <c r="C613" s="1" t="n">
        <v>46038</v>
      </c>
      <c r="D613" t="inlineStr">
        <is>
          <t>DALARNAS LÄN</t>
        </is>
      </c>
      <c r="E613" t="inlineStr">
        <is>
          <t>LEKSAND</t>
        </is>
      </c>
      <c r="G613" t="n">
        <v>2.1</v>
      </c>
      <c r="H613" t="n">
        <v>0</v>
      </c>
      <c r="I613" t="n">
        <v>0</v>
      </c>
      <c r="J613" t="n">
        <v>0</v>
      </c>
      <c r="K613" t="n">
        <v>0</v>
      </c>
      <c r="L613" t="n">
        <v>0</v>
      </c>
      <c r="M613" t="n">
        <v>0</v>
      </c>
      <c r="N613" t="n">
        <v>0</v>
      </c>
      <c r="O613" t="n">
        <v>0</v>
      </c>
      <c r="P613" t="n">
        <v>0</v>
      </c>
      <c r="Q613" t="n">
        <v>0</v>
      </c>
      <c r="R613" s="2" t="inlineStr"/>
    </row>
    <row r="614" ht="15" customHeight="1">
      <c r="A614" t="inlineStr">
        <is>
          <t>A 58626-2025</t>
        </is>
      </c>
      <c r="B614" s="1" t="n">
        <v>45986.47667824074</v>
      </c>
      <c r="C614" s="1" t="n">
        <v>46038</v>
      </c>
      <c r="D614" t="inlineStr">
        <is>
          <t>DALARNAS LÄN</t>
        </is>
      </c>
      <c r="E614" t="inlineStr">
        <is>
          <t>LEKSAND</t>
        </is>
      </c>
      <c r="G614" t="n">
        <v>0.8</v>
      </c>
      <c r="H614" t="n">
        <v>0</v>
      </c>
      <c r="I614" t="n">
        <v>0</v>
      </c>
      <c r="J614" t="n">
        <v>0</v>
      </c>
      <c r="K614" t="n">
        <v>0</v>
      </c>
      <c r="L614" t="n">
        <v>0</v>
      </c>
      <c r="M614" t="n">
        <v>0</v>
      </c>
      <c r="N614" t="n">
        <v>0</v>
      </c>
      <c r="O614" t="n">
        <v>0</v>
      </c>
      <c r="P614" t="n">
        <v>0</v>
      </c>
      <c r="Q614" t="n">
        <v>0</v>
      </c>
      <c r="R614" s="2" t="inlineStr"/>
    </row>
    <row r="615" ht="15" customHeight="1">
      <c r="A615" t="inlineStr">
        <is>
          <t>A 58921-2025</t>
        </is>
      </c>
      <c r="B615" s="1" t="n">
        <v>45986</v>
      </c>
      <c r="C615" s="1" t="n">
        <v>46038</v>
      </c>
      <c r="D615" t="inlineStr">
        <is>
          <t>DALARNAS LÄN</t>
        </is>
      </c>
      <c r="E615" t="inlineStr">
        <is>
          <t>LEKSAND</t>
        </is>
      </c>
      <c r="G615" t="n">
        <v>0.8</v>
      </c>
      <c r="H615" t="n">
        <v>0</v>
      </c>
      <c r="I615" t="n">
        <v>0</v>
      </c>
      <c r="J615" t="n">
        <v>0</v>
      </c>
      <c r="K615" t="n">
        <v>0</v>
      </c>
      <c r="L615" t="n">
        <v>0</v>
      </c>
      <c r="M615" t="n">
        <v>0</v>
      </c>
      <c r="N615" t="n">
        <v>0</v>
      </c>
      <c r="O615" t="n">
        <v>0</v>
      </c>
      <c r="P615" t="n">
        <v>0</v>
      </c>
      <c r="Q615" t="n">
        <v>0</v>
      </c>
      <c r="R615" s="2" t="inlineStr"/>
    </row>
    <row r="616" ht="15" customHeight="1">
      <c r="A616" t="inlineStr">
        <is>
          <t>A 519-2026</t>
        </is>
      </c>
      <c r="B616" s="1" t="n">
        <v>46029.44658564815</v>
      </c>
      <c r="C616" s="1" t="n">
        <v>46038</v>
      </c>
      <c r="D616" t="inlineStr">
        <is>
          <t>DALARNAS LÄN</t>
        </is>
      </c>
      <c r="E616" t="inlineStr">
        <is>
          <t>LEKSAND</t>
        </is>
      </c>
      <c r="G616" t="n">
        <v>1.8</v>
      </c>
      <c r="H616" t="n">
        <v>0</v>
      </c>
      <c r="I616" t="n">
        <v>0</v>
      </c>
      <c r="J616" t="n">
        <v>0</v>
      </c>
      <c r="K616" t="n">
        <v>0</v>
      </c>
      <c r="L616" t="n">
        <v>0</v>
      </c>
      <c r="M616" t="n">
        <v>0</v>
      </c>
      <c r="N616" t="n">
        <v>0</v>
      </c>
      <c r="O616" t="n">
        <v>0</v>
      </c>
      <c r="P616" t="n">
        <v>0</v>
      </c>
      <c r="Q616" t="n">
        <v>0</v>
      </c>
      <c r="R616" s="2" t="inlineStr"/>
    </row>
    <row r="617" ht="15" customHeight="1">
      <c r="A617" t="inlineStr">
        <is>
          <t>A 581-2026</t>
        </is>
      </c>
      <c r="B617" s="1" t="n">
        <v>46029.48001157407</v>
      </c>
      <c r="C617" s="1" t="n">
        <v>46038</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40007-2024</t>
        </is>
      </c>
      <c r="B618" s="1" t="n">
        <v>45553.6516550926</v>
      </c>
      <c r="C618" s="1" t="n">
        <v>46038</v>
      </c>
      <c r="D618" t="inlineStr">
        <is>
          <t>DALARNAS LÄN</t>
        </is>
      </c>
      <c r="E618" t="inlineStr">
        <is>
          <t>LEKSAND</t>
        </is>
      </c>
      <c r="F618" t="inlineStr">
        <is>
          <t>Bergvik skog väst AB</t>
        </is>
      </c>
      <c r="G618" t="n">
        <v>3.2</v>
      </c>
      <c r="H618" t="n">
        <v>0</v>
      </c>
      <c r="I618" t="n">
        <v>0</v>
      </c>
      <c r="J618" t="n">
        <v>0</v>
      </c>
      <c r="K618" t="n">
        <v>0</v>
      </c>
      <c r="L618" t="n">
        <v>0</v>
      </c>
      <c r="M618" t="n">
        <v>0</v>
      </c>
      <c r="N618" t="n">
        <v>0</v>
      </c>
      <c r="O618" t="n">
        <v>0</v>
      </c>
      <c r="P618" t="n">
        <v>0</v>
      </c>
      <c r="Q618" t="n">
        <v>0</v>
      </c>
      <c r="R618" s="2" t="inlineStr"/>
    </row>
    <row r="619" ht="15" customHeight="1">
      <c r="A619" t="inlineStr">
        <is>
          <t>A 58674-2025</t>
        </is>
      </c>
      <c r="B619" s="1" t="n">
        <v>45986.55810185185</v>
      </c>
      <c r="C619" s="1" t="n">
        <v>46038</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593-2026</t>
        </is>
      </c>
      <c r="B620" s="1" t="n">
        <v>46029.49751157407</v>
      </c>
      <c r="C620" s="1" t="n">
        <v>46038</v>
      </c>
      <c r="D620" t="inlineStr">
        <is>
          <t>DALARNAS LÄN</t>
        </is>
      </c>
      <c r="E620" t="inlineStr">
        <is>
          <t>LEKSAND</t>
        </is>
      </c>
      <c r="G620" t="n">
        <v>1.8</v>
      </c>
      <c r="H620" t="n">
        <v>0</v>
      </c>
      <c r="I620" t="n">
        <v>0</v>
      </c>
      <c r="J620" t="n">
        <v>0</v>
      </c>
      <c r="K620" t="n">
        <v>0</v>
      </c>
      <c r="L620" t="n">
        <v>0</v>
      </c>
      <c r="M620" t="n">
        <v>0</v>
      </c>
      <c r="N620" t="n">
        <v>0</v>
      </c>
      <c r="O620" t="n">
        <v>0</v>
      </c>
      <c r="P620" t="n">
        <v>0</v>
      </c>
      <c r="Q620" t="n">
        <v>0</v>
      </c>
      <c r="R620" s="2" t="inlineStr"/>
    </row>
    <row r="621" ht="15" customHeight="1">
      <c r="A621" t="inlineStr">
        <is>
          <t>A 33198-2022</t>
        </is>
      </c>
      <c r="B621" s="1" t="n">
        <v>44785.68597222222</v>
      </c>
      <c r="C621" s="1" t="n">
        <v>46038</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521-2026</t>
        </is>
      </c>
      <c r="B622" s="1" t="n">
        <v>46029.44782407407</v>
      </c>
      <c r="C622" s="1" t="n">
        <v>46038</v>
      </c>
      <c r="D622" t="inlineStr">
        <is>
          <t>DALARNAS LÄN</t>
        </is>
      </c>
      <c r="E622" t="inlineStr">
        <is>
          <t>LEKSAND</t>
        </is>
      </c>
      <c r="G622" t="n">
        <v>3.4</v>
      </c>
      <c r="H622" t="n">
        <v>0</v>
      </c>
      <c r="I622" t="n">
        <v>0</v>
      </c>
      <c r="J622" t="n">
        <v>0</v>
      </c>
      <c r="K622" t="n">
        <v>0</v>
      </c>
      <c r="L622" t="n">
        <v>0</v>
      </c>
      <c r="M622" t="n">
        <v>0</v>
      </c>
      <c r="N622" t="n">
        <v>0</v>
      </c>
      <c r="O622" t="n">
        <v>0</v>
      </c>
      <c r="P622" t="n">
        <v>0</v>
      </c>
      <c r="Q622" t="n">
        <v>0</v>
      </c>
      <c r="R622" s="2" t="inlineStr"/>
    </row>
    <row r="623" ht="15" customHeight="1">
      <c r="A623" t="inlineStr">
        <is>
          <t>A 9938-2023</t>
        </is>
      </c>
      <c r="B623" s="1" t="n">
        <v>44985</v>
      </c>
      <c r="C623" s="1" t="n">
        <v>46038</v>
      </c>
      <c r="D623" t="inlineStr">
        <is>
          <t>DALARNAS LÄN</t>
        </is>
      </c>
      <c r="E623" t="inlineStr">
        <is>
          <t>LEKSAND</t>
        </is>
      </c>
      <c r="G623" t="n">
        <v>3.1</v>
      </c>
      <c r="H623" t="n">
        <v>0</v>
      </c>
      <c r="I623" t="n">
        <v>0</v>
      </c>
      <c r="J623" t="n">
        <v>0</v>
      </c>
      <c r="K623" t="n">
        <v>0</v>
      </c>
      <c r="L623" t="n">
        <v>0</v>
      </c>
      <c r="M623" t="n">
        <v>0</v>
      </c>
      <c r="N623" t="n">
        <v>0</v>
      </c>
      <c r="O623" t="n">
        <v>0</v>
      </c>
      <c r="P623" t="n">
        <v>0</v>
      </c>
      <c r="Q623" t="n">
        <v>0</v>
      </c>
      <c r="R623" s="2" t="inlineStr"/>
    </row>
    <row r="624" ht="15" customHeight="1">
      <c r="A624" t="inlineStr">
        <is>
          <t>A 59271-2025</t>
        </is>
      </c>
      <c r="B624" s="1" t="n">
        <v>45988.68571759259</v>
      </c>
      <c r="C624" s="1" t="n">
        <v>46038</v>
      </c>
      <c r="D624" t="inlineStr">
        <is>
          <t>DALARNAS LÄN</t>
        </is>
      </c>
      <c r="E624" t="inlineStr">
        <is>
          <t>LEKSAND</t>
        </is>
      </c>
      <c r="G624" t="n">
        <v>2.2</v>
      </c>
      <c r="H624" t="n">
        <v>0</v>
      </c>
      <c r="I624" t="n">
        <v>0</v>
      </c>
      <c r="J624" t="n">
        <v>0</v>
      </c>
      <c r="K624" t="n">
        <v>0</v>
      </c>
      <c r="L624" t="n">
        <v>0</v>
      </c>
      <c r="M624" t="n">
        <v>0</v>
      </c>
      <c r="N624" t="n">
        <v>0</v>
      </c>
      <c r="O624" t="n">
        <v>0</v>
      </c>
      <c r="P624" t="n">
        <v>0</v>
      </c>
      <c r="Q624" t="n">
        <v>0</v>
      </c>
      <c r="R624" s="2" t="inlineStr"/>
    </row>
    <row r="625" ht="15" customHeight="1">
      <c r="A625" t="inlineStr">
        <is>
          <t>A 1149-2026</t>
        </is>
      </c>
      <c r="B625" s="1" t="n">
        <v>46030.92302083333</v>
      </c>
      <c r="C625" s="1" t="n">
        <v>46038</v>
      </c>
      <c r="D625" t="inlineStr">
        <is>
          <t>DALARNAS LÄN</t>
        </is>
      </c>
      <c r="E625" t="inlineStr">
        <is>
          <t>LEKSAND</t>
        </is>
      </c>
      <c r="G625" t="n">
        <v>11.7</v>
      </c>
      <c r="H625" t="n">
        <v>0</v>
      </c>
      <c r="I625" t="n">
        <v>0</v>
      </c>
      <c r="J625" t="n">
        <v>0</v>
      </c>
      <c r="K625" t="n">
        <v>0</v>
      </c>
      <c r="L625" t="n">
        <v>0</v>
      </c>
      <c r="M625" t="n">
        <v>0</v>
      </c>
      <c r="N625" t="n">
        <v>0</v>
      </c>
      <c r="O625" t="n">
        <v>0</v>
      </c>
      <c r="P625" t="n">
        <v>0</v>
      </c>
      <c r="Q625" t="n">
        <v>0</v>
      </c>
      <c r="R625" s="2" t="inlineStr"/>
    </row>
    <row r="626" ht="15" customHeight="1">
      <c r="A626" t="inlineStr">
        <is>
          <t>A 31726-2024</t>
        </is>
      </c>
      <c r="B626" s="1" t="n">
        <v>45509.33908564815</v>
      </c>
      <c r="C626" s="1" t="n">
        <v>46038</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26957-2023</t>
        </is>
      </c>
      <c r="B627" s="1" t="n">
        <v>45093</v>
      </c>
      <c r="C627" s="1" t="n">
        <v>46038</v>
      </c>
      <c r="D627" t="inlineStr">
        <is>
          <t>DALARNAS LÄN</t>
        </is>
      </c>
      <c r="E627" t="inlineStr">
        <is>
          <t>LEKSAND</t>
        </is>
      </c>
      <c r="G627" t="n">
        <v>1.1</v>
      </c>
      <c r="H627" t="n">
        <v>0</v>
      </c>
      <c r="I627" t="n">
        <v>0</v>
      </c>
      <c r="J627" t="n">
        <v>0</v>
      </c>
      <c r="K627" t="n">
        <v>0</v>
      </c>
      <c r="L627" t="n">
        <v>0</v>
      </c>
      <c r="M627" t="n">
        <v>0</v>
      </c>
      <c r="N627" t="n">
        <v>0</v>
      </c>
      <c r="O627" t="n">
        <v>0</v>
      </c>
      <c r="P627" t="n">
        <v>0</v>
      </c>
      <c r="Q627" t="n">
        <v>0</v>
      </c>
      <c r="R627" s="2" t="inlineStr"/>
    </row>
    <row r="628" ht="15" customHeight="1">
      <c r="A628" t="inlineStr">
        <is>
          <t>A 39595-2023</t>
        </is>
      </c>
      <c r="B628" s="1" t="n">
        <v>45167</v>
      </c>
      <c r="C628" s="1" t="n">
        <v>46038</v>
      </c>
      <c r="D628" t="inlineStr">
        <is>
          <t>DALARNAS LÄN</t>
        </is>
      </c>
      <c r="E628" t="inlineStr">
        <is>
          <t>LEKSAND</t>
        </is>
      </c>
      <c r="G628" t="n">
        <v>0.9</v>
      </c>
      <c r="H628" t="n">
        <v>0</v>
      </c>
      <c r="I628" t="n">
        <v>0</v>
      </c>
      <c r="J628" t="n">
        <v>0</v>
      </c>
      <c r="K628" t="n">
        <v>0</v>
      </c>
      <c r="L628" t="n">
        <v>0</v>
      </c>
      <c r="M628" t="n">
        <v>0</v>
      </c>
      <c r="N628" t="n">
        <v>0</v>
      </c>
      <c r="O628" t="n">
        <v>0</v>
      </c>
      <c r="P628" t="n">
        <v>0</v>
      </c>
      <c r="Q628" t="n">
        <v>0</v>
      </c>
      <c r="R628" s="2" t="inlineStr"/>
    </row>
    <row r="629" ht="15" customHeight="1">
      <c r="A629" t="inlineStr">
        <is>
          <t>A 59106-2025</t>
        </is>
      </c>
      <c r="B629" s="1" t="n">
        <v>45988.46891203704</v>
      </c>
      <c r="C629" s="1" t="n">
        <v>46038</v>
      </c>
      <c r="D629" t="inlineStr">
        <is>
          <t>DALARNAS LÄN</t>
        </is>
      </c>
      <c r="E629" t="inlineStr">
        <is>
          <t>LEKSAND</t>
        </is>
      </c>
      <c r="G629" t="n">
        <v>1</v>
      </c>
      <c r="H629" t="n">
        <v>0</v>
      </c>
      <c r="I629" t="n">
        <v>0</v>
      </c>
      <c r="J629" t="n">
        <v>0</v>
      </c>
      <c r="K629" t="n">
        <v>0</v>
      </c>
      <c r="L629" t="n">
        <v>0</v>
      </c>
      <c r="M629" t="n">
        <v>0</v>
      </c>
      <c r="N629" t="n">
        <v>0</v>
      </c>
      <c r="O629" t="n">
        <v>0</v>
      </c>
      <c r="P629" t="n">
        <v>0</v>
      </c>
      <c r="Q629" t="n">
        <v>0</v>
      </c>
      <c r="R629" s="2" t="inlineStr"/>
    </row>
    <row r="630" ht="15" customHeight="1">
      <c r="A630" t="inlineStr">
        <is>
          <t>A 40642-2023</t>
        </is>
      </c>
      <c r="B630" s="1" t="n">
        <v>45169</v>
      </c>
      <c r="C630" s="1" t="n">
        <v>46038</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41934-2025</t>
        </is>
      </c>
      <c r="B631" s="1" t="n">
        <v>45903</v>
      </c>
      <c r="C631" s="1" t="n">
        <v>46038</v>
      </c>
      <c r="D631" t="inlineStr">
        <is>
          <t>DALARNAS LÄN</t>
        </is>
      </c>
      <c r="E631" t="inlineStr">
        <is>
          <t>LEKSAND</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59083-2025</t>
        </is>
      </c>
      <c r="B632" s="1" t="n">
        <v>45988</v>
      </c>
      <c r="C632" s="1" t="n">
        <v>46038</v>
      </c>
      <c r="D632" t="inlineStr">
        <is>
          <t>DALARNAS LÄN</t>
        </is>
      </c>
      <c r="E632" t="inlineStr">
        <is>
          <t>LEKSAND</t>
        </is>
      </c>
      <c r="F632" t="inlineStr">
        <is>
          <t>Bergvik skog väst AB</t>
        </is>
      </c>
      <c r="G632" t="n">
        <v>2.7</v>
      </c>
      <c r="H632" t="n">
        <v>0</v>
      </c>
      <c r="I632" t="n">
        <v>0</v>
      </c>
      <c r="J632" t="n">
        <v>0</v>
      </c>
      <c r="K632" t="n">
        <v>0</v>
      </c>
      <c r="L632" t="n">
        <v>0</v>
      </c>
      <c r="M632" t="n">
        <v>0</v>
      </c>
      <c r="N632" t="n">
        <v>0</v>
      </c>
      <c r="O632" t="n">
        <v>0</v>
      </c>
      <c r="P632" t="n">
        <v>0</v>
      </c>
      <c r="Q632" t="n">
        <v>0</v>
      </c>
      <c r="R632" s="2" t="inlineStr"/>
      <c r="U632">
        <f>HYPERLINK("https://klasma.github.io/Logging_2029/knärot/A 59083-2025 karta knärot.png", "A 59083-2025")</f>
        <v/>
      </c>
      <c r="V632">
        <f>HYPERLINK("https://klasma.github.io/Logging_2029/klagomål/A 59083-2025 FSC-klagomål.docx", "A 59083-2025")</f>
        <v/>
      </c>
      <c r="W632">
        <f>HYPERLINK("https://klasma.github.io/Logging_2029/klagomålsmail/A 59083-2025 FSC-klagomål mail.docx", "A 59083-2025")</f>
        <v/>
      </c>
      <c r="X632">
        <f>HYPERLINK("https://klasma.github.io/Logging_2029/tillsyn/A 59083-2025 tillsynsbegäran.docx", "A 59083-2025")</f>
        <v/>
      </c>
      <c r="Y632">
        <f>HYPERLINK("https://klasma.github.io/Logging_2029/tillsynsmail/A 59083-2025 tillsynsbegäran mail.docx", "A 59083-2025")</f>
        <v/>
      </c>
    </row>
    <row r="633" ht="15" customHeight="1">
      <c r="A633" t="inlineStr">
        <is>
          <t>A 989-2026</t>
        </is>
      </c>
      <c r="B633" s="1" t="n">
        <v>46030.58655092592</v>
      </c>
      <c r="C633" s="1" t="n">
        <v>46038</v>
      </c>
      <c r="D633" t="inlineStr">
        <is>
          <t>DALARNAS LÄN</t>
        </is>
      </c>
      <c r="E633" t="inlineStr">
        <is>
          <t>LEKSAND</t>
        </is>
      </c>
      <c r="G633" t="n">
        <v>3.9</v>
      </c>
      <c r="H633" t="n">
        <v>0</v>
      </c>
      <c r="I633" t="n">
        <v>0</v>
      </c>
      <c r="J633" t="n">
        <v>0</v>
      </c>
      <c r="K633" t="n">
        <v>0</v>
      </c>
      <c r="L633" t="n">
        <v>0</v>
      </c>
      <c r="M633" t="n">
        <v>0</v>
      </c>
      <c r="N633" t="n">
        <v>0</v>
      </c>
      <c r="O633" t="n">
        <v>0</v>
      </c>
      <c r="P633" t="n">
        <v>0</v>
      </c>
      <c r="Q633" t="n">
        <v>0</v>
      </c>
      <c r="R633" s="2" t="inlineStr"/>
    </row>
    <row r="634" ht="15" customHeight="1">
      <c r="A634" t="inlineStr">
        <is>
          <t>A 57933-2024</t>
        </is>
      </c>
      <c r="B634" s="1" t="n">
        <v>45630</v>
      </c>
      <c r="C634" s="1" t="n">
        <v>46038</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63792-2025</t>
        </is>
      </c>
      <c r="B635" s="1" t="n">
        <v>46019</v>
      </c>
      <c r="C635" s="1" t="n">
        <v>46038</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60095-2022</t>
        </is>
      </c>
      <c r="B636" s="1" t="n">
        <v>44909</v>
      </c>
      <c r="C636" s="1" t="n">
        <v>46038</v>
      </c>
      <c r="D636" t="inlineStr">
        <is>
          <t>DALARNAS LÄN</t>
        </is>
      </c>
      <c r="E636" t="inlineStr">
        <is>
          <t>LEKSAND</t>
        </is>
      </c>
      <c r="G636" t="n">
        <v>2.4</v>
      </c>
      <c r="H636" t="n">
        <v>0</v>
      </c>
      <c r="I636" t="n">
        <v>0</v>
      </c>
      <c r="J636" t="n">
        <v>0</v>
      </c>
      <c r="K636" t="n">
        <v>0</v>
      </c>
      <c r="L636" t="n">
        <v>0</v>
      </c>
      <c r="M636" t="n">
        <v>0</v>
      </c>
      <c r="N636" t="n">
        <v>0</v>
      </c>
      <c r="O636" t="n">
        <v>0</v>
      </c>
      <c r="P636" t="n">
        <v>0</v>
      </c>
      <c r="Q636" t="n">
        <v>0</v>
      </c>
      <c r="R636" s="2" t="inlineStr"/>
    </row>
    <row r="637" ht="15" customHeight="1">
      <c r="A637" t="inlineStr">
        <is>
          <t>A 30595-2023</t>
        </is>
      </c>
      <c r="B637" s="1" t="n">
        <v>45112</v>
      </c>
      <c r="C637" s="1" t="n">
        <v>46038</v>
      </c>
      <c r="D637" t="inlineStr">
        <is>
          <t>DALARNAS LÄN</t>
        </is>
      </c>
      <c r="E637" t="inlineStr">
        <is>
          <t>LEKSAND</t>
        </is>
      </c>
      <c r="G637" t="n">
        <v>1.1</v>
      </c>
      <c r="H637" t="n">
        <v>0</v>
      </c>
      <c r="I637" t="n">
        <v>0</v>
      </c>
      <c r="J637" t="n">
        <v>0</v>
      </c>
      <c r="K637" t="n">
        <v>0</v>
      </c>
      <c r="L637" t="n">
        <v>0</v>
      </c>
      <c r="M637" t="n">
        <v>0</v>
      </c>
      <c r="N637" t="n">
        <v>0</v>
      </c>
      <c r="O637" t="n">
        <v>0</v>
      </c>
      <c r="P637" t="n">
        <v>0</v>
      </c>
      <c r="Q637" t="n">
        <v>0</v>
      </c>
      <c r="R637" s="2" t="inlineStr"/>
    </row>
    <row r="638" ht="15" customHeight="1">
      <c r="A638" t="inlineStr">
        <is>
          <t>A 1220-2026</t>
        </is>
      </c>
      <c r="B638" s="1" t="n">
        <v>46031.40140046296</v>
      </c>
      <c r="C638" s="1" t="n">
        <v>46038</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6519-2025</t>
        </is>
      </c>
      <c r="B639" s="1" t="n">
        <v>45699</v>
      </c>
      <c r="C639" s="1" t="n">
        <v>46038</v>
      </c>
      <c r="D639" t="inlineStr">
        <is>
          <t>DALARNAS LÄN</t>
        </is>
      </c>
      <c r="E639" t="inlineStr">
        <is>
          <t>LEKSAND</t>
        </is>
      </c>
      <c r="G639" t="n">
        <v>0.8</v>
      </c>
      <c r="H639" t="n">
        <v>0</v>
      </c>
      <c r="I639" t="n">
        <v>0</v>
      </c>
      <c r="J639" t="n">
        <v>0</v>
      </c>
      <c r="K639" t="n">
        <v>0</v>
      </c>
      <c r="L639" t="n">
        <v>0</v>
      </c>
      <c r="M639" t="n">
        <v>0</v>
      </c>
      <c r="N639" t="n">
        <v>0</v>
      </c>
      <c r="O639" t="n">
        <v>0</v>
      </c>
      <c r="P639" t="n">
        <v>0</v>
      </c>
      <c r="Q639" t="n">
        <v>0</v>
      </c>
      <c r="R639" s="2" t="inlineStr"/>
    </row>
    <row r="640" ht="15" customHeight="1">
      <c r="A640" t="inlineStr">
        <is>
          <t>A 63961-2025</t>
        </is>
      </c>
      <c r="B640" s="1" t="n">
        <v>46020</v>
      </c>
      <c r="C640" s="1" t="n">
        <v>46038</v>
      </c>
      <c r="D640" t="inlineStr">
        <is>
          <t>DALARNAS LÄN</t>
        </is>
      </c>
      <c r="E640" t="inlineStr">
        <is>
          <t>LEKSAND</t>
        </is>
      </c>
      <c r="F640" t="inlineStr">
        <is>
          <t>Övriga Aktiebolag</t>
        </is>
      </c>
      <c r="G640" t="n">
        <v>3.7</v>
      </c>
      <c r="H640" t="n">
        <v>0</v>
      </c>
      <c r="I640" t="n">
        <v>0</v>
      </c>
      <c r="J640" t="n">
        <v>0</v>
      </c>
      <c r="K640" t="n">
        <v>0</v>
      </c>
      <c r="L640" t="n">
        <v>0</v>
      </c>
      <c r="M640" t="n">
        <v>0</v>
      </c>
      <c r="N640" t="n">
        <v>0</v>
      </c>
      <c r="O640" t="n">
        <v>0</v>
      </c>
      <c r="P640" t="n">
        <v>0</v>
      </c>
      <c r="Q640" t="n">
        <v>0</v>
      </c>
      <c r="R640" s="2" t="inlineStr"/>
    </row>
    <row r="641" ht="15" customHeight="1">
      <c r="A641" t="inlineStr">
        <is>
          <t>A 1946-2026</t>
        </is>
      </c>
      <c r="B641" s="1" t="n">
        <v>46035.59733796296</v>
      </c>
      <c r="C641" s="1" t="n">
        <v>46038</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1950-2026</t>
        </is>
      </c>
      <c r="B642" s="1" t="n">
        <v>46035.60259259259</v>
      </c>
      <c r="C642" s="1" t="n">
        <v>46038</v>
      </c>
      <c r="D642" t="inlineStr">
        <is>
          <t>DALARNAS LÄN</t>
        </is>
      </c>
      <c r="E642" t="inlineStr">
        <is>
          <t>LEKSAND</t>
        </is>
      </c>
      <c r="G642" t="n">
        <v>5.3</v>
      </c>
      <c r="H642" t="n">
        <v>0</v>
      </c>
      <c r="I642" t="n">
        <v>0</v>
      </c>
      <c r="J642" t="n">
        <v>0</v>
      </c>
      <c r="K642" t="n">
        <v>0</v>
      </c>
      <c r="L642" t="n">
        <v>0</v>
      </c>
      <c r="M642" t="n">
        <v>0</v>
      </c>
      <c r="N642" t="n">
        <v>0</v>
      </c>
      <c r="O642" t="n">
        <v>0</v>
      </c>
      <c r="P642" t="n">
        <v>0</v>
      </c>
      <c r="Q642" t="n">
        <v>0</v>
      </c>
      <c r="R642" s="2" t="inlineStr"/>
    </row>
    <row r="643" ht="15" customHeight="1">
      <c r="A643" t="inlineStr">
        <is>
          <t>A 40755-2024</t>
        </is>
      </c>
      <c r="B643" s="1" t="n">
        <v>45558.45815972222</v>
      </c>
      <c r="C643" s="1" t="n">
        <v>46038</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63902-2025</t>
        </is>
      </c>
      <c r="B644" s="1" t="n">
        <v>46020</v>
      </c>
      <c r="C644" s="1" t="n">
        <v>46038</v>
      </c>
      <c r="D644" t="inlineStr">
        <is>
          <t>DALARNAS LÄN</t>
        </is>
      </c>
      <c r="E644" t="inlineStr">
        <is>
          <t>LEKSAND</t>
        </is>
      </c>
      <c r="G644" t="n">
        <v>3.5</v>
      </c>
      <c r="H644" t="n">
        <v>0</v>
      </c>
      <c r="I644" t="n">
        <v>0</v>
      </c>
      <c r="J644" t="n">
        <v>0</v>
      </c>
      <c r="K644" t="n">
        <v>0</v>
      </c>
      <c r="L644" t="n">
        <v>0</v>
      </c>
      <c r="M644" t="n">
        <v>0</v>
      </c>
      <c r="N644" t="n">
        <v>0</v>
      </c>
      <c r="O644" t="n">
        <v>0</v>
      </c>
      <c r="P644" t="n">
        <v>0</v>
      </c>
      <c r="Q644" t="n">
        <v>0</v>
      </c>
      <c r="R644" s="2" t="inlineStr"/>
    </row>
    <row r="645" ht="15" customHeight="1">
      <c r="A645" t="inlineStr">
        <is>
          <t>A 1968-2026</t>
        </is>
      </c>
      <c r="B645" s="1" t="n">
        <v>46035.63878472222</v>
      </c>
      <c r="C645" s="1" t="n">
        <v>46038</v>
      </c>
      <c r="D645" t="inlineStr">
        <is>
          <t>DALARNAS LÄN</t>
        </is>
      </c>
      <c r="E645" t="inlineStr">
        <is>
          <t>LEKSAND</t>
        </is>
      </c>
      <c r="G645" t="n">
        <v>2.8</v>
      </c>
      <c r="H645" t="n">
        <v>0</v>
      </c>
      <c r="I645" t="n">
        <v>0</v>
      </c>
      <c r="J645" t="n">
        <v>0</v>
      </c>
      <c r="K645" t="n">
        <v>0</v>
      </c>
      <c r="L645" t="n">
        <v>0</v>
      </c>
      <c r="M645" t="n">
        <v>0</v>
      </c>
      <c r="N645" t="n">
        <v>0</v>
      </c>
      <c r="O645" t="n">
        <v>0</v>
      </c>
      <c r="P645" t="n">
        <v>0</v>
      </c>
      <c r="Q645" t="n">
        <v>0</v>
      </c>
      <c r="R645" s="2" t="inlineStr"/>
    </row>
    <row r="646" ht="15" customHeight="1">
      <c r="A646" t="inlineStr">
        <is>
          <t>A 1441-2026</t>
        </is>
      </c>
      <c r="B646" s="1" t="n">
        <v>46032.63916666667</v>
      </c>
      <c r="C646" s="1" t="n">
        <v>46038</v>
      </c>
      <c r="D646" t="inlineStr">
        <is>
          <t>DALARNAS LÄN</t>
        </is>
      </c>
      <c r="E646" t="inlineStr">
        <is>
          <t>LEKSAND</t>
        </is>
      </c>
      <c r="G646" t="n">
        <v>4.9</v>
      </c>
      <c r="H646" t="n">
        <v>0</v>
      </c>
      <c r="I646" t="n">
        <v>0</v>
      </c>
      <c r="J646" t="n">
        <v>0</v>
      </c>
      <c r="K646" t="n">
        <v>0</v>
      </c>
      <c r="L646" t="n">
        <v>0</v>
      </c>
      <c r="M646" t="n">
        <v>0</v>
      </c>
      <c r="N646" t="n">
        <v>0</v>
      </c>
      <c r="O646" t="n">
        <v>0</v>
      </c>
      <c r="P646" t="n">
        <v>0</v>
      </c>
      <c r="Q646" t="n">
        <v>0</v>
      </c>
      <c r="R646" s="2" t="inlineStr"/>
    </row>
    <row r="647" ht="15" customHeight="1">
      <c r="A647" t="inlineStr">
        <is>
          <t>A 63905-2025</t>
        </is>
      </c>
      <c r="B647" s="1" t="n">
        <v>46020</v>
      </c>
      <c r="C647" s="1" t="n">
        <v>46038</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63906-2025</t>
        </is>
      </c>
      <c r="B648" s="1" t="n">
        <v>46020</v>
      </c>
      <c r="C648" s="1" t="n">
        <v>46038</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59638-2025</t>
        </is>
      </c>
      <c r="B649" s="1" t="n">
        <v>45992.41105324074</v>
      </c>
      <c r="C649" s="1" t="n">
        <v>46038</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1899-2026</t>
        </is>
      </c>
      <c r="B650" s="1" t="n">
        <v>46035.52603009259</v>
      </c>
      <c r="C650" s="1" t="n">
        <v>46038</v>
      </c>
      <c r="D650" t="inlineStr">
        <is>
          <t>DALARNAS LÄN</t>
        </is>
      </c>
      <c r="E650" t="inlineStr">
        <is>
          <t>LEKSAND</t>
        </is>
      </c>
      <c r="G650" t="n">
        <v>3.6</v>
      </c>
      <c r="H650" t="n">
        <v>0</v>
      </c>
      <c r="I650" t="n">
        <v>0</v>
      </c>
      <c r="J650" t="n">
        <v>0</v>
      </c>
      <c r="K650" t="n">
        <v>0</v>
      </c>
      <c r="L650" t="n">
        <v>0</v>
      </c>
      <c r="M650" t="n">
        <v>0</v>
      </c>
      <c r="N650" t="n">
        <v>0</v>
      </c>
      <c r="O650" t="n">
        <v>0</v>
      </c>
      <c r="P650" t="n">
        <v>0</v>
      </c>
      <c r="Q650" t="n">
        <v>0</v>
      </c>
      <c r="R650" s="2" t="inlineStr"/>
    </row>
    <row r="651" ht="15" customHeight="1">
      <c r="A651" t="inlineStr">
        <is>
          <t>A 1960-2026</t>
        </is>
      </c>
      <c r="B651" s="1" t="n">
        <v>46035.62866898148</v>
      </c>
      <c r="C651" s="1" t="n">
        <v>46038</v>
      </c>
      <c r="D651" t="inlineStr">
        <is>
          <t>DALARNAS LÄN</t>
        </is>
      </c>
      <c r="E651" t="inlineStr">
        <is>
          <t>LEKSAND</t>
        </is>
      </c>
      <c r="G651" t="n">
        <v>4.3</v>
      </c>
      <c r="H651" t="n">
        <v>0</v>
      </c>
      <c r="I651" t="n">
        <v>0</v>
      </c>
      <c r="J651" t="n">
        <v>0</v>
      </c>
      <c r="K651" t="n">
        <v>0</v>
      </c>
      <c r="L651" t="n">
        <v>0</v>
      </c>
      <c r="M651" t="n">
        <v>0</v>
      </c>
      <c r="N651" t="n">
        <v>0</v>
      </c>
      <c r="O651" t="n">
        <v>0</v>
      </c>
      <c r="P651" t="n">
        <v>0</v>
      </c>
      <c r="Q651" t="n">
        <v>0</v>
      </c>
      <c r="R651" s="2" t="inlineStr"/>
    </row>
    <row r="652" ht="15" customHeight="1">
      <c r="A652" t="inlineStr">
        <is>
          <t>A 1983-2026</t>
        </is>
      </c>
      <c r="B652" s="1" t="n">
        <v>46035.65644675926</v>
      </c>
      <c r="C652" s="1" t="n">
        <v>46038</v>
      </c>
      <c r="D652" t="inlineStr">
        <is>
          <t>DALARNAS LÄN</t>
        </is>
      </c>
      <c r="E652" t="inlineStr">
        <is>
          <t>LEKSAND</t>
        </is>
      </c>
      <c r="G652" t="n">
        <v>2.3</v>
      </c>
      <c r="H652" t="n">
        <v>0</v>
      </c>
      <c r="I652" t="n">
        <v>0</v>
      </c>
      <c r="J652" t="n">
        <v>0</v>
      </c>
      <c r="K652" t="n">
        <v>0</v>
      </c>
      <c r="L652" t="n">
        <v>0</v>
      </c>
      <c r="M652" t="n">
        <v>0</v>
      </c>
      <c r="N652" t="n">
        <v>0</v>
      </c>
      <c r="O652" t="n">
        <v>0</v>
      </c>
      <c r="P652" t="n">
        <v>0</v>
      </c>
      <c r="Q652" t="n">
        <v>0</v>
      </c>
      <c r="R652" s="2" t="inlineStr"/>
    </row>
    <row r="653" ht="15" customHeight="1">
      <c r="A653" t="inlineStr">
        <is>
          <t>A 1995-2026</t>
        </is>
      </c>
      <c r="B653" s="1" t="n">
        <v>46035.67491898148</v>
      </c>
      <c r="C653" s="1" t="n">
        <v>46038</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60023-2025</t>
        </is>
      </c>
      <c r="B654" s="1" t="n">
        <v>45993.60201388889</v>
      </c>
      <c r="C654" s="1" t="n">
        <v>46038</v>
      </c>
      <c r="D654" t="inlineStr">
        <is>
          <t>DALARNAS LÄN</t>
        </is>
      </c>
      <c r="E654" t="inlineStr">
        <is>
          <t>LEKSAND</t>
        </is>
      </c>
      <c r="G654" t="n">
        <v>6.5</v>
      </c>
      <c r="H654" t="n">
        <v>0</v>
      </c>
      <c r="I654" t="n">
        <v>0</v>
      </c>
      <c r="J654" t="n">
        <v>0</v>
      </c>
      <c r="K654" t="n">
        <v>0</v>
      </c>
      <c r="L654" t="n">
        <v>0</v>
      </c>
      <c r="M654" t="n">
        <v>0</v>
      </c>
      <c r="N654" t="n">
        <v>0</v>
      </c>
      <c r="O654" t="n">
        <v>0</v>
      </c>
      <c r="P654" t="n">
        <v>0</v>
      </c>
      <c r="Q654" t="n">
        <v>0</v>
      </c>
      <c r="R654" s="2" t="inlineStr"/>
    </row>
    <row r="655" ht="15" customHeight="1">
      <c r="A655" t="inlineStr">
        <is>
          <t>A 61680-2024</t>
        </is>
      </c>
      <c r="B655" s="1" t="n">
        <v>45647.42890046296</v>
      </c>
      <c r="C655" s="1" t="n">
        <v>46038</v>
      </c>
      <c r="D655" t="inlineStr">
        <is>
          <t>DALARNAS LÄN</t>
        </is>
      </c>
      <c r="E655" t="inlineStr">
        <is>
          <t>LEKSAND</t>
        </is>
      </c>
      <c r="G655" t="n">
        <v>3.6</v>
      </c>
      <c r="H655" t="n">
        <v>0</v>
      </c>
      <c r="I655" t="n">
        <v>0</v>
      </c>
      <c r="J655" t="n">
        <v>0</v>
      </c>
      <c r="K655" t="n">
        <v>0</v>
      </c>
      <c r="L655" t="n">
        <v>0</v>
      </c>
      <c r="M655" t="n">
        <v>0</v>
      </c>
      <c r="N655" t="n">
        <v>0</v>
      </c>
      <c r="O655" t="n">
        <v>0</v>
      </c>
      <c r="P655" t="n">
        <v>0</v>
      </c>
      <c r="Q655" t="n">
        <v>0</v>
      </c>
      <c r="R655" s="2" t="inlineStr"/>
    </row>
    <row r="656" ht="15" customHeight="1">
      <c r="A656" t="inlineStr">
        <is>
          <t>A 60067-2025</t>
        </is>
      </c>
      <c r="B656" s="1" t="n">
        <v>45993.66039351852</v>
      </c>
      <c r="C656" s="1" t="n">
        <v>46038</v>
      </c>
      <c r="D656" t="inlineStr">
        <is>
          <t>DALARNAS LÄN</t>
        </is>
      </c>
      <c r="E656" t="inlineStr">
        <is>
          <t>LEKSAND</t>
        </is>
      </c>
      <c r="G656" t="n">
        <v>3.3</v>
      </c>
      <c r="H656" t="n">
        <v>0</v>
      </c>
      <c r="I656" t="n">
        <v>0</v>
      </c>
      <c r="J656" t="n">
        <v>0</v>
      </c>
      <c r="K656" t="n">
        <v>0</v>
      </c>
      <c r="L656" t="n">
        <v>0</v>
      </c>
      <c r="M656" t="n">
        <v>0</v>
      </c>
      <c r="N656" t="n">
        <v>0</v>
      </c>
      <c r="O656" t="n">
        <v>0</v>
      </c>
      <c r="P656" t="n">
        <v>0</v>
      </c>
      <c r="Q656" t="n">
        <v>0</v>
      </c>
      <c r="R656" s="2" t="inlineStr"/>
    </row>
    <row r="657" ht="15" customHeight="1">
      <c r="A657" t="inlineStr">
        <is>
          <t>A 2048-2026</t>
        </is>
      </c>
      <c r="B657" s="1" t="n">
        <v>46035.84534722222</v>
      </c>
      <c r="C657" s="1" t="n">
        <v>46038</v>
      </c>
      <c r="D657" t="inlineStr">
        <is>
          <t>DALARNAS LÄN</t>
        </is>
      </c>
      <c r="E657" t="inlineStr">
        <is>
          <t>LEKSAND</t>
        </is>
      </c>
      <c r="G657" t="n">
        <v>2.7</v>
      </c>
      <c r="H657" t="n">
        <v>0</v>
      </c>
      <c r="I657" t="n">
        <v>0</v>
      </c>
      <c r="J657" t="n">
        <v>0</v>
      </c>
      <c r="K657" t="n">
        <v>0</v>
      </c>
      <c r="L657" t="n">
        <v>0</v>
      </c>
      <c r="M657" t="n">
        <v>0</v>
      </c>
      <c r="N657" t="n">
        <v>0</v>
      </c>
      <c r="O657" t="n">
        <v>0</v>
      </c>
      <c r="P657" t="n">
        <v>0</v>
      </c>
      <c r="Q657" t="n">
        <v>0</v>
      </c>
      <c r="R657" s="2" t="inlineStr"/>
    </row>
    <row r="658" ht="15" customHeight="1">
      <c r="A658" t="inlineStr">
        <is>
          <t>A 62295-2023</t>
        </is>
      </c>
      <c r="B658" s="1" t="n">
        <v>45267</v>
      </c>
      <c r="C658" s="1" t="n">
        <v>46038</v>
      </c>
      <c r="D658" t="inlineStr">
        <is>
          <t>DALARNAS LÄN</t>
        </is>
      </c>
      <c r="E658" t="inlineStr">
        <is>
          <t>LEKSAND</t>
        </is>
      </c>
      <c r="G658" t="n">
        <v>2.5</v>
      </c>
      <c r="H658" t="n">
        <v>0</v>
      </c>
      <c r="I658" t="n">
        <v>0</v>
      </c>
      <c r="J658" t="n">
        <v>0</v>
      </c>
      <c r="K658" t="n">
        <v>0</v>
      </c>
      <c r="L658" t="n">
        <v>0</v>
      </c>
      <c r="M658" t="n">
        <v>0</v>
      </c>
      <c r="N658" t="n">
        <v>0</v>
      </c>
      <c r="O658" t="n">
        <v>0</v>
      </c>
      <c r="P658" t="n">
        <v>0</v>
      </c>
      <c r="Q658" t="n">
        <v>0</v>
      </c>
      <c r="R658" s="2" t="inlineStr"/>
    </row>
    <row r="659" ht="15" customHeight="1">
      <c r="A659" t="inlineStr">
        <is>
          <t>A 64099-2025</t>
        </is>
      </c>
      <c r="B659" s="1" t="n">
        <v>46021</v>
      </c>
      <c r="C659" s="1" t="n">
        <v>46038</v>
      </c>
      <c r="D659" t="inlineStr">
        <is>
          <t>DALARNAS LÄN</t>
        </is>
      </c>
      <c r="E659" t="inlineStr">
        <is>
          <t>LEKSAND</t>
        </is>
      </c>
      <c r="G659" t="n">
        <v>1.2</v>
      </c>
      <c r="H659" t="n">
        <v>0</v>
      </c>
      <c r="I659" t="n">
        <v>0</v>
      </c>
      <c r="J659" t="n">
        <v>0</v>
      </c>
      <c r="K659" t="n">
        <v>0</v>
      </c>
      <c r="L659" t="n">
        <v>0</v>
      </c>
      <c r="M659" t="n">
        <v>0</v>
      </c>
      <c r="N659" t="n">
        <v>0</v>
      </c>
      <c r="O659" t="n">
        <v>0</v>
      </c>
      <c r="P659" t="n">
        <v>0</v>
      </c>
      <c r="Q659" t="n">
        <v>0</v>
      </c>
      <c r="R659" s="2" t="inlineStr"/>
    </row>
    <row r="660" ht="15" customHeight="1">
      <c r="A660" t="inlineStr">
        <is>
          <t>A 64096-2025</t>
        </is>
      </c>
      <c r="B660" s="1" t="n">
        <v>46021</v>
      </c>
      <c r="C660" s="1" t="n">
        <v>46038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15173-2025</t>
        </is>
      </c>
      <c r="B661" s="1" t="n">
        <v>45744.50858796296</v>
      </c>
      <c r="C661" s="1" t="n">
        <v>46038</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61054-2023</t>
        </is>
      </c>
      <c r="B662" s="1" t="n">
        <v>45261</v>
      </c>
      <c r="C662" s="1" t="n">
        <v>46038</v>
      </c>
      <c r="D662" t="inlineStr">
        <is>
          <t>DALARNAS LÄN</t>
        </is>
      </c>
      <c r="E662" t="inlineStr">
        <is>
          <t>LEKSAND</t>
        </is>
      </c>
      <c r="G662" t="n">
        <v>0.4</v>
      </c>
      <c r="H662" t="n">
        <v>0</v>
      </c>
      <c r="I662" t="n">
        <v>0</v>
      </c>
      <c r="J662" t="n">
        <v>0</v>
      </c>
      <c r="K662" t="n">
        <v>0</v>
      </c>
      <c r="L662" t="n">
        <v>0</v>
      </c>
      <c r="M662" t="n">
        <v>0</v>
      </c>
      <c r="N662" t="n">
        <v>0</v>
      </c>
      <c r="O662" t="n">
        <v>0</v>
      </c>
      <c r="P662" t="n">
        <v>0</v>
      </c>
      <c r="Q662" t="n">
        <v>0</v>
      </c>
      <c r="R662" s="2" t="inlineStr"/>
    </row>
    <row r="663" ht="15" customHeight="1">
      <c r="A663" t="inlineStr">
        <is>
          <t>A 61056-2023</t>
        </is>
      </c>
      <c r="B663" s="1" t="n">
        <v>45261</v>
      </c>
      <c r="C663" s="1" t="n">
        <v>46038</v>
      </c>
      <c r="D663" t="inlineStr">
        <is>
          <t>DALARNAS LÄN</t>
        </is>
      </c>
      <c r="E663" t="inlineStr">
        <is>
          <t>LEKSAND</t>
        </is>
      </c>
      <c r="G663" t="n">
        <v>0.3</v>
      </c>
      <c r="H663" t="n">
        <v>0</v>
      </c>
      <c r="I663" t="n">
        <v>0</v>
      </c>
      <c r="J663" t="n">
        <v>0</v>
      </c>
      <c r="K663" t="n">
        <v>0</v>
      </c>
      <c r="L663" t="n">
        <v>0</v>
      </c>
      <c r="M663" t="n">
        <v>0</v>
      </c>
      <c r="N663" t="n">
        <v>0</v>
      </c>
      <c r="O663" t="n">
        <v>0</v>
      </c>
      <c r="P663" t="n">
        <v>0</v>
      </c>
      <c r="Q663" t="n">
        <v>0</v>
      </c>
      <c r="R663" s="2" t="inlineStr"/>
    </row>
    <row r="664" ht="15" customHeight="1">
      <c r="A664" t="inlineStr">
        <is>
          <t>A 2397-2026</t>
        </is>
      </c>
      <c r="B664" s="1" t="n">
        <v>46036.67840277778</v>
      </c>
      <c r="C664" s="1" t="n">
        <v>46038</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2697-2026</t>
        </is>
      </c>
      <c r="B665" s="1" t="n">
        <v>46037.67550925926</v>
      </c>
      <c r="C665" s="1" t="n">
        <v>46038</v>
      </c>
      <c r="D665" t="inlineStr">
        <is>
          <t>DALARNAS LÄN</t>
        </is>
      </c>
      <c r="E665" t="inlineStr">
        <is>
          <t>LEKSAND</t>
        </is>
      </c>
      <c r="G665" t="n">
        <v>10</v>
      </c>
      <c r="H665" t="n">
        <v>0</v>
      </c>
      <c r="I665" t="n">
        <v>0</v>
      </c>
      <c r="J665" t="n">
        <v>0</v>
      </c>
      <c r="K665" t="n">
        <v>0</v>
      </c>
      <c r="L665" t="n">
        <v>0</v>
      </c>
      <c r="M665" t="n">
        <v>0</v>
      </c>
      <c r="N665" t="n">
        <v>0</v>
      </c>
      <c r="O665" t="n">
        <v>0</v>
      </c>
      <c r="P665" t="n">
        <v>0</v>
      </c>
      <c r="Q665" t="n">
        <v>0</v>
      </c>
      <c r="R665" s="2" t="inlineStr"/>
    </row>
    <row r="666" ht="15" customHeight="1">
      <c r="A666" t="inlineStr">
        <is>
          <t>A 2373-2026</t>
        </is>
      </c>
      <c r="B666" s="1" t="n">
        <v>46036.64986111111</v>
      </c>
      <c r="C666" s="1" t="n">
        <v>46038</v>
      </c>
      <c r="D666" t="inlineStr">
        <is>
          <t>DALARNAS LÄN</t>
        </is>
      </c>
      <c r="E666" t="inlineStr">
        <is>
          <t>LEKSAND</t>
        </is>
      </c>
      <c r="G666" t="n">
        <v>2.3</v>
      </c>
      <c r="H666" t="n">
        <v>0</v>
      </c>
      <c r="I666" t="n">
        <v>0</v>
      </c>
      <c r="J666" t="n">
        <v>0</v>
      </c>
      <c r="K666" t="n">
        <v>0</v>
      </c>
      <c r="L666" t="n">
        <v>0</v>
      </c>
      <c r="M666" t="n">
        <v>0</v>
      </c>
      <c r="N666" t="n">
        <v>0</v>
      </c>
      <c r="O666" t="n">
        <v>0</v>
      </c>
      <c r="P666" t="n">
        <v>0</v>
      </c>
      <c r="Q666" t="n">
        <v>0</v>
      </c>
      <c r="R666" s="2" t="inlineStr"/>
    </row>
    <row r="667" ht="15" customHeight="1">
      <c r="A667" t="inlineStr">
        <is>
          <t>A 6846-2023</t>
        </is>
      </c>
      <c r="B667" s="1" t="n">
        <v>44967.43953703704</v>
      </c>
      <c r="C667" s="1" t="n">
        <v>46038</v>
      </c>
      <c r="D667" t="inlineStr">
        <is>
          <t>DALARNAS LÄN</t>
        </is>
      </c>
      <c r="E667" t="inlineStr">
        <is>
          <t>LEKSAND</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17413-2023</t>
        </is>
      </c>
      <c r="B668" s="1" t="n">
        <v>45035</v>
      </c>
      <c r="C668" s="1" t="n">
        <v>46038</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63898-2025</t>
        </is>
      </c>
      <c r="B669" s="1" t="n">
        <v>46020</v>
      </c>
      <c r="C669" s="1" t="n">
        <v>46038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1775-2022</t>
        </is>
      </c>
      <c r="B670" s="1" t="n">
        <v>44574</v>
      </c>
      <c r="C670" s="1" t="n">
        <v>46038</v>
      </c>
      <c r="D670" t="inlineStr">
        <is>
          <t>DALARNAS LÄN</t>
        </is>
      </c>
      <c r="E670" t="inlineStr">
        <is>
          <t>LEKSAND</t>
        </is>
      </c>
      <c r="G670" t="n">
        <v>2</v>
      </c>
      <c r="H670" t="n">
        <v>0</v>
      </c>
      <c r="I670" t="n">
        <v>0</v>
      </c>
      <c r="J670" t="n">
        <v>0</v>
      </c>
      <c r="K670" t="n">
        <v>0</v>
      </c>
      <c r="L670" t="n">
        <v>0</v>
      </c>
      <c r="M670" t="n">
        <v>0</v>
      </c>
      <c r="N670" t="n">
        <v>0</v>
      </c>
      <c r="O670" t="n">
        <v>0</v>
      </c>
      <c r="P670" t="n">
        <v>0</v>
      </c>
      <c r="Q670" t="n">
        <v>0</v>
      </c>
      <c r="R670" s="2" t="inlineStr"/>
    </row>
    <row r="671" ht="15" customHeight="1">
      <c r="A671" t="inlineStr">
        <is>
          <t>A 56753-2023</t>
        </is>
      </c>
      <c r="B671" s="1" t="n">
        <v>45244.37094907407</v>
      </c>
      <c r="C671" s="1" t="n">
        <v>46038</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139-2026</t>
        </is>
      </c>
      <c r="B672" s="1" t="n">
        <v>46024</v>
      </c>
      <c r="C672" s="1" t="n">
        <v>46038</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60544-2025</t>
        </is>
      </c>
      <c r="B673" s="1" t="n">
        <v>45995.68694444445</v>
      </c>
      <c r="C673" s="1" t="n">
        <v>46038</v>
      </c>
      <c r="D673" t="inlineStr">
        <is>
          <t>DALARNAS LÄN</t>
        </is>
      </c>
      <c r="E673" t="inlineStr">
        <is>
          <t>LEKSAND</t>
        </is>
      </c>
      <c r="G673" t="n">
        <v>4.4</v>
      </c>
      <c r="H673" t="n">
        <v>0</v>
      </c>
      <c r="I673" t="n">
        <v>0</v>
      </c>
      <c r="J673" t="n">
        <v>0</v>
      </c>
      <c r="K673" t="n">
        <v>0</v>
      </c>
      <c r="L673" t="n">
        <v>0</v>
      </c>
      <c r="M673" t="n">
        <v>0</v>
      </c>
      <c r="N673" t="n">
        <v>0</v>
      </c>
      <c r="O673" t="n">
        <v>0</v>
      </c>
      <c r="P673" t="n">
        <v>0</v>
      </c>
      <c r="Q673" t="n">
        <v>0</v>
      </c>
      <c r="R673" s="2" t="inlineStr"/>
    </row>
    <row r="674" ht="15" customHeight="1">
      <c r="A674" t="inlineStr">
        <is>
          <t>A 64101-2025</t>
        </is>
      </c>
      <c r="B674" s="1" t="n">
        <v>46021</v>
      </c>
      <c r="C674" s="1" t="n">
        <v>46038</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63972-2025</t>
        </is>
      </c>
      <c r="B675" s="1" t="n">
        <v>46021</v>
      </c>
      <c r="C675" s="1" t="n">
        <v>46038</v>
      </c>
      <c r="D675" t="inlineStr">
        <is>
          <t>DALARNAS LÄN</t>
        </is>
      </c>
      <c r="E675" t="inlineStr">
        <is>
          <t>LEKSAND</t>
        </is>
      </c>
      <c r="F675" t="inlineStr">
        <is>
          <t>Övriga Aktiebolag</t>
        </is>
      </c>
      <c r="G675" t="n">
        <v>1.5</v>
      </c>
      <c r="H675" t="n">
        <v>0</v>
      </c>
      <c r="I675" t="n">
        <v>0</v>
      </c>
      <c r="J675" t="n">
        <v>0</v>
      </c>
      <c r="K675" t="n">
        <v>0</v>
      </c>
      <c r="L675" t="n">
        <v>0</v>
      </c>
      <c r="M675" t="n">
        <v>0</v>
      </c>
      <c r="N675" t="n">
        <v>0</v>
      </c>
      <c r="O675" t="n">
        <v>0</v>
      </c>
      <c r="P675" t="n">
        <v>0</v>
      </c>
      <c r="Q675" t="n">
        <v>0</v>
      </c>
      <c r="R675" s="2" t="inlineStr"/>
    </row>
    <row r="676" ht="15" customHeight="1">
      <c r="A676" t="inlineStr">
        <is>
          <t>A 43077-2024</t>
        </is>
      </c>
      <c r="B676" s="1" t="n">
        <v>45567.50030092592</v>
      </c>
      <c r="C676" s="1" t="n">
        <v>46038</v>
      </c>
      <c r="D676" t="inlineStr">
        <is>
          <t>DALARNAS LÄN</t>
        </is>
      </c>
      <c r="E676" t="inlineStr">
        <is>
          <t>LEKSAND</t>
        </is>
      </c>
      <c r="G676" t="n">
        <v>1.6</v>
      </c>
      <c r="H676" t="n">
        <v>0</v>
      </c>
      <c r="I676" t="n">
        <v>0</v>
      </c>
      <c r="J676" t="n">
        <v>0</v>
      </c>
      <c r="K676" t="n">
        <v>0</v>
      </c>
      <c r="L676" t="n">
        <v>0</v>
      </c>
      <c r="M676" t="n">
        <v>0</v>
      </c>
      <c r="N676" t="n">
        <v>0</v>
      </c>
      <c r="O676" t="n">
        <v>0</v>
      </c>
      <c r="P676" t="n">
        <v>0</v>
      </c>
      <c r="Q676" t="n">
        <v>0</v>
      </c>
      <c r="R676" s="2" t="inlineStr"/>
    </row>
    <row r="677" ht="15" customHeight="1">
      <c r="A677" t="inlineStr">
        <is>
          <t>A 57899-2024</t>
        </is>
      </c>
      <c r="B677" s="1" t="n">
        <v>45630</v>
      </c>
      <c r="C677" s="1" t="n">
        <v>46038</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60873-2023</t>
        </is>
      </c>
      <c r="B678" s="1" t="n">
        <v>45261.03266203704</v>
      </c>
      <c r="C678" s="1" t="n">
        <v>46038</v>
      </c>
      <c r="D678" t="inlineStr">
        <is>
          <t>DALARNAS LÄN</t>
        </is>
      </c>
      <c r="E678" t="inlineStr">
        <is>
          <t>LEKSAND</t>
        </is>
      </c>
      <c r="G678" t="n">
        <v>5.2</v>
      </c>
      <c r="H678" t="n">
        <v>0</v>
      </c>
      <c r="I678" t="n">
        <v>0</v>
      </c>
      <c r="J678" t="n">
        <v>0</v>
      </c>
      <c r="K678" t="n">
        <v>0</v>
      </c>
      <c r="L678" t="n">
        <v>0</v>
      </c>
      <c r="M678" t="n">
        <v>0</v>
      </c>
      <c r="N678" t="n">
        <v>0</v>
      </c>
      <c r="O678" t="n">
        <v>0</v>
      </c>
      <c r="P678" t="n">
        <v>0</v>
      </c>
      <c r="Q678" t="n">
        <v>0</v>
      </c>
      <c r="R678" s="2" t="inlineStr"/>
    </row>
    <row r="679" ht="15" customHeight="1">
      <c r="A679" t="inlineStr">
        <is>
          <t>A 12581-2025</t>
        </is>
      </c>
      <c r="B679" s="1" t="n">
        <v>45732.62201388889</v>
      </c>
      <c r="C679" s="1" t="n">
        <v>46038</v>
      </c>
      <c r="D679" t="inlineStr">
        <is>
          <t>DALARNAS LÄN</t>
        </is>
      </c>
      <c r="E679" t="inlineStr">
        <is>
          <t>LEKSAND</t>
        </is>
      </c>
      <c r="G679" t="n">
        <v>5.1</v>
      </c>
      <c r="H679" t="n">
        <v>0</v>
      </c>
      <c r="I679" t="n">
        <v>0</v>
      </c>
      <c r="J679" t="n">
        <v>0</v>
      </c>
      <c r="K679" t="n">
        <v>0</v>
      </c>
      <c r="L679" t="n">
        <v>0</v>
      </c>
      <c r="M679" t="n">
        <v>0</v>
      </c>
      <c r="N679" t="n">
        <v>0</v>
      </c>
      <c r="O679" t="n">
        <v>0</v>
      </c>
      <c r="P679" t="n">
        <v>0</v>
      </c>
      <c r="Q679" t="n">
        <v>0</v>
      </c>
      <c r="R679" s="2" t="inlineStr"/>
    </row>
    <row r="680" ht="15" customHeight="1">
      <c r="A680" t="inlineStr">
        <is>
          <t>A 12620-2025</t>
        </is>
      </c>
      <c r="B680" s="1" t="n">
        <v>45733.35498842593</v>
      </c>
      <c r="C680" s="1" t="n">
        <v>46038</v>
      </c>
      <c r="D680" t="inlineStr">
        <is>
          <t>DALARNAS LÄN</t>
        </is>
      </c>
      <c r="E680" t="inlineStr">
        <is>
          <t>LEKSAND</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12623-2025</t>
        </is>
      </c>
      <c r="B681" s="1" t="n">
        <v>45733.36079861111</v>
      </c>
      <c r="C681" s="1" t="n">
        <v>46038</v>
      </c>
      <c r="D681" t="inlineStr">
        <is>
          <t>DALARNAS LÄN</t>
        </is>
      </c>
      <c r="E681" t="inlineStr">
        <is>
          <t>LEKSAND</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60170-2025</t>
        </is>
      </c>
      <c r="B682" s="1" t="n">
        <v>45994.44629629629</v>
      </c>
      <c r="C682" s="1" t="n">
        <v>46038</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27445-2024</t>
        </is>
      </c>
      <c r="B683" s="1" t="n">
        <v>45474.42474537037</v>
      </c>
      <c r="C683" s="1" t="n">
        <v>46038</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2068-2026</t>
        </is>
      </c>
      <c r="B684" s="1" t="n">
        <v>46036.27943287037</v>
      </c>
      <c r="C684" s="1" t="n">
        <v>46038</v>
      </c>
      <c r="D684" t="inlineStr">
        <is>
          <t>DALARNAS LÄN</t>
        </is>
      </c>
      <c r="E684" t="inlineStr">
        <is>
          <t>LEKSAND</t>
        </is>
      </c>
      <c r="F684" t="inlineStr">
        <is>
          <t>Övriga Aktiebolag</t>
        </is>
      </c>
      <c r="G684" t="n">
        <v>15.5</v>
      </c>
      <c r="H684" t="n">
        <v>0</v>
      </c>
      <c r="I684" t="n">
        <v>0</v>
      </c>
      <c r="J684" t="n">
        <v>0</v>
      </c>
      <c r="K684" t="n">
        <v>0</v>
      </c>
      <c r="L684" t="n">
        <v>0</v>
      </c>
      <c r="M684" t="n">
        <v>0</v>
      </c>
      <c r="N684" t="n">
        <v>0</v>
      </c>
      <c r="O684" t="n">
        <v>0</v>
      </c>
      <c r="P684" t="n">
        <v>0</v>
      </c>
      <c r="Q684" t="n">
        <v>0</v>
      </c>
      <c r="R684" s="2" t="inlineStr"/>
    </row>
    <row r="685" ht="15" customHeight="1">
      <c r="A685" t="inlineStr">
        <is>
          <t>A 53799-2023</t>
        </is>
      </c>
      <c r="B685" s="1" t="n">
        <v>45231.35564814815</v>
      </c>
      <c r="C685" s="1" t="n">
        <v>46038</v>
      </c>
      <c r="D685" t="inlineStr">
        <is>
          <t>DALARNAS LÄN</t>
        </is>
      </c>
      <c r="E685" t="inlineStr">
        <is>
          <t>LEKSAND</t>
        </is>
      </c>
      <c r="F685" t="inlineStr">
        <is>
          <t>Bergvik skog väst AB</t>
        </is>
      </c>
      <c r="G685" t="n">
        <v>0.9</v>
      </c>
      <c r="H685" t="n">
        <v>0</v>
      </c>
      <c r="I685" t="n">
        <v>0</v>
      </c>
      <c r="J685" t="n">
        <v>0</v>
      </c>
      <c r="K685" t="n">
        <v>0</v>
      </c>
      <c r="L685" t="n">
        <v>0</v>
      </c>
      <c r="M685" t="n">
        <v>0</v>
      </c>
      <c r="N685" t="n">
        <v>0</v>
      </c>
      <c r="O685" t="n">
        <v>0</v>
      </c>
      <c r="P685" t="n">
        <v>0</v>
      </c>
      <c r="Q685" t="n">
        <v>0</v>
      </c>
      <c r="R685" s="2" t="inlineStr"/>
    </row>
    <row r="686" ht="15" customHeight="1">
      <c r="A686" t="inlineStr">
        <is>
          <t>A 60358-2025</t>
        </is>
      </c>
      <c r="B686" s="1" t="n">
        <v>45995.31949074074</v>
      </c>
      <c r="C686" s="1" t="n">
        <v>46038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62130-2024</t>
        </is>
      </c>
      <c r="B687" s="1" t="n">
        <v>45656.61827546296</v>
      </c>
      <c r="C687" s="1" t="n">
        <v>46038</v>
      </c>
      <c r="D687" t="inlineStr">
        <is>
          <t>DALARNAS LÄN</t>
        </is>
      </c>
      <c r="E687" t="inlineStr">
        <is>
          <t>LEKSAND</t>
        </is>
      </c>
      <c r="G687" t="n">
        <v>11.4</v>
      </c>
      <c r="H687" t="n">
        <v>0</v>
      </c>
      <c r="I687" t="n">
        <v>0</v>
      </c>
      <c r="J687" t="n">
        <v>0</v>
      </c>
      <c r="K687" t="n">
        <v>0</v>
      </c>
      <c r="L687" t="n">
        <v>0</v>
      </c>
      <c r="M687" t="n">
        <v>0</v>
      </c>
      <c r="N687" t="n">
        <v>0</v>
      </c>
      <c r="O687" t="n">
        <v>0</v>
      </c>
      <c r="P687" t="n">
        <v>0</v>
      </c>
      <c r="Q687" t="n">
        <v>0</v>
      </c>
      <c r="R687" s="2" t="inlineStr"/>
    </row>
    <row r="688" ht="15" customHeight="1">
      <c r="A688" t="inlineStr">
        <is>
          <t>A 63513-2023</t>
        </is>
      </c>
      <c r="B688" s="1" t="n">
        <v>45274</v>
      </c>
      <c r="C688" s="1" t="n">
        <v>46038</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19590-2023</t>
        </is>
      </c>
      <c r="B689" s="1" t="n">
        <v>45049</v>
      </c>
      <c r="C689" s="1" t="n">
        <v>46038</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30000-2023</t>
        </is>
      </c>
      <c r="B690" s="1" t="n">
        <v>45109.71128472222</v>
      </c>
      <c r="C690" s="1" t="n">
        <v>46038</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61933-2023</t>
        </is>
      </c>
      <c r="B691" s="1" t="n">
        <v>45266</v>
      </c>
      <c r="C691" s="1" t="n">
        <v>46038</v>
      </c>
      <c r="D691" t="inlineStr">
        <is>
          <t>DALARNAS LÄN</t>
        </is>
      </c>
      <c r="E691" t="inlineStr">
        <is>
          <t>LEKSAND</t>
        </is>
      </c>
      <c r="G691" t="n">
        <v>0.2</v>
      </c>
      <c r="H691" t="n">
        <v>0</v>
      </c>
      <c r="I691" t="n">
        <v>0</v>
      </c>
      <c r="J691" t="n">
        <v>0</v>
      </c>
      <c r="K691" t="n">
        <v>0</v>
      </c>
      <c r="L691" t="n">
        <v>0</v>
      </c>
      <c r="M691" t="n">
        <v>0</v>
      </c>
      <c r="N691" t="n">
        <v>0</v>
      </c>
      <c r="O691" t="n">
        <v>0</v>
      </c>
      <c r="P691" t="n">
        <v>0</v>
      </c>
      <c r="Q691" t="n">
        <v>0</v>
      </c>
      <c r="R691" s="2" t="inlineStr"/>
    </row>
    <row r="692" ht="15" customHeight="1">
      <c r="A692" t="inlineStr">
        <is>
          <t>A 41015-2024</t>
        </is>
      </c>
      <c r="B692" s="1" t="n">
        <v>45559.32537037037</v>
      </c>
      <c r="C692" s="1" t="n">
        <v>46038</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18107-2025</t>
        </is>
      </c>
      <c r="B693" s="1" t="n">
        <v>45761.55939814815</v>
      </c>
      <c r="C693" s="1" t="n">
        <v>46038</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49395-2024</t>
        </is>
      </c>
      <c r="B694" s="1" t="n">
        <v>45595</v>
      </c>
      <c r="C694" s="1" t="n">
        <v>46038</v>
      </c>
      <c r="D694" t="inlineStr">
        <is>
          <t>DALARNAS LÄN</t>
        </is>
      </c>
      <c r="E694" t="inlineStr">
        <is>
          <t>LEKSAND</t>
        </is>
      </c>
      <c r="G694" t="n">
        <v>0.7</v>
      </c>
      <c r="H694" t="n">
        <v>0</v>
      </c>
      <c r="I694" t="n">
        <v>0</v>
      </c>
      <c r="J694" t="n">
        <v>0</v>
      </c>
      <c r="K694" t="n">
        <v>0</v>
      </c>
      <c r="L694" t="n">
        <v>0</v>
      </c>
      <c r="M694" t="n">
        <v>0</v>
      </c>
      <c r="N694" t="n">
        <v>0</v>
      </c>
      <c r="O694" t="n">
        <v>0</v>
      </c>
      <c r="P694" t="n">
        <v>0</v>
      </c>
      <c r="Q694" t="n">
        <v>0</v>
      </c>
      <c r="R694" s="2" t="inlineStr"/>
    </row>
    <row r="695" ht="15" customHeight="1">
      <c r="A695" t="inlineStr">
        <is>
          <t>A 481-2024</t>
        </is>
      </c>
      <c r="B695" s="1" t="n">
        <v>45298</v>
      </c>
      <c r="C695" s="1" t="n">
        <v>46038</v>
      </c>
      <c r="D695" t="inlineStr">
        <is>
          <t>DALARNAS LÄN</t>
        </is>
      </c>
      <c r="E695" t="inlineStr">
        <is>
          <t>LEKSAND</t>
        </is>
      </c>
      <c r="G695" t="n">
        <v>7</v>
      </c>
      <c r="H695" t="n">
        <v>0</v>
      </c>
      <c r="I695" t="n">
        <v>0</v>
      </c>
      <c r="J695" t="n">
        <v>0</v>
      </c>
      <c r="K695" t="n">
        <v>0</v>
      </c>
      <c r="L695" t="n">
        <v>0</v>
      </c>
      <c r="M695" t="n">
        <v>0</v>
      </c>
      <c r="N695" t="n">
        <v>0</v>
      </c>
      <c r="O695" t="n">
        <v>0</v>
      </c>
      <c r="P695" t="n">
        <v>0</v>
      </c>
      <c r="Q695" t="n">
        <v>0</v>
      </c>
      <c r="R695" s="2" t="inlineStr"/>
    </row>
    <row r="696" ht="15" customHeight="1">
      <c r="A696" t="inlineStr">
        <is>
          <t>A 6778-2025</t>
        </is>
      </c>
      <c r="B696" s="1" t="n">
        <v>45700.64615740741</v>
      </c>
      <c r="C696" s="1" t="n">
        <v>46038</v>
      </c>
      <c r="D696" t="inlineStr">
        <is>
          <t>DALARNAS LÄN</t>
        </is>
      </c>
      <c r="E696" t="inlineStr">
        <is>
          <t>LEKSAND</t>
        </is>
      </c>
      <c r="G696" t="n">
        <v>2.4</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45216.43444444444</v>
      </c>
      <c r="C697" s="1" t="n">
        <v>46038</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13401-2023</t>
        </is>
      </c>
      <c r="B698" s="1" t="n">
        <v>45005</v>
      </c>
      <c r="C698" s="1" t="n">
        <v>46038</v>
      </c>
      <c r="D698" t="inlineStr">
        <is>
          <t>DALARNAS LÄN</t>
        </is>
      </c>
      <c r="E698" t="inlineStr">
        <is>
          <t>LEKSAND</t>
        </is>
      </c>
      <c r="G698" t="n">
        <v>0.7</v>
      </c>
      <c r="H698" t="n">
        <v>0</v>
      </c>
      <c r="I698" t="n">
        <v>0</v>
      </c>
      <c r="J698" t="n">
        <v>0</v>
      </c>
      <c r="K698" t="n">
        <v>0</v>
      </c>
      <c r="L698" t="n">
        <v>0</v>
      </c>
      <c r="M698" t="n">
        <v>0</v>
      </c>
      <c r="N698" t="n">
        <v>0</v>
      </c>
      <c r="O698" t="n">
        <v>0</v>
      </c>
      <c r="P698" t="n">
        <v>0</v>
      </c>
      <c r="Q698" t="n">
        <v>0</v>
      </c>
      <c r="R698" s="2" t="inlineStr"/>
    </row>
    <row r="699" ht="15" customHeight="1">
      <c r="A699" t="inlineStr">
        <is>
          <t>A 23323-2023</t>
        </is>
      </c>
      <c r="B699" s="1" t="n">
        <v>45076</v>
      </c>
      <c r="C699" s="1" t="n">
        <v>46038</v>
      </c>
      <c r="D699" t="inlineStr">
        <is>
          <t>DALARNAS LÄN</t>
        </is>
      </c>
      <c r="E699" t="inlineStr">
        <is>
          <t>LEKSAND</t>
        </is>
      </c>
      <c r="G699" t="n">
        <v>1</v>
      </c>
      <c r="H699" t="n">
        <v>0</v>
      </c>
      <c r="I699" t="n">
        <v>0</v>
      </c>
      <c r="J699" t="n">
        <v>0</v>
      </c>
      <c r="K699" t="n">
        <v>0</v>
      </c>
      <c r="L699" t="n">
        <v>0</v>
      </c>
      <c r="M699" t="n">
        <v>0</v>
      </c>
      <c r="N699" t="n">
        <v>0</v>
      </c>
      <c r="O699" t="n">
        <v>0</v>
      </c>
      <c r="P699" t="n">
        <v>0</v>
      </c>
      <c r="Q699" t="n">
        <v>0</v>
      </c>
      <c r="R699" s="2" t="inlineStr"/>
    </row>
    <row r="700" ht="15" customHeight="1">
      <c r="A700" t="inlineStr">
        <is>
          <t>A 17485-2025</t>
        </is>
      </c>
      <c r="B700" s="1" t="n">
        <v>45757.49976851852</v>
      </c>
      <c r="C700" s="1" t="n">
        <v>46038</v>
      </c>
      <c r="D700" t="inlineStr">
        <is>
          <t>DALARNAS LÄN</t>
        </is>
      </c>
      <c r="E700" t="inlineStr">
        <is>
          <t>LEKSAND</t>
        </is>
      </c>
      <c r="G700" t="n">
        <v>3.7</v>
      </c>
      <c r="H700" t="n">
        <v>0</v>
      </c>
      <c r="I700" t="n">
        <v>0</v>
      </c>
      <c r="J700" t="n">
        <v>0</v>
      </c>
      <c r="K700" t="n">
        <v>0</v>
      </c>
      <c r="L700" t="n">
        <v>0</v>
      </c>
      <c r="M700" t="n">
        <v>0</v>
      </c>
      <c r="N700" t="n">
        <v>0</v>
      </c>
      <c r="O700" t="n">
        <v>0</v>
      </c>
      <c r="P700" t="n">
        <v>0</v>
      </c>
      <c r="Q700" t="n">
        <v>0</v>
      </c>
      <c r="R700" s="2" t="inlineStr"/>
    </row>
    <row r="701" ht="15" customHeight="1">
      <c r="A701" t="inlineStr">
        <is>
          <t>A 18176-2024</t>
        </is>
      </c>
      <c r="B701" s="1" t="n">
        <v>45420.63901620371</v>
      </c>
      <c r="C701" s="1" t="n">
        <v>46038</v>
      </c>
      <c r="D701" t="inlineStr">
        <is>
          <t>DALARNAS LÄN</t>
        </is>
      </c>
      <c r="E701" t="inlineStr">
        <is>
          <t>LEKSAND</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33072-2021</t>
        </is>
      </c>
      <c r="B702" s="1" t="n">
        <v>44375</v>
      </c>
      <c r="C702" s="1" t="n">
        <v>46038</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412-2024</t>
        </is>
      </c>
      <c r="B703" s="1" t="n">
        <v>45296</v>
      </c>
      <c r="C703" s="1" t="n">
        <v>46038</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56330-2022</t>
        </is>
      </c>
      <c r="B704" s="1" t="n">
        <v>44890.62630787037</v>
      </c>
      <c r="C704" s="1" t="n">
        <v>46038</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59673-2023</t>
        </is>
      </c>
      <c r="B705" s="1" t="n">
        <v>45255.44603009259</v>
      </c>
      <c r="C705" s="1" t="n">
        <v>46038</v>
      </c>
      <c r="D705" t="inlineStr">
        <is>
          <t>DALARNAS LÄN</t>
        </is>
      </c>
      <c r="E705" t="inlineStr">
        <is>
          <t>LEKSAND</t>
        </is>
      </c>
      <c r="G705" t="n">
        <v>12.2</v>
      </c>
      <c r="H705" t="n">
        <v>0</v>
      </c>
      <c r="I705" t="n">
        <v>0</v>
      </c>
      <c r="J705" t="n">
        <v>0</v>
      </c>
      <c r="K705" t="n">
        <v>0</v>
      </c>
      <c r="L705" t="n">
        <v>0</v>
      </c>
      <c r="M705" t="n">
        <v>0</v>
      </c>
      <c r="N705" t="n">
        <v>0</v>
      </c>
      <c r="O705" t="n">
        <v>0</v>
      </c>
      <c r="P705" t="n">
        <v>0</v>
      </c>
      <c r="Q705" t="n">
        <v>0</v>
      </c>
      <c r="R705" s="2" t="inlineStr"/>
    </row>
    <row r="706" ht="15" customHeight="1">
      <c r="A706" t="inlineStr">
        <is>
          <t>A 17726-2024</t>
        </is>
      </c>
      <c r="B706" s="1" t="n">
        <v>45418.55609953704</v>
      </c>
      <c r="C706" s="1" t="n">
        <v>46038</v>
      </c>
      <c r="D706" t="inlineStr">
        <is>
          <t>DALARNAS LÄN</t>
        </is>
      </c>
      <c r="E706" t="inlineStr">
        <is>
          <t>LEKSAND</t>
        </is>
      </c>
      <c r="G706" t="n">
        <v>5.2</v>
      </c>
      <c r="H706" t="n">
        <v>0</v>
      </c>
      <c r="I706" t="n">
        <v>0</v>
      </c>
      <c r="J706" t="n">
        <v>0</v>
      </c>
      <c r="K706" t="n">
        <v>0</v>
      </c>
      <c r="L706" t="n">
        <v>0</v>
      </c>
      <c r="M706" t="n">
        <v>0</v>
      </c>
      <c r="N706" t="n">
        <v>0</v>
      </c>
      <c r="O706" t="n">
        <v>0</v>
      </c>
      <c r="P706" t="n">
        <v>0</v>
      </c>
      <c r="Q706" t="n">
        <v>0</v>
      </c>
      <c r="R706" s="2" t="inlineStr"/>
    </row>
    <row r="707" ht="15" customHeight="1">
      <c r="A707" t="inlineStr">
        <is>
          <t>A 32-2024</t>
        </is>
      </c>
      <c r="B707" s="1" t="n">
        <v>45293</v>
      </c>
      <c r="C707" s="1" t="n">
        <v>46038</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1719-2024</t>
        </is>
      </c>
      <c r="B708" s="1" t="n">
        <v>45307</v>
      </c>
      <c r="C708" s="1" t="n">
        <v>46038</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33463-2023</t>
        </is>
      </c>
      <c r="B709" s="1" t="n">
        <v>45131</v>
      </c>
      <c r="C709" s="1" t="n">
        <v>46038</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55516-2024</t>
        </is>
      </c>
      <c r="B710" s="1" t="n">
        <v>45621</v>
      </c>
      <c r="C710" s="1" t="n">
        <v>46038</v>
      </c>
      <c r="D710" t="inlineStr">
        <is>
          <t>DALARNAS LÄN</t>
        </is>
      </c>
      <c r="E710" t="inlineStr">
        <is>
          <t>LEKSAND</t>
        </is>
      </c>
      <c r="G710" t="n">
        <v>1.4</v>
      </c>
      <c r="H710" t="n">
        <v>0</v>
      </c>
      <c r="I710" t="n">
        <v>0</v>
      </c>
      <c r="J710" t="n">
        <v>0</v>
      </c>
      <c r="K710" t="n">
        <v>0</v>
      </c>
      <c r="L710" t="n">
        <v>0</v>
      </c>
      <c r="M710" t="n">
        <v>0</v>
      </c>
      <c r="N710" t="n">
        <v>0</v>
      </c>
      <c r="O710" t="n">
        <v>0</v>
      </c>
      <c r="P710" t="n">
        <v>0</v>
      </c>
      <c r="Q710" t="n">
        <v>0</v>
      </c>
      <c r="R710" s="2" t="inlineStr"/>
    </row>
    <row r="711" ht="15" customHeight="1">
      <c r="A711" t="inlineStr">
        <is>
          <t>A 12992-2022</t>
        </is>
      </c>
      <c r="B711" s="1" t="n">
        <v>44643</v>
      </c>
      <c r="C711" s="1" t="n">
        <v>46038</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8211-2023</t>
        </is>
      </c>
      <c r="B712" s="1" t="n">
        <v>44974</v>
      </c>
      <c r="C712" s="1" t="n">
        <v>46038</v>
      </c>
      <c r="D712" t="inlineStr">
        <is>
          <t>DALARNAS LÄN</t>
        </is>
      </c>
      <c r="E712" t="inlineStr">
        <is>
          <t>LEKSAND</t>
        </is>
      </c>
      <c r="G712" t="n">
        <v>5.2</v>
      </c>
      <c r="H712" t="n">
        <v>0</v>
      </c>
      <c r="I712" t="n">
        <v>0</v>
      </c>
      <c r="J712" t="n">
        <v>0</v>
      </c>
      <c r="K712" t="n">
        <v>0</v>
      </c>
      <c r="L712" t="n">
        <v>0</v>
      </c>
      <c r="M712" t="n">
        <v>0</v>
      </c>
      <c r="N712" t="n">
        <v>0</v>
      </c>
      <c r="O712" t="n">
        <v>0</v>
      </c>
      <c r="P712" t="n">
        <v>0</v>
      </c>
      <c r="Q712" t="n">
        <v>0</v>
      </c>
      <c r="R712" s="2" t="inlineStr"/>
    </row>
    <row r="713" ht="15" customHeight="1">
      <c r="A713" t="inlineStr">
        <is>
          <t>A 50447-2023</t>
        </is>
      </c>
      <c r="B713" s="1" t="n">
        <v>45216.72185185185</v>
      </c>
      <c r="C713" s="1" t="n">
        <v>46038</v>
      </c>
      <c r="D713" t="inlineStr">
        <is>
          <t>DALARNAS LÄN</t>
        </is>
      </c>
      <c r="E713" t="inlineStr">
        <is>
          <t>LEKSAND</t>
        </is>
      </c>
      <c r="G713" t="n">
        <v>1.1</v>
      </c>
      <c r="H713" t="n">
        <v>0</v>
      </c>
      <c r="I713" t="n">
        <v>0</v>
      </c>
      <c r="J713" t="n">
        <v>0</v>
      </c>
      <c r="K713" t="n">
        <v>0</v>
      </c>
      <c r="L713" t="n">
        <v>0</v>
      </c>
      <c r="M713" t="n">
        <v>0</v>
      </c>
      <c r="N713" t="n">
        <v>0</v>
      </c>
      <c r="O713" t="n">
        <v>0</v>
      </c>
      <c r="P713" t="n">
        <v>0</v>
      </c>
      <c r="Q713" t="n">
        <v>0</v>
      </c>
      <c r="R713" s="2" t="inlineStr"/>
    </row>
    <row r="714" ht="15" customHeight="1">
      <c r="A714" t="inlineStr">
        <is>
          <t>A 46876-2023</t>
        </is>
      </c>
      <c r="B714" s="1" t="n">
        <v>45200</v>
      </c>
      <c r="C714" s="1" t="n">
        <v>46038</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55512-2024</t>
        </is>
      </c>
      <c r="B715" s="1" t="n">
        <v>45621</v>
      </c>
      <c r="C715" s="1" t="n">
        <v>46038</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43470-2024</t>
        </is>
      </c>
      <c r="B716" s="1" t="n">
        <v>45568</v>
      </c>
      <c r="C716" s="1" t="n">
        <v>46038</v>
      </c>
      <c r="D716" t="inlineStr">
        <is>
          <t>DALARNAS LÄN</t>
        </is>
      </c>
      <c r="E716" t="inlineStr">
        <is>
          <t>LEKSAND</t>
        </is>
      </c>
      <c r="G716" t="n">
        <v>3.1</v>
      </c>
      <c r="H716" t="n">
        <v>0</v>
      </c>
      <c r="I716" t="n">
        <v>0</v>
      </c>
      <c r="J716" t="n">
        <v>0</v>
      </c>
      <c r="K716" t="n">
        <v>0</v>
      </c>
      <c r="L716" t="n">
        <v>0</v>
      </c>
      <c r="M716" t="n">
        <v>0</v>
      </c>
      <c r="N716" t="n">
        <v>0</v>
      </c>
      <c r="O716" t="n">
        <v>0</v>
      </c>
      <c r="P716" t="n">
        <v>0</v>
      </c>
      <c r="Q716" t="n">
        <v>0</v>
      </c>
      <c r="R716" s="2" t="inlineStr"/>
    </row>
    <row r="717" ht="15" customHeight="1">
      <c r="A717" t="inlineStr">
        <is>
          <t>A 11606-2025</t>
        </is>
      </c>
      <c r="B717" s="1" t="n">
        <v>45727</v>
      </c>
      <c r="C717" s="1" t="n">
        <v>46038</v>
      </c>
      <c r="D717" t="inlineStr">
        <is>
          <t>DALARNAS LÄN</t>
        </is>
      </c>
      <c r="E717" t="inlineStr">
        <is>
          <t>LEKSAND</t>
        </is>
      </c>
      <c r="G717" t="n">
        <v>2.3</v>
      </c>
      <c r="H717" t="n">
        <v>0</v>
      </c>
      <c r="I717" t="n">
        <v>0</v>
      </c>
      <c r="J717" t="n">
        <v>0</v>
      </c>
      <c r="K717" t="n">
        <v>0</v>
      </c>
      <c r="L717" t="n">
        <v>0</v>
      </c>
      <c r="M717" t="n">
        <v>0</v>
      </c>
      <c r="N717" t="n">
        <v>0</v>
      </c>
      <c r="O717" t="n">
        <v>0</v>
      </c>
      <c r="P717" t="n">
        <v>0</v>
      </c>
      <c r="Q717" t="n">
        <v>0</v>
      </c>
      <c r="R717" s="2" t="inlineStr"/>
    </row>
    <row r="718" ht="15" customHeight="1">
      <c r="A718" t="inlineStr">
        <is>
          <t>A 22683-2022</t>
        </is>
      </c>
      <c r="B718" s="1" t="n">
        <v>44714</v>
      </c>
      <c r="C718" s="1" t="n">
        <v>46038</v>
      </c>
      <c r="D718" t="inlineStr">
        <is>
          <t>DALARNAS LÄN</t>
        </is>
      </c>
      <c r="E718" t="inlineStr">
        <is>
          <t>LEKSAND</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13161-2024</t>
        </is>
      </c>
      <c r="B719" s="1" t="n">
        <v>45386.38972222222</v>
      </c>
      <c r="C719" s="1" t="n">
        <v>46038</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61208-2023</t>
        </is>
      </c>
      <c r="B720" s="1" t="n">
        <v>45260</v>
      </c>
      <c r="C720" s="1" t="n">
        <v>46038</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26062-2024</t>
        </is>
      </c>
      <c r="B721" s="1" t="n">
        <v>45468.3509375</v>
      </c>
      <c r="C721" s="1" t="n">
        <v>46038</v>
      </c>
      <c r="D721" t="inlineStr">
        <is>
          <t>DALARNAS LÄN</t>
        </is>
      </c>
      <c r="E721" t="inlineStr">
        <is>
          <t>LEKSAND</t>
        </is>
      </c>
      <c r="F721" t="inlineStr">
        <is>
          <t>Övriga statliga verk och myndigheter</t>
        </is>
      </c>
      <c r="G721" t="n">
        <v>6.4</v>
      </c>
      <c r="H721" t="n">
        <v>0</v>
      </c>
      <c r="I721" t="n">
        <v>0</v>
      </c>
      <c r="J721" t="n">
        <v>0</v>
      </c>
      <c r="K721" t="n">
        <v>0</v>
      </c>
      <c r="L721" t="n">
        <v>0</v>
      </c>
      <c r="M721" t="n">
        <v>0</v>
      </c>
      <c r="N721" t="n">
        <v>0</v>
      </c>
      <c r="O721" t="n">
        <v>0</v>
      </c>
      <c r="P721" t="n">
        <v>0</v>
      </c>
      <c r="Q721" t="n">
        <v>0</v>
      </c>
      <c r="R721" s="2" t="inlineStr"/>
    </row>
    <row r="722" ht="15" customHeight="1">
      <c r="A722" t="inlineStr">
        <is>
          <t>A 22517-2024</t>
        </is>
      </c>
      <c r="B722" s="1" t="n">
        <v>45447.40143518519</v>
      </c>
      <c r="C722" s="1" t="n">
        <v>46038</v>
      </c>
      <c r="D722" t="inlineStr">
        <is>
          <t>DALARNAS LÄN</t>
        </is>
      </c>
      <c r="E722" t="inlineStr">
        <is>
          <t>LEKSAND</t>
        </is>
      </c>
      <c r="G722" t="n">
        <v>0.4</v>
      </c>
      <c r="H722" t="n">
        <v>0</v>
      </c>
      <c r="I722" t="n">
        <v>0</v>
      </c>
      <c r="J722" t="n">
        <v>0</v>
      </c>
      <c r="K722" t="n">
        <v>0</v>
      </c>
      <c r="L722" t="n">
        <v>0</v>
      </c>
      <c r="M722" t="n">
        <v>0</v>
      </c>
      <c r="N722" t="n">
        <v>0</v>
      </c>
      <c r="O722" t="n">
        <v>0</v>
      </c>
      <c r="P722" t="n">
        <v>0</v>
      </c>
      <c r="Q722" t="n">
        <v>0</v>
      </c>
      <c r="R722" s="2" t="inlineStr"/>
    </row>
    <row r="723" ht="15" customHeight="1">
      <c r="A723" t="inlineStr">
        <is>
          <t>A 61953-2023</t>
        </is>
      </c>
      <c r="B723" s="1" t="n">
        <v>45266</v>
      </c>
      <c r="C723" s="1" t="n">
        <v>46038</v>
      </c>
      <c r="D723" t="inlineStr">
        <is>
          <t>DALARNAS LÄN</t>
        </is>
      </c>
      <c r="E723" t="inlineStr">
        <is>
          <t>LEKSAND</t>
        </is>
      </c>
      <c r="G723" t="n">
        <v>0.1</v>
      </c>
      <c r="H723" t="n">
        <v>0</v>
      </c>
      <c r="I723" t="n">
        <v>0</v>
      </c>
      <c r="J723" t="n">
        <v>0</v>
      </c>
      <c r="K723" t="n">
        <v>0</v>
      </c>
      <c r="L723" t="n">
        <v>0</v>
      </c>
      <c r="M723" t="n">
        <v>0</v>
      </c>
      <c r="N723" t="n">
        <v>0</v>
      </c>
      <c r="O723" t="n">
        <v>0</v>
      </c>
      <c r="P723" t="n">
        <v>0</v>
      </c>
      <c r="Q723" t="n">
        <v>0</v>
      </c>
      <c r="R723" s="2" t="inlineStr"/>
    </row>
    <row r="724" ht="15" customHeight="1">
      <c r="A724" t="inlineStr">
        <is>
          <t>A 16815-2025</t>
        </is>
      </c>
      <c r="B724" s="1" t="n">
        <v>45754</v>
      </c>
      <c r="C724" s="1" t="n">
        <v>46038</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16854-2025</t>
        </is>
      </c>
      <c r="B725" s="1" t="n">
        <v>45754.72883101852</v>
      </c>
      <c r="C725" s="1" t="n">
        <v>46038</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62133-2023</t>
        </is>
      </c>
      <c r="B726" s="1" t="n">
        <v>45267.35582175926</v>
      </c>
      <c r="C726" s="1" t="n">
        <v>46038</v>
      </c>
      <c r="D726" t="inlineStr">
        <is>
          <t>DALARNAS LÄN</t>
        </is>
      </c>
      <c r="E726" t="inlineStr">
        <is>
          <t>LEKSAND</t>
        </is>
      </c>
      <c r="G726" t="n">
        <v>1.3</v>
      </c>
      <c r="H726" t="n">
        <v>0</v>
      </c>
      <c r="I726" t="n">
        <v>0</v>
      </c>
      <c r="J726" t="n">
        <v>0</v>
      </c>
      <c r="K726" t="n">
        <v>0</v>
      </c>
      <c r="L726" t="n">
        <v>0</v>
      </c>
      <c r="M726" t="n">
        <v>0</v>
      </c>
      <c r="N726" t="n">
        <v>0</v>
      </c>
      <c r="O726" t="n">
        <v>0</v>
      </c>
      <c r="P726" t="n">
        <v>0</v>
      </c>
      <c r="Q726" t="n">
        <v>0</v>
      </c>
      <c r="R726" s="2" t="inlineStr"/>
    </row>
    <row r="727" ht="15" customHeight="1">
      <c r="A727" t="inlineStr">
        <is>
          <t>A 40009-2024</t>
        </is>
      </c>
      <c r="B727" s="1" t="n">
        <v>45553.65361111111</v>
      </c>
      <c r="C727" s="1" t="n">
        <v>46038</v>
      </c>
      <c r="D727" t="inlineStr">
        <is>
          <t>DALARNAS LÄN</t>
        </is>
      </c>
      <c r="E727" t="inlineStr">
        <is>
          <t>LEKSAND</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10967-2023</t>
        </is>
      </c>
      <c r="B728" s="1" t="n">
        <v>44991.58001157407</v>
      </c>
      <c r="C728" s="1" t="n">
        <v>46038</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10974-2023</t>
        </is>
      </c>
      <c r="B729" s="1" t="n">
        <v>44991.59049768518</v>
      </c>
      <c r="C729" s="1" t="n">
        <v>46038</v>
      </c>
      <c r="D729" t="inlineStr">
        <is>
          <t>DALARNAS LÄN</t>
        </is>
      </c>
      <c r="E729" t="inlineStr">
        <is>
          <t>LEKSAND</t>
        </is>
      </c>
      <c r="G729" t="n">
        <v>0.3</v>
      </c>
      <c r="H729" t="n">
        <v>0</v>
      </c>
      <c r="I729" t="n">
        <v>0</v>
      </c>
      <c r="J729" t="n">
        <v>0</v>
      </c>
      <c r="K729" t="n">
        <v>0</v>
      </c>
      <c r="L729" t="n">
        <v>0</v>
      </c>
      <c r="M729" t="n">
        <v>0</v>
      </c>
      <c r="N729" t="n">
        <v>0</v>
      </c>
      <c r="O729" t="n">
        <v>0</v>
      </c>
      <c r="P729" t="n">
        <v>0</v>
      </c>
      <c r="Q729" t="n">
        <v>0</v>
      </c>
      <c r="R729" s="2" t="inlineStr"/>
    </row>
    <row r="730" ht="15" customHeight="1">
      <c r="A730" t="inlineStr">
        <is>
          <t>A 47203-2023</t>
        </is>
      </c>
      <c r="B730" s="1" t="n">
        <v>45202</v>
      </c>
      <c r="C730" s="1" t="n">
        <v>46038</v>
      </c>
      <c r="D730" t="inlineStr">
        <is>
          <t>DALARNAS LÄN</t>
        </is>
      </c>
      <c r="E730" t="inlineStr">
        <is>
          <t>LEKSAND</t>
        </is>
      </c>
      <c r="G730" t="n">
        <v>2.1</v>
      </c>
      <c r="H730" t="n">
        <v>0</v>
      </c>
      <c r="I730" t="n">
        <v>0</v>
      </c>
      <c r="J730" t="n">
        <v>0</v>
      </c>
      <c r="K730" t="n">
        <v>0</v>
      </c>
      <c r="L730" t="n">
        <v>0</v>
      </c>
      <c r="M730" t="n">
        <v>0</v>
      </c>
      <c r="N730" t="n">
        <v>0</v>
      </c>
      <c r="O730" t="n">
        <v>0</v>
      </c>
      <c r="P730" t="n">
        <v>0</v>
      </c>
      <c r="Q730" t="n">
        <v>0</v>
      </c>
      <c r="R730" s="2" t="inlineStr"/>
    </row>
    <row r="731" ht="15" customHeight="1">
      <c r="A731" t="inlineStr">
        <is>
          <t>A 42727-2024</t>
        </is>
      </c>
      <c r="B731" s="1" t="n">
        <v>45566</v>
      </c>
      <c r="C731" s="1" t="n">
        <v>46038</v>
      </c>
      <c r="D731" t="inlineStr">
        <is>
          <t>DALARNAS LÄN</t>
        </is>
      </c>
      <c r="E731" t="inlineStr">
        <is>
          <t>LEKSAND</t>
        </is>
      </c>
      <c r="G731" t="n">
        <v>0.8</v>
      </c>
      <c r="H731" t="n">
        <v>0</v>
      </c>
      <c r="I731" t="n">
        <v>0</v>
      </c>
      <c r="J731" t="n">
        <v>0</v>
      </c>
      <c r="K731" t="n">
        <v>0</v>
      </c>
      <c r="L731" t="n">
        <v>0</v>
      </c>
      <c r="M731" t="n">
        <v>0</v>
      </c>
      <c r="N731" t="n">
        <v>0</v>
      </c>
      <c r="O731" t="n">
        <v>0</v>
      </c>
      <c r="P731" t="n">
        <v>0</v>
      </c>
      <c r="Q731" t="n">
        <v>0</v>
      </c>
      <c r="R731" s="2" t="inlineStr"/>
    </row>
    <row r="732" ht="15" customHeight="1">
      <c r="A732" t="inlineStr">
        <is>
          <t>A 19295-2024</t>
        </is>
      </c>
      <c r="B732" s="1" t="n">
        <v>45428.69106481481</v>
      </c>
      <c r="C732" s="1" t="n">
        <v>46038</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16197-2024</t>
        </is>
      </c>
      <c r="B733" s="1" t="n">
        <v>45406.70356481482</v>
      </c>
      <c r="C733" s="1" t="n">
        <v>46038</v>
      </c>
      <c r="D733" t="inlineStr">
        <is>
          <t>DALARNAS LÄN</t>
        </is>
      </c>
      <c r="E733" t="inlineStr">
        <is>
          <t>LEKSAND</t>
        </is>
      </c>
      <c r="G733" t="n">
        <v>2.4</v>
      </c>
      <c r="H733" t="n">
        <v>0</v>
      </c>
      <c r="I733" t="n">
        <v>0</v>
      </c>
      <c r="J733" t="n">
        <v>0</v>
      </c>
      <c r="K733" t="n">
        <v>0</v>
      </c>
      <c r="L733" t="n">
        <v>0</v>
      </c>
      <c r="M733" t="n">
        <v>0</v>
      </c>
      <c r="N733" t="n">
        <v>0</v>
      </c>
      <c r="O733" t="n">
        <v>0</v>
      </c>
      <c r="P733" t="n">
        <v>0</v>
      </c>
      <c r="Q733" t="n">
        <v>0</v>
      </c>
      <c r="R733" s="2" t="inlineStr"/>
    </row>
    <row r="734" ht="15" customHeight="1">
      <c r="A734" t="inlineStr">
        <is>
          <t>A 20937-2025</t>
        </is>
      </c>
      <c r="B734" s="1" t="n">
        <v>45777.42769675926</v>
      </c>
      <c r="C734" s="1" t="n">
        <v>46038</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20683-2025</t>
        </is>
      </c>
      <c r="B735" s="1" t="n">
        <v>45776</v>
      </c>
      <c r="C735" s="1" t="n">
        <v>46038</v>
      </c>
      <c r="D735" t="inlineStr">
        <is>
          <t>DALARNAS LÄN</t>
        </is>
      </c>
      <c r="E735" t="inlineStr">
        <is>
          <t>LEKSAND</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21230-2025</t>
        </is>
      </c>
      <c r="B736" s="1" t="n">
        <v>45779.54589120371</v>
      </c>
      <c r="C736" s="1" t="n">
        <v>46038</v>
      </c>
      <c r="D736" t="inlineStr">
        <is>
          <t>DALARNAS LÄN</t>
        </is>
      </c>
      <c r="E736" t="inlineStr">
        <is>
          <t>LEKSAND</t>
        </is>
      </c>
      <c r="G736" t="n">
        <v>0.5</v>
      </c>
      <c r="H736" t="n">
        <v>0</v>
      </c>
      <c r="I736" t="n">
        <v>0</v>
      </c>
      <c r="J736" t="n">
        <v>0</v>
      </c>
      <c r="K736" t="n">
        <v>0</v>
      </c>
      <c r="L736" t="n">
        <v>0</v>
      </c>
      <c r="M736" t="n">
        <v>0</v>
      </c>
      <c r="N736" t="n">
        <v>0</v>
      </c>
      <c r="O736" t="n">
        <v>0</v>
      </c>
      <c r="P736" t="n">
        <v>0</v>
      </c>
      <c r="Q736" t="n">
        <v>0</v>
      </c>
      <c r="R736" s="2" t="inlineStr"/>
    </row>
    <row r="737" ht="15" customHeight="1">
      <c r="A737" t="inlineStr">
        <is>
          <t>A 21193-2025</t>
        </is>
      </c>
      <c r="B737" s="1" t="n">
        <v>45779.46675925926</v>
      </c>
      <c r="C737" s="1" t="n">
        <v>46038</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40627-2023</t>
        </is>
      </c>
      <c r="B738" s="1" t="n">
        <v>45170</v>
      </c>
      <c r="C738" s="1" t="n">
        <v>46038</v>
      </c>
      <c r="D738" t="inlineStr">
        <is>
          <t>DALARNAS LÄN</t>
        </is>
      </c>
      <c r="E738" t="inlineStr">
        <is>
          <t>LEKSAND</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21600-2025</t>
        </is>
      </c>
      <c r="B739" s="1" t="n">
        <v>45783.3521875</v>
      </c>
      <c r="C739" s="1" t="n">
        <v>46038</v>
      </c>
      <c r="D739" t="inlineStr">
        <is>
          <t>DALARNAS LÄN</t>
        </is>
      </c>
      <c r="E739" t="inlineStr">
        <is>
          <t>LEKSAND</t>
        </is>
      </c>
      <c r="G739" t="n">
        <v>7.7</v>
      </c>
      <c r="H739" t="n">
        <v>0</v>
      </c>
      <c r="I739" t="n">
        <v>0</v>
      </c>
      <c r="J739" t="n">
        <v>0</v>
      </c>
      <c r="K739" t="n">
        <v>0</v>
      </c>
      <c r="L739" t="n">
        <v>0</v>
      </c>
      <c r="M739" t="n">
        <v>0</v>
      </c>
      <c r="N739" t="n">
        <v>0</v>
      </c>
      <c r="O739" t="n">
        <v>0</v>
      </c>
      <c r="P739" t="n">
        <v>0</v>
      </c>
      <c r="Q739" t="n">
        <v>0</v>
      </c>
      <c r="R739" s="2" t="inlineStr"/>
    </row>
    <row r="740" ht="15" customHeight="1">
      <c r="A740" t="inlineStr">
        <is>
          <t>A 11872-2024</t>
        </is>
      </c>
      <c r="B740" s="1" t="n">
        <v>45376.46833333333</v>
      </c>
      <c r="C740" s="1" t="n">
        <v>46038</v>
      </c>
      <c r="D740" t="inlineStr">
        <is>
          <t>DALARNAS LÄN</t>
        </is>
      </c>
      <c r="E740" t="inlineStr">
        <is>
          <t>LEKSAND</t>
        </is>
      </c>
      <c r="G740" t="n">
        <v>3.1</v>
      </c>
      <c r="H740" t="n">
        <v>0</v>
      </c>
      <c r="I740" t="n">
        <v>0</v>
      </c>
      <c r="J740" t="n">
        <v>0</v>
      </c>
      <c r="K740" t="n">
        <v>0</v>
      </c>
      <c r="L740" t="n">
        <v>0</v>
      </c>
      <c r="M740" t="n">
        <v>0</v>
      </c>
      <c r="N740" t="n">
        <v>0</v>
      </c>
      <c r="O740" t="n">
        <v>0</v>
      </c>
      <c r="P740" t="n">
        <v>0</v>
      </c>
      <c r="Q740" t="n">
        <v>0</v>
      </c>
      <c r="R740" s="2" t="inlineStr"/>
    </row>
    <row r="741" ht="15" customHeight="1">
      <c r="A741" t="inlineStr">
        <is>
          <t>A 21457-2025</t>
        </is>
      </c>
      <c r="B741" s="1" t="n">
        <v>45782.55451388889</v>
      </c>
      <c r="C741" s="1" t="n">
        <v>46038</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61554-2024</t>
        </is>
      </c>
      <c r="B742" s="1" t="n">
        <v>45646.60748842593</v>
      </c>
      <c r="C742" s="1" t="n">
        <v>46038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22080-2025</t>
        </is>
      </c>
      <c r="B743" s="1" t="n">
        <v>45785</v>
      </c>
      <c r="C743" s="1" t="n">
        <v>46038</v>
      </c>
      <c r="D743" t="inlineStr">
        <is>
          <t>DALARNAS LÄN</t>
        </is>
      </c>
      <c r="E743" t="inlineStr">
        <is>
          <t>LEKSAND</t>
        </is>
      </c>
      <c r="G743" t="n">
        <v>7</v>
      </c>
      <c r="H743" t="n">
        <v>0</v>
      </c>
      <c r="I743" t="n">
        <v>0</v>
      </c>
      <c r="J743" t="n">
        <v>0</v>
      </c>
      <c r="K743" t="n">
        <v>0</v>
      </c>
      <c r="L743" t="n">
        <v>0</v>
      </c>
      <c r="M743" t="n">
        <v>0</v>
      </c>
      <c r="N743" t="n">
        <v>0</v>
      </c>
      <c r="O743" t="n">
        <v>0</v>
      </c>
      <c r="P743" t="n">
        <v>0</v>
      </c>
      <c r="Q743" t="n">
        <v>0</v>
      </c>
      <c r="R743" s="2" t="inlineStr"/>
    </row>
    <row r="744" ht="15" customHeight="1">
      <c r="A744" t="inlineStr">
        <is>
          <t>A 21916-2025</t>
        </is>
      </c>
      <c r="B744" s="1" t="n">
        <v>45784.50115740741</v>
      </c>
      <c r="C744" s="1" t="n">
        <v>46038</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62307-2023</t>
        </is>
      </c>
      <c r="B745" s="1" t="n">
        <v>45266</v>
      </c>
      <c r="C745" s="1" t="n">
        <v>46038</v>
      </c>
      <c r="D745" t="inlineStr">
        <is>
          <t>DALARNAS LÄN</t>
        </is>
      </c>
      <c r="E745" t="inlineStr">
        <is>
          <t>LEKSAND</t>
        </is>
      </c>
      <c r="G745" t="n">
        <v>3.9</v>
      </c>
      <c r="H745" t="n">
        <v>0</v>
      </c>
      <c r="I745" t="n">
        <v>0</v>
      </c>
      <c r="J745" t="n">
        <v>0</v>
      </c>
      <c r="K745" t="n">
        <v>0</v>
      </c>
      <c r="L745" t="n">
        <v>0</v>
      </c>
      <c r="M745" t="n">
        <v>0</v>
      </c>
      <c r="N745" t="n">
        <v>0</v>
      </c>
      <c r="O745" t="n">
        <v>0</v>
      </c>
      <c r="P745" t="n">
        <v>0</v>
      </c>
      <c r="Q745" t="n">
        <v>0</v>
      </c>
      <c r="R745" s="2" t="inlineStr"/>
    </row>
    <row r="746" ht="15" customHeight="1">
      <c r="A746" t="inlineStr">
        <is>
          <t>A 14967-2023</t>
        </is>
      </c>
      <c r="B746" s="1" t="n">
        <v>45015</v>
      </c>
      <c r="C746" s="1" t="n">
        <v>46038</v>
      </c>
      <c r="D746" t="inlineStr">
        <is>
          <t>DALARNAS LÄN</t>
        </is>
      </c>
      <c r="E746" t="inlineStr">
        <is>
          <t>LEKSAND</t>
        </is>
      </c>
      <c r="G746" t="n">
        <v>1.4</v>
      </c>
      <c r="H746" t="n">
        <v>0</v>
      </c>
      <c r="I746" t="n">
        <v>0</v>
      </c>
      <c r="J746" t="n">
        <v>0</v>
      </c>
      <c r="K746" t="n">
        <v>0</v>
      </c>
      <c r="L746" t="n">
        <v>0</v>
      </c>
      <c r="M746" t="n">
        <v>0</v>
      </c>
      <c r="N746" t="n">
        <v>0</v>
      </c>
      <c r="O746" t="n">
        <v>0</v>
      </c>
      <c r="P746" t="n">
        <v>0</v>
      </c>
      <c r="Q746" t="n">
        <v>0</v>
      </c>
      <c r="R746" s="2" t="inlineStr"/>
    </row>
    <row r="747" ht="15" customHeight="1">
      <c r="A747" t="inlineStr">
        <is>
          <t>A 7861-2024</t>
        </is>
      </c>
      <c r="B747" s="1" t="n">
        <v>45350.30831018519</v>
      </c>
      <c r="C747" s="1" t="n">
        <v>46038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36534-2024</t>
        </is>
      </c>
      <c r="B748" s="1" t="n">
        <v>45537.45143518518</v>
      </c>
      <c r="C748" s="1" t="n">
        <v>46038</v>
      </c>
      <c r="D748" t="inlineStr">
        <is>
          <t>DALARNAS LÄN</t>
        </is>
      </c>
      <c r="E748" t="inlineStr">
        <is>
          <t>LEKSAND</t>
        </is>
      </c>
      <c r="G748" t="n">
        <v>4</v>
      </c>
      <c r="H748" t="n">
        <v>0</v>
      </c>
      <c r="I748" t="n">
        <v>0</v>
      </c>
      <c r="J748" t="n">
        <v>0</v>
      </c>
      <c r="K748" t="n">
        <v>0</v>
      </c>
      <c r="L748" t="n">
        <v>0</v>
      </c>
      <c r="M748" t="n">
        <v>0</v>
      </c>
      <c r="N748" t="n">
        <v>0</v>
      </c>
      <c r="O748" t="n">
        <v>0</v>
      </c>
      <c r="P748" t="n">
        <v>0</v>
      </c>
      <c r="Q748" t="n">
        <v>0</v>
      </c>
      <c r="R748" s="2" t="inlineStr"/>
    </row>
    <row r="749" ht="15" customHeight="1">
      <c r="A749" t="inlineStr">
        <is>
          <t>A 22536-2025</t>
        </is>
      </c>
      <c r="B749" s="1" t="n">
        <v>45787.33037037037</v>
      </c>
      <c r="C749" s="1" t="n">
        <v>46038</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46038</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34244-2024</t>
        </is>
      </c>
      <c r="B751" s="1" t="n">
        <v>45524.58349537037</v>
      </c>
      <c r="C751" s="1" t="n">
        <v>46038</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57468-2023</t>
        </is>
      </c>
      <c r="B752" s="1" t="n">
        <v>45246</v>
      </c>
      <c r="C752" s="1" t="n">
        <v>46038</v>
      </c>
      <c r="D752" t="inlineStr">
        <is>
          <t>DALARNAS LÄN</t>
        </is>
      </c>
      <c r="E752" t="inlineStr">
        <is>
          <t>LEKSAND</t>
        </is>
      </c>
      <c r="G752" t="n">
        <v>4.6</v>
      </c>
      <c r="H752" t="n">
        <v>0</v>
      </c>
      <c r="I752" t="n">
        <v>0</v>
      </c>
      <c r="J752" t="n">
        <v>0</v>
      </c>
      <c r="K752" t="n">
        <v>0</v>
      </c>
      <c r="L752" t="n">
        <v>0</v>
      </c>
      <c r="M752" t="n">
        <v>0</v>
      </c>
      <c r="N752" t="n">
        <v>0</v>
      </c>
      <c r="O752" t="n">
        <v>0</v>
      </c>
      <c r="P752" t="n">
        <v>0</v>
      </c>
      <c r="Q752" t="n">
        <v>0</v>
      </c>
      <c r="R752" s="2" t="inlineStr"/>
    </row>
    <row r="753" ht="15" customHeight="1">
      <c r="A753" t="inlineStr">
        <is>
          <t>A 22876-2025</t>
        </is>
      </c>
      <c r="B753" s="1" t="n">
        <v>45790.3728587963</v>
      </c>
      <c r="C753" s="1" t="n">
        <v>46038</v>
      </c>
      <c r="D753" t="inlineStr">
        <is>
          <t>DALARNAS LÄN</t>
        </is>
      </c>
      <c r="E753" t="inlineStr">
        <is>
          <t>LEKSAND</t>
        </is>
      </c>
      <c r="G753" t="n">
        <v>5.9</v>
      </c>
      <c r="H753" t="n">
        <v>0</v>
      </c>
      <c r="I753" t="n">
        <v>0</v>
      </c>
      <c r="J753" t="n">
        <v>0</v>
      </c>
      <c r="K753" t="n">
        <v>0</v>
      </c>
      <c r="L753" t="n">
        <v>0</v>
      </c>
      <c r="M753" t="n">
        <v>0</v>
      </c>
      <c r="N753" t="n">
        <v>0</v>
      </c>
      <c r="O753" t="n">
        <v>0</v>
      </c>
      <c r="P753" t="n">
        <v>0</v>
      </c>
      <c r="Q753" t="n">
        <v>0</v>
      </c>
      <c r="R753" s="2" t="inlineStr"/>
    </row>
    <row r="754" ht="15" customHeight="1">
      <c r="A754" t="inlineStr">
        <is>
          <t>A 49499-2024</t>
        </is>
      </c>
      <c r="B754" s="1" t="n">
        <v>45596</v>
      </c>
      <c r="C754" s="1" t="n">
        <v>46038</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44822-2024</t>
        </is>
      </c>
      <c r="B755" s="1" t="n">
        <v>45574.6646412037</v>
      </c>
      <c r="C755" s="1" t="n">
        <v>46038</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23058-2025</t>
        </is>
      </c>
      <c r="B756" s="1" t="n">
        <v>45790.78076388889</v>
      </c>
      <c r="C756" s="1" t="n">
        <v>46038</v>
      </c>
      <c r="D756" t="inlineStr">
        <is>
          <t>DALARNAS LÄN</t>
        </is>
      </c>
      <c r="E756" t="inlineStr">
        <is>
          <t>LEKSAND</t>
        </is>
      </c>
      <c r="G756" t="n">
        <v>6.7</v>
      </c>
      <c r="H756" t="n">
        <v>0</v>
      </c>
      <c r="I756" t="n">
        <v>0</v>
      </c>
      <c r="J756" t="n">
        <v>0</v>
      </c>
      <c r="K756" t="n">
        <v>0</v>
      </c>
      <c r="L756" t="n">
        <v>0</v>
      </c>
      <c r="M756" t="n">
        <v>0</v>
      </c>
      <c r="N756" t="n">
        <v>0</v>
      </c>
      <c r="O756" t="n">
        <v>0</v>
      </c>
      <c r="P756" t="n">
        <v>0</v>
      </c>
      <c r="Q756" t="n">
        <v>0</v>
      </c>
      <c r="R756" s="2" t="inlineStr"/>
    </row>
    <row r="757" ht="15" customHeight="1">
      <c r="A757" t="inlineStr">
        <is>
          <t>A 23076-2025</t>
        </is>
      </c>
      <c r="B757" s="1" t="n">
        <v>45790.90960648148</v>
      </c>
      <c r="C757" s="1" t="n">
        <v>46038</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23855-2025</t>
        </is>
      </c>
      <c r="B758" s="1" t="n">
        <v>45793.65900462963</v>
      </c>
      <c r="C758" s="1" t="n">
        <v>46038</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23891-2025</t>
        </is>
      </c>
      <c r="B759" s="1" t="n">
        <v>45793</v>
      </c>
      <c r="C759" s="1" t="n">
        <v>46038</v>
      </c>
      <c r="D759" t="inlineStr">
        <is>
          <t>DALARNAS LÄN</t>
        </is>
      </c>
      <c r="E759" t="inlineStr">
        <is>
          <t>LEKSAND</t>
        </is>
      </c>
      <c r="F759" t="inlineStr">
        <is>
          <t>Kommuner</t>
        </is>
      </c>
      <c r="G759" t="n">
        <v>1.5</v>
      </c>
      <c r="H759" t="n">
        <v>0</v>
      </c>
      <c r="I759" t="n">
        <v>0</v>
      </c>
      <c r="J759" t="n">
        <v>0</v>
      </c>
      <c r="K759" t="n">
        <v>0</v>
      </c>
      <c r="L759" t="n">
        <v>0</v>
      </c>
      <c r="M759" t="n">
        <v>0</v>
      </c>
      <c r="N759" t="n">
        <v>0</v>
      </c>
      <c r="O759" t="n">
        <v>0</v>
      </c>
      <c r="P759" t="n">
        <v>0</v>
      </c>
      <c r="Q759" t="n">
        <v>0</v>
      </c>
      <c r="R759" s="2" t="inlineStr"/>
    </row>
    <row r="760" ht="15" customHeight="1">
      <c r="A760" t="inlineStr">
        <is>
          <t>A 23517-2025</t>
        </is>
      </c>
      <c r="B760" s="1" t="n">
        <v>45792</v>
      </c>
      <c r="C760" s="1" t="n">
        <v>46038</v>
      </c>
      <c r="D760" t="inlineStr">
        <is>
          <t>DALARNAS LÄN</t>
        </is>
      </c>
      <c r="E760" t="inlineStr">
        <is>
          <t>LEKSAND</t>
        </is>
      </c>
      <c r="G760" t="n">
        <v>2.2</v>
      </c>
      <c r="H760" t="n">
        <v>0</v>
      </c>
      <c r="I760" t="n">
        <v>0</v>
      </c>
      <c r="J760" t="n">
        <v>0</v>
      </c>
      <c r="K760" t="n">
        <v>0</v>
      </c>
      <c r="L760" t="n">
        <v>0</v>
      </c>
      <c r="M760" t="n">
        <v>0</v>
      </c>
      <c r="N760" t="n">
        <v>0</v>
      </c>
      <c r="O760" t="n">
        <v>0</v>
      </c>
      <c r="P760" t="n">
        <v>0</v>
      </c>
      <c r="Q760" t="n">
        <v>0</v>
      </c>
      <c r="R760" s="2" t="inlineStr"/>
    </row>
    <row r="761" ht="15" customHeight="1">
      <c r="A761" t="inlineStr">
        <is>
          <t>A 24187-2025</t>
        </is>
      </c>
      <c r="B761" s="1" t="n">
        <v>45796</v>
      </c>
      <c r="C761" s="1" t="n">
        <v>46038</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24188-2025</t>
        </is>
      </c>
      <c r="B762" s="1" t="n">
        <v>45796</v>
      </c>
      <c r="C762" s="1" t="n">
        <v>46038</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7450-2023</t>
        </is>
      </c>
      <c r="B763" s="1" t="n">
        <v>44971</v>
      </c>
      <c r="C763" s="1" t="n">
        <v>46038</v>
      </c>
      <c r="D763" t="inlineStr">
        <is>
          <t>DALARNAS LÄN</t>
        </is>
      </c>
      <c r="E763" t="inlineStr">
        <is>
          <t>LEKSAND</t>
        </is>
      </c>
      <c r="G763" t="n">
        <v>3</v>
      </c>
      <c r="H763" t="n">
        <v>0</v>
      </c>
      <c r="I763" t="n">
        <v>0</v>
      </c>
      <c r="J763" t="n">
        <v>0</v>
      </c>
      <c r="K763" t="n">
        <v>0</v>
      </c>
      <c r="L763" t="n">
        <v>0</v>
      </c>
      <c r="M763" t="n">
        <v>0</v>
      </c>
      <c r="N763" t="n">
        <v>0</v>
      </c>
      <c r="O763" t="n">
        <v>0</v>
      </c>
      <c r="P763" t="n">
        <v>0</v>
      </c>
      <c r="Q763" t="n">
        <v>0</v>
      </c>
      <c r="R763" s="2" t="inlineStr"/>
    </row>
    <row r="764" ht="15" customHeight="1">
      <c r="A764" t="inlineStr">
        <is>
          <t>A 24373-2025</t>
        </is>
      </c>
      <c r="B764" s="1" t="n">
        <v>45797.61113425926</v>
      </c>
      <c r="C764" s="1" t="n">
        <v>46038</v>
      </c>
      <c r="D764" t="inlineStr">
        <is>
          <t>DALARNAS LÄN</t>
        </is>
      </c>
      <c r="E764" t="inlineStr">
        <is>
          <t>LEKSAND</t>
        </is>
      </c>
      <c r="G764" t="n">
        <v>2.4</v>
      </c>
      <c r="H764" t="n">
        <v>0</v>
      </c>
      <c r="I764" t="n">
        <v>0</v>
      </c>
      <c r="J764" t="n">
        <v>0</v>
      </c>
      <c r="K764" t="n">
        <v>0</v>
      </c>
      <c r="L764" t="n">
        <v>0</v>
      </c>
      <c r="M764" t="n">
        <v>0</v>
      </c>
      <c r="N764" t="n">
        <v>0</v>
      </c>
      <c r="O764" t="n">
        <v>0</v>
      </c>
      <c r="P764" t="n">
        <v>0</v>
      </c>
      <c r="Q764" t="n">
        <v>0</v>
      </c>
      <c r="R764" s="2" t="inlineStr"/>
    </row>
    <row r="765" ht="15" customHeight="1">
      <c r="A765" t="inlineStr">
        <is>
          <t>A 22646-2025</t>
        </is>
      </c>
      <c r="B765" s="1" t="n">
        <v>45786</v>
      </c>
      <c r="C765" s="1" t="n">
        <v>46038</v>
      </c>
      <c r="D765" t="inlineStr">
        <is>
          <t>DALARNAS LÄN</t>
        </is>
      </c>
      <c r="E765" t="inlineStr">
        <is>
          <t>LEKSAND</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24919-2024</t>
        </is>
      </c>
      <c r="B766" s="1" t="n">
        <v>45461.60636574074</v>
      </c>
      <c r="C766" s="1" t="n">
        <v>46038</v>
      </c>
      <c r="D766" t="inlineStr">
        <is>
          <t>DALARNAS LÄN</t>
        </is>
      </c>
      <c r="E766" t="inlineStr">
        <is>
          <t>LEKSAND</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56211-2023</t>
        </is>
      </c>
      <c r="B767" s="1" t="n">
        <v>45240</v>
      </c>
      <c r="C767" s="1" t="n">
        <v>46038</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24369-2025</t>
        </is>
      </c>
      <c r="B768" s="1" t="n">
        <v>45797.60731481481</v>
      </c>
      <c r="C768" s="1" t="n">
        <v>46038</v>
      </c>
      <c r="D768" t="inlineStr">
        <is>
          <t>DALARNAS LÄN</t>
        </is>
      </c>
      <c r="E768" t="inlineStr">
        <is>
          <t>LEKSAND</t>
        </is>
      </c>
      <c r="G768" t="n">
        <v>1.5</v>
      </c>
      <c r="H768" t="n">
        <v>0</v>
      </c>
      <c r="I768" t="n">
        <v>0</v>
      </c>
      <c r="J768" t="n">
        <v>0</v>
      </c>
      <c r="K768" t="n">
        <v>0</v>
      </c>
      <c r="L768" t="n">
        <v>0</v>
      </c>
      <c r="M768" t="n">
        <v>0</v>
      </c>
      <c r="N768" t="n">
        <v>0</v>
      </c>
      <c r="O768" t="n">
        <v>0</v>
      </c>
      <c r="P768" t="n">
        <v>0</v>
      </c>
      <c r="Q768" t="n">
        <v>0</v>
      </c>
      <c r="R768" s="2" t="inlineStr"/>
    </row>
    <row r="769" ht="15" customHeight="1">
      <c r="A769" t="inlineStr">
        <is>
          <t>A 24715-2025</t>
        </is>
      </c>
      <c r="B769" s="1" t="n">
        <v>45798.97899305556</v>
      </c>
      <c r="C769" s="1" t="n">
        <v>46038</v>
      </c>
      <c r="D769" t="inlineStr">
        <is>
          <t>DALARNAS LÄN</t>
        </is>
      </c>
      <c r="E769" t="inlineStr">
        <is>
          <t>LEKSAND</t>
        </is>
      </c>
      <c r="G769" t="n">
        <v>8.4</v>
      </c>
      <c r="H769" t="n">
        <v>0</v>
      </c>
      <c r="I769" t="n">
        <v>0</v>
      </c>
      <c r="J769" t="n">
        <v>0</v>
      </c>
      <c r="K769" t="n">
        <v>0</v>
      </c>
      <c r="L769" t="n">
        <v>0</v>
      </c>
      <c r="M769" t="n">
        <v>0</v>
      </c>
      <c r="N769" t="n">
        <v>0</v>
      </c>
      <c r="O769" t="n">
        <v>0</v>
      </c>
      <c r="P769" t="n">
        <v>0</v>
      </c>
      <c r="Q769" t="n">
        <v>0</v>
      </c>
      <c r="R769" s="2" t="inlineStr"/>
    </row>
    <row r="770" ht="15" customHeight="1">
      <c r="A770" t="inlineStr">
        <is>
          <t>A 40868-2024</t>
        </is>
      </c>
      <c r="B770" s="1" t="n">
        <v>45558</v>
      </c>
      <c r="C770" s="1" t="n">
        <v>46038</v>
      </c>
      <c r="D770" t="inlineStr">
        <is>
          <t>DALARNAS LÄN</t>
        </is>
      </c>
      <c r="E770" t="inlineStr">
        <is>
          <t>LEKSAND</t>
        </is>
      </c>
      <c r="G770" t="n">
        <v>0.8</v>
      </c>
      <c r="H770" t="n">
        <v>0</v>
      </c>
      <c r="I770" t="n">
        <v>0</v>
      </c>
      <c r="J770" t="n">
        <v>0</v>
      </c>
      <c r="K770" t="n">
        <v>0</v>
      </c>
      <c r="L770" t="n">
        <v>0</v>
      </c>
      <c r="M770" t="n">
        <v>0</v>
      </c>
      <c r="N770" t="n">
        <v>0</v>
      </c>
      <c r="O770" t="n">
        <v>0</v>
      </c>
      <c r="P770" t="n">
        <v>0</v>
      </c>
      <c r="Q770" t="n">
        <v>0</v>
      </c>
      <c r="R770" s="2" t="inlineStr"/>
    </row>
    <row r="771" ht="15" customHeight="1">
      <c r="A771" t="inlineStr">
        <is>
          <t>A 25610-2025</t>
        </is>
      </c>
      <c r="B771" s="1" t="n">
        <v>45803.56033564815</v>
      </c>
      <c r="C771" s="1" t="n">
        <v>46038</v>
      </c>
      <c r="D771" t="inlineStr">
        <is>
          <t>DALARNAS LÄN</t>
        </is>
      </c>
      <c r="E771" t="inlineStr">
        <is>
          <t>LEKSAND</t>
        </is>
      </c>
      <c r="G771" t="n">
        <v>5.2</v>
      </c>
      <c r="H771" t="n">
        <v>0</v>
      </c>
      <c r="I771" t="n">
        <v>0</v>
      </c>
      <c r="J771" t="n">
        <v>0</v>
      </c>
      <c r="K771" t="n">
        <v>0</v>
      </c>
      <c r="L771" t="n">
        <v>0</v>
      </c>
      <c r="M771" t="n">
        <v>0</v>
      </c>
      <c r="N771" t="n">
        <v>0</v>
      </c>
      <c r="O771" t="n">
        <v>0</v>
      </c>
      <c r="P771" t="n">
        <v>0</v>
      </c>
      <c r="Q771" t="n">
        <v>0</v>
      </c>
      <c r="R771" s="2" t="inlineStr"/>
    </row>
    <row r="772" ht="15" customHeight="1">
      <c r="A772" t="inlineStr">
        <is>
          <t>A 25105-2025</t>
        </is>
      </c>
      <c r="B772" s="1" t="n">
        <v>45800.34751157407</v>
      </c>
      <c r="C772" s="1" t="n">
        <v>46038</v>
      </c>
      <c r="D772" t="inlineStr">
        <is>
          <t>DALARNAS LÄN</t>
        </is>
      </c>
      <c r="E772" t="inlineStr">
        <is>
          <t>LEKSAND</t>
        </is>
      </c>
      <c r="F772" t="inlineStr">
        <is>
          <t>Bergvik skog väst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25096-2025</t>
        </is>
      </c>
      <c r="B773" s="1" t="n">
        <v>45800.33868055556</v>
      </c>
      <c r="C773" s="1" t="n">
        <v>46038</v>
      </c>
      <c r="D773" t="inlineStr">
        <is>
          <t>DALARNAS LÄN</t>
        </is>
      </c>
      <c r="E773" t="inlineStr">
        <is>
          <t>LEKSAND</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31255-2023</t>
        </is>
      </c>
      <c r="B774" s="1" t="n">
        <v>45114.36729166667</v>
      </c>
      <c r="C774" s="1" t="n">
        <v>46038</v>
      </c>
      <c r="D774" t="inlineStr">
        <is>
          <t>DALARNAS LÄN</t>
        </is>
      </c>
      <c r="E774" t="inlineStr">
        <is>
          <t>LEKSAND</t>
        </is>
      </c>
      <c r="G774" t="n">
        <v>1.3</v>
      </c>
      <c r="H774" t="n">
        <v>0</v>
      </c>
      <c r="I774" t="n">
        <v>0</v>
      </c>
      <c r="J774" t="n">
        <v>0</v>
      </c>
      <c r="K774" t="n">
        <v>0</v>
      </c>
      <c r="L774" t="n">
        <v>0</v>
      </c>
      <c r="M774" t="n">
        <v>0</v>
      </c>
      <c r="N774" t="n">
        <v>0</v>
      </c>
      <c r="O774" t="n">
        <v>0</v>
      </c>
      <c r="P774" t="n">
        <v>0</v>
      </c>
      <c r="Q774" t="n">
        <v>0</v>
      </c>
      <c r="R774" s="2" t="inlineStr"/>
    </row>
    <row r="775" ht="15" customHeight="1">
      <c r="A775" t="inlineStr">
        <is>
          <t>A 26423-2025</t>
        </is>
      </c>
      <c r="B775" s="1" t="n">
        <v>45807.37829861111</v>
      </c>
      <c r="C775" s="1" t="n">
        <v>46038</v>
      </c>
      <c r="D775" t="inlineStr">
        <is>
          <t>DALARNAS LÄN</t>
        </is>
      </c>
      <c r="E775" t="inlineStr">
        <is>
          <t>LEKSAND</t>
        </is>
      </c>
      <c r="G775" t="n">
        <v>1.5</v>
      </c>
      <c r="H775" t="n">
        <v>0</v>
      </c>
      <c r="I775" t="n">
        <v>0</v>
      </c>
      <c r="J775" t="n">
        <v>0</v>
      </c>
      <c r="K775" t="n">
        <v>0</v>
      </c>
      <c r="L775" t="n">
        <v>0</v>
      </c>
      <c r="M775" t="n">
        <v>0</v>
      </c>
      <c r="N775" t="n">
        <v>0</v>
      </c>
      <c r="O775" t="n">
        <v>0</v>
      </c>
      <c r="P775" t="n">
        <v>0</v>
      </c>
      <c r="Q775" t="n">
        <v>0</v>
      </c>
      <c r="R775" s="2" t="inlineStr"/>
    </row>
    <row r="776" ht="15" customHeight="1">
      <c r="A776" t="inlineStr">
        <is>
          <t>A 26386-2025</t>
        </is>
      </c>
      <c r="B776" s="1" t="n">
        <v>45806</v>
      </c>
      <c r="C776" s="1" t="n">
        <v>46038</v>
      </c>
      <c r="D776" t="inlineStr">
        <is>
          <t>DALARNAS LÄN</t>
        </is>
      </c>
      <c r="E776" t="inlineStr">
        <is>
          <t>LEKSAND</t>
        </is>
      </c>
      <c r="F776" t="inlineStr">
        <is>
          <t>Bergvik skog väst AB</t>
        </is>
      </c>
      <c r="G776" t="n">
        <v>26.3</v>
      </c>
      <c r="H776" t="n">
        <v>0</v>
      </c>
      <c r="I776" t="n">
        <v>0</v>
      </c>
      <c r="J776" t="n">
        <v>0</v>
      </c>
      <c r="K776" t="n">
        <v>0</v>
      </c>
      <c r="L776" t="n">
        <v>0</v>
      </c>
      <c r="M776" t="n">
        <v>0</v>
      </c>
      <c r="N776" t="n">
        <v>0</v>
      </c>
      <c r="O776" t="n">
        <v>0</v>
      </c>
      <c r="P776" t="n">
        <v>0</v>
      </c>
      <c r="Q776" t="n">
        <v>0</v>
      </c>
      <c r="R776" s="2" t="inlineStr"/>
    </row>
    <row r="777" ht="15" customHeight="1">
      <c r="A777" t="inlineStr">
        <is>
          <t>A 25329-2022</t>
        </is>
      </c>
      <c r="B777" s="1" t="n">
        <v>44731.8799537037</v>
      </c>
      <c r="C777" s="1" t="n">
        <v>46038</v>
      </c>
      <c r="D777" t="inlineStr">
        <is>
          <t>DALARNAS LÄN</t>
        </is>
      </c>
      <c r="E777" t="inlineStr">
        <is>
          <t>LEKSAND</t>
        </is>
      </c>
      <c r="G777" t="n">
        <v>1.4</v>
      </c>
      <c r="H777" t="n">
        <v>0</v>
      </c>
      <c r="I777" t="n">
        <v>0</v>
      </c>
      <c r="J777" t="n">
        <v>0</v>
      </c>
      <c r="K777" t="n">
        <v>0</v>
      </c>
      <c r="L777" t="n">
        <v>0</v>
      </c>
      <c r="M777" t="n">
        <v>0</v>
      </c>
      <c r="N777" t="n">
        <v>0</v>
      </c>
      <c r="O777" t="n">
        <v>0</v>
      </c>
      <c r="P777" t="n">
        <v>0</v>
      </c>
      <c r="Q777" t="n">
        <v>0</v>
      </c>
      <c r="R777" s="2" t="inlineStr"/>
    </row>
    <row r="778" ht="15" customHeight="1">
      <c r="A778" t="inlineStr">
        <is>
          <t>A 27323-2025</t>
        </is>
      </c>
      <c r="B778" s="1" t="n">
        <v>45812.60392361111</v>
      </c>
      <c r="C778" s="1" t="n">
        <v>46038</v>
      </c>
      <c r="D778" t="inlineStr">
        <is>
          <t>DALARNAS LÄN</t>
        </is>
      </c>
      <c r="E778" t="inlineStr">
        <is>
          <t>LEKSAND</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27262-2025</t>
        </is>
      </c>
      <c r="B779" s="1" t="n">
        <v>45812</v>
      </c>
      <c r="C779" s="1" t="n">
        <v>46038</v>
      </c>
      <c r="D779" t="inlineStr">
        <is>
          <t>DALARNAS LÄN</t>
        </is>
      </c>
      <c r="E779" t="inlineStr">
        <is>
          <t>LEKSAND</t>
        </is>
      </c>
      <c r="F779" t="inlineStr">
        <is>
          <t>Bergvik skog väst AB</t>
        </is>
      </c>
      <c r="G779" t="n">
        <v>7.7</v>
      </c>
      <c r="H779" t="n">
        <v>0</v>
      </c>
      <c r="I779" t="n">
        <v>0</v>
      </c>
      <c r="J779" t="n">
        <v>0</v>
      </c>
      <c r="K779" t="n">
        <v>0</v>
      </c>
      <c r="L779" t="n">
        <v>0</v>
      </c>
      <c r="M779" t="n">
        <v>0</v>
      </c>
      <c r="N779" t="n">
        <v>0</v>
      </c>
      <c r="O779" t="n">
        <v>0</v>
      </c>
      <c r="P779" t="n">
        <v>0</v>
      </c>
      <c r="Q779" t="n">
        <v>0</v>
      </c>
      <c r="R779" s="2" t="inlineStr"/>
    </row>
    <row r="780" ht="15" customHeight="1">
      <c r="A780" t="inlineStr">
        <is>
          <t>A 27332-2025</t>
        </is>
      </c>
      <c r="B780" s="1" t="n">
        <v>45812.61265046296</v>
      </c>
      <c r="C780" s="1" t="n">
        <v>46038</v>
      </c>
      <c r="D780" t="inlineStr">
        <is>
          <t>DALARNAS LÄN</t>
        </is>
      </c>
      <c r="E780" t="inlineStr">
        <is>
          <t>LEKSAND</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27183-2025</t>
        </is>
      </c>
      <c r="B781" s="1" t="n">
        <v>45812.36097222222</v>
      </c>
      <c r="C781" s="1" t="n">
        <v>46038</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27680-2025</t>
        </is>
      </c>
      <c r="B782" s="1" t="n">
        <v>45813.64618055556</v>
      </c>
      <c r="C782" s="1" t="n">
        <v>46038</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27682-2025</t>
        </is>
      </c>
      <c r="B783" s="1" t="n">
        <v>45813.64782407408</v>
      </c>
      <c r="C783" s="1" t="n">
        <v>46038</v>
      </c>
      <c r="D783" t="inlineStr">
        <is>
          <t>DALARNAS LÄN</t>
        </is>
      </c>
      <c r="E783" t="inlineStr">
        <is>
          <t>LEKSAND</t>
        </is>
      </c>
      <c r="G783" t="n">
        <v>1.2</v>
      </c>
      <c r="H783" t="n">
        <v>0</v>
      </c>
      <c r="I783" t="n">
        <v>0</v>
      </c>
      <c r="J783" t="n">
        <v>0</v>
      </c>
      <c r="K783" t="n">
        <v>0</v>
      </c>
      <c r="L783" t="n">
        <v>0</v>
      </c>
      <c r="M783" t="n">
        <v>0</v>
      </c>
      <c r="N783" t="n">
        <v>0</v>
      </c>
      <c r="O783" t="n">
        <v>0</v>
      </c>
      <c r="P783" t="n">
        <v>0</v>
      </c>
      <c r="Q783" t="n">
        <v>0</v>
      </c>
      <c r="R783" s="2" t="inlineStr"/>
    </row>
    <row r="784" ht="15" customHeight="1">
      <c r="A784" t="inlineStr">
        <is>
          <t>A 27705-2025</t>
        </is>
      </c>
      <c r="B784" s="1" t="n">
        <v>45813</v>
      </c>
      <c r="C784" s="1" t="n">
        <v>46038</v>
      </c>
      <c r="D784" t="inlineStr">
        <is>
          <t>DALARNAS LÄN</t>
        </is>
      </c>
      <c r="E784" t="inlineStr">
        <is>
          <t>LEKSAND</t>
        </is>
      </c>
      <c r="G784" t="n">
        <v>0.8</v>
      </c>
      <c r="H784" t="n">
        <v>0</v>
      </c>
      <c r="I784" t="n">
        <v>0</v>
      </c>
      <c r="J784" t="n">
        <v>0</v>
      </c>
      <c r="K784" t="n">
        <v>0</v>
      </c>
      <c r="L784" t="n">
        <v>0</v>
      </c>
      <c r="M784" t="n">
        <v>0</v>
      </c>
      <c r="N784" t="n">
        <v>0</v>
      </c>
      <c r="O784" t="n">
        <v>0</v>
      </c>
      <c r="P784" t="n">
        <v>0</v>
      </c>
      <c r="Q784" t="n">
        <v>0</v>
      </c>
      <c r="R784" s="2" t="inlineStr"/>
    </row>
    <row r="785" ht="15" customHeight="1">
      <c r="A785" t="inlineStr">
        <is>
          <t>A 27329-2025</t>
        </is>
      </c>
      <c r="B785" s="1" t="n">
        <v>45812.60864583333</v>
      </c>
      <c r="C785" s="1" t="n">
        <v>46038</v>
      </c>
      <c r="D785" t="inlineStr">
        <is>
          <t>DALARNAS LÄN</t>
        </is>
      </c>
      <c r="E785" t="inlineStr">
        <is>
          <t>LEKSAND</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27984-2025</t>
        </is>
      </c>
      <c r="B786" s="1" t="n">
        <v>45817.57710648148</v>
      </c>
      <c r="C786" s="1" t="n">
        <v>46038</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28499-2025</t>
        </is>
      </c>
      <c r="B787" s="1" t="n">
        <v>45818</v>
      </c>
      <c r="C787" s="1" t="n">
        <v>46038</v>
      </c>
      <c r="D787" t="inlineStr">
        <is>
          <t>DALARNAS LÄN</t>
        </is>
      </c>
      <c r="E787" t="inlineStr">
        <is>
          <t>LEKSAND</t>
        </is>
      </c>
      <c r="G787" t="n">
        <v>0.7</v>
      </c>
      <c r="H787" t="n">
        <v>0</v>
      </c>
      <c r="I787" t="n">
        <v>0</v>
      </c>
      <c r="J787" t="n">
        <v>0</v>
      </c>
      <c r="K787" t="n">
        <v>0</v>
      </c>
      <c r="L787" t="n">
        <v>0</v>
      </c>
      <c r="M787" t="n">
        <v>0</v>
      </c>
      <c r="N787" t="n">
        <v>0</v>
      </c>
      <c r="O787" t="n">
        <v>0</v>
      </c>
      <c r="P787" t="n">
        <v>0</v>
      </c>
      <c r="Q787" t="n">
        <v>0</v>
      </c>
      <c r="R787" s="2" t="inlineStr"/>
    </row>
    <row r="788" ht="15" customHeight="1">
      <c r="A788" t="inlineStr">
        <is>
          <t>A 28483-2025</t>
        </is>
      </c>
      <c r="B788" s="1" t="n">
        <v>45818</v>
      </c>
      <c r="C788" s="1" t="n">
        <v>46038</v>
      </c>
      <c r="D788" t="inlineStr">
        <is>
          <t>DALARNAS LÄN</t>
        </is>
      </c>
      <c r="E788" t="inlineStr">
        <is>
          <t>LEKSAND</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28458-2025</t>
        </is>
      </c>
      <c r="B789" s="1" t="n">
        <v>45819.413125</v>
      </c>
      <c r="C789" s="1" t="n">
        <v>46038</v>
      </c>
      <c r="D789" t="inlineStr">
        <is>
          <t>DALARNAS LÄN</t>
        </is>
      </c>
      <c r="E789" t="inlineStr">
        <is>
          <t>LEKSAND</t>
        </is>
      </c>
      <c r="G789" t="n">
        <v>3</v>
      </c>
      <c r="H789" t="n">
        <v>0</v>
      </c>
      <c r="I789" t="n">
        <v>0</v>
      </c>
      <c r="J789" t="n">
        <v>0</v>
      </c>
      <c r="K789" t="n">
        <v>0</v>
      </c>
      <c r="L789" t="n">
        <v>0</v>
      </c>
      <c r="M789" t="n">
        <v>0</v>
      </c>
      <c r="N789" t="n">
        <v>0</v>
      </c>
      <c r="O789" t="n">
        <v>0</v>
      </c>
      <c r="P789" t="n">
        <v>0</v>
      </c>
      <c r="Q789" t="n">
        <v>0</v>
      </c>
      <c r="R789" s="2" t="inlineStr"/>
    </row>
    <row r="790" ht="15" customHeight="1">
      <c r="A790" t="inlineStr">
        <is>
          <t>A 28505-2025</t>
        </is>
      </c>
      <c r="B790" s="1" t="n">
        <v>45818</v>
      </c>
      <c r="C790" s="1" t="n">
        <v>46038</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28488-2025</t>
        </is>
      </c>
      <c r="B791" s="1" t="n">
        <v>45818</v>
      </c>
      <c r="C791" s="1" t="n">
        <v>46038</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28770-2025</t>
        </is>
      </c>
      <c r="B792" s="1" t="n">
        <v>45820</v>
      </c>
      <c r="C792" s="1" t="n">
        <v>46038</v>
      </c>
      <c r="D792" t="inlineStr">
        <is>
          <t>DALARNAS LÄN</t>
        </is>
      </c>
      <c r="E792" t="inlineStr">
        <is>
          <t>LEKSAND</t>
        </is>
      </c>
      <c r="G792" t="n">
        <v>0.7</v>
      </c>
      <c r="H792" t="n">
        <v>0</v>
      </c>
      <c r="I792" t="n">
        <v>0</v>
      </c>
      <c r="J792" t="n">
        <v>0</v>
      </c>
      <c r="K792" t="n">
        <v>0</v>
      </c>
      <c r="L792" t="n">
        <v>0</v>
      </c>
      <c r="M792" t="n">
        <v>0</v>
      </c>
      <c r="N792" t="n">
        <v>0</v>
      </c>
      <c r="O792" t="n">
        <v>0</v>
      </c>
      <c r="P792" t="n">
        <v>0</v>
      </c>
      <c r="Q792" t="n">
        <v>0</v>
      </c>
      <c r="R792" s="2" t="inlineStr"/>
    </row>
    <row r="793" ht="15" customHeight="1">
      <c r="A793" t="inlineStr">
        <is>
          <t>A 28985-2025</t>
        </is>
      </c>
      <c r="B793" s="1" t="n">
        <v>45821.36862268519</v>
      </c>
      <c r="C793" s="1" t="n">
        <v>46038</v>
      </c>
      <c r="D793" t="inlineStr">
        <is>
          <t>DALARNAS LÄN</t>
        </is>
      </c>
      <c r="E793" t="inlineStr">
        <is>
          <t>LEKSAND</t>
        </is>
      </c>
      <c r="G793" t="n">
        <v>0.7</v>
      </c>
      <c r="H793" t="n">
        <v>0</v>
      </c>
      <c r="I793" t="n">
        <v>0</v>
      </c>
      <c r="J793" t="n">
        <v>0</v>
      </c>
      <c r="K793" t="n">
        <v>0</v>
      </c>
      <c r="L793" t="n">
        <v>0</v>
      </c>
      <c r="M793" t="n">
        <v>0</v>
      </c>
      <c r="N793" t="n">
        <v>0</v>
      </c>
      <c r="O793" t="n">
        <v>0</v>
      </c>
      <c r="P793" t="n">
        <v>0</v>
      </c>
      <c r="Q793" t="n">
        <v>0</v>
      </c>
      <c r="R793" s="2" t="inlineStr"/>
    </row>
    <row r="794" ht="15" customHeight="1">
      <c r="A794" t="inlineStr">
        <is>
          <t>A 29553-2025</t>
        </is>
      </c>
      <c r="B794" s="1" t="n">
        <v>45825.35315972222</v>
      </c>
      <c r="C794" s="1" t="n">
        <v>46038</v>
      </c>
      <c r="D794" t="inlineStr">
        <is>
          <t>DALARNAS LÄN</t>
        </is>
      </c>
      <c r="E794" t="inlineStr">
        <is>
          <t>LEKSAND</t>
        </is>
      </c>
      <c r="G794" t="n">
        <v>1.8</v>
      </c>
      <c r="H794" t="n">
        <v>0</v>
      </c>
      <c r="I794" t="n">
        <v>0</v>
      </c>
      <c r="J794" t="n">
        <v>0</v>
      </c>
      <c r="K794" t="n">
        <v>0</v>
      </c>
      <c r="L794" t="n">
        <v>0</v>
      </c>
      <c r="M794" t="n">
        <v>0</v>
      </c>
      <c r="N794" t="n">
        <v>0</v>
      </c>
      <c r="O794" t="n">
        <v>0</v>
      </c>
      <c r="P794" t="n">
        <v>0</v>
      </c>
      <c r="Q794" t="n">
        <v>0</v>
      </c>
      <c r="R794" s="2" t="inlineStr"/>
    </row>
    <row r="795" ht="15" customHeight="1">
      <c r="A795" t="inlineStr">
        <is>
          <t>A 29005-2025</t>
        </is>
      </c>
      <c r="B795" s="1" t="n">
        <v>45821.39326388889</v>
      </c>
      <c r="C795" s="1" t="n">
        <v>46038</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29729-2025</t>
        </is>
      </c>
      <c r="B796" s="1" t="n">
        <v>45825.58077546296</v>
      </c>
      <c r="C796" s="1" t="n">
        <v>46038</v>
      </c>
      <c r="D796" t="inlineStr">
        <is>
          <t>DALARNAS LÄN</t>
        </is>
      </c>
      <c r="E796" t="inlineStr">
        <is>
          <t>LEKSAND</t>
        </is>
      </c>
      <c r="F796" t="inlineStr">
        <is>
          <t>Bergvik skog väst AB</t>
        </is>
      </c>
      <c r="G796" t="n">
        <v>4.3</v>
      </c>
      <c r="H796" t="n">
        <v>0</v>
      </c>
      <c r="I796" t="n">
        <v>0</v>
      </c>
      <c r="J796" t="n">
        <v>0</v>
      </c>
      <c r="K796" t="n">
        <v>0</v>
      </c>
      <c r="L796" t="n">
        <v>0</v>
      </c>
      <c r="M796" t="n">
        <v>0</v>
      </c>
      <c r="N796" t="n">
        <v>0</v>
      </c>
      <c r="O796" t="n">
        <v>0</v>
      </c>
      <c r="P796" t="n">
        <v>0</v>
      </c>
      <c r="Q796" t="n">
        <v>0</v>
      </c>
      <c r="R796" s="2" t="inlineStr"/>
    </row>
    <row r="797" ht="15" customHeight="1">
      <c r="A797" t="inlineStr">
        <is>
          <t>A 30254-2025</t>
        </is>
      </c>
      <c r="B797" s="1" t="n">
        <v>45827.42336805556</v>
      </c>
      <c r="C797" s="1" t="n">
        <v>46038</v>
      </c>
      <c r="D797" t="inlineStr">
        <is>
          <t>DALARNAS LÄN</t>
        </is>
      </c>
      <c r="E797" t="inlineStr">
        <is>
          <t>LEKSAND</t>
        </is>
      </c>
      <c r="G797" t="n">
        <v>3.5</v>
      </c>
      <c r="H797" t="n">
        <v>0</v>
      </c>
      <c r="I797" t="n">
        <v>0</v>
      </c>
      <c r="J797" t="n">
        <v>0</v>
      </c>
      <c r="K797" t="n">
        <v>0</v>
      </c>
      <c r="L797" t="n">
        <v>0</v>
      </c>
      <c r="M797" t="n">
        <v>0</v>
      </c>
      <c r="N797" t="n">
        <v>0</v>
      </c>
      <c r="O797" t="n">
        <v>0</v>
      </c>
      <c r="P797" t="n">
        <v>0</v>
      </c>
      <c r="Q797" t="n">
        <v>0</v>
      </c>
      <c r="R797" s="2" t="inlineStr"/>
    </row>
    <row r="798" ht="15" customHeight="1">
      <c r="A798" t="inlineStr">
        <is>
          <t>A 30920-2025</t>
        </is>
      </c>
      <c r="B798" s="1" t="n">
        <v>45832.38484953704</v>
      </c>
      <c r="C798" s="1" t="n">
        <v>46038</v>
      </c>
      <c r="D798" t="inlineStr">
        <is>
          <t>DALARNAS LÄN</t>
        </is>
      </c>
      <c r="E798" t="inlineStr">
        <is>
          <t>LEKSAND</t>
        </is>
      </c>
      <c r="G798" t="n">
        <v>1.9</v>
      </c>
      <c r="H798" t="n">
        <v>0</v>
      </c>
      <c r="I798" t="n">
        <v>0</v>
      </c>
      <c r="J798" t="n">
        <v>0</v>
      </c>
      <c r="K798" t="n">
        <v>0</v>
      </c>
      <c r="L798" t="n">
        <v>0</v>
      </c>
      <c r="M798" t="n">
        <v>0</v>
      </c>
      <c r="N798" t="n">
        <v>0</v>
      </c>
      <c r="O798" t="n">
        <v>0</v>
      </c>
      <c r="P798" t="n">
        <v>0</v>
      </c>
      <c r="Q798" t="n">
        <v>0</v>
      </c>
      <c r="R798" s="2" t="inlineStr"/>
    </row>
    <row r="799" ht="15" customHeight="1">
      <c r="A799" t="inlineStr">
        <is>
          <t>A 30969-2025</t>
        </is>
      </c>
      <c r="B799" s="1" t="n">
        <v>45832.45914351852</v>
      </c>
      <c r="C799" s="1" t="n">
        <v>46038</v>
      </c>
      <c r="D799" t="inlineStr">
        <is>
          <t>DALARNAS LÄN</t>
        </is>
      </c>
      <c r="E799" t="inlineStr">
        <is>
          <t>LEKSAND</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30917-2025</t>
        </is>
      </c>
      <c r="B800" s="1" t="n">
        <v>45832.37989583334</v>
      </c>
      <c r="C800" s="1" t="n">
        <v>46038</v>
      </c>
      <c r="D800" t="inlineStr">
        <is>
          <t>DALARNAS LÄN</t>
        </is>
      </c>
      <c r="E800" t="inlineStr">
        <is>
          <t>LEKSAND</t>
        </is>
      </c>
      <c r="G800" t="n">
        <v>1.2</v>
      </c>
      <c r="H800" t="n">
        <v>0</v>
      </c>
      <c r="I800" t="n">
        <v>0</v>
      </c>
      <c r="J800" t="n">
        <v>0</v>
      </c>
      <c r="K800" t="n">
        <v>0</v>
      </c>
      <c r="L800" t="n">
        <v>0</v>
      </c>
      <c r="M800" t="n">
        <v>0</v>
      </c>
      <c r="N800" t="n">
        <v>0</v>
      </c>
      <c r="O800" t="n">
        <v>0</v>
      </c>
      <c r="P800" t="n">
        <v>0</v>
      </c>
      <c r="Q800" t="n">
        <v>0</v>
      </c>
      <c r="R800" s="2" t="inlineStr"/>
    </row>
    <row r="801" ht="15" customHeight="1">
      <c r="A801" t="inlineStr">
        <is>
          <t>A 31619-2025</t>
        </is>
      </c>
      <c r="B801" s="1" t="n">
        <v>45833</v>
      </c>
      <c r="C801" s="1" t="n">
        <v>46038</v>
      </c>
      <c r="D801" t="inlineStr">
        <is>
          <t>DALARNAS LÄN</t>
        </is>
      </c>
      <c r="E801" t="inlineStr">
        <is>
          <t>LEKSAND</t>
        </is>
      </c>
      <c r="G801" t="n">
        <v>2.5</v>
      </c>
      <c r="H801" t="n">
        <v>0</v>
      </c>
      <c r="I801" t="n">
        <v>0</v>
      </c>
      <c r="J801" t="n">
        <v>0</v>
      </c>
      <c r="K801" t="n">
        <v>0</v>
      </c>
      <c r="L801" t="n">
        <v>0</v>
      </c>
      <c r="M801" t="n">
        <v>0</v>
      </c>
      <c r="N801" t="n">
        <v>0</v>
      </c>
      <c r="O801" t="n">
        <v>0</v>
      </c>
      <c r="P801" t="n">
        <v>0</v>
      </c>
      <c r="Q801" t="n">
        <v>0</v>
      </c>
      <c r="R801" s="2" t="inlineStr"/>
    </row>
    <row r="802" ht="15" customHeight="1">
      <c r="A802" t="inlineStr">
        <is>
          <t>A 30916-2025</t>
        </is>
      </c>
      <c r="B802" s="1" t="n">
        <v>45832.37885416667</v>
      </c>
      <c r="C802" s="1" t="n">
        <v>46038</v>
      </c>
      <c r="D802" t="inlineStr">
        <is>
          <t>DALARNAS LÄN</t>
        </is>
      </c>
      <c r="E802" t="inlineStr">
        <is>
          <t>LEKSAND</t>
        </is>
      </c>
      <c r="G802" t="n">
        <v>0.7</v>
      </c>
      <c r="H802" t="n">
        <v>0</v>
      </c>
      <c r="I802" t="n">
        <v>0</v>
      </c>
      <c r="J802" t="n">
        <v>0</v>
      </c>
      <c r="K802" t="n">
        <v>0</v>
      </c>
      <c r="L802" t="n">
        <v>0</v>
      </c>
      <c r="M802" t="n">
        <v>0</v>
      </c>
      <c r="N802" t="n">
        <v>0</v>
      </c>
      <c r="O802" t="n">
        <v>0</v>
      </c>
      <c r="P802" t="n">
        <v>0</v>
      </c>
      <c r="Q802" t="n">
        <v>0</v>
      </c>
      <c r="R802" s="2" t="inlineStr"/>
    </row>
    <row r="803" ht="15" customHeight="1">
      <c r="A803" t="inlineStr">
        <is>
          <t>A 31446-2025</t>
        </is>
      </c>
      <c r="B803" s="1" t="n">
        <v>45833</v>
      </c>
      <c r="C803" s="1" t="n">
        <v>46038</v>
      </c>
      <c r="D803" t="inlineStr">
        <is>
          <t>DALARNAS LÄN</t>
        </is>
      </c>
      <c r="E803" t="inlineStr">
        <is>
          <t>LEKSAND</t>
        </is>
      </c>
      <c r="G803" t="n">
        <v>1</v>
      </c>
      <c r="H803" t="n">
        <v>0</v>
      </c>
      <c r="I803" t="n">
        <v>0</v>
      </c>
      <c r="J803" t="n">
        <v>0</v>
      </c>
      <c r="K803" t="n">
        <v>0</v>
      </c>
      <c r="L803" t="n">
        <v>0</v>
      </c>
      <c r="M803" t="n">
        <v>0</v>
      </c>
      <c r="N803" t="n">
        <v>0</v>
      </c>
      <c r="O803" t="n">
        <v>0</v>
      </c>
      <c r="P803" t="n">
        <v>0</v>
      </c>
      <c r="Q803" t="n">
        <v>0</v>
      </c>
      <c r="R803" s="2" t="inlineStr"/>
    </row>
    <row r="804" ht="15" customHeight="1">
      <c r="A804" t="inlineStr">
        <is>
          <t>A 30911-2025</t>
        </is>
      </c>
      <c r="B804" s="1" t="n">
        <v>45832.37547453704</v>
      </c>
      <c r="C804" s="1" t="n">
        <v>46038</v>
      </c>
      <c r="D804" t="inlineStr">
        <is>
          <t>DALARNAS LÄN</t>
        </is>
      </c>
      <c r="E804" t="inlineStr">
        <is>
          <t>LEKSAND</t>
        </is>
      </c>
      <c r="G804" t="n">
        <v>0.5</v>
      </c>
      <c r="H804" t="n">
        <v>0</v>
      </c>
      <c r="I804" t="n">
        <v>0</v>
      </c>
      <c r="J804" t="n">
        <v>0</v>
      </c>
      <c r="K804" t="n">
        <v>0</v>
      </c>
      <c r="L804" t="n">
        <v>0</v>
      </c>
      <c r="M804" t="n">
        <v>0</v>
      </c>
      <c r="N804" t="n">
        <v>0</v>
      </c>
      <c r="O804" t="n">
        <v>0</v>
      </c>
      <c r="P804" t="n">
        <v>0</v>
      </c>
      <c r="Q804" t="n">
        <v>0</v>
      </c>
      <c r="R804" s="2" t="inlineStr"/>
    </row>
    <row r="805" ht="15" customHeight="1">
      <c r="A805" t="inlineStr">
        <is>
          <t>A 31179-2025</t>
        </is>
      </c>
      <c r="B805" s="1" t="n">
        <v>45832.67648148148</v>
      </c>
      <c r="C805" s="1" t="n">
        <v>46038</v>
      </c>
      <c r="D805" t="inlineStr">
        <is>
          <t>DALARNAS LÄN</t>
        </is>
      </c>
      <c r="E805" t="inlineStr">
        <is>
          <t>LEKSAND</t>
        </is>
      </c>
      <c r="G805" t="n">
        <v>4.7</v>
      </c>
      <c r="H805" t="n">
        <v>0</v>
      </c>
      <c r="I805" t="n">
        <v>0</v>
      </c>
      <c r="J805" t="n">
        <v>0</v>
      </c>
      <c r="K805" t="n">
        <v>0</v>
      </c>
      <c r="L805" t="n">
        <v>0</v>
      </c>
      <c r="M805" t="n">
        <v>0</v>
      </c>
      <c r="N805" t="n">
        <v>0</v>
      </c>
      <c r="O805" t="n">
        <v>0</v>
      </c>
      <c r="P805" t="n">
        <v>0</v>
      </c>
      <c r="Q805" t="n">
        <v>0</v>
      </c>
      <c r="R805" s="2" t="inlineStr"/>
    </row>
    <row r="806" ht="15" customHeight="1">
      <c r="A806" t="inlineStr">
        <is>
          <t>A 31189-2025</t>
        </is>
      </c>
      <c r="B806" s="1" t="n">
        <v>45832.6799537037</v>
      </c>
      <c r="C806" s="1" t="n">
        <v>46038</v>
      </c>
      <c r="D806" t="inlineStr">
        <is>
          <t>DALARNAS LÄN</t>
        </is>
      </c>
      <c r="E806" t="inlineStr">
        <is>
          <t>LEKSAND</t>
        </is>
      </c>
      <c r="G806" t="n">
        <v>5</v>
      </c>
      <c r="H806" t="n">
        <v>0</v>
      </c>
      <c r="I806" t="n">
        <v>0</v>
      </c>
      <c r="J806" t="n">
        <v>0</v>
      </c>
      <c r="K806" t="n">
        <v>0</v>
      </c>
      <c r="L806" t="n">
        <v>0</v>
      </c>
      <c r="M806" t="n">
        <v>0</v>
      </c>
      <c r="N806" t="n">
        <v>0</v>
      </c>
      <c r="O806" t="n">
        <v>0</v>
      </c>
      <c r="P806" t="n">
        <v>0</v>
      </c>
      <c r="Q806" t="n">
        <v>0</v>
      </c>
      <c r="R806" s="2" t="inlineStr"/>
    </row>
    <row r="807" ht="15" customHeight="1">
      <c r="A807" t="inlineStr">
        <is>
          <t>A 30973-2025</t>
        </is>
      </c>
      <c r="B807" s="1" t="n">
        <v>45832.46300925926</v>
      </c>
      <c r="C807" s="1" t="n">
        <v>46038</v>
      </c>
      <c r="D807" t="inlineStr">
        <is>
          <t>DALARNAS LÄN</t>
        </is>
      </c>
      <c r="E807" t="inlineStr">
        <is>
          <t>LEKSAND</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31493-2025</t>
        </is>
      </c>
      <c r="B808" s="1" t="n">
        <v>45833</v>
      </c>
      <c r="C808" s="1" t="n">
        <v>46038</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31945-2025</t>
        </is>
      </c>
      <c r="B809" s="1" t="n">
        <v>45835</v>
      </c>
      <c r="C809" s="1" t="n">
        <v>46038</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32104-2025</t>
        </is>
      </c>
      <c r="B810" s="1" t="n">
        <v>45835</v>
      </c>
      <c r="C810" s="1" t="n">
        <v>46038</v>
      </c>
      <c r="D810" t="inlineStr">
        <is>
          <t>DALARNAS LÄN</t>
        </is>
      </c>
      <c r="E810" t="inlineStr">
        <is>
          <t>LEKSAND</t>
        </is>
      </c>
      <c r="G810" t="n">
        <v>3.1</v>
      </c>
      <c r="H810" t="n">
        <v>0</v>
      </c>
      <c r="I810" t="n">
        <v>0</v>
      </c>
      <c r="J810" t="n">
        <v>0</v>
      </c>
      <c r="K810" t="n">
        <v>0</v>
      </c>
      <c r="L810" t="n">
        <v>0</v>
      </c>
      <c r="M810" t="n">
        <v>0</v>
      </c>
      <c r="N810" t="n">
        <v>0</v>
      </c>
      <c r="O810" t="n">
        <v>0</v>
      </c>
      <c r="P810" t="n">
        <v>0</v>
      </c>
      <c r="Q810" t="n">
        <v>0</v>
      </c>
      <c r="R810" s="2" t="inlineStr"/>
    </row>
    <row r="811" ht="15" customHeight="1">
      <c r="A811" t="inlineStr">
        <is>
          <t>A 31787-2025</t>
        </is>
      </c>
      <c r="B811" s="1" t="n">
        <v>45834</v>
      </c>
      <c r="C811" s="1" t="n">
        <v>46038</v>
      </c>
      <c r="D811" t="inlineStr">
        <is>
          <t>DALARNAS LÄN</t>
        </is>
      </c>
      <c r="E811" t="inlineStr">
        <is>
          <t>LEKSAND</t>
        </is>
      </c>
      <c r="F811" t="inlineStr">
        <is>
          <t>Bergvik skog väst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32301-2025</t>
        </is>
      </c>
      <c r="B812" s="1" t="n">
        <v>45835</v>
      </c>
      <c r="C812" s="1" t="n">
        <v>46038</v>
      </c>
      <c r="D812" t="inlineStr">
        <is>
          <t>DALARNAS LÄN</t>
        </is>
      </c>
      <c r="E812" t="inlineStr">
        <is>
          <t>LEKSAND</t>
        </is>
      </c>
      <c r="G812" t="n">
        <v>2.2</v>
      </c>
      <c r="H812" t="n">
        <v>0</v>
      </c>
      <c r="I812" t="n">
        <v>0</v>
      </c>
      <c r="J812" t="n">
        <v>0</v>
      </c>
      <c r="K812" t="n">
        <v>0</v>
      </c>
      <c r="L812" t="n">
        <v>0</v>
      </c>
      <c r="M812" t="n">
        <v>0</v>
      </c>
      <c r="N812" t="n">
        <v>0</v>
      </c>
      <c r="O812" t="n">
        <v>0</v>
      </c>
      <c r="P812" t="n">
        <v>0</v>
      </c>
      <c r="Q812" t="n">
        <v>0</v>
      </c>
      <c r="R812" s="2" t="inlineStr"/>
    </row>
    <row r="813" ht="15" customHeight="1">
      <c r="A813" t="inlineStr">
        <is>
          <t>A 32653-2025</t>
        </is>
      </c>
      <c r="B813" s="1" t="n">
        <v>45838</v>
      </c>
      <c r="C813" s="1" t="n">
        <v>46038</v>
      </c>
      <c r="D813" t="inlineStr">
        <is>
          <t>DALARNAS LÄN</t>
        </is>
      </c>
      <c r="E813" t="inlineStr">
        <is>
          <t>LEKSAND</t>
        </is>
      </c>
      <c r="G813" t="n">
        <v>5.6</v>
      </c>
      <c r="H813" t="n">
        <v>0</v>
      </c>
      <c r="I813" t="n">
        <v>0</v>
      </c>
      <c r="J813" t="n">
        <v>0</v>
      </c>
      <c r="K813" t="n">
        <v>0</v>
      </c>
      <c r="L813" t="n">
        <v>0</v>
      </c>
      <c r="M813" t="n">
        <v>0</v>
      </c>
      <c r="N813" t="n">
        <v>0</v>
      </c>
      <c r="O813" t="n">
        <v>0</v>
      </c>
      <c r="P813" t="n">
        <v>0</v>
      </c>
      <c r="Q813" t="n">
        <v>0</v>
      </c>
      <c r="R813" s="2" t="inlineStr"/>
    </row>
    <row r="814" ht="15" customHeight="1">
      <c r="A814" t="inlineStr">
        <is>
          <t>A 32855-2025</t>
        </is>
      </c>
      <c r="B814" s="1" t="n">
        <v>45839.57643518518</v>
      </c>
      <c r="C814" s="1" t="n">
        <v>46038</v>
      </c>
      <c r="D814" t="inlineStr">
        <is>
          <t>DALARNAS LÄN</t>
        </is>
      </c>
      <c r="E814" t="inlineStr">
        <is>
          <t>LEKSAND</t>
        </is>
      </c>
      <c r="G814" t="n">
        <v>0.7</v>
      </c>
      <c r="H814" t="n">
        <v>0</v>
      </c>
      <c r="I814" t="n">
        <v>0</v>
      </c>
      <c r="J814" t="n">
        <v>0</v>
      </c>
      <c r="K814" t="n">
        <v>0</v>
      </c>
      <c r="L814" t="n">
        <v>0</v>
      </c>
      <c r="M814" t="n">
        <v>0</v>
      </c>
      <c r="N814" t="n">
        <v>0</v>
      </c>
      <c r="O814" t="n">
        <v>0</v>
      </c>
      <c r="P814" t="n">
        <v>0</v>
      </c>
      <c r="Q814" t="n">
        <v>0</v>
      </c>
      <c r="R814" s="2" t="inlineStr"/>
    </row>
    <row r="815" ht="15" customHeight="1">
      <c r="A815" t="inlineStr">
        <is>
          <t>A 32661-2025</t>
        </is>
      </c>
      <c r="B815" s="1" t="n">
        <v>45838.67953703704</v>
      </c>
      <c r="C815" s="1" t="n">
        <v>46038</v>
      </c>
      <c r="D815" t="inlineStr">
        <is>
          <t>DALARNAS LÄN</t>
        </is>
      </c>
      <c r="E815" t="inlineStr">
        <is>
          <t>LEKSAND</t>
        </is>
      </c>
      <c r="G815" t="n">
        <v>0.8</v>
      </c>
      <c r="H815" t="n">
        <v>0</v>
      </c>
      <c r="I815" t="n">
        <v>0</v>
      </c>
      <c r="J815" t="n">
        <v>0</v>
      </c>
      <c r="K815" t="n">
        <v>0</v>
      </c>
      <c r="L815" t="n">
        <v>0</v>
      </c>
      <c r="M815" t="n">
        <v>0</v>
      </c>
      <c r="N815" t="n">
        <v>0</v>
      </c>
      <c r="O815" t="n">
        <v>0</v>
      </c>
      <c r="P815" t="n">
        <v>0</v>
      </c>
      <c r="Q815" t="n">
        <v>0</v>
      </c>
      <c r="R815" s="2" t="inlineStr"/>
    </row>
    <row r="816" ht="15" customHeight="1">
      <c r="A816" t="inlineStr">
        <is>
          <t>A 32593-2025</t>
        </is>
      </c>
      <c r="B816" s="1" t="n">
        <v>45838</v>
      </c>
      <c r="C816" s="1" t="n">
        <v>46038</v>
      </c>
      <c r="D816" t="inlineStr">
        <is>
          <t>DALARNAS LÄN</t>
        </is>
      </c>
      <c r="E816" t="inlineStr">
        <is>
          <t>LEKSAND</t>
        </is>
      </c>
      <c r="F816" t="inlineStr">
        <is>
          <t>Bergvik skog väst AB</t>
        </is>
      </c>
      <c r="G816" t="n">
        <v>1</v>
      </c>
      <c r="H816" t="n">
        <v>0</v>
      </c>
      <c r="I816" t="n">
        <v>0</v>
      </c>
      <c r="J816" t="n">
        <v>0</v>
      </c>
      <c r="K816" t="n">
        <v>0</v>
      </c>
      <c r="L816" t="n">
        <v>0</v>
      </c>
      <c r="M816" t="n">
        <v>0</v>
      </c>
      <c r="N816" t="n">
        <v>0</v>
      </c>
      <c r="O816" t="n">
        <v>0</v>
      </c>
      <c r="P816" t="n">
        <v>0</v>
      </c>
      <c r="Q816" t="n">
        <v>0</v>
      </c>
      <c r="R816" s="2" t="inlineStr"/>
    </row>
    <row r="817" ht="15" customHeight="1">
      <c r="A817" t="inlineStr">
        <is>
          <t>A 33160-2025</t>
        </is>
      </c>
      <c r="B817" s="1" t="n">
        <v>45840</v>
      </c>
      <c r="C817" s="1" t="n">
        <v>46038</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33804-2025</t>
        </is>
      </c>
      <c r="B818" s="1" t="n">
        <v>45842</v>
      </c>
      <c r="C818" s="1" t="n">
        <v>46038</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34537-2025</t>
        </is>
      </c>
      <c r="B819" s="1" t="n">
        <v>45847</v>
      </c>
      <c r="C819" s="1" t="n">
        <v>46038</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34965-2025</t>
        </is>
      </c>
      <c r="B820" s="1" t="n">
        <v>45849</v>
      </c>
      <c r="C820" s="1" t="n">
        <v>46038</v>
      </c>
      <c r="D820" t="inlineStr">
        <is>
          <t>DALARNAS LÄN</t>
        </is>
      </c>
      <c r="E820" t="inlineStr">
        <is>
          <t>LEKSAND</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41896-2024</t>
        </is>
      </c>
      <c r="B821" s="1" t="n">
        <v>45561.51310185185</v>
      </c>
      <c r="C821" s="1" t="n">
        <v>46038</v>
      </c>
      <c r="D821" t="inlineStr">
        <is>
          <t>DALARNAS LÄN</t>
        </is>
      </c>
      <c r="E821" t="inlineStr">
        <is>
          <t>LEKSAND</t>
        </is>
      </c>
      <c r="F821" t="inlineStr">
        <is>
          <t>Bergvik skog väst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34789-2025</t>
        </is>
      </c>
      <c r="B822" s="1" t="n">
        <v>45848</v>
      </c>
      <c r="C822" s="1" t="n">
        <v>46038</v>
      </c>
      <c r="D822" t="inlineStr">
        <is>
          <t>DALARNAS LÄN</t>
        </is>
      </c>
      <c r="E822" t="inlineStr">
        <is>
          <t>LEKSAND</t>
        </is>
      </c>
      <c r="F822" t="inlineStr">
        <is>
          <t>Bergvik skog väst AB</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34966-2025</t>
        </is>
      </c>
      <c r="B823" s="1" t="n">
        <v>45849</v>
      </c>
      <c r="C823" s="1" t="n">
        <v>46038</v>
      </c>
      <c r="D823" t="inlineStr">
        <is>
          <t>DALARNAS LÄN</t>
        </is>
      </c>
      <c r="E823" t="inlineStr">
        <is>
          <t>LEKSAND</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35094-2025</t>
        </is>
      </c>
      <c r="B824" s="1" t="n">
        <v>45852</v>
      </c>
      <c r="C824" s="1" t="n">
        <v>46038</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13705-2021</t>
        </is>
      </c>
      <c r="B825" s="1" t="n">
        <v>44274</v>
      </c>
      <c r="C825" s="1" t="n">
        <v>46038</v>
      </c>
      <c r="D825" t="inlineStr">
        <is>
          <t>DALARNAS LÄN</t>
        </is>
      </c>
      <c r="E825" t="inlineStr">
        <is>
          <t>LEKSAND</t>
        </is>
      </c>
      <c r="G825" t="n">
        <v>3.8</v>
      </c>
      <c r="H825" t="n">
        <v>0</v>
      </c>
      <c r="I825" t="n">
        <v>0</v>
      </c>
      <c r="J825" t="n">
        <v>0</v>
      </c>
      <c r="K825" t="n">
        <v>0</v>
      </c>
      <c r="L825" t="n">
        <v>0</v>
      </c>
      <c r="M825" t="n">
        <v>0</v>
      </c>
      <c r="N825" t="n">
        <v>0</v>
      </c>
      <c r="O825" t="n">
        <v>0</v>
      </c>
      <c r="P825" t="n">
        <v>0</v>
      </c>
      <c r="Q825" t="n">
        <v>0</v>
      </c>
      <c r="R825" s="2" t="inlineStr"/>
    </row>
    <row r="826" ht="15" customHeight="1">
      <c r="A826" t="inlineStr">
        <is>
          <t>A 35866-2025</t>
        </is>
      </c>
      <c r="B826" s="1" t="n">
        <v>45861</v>
      </c>
      <c r="C826" s="1" t="n">
        <v>46038</v>
      </c>
      <c r="D826" t="inlineStr">
        <is>
          <t>DALARNAS LÄN</t>
        </is>
      </c>
      <c r="E826" t="inlineStr">
        <is>
          <t>LEKSAND</t>
        </is>
      </c>
      <c r="F826" t="inlineStr">
        <is>
          <t>Bergvik skog väst AB</t>
        </is>
      </c>
      <c r="G826" t="n">
        <v>2.1</v>
      </c>
      <c r="H826" t="n">
        <v>0</v>
      </c>
      <c r="I826" t="n">
        <v>0</v>
      </c>
      <c r="J826" t="n">
        <v>0</v>
      </c>
      <c r="K826" t="n">
        <v>0</v>
      </c>
      <c r="L826" t="n">
        <v>0</v>
      </c>
      <c r="M826" t="n">
        <v>0</v>
      </c>
      <c r="N826" t="n">
        <v>0</v>
      </c>
      <c r="O826" t="n">
        <v>0</v>
      </c>
      <c r="P826" t="n">
        <v>0</v>
      </c>
      <c r="Q826" t="n">
        <v>0</v>
      </c>
      <c r="R826" s="2" t="inlineStr"/>
    </row>
    <row r="827" ht="15" customHeight="1">
      <c r="A827" t="inlineStr">
        <is>
          <t>A 35746-2025</t>
        </is>
      </c>
      <c r="B827" s="1" t="n">
        <v>45860</v>
      </c>
      <c r="C827" s="1" t="n">
        <v>46038</v>
      </c>
      <c r="D827" t="inlineStr">
        <is>
          <t>DALARNAS LÄN</t>
        </is>
      </c>
      <c r="E827" t="inlineStr">
        <is>
          <t>LEKSAND</t>
        </is>
      </c>
      <c r="G827" t="n">
        <v>1.9</v>
      </c>
      <c r="H827" t="n">
        <v>0</v>
      </c>
      <c r="I827" t="n">
        <v>0</v>
      </c>
      <c r="J827" t="n">
        <v>0</v>
      </c>
      <c r="K827" t="n">
        <v>0</v>
      </c>
      <c r="L827" t="n">
        <v>0</v>
      </c>
      <c r="M827" t="n">
        <v>0</v>
      </c>
      <c r="N827" t="n">
        <v>0</v>
      </c>
      <c r="O827" t="n">
        <v>0</v>
      </c>
      <c r="P827" t="n">
        <v>0</v>
      </c>
      <c r="Q827" t="n">
        <v>0</v>
      </c>
      <c r="R827" s="2" t="inlineStr"/>
    </row>
    <row r="828" ht="15" customHeight="1">
      <c r="A828" t="inlineStr">
        <is>
          <t>A 36020-2025</t>
        </is>
      </c>
      <c r="B828" s="1" t="n">
        <v>45863</v>
      </c>
      <c r="C828" s="1" t="n">
        <v>46038</v>
      </c>
      <c r="D828" t="inlineStr">
        <is>
          <t>DALARNAS LÄN</t>
        </is>
      </c>
      <c r="E828" t="inlineStr">
        <is>
          <t>LEKSAND</t>
        </is>
      </c>
      <c r="F828" t="inlineStr">
        <is>
          <t>Bergvik skog väst AB</t>
        </is>
      </c>
      <c r="G828" t="n">
        <v>2.8</v>
      </c>
      <c r="H828" t="n">
        <v>0</v>
      </c>
      <c r="I828" t="n">
        <v>0</v>
      </c>
      <c r="J828" t="n">
        <v>0</v>
      </c>
      <c r="K828" t="n">
        <v>0</v>
      </c>
      <c r="L828" t="n">
        <v>0</v>
      </c>
      <c r="M828" t="n">
        <v>0</v>
      </c>
      <c r="N828" t="n">
        <v>0</v>
      </c>
      <c r="O828" t="n">
        <v>0</v>
      </c>
      <c r="P828" t="n">
        <v>0</v>
      </c>
      <c r="Q828" t="n">
        <v>0</v>
      </c>
      <c r="R828" s="2" t="inlineStr"/>
    </row>
    <row r="829" ht="15" customHeight="1">
      <c r="A829" t="inlineStr">
        <is>
          <t>A 36017-2025</t>
        </is>
      </c>
      <c r="B829" s="1" t="n">
        <v>45863</v>
      </c>
      <c r="C829" s="1" t="n">
        <v>46038</v>
      </c>
      <c r="D829" t="inlineStr">
        <is>
          <t>DALARNAS LÄN</t>
        </is>
      </c>
      <c r="E829" t="inlineStr">
        <is>
          <t>LEKSAND</t>
        </is>
      </c>
      <c r="F829" t="inlineStr">
        <is>
          <t>Bergvik skog väst AB</t>
        </is>
      </c>
      <c r="G829" t="n">
        <v>17.9</v>
      </c>
      <c r="H829" t="n">
        <v>0</v>
      </c>
      <c r="I829" t="n">
        <v>0</v>
      </c>
      <c r="J829" t="n">
        <v>0</v>
      </c>
      <c r="K829" t="n">
        <v>0</v>
      </c>
      <c r="L829" t="n">
        <v>0</v>
      </c>
      <c r="M829" t="n">
        <v>0</v>
      </c>
      <c r="N829" t="n">
        <v>0</v>
      </c>
      <c r="O829" t="n">
        <v>0</v>
      </c>
      <c r="P829" t="n">
        <v>0</v>
      </c>
      <c r="Q829" t="n">
        <v>0</v>
      </c>
      <c r="R829" s="2" t="inlineStr"/>
    </row>
    <row r="830" ht="15" customHeight="1">
      <c r="A830" t="inlineStr">
        <is>
          <t>A 35998-2025</t>
        </is>
      </c>
      <c r="B830" s="1" t="n">
        <v>45863.51550925926</v>
      </c>
      <c r="C830" s="1" t="n">
        <v>46038</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36021-2025</t>
        </is>
      </c>
      <c r="B831" s="1" t="n">
        <v>45863.72346064815</v>
      </c>
      <c r="C831" s="1" t="n">
        <v>46038</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36190-2025</t>
        </is>
      </c>
      <c r="B832" s="1" t="n">
        <v>45867</v>
      </c>
      <c r="C832" s="1" t="n">
        <v>46038</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36540-2025</t>
        </is>
      </c>
      <c r="B833" s="1" t="n">
        <v>45869.63885416667</v>
      </c>
      <c r="C833" s="1" t="n">
        <v>46038</v>
      </c>
      <c r="D833" t="inlineStr">
        <is>
          <t>DALARNAS LÄN</t>
        </is>
      </c>
      <c r="E833" t="inlineStr">
        <is>
          <t>LEKSAND</t>
        </is>
      </c>
      <c r="G833" t="n">
        <v>0.6</v>
      </c>
      <c r="H833" t="n">
        <v>0</v>
      </c>
      <c r="I833" t="n">
        <v>0</v>
      </c>
      <c r="J833" t="n">
        <v>0</v>
      </c>
      <c r="K833" t="n">
        <v>0</v>
      </c>
      <c r="L833" t="n">
        <v>0</v>
      </c>
      <c r="M833" t="n">
        <v>0</v>
      </c>
      <c r="N833" t="n">
        <v>0</v>
      </c>
      <c r="O833" t="n">
        <v>0</v>
      </c>
      <c r="P833" t="n">
        <v>0</v>
      </c>
      <c r="Q833" t="n">
        <v>0</v>
      </c>
      <c r="R833" s="2" t="inlineStr"/>
    </row>
    <row r="834" ht="15" customHeight="1">
      <c r="A834" t="inlineStr">
        <is>
          <t>A 51677-2024</t>
        </is>
      </c>
      <c r="B834" s="1" t="n">
        <v>45607.30265046296</v>
      </c>
      <c r="C834" s="1" t="n">
        <v>46038</v>
      </c>
      <c r="D834" t="inlineStr">
        <is>
          <t>DALARNAS LÄN</t>
        </is>
      </c>
      <c r="E834" t="inlineStr">
        <is>
          <t>LEKSAND</t>
        </is>
      </c>
      <c r="G834" t="n">
        <v>3.4</v>
      </c>
      <c r="H834" t="n">
        <v>0</v>
      </c>
      <c r="I834" t="n">
        <v>0</v>
      </c>
      <c r="J834" t="n">
        <v>0</v>
      </c>
      <c r="K834" t="n">
        <v>0</v>
      </c>
      <c r="L834" t="n">
        <v>0</v>
      </c>
      <c r="M834" t="n">
        <v>0</v>
      </c>
      <c r="N834" t="n">
        <v>0</v>
      </c>
      <c r="O834" t="n">
        <v>0</v>
      </c>
      <c r="P834" t="n">
        <v>0</v>
      </c>
      <c r="Q834" t="n">
        <v>0</v>
      </c>
      <c r="R834" s="2" t="inlineStr"/>
    </row>
    <row r="835" ht="15" customHeight="1">
      <c r="A835" t="inlineStr">
        <is>
          <t>A 164-2023</t>
        </is>
      </c>
      <c r="B835" s="1" t="n">
        <v>44918</v>
      </c>
      <c r="C835" s="1" t="n">
        <v>46038</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37508-2025</t>
        </is>
      </c>
      <c r="B836" s="1" t="n">
        <v>45877.66282407408</v>
      </c>
      <c r="C836" s="1" t="n">
        <v>46038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37996-2025</t>
        </is>
      </c>
      <c r="B837" s="1" t="n">
        <v>45881.8299537037</v>
      </c>
      <c r="C837" s="1" t="n">
        <v>46038</v>
      </c>
      <c r="D837" t="inlineStr">
        <is>
          <t>DALARNAS LÄN</t>
        </is>
      </c>
      <c r="E837" t="inlineStr">
        <is>
          <t>LEKSAND</t>
        </is>
      </c>
      <c r="G837" t="n">
        <v>4.2</v>
      </c>
      <c r="H837" t="n">
        <v>0</v>
      </c>
      <c r="I837" t="n">
        <v>0</v>
      </c>
      <c r="J837" t="n">
        <v>0</v>
      </c>
      <c r="K837" t="n">
        <v>0</v>
      </c>
      <c r="L837" t="n">
        <v>0</v>
      </c>
      <c r="M837" t="n">
        <v>0</v>
      </c>
      <c r="N837" t="n">
        <v>0</v>
      </c>
      <c r="O837" t="n">
        <v>0</v>
      </c>
      <c r="P837" t="n">
        <v>0</v>
      </c>
      <c r="Q837" t="n">
        <v>0</v>
      </c>
      <c r="R837" s="2" t="inlineStr"/>
    </row>
    <row r="838" ht="15" customHeight="1">
      <c r="A838" t="inlineStr">
        <is>
          <t>A 19296-2024</t>
        </is>
      </c>
      <c r="B838" s="1" t="n">
        <v>45428.69438657408</v>
      </c>
      <c r="C838" s="1" t="n">
        <v>46038</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c r="A839" t="inlineStr">
        <is>
          <t>A 38090-2025</t>
        </is>
      </c>
      <c r="B839" s="1" t="n">
        <v>45882.48440972222</v>
      </c>
      <c r="C839" s="1" t="n">
        <v>46038</v>
      </c>
      <c r="D839" t="inlineStr">
        <is>
          <t>DALARNAS LÄN</t>
        </is>
      </c>
      <c r="E839" t="inlineStr">
        <is>
          <t>LEKSAND</t>
        </is>
      </c>
      <c r="G839" t="n">
        <v>1.6</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2026-01-16T10:56:22Z</dcterms:created>
  <dcterms:modified xmlns:dcterms="http://purl.org/dc/terms/" xmlns:xsi="http://www.w3.org/2001/XMLSchema-instance" xsi:type="dcterms:W3CDTF">2026-01-16T10:56:22Z</dcterms:modified>
</cp:coreProperties>
</file>