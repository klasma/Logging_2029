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45564</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45564</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45564</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45564</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45564</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45564</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45564</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45564</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45564</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45564</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45564</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45564</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45564</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45564</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45564</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45564</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45564</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45564</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45564</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45564</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45564</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45564</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45564</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45564</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45564</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45564</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45564</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45564</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41873-2022</t>
        </is>
      </c>
      <c r="B31" s="1" t="n">
        <v>44829</v>
      </c>
      <c r="C31" s="1" t="n">
        <v>45564</v>
      </c>
      <c r="D31" t="inlineStr">
        <is>
          <t>DALARNAS LÄN</t>
        </is>
      </c>
      <c r="E31" t="inlineStr">
        <is>
          <t>LEKSAND</t>
        </is>
      </c>
      <c r="G31" t="n">
        <v>2.1</v>
      </c>
      <c r="H31" t="n">
        <v>1</v>
      </c>
      <c r="I31" t="n">
        <v>0</v>
      </c>
      <c r="J31" t="n">
        <v>1</v>
      </c>
      <c r="K31" t="n">
        <v>0</v>
      </c>
      <c r="L31" t="n">
        <v>0</v>
      </c>
      <c r="M31" t="n">
        <v>0</v>
      </c>
      <c r="N31" t="n">
        <v>0</v>
      </c>
      <c r="O31" t="n">
        <v>1</v>
      </c>
      <c r="P31" t="n">
        <v>0</v>
      </c>
      <c r="Q31" t="n">
        <v>1</v>
      </c>
      <c r="R31" s="2" t="inlineStr">
        <is>
          <t>Spillkråka</t>
        </is>
      </c>
      <c r="S31">
        <f>HYPERLINK("https://klasma.github.io/Logging_2029/artfynd/A 41873-2022 artfynd.xlsx", "A 41873-2022")</f>
        <v/>
      </c>
      <c r="T31">
        <f>HYPERLINK("https://klasma.github.io/Logging_2029/kartor/A 41873-2022 karta.png", "A 41873-2022")</f>
        <v/>
      </c>
      <c r="V31">
        <f>HYPERLINK("https://klasma.github.io/Logging_2029/klagomål/A 41873-2022 FSC-klagomål.docx", "A 41873-2022")</f>
        <v/>
      </c>
      <c r="W31">
        <f>HYPERLINK("https://klasma.github.io/Logging_2029/klagomålsmail/A 41873-2022 FSC-klagomål mail.docx", "A 41873-2022")</f>
        <v/>
      </c>
      <c r="X31">
        <f>HYPERLINK("https://klasma.github.io/Logging_2029/tillsyn/A 41873-2022 tillsynsbegäran.docx", "A 41873-2022")</f>
        <v/>
      </c>
      <c r="Y31">
        <f>HYPERLINK("https://klasma.github.io/Logging_2029/tillsynsmail/A 41873-2022 tillsynsbegäran mail.docx", "A 41873-2022")</f>
        <v/>
      </c>
      <c r="Z31">
        <f>HYPERLINK("https://klasma.github.io/Logging_2029/fåglar/A 41873-2022 prioriterade fågelarter.docx", "A 41873-2022")</f>
        <v/>
      </c>
    </row>
    <row r="32" ht="15" customHeight="1">
      <c r="A32" t="inlineStr">
        <is>
          <t>A 50360-2022</t>
        </is>
      </c>
      <c r="B32" s="1" t="n">
        <v>44866</v>
      </c>
      <c r="C32" s="1" t="n">
        <v>45564</v>
      </c>
      <c r="D32" t="inlineStr">
        <is>
          <t>DALARNAS LÄN</t>
        </is>
      </c>
      <c r="E32" t="inlineStr">
        <is>
          <t>LEKSAND</t>
        </is>
      </c>
      <c r="F32" t="inlineStr">
        <is>
          <t>Bergvik skog väst AB</t>
        </is>
      </c>
      <c r="G32" t="n">
        <v>0.7</v>
      </c>
      <c r="H32" t="n">
        <v>1</v>
      </c>
      <c r="I32" t="n">
        <v>0</v>
      </c>
      <c r="J32" t="n">
        <v>0</v>
      </c>
      <c r="K32" t="n">
        <v>1</v>
      </c>
      <c r="L32" t="n">
        <v>0</v>
      </c>
      <c r="M32" t="n">
        <v>0</v>
      </c>
      <c r="N32" t="n">
        <v>0</v>
      </c>
      <c r="O32" t="n">
        <v>1</v>
      </c>
      <c r="P32" t="n">
        <v>1</v>
      </c>
      <c r="Q32" t="n">
        <v>1</v>
      </c>
      <c r="R32" s="2" t="inlineStr">
        <is>
          <t>Knärot</t>
        </is>
      </c>
      <c r="S32">
        <f>HYPERLINK("https://klasma.github.io/Logging_2029/artfynd/A 50360-2022 artfynd.xlsx", "A 50360-2022")</f>
        <v/>
      </c>
      <c r="T32">
        <f>HYPERLINK("https://klasma.github.io/Logging_2029/kartor/A 50360-2022 karta.png", "A 50360-2022")</f>
        <v/>
      </c>
      <c r="U32">
        <f>HYPERLINK("https://klasma.github.io/Logging_2029/knärot/A 50360-2022 karta knärot.png", "A 50360-2022")</f>
        <v/>
      </c>
      <c r="V32">
        <f>HYPERLINK("https://klasma.github.io/Logging_2029/klagomål/A 50360-2022 FSC-klagomål.docx", "A 50360-2022")</f>
        <v/>
      </c>
      <c r="W32">
        <f>HYPERLINK("https://klasma.github.io/Logging_2029/klagomålsmail/A 50360-2022 FSC-klagomål mail.docx", "A 50360-2022")</f>
        <v/>
      </c>
      <c r="X32">
        <f>HYPERLINK("https://klasma.github.io/Logging_2029/tillsyn/A 50360-2022 tillsynsbegäran.docx", "A 50360-2022")</f>
        <v/>
      </c>
      <c r="Y32">
        <f>HYPERLINK("https://klasma.github.io/Logging_2029/tillsynsmail/A 50360-2022 tillsynsbegäran mail.docx", "A 50360-2022")</f>
        <v/>
      </c>
    </row>
    <row r="33" ht="15" customHeight="1">
      <c r="A33" t="inlineStr">
        <is>
          <t>A 6977-2023</t>
        </is>
      </c>
      <c r="B33" s="1" t="n">
        <v>44967</v>
      </c>
      <c r="C33" s="1" t="n">
        <v>45564</v>
      </c>
      <c r="D33" t="inlineStr">
        <is>
          <t>DALARNAS LÄN</t>
        </is>
      </c>
      <c r="E33" t="inlineStr">
        <is>
          <t>LEKSAND</t>
        </is>
      </c>
      <c r="G33" t="n">
        <v>5</v>
      </c>
      <c r="H33" t="n">
        <v>0</v>
      </c>
      <c r="I33" t="n">
        <v>0</v>
      </c>
      <c r="J33" t="n">
        <v>1</v>
      </c>
      <c r="K33" t="n">
        <v>0</v>
      </c>
      <c r="L33" t="n">
        <v>0</v>
      </c>
      <c r="M33" t="n">
        <v>0</v>
      </c>
      <c r="N33" t="n">
        <v>0</v>
      </c>
      <c r="O33" t="n">
        <v>1</v>
      </c>
      <c r="P33" t="n">
        <v>0</v>
      </c>
      <c r="Q33" t="n">
        <v>1</v>
      </c>
      <c r="R33" s="2" t="inlineStr">
        <is>
          <t>Backstarr</t>
        </is>
      </c>
      <c r="S33">
        <f>HYPERLINK("https://klasma.github.io/Logging_2029/artfynd/A 6977-2023 artfynd.xlsx", "A 6977-2023")</f>
        <v/>
      </c>
      <c r="T33">
        <f>HYPERLINK("https://klasma.github.io/Logging_2029/kartor/A 6977-2023 karta.png", "A 6977-2023")</f>
        <v/>
      </c>
      <c r="V33">
        <f>HYPERLINK("https://klasma.github.io/Logging_2029/klagomål/A 6977-2023 FSC-klagomål.docx", "A 6977-2023")</f>
        <v/>
      </c>
      <c r="W33">
        <f>HYPERLINK("https://klasma.github.io/Logging_2029/klagomålsmail/A 6977-2023 FSC-klagomål mail.docx", "A 6977-2023")</f>
        <v/>
      </c>
      <c r="X33">
        <f>HYPERLINK("https://klasma.github.io/Logging_2029/tillsyn/A 6977-2023 tillsynsbegäran.docx", "A 6977-2023")</f>
        <v/>
      </c>
      <c r="Y33">
        <f>HYPERLINK("https://klasma.github.io/Logging_2029/tillsynsmail/A 6977-2023 tillsynsbegäran mail.docx", "A 6977-2023")</f>
        <v/>
      </c>
    </row>
    <row r="34" ht="15" customHeight="1">
      <c r="A34" t="inlineStr">
        <is>
          <t>A 8529-2023</t>
        </is>
      </c>
      <c r="B34" s="1" t="n">
        <v>44977</v>
      </c>
      <c r="C34" s="1" t="n">
        <v>45564</v>
      </c>
      <c r="D34" t="inlineStr">
        <is>
          <t>DALARNAS LÄN</t>
        </is>
      </c>
      <c r="E34" t="inlineStr">
        <is>
          <t>LEKSAND</t>
        </is>
      </c>
      <c r="G34" t="n">
        <v>2.7</v>
      </c>
      <c r="H34" t="n">
        <v>1</v>
      </c>
      <c r="I34" t="n">
        <v>0</v>
      </c>
      <c r="J34" t="n">
        <v>0</v>
      </c>
      <c r="K34" t="n">
        <v>1</v>
      </c>
      <c r="L34" t="n">
        <v>0</v>
      </c>
      <c r="M34" t="n">
        <v>0</v>
      </c>
      <c r="N34" t="n">
        <v>0</v>
      </c>
      <c r="O34" t="n">
        <v>1</v>
      </c>
      <c r="P34" t="n">
        <v>1</v>
      </c>
      <c r="Q34" t="n">
        <v>1</v>
      </c>
      <c r="R34" s="2" t="inlineStr">
        <is>
          <t>Knärot</t>
        </is>
      </c>
      <c r="S34">
        <f>HYPERLINK("https://klasma.github.io/Logging_2029/artfynd/A 8529-2023 artfynd.xlsx", "A 8529-2023")</f>
        <v/>
      </c>
      <c r="T34">
        <f>HYPERLINK("https://klasma.github.io/Logging_2029/kartor/A 8529-2023 karta.png", "A 8529-2023")</f>
        <v/>
      </c>
      <c r="U34">
        <f>HYPERLINK("https://klasma.github.io/Logging_2029/knärot/A 8529-2023 karta knärot.png", "A 8529-2023")</f>
        <v/>
      </c>
      <c r="V34">
        <f>HYPERLINK("https://klasma.github.io/Logging_2029/klagomål/A 8529-2023 FSC-klagomål.docx", "A 8529-2023")</f>
        <v/>
      </c>
      <c r="W34">
        <f>HYPERLINK("https://klasma.github.io/Logging_2029/klagomålsmail/A 8529-2023 FSC-klagomål mail.docx", "A 8529-2023")</f>
        <v/>
      </c>
      <c r="X34">
        <f>HYPERLINK("https://klasma.github.io/Logging_2029/tillsyn/A 8529-2023 tillsynsbegäran.docx", "A 8529-2023")</f>
        <v/>
      </c>
      <c r="Y34">
        <f>HYPERLINK("https://klasma.github.io/Logging_2029/tillsynsmail/A 8529-2023 tillsynsbegäran mail.docx", "A 8529-2023")</f>
        <v/>
      </c>
    </row>
    <row r="35" ht="15" customHeight="1">
      <c r="A35" t="inlineStr">
        <is>
          <t>A 11754-2023</t>
        </is>
      </c>
      <c r="B35" s="1" t="n">
        <v>44993</v>
      </c>
      <c r="C35" s="1" t="n">
        <v>45564</v>
      </c>
      <c r="D35" t="inlineStr">
        <is>
          <t>DALARNAS LÄN</t>
        </is>
      </c>
      <c r="E35" t="inlineStr">
        <is>
          <t>LEKSAND</t>
        </is>
      </c>
      <c r="G35" t="n">
        <v>4.7</v>
      </c>
      <c r="H35" t="n">
        <v>1</v>
      </c>
      <c r="I35" t="n">
        <v>0</v>
      </c>
      <c r="J35" t="n">
        <v>0</v>
      </c>
      <c r="K35" t="n">
        <v>1</v>
      </c>
      <c r="L35" t="n">
        <v>0</v>
      </c>
      <c r="M35" t="n">
        <v>0</v>
      </c>
      <c r="N35" t="n">
        <v>0</v>
      </c>
      <c r="O35" t="n">
        <v>1</v>
      </c>
      <c r="P35" t="n">
        <v>1</v>
      </c>
      <c r="Q35" t="n">
        <v>1</v>
      </c>
      <c r="R35" s="2" t="inlineStr">
        <is>
          <t>Knärot</t>
        </is>
      </c>
      <c r="S35">
        <f>HYPERLINK("https://klasma.github.io/Logging_2029/artfynd/A 11754-2023 artfynd.xlsx", "A 11754-2023")</f>
        <v/>
      </c>
      <c r="T35">
        <f>HYPERLINK("https://klasma.github.io/Logging_2029/kartor/A 11754-2023 karta.png", "A 11754-2023")</f>
        <v/>
      </c>
      <c r="U35">
        <f>HYPERLINK("https://klasma.github.io/Logging_2029/knärot/A 11754-2023 karta knärot.png", "A 11754-2023")</f>
        <v/>
      </c>
      <c r="V35">
        <f>HYPERLINK("https://klasma.github.io/Logging_2029/klagomål/A 11754-2023 FSC-klagomål.docx", "A 11754-2023")</f>
        <v/>
      </c>
      <c r="W35">
        <f>HYPERLINK("https://klasma.github.io/Logging_2029/klagomålsmail/A 11754-2023 FSC-klagomål mail.docx", "A 11754-2023")</f>
        <v/>
      </c>
      <c r="X35">
        <f>HYPERLINK("https://klasma.github.io/Logging_2029/tillsyn/A 11754-2023 tillsynsbegäran.docx", "A 11754-2023")</f>
        <v/>
      </c>
      <c r="Y35">
        <f>HYPERLINK("https://klasma.github.io/Logging_2029/tillsynsmail/A 11754-2023 tillsynsbegäran mail.docx", "A 11754-2023")</f>
        <v/>
      </c>
    </row>
    <row r="36" ht="15" customHeight="1">
      <c r="A36" t="inlineStr">
        <is>
          <t>A 15432-2023</t>
        </is>
      </c>
      <c r="B36" s="1" t="n">
        <v>45020</v>
      </c>
      <c r="C36" s="1" t="n">
        <v>45564</v>
      </c>
      <c r="D36" t="inlineStr">
        <is>
          <t>DALARNAS LÄN</t>
        </is>
      </c>
      <c r="E36" t="inlineStr">
        <is>
          <t>LEKSAND</t>
        </is>
      </c>
      <c r="G36" t="n">
        <v>2.5</v>
      </c>
      <c r="H36" t="n">
        <v>0</v>
      </c>
      <c r="I36" t="n">
        <v>1</v>
      </c>
      <c r="J36" t="n">
        <v>0</v>
      </c>
      <c r="K36" t="n">
        <v>0</v>
      </c>
      <c r="L36" t="n">
        <v>0</v>
      </c>
      <c r="M36" t="n">
        <v>0</v>
      </c>
      <c r="N36" t="n">
        <v>0</v>
      </c>
      <c r="O36" t="n">
        <v>0</v>
      </c>
      <c r="P36" t="n">
        <v>0</v>
      </c>
      <c r="Q36" t="n">
        <v>1</v>
      </c>
      <c r="R36" s="2" t="inlineStr">
        <is>
          <t>Mindre märgborre</t>
        </is>
      </c>
      <c r="S36">
        <f>HYPERLINK("https://klasma.github.io/Logging_2029/artfynd/A 15432-2023 artfynd.xlsx", "A 15432-2023")</f>
        <v/>
      </c>
      <c r="T36">
        <f>HYPERLINK("https://klasma.github.io/Logging_2029/kartor/A 15432-2023 karta.png", "A 15432-2023")</f>
        <v/>
      </c>
      <c r="V36">
        <f>HYPERLINK("https://klasma.github.io/Logging_2029/klagomål/A 15432-2023 FSC-klagomål.docx", "A 15432-2023")</f>
        <v/>
      </c>
      <c r="W36">
        <f>HYPERLINK("https://klasma.github.io/Logging_2029/klagomålsmail/A 15432-2023 FSC-klagomål mail.docx", "A 15432-2023")</f>
        <v/>
      </c>
      <c r="X36">
        <f>HYPERLINK("https://klasma.github.io/Logging_2029/tillsyn/A 15432-2023 tillsynsbegäran.docx", "A 15432-2023")</f>
        <v/>
      </c>
      <c r="Y36">
        <f>HYPERLINK("https://klasma.github.io/Logging_2029/tillsynsmail/A 15432-2023 tillsynsbegäran mail.docx", "A 15432-2023")</f>
        <v/>
      </c>
    </row>
    <row r="37" ht="15" customHeight="1">
      <c r="A37" t="inlineStr">
        <is>
          <t>A 15908-2023</t>
        </is>
      </c>
      <c r="B37" s="1" t="n">
        <v>45022</v>
      </c>
      <c r="C37" s="1" t="n">
        <v>45564</v>
      </c>
      <c r="D37" t="inlineStr">
        <is>
          <t>DALARNAS LÄN</t>
        </is>
      </c>
      <c r="E37" t="inlineStr">
        <is>
          <t>LEKSAND</t>
        </is>
      </c>
      <c r="G37" t="n">
        <v>2.4</v>
      </c>
      <c r="H37" t="n">
        <v>1</v>
      </c>
      <c r="I37" t="n">
        <v>0</v>
      </c>
      <c r="J37" t="n">
        <v>0</v>
      </c>
      <c r="K37" t="n">
        <v>0</v>
      </c>
      <c r="L37" t="n">
        <v>0</v>
      </c>
      <c r="M37" t="n">
        <v>0</v>
      </c>
      <c r="N37" t="n">
        <v>0</v>
      </c>
      <c r="O37" t="n">
        <v>0</v>
      </c>
      <c r="P37" t="n">
        <v>0</v>
      </c>
      <c r="Q37" t="n">
        <v>1</v>
      </c>
      <c r="R37" s="2" t="inlineStr">
        <is>
          <t>Blåsippa</t>
        </is>
      </c>
      <c r="S37">
        <f>HYPERLINK("https://klasma.github.io/Logging_2029/artfynd/A 15908-2023 artfynd.xlsx", "A 15908-2023")</f>
        <v/>
      </c>
      <c r="T37">
        <f>HYPERLINK("https://klasma.github.io/Logging_2029/kartor/A 15908-2023 karta.png", "A 15908-2023")</f>
        <v/>
      </c>
      <c r="V37">
        <f>HYPERLINK("https://klasma.github.io/Logging_2029/klagomål/A 15908-2023 FSC-klagomål.docx", "A 15908-2023")</f>
        <v/>
      </c>
      <c r="W37">
        <f>HYPERLINK("https://klasma.github.io/Logging_2029/klagomålsmail/A 15908-2023 FSC-klagomål mail.docx", "A 15908-2023")</f>
        <v/>
      </c>
      <c r="X37">
        <f>HYPERLINK("https://klasma.github.io/Logging_2029/tillsyn/A 15908-2023 tillsynsbegäran.docx", "A 15908-2023")</f>
        <v/>
      </c>
      <c r="Y37">
        <f>HYPERLINK("https://klasma.github.io/Logging_2029/tillsynsmail/A 15908-2023 tillsynsbegäran mail.docx", "A 15908-2023")</f>
        <v/>
      </c>
    </row>
    <row r="38" ht="15" customHeight="1">
      <c r="A38" t="inlineStr">
        <is>
          <t>A 17899-2023</t>
        </is>
      </c>
      <c r="B38" s="1" t="n">
        <v>45039</v>
      </c>
      <c r="C38" s="1" t="n">
        <v>45564</v>
      </c>
      <c r="D38" t="inlineStr">
        <is>
          <t>DALARNAS LÄN</t>
        </is>
      </c>
      <c r="E38" t="inlineStr">
        <is>
          <t>LEKSAND</t>
        </is>
      </c>
      <c r="G38" t="n">
        <v>1.9</v>
      </c>
      <c r="H38" t="n">
        <v>0</v>
      </c>
      <c r="I38" t="n">
        <v>0</v>
      </c>
      <c r="J38" t="n">
        <v>1</v>
      </c>
      <c r="K38" t="n">
        <v>0</v>
      </c>
      <c r="L38" t="n">
        <v>0</v>
      </c>
      <c r="M38" t="n">
        <v>0</v>
      </c>
      <c r="N38" t="n">
        <v>0</v>
      </c>
      <c r="O38" t="n">
        <v>1</v>
      </c>
      <c r="P38" t="n">
        <v>0</v>
      </c>
      <c r="Q38" t="n">
        <v>1</v>
      </c>
      <c r="R38" s="2" t="inlineStr">
        <is>
          <t>Grantaggsvamp</t>
        </is>
      </c>
      <c r="S38">
        <f>HYPERLINK("https://klasma.github.io/Logging_2029/artfynd/A 17899-2023 artfynd.xlsx", "A 17899-2023")</f>
        <v/>
      </c>
      <c r="T38">
        <f>HYPERLINK("https://klasma.github.io/Logging_2029/kartor/A 17899-2023 karta.png", "A 17899-2023")</f>
        <v/>
      </c>
      <c r="V38">
        <f>HYPERLINK("https://klasma.github.io/Logging_2029/klagomål/A 17899-2023 FSC-klagomål.docx", "A 17899-2023")</f>
        <v/>
      </c>
      <c r="W38">
        <f>HYPERLINK("https://klasma.github.io/Logging_2029/klagomålsmail/A 17899-2023 FSC-klagomål mail.docx", "A 17899-2023")</f>
        <v/>
      </c>
      <c r="X38">
        <f>HYPERLINK("https://klasma.github.io/Logging_2029/tillsyn/A 17899-2023 tillsynsbegäran.docx", "A 17899-2023")</f>
        <v/>
      </c>
      <c r="Y38">
        <f>HYPERLINK("https://klasma.github.io/Logging_2029/tillsynsmail/A 17899-2023 tillsynsbegäran mail.docx", "A 17899-2023")</f>
        <v/>
      </c>
    </row>
    <row r="39" ht="15" customHeight="1">
      <c r="A39" t="inlineStr">
        <is>
          <t>A 21419-2023</t>
        </is>
      </c>
      <c r="B39" s="1" t="n">
        <v>45061</v>
      </c>
      <c r="C39" s="1" t="n">
        <v>45564</v>
      </c>
      <c r="D39" t="inlineStr">
        <is>
          <t>DALARNAS LÄN</t>
        </is>
      </c>
      <c r="E39" t="inlineStr">
        <is>
          <t>LEKSAND</t>
        </is>
      </c>
      <c r="G39" t="n">
        <v>5.5</v>
      </c>
      <c r="H39" t="n">
        <v>1</v>
      </c>
      <c r="I39" t="n">
        <v>0</v>
      </c>
      <c r="J39" t="n">
        <v>0</v>
      </c>
      <c r="K39" t="n">
        <v>0</v>
      </c>
      <c r="L39" t="n">
        <v>0</v>
      </c>
      <c r="M39" t="n">
        <v>0</v>
      </c>
      <c r="N39" t="n">
        <v>0</v>
      </c>
      <c r="O39" t="n">
        <v>0</v>
      </c>
      <c r="P39" t="n">
        <v>0</v>
      </c>
      <c r="Q39" t="n">
        <v>1</v>
      </c>
      <c r="R39" s="2" t="inlineStr">
        <is>
          <t>Nattviol</t>
        </is>
      </c>
      <c r="S39">
        <f>HYPERLINK("https://klasma.github.io/Logging_2029/artfynd/A 21419-2023 artfynd.xlsx", "A 21419-2023")</f>
        <v/>
      </c>
      <c r="T39">
        <f>HYPERLINK("https://klasma.github.io/Logging_2029/kartor/A 21419-2023 karta.png", "A 21419-2023")</f>
        <v/>
      </c>
      <c r="V39">
        <f>HYPERLINK("https://klasma.github.io/Logging_2029/klagomål/A 21419-2023 FSC-klagomål.docx", "A 21419-2023")</f>
        <v/>
      </c>
      <c r="W39">
        <f>HYPERLINK("https://klasma.github.io/Logging_2029/klagomålsmail/A 21419-2023 FSC-klagomål mail.docx", "A 21419-2023")</f>
        <v/>
      </c>
      <c r="X39">
        <f>HYPERLINK("https://klasma.github.io/Logging_2029/tillsyn/A 21419-2023 tillsynsbegäran.docx", "A 21419-2023")</f>
        <v/>
      </c>
      <c r="Y39">
        <f>HYPERLINK("https://klasma.github.io/Logging_2029/tillsynsmail/A 21419-2023 tillsynsbegäran mail.docx", "A 21419-2023")</f>
        <v/>
      </c>
    </row>
    <row r="40" ht="15" customHeight="1">
      <c r="A40" t="inlineStr">
        <is>
          <t>A 26287-2023</t>
        </is>
      </c>
      <c r="B40" s="1" t="n">
        <v>45091</v>
      </c>
      <c r="C40" s="1" t="n">
        <v>45564</v>
      </c>
      <c r="D40" t="inlineStr">
        <is>
          <t>DALARNAS LÄN</t>
        </is>
      </c>
      <c r="E40" t="inlineStr">
        <is>
          <t>LEKSAND</t>
        </is>
      </c>
      <c r="G40" t="n">
        <v>2.4</v>
      </c>
      <c r="H40" t="n">
        <v>0</v>
      </c>
      <c r="I40" t="n">
        <v>1</v>
      </c>
      <c r="J40" t="n">
        <v>0</v>
      </c>
      <c r="K40" t="n">
        <v>0</v>
      </c>
      <c r="L40" t="n">
        <v>0</v>
      </c>
      <c r="M40" t="n">
        <v>0</v>
      </c>
      <c r="N40" t="n">
        <v>0</v>
      </c>
      <c r="O40" t="n">
        <v>0</v>
      </c>
      <c r="P40" t="n">
        <v>0</v>
      </c>
      <c r="Q40" t="n">
        <v>1</v>
      </c>
      <c r="R40" s="2" t="inlineStr">
        <is>
          <t>Mindre märgborre</t>
        </is>
      </c>
      <c r="S40">
        <f>HYPERLINK("https://klasma.github.io/Logging_2029/artfynd/A 26287-2023 artfynd.xlsx", "A 26287-2023")</f>
        <v/>
      </c>
      <c r="T40">
        <f>HYPERLINK("https://klasma.github.io/Logging_2029/kartor/A 26287-2023 karta.png", "A 26287-2023")</f>
        <v/>
      </c>
      <c r="V40">
        <f>HYPERLINK("https://klasma.github.io/Logging_2029/klagomål/A 26287-2023 FSC-klagomål.docx", "A 26287-2023")</f>
        <v/>
      </c>
      <c r="W40">
        <f>HYPERLINK("https://klasma.github.io/Logging_2029/klagomålsmail/A 26287-2023 FSC-klagomål mail.docx", "A 26287-2023")</f>
        <v/>
      </c>
      <c r="X40">
        <f>HYPERLINK("https://klasma.github.io/Logging_2029/tillsyn/A 26287-2023 tillsynsbegäran.docx", "A 26287-2023")</f>
        <v/>
      </c>
      <c r="Y40">
        <f>HYPERLINK("https://klasma.github.io/Logging_2029/tillsynsmail/A 26287-2023 tillsynsbegäran mail.docx", "A 26287-2023")</f>
        <v/>
      </c>
    </row>
    <row r="41" ht="15" customHeight="1">
      <c r="A41" t="inlineStr">
        <is>
          <t>A 47803-2023</t>
        </is>
      </c>
      <c r="B41" s="1" t="n">
        <v>45204</v>
      </c>
      <c r="C41" s="1" t="n">
        <v>45564</v>
      </c>
      <c r="D41" t="inlineStr">
        <is>
          <t>DALARNAS LÄN</t>
        </is>
      </c>
      <c r="E41" t="inlineStr">
        <is>
          <t>LEKSAND</t>
        </is>
      </c>
      <c r="G41" t="n">
        <v>2</v>
      </c>
      <c r="H41" t="n">
        <v>1</v>
      </c>
      <c r="I41" t="n">
        <v>0</v>
      </c>
      <c r="J41" t="n">
        <v>0</v>
      </c>
      <c r="K41" t="n">
        <v>1</v>
      </c>
      <c r="L41" t="n">
        <v>0</v>
      </c>
      <c r="M41" t="n">
        <v>0</v>
      </c>
      <c r="N41" t="n">
        <v>0</v>
      </c>
      <c r="O41" t="n">
        <v>1</v>
      </c>
      <c r="P41" t="n">
        <v>1</v>
      </c>
      <c r="Q41" t="n">
        <v>1</v>
      </c>
      <c r="R41" s="2" t="inlineStr">
        <is>
          <t>Lappuggla</t>
        </is>
      </c>
      <c r="S41">
        <f>HYPERLINK("https://klasma.github.io/Logging_2029/artfynd/A 47803-2023 artfynd.xlsx", "A 47803-2023")</f>
        <v/>
      </c>
      <c r="T41">
        <f>HYPERLINK("https://klasma.github.io/Logging_2029/kartor/A 47803-2023 karta.png", "A 47803-2023")</f>
        <v/>
      </c>
      <c r="V41">
        <f>HYPERLINK("https://klasma.github.io/Logging_2029/klagomål/A 47803-2023 FSC-klagomål.docx", "A 47803-2023")</f>
        <v/>
      </c>
      <c r="W41">
        <f>HYPERLINK("https://klasma.github.io/Logging_2029/klagomålsmail/A 47803-2023 FSC-klagomål mail.docx", "A 47803-2023")</f>
        <v/>
      </c>
      <c r="X41">
        <f>HYPERLINK("https://klasma.github.io/Logging_2029/tillsyn/A 47803-2023 tillsynsbegäran.docx", "A 47803-2023")</f>
        <v/>
      </c>
      <c r="Y41">
        <f>HYPERLINK("https://klasma.github.io/Logging_2029/tillsynsmail/A 47803-2023 tillsynsbegäran mail.docx", "A 47803-2023")</f>
        <v/>
      </c>
      <c r="Z41">
        <f>HYPERLINK("https://klasma.github.io/Logging_2029/fåglar/A 47803-2023 prioriterade fågelarter.docx", "A 47803-2023")</f>
        <v/>
      </c>
    </row>
    <row r="42" ht="15" customHeight="1">
      <c r="A42" t="inlineStr">
        <is>
          <t>A 53262-2023</t>
        </is>
      </c>
      <c r="B42" s="1" t="n">
        <v>45229</v>
      </c>
      <c r="C42" s="1" t="n">
        <v>45564</v>
      </c>
      <c r="D42" t="inlineStr">
        <is>
          <t>DALARNAS LÄN</t>
        </is>
      </c>
      <c r="E42" t="inlineStr">
        <is>
          <t>LEKSAND</t>
        </is>
      </c>
      <c r="G42" t="n">
        <v>6.1</v>
      </c>
      <c r="H42" t="n">
        <v>1</v>
      </c>
      <c r="I42" t="n">
        <v>0</v>
      </c>
      <c r="J42" t="n">
        <v>0</v>
      </c>
      <c r="K42" t="n">
        <v>0</v>
      </c>
      <c r="L42" t="n">
        <v>1</v>
      </c>
      <c r="M42" t="n">
        <v>0</v>
      </c>
      <c r="N42" t="n">
        <v>0</v>
      </c>
      <c r="O42" t="n">
        <v>1</v>
      </c>
      <c r="P42" t="n">
        <v>1</v>
      </c>
      <c r="Q42" t="n">
        <v>1</v>
      </c>
      <c r="R42" s="2" t="inlineStr">
        <is>
          <t>Mosippa</t>
        </is>
      </c>
      <c r="S42">
        <f>HYPERLINK("https://klasma.github.io/Logging_2029/artfynd/A 53262-2023 artfynd.xlsx", "A 53262-2023")</f>
        <v/>
      </c>
      <c r="T42">
        <f>HYPERLINK("https://klasma.github.io/Logging_2029/kartor/A 53262-2023 karta.png", "A 53262-2023")</f>
        <v/>
      </c>
      <c r="V42">
        <f>HYPERLINK("https://klasma.github.io/Logging_2029/klagomål/A 53262-2023 FSC-klagomål.docx", "A 53262-2023")</f>
        <v/>
      </c>
      <c r="W42">
        <f>HYPERLINK("https://klasma.github.io/Logging_2029/klagomålsmail/A 53262-2023 FSC-klagomål mail.docx", "A 53262-2023")</f>
        <v/>
      </c>
      <c r="X42">
        <f>HYPERLINK("https://klasma.github.io/Logging_2029/tillsyn/A 53262-2023 tillsynsbegäran.docx", "A 53262-2023")</f>
        <v/>
      </c>
      <c r="Y42">
        <f>HYPERLINK("https://klasma.github.io/Logging_2029/tillsynsmail/A 53262-2023 tillsynsbegäran mail.docx", "A 53262-2023")</f>
        <v/>
      </c>
    </row>
    <row r="43" ht="15" customHeight="1">
      <c r="A43" t="inlineStr">
        <is>
          <t>A 59205-2023</t>
        </is>
      </c>
      <c r="B43" s="1" t="n">
        <v>45251</v>
      </c>
      <c r="C43" s="1" t="n">
        <v>45564</v>
      </c>
      <c r="D43" t="inlineStr">
        <is>
          <t>DALARNAS LÄN</t>
        </is>
      </c>
      <c r="E43" t="inlineStr">
        <is>
          <t>LEKSAND</t>
        </is>
      </c>
      <c r="G43" t="n">
        <v>1.9</v>
      </c>
      <c r="H43" t="n">
        <v>1</v>
      </c>
      <c r="I43" t="n">
        <v>0</v>
      </c>
      <c r="J43" t="n">
        <v>0</v>
      </c>
      <c r="K43" t="n">
        <v>0</v>
      </c>
      <c r="L43" t="n">
        <v>0</v>
      </c>
      <c r="M43" t="n">
        <v>0</v>
      </c>
      <c r="N43" t="n">
        <v>0</v>
      </c>
      <c r="O43" t="n">
        <v>0</v>
      </c>
      <c r="P43" t="n">
        <v>0</v>
      </c>
      <c r="Q43" t="n">
        <v>1</v>
      </c>
      <c r="R43" s="2" t="inlineStr">
        <is>
          <t>Revlummer</t>
        </is>
      </c>
      <c r="S43">
        <f>HYPERLINK("https://klasma.github.io/Logging_2029/artfynd/A 59205-2023 artfynd.xlsx", "A 59205-2023")</f>
        <v/>
      </c>
      <c r="T43">
        <f>HYPERLINK("https://klasma.github.io/Logging_2029/kartor/A 59205-2023 karta.png", "A 59205-2023")</f>
        <v/>
      </c>
      <c r="U43">
        <f>HYPERLINK("https://klasma.github.io/Logging_2029/knärot/A 59205-2023 karta knärot.png", "A 59205-2023")</f>
        <v/>
      </c>
      <c r="V43">
        <f>HYPERLINK("https://klasma.github.io/Logging_2029/klagomål/A 59205-2023 FSC-klagomål.docx", "A 59205-2023")</f>
        <v/>
      </c>
      <c r="W43">
        <f>HYPERLINK("https://klasma.github.io/Logging_2029/klagomålsmail/A 59205-2023 FSC-klagomål mail.docx", "A 59205-2023")</f>
        <v/>
      </c>
      <c r="X43">
        <f>HYPERLINK("https://klasma.github.io/Logging_2029/tillsyn/A 59205-2023 tillsynsbegäran.docx", "A 59205-2023")</f>
        <v/>
      </c>
      <c r="Y43">
        <f>HYPERLINK("https://klasma.github.io/Logging_2029/tillsynsmail/A 59205-2023 tillsynsbegäran mail.docx", "A 59205-2023")</f>
        <v/>
      </c>
    </row>
    <row r="44" ht="15" customHeight="1">
      <c r="A44" t="inlineStr">
        <is>
          <t>A 60238-2023</t>
        </is>
      </c>
      <c r="B44" s="1" t="n">
        <v>45258</v>
      </c>
      <c r="C44" s="1" t="n">
        <v>45564</v>
      </c>
      <c r="D44" t="inlineStr">
        <is>
          <t>DALARNAS LÄN</t>
        </is>
      </c>
      <c r="E44" t="inlineStr">
        <is>
          <t>LEKSAND</t>
        </is>
      </c>
      <c r="G44" t="n">
        <v>3.2</v>
      </c>
      <c r="H44" t="n">
        <v>1</v>
      </c>
      <c r="I44" t="n">
        <v>0</v>
      </c>
      <c r="J44" t="n">
        <v>0</v>
      </c>
      <c r="K44" t="n">
        <v>0</v>
      </c>
      <c r="L44" t="n">
        <v>0</v>
      </c>
      <c r="M44" t="n">
        <v>0</v>
      </c>
      <c r="N44" t="n">
        <v>0</v>
      </c>
      <c r="O44" t="n">
        <v>0</v>
      </c>
      <c r="P44" t="n">
        <v>0</v>
      </c>
      <c r="Q44" t="n">
        <v>1</v>
      </c>
      <c r="R44" s="2" t="inlineStr">
        <is>
          <t>Blåsippa</t>
        </is>
      </c>
      <c r="S44">
        <f>HYPERLINK("https://klasma.github.io/Logging_2029/artfynd/A 60238-2023 artfynd.xlsx", "A 60238-2023")</f>
        <v/>
      </c>
      <c r="T44">
        <f>HYPERLINK("https://klasma.github.io/Logging_2029/kartor/A 60238-2023 karta.png", "A 60238-2023")</f>
        <v/>
      </c>
      <c r="V44">
        <f>HYPERLINK("https://klasma.github.io/Logging_2029/klagomål/A 60238-2023 FSC-klagomål.docx", "A 60238-2023")</f>
        <v/>
      </c>
      <c r="W44">
        <f>HYPERLINK("https://klasma.github.io/Logging_2029/klagomålsmail/A 60238-2023 FSC-klagomål mail.docx", "A 60238-2023")</f>
        <v/>
      </c>
      <c r="X44">
        <f>HYPERLINK("https://klasma.github.io/Logging_2029/tillsyn/A 60238-2023 tillsynsbegäran.docx", "A 60238-2023")</f>
        <v/>
      </c>
      <c r="Y44">
        <f>HYPERLINK("https://klasma.github.io/Logging_2029/tillsynsmail/A 60238-2023 tillsynsbegäran mail.docx", "A 60238-2023")</f>
        <v/>
      </c>
    </row>
    <row r="45" ht="15" customHeight="1">
      <c r="A45" t="inlineStr">
        <is>
          <t>A 164-2024</t>
        </is>
      </c>
      <c r="B45" s="1" t="n">
        <v>45294</v>
      </c>
      <c r="C45" s="1" t="n">
        <v>45564</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988-2024</t>
        </is>
      </c>
      <c r="B46" s="1" t="n">
        <v>45301</v>
      </c>
      <c r="C46" s="1" t="n">
        <v>45564</v>
      </c>
      <c r="D46" t="inlineStr">
        <is>
          <t>DALARNAS LÄN</t>
        </is>
      </c>
      <c r="E46" t="inlineStr">
        <is>
          <t>LEKSAND</t>
        </is>
      </c>
      <c r="G46" t="n">
        <v>2.2</v>
      </c>
      <c r="H46" t="n">
        <v>1</v>
      </c>
      <c r="I46" t="n">
        <v>0</v>
      </c>
      <c r="J46" t="n">
        <v>0</v>
      </c>
      <c r="K46" t="n">
        <v>0</v>
      </c>
      <c r="L46" t="n">
        <v>0</v>
      </c>
      <c r="M46" t="n">
        <v>0</v>
      </c>
      <c r="N46" t="n">
        <v>0</v>
      </c>
      <c r="O46" t="n">
        <v>0</v>
      </c>
      <c r="P46" t="n">
        <v>0</v>
      </c>
      <c r="Q46" t="n">
        <v>1</v>
      </c>
      <c r="R46" s="2" t="inlineStr">
        <is>
          <t>Nattviol</t>
        </is>
      </c>
      <c r="S46">
        <f>HYPERLINK("https://klasma.github.io/Logging_2029/artfynd/A 988-2024 artfynd.xlsx", "A 988-2024")</f>
        <v/>
      </c>
      <c r="T46">
        <f>HYPERLINK("https://klasma.github.io/Logging_2029/kartor/A 988-2024 karta.png", "A 988-2024")</f>
        <v/>
      </c>
      <c r="V46">
        <f>HYPERLINK("https://klasma.github.io/Logging_2029/klagomål/A 988-2024 FSC-klagomål.docx", "A 988-2024")</f>
        <v/>
      </c>
      <c r="W46">
        <f>HYPERLINK("https://klasma.github.io/Logging_2029/klagomålsmail/A 988-2024 FSC-klagomål mail.docx", "A 988-2024")</f>
        <v/>
      </c>
      <c r="X46">
        <f>HYPERLINK("https://klasma.github.io/Logging_2029/tillsyn/A 988-2024 tillsynsbegäran.docx", "A 988-2024")</f>
        <v/>
      </c>
      <c r="Y46">
        <f>HYPERLINK("https://klasma.github.io/Logging_2029/tillsynsmail/A 988-2024 tillsynsbegäran mail.docx", "A 988-2024")</f>
        <v/>
      </c>
    </row>
    <row r="47" ht="15" customHeight="1">
      <c r="A47" t="inlineStr">
        <is>
          <t>A 20794-2024</t>
        </is>
      </c>
      <c r="B47" s="1" t="n">
        <v>45438</v>
      </c>
      <c r="C47" s="1" t="n">
        <v>45564</v>
      </c>
      <c r="D47" t="inlineStr">
        <is>
          <t>DALARNAS LÄN</t>
        </is>
      </c>
      <c r="E47" t="inlineStr">
        <is>
          <t>LEKSAND</t>
        </is>
      </c>
      <c r="G47" t="n">
        <v>6.1</v>
      </c>
      <c r="H47" t="n">
        <v>1</v>
      </c>
      <c r="I47" t="n">
        <v>0</v>
      </c>
      <c r="J47" t="n">
        <v>1</v>
      </c>
      <c r="K47" t="n">
        <v>0</v>
      </c>
      <c r="L47" t="n">
        <v>0</v>
      </c>
      <c r="M47" t="n">
        <v>0</v>
      </c>
      <c r="N47" t="n">
        <v>0</v>
      </c>
      <c r="O47" t="n">
        <v>1</v>
      </c>
      <c r="P47" t="n">
        <v>0</v>
      </c>
      <c r="Q47" t="n">
        <v>1</v>
      </c>
      <c r="R47" s="2" t="inlineStr">
        <is>
          <t>Utter</t>
        </is>
      </c>
      <c r="S47">
        <f>HYPERLINK("https://klasma.github.io/Logging_2029/artfynd/A 20794-2024 artfynd.xlsx", "A 20794-2024")</f>
        <v/>
      </c>
      <c r="T47">
        <f>HYPERLINK("https://klasma.github.io/Logging_2029/kartor/A 20794-2024 karta.png", "A 20794-2024")</f>
        <v/>
      </c>
      <c r="V47">
        <f>HYPERLINK("https://klasma.github.io/Logging_2029/klagomål/A 20794-2024 FSC-klagomål.docx", "A 20794-2024")</f>
        <v/>
      </c>
      <c r="W47">
        <f>HYPERLINK("https://klasma.github.io/Logging_2029/klagomålsmail/A 20794-2024 FSC-klagomål mail.docx", "A 20794-2024")</f>
        <v/>
      </c>
      <c r="X47">
        <f>HYPERLINK("https://klasma.github.io/Logging_2029/tillsyn/A 20794-2024 tillsynsbegäran.docx", "A 20794-2024")</f>
        <v/>
      </c>
      <c r="Y47">
        <f>HYPERLINK("https://klasma.github.io/Logging_2029/tillsynsmail/A 20794-2024 tillsynsbegäran mail.docx", "A 20794-2024")</f>
        <v/>
      </c>
    </row>
    <row r="48" ht="15" customHeight="1">
      <c r="A48" t="inlineStr">
        <is>
          <t>A 23417-2024</t>
        </is>
      </c>
      <c r="B48" s="1" t="n">
        <v>45453</v>
      </c>
      <c r="C48" s="1" t="n">
        <v>45564</v>
      </c>
      <c r="D48" t="inlineStr">
        <is>
          <t>DALARNAS LÄN</t>
        </is>
      </c>
      <c r="E48" t="inlineStr">
        <is>
          <t>LEKSAND</t>
        </is>
      </c>
      <c r="F48" t="inlineStr">
        <is>
          <t>Bergvik skog väst AB</t>
        </is>
      </c>
      <c r="G48" t="n">
        <v>39.9</v>
      </c>
      <c r="H48" t="n">
        <v>0</v>
      </c>
      <c r="I48" t="n">
        <v>0</v>
      </c>
      <c r="J48" t="n">
        <v>1</v>
      </c>
      <c r="K48" t="n">
        <v>0</v>
      </c>
      <c r="L48" t="n">
        <v>0</v>
      </c>
      <c r="M48" t="n">
        <v>0</v>
      </c>
      <c r="N48" t="n">
        <v>0</v>
      </c>
      <c r="O48" t="n">
        <v>1</v>
      </c>
      <c r="P48" t="n">
        <v>0</v>
      </c>
      <c r="Q48" t="n">
        <v>1</v>
      </c>
      <c r="R48" s="2" t="inlineStr">
        <is>
          <t>Tallticka</t>
        </is>
      </c>
      <c r="S48">
        <f>HYPERLINK("https://klasma.github.io/Logging_2029/artfynd/A 23417-2024 artfynd.xlsx", "A 23417-2024")</f>
        <v/>
      </c>
      <c r="T48">
        <f>HYPERLINK("https://klasma.github.io/Logging_2029/kartor/A 23417-2024 karta.png", "A 23417-2024")</f>
        <v/>
      </c>
      <c r="V48">
        <f>HYPERLINK("https://klasma.github.io/Logging_2029/klagomål/A 23417-2024 FSC-klagomål.docx", "A 23417-2024")</f>
        <v/>
      </c>
      <c r="W48">
        <f>HYPERLINK("https://klasma.github.io/Logging_2029/klagomålsmail/A 23417-2024 FSC-klagomål mail.docx", "A 23417-2024")</f>
        <v/>
      </c>
      <c r="X48">
        <f>HYPERLINK("https://klasma.github.io/Logging_2029/tillsyn/A 23417-2024 tillsynsbegäran.docx", "A 23417-2024")</f>
        <v/>
      </c>
      <c r="Y48">
        <f>HYPERLINK("https://klasma.github.io/Logging_2029/tillsynsmail/A 23417-2024 tillsynsbegäran mail.docx", "A 23417-2024")</f>
        <v/>
      </c>
    </row>
    <row r="49" ht="15" customHeight="1">
      <c r="A49" t="inlineStr">
        <is>
          <t>A 31124-2024</t>
        </is>
      </c>
      <c r="B49" s="1" t="n">
        <v>45502</v>
      </c>
      <c r="C49" s="1" t="n">
        <v>45564</v>
      </c>
      <c r="D49" t="inlineStr">
        <is>
          <t>DALARNAS LÄN</t>
        </is>
      </c>
      <c r="E49" t="inlineStr">
        <is>
          <t>LEKSAND</t>
        </is>
      </c>
      <c r="G49" t="n">
        <v>1.9</v>
      </c>
      <c r="H49" t="n">
        <v>1</v>
      </c>
      <c r="I49" t="n">
        <v>0</v>
      </c>
      <c r="J49" t="n">
        <v>0</v>
      </c>
      <c r="K49" t="n">
        <v>1</v>
      </c>
      <c r="L49" t="n">
        <v>0</v>
      </c>
      <c r="M49" t="n">
        <v>0</v>
      </c>
      <c r="N49" t="n">
        <v>0</v>
      </c>
      <c r="O49" t="n">
        <v>1</v>
      </c>
      <c r="P49" t="n">
        <v>1</v>
      </c>
      <c r="Q49" t="n">
        <v>1</v>
      </c>
      <c r="R49" s="2" t="inlineStr">
        <is>
          <t>Väddnätfjäril</t>
        </is>
      </c>
      <c r="S49">
        <f>HYPERLINK("https://klasma.github.io/Logging_2029/artfynd/A 31124-2024 artfynd.xlsx", "A 31124-2024")</f>
        <v/>
      </c>
      <c r="T49">
        <f>HYPERLINK("https://klasma.github.io/Logging_2029/kartor/A 31124-2024 karta.png", "A 31124-2024")</f>
        <v/>
      </c>
      <c r="V49">
        <f>HYPERLINK("https://klasma.github.io/Logging_2029/klagomål/A 31124-2024 FSC-klagomål.docx", "A 31124-2024")</f>
        <v/>
      </c>
      <c r="W49">
        <f>HYPERLINK("https://klasma.github.io/Logging_2029/klagomålsmail/A 31124-2024 FSC-klagomål mail.docx", "A 31124-2024")</f>
        <v/>
      </c>
      <c r="X49">
        <f>HYPERLINK("https://klasma.github.io/Logging_2029/tillsyn/A 31124-2024 tillsynsbegäran.docx", "A 31124-2024")</f>
        <v/>
      </c>
      <c r="Y49">
        <f>HYPERLINK("https://klasma.github.io/Logging_2029/tillsynsmail/A 31124-2024 tillsynsbegäran mail.docx", "A 31124-2024")</f>
        <v/>
      </c>
    </row>
    <row r="50" ht="15" customHeight="1">
      <c r="A50" t="inlineStr">
        <is>
          <t>A 31794-2024</t>
        </is>
      </c>
      <c r="B50" s="1" t="n">
        <v>45509</v>
      </c>
      <c r="C50" s="1" t="n">
        <v>45564</v>
      </c>
      <c r="D50" t="inlineStr">
        <is>
          <t>DALARNAS LÄN</t>
        </is>
      </c>
      <c r="E50" t="inlineStr">
        <is>
          <t>LEKSAND</t>
        </is>
      </c>
      <c r="F50" t="inlineStr">
        <is>
          <t>Bergvik skog väst AB</t>
        </is>
      </c>
      <c r="G50" t="n">
        <v>6.7</v>
      </c>
      <c r="H50" t="n">
        <v>1</v>
      </c>
      <c r="I50" t="n">
        <v>0</v>
      </c>
      <c r="J50" t="n">
        <v>0</v>
      </c>
      <c r="K50" t="n">
        <v>0</v>
      </c>
      <c r="L50" t="n">
        <v>0</v>
      </c>
      <c r="M50" t="n">
        <v>0</v>
      </c>
      <c r="N50" t="n">
        <v>0</v>
      </c>
      <c r="O50" t="n">
        <v>0</v>
      </c>
      <c r="P50" t="n">
        <v>0</v>
      </c>
      <c r="Q50" t="n">
        <v>1</v>
      </c>
      <c r="R50" s="2" t="inlineStr">
        <is>
          <t>Revlummer</t>
        </is>
      </c>
      <c r="S50">
        <f>HYPERLINK("https://klasma.github.io/Logging_2029/artfynd/A 31794-2024 artfynd.xlsx", "A 31794-2024")</f>
        <v/>
      </c>
      <c r="T50">
        <f>HYPERLINK("https://klasma.github.io/Logging_2029/kartor/A 31794-2024 karta.png", "A 31794-2024")</f>
        <v/>
      </c>
      <c r="V50">
        <f>HYPERLINK("https://klasma.github.io/Logging_2029/klagomål/A 31794-2024 FSC-klagomål.docx", "A 31794-2024")</f>
        <v/>
      </c>
      <c r="W50">
        <f>HYPERLINK("https://klasma.github.io/Logging_2029/klagomålsmail/A 31794-2024 FSC-klagomål mail.docx", "A 31794-2024")</f>
        <v/>
      </c>
      <c r="X50">
        <f>HYPERLINK("https://klasma.github.io/Logging_2029/tillsyn/A 31794-2024 tillsynsbegäran.docx", "A 31794-2024")</f>
        <v/>
      </c>
      <c r="Y50">
        <f>HYPERLINK("https://klasma.github.io/Logging_2029/tillsynsmail/A 31794-2024 tillsynsbegäran mail.docx", "A 31794-2024")</f>
        <v/>
      </c>
    </row>
    <row r="51" ht="15" customHeight="1">
      <c r="A51" t="inlineStr">
        <is>
          <t>A 33554-2024</t>
        </is>
      </c>
      <c r="B51" s="1" t="n">
        <v>45519</v>
      </c>
      <c r="C51" s="1" t="n">
        <v>45564</v>
      </c>
      <c r="D51" t="inlineStr">
        <is>
          <t>DALARNAS LÄN</t>
        </is>
      </c>
      <c r="E51" t="inlineStr">
        <is>
          <t>LEKSAND</t>
        </is>
      </c>
      <c r="G51" t="n">
        <v>11.1</v>
      </c>
      <c r="H51" t="n">
        <v>0</v>
      </c>
      <c r="I51" t="n">
        <v>1</v>
      </c>
      <c r="J51" t="n">
        <v>0</v>
      </c>
      <c r="K51" t="n">
        <v>0</v>
      </c>
      <c r="L51" t="n">
        <v>0</v>
      </c>
      <c r="M51" t="n">
        <v>0</v>
      </c>
      <c r="N51" t="n">
        <v>0</v>
      </c>
      <c r="O51" t="n">
        <v>0</v>
      </c>
      <c r="P51" t="n">
        <v>0</v>
      </c>
      <c r="Q51" t="n">
        <v>1</v>
      </c>
      <c r="R51" s="2" t="inlineStr">
        <is>
          <t>Mindre märgborre</t>
        </is>
      </c>
      <c r="S51">
        <f>HYPERLINK("https://klasma.github.io/Logging_2029/artfynd/A 33554-2024 artfynd.xlsx", "A 33554-2024")</f>
        <v/>
      </c>
      <c r="T51">
        <f>HYPERLINK("https://klasma.github.io/Logging_2029/kartor/A 33554-2024 karta.png", "A 33554-2024")</f>
        <v/>
      </c>
      <c r="V51">
        <f>HYPERLINK("https://klasma.github.io/Logging_2029/klagomål/A 33554-2024 FSC-klagomål.docx", "A 33554-2024")</f>
        <v/>
      </c>
      <c r="W51">
        <f>HYPERLINK("https://klasma.github.io/Logging_2029/klagomålsmail/A 33554-2024 FSC-klagomål mail.docx", "A 33554-2024")</f>
        <v/>
      </c>
      <c r="X51">
        <f>HYPERLINK("https://klasma.github.io/Logging_2029/tillsyn/A 33554-2024 tillsynsbegäran.docx", "A 33554-2024")</f>
        <v/>
      </c>
      <c r="Y51">
        <f>HYPERLINK("https://klasma.github.io/Logging_2029/tillsynsmail/A 33554-2024 tillsynsbegäran mail.docx", "A 33554-2024")</f>
        <v/>
      </c>
    </row>
    <row r="52" ht="15" customHeight="1">
      <c r="A52" t="inlineStr">
        <is>
          <t>A 17822-2019</t>
        </is>
      </c>
      <c r="B52" s="1" t="n">
        <v>43556</v>
      </c>
      <c r="C52" s="1" t="n">
        <v>45564</v>
      </c>
      <c r="D52" t="inlineStr">
        <is>
          <t>DALARNAS LÄN</t>
        </is>
      </c>
      <c r="E52" t="inlineStr">
        <is>
          <t>LEKSAND</t>
        </is>
      </c>
      <c r="G52" t="n">
        <v>0.8</v>
      </c>
      <c r="H52" t="n">
        <v>0</v>
      </c>
      <c r="I52" t="n">
        <v>0</v>
      </c>
      <c r="J52" t="n">
        <v>0</v>
      </c>
      <c r="K52" t="n">
        <v>0</v>
      </c>
      <c r="L52" t="n">
        <v>0</v>
      </c>
      <c r="M52" t="n">
        <v>0</v>
      </c>
      <c r="N52" t="n">
        <v>0</v>
      </c>
      <c r="O52" t="n">
        <v>0</v>
      </c>
      <c r="P52" t="n">
        <v>0</v>
      </c>
      <c r="Q52" t="n">
        <v>0</v>
      </c>
      <c r="R52" s="2" t="inlineStr"/>
    </row>
    <row r="53" ht="15" customHeight="1">
      <c r="A53" t="inlineStr">
        <is>
          <t>A 17967-2019</t>
        </is>
      </c>
      <c r="B53" s="1" t="n">
        <v>43557</v>
      </c>
      <c r="C53" s="1" t="n">
        <v>45564</v>
      </c>
      <c r="D53" t="inlineStr">
        <is>
          <t>DALARNAS LÄN</t>
        </is>
      </c>
      <c r="E53" t="inlineStr">
        <is>
          <t>LEKSAND</t>
        </is>
      </c>
      <c r="G53" t="n">
        <v>0.6</v>
      </c>
      <c r="H53" t="n">
        <v>0</v>
      </c>
      <c r="I53" t="n">
        <v>0</v>
      </c>
      <c r="J53" t="n">
        <v>0</v>
      </c>
      <c r="K53" t="n">
        <v>0</v>
      </c>
      <c r="L53" t="n">
        <v>0</v>
      </c>
      <c r="M53" t="n">
        <v>0</v>
      </c>
      <c r="N53" t="n">
        <v>0</v>
      </c>
      <c r="O53" t="n">
        <v>0</v>
      </c>
      <c r="P53" t="n">
        <v>0</v>
      </c>
      <c r="Q53" t="n">
        <v>0</v>
      </c>
      <c r="R53" s="2" t="inlineStr"/>
    </row>
    <row r="54" ht="15" customHeight="1">
      <c r="A54" t="inlineStr">
        <is>
          <t>A 17970-2019</t>
        </is>
      </c>
      <c r="B54" s="1" t="n">
        <v>43557</v>
      </c>
      <c r="C54" s="1" t="n">
        <v>45564</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18238-2019</t>
        </is>
      </c>
      <c r="B55" s="1" t="n">
        <v>43558</v>
      </c>
      <c r="C55" s="1" t="n">
        <v>45564</v>
      </c>
      <c r="D55" t="inlineStr">
        <is>
          <t>DALARNAS LÄN</t>
        </is>
      </c>
      <c r="E55" t="inlineStr">
        <is>
          <t>LEKSAND</t>
        </is>
      </c>
      <c r="G55" t="n">
        <v>3.3</v>
      </c>
      <c r="H55" t="n">
        <v>0</v>
      </c>
      <c r="I55" t="n">
        <v>0</v>
      </c>
      <c r="J55" t="n">
        <v>0</v>
      </c>
      <c r="K55" t="n">
        <v>0</v>
      </c>
      <c r="L55" t="n">
        <v>0</v>
      </c>
      <c r="M55" t="n">
        <v>0</v>
      </c>
      <c r="N55" t="n">
        <v>0</v>
      </c>
      <c r="O55" t="n">
        <v>0</v>
      </c>
      <c r="P55" t="n">
        <v>0</v>
      </c>
      <c r="Q55" t="n">
        <v>0</v>
      </c>
      <c r="R55" s="2" t="inlineStr"/>
    </row>
    <row r="56" ht="15" customHeight="1">
      <c r="A56" t="inlineStr">
        <is>
          <t>A 19703-2019</t>
        </is>
      </c>
      <c r="B56" s="1" t="n">
        <v>43566</v>
      </c>
      <c r="C56" s="1" t="n">
        <v>45564</v>
      </c>
      <c r="D56" t="inlineStr">
        <is>
          <t>DALARNAS LÄN</t>
        </is>
      </c>
      <c r="E56" t="inlineStr">
        <is>
          <t>LEKSAND</t>
        </is>
      </c>
      <c r="G56" t="n">
        <v>0.4</v>
      </c>
      <c r="H56" t="n">
        <v>0</v>
      </c>
      <c r="I56" t="n">
        <v>0</v>
      </c>
      <c r="J56" t="n">
        <v>0</v>
      </c>
      <c r="K56" t="n">
        <v>0</v>
      </c>
      <c r="L56" t="n">
        <v>0</v>
      </c>
      <c r="M56" t="n">
        <v>0</v>
      </c>
      <c r="N56" t="n">
        <v>0</v>
      </c>
      <c r="O56" t="n">
        <v>0</v>
      </c>
      <c r="P56" t="n">
        <v>0</v>
      </c>
      <c r="Q56" t="n">
        <v>0</v>
      </c>
      <c r="R56" s="2" t="inlineStr"/>
    </row>
    <row r="57" ht="15" customHeight="1">
      <c r="A57" t="inlineStr">
        <is>
          <t>A 19790-2019</t>
        </is>
      </c>
      <c r="B57" s="1" t="n">
        <v>43566</v>
      </c>
      <c r="C57" s="1" t="n">
        <v>45564</v>
      </c>
      <c r="D57" t="inlineStr">
        <is>
          <t>DALARNAS LÄN</t>
        </is>
      </c>
      <c r="E57" t="inlineStr">
        <is>
          <t>LEKSAND</t>
        </is>
      </c>
      <c r="G57" t="n">
        <v>11.4</v>
      </c>
      <c r="H57" t="n">
        <v>0</v>
      </c>
      <c r="I57" t="n">
        <v>0</v>
      </c>
      <c r="J57" t="n">
        <v>0</v>
      </c>
      <c r="K57" t="n">
        <v>0</v>
      </c>
      <c r="L57" t="n">
        <v>0</v>
      </c>
      <c r="M57" t="n">
        <v>0</v>
      </c>
      <c r="N57" t="n">
        <v>0</v>
      </c>
      <c r="O57" t="n">
        <v>0</v>
      </c>
      <c r="P57" t="n">
        <v>0</v>
      </c>
      <c r="Q57" t="n">
        <v>0</v>
      </c>
      <c r="R57" s="2" t="inlineStr"/>
    </row>
    <row r="58" ht="15" customHeight="1">
      <c r="A58" t="inlineStr">
        <is>
          <t>A 22975-2019</t>
        </is>
      </c>
      <c r="B58" s="1" t="n">
        <v>43591</v>
      </c>
      <c r="C58" s="1" t="n">
        <v>45564</v>
      </c>
      <c r="D58" t="inlineStr">
        <is>
          <t>DALARNAS LÄN</t>
        </is>
      </c>
      <c r="E58" t="inlineStr">
        <is>
          <t>LEKSAND</t>
        </is>
      </c>
      <c r="G58" t="n">
        <v>1.1</v>
      </c>
      <c r="H58" t="n">
        <v>0</v>
      </c>
      <c r="I58" t="n">
        <v>0</v>
      </c>
      <c r="J58" t="n">
        <v>0</v>
      </c>
      <c r="K58" t="n">
        <v>0</v>
      </c>
      <c r="L58" t="n">
        <v>0</v>
      </c>
      <c r="M58" t="n">
        <v>0</v>
      </c>
      <c r="N58" t="n">
        <v>0</v>
      </c>
      <c r="O58" t="n">
        <v>0</v>
      </c>
      <c r="P58" t="n">
        <v>0</v>
      </c>
      <c r="Q58" t="n">
        <v>0</v>
      </c>
      <c r="R58" s="2" t="inlineStr"/>
    </row>
    <row r="59" ht="15" customHeight="1">
      <c r="A59" t="inlineStr">
        <is>
          <t>A 24300-2019</t>
        </is>
      </c>
      <c r="B59" s="1" t="n">
        <v>43598</v>
      </c>
      <c r="C59" s="1" t="n">
        <v>45564</v>
      </c>
      <c r="D59" t="inlineStr">
        <is>
          <t>DALARNAS LÄN</t>
        </is>
      </c>
      <c r="E59" t="inlineStr">
        <is>
          <t>LEKSAND</t>
        </is>
      </c>
      <c r="G59" t="n">
        <v>0.5</v>
      </c>
      <c r="H59" t="n">
        <v>0</v>
      </c>
      <c r="I59" t="n">
        <v>0</v>
      </c>
      <c r="J59" t="n">
        <v>0</v>
      </c>
      <c r="K59" t="n">
        <v>0</v>
      </c>
      <c r="L59" t="n">
        <v>0</v>
      </c>
      <c r="M59" t="n">
        <v>0</v>
      </c>
      <c r="N59" t="n">
        <v>0</v>
      </c>
      <c r="O59" t="n">
        <v>0</v>
      </c>
      <c r="P59" t="n">
        <v>0</v>
      </c>
      <c r="Q59" t="n">
        <v>0</v>
      </c>
      <c r="R59" s="2" t="inlineStr"/>
    </row>
    <row r="60" ht="15" customHeight="1">
      <c r="A60" t="inlineStr">
        <is>
          <t>A 24051-2019</t>
        </is>
      </c>
      <c r="B60" s="1" t="n">
        <v>43598</v>
      </c>
      <c r="C60" s="1" t="n">
        <v>45564</v>
      </c>
      <c r="D60" t="inlineStr">
        <is>
          <t>DALARNAS LÄN</t>
        </is>
      </c>
      <c r="E60" t="inlineStr">
        <is>
          <t>LEKSAND</t>
        </is>
      </c>
      <c r="G60" t="n">
        <v>5.4</v>
      </c>
      <c r="H60" t="n">
        <v>0</v>
      </c>
      <c r="I60" t="n">
        <v>0</v>
      </c>
      <c r="J60" t="n">
        <v>0</v>
      </c>
      <c r="K60" t="n">
        <v>0</v>
      </c>
      <c r="L60" t="n">
        <v>0</v>
      </c>
      <c r="M60" t="n">
        <v>0</v>
      </c>
      <c r="N60" t="n">
        <v>0</v>
      </c>
      <c r="O60" t="n">
        <v>0</v>
      </c>
      <c r="P60" t="n">
        <v>0</v>
      </c>
      <c r="Q60" t="n">
        <v>0</v>
      </c>
      <c r="R60" s="2" t="inlineStr"/>
    </row>
    <row r="61" ht="15" customHeight="1">
      <c r="A61" t="inlineStr">
        <is>
          <t>A 24542-2019</t>
        </is>
      </c>
      <c r="B61" s="1" t="n">
        <v>43600</v>
      </c>
      <c r="C61" s="1" t="n">
        <v>45564</v>
      </c>
      <c r="D61" t="inlineStr">
        <is>
          <t>DALARNAS LÄN</t>
        </is>
      </c>
      <c r="E61" t="inlineStr">
        <is>
          <t>LEKSAND</t>
        </is>
      </c>
      <c r="G61" t="n">
        <v>1.1</v>
      </c>
      <c r="H61" t="n">
        <v>0</v>
      </c>
      <c r="I61" t="n">
        <v>0</v>
      </c>
      <c r="J61" t="n">
        <v>0</v>
      </c>
      <c r="K61" t="n">
        <v>0</v>
      </c>
      <c r="L61" t="n">
        <v>0</v>
      </c>
      <c r="M61" t="n">
        <v>0</v>
      </c>
      <c r="N61" t="n">
        <v>0</v>
      </c>
      <c r="O61" t="n">
        <v>0</v>
      </c>
      <c r="P61" t="n">
        <v>0</v>
      </c>
      <c r="Q61" t="n">
        <v>0</v>
      </c>
      <c r="R61" s="2" t="inlineStr"/>
    </row>
    <row r="62" ht="15" customHeight="1">
      <c r="A62" t="inlineStr">
        <is>
          <t>A 32532-2019</t>
        </is>
      </c>
      <c r="B62" s="1" t="n">
        <v>43646</v>
      </c>
      <c r="C62" s="1" t="n">
        <v>45564</v>
      </c>
      <c r="D62" t="inlineStr">
        <is>
          <t>DALARNAS LÄN</t>
        </is>
      </c>
      <c r="E62" t="inlineStr">
        <is>
          <t>LEKSAND</t>
        </is>
      </c>
      <c r="G62" t="n">
        <v>3.1</v>
      </c>
      <c r="H62" t="n">
        <v>0</v>
      </c>
      <c r="I62" t="n">
        <v>0</v>
      </c>
      <c r="J62" t="n">
        <v>0</v>
      </c>
      <c r="K62" t="n">
        <v>0</v>
      </c>
      <c r="L62" t="n">
        <v>0</v>
      </c>
      <c r="M62" t="n">
        <v>0</v>
      </c>
      <c r="N62" t="n">
        <v>0</v>
      </c>
      <c r="O62" t="n">
        <v>0</v>
      </c>
      <c r="P62" t="n">
        <v>0</v>
      </c>
      <c r="Q62" t="n">
        <v>0</v>
      </c>
      <c r="R62" s="2" t="inlineStr"/>
    </row>
    <row r="63" ht="15" customHeight="1">
      <c r="A63" t="inlineStr">
        <is>
          <t>A 33903-2019</t>
        </is>
      </c>
      <c r="B63" s="1" t="n">
        <v>43654</v>
      </c>
      <c r="C63" s="1" t="n">
        <v>45564</v>
      </c>
      <c r="D63" t="inlineStr">
        <is>
          <t>DALARNAS LÄN</t>
        </is>
      </c>
      <c r="E63" t="inlineStr">
        <is>
          <t>LEKSAND</t>
        </is>
      </c>
      <c r="G63" t="n">
        <v>1.7</v>
      </c>
      <c r="H63" t="n">
        <v>0</v>
      </c>
      <c r="I63" t="n">
        <v>0</v>
      </c>
      <c r="J63" t="n">
        <v>0</v>
      </c>
      <c r="K63" t="n">
        <v>0</v>
      </c>
      <c r="L63" t="n">
        <v>0</v>
      </c>
      <c r="M63" t="n">
        <v>0</v>
      </c>
      <c r="N63" t="n">
        <v>0</v>
      </c>
      <c r="O63" t="n">
        <v>0</v>
      </c>
      <c r="P63" t="n">
        <v>0</v>
      </c>
      <c r="Q63" t="n">
        <v>0</v>
      </c>
      <c r="R63" s="2" t="inlineStr"/>
    </row>
    <row r="64" ht="15" customHeight="1">
      <c r="A64" t="inlineStr">
        <is>
          <t>A 36014-2019</t>
        </is>
      </c>
      <c r="B64" s="1" t="n">
        <v>43657</v>
      </c>
      <c r="C64" s="1" t="n">
        <v>45564</v>
      </c>
      <c r="D64" t="inlineStr">
        <is>
          <t>DALARNAS LÄN</t>
        </is>
      </c>
      <c r="E64" t="inlineStr">
        <is>
          <t>LEKSAND</t>
        </is>
      </c>
      <c r="G64" t="n">
        <v>1.8</v>
      </c>
      <c r="H64" t="n">
        <v>0</v>
      </c>
      <c r="I64" t="n">
        <v>0</v>
      </c>
      <c r="J64" t="n">
        <v>0</v>
      </c>
      <c r="K64" t="n">
        <v>0</v>
      </c>
      <c r="L64" t="n">
        <v>0</v>
      </c>
      <c r="M64" t="n">
        <v>0</v>
      </c>
      <c r="N64" t="n">
        <v>0</v>
      </c>
      <c r="O64" t="n">
        <v>0</v>
      </c>
      <c r="P64" t="n">
        <v>0</v>
      </c>
      <c r="Q64" t="n">
        <v>0</v>
      </c>
      <c r="R64" s="2" t="inlineStr"/>
    </row>
    <row r="65" ht="15" customHeight="1">
      <c r="A65" t="inlineStr">
        <is>
          <t>A 36023-2019</t>
        </is>
      </c>
      <c r="B65" s="1" t="n">
        <v>43657</v>
      </c>
      <c r="C65" s="1" t="n">
        <v>45564</v>
      </c>
      <c r="D65" t="inlineStr">
        <is>
          <t>DALARNAS LÄN</t>
        </is>
      </c>
      <c r="E65" t="inlineStr">
        <is>
          <t>LEKSAND</t>
        </is>
      </c>
      <c r="G65" t="n">
        <v>1.5</v>
      </c>
      <c r="H65" t="n">
        <v>0</v>
      </c>
      <c r="I65" t="n">
        <v>0</v>
      </c>
      <c r="J65" t="n">
        <v>0</v>
      </c>
      <c r="K65" t="n">
        <v>0</v>
      </c>
      <c r="L65" t="n">
        <v>0</v>
      </c>
      <c r="M65" t="n">
        <v>0</v>
      </c>
      <c r="N65" t="n">
        <v>0</v>
      </c>
      <c r="O65" t="n">
        <v>0</v>
      </c>
      <c r="P65" t="n">
        <v>0</v>
      </c>
      <c r="Q65" t="n">
        <v>0</v>
      </c>
      <c r="R65" s="2" t="inlineStr"/>
    </row>
    <row r="66" ht="15" customHeight="1">
      <c r="A66" t="inlineStr">
        <is>
          <t>A 36287-2019</t>
        </is>
      </c>
      <c r="B66" s="1" t="n">
        <v>43669</v>
      </c>
      <c r="C66" s="1" t="n">
        <v>45564</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37733-2019</t>
        </is>
      </c>
      <c r="B67" s="1" t="n">
        <v>43682</v>
      </c>
      <c r="C67" s="1" t="n">
        <v>45564</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37822-2019</t>
        </is>
      </c>
      <c r="B68" s="1" t="n">
        <v>43682</v>
      </c>
      <c r="C68" s="1" t="n">
        <v>45564</v>
      </c>
      <c r="D68" t="inlineStr">
        <is>
          <t>DALARNAS LÄN</t>
        </is>
      </c>
      <c r="E68" t="inlineStr">
        <is>
          <t>LEKSAND</t>
        </is>
      </c>
      <c r="G68" t="n">
        <v>8.9</v>
      </c>
      <c r="H68" t="n">
        <v>0</v>
      </c>
      <c r="I68" t="n">
        <v>0</v>
      </c>
      <c r="J68" t="n">
        <v>0</v>
      </c>
      <c r="K68" t="n">
        <v>0</v>
      </c>
      <c r="L68" t="n">
        <v>0</v>
      </c>
      <c r="M68" t="n">
        <v>0</v>
      </c>
      <c r="N68" t="n">
        <v>0</v>
      </c>
      <c r="O68" t="n">
        <v>0</v>
      </c>
      <c r="P68" t="n">
        <v>0</v>
      </c>
      <c r="Q68" t="n">
        <v>0</v>
      </c>
      <c r="R68" s="2" t="inlineStr"/>
    </row>
    <row r="69" ht="15" customHeight="1">
      <c r="A69" t="inlineStr">
        <is>
          <t>A 38350-2019</t>
        </is>
      </c>
      <c r="B69" s="1" t="n">
        <v>43685</v>
      </c>
      <c r="C69" s="1" t="n">
        <v>45564</v>
      </c>
      <c r="D69" t="inlineStr">
        <is>
          <t>DALARNAS LÄN</t>
        </is>
      </c>
      <c r="E69" t="inlineStr">
        <is>
          <t>LEKSAND</t>
        </is>
      </c>
      <c r="G69" t="n">
        <v>0.5</v>
      </c>
      <c r="H69" t="n">
        <v>0</v>
      </c>
      <c r="I69" t="n">
        <v>0</v>
      </c>
      <c r="J69" t="n">
        <v>0</v>
      </c>
      <c r="K69" t="n">
        <v>0</v>
      </c>
      <c r="L69" t="n">
        <v>0</v>
      </c>
      <c r="M69" t="n">
        <v>0</v>
      </c>
      <c r="N69" t="n">
        <v>0</v>
      </c>
      <c r="O69" t="n">
        <v>0</v>
      </c>
      <c r="P69" t="n">
        <v>0</v>
      </c>
      <c r="Q69" t="n">
        <v>0</v>
      </c>
      <c r="R69" s="2" t="inlineStr"/>
    </row>
    <row r="70" ht="15" customHeight="1">
      <c r="A70" t="inlineStr">
        <is>
          <t>A 39025-2019</t>
        </is>
      </c>
      <c r="B70" s="1" t="n">
        <v>43689</v>
      </c>
      <c r="C70" s="1" t="n">
        <v>45564</v>
      </c>
      <c r="D70" t="inlineStr">
        <is>
          <t>DALARNAS LÄN</t>
        </is>
      </c>
      <c r="E70" t="inlineStr">
        <is>
          <t>LEKSAND</t>
        </is>
      </c>
      <c r="F70" t="inlineStr">
        <is>
          <t>Bergvik skog väst AB</t>
        </is>
      </c>
      <c r="G70" t="n">
        <v>10.1</v>
      </c>
      <c r="H70" t="n">
        <v>0</v>
      </c>
      <c r="I70" t="n">
        <v>0</v>
      </c>
      <c r="J70" t="n">
        <v>0</v>
      </c>
      <c r="K70" t="n">
        <v>0</v>
      </c>
      <c r="L70" t="n">
        <v>0</v>
      </c>
      <c r="M70" t="n">
        <v>0</v>
      </c>
      <c r="N70" t="n">
        <v>0</v>
      </c>
      <c r="O70" t="n">
        <v>0</v>
      </c>
      <c r="P70" t="n">
        <v>0</v>
      </c>
      <c r="Q70" t="n">
        <v>0</v>
      </c>
      <c r="R70" s="2" t="inlineStr"/>
    </row>
    <row r="71" ht="15" customHeight="1">
      <c r="A71" t="inlineStr">
        <is>
          <t>A 41329-2019</t>
        </is>
      </c>
      <c r="B71" s="1" t="n">
        <v>43698</v>
      </c>
      <c r="C71" s="1" t="n">
        <v>45564</v>
      </c>
      <c r="D71" t="inlineStr">
        <is>
          <t>DALARNAS LÄN</t>
        </is>
      </c>
      <c r="E71" t="inlineStr">
        <is>
          <t>LEKSAND</t>
        </is>
      </c>
      <c r="G71" t="n">
        <v>2</v>
      </c>
      <c r="H71" t="n">
        <v>0</v>
      </c>
      <c r="I71" t="n">
        <v>0</v>
      </c>
      <c r="J71" t="n">
        <v>0</v>
      </c>
      <c r="K71" t="n">
        <v>0</v>
      </c>
      <c r="L71" t="n">
        <v>0</v>
      </c>
      <c r="M71" t="n">
        <v>0</v>
      </c>
      <c r="N71" t="n">
        <v>0</v>
      </c>
      <c r="O71" t="n">
        <v>0</v>
      </c>
      <c r="P71" t="n">
        <v>0</v>
      </c>
      <c r="Q71" t="n">
        <v>0</v>
      </c>
      <c r="R71" s="2" t="inlineStr"/>
    </row>
    <row r="72" ht="15" customHeight="1">
      <c r="A72" t="inlineStr">
        <is>
          <t>A 43082-2019</t>
        </is>
      </c>
      <c r="B72" s="1" t="n">
        <v>43705</v>
      </c>
      <c r="C72" s="1" t="n">
        <v>45564</v>
      </c>
      <c r="D72" t="inlineStr">
        <is>
          <t>DALARNAS LÄN</t>
        </is>
      </c>
      <c r="E72" t="inlineStr">
        <is>
          <t>LEKSAND</t>
        </is>
      </c>
      <c r="F72" t="inlineStr">
        <is>
          <t>Bergvik skog väst AB</t>
        </is>
      </c>
      <c r="G72" t="n">
        <v>2.4</v>
      </c>
      <c r="H72" t="n">
        <v>0</v>
      </c>
      <c r="I72" t="n">
        <v>0</v>
      </c>
      <c r="J72" t="n">
        <v>0</v>
      </c>
      <c r="K72" t="n">
        <v>0</v>
      </c>
      <c r="L72" t="n">
        <v>0</v>
      </c>
      <c r="M72" t="n">
        <v>0</v>
      </c>
      <c r="N72" t="n">
        <v>0</v>
      </c>
      <c r="O72" t="n">
        <v>0</v>
      </c>
      <c r="P72" t="n">
        <v>0</v>
      </c>
      <c r="Q72" t="n">
        <v>0</v>
      </c>
      <c r="R72" s="2" t="inlineStr"/>
    </row>
    <row r="73" ht="15" customHeight="1">
      <c r="A73" t="inlineStr">
        <is>
          <t>A 43887-2019</t>
        </is>
      </c>
      <c r="B73" s="1" t="n">
        <v>43707</v>
      </c>
      <c r="C73" s="1" t="n">
        <v>45564</v>
      </c>
      <c r="D73" t="inlineStr">
        <is>
          <t>DALARNAS LÄN</t>
        </is>
      </c>
      <c r="E73" t="inlineStr">
        <is>
          <t>LEKSAND</t>
        </is>
      </c>
      <c r="F73" t="inlineStr">
        <is>
          <t>Övriga Aktiebolag</t>
        </is>
      </c>
      <c r="G73" t="n">
        <v>1.4</v>
      </c>
      <c r="H73" t="n">
        <v>0</v>
      </c>
      <c r="I73" t="n">
        <v>0</v>
      </c>
      <c r="J73" t="n">
        <v>0</v>
      </c>
      <c r="K73" t="n">
        <v>0</v>
      </c>
      <c r="L73" t="n">
        <v>0</v>
      </c>
      <c r="M73" t="n">
        <v>0</v>
      </c>
      <c r="N73" t="n">
        <v>0</v>
      </c>
      <c r="O73" t="n">
        <v>0</v>
      </c>
      <c r="P73" t="n">
        <v>0</v>
      </c>
      <c r="Q73" t="n">
        <v>0</v>
      </c>
      <c r="R73" s="2" t="inlineStr"/>
    </row>
    <row r="74" ht="15" customHeight="1">
      <c r="A74" t="inlineStr">
        <is>
          <t>A 43884-2019</t>
        </is>
      </c>
      <c r="B74" s="1" t="n">
        <v>43707</v>
      </c>
      <c r="C74" s="1" t="n">
        <v>45564</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44058-2019</t>
        </is>
      </c>
      <c r="B75" s="1" t="n">
        <v>43710</v>
      </c>
      <c r="C75" s="1" t="n">
        <v>45564</v>
      </c>
      <c r="D75" t="inlineStr">
        <is>
          <t>DALARNAS LÄN</t>
        </is>
      </c>
      <c r="E75" t="inlineStr">
        <is>
          <t>LEKSAND</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45526-2019</t>
        </is>
      </c>
      <c r="B76" s="1" t="n">
        <v>43714</v>
      </c>
      <c r="C76" s="1" t="n">
        <v>45564</v>
      </c>
      <c r="D76" t="inlineStr">
        <is>
          <t>DALARNAS LÄN</t>
        </is>
      </c>
      <c r="E76" t="inlineStr">
        <is>
          <t>LEKSAND</t>
        </is>
      </c>
      <c r="F76" t="inlineStr">
        <is>
          <t>Bergvik skog väst AB</t>
        </is>
      </c>
      <c r="G76" t="n">
        <v>5.9</v>
      </c>
      <c r="H76" t="n">
        <v>0</v>
      </c>
      <c r="I76" t="n">
        <v>0</v>
      </c>
      <c r="J76" t="n">
        <v>0</v>
      </c>
      <c r="K76" t="n">
        <v>0</v>
      </c>
      <c r="L76" t="n">
        <v>0</v>
      </c>
      <c r="M76" t="n">
        <v>0</v>
      </c>
      <c r="N76" t="n">
        <v>0</v>
      </c>
      <c r="O76" t="n">
        <v>0</v>
      </c>
      <c r="P76" t="n">
        <v>0</v>
      </c>
      <c r="Q76" t="n">
        <v>0</v>
      </c>
      <c r="R76" s="2" t="inlineStr"/>
    </row>
    <row r="77" ht="15" customHeight="1">
      <c r="A77" t="inlineStr">
        <is>
          <t>A 45572-2019</t>
        </is>
      </c>
      <c r="B77" s="1" t="n">
        <v>43716</v>
      </c>
      <c r="C77" s="1" t="n">
        <v>45564</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46739-2019</t>
        </is>
      </c>
      <c r="B78" s="1" t="n">
        <v>43719</v>
      </c>
      <c r="C78" s="1" t="n">
        <v>45564</v>
      </c>
      <c r="D78" t="inlineStr">
        <is>
          <t>DALARNAS LÄN</t>
        </is>
      </c>
      <c r="E78" t="inlineStr">
        <is>
          <t>LEKSAND</t>
        </is>
      </c>
      <c r="G78" t="n">
        <v>0.6</v>
      </c>
      <c r="H78" t="n">
        <v>0</v>
      </c>
      <c r="I78" t="n">
        <v>0</v>
      </c>
      <c r="J78" t="n">
        <v>0</v>
      </c>
      <c r="K78" t="n">
        <v>0</v>
      </c>
      <c r="L78" t="n">
        <v>0</v>
      </c>
      <c r="M78" t="n">
        <v>0</v>
      </c>
      <c r="N78" t="n">
        <v>0</v>
      </c>
      <c r="O78" t="n">
        <v>0</v>
      </c>
      <c r="P78" t="n">
        <v>0</v>
      </c>
      <c r="Q78" t="n">
        <v>0</v>
      </c>
      <c r="R78" s="2" t="inlineStr"/>
    </row>
    <row r="79" ht="15" customHeight="1">
      <c r="A79" t="inlineStr">
        <is>
          <t>A 46740-2019</t>
        </is>
      </c>
      <c r="B79" s="1" t="n">
        <v>43719</v>
      </c>
      <c r="C79" s="1" t="n">
        <v>45564</v>
      </c>
      <c r="D79" t="inlineStr">
        <is>
          <t>DALARNAS LÄN</t>
        </is>
      </c>
      <c r="E79" t="inlineStr">
        <is>
          <t>LEKSAND</t>
        </is>
      </c>
      <c r="G79" t="n">
        <v>0.3</v>
      </c>
      <c r="H79" t="n">
        <v>0</v>
      </c>
      <c r="I79" t="n">
        <v>0</v>
      </c>
      <c r="J79" t="n">
        <v>0</v>
      </c>
      <c r="K79" t="n">
        <v>0</v>
      </c>
      <c r="L79" t="n">
        <v>0</v>
      </c>
      <c r="M79" t="n">
        <v>0</v>
      </c>
      <c r="N79" t="n">
        <v>0</v>
      </c>
      <c r="O79" t="n">
        <v>0</v>
      </c>
      <c r="P79" t="n">
        <v>0</v>
      </c>
      <c r="Q79" t="n">
        <v>0</v>
      </c>
      <c r="R79" s="2" t="inlineStr"/>
    </row>
    <row r="80" ht="15" customHeight="1">
      <c r="A80" t="inlineStr">
        <is>
          <t>A 47532-2019</t>
        </is>
      </c>
      <c r="B80" s="1" t="n">
        <v>43724</v>
      </c>
      <c r="C80" s="1" t="n">
        <v>45564</v>
      </c>
      <c r="D80" t="inlineStr">
        <is>
          <t>DALARNAS LÄN</t>
        </is>
      </c>
      <c r="E80" t="inlineStr">
        <is>
          <t>LEKSAND</t>
        </is>
      </c>
      <c r="G80" t="n">
        <v>2.3</v>
      </c>
      <c r="H80" t="n">
        <v>0</v>
      </c>
      <c r="I80" t="n">
        <v>0</v>
      </c>
      <c r="J80" t="n">
        <v>0</v>
      </c>
      <c r="K80" t="n">
        <v>0</v>
      </c>
      <c r="L80" t="n">
        <v>0</v>
      </c>
      <c r="M80" t="n">
        <v>0</v>
      </c>
      <c r="N80" t="n">
        <v>0</v>
      </c>
      <c r="O80" t="n">
        <v>0</v>
      </c>
      <c r="P80" t="n">
        <v>0</v>
      </c>
      <c r="Q80" t="n">
        <v>0</v>
      </c>
      <c r="R80" s="2" t="inlineStr"/>
    </row>
    <row r="81" ht="15" customHeight="1">
      <c r="A81" t="inlineStr">
        <is>
          <t>A 49132-2019</t>
        </is>
      </c>
      <c r="B81" s="1" t="n">
        <v>43728</v>
      </c>
      <c r="C81" s="1" t="n">
        <v>45564</v>
      </c>
      <c r="D81" t="inlineStr">
        <is>
          <t>DALARNAS LÄN</t>
        </is>
      </c>
      <c r="E81" t="inlineStr">
        <is>
          <t>LEKSAND</t>
        </is>
      </c>
      <c r="G81" t="n">
        <v>1.9</v>
      </c>
      <c r="H81" t="n">
        <v>0</v>
      </c>
      <c r="I81" t="n">
        <v>0</v>
      </c>
      <c r="J81" t="n">
        <v>0</v>
      </c>
      <c r="K81" t="n">
        <v>0</v>
      </c>
      <c r="L81" t="n">
        <v>0</v>
      </c>
      <c r="M81" t="n">
        <v>0</v>
      </c>
      <c r="N81" t="n">
        <v>0</v>
      </c>
      <c r="O81" t="n">
        <v>0</v>
      </c>
      <c r="P81" t="n">
        <v>0</v>
      </c>
      <c r="Q81" t="n">
        <v>0</v>
      </c>
      <c r="R81" s="2" t="inlineStr"/>
    </row>
    <row r="82" ht="15" customHeight="1">
      <c r="A82" t="inlineStr">
        <is>
          <t>A 51390-2019</t>
        </is>
      </c>
      <c r="B82" s="1" t="n">
        <v>43733</v>
      </c>
      <c r="C82" s="1" t="n">
        <v>45564</v>
      </c>
      <c r="D82" t="inlineStr">
        <is>
          <t>DALARNAS LÄN</t>
        </is>
      </c>
      <c r="E82" t="inlineStr">
        <is>
          <t>LEKSAND</t>
        </is>
      </c>
      <c r="G82" t="n">
        <v>4.7</v>
      </c>
      <c r="H82" t="n">
        <v>0</v>
      </c>
      <c r="I82" t="n">
        <v>0</v>
      </c>
      <c r="J82" t="n">
        <v>0</v>
      </c>
      <c r="K82" t="n">
        <v>0</v>
      </c>
      <c r="L82" t="n">
        <v>0</v>
      </c>
      <c r="M82" t="n">
        <v>0</v>
      </c>
      <c r="N82" t="n">
        <v>0</v>
      </c>
      <c r="O82" t="n">
        <v>0</v>
      </c>
      <c r="P82" t="n">
        <v>0</v>
      </c>
      <c r="Q82" t="n">
        <v>0</v>
      </c>
      <c r="R82" s="2" t="inlineStr"/>
    </row>
    <row r="83" ht="15" customHeight="1">
      <c r="A83" t="inlineStr">
        <is>
          <t>A 50532-2019</t>
        </is>
      </c>
      <c r="B83" s="1" t="n">
        <v>43735</v>
      </c>
      <c r="C83" s="1" t="n">
        <v>45564</v>
      </c>
      <c r="D83" t="inlineStr">
        <is>
          <t>DALARNAS LÄN</t>
        </is>
      </c>
      <c r="E83" t="inlineStr">
        <is>
          <t>LEKSAND</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52130-2019</t>
        </is>
      </c>
      <c r="B84" s="1" t="n">
        <v>43735</v>
      </c>
      <c r="C84" s="1" t="n">
        <v>45564</v>
      </c>
      <c r="D84" t="inlineStr">
        <is>
          <t>DALARNAS LÄN</t>
        </is>
      </c>
      <c r="E84" t="inlineStr">
        <is>
          <t>LEKSAND</t>
        </is>
      </c>
      <c r="G84" t="n">
        <v>0.8</v>
      </c>
      <c r="H84" t="n">
        <v>0</v>
      </c>
      <c r="I84" t="n">
        <v>0</v>
      </c>
      <c r="J84" t="n">
        <v>0</v>
      </c>
      <c r="K84" t="n">
        <v>0</v>
      </c>
      <c r="L84" t="n">
        <v>0</v>
      </c>
      <c r="M84" t="n">
        <v>0</v>
      </c>
      <c r="N84" t="n">
        <v>0</v>
      </c>
      <c r="O84" t="n">
        <v>0</v>
      </c>
      <c r="P84" t="n">
        <v>0</v>
      </c>
      <c r="Q84" t="n">
        <v>0</v>
      </c>
      <c r="R84" s="2" t="inlineStr"/>
    </row>
    <row r="85" ht="15" customHeight="1">
      <c r="A85" t="inlineStr">
        <is>
          <t>A 52827-2019</t>
        </is>
      </c>
      <c r="B85" s="1" t="n">
        <v>43746</v>
      </c>
      <c r="C85" s="1" t="n">
        <v>45564</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52957-2019</t>
        </is>
      </c>
      <c r="B86" s="1" t="n">
        <v>43747</v>
      </c>
      <c r="C86" s="1" t="n">
        <v>45564</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53553-2019</t>
        </is>
      </c>
      <c r="B87" s="1" t="n">
        <v>43749</v>
      </c>
      <c r="C87" s="1" t="n">
        <v>45564</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56844-2019</t>
        </is>
      </c>
      <c r="B88" s="1" t="n">
        <v>43765</v>
      </c>
      <c r="C88" s="1" t="n">
        <v>45564</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57221-2019</t>
        </is>
      </c>
      <c r="B89" s="1" t="n">
        <v>43767</v>
      </c>
      <c r="C89" s="1" t="n">
        <v>45564</v>
      </c>
      <c r="D89" t="inlineStr">
        <is>
          <t>DALARNAS LÄN</t>
        </is>
      </c>
      <c r="E89" t="inlineStr">
        <is>
          <t>LEKSAND</t>
        </is>
      </c>
      <c r="G89" t="n">
        <v>1</v>
      </c>
      <c r="H89" t="n">
        <v>0</v>
      </c>
      <c r="I89" t="n">
        <v>0</v>
      </c>
      <c r="J89" t="n">
        <v>0</v>
      </c>
      <c r="K89" t="n">
        <v>0</v>
      </c>
      <c r="L89" t="n">
        <v>0</v>
      </c>
      <c r="M89" t="n">
        <v>0</v>
      </c>
      <c r="N89" t="n">
        <v>0</v>
      </c>
      <c r="O89" t="n">
        <v>0</v>
      </c>
      <c r="P89" t="n">
        <v>0</v>
      </c>
      <c r="Q89" t="n">
        <v>0</v>
      </c>
      <c r="R89" s="2" t="inlineStr"/>
    </row>
    <row r="90" ht="15" customHeight="1">
      <c r="A90" t="inlineStr">
        <is>
          <t>A 58237-2019</t>
        </is>
      </c>
      <c r="B90" s="1" t="n">
        <v>43770</v>
      </c>
      <c r="C90" s="1" t="n">
        <v>45564</v>
      </c>
      <c r="D90" t="inlineStr">
        <is>
          <t>DALARNAS LÄN</t>
        </is>
      </c>
      <c r="E90" t="inlineStr">
        <is>
          <t>LEKSAND</t>
        </is>
      </c>
      <c r="G90" t="n">
        <v>2.5</v>
      </c>
      <c r="H90" t="n">
        <v>0</v>
      </c>
      <c r="I90" t="n">
        <v>0</v>
      </c>
      <c r="J90" t="n">
        <v>0</v>
      </c>
      <c r="K90" t="n">
        <v>0</v>
      </c>
      <c r="L90" t="n">
        <v>0</v>
      </c>
      <c r="M90" t="n">
        <v>0</v>
      </c>
      <c r="N90" t="n">
        <v>0</v>
      </c>
      <c r="O90" t="n">
        <v>0</v>
      </c>
      <c r="P90" t="n">
        <v>0</v>
      </c>
      <c r="Q90" t="n">
        <v>0</v>
      </c>
      <c r="R90" s="2" t="inlineStr"/>
    </row>
    <row r="91" ht="15" customHeight="1">
      <c r="A91" t="inlineStr">
        <is>
          <t>A 59714-2019</t>
        </is>
      </c>
      <c r="B91" s="1" t="n">
        <v>43776</v>
      </c>
      <c r="C91" s="1" t="n">
        <v>45564</v>
      </c>
      <c r="D91" t="inlineStr">
        <is>
          <t>DALARNAS LÄN</t>
        </is>
      </c>
      <c r="E91" t="inlineStr">
        <is>
          <t>LEKSAND</t>
        </is>
      </c>
      <c r="F91" t="inlineStr">
        <is>
          <t>Bergvik skog väst AB</t>
        </is>
      </c>
      <c r="G91" t="n">
        <v>4.8</v>
      </c>
      <c r="H91" t="n">
        <v>0</v>
      </c>
      <c r="I91" t="n">
        <v>0</v>
      </c>
      <c r="J91" t="n">
        <v>0</v>
      </c>
      <c r="K91" t="n">
        <v>0</v>
      </c>
      <c r="L91" t="n">
        <v>0</v>
      </c>
      <c r="M91" t="n">
        <v>0</v>
      </c>
      <c r="N91" t="n">
        <v>0</v>
      </c>
      <c r="O91" t="n">
        <v>0</v>
      </c>
      <c r="P91" t="n">
        <v>0</v>
      </c>
      <c r="Q91" t="n">
        <v>0</v>
      </c>
      <c r="R91" s="2" t="inlineStr"/>
    </row>
    <row r="92" ht="15" customHeight="1">
      <c r="A92" t="inlineStr">
        <is>
          <t>A 59721-2019</t>
        </is>
      </c>
      <c r="B92" s="1" t="n">
        <v>43776</v>
      </c>
      <c r="C92" s="1" t="n">
        <v>45564</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60809-2019</t>
        </is>
      </c>
      <c r="B93" s="1" t="n">
        <v>43780</v>
      </c>
      <c r="C93" s="1" t="n">
        <v>45564</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61111-2019</t>
        </is>
      </c>
      <c r="B94" s="1" t="n">
        <v>43782</v>
      </c>
      <c r="C94" s="1" t="n">
        <v>45564</v>
      </c>
      <c r="D94" t="inlineStr">
        <is>
          <t>DALARNAS LÄN</t>
        </is>
      </c>
      <c r="E94" t="inlineStr">
        <is>
          <t>LEKSAND</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61113-2019</t>
        </is>
      </c>
      <c r="B95" s="1" t="n">
        <v>43782</v>
      </c>
      <c r="C95" s="1" t="n">
        <v>45564</v>
      </c>
      <c r="D95" t="inlineStr">
        <is>
          <t>DALARNAS LÄN</t>
        </is>
      </c>
      <c r="E95" t="inlineStr">
        <is>
          <t>LEKSAND</t>
        </is>
      </c>
      <c r="F95" t="inlineStr">
        <is>
          <t>Bergvik skog väst AB</t>
        </is>
      </c>
      <c r="G95" t="n">
        <v>0.2</v>
      </c>
      <c r="H95" t="n">
        <v>0</v>
      </c>
      <c r="I95" t="n">
        <v>0</v>
      </c>
      <c r="J95" t="n">
        <v>0</v>
      </c>
      <c r="K95" t="n">
        <v>0</v>
      </c>
      <c r="L95" t="n">
        <v>0</v>
      </c>
      <c r="M95" t="n">
        <v>0</v>
      </c>
      <c r="N95" t="n">
        <v>0</v>
      </c>
      <c r="O95" t="n">
        <v>0</v>
      </c>
      <c r="P95" t="n">
        <v>0</v>
      </c>
      <c r="Q95" t="n">
        <v>0</v>
      </c>
      <c r="R95" s="2" t="inlineStr"/>
    </row>
    <row r="96" ht="15" customHeight="1">
      <c r="A96" t="inlineStr">
        <is>
          <t>A 64635-2019</t>
        </is>
      </c>
      <c r="B96" s="1" t="n">
        <v>43794</v>
      </c>
      <c r="C96" s="1" t="n">
        <v>45564</v>
      </c>
      <c r="D96" t="inlineStr">
        <is>
          <t>DALARNAS LÄN</t>
        </is>
      </c>
      <c r="E96" t="inlineStr">
        <is>
          <t>LEKSAND</t>
        </is>
      </c>
      <c r="G96" t="n">
        <v>5.4</v>
      </c>
      <c r="H96" t="n">
        <v>0</v>
      </c>
      <c r="I96" t="n">
        <v>0</v>
      </c>
      <c r="J96" t="n">
        <v>0</v>
      </c>
      <c r="K96" t="n">
        <v>0</v>
      </c>
      <c r="L96" t="n">
        <v>0</v>
      </c>
      <c r="M96" t="n">
        <v>0</v>
      </c>
      <c r="N96" t="n">
        <v>0</v>
      </c>
      <c r="O96" t="n">
        <v>0</v>
      </c>
      <c r="P96" t="n">
        <v>0</v>
      </c>
      <c r="Q96" t="n">
        <v>0</v>
      </c>
      <c r="R96" s="2" t="inlineStr"/>
    </row>
    <row r="97" ht="15" customHeight="1">
      <c r="A97" t="inlineStr">
        <is>
          <t>A 66288-2019</t>
        </is>
      </c>
      <c r="B97" s="1" t="n">
        <v>43808</v>
      </c>
      <c r="C97" s="1" t="n">
        <v>45564</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66822-2019</t>
        </is>
      </c>
      <c r="B98" s="1" t="n">
        <v>43810</v>
      </c>
      <c r="C98" s="1" t="n">
        <v>45564</v>
      </c>
      <c r="D98" t="inlineStr">
        <is>
          <t>DALARNAS LÄN</t>
        </is>
      </c>
      <c r="E98" t="inlineStr">
        <is>
          <t>LEKSAND</t>
        </is>
      </c>
      <c r="G98" t="n">
        <v>5.2</v>
      </c>
      <c r="H98" t="n">
        <v>0</v>
      </c>
      <c r="I98" t="n">
        <v>0</v>
      </c>
      <c r="J98" t="n">
        <v>0</v>
      </c>
      <c r="K98" t="n">
        <v>0</v>
      </c>
      <c r="L98" t="n">
        <v>0</v>
      </c>
      <c r="M98" t="n">
        <v>0</v>
      </c>
      <c r="N98" t="n">
        <v>0</v>
      </c>
      <c r="O98" t="n">
        <v>0</v>
      </c>
      <c r="P98" t="n">
        <v>0</v>
      </c>
      <c r="Q98" t="n">
        <v>0</v>
      </c>
      <c r="R98" s="2" t="inlineStr"/>
    </row>
    <row r="99" ht="15" customHeight="1">
      <c r="A99" t="inlineStr">
        <is>
          <t>A 67123-2019</t>
        </is>
      </c>
      <c r="B99" s="1" t="n">
        <v>43811</v>
      </c>
      <c r="C99" s="1" t="n">
        <v>45564</v>
      </c>
      <c r="D99" t="inlineStr">
        <is>
          <t>DALARNAS LÄN</t>
        </is>
      </c>
      <c r="E99" t="inlineStr">
        <is>
          <t>LEKSAND</t>
        </is>
      </c>
      <c r="G99" t="n">
        <v>2.1</v>
      </c>
      <c r="H99" t="n">
        <v>0</v>
      </c>
      <c r="I99" t="n">
        <v>0</v>
      </c>
      <c r="J99" t="n">
        <v>0</v>
      </c>
      <c r="K99" t="n">
        <v>0</v>
      </c>
      <c r="L99" t="n">
        <v>0</v>
      </c>
      <c r="M99" t="n">
        <v>0</v>
      </c>
      <c r="N99" t="n">
        <v>0</v>
      </c>
      <c r="O99" t="n">
        <v>0</v>
      </c>
      <c r="P99" t="n">
        <v>0</v>
      </c>
      <c r="Q99" t="n">
        <v>0</v>
      </c>
      <c r="R99" s="2" t="inlineStr"/>
    </row>
    <row r="100" ht="15" customHeight="1">
      <c r="A100" t="inlineStr">
        <is>
          <t>A 68808-2019</t>
        </is>
      </c>
      <c r="B100" s="1" t="n">
        <v>43815</v>
      </c>
      <c r="C100" s="1" t="n">
        <v>45564</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1604-2020</t>
        </is>
      </c>
      <c r="B101" s="1" t="n">
        <v>43829</v>
      </c>
      <c r="C101" s="1" t="n">
        <v>45564</v>
      </c>
      <c r="D101" t="inlineStr">
        <is>
          <t>DALARNAS LÄN</t>
        </is>
      </c>
      <c r="E101" t="inlineStr">
        <is>
          <t>LEKSAND</t>
        </is>
      </c>
      <c r="G101" t="n">
        <v>1.3</v>
      </c>
      <c r="H101" t="n">
        <v>0</v>
      </c>
      <c r="I101" t="n">
        <v>0</v>
      </c>
      <c r="J101" t="n">
        <v>0</v>
      </c>
      <c r="K101" t="n">
        <v>0</v>
      </c>
      <c r="L101" t="n">
        <v>0</v>
      </c>
      <c r="M101" t="n">
        <v>0</v>
      </c>
      <c r="N101" t="n">
        <v>0</v>
      </c>
      <c r="O101" t="n">
        <v>0</v>
      </c>
      <c r="P101" t="n">
        <v>0</v>
      </c>
      <c r="Q101" t="n">
        <v>0</v>
      </c>
      <c r="R101" s="2" t="inlineStr"/>
    </row>
    <row r="102" ht="15" customHeight="1">
      <c r="A102" t="inlineStr">
        <is>
          <t>A 1915-2020</t>
        </is>
      </c>
      <c r="B102" s="1" t="n">
        <v>43837</v>
      </c>
      <c r="C102" s="1" t="n">
        <v>45564</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1778-2020</t>
        </is>
      </c>
      <c r="B103" s="1" t="n">
        <v>43844</v>
      </c>
      <c r="C103" s="1" t="n">
        <v>45564</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2670-2020</t>
        </is>
      </c>
      <c r="B104" s="1" t="n">
        <v>43849</v>
      </c>
      <c r="C104" s="1" t="n">
        <v>45564</v>
      </c>
      <c r="D104" t="inlineStr">
        <is>
          <t>DALARNAS LÄN</t>
        </is>
      </c>
      <c r="E104" t="inlineStr">
        <is>
          <t>LEKSAND</t>
        </is>
      </c>
      <c r="G104" t="n">
        <v>2.4</v>
      </c>
      <c r="H104" t="n">
        <v>0</v>
      </c>
      <c r="I104" t="n">
        <v>0</v>
      </c>
      <c r="J104" t="n">
        <v>0</v>
      </c>
      <c r="K104" t="n">
        <v>0</v>
      </c>
      <c r="L104" t="n">
        <v>0</v>
      </c>
      <c r="M104" t="n">
        <v>0</v>
      </c>
      <c r="N104" t="n">
        <v>0</v>
      </c>
      <c r="O104" t="n">
        <v>0</v>
      </c>
      <c r="P104" t="n">
        <v>0</v>
      </c>
      <c r="Q104" t="n">
        <v>0</v>
      </c>
      <c r="R104" s="2" t="inlineStr"/>
    </row>
    <row r="105" ht="15" customHeight="1">
      <c r="A105" t="inlineStr">
        <is>
          <t>A 4479-2020</t>
        </is>
      </c>
      <c r="B105" s="1" t="n">
        <v>43850</v>
      </c>
      <c r="C105" s="1" t="n">
        <v>45564</v>
      </c>
      <c r="D105" t="inlineStr">
        <is>
          <t>DALARNAS LÄN</t>
        </is>
      </c>
      <c r="E105" t="inlineStr">
        <is>
          <t>LEKSAND</t>
        </is>
      </c>
      <c r="G105" t="n">
        <v>1.5</v>
      </c>
      <c r="H105" t="n">
        <v>0</v>
      </c>
      <c r="I105" t="n">
        <v>0</v>
      </c>
      <c r="J105" t="n">
        <v>0</v>
      </c>
      <c r="K105" t="n">
        <v>0</v>
      </c>
      <c r="L105" t="n">
        <v>0</v>
      </c>
      <c r="M105" t="n">
        <v>0</v>
      </c>
      <c r="N105" t="n">
        <v>0</v>
      </c>
      <c r="O105" t="n">
        <v>0</v>
      </c>
      <c r="P105" t="n">
        <v>0</v>
      </c>
      <c r="Q105" t="n">
        <v>0</v>
      </c>
      <c r="R105" s="2" t="inlineStr"/>
    </row>
    <row r="106" ht="15" customHeight="1">
      <c r="A106" t="inlineStr">
        <is>
          <t>A 4004-2020</t>
        </is>
      </c>
      <c r="B106" s="1" t="n">
        <v>43856</v>
      </c>
      <c r="C106" s="1" t="n">
        <v>45564</v>
      </c>
      <c r="D106" t="inlineStr">
        <is>
          <t>DALARNAS LÄN</t>
        </is>
      </c>
      <c r="E106" t="inlineStr">
        <is>
          <t>LEKSAND</t>
        </is>
      </c>
      <c r="G106" t="n">
        <v>6</v>
      </c>
      <c r="H106" t="n">
        <v>0</v>
      </c>
      <c r="I106" t="n">
        <v>0</v>
      </c>
      <c r="J106" t="n">
        <v>0</v>
      </c>
      <c r="K106" t="n">
        <v>0</v>
      </c>
      <c r="L106" t="n">
        <v>0</v>
      </c>
      <c r="M106" t="n">
        <v>0</v>
      </c>
      <c r="N106" t="n">
        <v>0</v>
      </c>
      <c r="O106" t="n">
        <v>0</v>
      </c>
      <c r="P106" t="n">
        <v>0</v>
      </c>
      <c r="Q106" t="n">
        <v>0</v>
      </c>
      <c r="R106" s="2" t="inlineStr"/>
    </row>
    <row r="107" ht="15" customHeight="1">
      <c r="A107" t="inlineStr">
        <is>
          <t>A 6002-2020</t>
        </is>
      </c>
      <c r="B107" s="1" t="n">
        <v>43864</v>
      </c>
      <c r="C107" s="1" t="n">
        <v>45564</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6017-2020</t>
        </is>
      </c>
      <c r="B108" s="1" t="n">
        <v>43864</v>
      </c>
      <c r="C108" s="1" t="n">
        <v>45564</v>
      </c>
      <c r="D108" t="inlineStr">
        <is>
          <t>DALARNAS LÄN</t>
        </is>
      </c>
      <c r="E108" t="inlineStr">
        <is>
          <t>LEKSAND</t>
        </is>
      </c>
      <c r="G108" t="n">
        <v>2.6</v>
      </c>
      <c r="H108" t="n">
        <v>0</v>
      </c>
      <c r="I108" t="n">
        <v>0</v>
      </c>
      <c r="J108" t="n">
        <v>0</v>
      </c>
      <c r="K108" t="n">
        <v>0</v>
      </c>
      <c r="L108" t="n">
        <v>0</v>
      </c>
      <c r="M108" t="n">
        <v>0</v>
      </c>
      <c r="N108" t="n">
        <v>0</v>
      </c>
      <c r="O108" t="n">
        <v>0</v>
      </c>
      <c r="P108" t="n">
        <v>0</v>
      </c>
      <c r="Q108" t="n">
        <v>0</v>
      </c>
      <c r="R108" s="2" t="inlineStr"/>
    </row>
    <row r="109" ht="15" customHeight="1">
      <c r="A109" t="inlineStr">
        <is>
          <t>A 6751-2020</t>
        </is>
      </c>
      <c r="B109" s="1" t="n">
        <v>43866</v>
      </c>
      <c r="C109" s="1" t="n">
        <v>45564</v>
      </c>
      <c r="D109" t="inlineStr">
        <is>
          <t>DALARNAS LÄN</t>
        </is>
      </c>
      <c r="E109" t="inlineStr">
        <is>
          <t>LEKSAND</t>
        </is>
      </c>
      <c r="G109" t="n">
        <v>1.4</v>
      </c>
      <c r="H109" t="n">
        <v>0</v>
      </c>
      <c r="I109" t="n">
        <v>0</v>
      </c>
      <c r="J109" t="n">
        <v>0</v>
      </c>
      <c r="K109" t="n">
        <v>0</v>
      </c>
      <c r="L109" t="n">
        <v>0</v>
      </c>
      <c r="M109" t="n">
        <v>0</v>
      </c>
      <c r="N109" t="n">
        <v>0</v>
      </c>
      <c r="O109" t="n">
        <v>0</v>
      </c>
      <c r="P109" t="n">
        <v>0</v>
      </c>
      <c r="Q109" t="n">
        <v>0</v>
      </c>
      <c r="R109" s="2" t="inlineStr"/>
    </row>
    <row r="110" ht="15" customHeight="1">
      <c r="A110" t="inlineStr">
        <is>
          <t>A 7351-2020</t>
        </is>
      </c>
      <c r="B110" s="1" t="n">
        <v>43871</v>
      </c>
      <c r="C110" s="1" t="n">
        <v>45564</v>
      </c>
      <c r="D110" t="inlineStr">
        <is>
          <t>DALARNAS LÄN</t>
        </is>
      </c>
      <c r="E110" t="inlineStr">
        <is>
          <t>LEKSAND</t>
        </is>
      </c>
      <c r="F110" t="inlineStr">
        <is>
          <t>Bergvik skog väst AB</t>
        </is>
      </c>
      <c r="G110" t="n">
        <v>5.4</v>
      </c>
      <c r="H110" t="n">
        <v>0</v>
      </c>
      <c r="I110" t="n">
        <v>0</v>
      </c>
      <c r="J110" t="n">
        <v>0</v>
      </c>
      <c r="K110" t="n">
        <v>0</v>
      </c>
      <c r="L110" t="n">
        <v>0</v>
      </c>
      <c r="M110" t="n">
        <v>0</v>
      </c>
      <c r="N110" t="n">
        <v>0</v>
      </c>
      <c r="O110" t="n">
        <v>0</v>
      </c>
      <c r="P110" t="n">
        <v>0</v>
      </c>
      <c r="Q110" t="n">
        <v>0</v>
      </c>
      <c r="R110" s="2" t="inlineStr"/>
    </row>
    <row r="111" ht="15" customHeight="1">
      <c r="A111" t="inlineStr">
        <is>
          <t>A 7868-2020</t>
        </is>
      </c>
      <c r="B111" s="1" t="n">
        <v>43873</v>
      </c>
      <c r="C111" s="1" t="n">
        <v>45564</v>
      </c>
      <c r="D111" t="inlineStr">
        <is>
          <t>DALARNAS LÄN</t>
        </is>
      </c>
      <c r="E111" t="inlineStr">
        <is>
          <t>LEKSAND</t>
        </is>
      </c>
      <c r="G111" t="n">
        <v>1.7</v>
      </c>
      <c r="H111" t="n">
        <v>0</v>
      </c>
      <c r="I111" t="n">
        <v>0</v>
      </c>
      <c r="J111" t="n">
        <v>0</v>
      </c>
      <c r="K111" t="n">
        <v>0</v>
      </c>
      <c r="L111" t="n">
        <v>0</v>
      </c>
      <c r="M111" t="n">
        <v>0</v>
      </c>
      <c r="N111" t="n">
        <v>0</v>
      </c>
      <c r="O111" t="n">
        <v>0</v>
      </c>
      <c r="P111" t="n">
        <v>0</v>
      </c>
      <c r="Q111" t="n">
        <v>0</v>
      </c>
      <c r="R111" s="2" t="inlineStr"/>
    </row>
    <row r="112" ht="15" customHeight="1">
      <c r="A112" t="inlineStr">
        <is>
          <t>A 9710-2020</t>
        </is>
      </c>
      <c r="B112" s="1" t="n">
        <v>43881</v>
      </c>
      <c r="C112" s="1" t="n">
        <v>45564</v>
      </c>
      <c r="D112" t="inlineStr">
        <is>
          <t>DALARNAS LÄN</t>
        </is>
      </c>
      <c r="E112" t="inlineStr">
        <is>
          <t>LEKSAND</t>
        </is>
      </c>
      <c r="G112" t="n">
        <v>1</v>
      </c>
      <c r="H112" t="n">
        <v>0</v>
      </c>
      <c r="I112" t="n">
        <v>0</v>
      </c>
      <c r="J112" t="n">
        <v>0</v>
      </c>
      <c r="K112" t="n">
        <v>0</v>
      </c>
      <c r="L112" t="n">
        <v>0</v>
      </c>
      <c r="M112" t="n">
        <v>0</v>
      </c>
      <c r="N112" t="n">
        <v>0</v>
      </c>
      <c r="O112" t="n">
        <v>0</v>
      </c>
      <c r="P112" t="n">
        <v>0</v>
      </c>
      <c r="Q112" t="n">
        <v>0</v>
      </c>
      <c r="R112" s="2" t="inlineStr"/>
    </row>
    <row r="113" ht="15" customHeight="1">
      <c r="A113" t="inlineStr">
        <is>
          <t>A 11372-2020</t>
        </is>
      </c>
      <c r="B113" s="1" t="n">
        <v>43892</v>
      </c>
      <c r="C113" s="1" t="n">
        <v>45564</v>
      </c>
      <c r="D113" t="inlineStr">
        <is>
          <t>DALARNAS LÄN</t>
        </is>
      </c>
      <c r="E113" t="inlineStr">
        <is>
          <t>LEKSAND</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12176-2020</t>
        </is>
      </c>
      <c r="B114" s="1" t="n">
        <v>43895</v>
      </c>
      <c r="C114" s="1" t="n">
        <v>45564</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12247-2020</t>
        </is>
      </c>
      <c r="B115" s="1" t="n">
        <v>43895</v>
      </c>
      <c r="C115" s="1" t="n">
        <v>45564</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13340-2020</t>
        </is>
      </c>
      <c r="B116" s="1" t="n">
        <v>43902</v>
      </c>
      <c r="C116" s="1" t="n">
        <v>45564</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13356-2020</t>
        </is>
      </c>
      <c r="B117" s="1" t="n">
        <v>43902</v>
      </c>
      <c r="C117" s="1" t="n">
        <v>45564</v>
      </c>
      <c r="D117" t="inlineStr">
        <is>
          <t>DALARNAS LÄN</t>
        </is>
      </c>
      <c r="E117" t="inlineStr">
        <is>
          <t>LEKSAND</t>
        </is>
      </c>
      <c r="G117" t="n">
        <v>0.4</v>
      </c>
      <c r="H117" t="n">
        <v>0</v>
      </c>
      <c r="I117" t="n">
        <v>0</v>
      </c>
      <c r="J117" t="n">
        <v>0</v>
      </c>
      <c r="K117" t="n">
        <v>0</v>
      </c>
      <c r="L117" t="n">
        <v>0</v>
      </c>
      <c r="M117" t="n">
        <v>0</v>
      </c>
      <c r="N117" t="n">
        <v>0</v>
      </c>
      <c r="O117" t="n">
        <v>0</v>
      </c>
      <c r="P117" t="n">
        <v>0</v>
      </c>
      <c r="Q117" t="n">
        <v>0</v>
      </c>
      <c r="R117" s="2" t="inlineStr"/>
    </row>
    <row r="118" ht="15" customHeight="1">
      <c r="A118" t="inlineStr">
        <is>
          <t>A 13352-2020</t>
        </is>
      </c>
      <c r="B118" s="1" t="n">
        <v>43902</v>
      </c>
      <c r="C118" s="1" t="n">
        <v>45564</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15165-2020</t>
        </is>
      </c>
      <c r="B119" s="1" t="n">
        <v>43912</v>
      </c>
      <c r="C119" s="1" t="n">
        <v>45564</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16288-2020</t>
        </is>
      </c>
      <c r="B120" s="1" t="n">
        <v>43917</v>
      </c>
      <c r="C120" s="1" t="n">
        <v>45564</v>
      </c>
      <c r="D120" t="inlineStr">
        <is>
          <t>DALARNAS LÄN</t>
        </is>
      </c>
      <c r="E120" t="inlineStr">
        <is>
          <t>LEKSAND</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18803-2020</t>
        </is>
      </c>
      <c r="B121" s="1" t="n">
        <v>43933</v>
      </c>
      <c r="C121" s="1" t="n">
        <v>45564</v>
      </c>
      <c r="D121" t="inlineStr">
        <is>
          <t>DALARNAS LÄN</t>
        </is>
      </c>
      <c r="E121" t="inlineStr">
        <is>
          <t>LEKSAND</t>
        </is>
      </c>
      <c r="G121" t="n">
        <v>1.9</v>
      </c>
      <c r="H121" t="n">
        <v>0</v>
      </c>
      <c r="I121" t="n">
        <v>0</v>
      </c>
      <c r="J121" t="n">
        <v>0</v>
      </c>
      <c r="K121" t="n">
        <v>0</v>
      </c>
      <c r="L121" t="n">
        <v>0</v>
      </c>
      <c r="M121" t="n">
        <v>0</v>
      </c>
      <c r="N121" t="n">
        <v>0</v>
      </c>
      <c r="O121" t="n">
        <v>0</v>
      </c>
      <c r="P121" t="n">
        <v>0</v>
      </c>
      <c r="Q121" t="n">
        <v>0</v>
      </c>
      <c r="R121" s="2" t="inlineStr"/>
    </row>
    <row r="122" ht="15" customHeight="1">
      <c r="A122" t="inlineStr">
        <is>
          <t>A 19361-2020</t>
        </is>
      </c>
      <c r="B122" s="1" t="n">
        <v>43938</v>
      </c>
      <c r="C122" s="1" t="n">
        <v>45564</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21141-2020</t>
        </is>
      </c>
      <c r="B123" s="1" t="n">
        <v>43951</v>
      </c>
      <c r="C123" s="1" t="n">
        <v>45564</v>
      </c>
      <c r="D123" t="inlineStr">
        <is>
          <t>DALARNAS LÄN</t>
        </is>
      </c>
      <c r="E123" t="inlineStr">
        <is>
          <t>LEKSAND</t>
        </is>
      </c>
      <c r="F123" t="inlineStr">
        <is>
          <t>Bergvik skog väst AB</t>
        </is>
      </c>
      <c r="G123" t="n">
        <v>9.699999999999999</v>
      </c>
      <c r="H123" t="n">
        <v>0</v>
      </c>
      <c r="I123" t="n">
        <v>0</v>
      </c>
      <c r="J123" t="n">
        <v>0</v>
      </c>
      <c r="K123" t="n">
        <v>0</v>
      </c>
      <c r="L123" t="n">
        <v>0</v>
      </c>
      <c r="M123" t="n">
        <v>0</v>
      </c>
      <c r="N123" t="n">
        <v>0</v>
      </c>
      <c r="O123" t="n">
        <v>0</v>
      </c>
      <c r="P123" t="n">
        <v>0</v>
      </c>
      <c r="Q123" t="n">
        <v>0</v>
      </c>
      <c r="R123" s="2" t="inlineStr"/>
    </row>
    <row r="124" ht="15" customHeight="1">
      <c r="A124" t="inlineStr">
        <is>
          <t>A 22718-2020</t>
        </is>
      </c>
      <c r="B124" s="1" t="n">
        <v>43964</v>
      </c>
      <c r="C124" s="1" t="n">
        <v>45564</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24207-2020</t>
        </is>
      </c>
      <c r="B125" s="1" t="n">
        <v>43973</v>
      </c>
      <c r="C125" s="1" t="n">
        <v>45564</v>
      </c>
      <c r="D125" t="inlineStr">
        <is>
          <t>DALARNAS LÄN</t>
        </is>
      </c>
      <c r="E125" t="inlineStr">
        <is>
          <t>LEKSAND</t>
        </is>
      </c>
      <c r="G125" t="n">
        <v>2.2</v>
      </c>
      <c r="H125" t="n">
        <v>0</v>
      </c>
      <c r="I125" t="n">
        <v>0</v>
      </c>
      <c r="J125" t="n">
        <v>0</v>
      </c>
      <c r="K125" t="n">
        <v>0</v>
      </c>
      <c r="L125" t="n">
        <v>0</v>
      </c>
      <c r="M125" t="n">
        <v>0</v>
      </c>
      <c r="N125" t="n">
        <v>0</v>
      </c>
      <c r="O125" t="n">
        <v>0</v>
      </c>
      <c r="P125" t="n">
        <v>0</v>
      </c>
      <c r="Q125" t="n">
        <v>0</v>
      </c>
      <c r="R125" s="2" t="inlineStr"/>
    </row>
    <row r="126" ht="15" customHeight="1">
      <c r="A126" t="inlineStr">
        <is>
          <t>A 25156-2020</t>
        </is>
      </c>
      <c r="B126" s="1" t="n">
        <v>43978</v>
      </c>
      <c r="C126" s="1" t="n">
        <v>45564</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25720-2020</t>
        </is>
      </c>
      <c r="B127" s="1" t="n">
        <v>43984</v>
      </c>
      <c r="C127" s="1" t="n">
        <v>45564</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25989-2020</t>
        </is>
      </c>
      <c r="B128" s="1" t="n">
        <v>43985</v>
      </c>
      <c r="C128" s="1" t="n">
        <v>45564</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26456-2020</t>
        </is>
      </c>
      <c r="B129" s="1" t="n">
        <v>43986</v>
      </c>
      <c r="C129" s="1" t="n">
        <v>45564</v>
      </c>
      <c r="D129" t="inlineStr">
        <is>
          <t>DALARNAS LÄN</t>
        </is>
      </c>
      <c r="E129" t="inlineStr">
        <is>
          <t>LEKSAND</t>
        </is>
      </c>
      <c r="G129" t="n">
        <v>2.9</v>
      </c>
      <c r="H129" t="n">
        <v>0</v>
      </c>
      <c r="I129" t="n">
        <v>0</v>
      </c>
      <c r="J129" t="n">
        <v>0</v>
      </c>
      <c r="K129" t="n">
        <v>0</v>
      </c>
      <c r="L129" t="n">
        <v>0</v>
      </c>
      <c r="M129" t="n">
        <v>0</v>
      </c>
      <c r="N129" t="n">
        <v>0</v>
      </c>
      <c r="O129" t="n">
        <v>0</v>
      </c>
      <c r="P129" t="n">
        <v>0</v>
      </c>
      <c r="Q129" t="n">
        <v>0</v>
      </c>
      <c r="R129" s="2" t="inlineStr"/>
    </row>
    <row r="130" ht="15" customHeight="1">
      <c r="A130" t="inlineStr">
        <is>
          <t>A 26560-2020</t>
        </is>
      </c>
      <c r="B130" s="1" t="n">
        <v>43987</v>
      </c>
      <c r="C130" s="1" t="n">
        <v>45564</v>
      </c>
      <c r="D130" t="inlineStr">
        <is>
          <t>DALARNAS LÄN</t>
        </is>
      </c>
      <c r="E130" t="inlineStr">
        <is>
          <t>LEKSAND</t>
        </is>
      </c>
      <c r="G130" t="n">
        <v>0.8</v>
      </c>
      <c r="H130" t="n">
        <v>0</v>
      </c>
      <c r="I130" t="n">
        <v>0</v>
      </c>
      <c r="J130" t="n">
        <v>0</v>
      </c>
      <c r="K130" t="n">
        <v>0</v>
      </c>
      <c r="L130" t="n">
        <v>0</v>
      </c>
      <c r="M130" t="n">
        <v>0</v>
      </c>
      <c r="N130" t="n">
        <v>0</v>
      </c>
      <c r="O130" t="n">
        <v>0</v>
      </c>
      <c r="P130" t="n">
        <v>0</v>
      </c>
      <c r="Q130" t="n">
        <v>0</v>
      </c>
      <c r="R130" s="2" t="inlineStr"/>
    </row>
    <row r="131" ht="15" customHeight="1">
      <c r="A131" t="inlineStr">
        <is>
          <t>A 28161-2020</t>
        </is>
      </c>
      <c r="B131" s="1" t="n">
        <v>43997</v>
      </c>
      <c r="C131" s="1" t="n">
        <v>45564</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28796-2020</t>
        </is>
      </c>
      <c r="B132" s="1" t="n">
        <v>44000</v>
      </c>
      <c r="C132" s="1" t="n">
        <v>45564</v>
      </c>
      <c r="D132" t="inlineStr">
        <is>
          <t>DALARNAS LÄN</t>
        </is>
      </c>
      <c r="E132" t="inlineStr">
        <is>
          <t>LEKSAND</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29089-2020</t>
        </is>
      </c>
      <c r="B133" s="1" t="n">
        <v>44002</v>
      </c>
      <c r="C133" s="1" t="n">
        <v>45564</v>
      </c>
      <c r="D133" t="inlineStr">
        <is>
          <t>DALARNAS LÄN</t>
        </is>
      </c>
      <c r="E133" t="inlineStr">
        <is>
          <t>LEKSAND</t>
        </is>
      </c>
      <c r="G133" t="n">
        <v>1.8</v>
      </c>
      <c r="H133" t="n">
        <v>0</v>
      </c>
      <c r="I133" t="n">
        <v>0</v>
      </c>
      <c r="J133" t="n">
        <v>0</v>
      </c>
      <c r="K133" t="n">
        <v>0</v>
      </c>
      <c r="L133" t="n">
        <v>0</v>
      </c>
      <c r="M133" t="n">
        <v>0</v>
      </c>
      <c r="N133" t="n">
        <v>0</v>
      </c>
      <c r="O133" t="n">
        <v>0</v>
      </c>
      <c r="P133" t="n">
        <v>0</v>
      </c>
      <c r="Q133" t="n">
        <v>0</v>
      </c>
      <c r="R133" s="2" t="inlineStr"/>
    </row>
    <row r="134" ht="15" customHeight="1">
      <c r="A134" t="inlineStr">
        <is>
          <t>A 29088-2020</t>
        </is>
      </c>
      <c r="B134" s="1" t="n">
        <v>44002</v>
      </c>
      <c r="C134" s="1" t="n">
        <v>45564</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29672-2020</t>
        </is>
      </c>
      <c r="B135" s="1" t="n">
        <v>44005</v>
      </c>
      <c r="C135" s="1" t="n">
        <v>45564</v>
      </c>
      <c r="D135" t="inlineStr">
        <is>
          <t>DALARNAS LÄN</t>
        </is>
      </c>
      <c r="E135" t="inlineStr">
        <is>
          <t>LEKSAND</t>
        </is>
      </c>
      <c r="G135" t="n">
        <v>0.4</v>
      </c>
      <c r="H135" t="n">
        <v>0</v>
      </c>
      <c r="I135" t="n">
        <v>0</v>
      </c>
      <c r="J135" t="n">
        <v>0</v>
      </c>
      <c r="K135" t="n">
        <v>0</v>
      </c>
      <c r="L135" t="n">
        <v>0</v>
      </c>
      <c r="M135" t="n">
        <v>0</v>
      </c>
      <c r="N135" t="n">
        <v>0</v>
      </c>
      <c r="O135" t="n">
        <v>0</v>
      </c>
      <c r="P135" t="n">
        <v>0</v>
      </c>
      <c r="Q135" t="n">
        <v>0</v>
      </c>
      <c r="R135" s="2" t="inlineStr"/>
    </row>
    <row r="136" ht="15" customHeight="1">
      <c r="A136" t="inlineStr">
        <is>
          <t>A 31629-2020</t>
        </is>
      </c>
      <c r="B136" s="1" t="n">
        <v>44013</v>
      </c>
      <c r="C136" s="1" t="n">
        <v>45564</v>
      </c>
      <c r="D136" t="inlineStr">
        <is>
          <t>DALARNAS LÄN</t>
        </is>
      </c>
      <c r="E136" t="inlineStr">
        <is>
          <t>LEKSAND</t>
        </is>
      </c>
      <c r="G136" t="n">
        <v>5.4</v>
      </c>
      <c r="H136" t="n">
        <v>0</v>
      </c>
      <c r="I136" t="n">
        <v>0</v>
      </c>
      <c r="J136" t="n">
        <v>0</v>
      </c>
      <c r="K136" t="n">
        <v>0</v>
      </c>
      <c r="L136" t="n">
        <v>0</v>
      </c>
      <c r="M136" t="n">
        <v>0</v>
      </c>
      <c r="N136" t="n">
        <v>0</v>
      </c>
      <c r="O136" t="n">
        <v>0</v>
      </c>
      <c r="P136" t="n">
        <v>0</v>
      </c>
      <c r="Q136" t="n">
        <v>0</v>
      </c>
      <c r="R136" s="2" t="inlineStr"/>
    </row>
    <row r="137" ht="15" customHeight="1">
      <c r="A137" t="inlineStr">
        <is>
          <t>A 37568-2020</t>
        </is>
      </c>
      <c r="B137" s="1" t="n">
        <v>44056</v>
      </c>
      <c r="C137" s="1" t="n">
        <v>45564</v>
      </c>
      <c r="D137" t="inlineStr">
        <is>
          <t>DALARNAS LÄN</t>
        </is>
      </c>
      <c r="E137" t="inlineStr">
        <is>
          <t>LEKSAND</t>
        </is>
      </c>
      <c r="G137" t="n">
        <v>3.4</v>
      </c>
      <c r="H137" t="n">
        <v>0</v>
      </c>
      <c r="I137" t="n">
        <v>0</v>
      </c>
      <c r="J137" t="n">
        <v>0</v>
      </c>
      <c r="K137" t="n">
        <v>0</v>
      </c>
      <c r="L137" t="n">
        <v>0</v>
      </c>
      <c r="M137" t="n">
        <v>0</v>
      </c>
      <c r="N137" t="n">
        <v>0</v>
      </c>
      <c r="O137" t="n">
        <v>0</v>
      </c>
      <c r="P137" t="n">
        <v>0</v>
      </c>
      <c r="Q137" t="n">
        <v>0</v>
      </c>
      <c r="R137" s="2" t="inlineStr"/>
    </row>
    <row r="138" ht="15" customHeight="1">
      <c r="A138" t="inlineStr">
        <is>
          <t>A 41093-2020</t>
        </is>
      </c>
      <c r="B138" s="1" t="n">
        <v>44071</v>
      </c>
      <c r="C138" s="1" t="n">
        <v>45564</v>
      </c>
      <c r="D138" t="inlineStr">
        <is>
          <t>DALARNAS LÄN</t>
        </is>
      </c>
      <c r="E138" t="inlineStr">
        <is>
          <t>LEKSAND</t>
        </is>
      </c>
      <c r="F138" t="inlineStr">
        <is>
          <t>Bergvik skog väst AB</t>
        </is>
      </c>
      <c r="G138" t="n">
        <v>0.8</v>
      </c>
      <c r="H138" t="n">
        <v>0</v>
      </c>
      <c r="I138" t="n">
        <v>0</v>
      </c>
      <c r="J138" t="n">
        <v>0</v>
      </c>
      <c r="K138" t="n">
        <v>0</v>
      </c>
      <c r="L138" t="n">
        <v>0</v>
      </c>
      <c r="M138" t="n">
        <v>0</v>
      </c>
      <c r="N138" t="n">
        <v>0</v>
      </c>
      <c r="O138" t="n">
        <v>0</v>
      </c>
      <c r="P138" t="n">
        <v>0</v>
      </c>
      <c r="Q138" t="n">
        <v>0</v>
      </c>
      <c r="R138" s="2" t="inlineStr"/>
    </row>
    <row r="139" ht="15" customHeight="1">
      <c r="A139" t="inlineStr">
        <is>
          <t>A 41200-2020</t>
        </is>
      </c>
      <c r="B139" s="1" t="n">
        <v>44071</v>
      </c>
      <c r="C139" s="1" t="n">
        <v>45564</v>
      </c>
      <c r="D139" t="inlineStr">
        <is>
          <t>DALARNAS LÄN</t>
        </is>
      </c>
      <c r="E139" t="inlineStr">
        <is>
          <t>LEKSAND</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41432-2020</t>
        </is>
      </c>
      <c r="B140" s="1" t="n">
        <v>44073</v>
      </c>
      <c r="C140" s="1" t="n">
        <v>45564</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42890-2020</t>
        </is>
      </c>
      <c r="B141" s="1" t="n">
        <v>44078</v>
      </c>
      <c r="C141" s="1" t="n">
        <v>45564</v>
      </c>
      <c r="D141" t="inlineStr">
        <is>
          <t>DALARNAS LÄN</t>
        </is>
      </c>
      <c r="E141" t="inlineStr">
        <is>
          <t>LEKSAND</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44665-2020</t>
        </is>
      </c>
      <c r="B142" s="1" t="n">
        <v>44085</v>
      </c>
      <c r="C142" s="1" t="n">
        <v>45564</v>
      </c>
      <c r="D142" t="inlineStr">
        <is>
          <t>DALARNAS LÄN</t>
        </is>
      </c>
      <c r="E142" t="inlineStr">
        <is>
          <t>LEKSAND</t>
        </is>
      </c>
      <c r="F142" t="inlineStr">
        <is>
          <t>Bergvik skog väst AB</t>
        </is>
      </c>
      <c r="G142" t="n">
        <v>5.1</v>
      </c>
      <c r="H142" t="n">
        <v>0</v>
      </c>
      <c r="I142" t="n">
        <v>0</v>
      </c>
      <c r="J142" t="n">
        <v>0</v>
      </c>
      <c r="K142" t="n">
        <v>0</v>
      </c>
      <c r="L142" t="n">
        <v>0</v>
      </c>
      <c r="M142" t="n">
        <v>0</v>
      </c>
      <c r="N142" t="n">
        <v>0</v>
      </c>
      <c r="O142" t="n">
        <v>0</v>
      </c>
      <c r="P142" t="n">
        <v>0</v>
      </c>
      <c r="Q142" t="n">
        <v>0</v>
      </c>
      <c r="R142" s="2" t="inlineStr"/>
    </row>
    <row r="143" ht="15" customHeight="1">
      <c r="A143" t="inlineStr">
        <is>
          <t>A 45995-2020</t>
        </is>
      </c>
      <c r="B143" s="1" t="n">
        <v>44088</v>
      </c>
      <c r="C143" s="1" t="n">
        <v>45564</v>
      </c>
      <c r="D143" t="inlineStr">
        <is>
          <t>DALARNAS LÄN</t>
        </is>
      </c>
      <c r="E143" t="inlineStr">
        <is>
          <t>LEKSAND</t>
        </is>
      </c>
      <c r="G143" t="n">
        <v>7.8</v>
      </c>
      <c r="H143" t="n">
        <v>0</v>
      </c>
      <c r="I143" t="n">
        <v>0</v>
      </c>
      <c r="J143" t="n">
        <v>0</v>
      </c>
      <c r="K143" t="n">
        <v>0</v>
      </c>
      <c r="L143" t="n">
        <v>0</v>
      </c>
      <c r="M143" t="n">
        <v>0</v>
      </c>
      <c r="N143" t="n">
        <v>0</v>
      </c>
      <c r="O143" t="n">
        <v>0</v>
      </c>
      <c r="P143" t="n">
        <v>0</v>
      </c>
      <c r="Q143" t="n">
        <v>0</v>
      </c>
      <c r="R143" s="2" t="inlineStr"/>
    </row>
    <row r="144" ht="15" customHeight="1">
      <c r="A144" t="inlineStr">
        <is>
          <t>A 45950-2020</t>
        </is>
      </c>
      <c r="B144" s="1" t="n">
        <v>44088</v>
      </c>
      <c r="C144" s="1" t="n">
        <v>45564</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45991-2020</t>
        </is>
      </c>
      <c r="B145" s="1" t="n">
        <v>44088</v>
      </c>
      <c r="C145" s="1" t="n">
        <v>45564</v>
      </c>
      <c r="D145" t="inlineStr">
        <is>
          <t>DALARNAS LÄN</t>
        </is>
      </c>
      <c r="E145" t="inlineStr">
        <is>
          <t>LEKSAND</t>
        </is>
      </c>
      <c r="G145" t="n">
        <v>9.9</v>
      </c>
      <c r="H145" t="n">
        <v>0</v>
      </c>
      <c r="I145" t="n">
        <v>0</v>
      </c>
      <c r="J145" t="n">
        <v>0</v>
      </c>
      <c r="K145" t="n">
        <v>0</v>
      </c>
      <c r="L145" t="n">
        <v>0</v>
      </c>
      <c r="M145" t="n">
        <v>0</v>
      </c>
      <c r="N145" t="n">
        <v>0</v>
      </c>
      <c r="O145" t="n">
        <v>0</v>
      </c>
      <c r="P145" t="n">
        <v>0</v>
      </c>
      <c r="Q145" t="n">
        <v>0</v>
      </c>
      <c r="R145" s="2" t="inlineStr"/>
    </row>
    <row r="146" ht="15" customHeight="1">
      <c r="A146" t="inlineStr">
        <is>
          <t>A 46854-2020</t>
        </is>
      </c>
      <c r="B146" s="1" t="n">
        <v>44090</v>
      </c>
      <c r="C146" s="1" t="n">
        <v>45564</v>
      </c>
      <c r="D146" t="inlineStr">
        <is>
          <t>DALARNAS LÄN</t>
        </is>
      </c>
      <c r="E146" t="inlineStr">
        <is>
          <t>LEKSAND</t>
        </is>
      </c>
      <c r="G146" t="n">
        <v>1.6</v>
      </c>
      <c r="H146" t="n">
        <v>0</v>
      </c>
      <c r="I146" t="n">
        <v>0</v>
      </c>
      <c r="J146" t="n">
        <v>0</v>
      </c>
      <c r="K146" t="n">
        <v>0</v>
      </c>
      <c r="L146" t="n">
        <v>0</v>
      </c>
      <c r="M146" t="n">
        <v>0</v>
      </c>
      <c r="N146" t="n">
        <v>0</v>
      </c>
      <c r="O146" t="n">
        <v>0</v>
      </c>
      <c r="P146" t="n">
        <v>0</v>
      </c>
      <c r="Q146" t="n">
        <v>0</v>
      </c>
      <c r="R146" s="2" t="inlineStr"/>
    </row>
    <row r="147" ht="15" customHeight="1">
      <c r="A147" t="inlineStr">
        <is>
          <t>A 47004-2020</t>
        </is>
      </c>
      <c r="B147" s="1" t="n">
        <v>44091</v>
      </c>
      <c r="C147" s="1" t="n">
        <v>45564</v>
      </c>
      <c r="D147" t="inlineStr">
        <is>
          <t>DALARNAS LÄN</t>
        </is>
      </c>
      <c r="E147" t="inlineStr">
        <is>
          <t>LEKSAND</t>
        </is>
      </c>
      <c r="G147" t="n">
        <v>3.2</v>
      </c>
      <c r="H147" t="n">
        <v>0</v>
      </c>
      <c r="I147" t="n">
        <v>0</v>
      </c>
      <c r="J147" t="n">
        <v>0</v>
      </c>
      <c r="K147" t="n">
        <v>0</v>
      </c>
      <c r="L147" t="n">
        <v>0</v>
      </c>
      <c r="M147" t="n">
        <v>0</v>
      </c>
      <c r="N147" t="n">
        <v>0</v>
      </c>
      <c r="O147" t="n">
        <v>0</v>
      </c>
      <c r="P147" t="n">
        <v>0</v>
      </c>
      <c r="Q147" t="n">
        <v>0</v>
      </c>
      <c r="R147" s="2" t="inlineStr"/>
    </row>
    <row r="148" ht="15" customHeight="1">
      <c r="A148" t="inlineStr">
        <is>
          <t>A 47069-2020</t>
        </is>
      </c>
      <c r="B148" s="1" t="n">
        <v>44096</v>
      </c>
      <c r="C148" s="1" t="n">
        <v>45564</v>
      </c>
      <c r="D148" t="inlineStr">
        <is>
          <t>DALARNAS LÄN</t>
        </is>
      </c>
      <c r="E148" t="inlineStr">
        <is>
          <t>LEKSAND</t>
        </is>
      </c>
      <c r="G148" t="n">
        <v>5.5</v>
      </c>
      <c r="H148" t="n">
        <v>0</v>
      </c>
      <c r="I148" t="n">
        <v>0</v>
      </c>
      <c r="J148" t="n">
        <v>0</v>
      </c>
      <c r="K148" t="n">
        <v>0</v>
      </c>
      <c r="L148" t="n">
        <v>0</v>
      </c>
      <c r="M148" t="n">
        <v>0</v>
      </c>
      <c r="N148" t="n">
        <v>0</v>
      </c>
      <c r="O148" t="n">
        <v>0</v>
      </c>
      <c r="P148" t="n">
        <v>0</v>
      </c>
      <c r="Q148" t="n">
        <v>0</v>
      </c>
      <c r="R148" s="2" t="inlineStr"/>
    </row>
    <row r="149" ht="15" customHeight="1">
      <c r="A149" t="inlineStr">
        <is>
          <t>A 50123-2020</t>
        </is>
      </c>
      <c r="B149" s="1" t="n">
        <v>44104</v>
      </c>
      <c r="C149" s="1" t="n">
        <v>45564</v>
      </c>
      <c r="D149" t="inlineStr">
        <is>
          <t>DALARNAS LÄN</t>
        </is>
      </c>
      <c r="E149" t="inlineStr">
        <is>
          <t>LEKSAND</t>
        </is>
      </c>
      <c r="F149" t="inlineStr">
        <is>
          <t>Övriga Aktiebolag</t>
        </is>
      </c>
      <c r="G149" t="n">
        <v>2.7</v>
      </c>
      <c r="H149" t="n">
        <v>0</v>
      </c>
      <c r="I149" t="n">
        <v>0</v>
      </c>
      <c r="J149" t="n">
        <v>0</v>
      </c>
      <c r="K149" t="n">
        <v>0</v>
      </c>
      <c r="L149" t="n">
        <v>0</v>
      </c>
      <c r="M149" t="n">
        <v>0</v>
      </c>
      <c r="N149" t="n">
        <v>0</v>
      </c>
      <c r="O149" t="n">
        <v>0</v>
      </c>
      <c r="P149" t="n">
        <v>0</v>
      </c>
      <c r="Q149" t="n">
        <v>0</v>
      </c>
      <c r="R149" s="2" t="inlineStr"/>
    </row>
    <row r="150" ht="15" customHeight="1">
      <c r="A150" t="inlineStr">
        <is>
          <t>A 50102-2020</t>
        </is>
      </c>
      <c r="B150" s="1" t="n">
        <v>44104</v>
      </c>
      <c r="C150" s="1" t="n">
        <v>45564</v>
      </c>
      <c r="D150" t="inlineStr">
        <is>
          <t>DALARNAS LÄN</t>
        </is>
      </c>
      <c r="E150" t="inlineStr">
        <is>
          <t>LEKSAND</t>
        </is>
      </c>
      <c r="G150" t="n">
        <v>2.4</v>
      </c>
      <c r="H150" t="n">
        <v>0</v>
      </c>
      <c r="I150" t="n">
        <v>0</v>
      </c>
      <c r="J150" t="n">
        <v>0</v>
      </c>
      <c r="K150" t="n">
        <v>0</v>
      </c>
      <c r="L150" t="n">
        <v>0</v>
      </c>
      <c r="M150" t="n">
        <v>0</v>
      </c>
      <c r="N150" t="n">
        <v>0</v>
      </c>
      <c r="O150" t="n">
        <v>0</v>
      </c>
      <c r="P150" t="n">
        <v>0</v>
      </c>
      <c r="Q150" t="n">
        <v>0</v>
      </c>
      <c r="R150" s="2" t="inlineStr"/>
    </row>
    <row r="151" ht="15" customHeight="1">
      <c r="A151" t="inlineStr">
        <is>
          <t>A 60920-2020</t>
        </is>
      </c>
      <c r="B151" s="1" t="n">
        <v>44153</v>
      </c>
      <c r="C151" s="1" t="n">
        <v>45564</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60963-2020</t>
        </is>
      </c>
      <c r="B152" s="1" t="n">
        <v>44154</v>
      </c>
      <c r="C152" s="1" t="n">
        <v>45564</v>
      </c>
      <c r="D152" t="inlineStr">
        <is>
          <t>DALARNAS LÄN</t>
        </is>
      </c>
      <c r="E152" t="inlineStr">
        <is>
          <t>LEKSAND</t>
        </is>
      </c>
      <c r="F152" t="inlineStr">
        <is>
          <t>Bergvik skog väst AB</t>
        </is>
      </c>
      <c r="G152" t="n">
        <v>1.8</v>
      </c>
      <c r="H152" t="n">
        <v>0</v>
      </c>
      <c r="I152" t="n">
        <v>0</v>
      </c>
      <c r="J152" t="n">
        <v>0</v>
      </c>
      <c r="K152" t="n">
        <v>0</v>
      </c>
      <c r="L152" t="n">
        <v>0</v>
      </c>
      <c r="M152" t="n">
        <v>0</v>
      </c>
      <c r="N152" t="n">
        <v>0</v>
      </c>
      <c r="O152" t="n">
        <v>0</v>
      </c>
      <c r="P152" t="n">
        <v>0</v>
      </c>
      <c r="Q152" t="n">
        <v>0</v>
      </c>
      <c r="R152" s="2" t="inlineStr"/>
    </row>
    <row r="153" ht="15" customHeight="1">
      <c r="A153" t="inlineStr">
        <is>
          <t>A 62118-2020</t>
        </is>
      </c>
      <c r="B153" s="1" t="n">
        <v>44159</v>
      </c>
      <c r="C153" s="1" t="n">
        <v>45564</v>
      </c>
      <c r="D153" t="inlineStr">
        <is>
          <t>DALARNAS LÄN</t>
        </is>
      </c>
      <c r="E153" t="inlineStr">
        <is>
          <t>LEKSAND</t>
        </is>
      </c>
      <c r="F153" t="inlineStr">
        <is>
          <t>Bergvik skog väst AB</t>
        </is>
      </c>
      <c r="G153" t="n">
        <v>3.9</v>
      </c>
      <c r="H153" t="n">
        <v>0</v>
      </c>
      <c r="I153" t="n">
        <v>0</v>
      </c>
      <c r="J153" t="n">
        <v>0</v>
      </c>
      <c r="K153" t="n">
        <v>0</v>
      </c>
      <c r="L153" t="n">
        <v>0</v>
      </c>
      <c r="M153" t="n">
        <v>0</v>
      </c>
      <c r="N153" t="n">
        <v>0</v>
      </c>
      <c r="O153" t="n">
        <v>0</v>
      </c>
      <c r="P153" t="n">
        <v>0</v>
      </c>
      <c r="Q153" t="n">
        <v>0</v>
      </c>
      <c r="R153" s="2" t="inlineStr"/>
    </row>
    <row r="154" ht="15" customHeight="1">
      <c r="A154" t="inlineStr">
        <is>
          <t>A 63481-2020</t>
        </is>
      </c>
      <c r="B154" s="1" t="n">
        <v>44161</v>
      </c>
      <c r="C154" s="1" t="n">
        <v>45564</v>
      </c>
      <c r="D154" t="inlineStr">
        <is>
          <t>DALARNAS LÄN</t>
        </is>
      </c>
      <c r="E154" t="inlineStr">
        <is>
          <t>LEKSAND</t>
        </is>
      </c>
      <c r="G154" t="n">
        <v>1.1</v>
      </c>
      <c r="H154" t="n">
        <v>0</v>
      </c>
      <c r="I154" t="n">
        <v>0</v>
      </c>
      <c r="J154" t="n">
        <v>0</v>
      </c>
      <c r="K154" t="n">
        <v>0</v>
      </c>
      <c r="L154" t="n">
        <v>0</v>
      </c>
      <c r="M154" t="n">
        <v>0</v>
      </c>
      <c r="N154" t="n">
        <v>0</v>
      </c>
      <c r="O154" t="n">
        <v>0</v>
      </c>
      <c r="P154" t="n">
        <v>0</v>
      </c>
      <c r="Q154" t="n">
        <v>0</v>
      </c>
      <c r="R154" s="2" t="inlineStr"/>
    </row>
    <row r="155" ht="15" customHeight="1">
      <c r="A155" t="inlineStr">
        <is>
          <t>A 64109-2020</t>
        </is>
      </c>
      <c r="B155" s="1" t="n">
        <v>44167</v>
      </c>
      <c r="C155" s="1" t="n">
        <v>45564</v>
      </c>
      <c r="D155" t="inlineStr">
        <is>
          <t>DALARNAS LÄN</t>
        </is>
      </c>
      <c r="E155" t="inlineStr">
        <is>
          <t>LEKSAND</t>
        </is>
      </c>
      <c r="G155" t="n">
        <v>2.7</v>
      </c>
      <c r="H155" t="n">
        <v>0</v>
      </c>
      <c r="I155" t="n">
        <v>0</v>
      </c>
      <c r="J155" t="n">
        <v>0</v>
      </c>
      <c r="K155" t="n">
        <v>0</v>
      </c>
      <c r="L155" t="n">
        <v>0</v>
      </c>
      <c r="M155" t="n">
        <v>0</v>
      </c>
      <c r="N155" t="n">
        <v>0</v>
      </c>
      <c r="O155" t="n">
        <v>0</v>
      </c>
      <c r="P155" t="n">
        <v>0</v>
      </c>
      <c r="Q155" t="n">
        <v>0</v>
      </c>
      <c r="R155" s="2" t="inlineStr"/>
    </row>
    <row r="156" ht="15" customHeight="1">
      <c r="A156" t="inlineStr">
        <is>
          <t>A 64449-2020</t>
        </is>
      </c>
      <c r="B156" s="1" t="n">
        <v>44168</v>
      </c>
      <c r="C156" s="1" t="n">
        <v>45564</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64876-2020</t>
        </is>
      </c>
      <c r="B157" s="1" t="n">
        <v>44171</v>
      </c>
      <c r="C157" s="1" t="n">
        <v>45564</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65058-2020</t>
        </is>
      </c>
      <c r="B158" s="1" t="n">
        <v>44172</v>
      </c>
      <c r="C158" s="1" t="n">
        <v>45564</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66169-2020</t>
        </is>
      </c>
      <c r="B159" s="1" t="n">
        <v>44174</v>
      </c>
      <c r="C159" s="1" t="n">
        <v>45564</v>
      </c>
      <c r="D159" t="inlineStr">
        <is>
          <t>DALARNAS LÄN</t>
        </is>
      </c>
      <c r="E159" t="inlineStr">
        <is>
          <t>LEKSAND</t>
        </is>
      </c>
      <c r="G159" t="n">
        <v>5.3</v>
      </c>
      <c r="H159" t="n">
        <v>0</v>
      </c>
      <c r="I159" t="n">
        <v>0</v>
      </c>
      <c r="J159" t="n">
        <v>0</v>
      </c>
      <c r="K159" t="n">
        <v>0</v>
      </c>
      <c r="L159" t="n">
        <v>0</v>
      </c>
      <c r="M159" t="n">
        <v>0</v>
      </c>
      <c r="N159" t="n">
        <v>0</v>
      </c>
      <c r="O159" t="n">
        <v>0</v>
      </c>
      <c r="P159" t="n">
        <v>0</v>
      </c>
      <c r="Q159" t="n">
        <v>0</v>
      </c>
      <c r="R159" s="2" t="inlineStr"/>
    </row>
    <row r="160" ht="15" customHeight="1">
      <c r="A160" t="inlineStr">
        <is>
          <t>A 67100-2020</t>
        </is>
      </c>
      <c r="B160" s="1" t="n">
        <v>44179</v>
      </c>
      <c r="C160" s="1" t="n">
        <v>45564</v>
      </c>
      <c r="D160" t="inlineStr">
        <is>
          <t>DALARNAS LÄN</t>
        </is>
      </c>
      <c r="E160" t="inlineStr">
        <is>
          <t>LEKSAND</t>
        </is>
      </c>
      <c r="G160" t="n">
        <v>1.9</v>
      </c>
      <c r="H160" t="n">
        <v>0</v>
      </c>
      <c r="I160" t="n">
        <v>0</v>
      </c>
      <c r="J160" t="n">
        <v>0</v>
      </c>
      <c r="K160" t="n">
        <v>0</v>
      </c>
      <c r="L160" t="n">
        <v>0</v>
      </c>
      <c r="M160" t="n">
        <v>0</v>
      </c>
      <c r="N160" t="n">
        <v>0</v>
      </c>
      <c r="O160" t="n">
        <v>0</v>
      </c>
      <c r="P160" t="n">
        <v>0</v>
      </c>
      <c r="Q160" t="n">
        <v>0</v>
      </c>
      <c r="R160" s="2" t="inlineStr"/>
    </row>
    <row r="161" ht="15" customHeight="1">
      <c r="A161" t="inlineStr">
        <is>
          <t>A 67307-2020</t>
        </is>
      </c>
      <c r="B161" s="1" t="n">
        <v>44181</v>
      </c>
      <c r="C161" s="1" t="n">
        <v>45564</v>
      </c>
      <c r="D161" t="inlineStr">
        <is>
          <t>DALARNAS LÄN</t>
        </is>
      </c>
      <c r="E161" t="inlineStr">
        <is>
          <t>LEKSAND</t>
        </is>
      </c>
      <c r="G161" t="n">
        <v>5.9</v>
      </c>
      <c r="H161" t="n">
        <v>0</v>
      </c>
      <c r="I161" t="n">
        <v>0</v>
      </c>
      <c r="J161" t="n">
        <v>0</v>
      </c>
      <c r="K161" t="n">
        <v>0</v>
      </c>
      <c r="L161" t="n">
        <v>0</v>
      </c>
      <c r="M161" t="n">
        <v>0</v>
      </c>
      <c r="N161" t="n">
        <v>0</v>
      </c>
      <c r="O161" t="n">
        <v>0</v>
      </c>
      <c r="P161" t="n">
        <v>0</v>
      </c>
      <c r="Q161" t="n">
        <v>0</v>
      </c>
      <c r="R161" s="2" t="inlineStr"/>
    </row>
    <row r="162" ht="15" customHeight="1">
      <c r="A162" t="inlineStr">
        <is>
          <t>A 68058-2020</t>
        </is>
      </c>
      <c r="B162" s="1" t="n">
        <v>44183</v>
      </c>
      <c r="C162" s="1" t="n">
        <v>45564</v>
      </c>
      <c r="D162" t="inlineStr">
        <is>
          <t>DALARNAS LÄN</t>
        </is>
      </c>
      <c r="E162" t="inlineStr">
        <is>
          <t>LEKSAND</t>
        </is>
      </c>
      <c r="F162" t="inlineStr">
        <is>
          <t>Bergvik skog väst AB</t>
        </is>
      </c>
      <c r="G162" t="n">
        <v>4.9</v>
      </c>
      <c r="H162" t="n">
        <v>0</v>
      </c>
      <c r="I162" t="n">
        <v>0</v>
      </c>
      <c r="J162" t="n">
        <v>0</v>
      </c>
      <c r="K162" t="n">
        <v>0</v>
      </c>
      <c r="L162" t="n">
        <v>0</v>
      </c>
      <c r="M162" t="n">
        <v>0</v>
      </c>
      <c r="N162" t="n">
        <v>0</v>
      </c>
      <c r="O162" t="n">
        <v>0</v>
      </c>
      <c r="P162" t="n">
        <v>0</v>
      </c>
      <c r="Q162" t="n">
        <v>0</v>
      </c>
      <c r="R162" s="2" t="inlineStr"/>
    </row>
    <row r="163" ht="15" customHeight="1">
      <c r="A163" t="inlineStr">
        <is>
          <t>A 776-2021</t>
        </is>
      </c>
      <c r="B163" s="1" t="n">
        <v>44203</v>
      </c>
      <c r="C163" s="1" t="n">
        <v>45564</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1078-2021</t>
        </is>
      </c>
      <c r="B164" s="1" t="n">
        <v>44207</v>
      </c>
      <c r="C164" s="1" t="n">
        <v>45564</v>
      </c>
      <c r="D164" t="inlineStr">
        <is>
          <t>DALARNAS LÄN</t>
        </is>
      </c>
      <c r="E164" t="inlineStr">
        <is>
          <t>LEKSAND</t>
        </is>
      </c>
      <c r="G164" t="n">
        <v>4.9</v>
      </c>
      <c r="H164" t="n">
        <v>0</v>
      </c>
      <c r="I164" t="n">
        <v>0</v>
      </c>
      <c r="J164" t="n">
        <v>0</v>
      </c>
      <c r="K164" t="n">
        <v>0</v>
      </c>
      <c r="L164" t="n">
        <v>0</v>
      </c>
      <c r="M164" t="n">
        <v>0</v>
      </c>
      <c r="N164" t="n">
        <v>0</v>
      </c>
      <c r="O164" t="n">
        <v>0</v>
      </c>
      <c r="P164" t="n">
        <v>0</v>
      </c>
      <c r="Q164" t="n">
        <v>0</v>
      </c>
      <c r="R164" s="2" t="inlineStr"/>
    </row>
    <row r="165" ht="15" customHeight="1">
      <c r="A165" t="inlineStr">
        <is>
          <t>A 2311-2021</t>
        </is>
      </c>
      <c r="B165" s="1" t="n">
        <v>44213</v>
      </c>
      <c r="C165" s="1" t="n">
        <v>45564</v>
      </c>
      <c r="D165" t="inlineStr">
        <is>
          <t>DALARNAS LÄN</t>
        </is>
      </c>
      <c r="E165" t="inlineStr">
        <is>
          <t>LEKSAND</t>
        </is>
      </c>
      <c r="G165" t="n">
        <v>1.5</v>
      </c>
      <c r="H165" t="n">
        <v>0</v>
      </c>
      <c r="I165" t="n">
        <v>0</v>
      </c>
      <c r="J165" t="n">
        <v>0</v>
      </c>
      <c r="K165" t="n">
        <v>0</v>
      </c>
      <c r="L165" t="n">
        <v>0</v>
      </c>
      <c r="M165" t="n">
        <v>0</v>
      </c>
      <c r="N165" t="n">
        <v>0</v>
      </c>
      <c r="O165" t="n">
        <v>0</v>
      </c>
      <c r="P165" t="n">
        <v>0</v>
      </c>
      <c r="Q165" t="n">
        <v>0</v>
      </c>
      <c r="R165" s="2" t="inlineStr"/>
    </row>
    <row r="166" ht="15" customHeight="1">
      <c r="A166" t="inlineStr">
        <is>
          <t>A 9131-2021</t>
        </is>
      </c>
      <c r="B166" s="1" t="n">
        <v>44249</v>
      </c>
      <c r="C166" s="1" t="n">
        <v>45564</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9133-2021</t>
        </is>
      </c>
      <c r="B167" s="1" t="n">
        <v>44249</v>
      </c>
      <c r="C167" s="1" t="n">
        <v>45564</v>
      </c>
      <c r="D167" t="inlineStr">
        <is>
          <t>DALARNAS LÄN</t>
        </is>
      </c>
      <c r="E167" t="inlineStr">
        <is>
          <t>LEKSAND</t>
        </is>
      </c>
      <c r="G167" t="n">
        <v>2.5</v>
      </c>
      <c r="H167" t="n">
        <v>0</v>
      </c>
      <c r="I167" t="n">
        <v>0</v>
      </c>
      <c r="J167" t="n">
        <v>0</v>
      </c>
      <c r="K167" t="n">
        <v>0</v>
      </c>
      <c r="L167" t="n">
        <v>0</v>
      </c>
      <c r="M167" t="n">
        <v>0</v>
      </c>
      <c r="N167" t="n">
        <v>0</v>
      </c>
      <c r="O167" t="n">
        <v>0</v>
      </c>
      <c r="P167" t="n">
        <v>0</v>
      </c>
      <c r="Q167" t="n">
        <v>0</v>
      </c>
      <c r="R167" s="2" t="inlineStr"/>
    </row>
    <row r="168" ht="15" customHeight="1">
      <c r="A168" t="inlineStr">
        <is>
          <t>A 13705-2021</t>
        </is>
      </c>
      <c r="B168" s="1" t="n">
        <v>44274</v>
      </c>
      <c r="C168" s="1" t="n">
        <v>45564</v>
      </c>
      <c r="D168" t="inlineStr">
        <is>
          <t>DALARNAS LÄN</t>
        </is>
      </c>
      <c r="E168" t="inlineStr">
        <is>
          <t>LEKSAND</t>
        </is>
      </c>
      <c r="G168" t="n">
        <v>3.8</v>
      </c>
      <c r="H168" t="n">
        <v>0</v>
      </c>
      <c r="I168" t="n">
        <v>0</v>
      </c>
      <c r="J168" t="n">
        <v>0</v>
      </c>
      <c r="K168" t="n">
        <v>0</v>
      </c>
      <c r="L168" t="n">
        <v>0</v>
      </c>
      <c r="M168" t="n">
        <v>0</v>
      </c>
      <c r="N168" t="n">
        <v>0</v>
      </c>
      <c r="O168" t="n">
        <v>0</v>
      </c>
      <c r="P168" t="n">
        <v>0</v>
      </c>
      <c r="Q168" t="n">
        <v>0</v>
      </c>
      <c r="R168" s="2" t="inlineStr"/>
    </row>
    <row r="169" ht="15" customHeight="1">
      <c r="A169" t="inlineStr">
        <is>
          <t>A 16231-2021</t>
        </is>
      </c>
      <c r="B169" s="1" t="n">
        <v>44292</v>
      </c>
      <c r="C169" s="1" t="n">
        <v>45564</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17615-2021</t>
        </is>
      </c>
      <c r="B170" s="1" t="n">
        <v>44299</v>
      </c>
      <c r="C170" s="1" t="n">
        <v>45564</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18267-2021</t>
        </is>
      </c>
      <c r="B171" s="1" t="n">
        <v>44305</v>
      </c>
      <c r="C171" s="1" t="n">
        <v>45564</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18706-2021</t>
        </is>
      </c>
      <c r="B172" s="1" t="n">
        <v>44307</v>
      </c>
      <c r="C172" s="1" t="n">
        <v>45564</v>
      </c>
      <c r="D172" t="inlineStr">
        <is>
          <t>DALARNAS LÄN</t>
        </is>
      </c>
      <c r="E172" t="inlineStr">
        <is>
          <t>LEKSAND</t>
        </is>
      </c>
      <c r="G172" t="n">
        <v>3.4</v>
      </c>
      <c r="H172" t="n">
        <v>0</v>
      </c>
      <c r="I172" t="n">
        <v>0</v>
      </c>
      <c r="J172" t="n">
        <v>0</v>
      </c>
      <c r="K172" t="n">
        <v>0</v>
      </c>
      <c r="L172" t="n">
        <v>0</v>
      </c>
      <c r="M172" t="n">
        <v>0</v>
      </c>
      <c r="N172" t="n">
        <v>0</v>
      </c>
      <c r="O172" t="n">
        <v>0</v>
      </c>
      <c r="P172" t="n">
        <v>0</v>
      </c>
      <c r="Q172" t="n">
        <v>0</v>
      </c>
      <c r="R172" s="2" t="inlineStr"/>
    </row>
    <row r="173" ht="15" customHeight="1">
      <c r="A173" t="inlineStr">
        <is>
          <t>A 19677-2021</t>
        </is>
      </c>
      <c r="B173" s="1" t="n">
        <v>44312</v>
      </c>
      <c r="C173" s="1" t="n">
        <v>45564</v>
      </c>
      <c r="D173" t="inlineStr">
        <is>
          <t>DALARNAS LÄN</t>
        </is>
      </c>
      <c r="E173" t="inlineStr">
        <is>
          <t>LEKSAND</t>
        </is>
      </c>
      <c r="F173" t="inlineStr">
        <is>
          <t>Bergvik skog väst AB</t>
        </is>
      </c>
      <c r="G173" t="n">
        <v>3.1</v>
      </c>
      <c r="H173" t="n">
        <v>0</v>
      </c>
      <c r="I173" t="n">
        <v>0</v>
      </c>
      <c r="J173" t="n">
        <v>0</v>
      </c>
      <c r="K173" t="n">
        <v>0</v>
      </c>
      <c r="L173" t="n">
        <v>0</v>
      </c>
      <c r="M173" t="n">
        <v>0</v>
      </c>
      <c r="N173" t="n">
        <v>0</v>
      </c>
      <c r="O173" t="n">
        <v>0</v>
      </c>
      <c r="P173" t="n">
        <v>0</v>
      </c>
      <c r="Q173" t="n">
        <v>0</v>
      </c>
      <c r="R173" s="2" t="inlineStr"/>
    </row>
    <row r="174" ht="15" customHeight="1">
      <c r="A174" t="inlineStr">
        <is>
          <t>A 21132-2021</t>
        </is>
      </c>
      <c r="B174" s="1" t="n">
        <v>44319</v>
      </c>
      <c r="C174" s="1" t="n">
        <v>45564</v>
      </c>
      <c r="D174" t="inlineStr">
        <is>
          <t>DALARNAS LÄN</t>
        </is>
      </c>
      <c r="E174" t="inlineStr">
        <is>
          <t>LEKSAND</t>
        </is>
      </c>
      <c r="G174" t="n">
        <v>6.8</v>
      </c>
      <c r="H174" t="n">
        <v>0</v>
      </c>
      <c r="I174" t="n">
        <v>0</v>
      </c>
      <c r="J174" t="n">
        <v>0</v>
      </c>
      <c r="K174" t="n">
        <v>0</v>
      </c>
      <c r="L174" t="n">
        <v>0</v>
      </c>
      <c r="M174" t="n">
        <v>0</v>
      </c>
      <c r="N174" t="n">
        <v>0</v>
      </c>
      <c r="O174" t="n">
        <v>0</v>
      </c>
      <c r="P174" t="n">
        <v>0</v>
      </c>
      <c r="Q174" t="n">
        <v>0</v>
      </c>
      <c r="R174" s="2" t="inlineStr"/>
    </row>
    <row r="175" ht="15" customHeight="1">
      <c r="A175" t="inlineStr">
        <is>
          <t>A 21968-2021</t>
        </is>
      </c>
      <c r="B175" s="1" t="n">
        <v>44323</v>
      </c>
      <c r="C175" s="1" t="n">
        <v>45564</v>
      </c>
      <c r="D175" t="inlineStr">
        <is>
          <t>DALARNAS LÄN</t>
        </is>
      </c>
      <c r="E175" t="inlineStr">
        <is>
          <t>LEKSAND</t>
        </is>
      </c>
      <c r="G175" t="n">
        <v>1.4</v>
      </c>
      <c r="H175" t="n">
        <v>0</v>
      </c>
      <c r="I175" t="n">
        <v>0</v>
      </c>
      <c r="J175" t="n">
        <v>0</v>
      </c>
      <c r="K175" t="n">
        <v>0</v>
      </c>
      <c r="L175" t="n">
        <v>0</v>
      </c>
      <c r="M175" t="n">
        <v>0</v>
      </c>
      <c r="N175" t="n">
        <v>0</v>
      </c>
      <c r="O175" t="n">
        <v>0</v>
      </c>
      <c r="P175" t="n">
        <v>0</v>
      </c>
      <c r="Q175" t="n">
        <v>0</v>
      </c>
      <c r="R175" s="2" t="inlineStr"/>
    </row>
    <row r="176" ht="15" customHeight="1">
      <c r="A176" t="inlineStr">
        <is>
          <t>A 21969-2021</t>
        </is>
      </c>
      <c r="B176" s="1" t="n">
        <v>44323</v>
      </c>
      <c r="C176" s="1" t="n">
        <v>45564</v>
      </c>
      <c r="D176" t="inlineStr">
        <is>
          <t>DALARNAS LÄN</t>
        </is>
      </c>
      <c r="E176" t="inlineStr">
        <is>
          <t>LEKSAND</t>
        </is>
      </c>
      <c r="G176" t="n">
        <v>3.8</v>
      </c>
      <c r="H176" t="n">
        <v>0</v>
      </c>
      <c r="I176" t="n">
        <v>0</v>
      </c>
      <c r="J176" t="n">
        <v>0</v>
      </c>
      <c r="K176" t="n">
        <v>0</v>
      </c>
      <c r="L176" t="n">
        <v>0</v>
      </c>
      <c r="M176" t="n">
        <v>0</v>
      </c>
      <c r="N176" t="n">
        <v>0</v>
      </c>
      <c r="O176" t="n">
        <v>0</v>
      </c>
      <c r="P176" t="n">
        <v>0</v>
      </c>
      <c r="Q176" t="n">
        <v>0</v>
      </c>
      <c r="R176" s="2" t="inlineStr"/>
    </row>
    <row r="177" ht="15" customHeight="1">
      <c r="A177" t="inlineStr">
        <is>
          <t>A 21965-2021</t>
        </is>
      </c>
      <c r="B177" s="1" t="n">
        <v>44323</v>
      </c>
      <c r="C177" s="1" t="n">
        <v>45564</v>
      </c>
      <c r="D177" t="inlineStr">
        <is>
          <t>DALARNAS LÄN</t>
        </is>
      </c>
      <c r="E177" t="inlineStr">
        <is>
          <t>LEKSAND</t>
        </is>
      </c>
      <c r="G177" t="n">
        <v>0.5</v>
      </c>
      <c r="H177" t="n">
        <v>0</v>
      </c>
      <c r="I177" t="n">
        <v>0</v>
      </c>
      <c r="J177" t="n">
        <v>0</v>
      </c>
      <c r="K177" t="n">
        <v>0</v>
      </c>
      <c r="L177" t="n">
        <v>0</v>
      </c>
      <c r="M177" t="n">
        <v>0</v>
      </c>
      <c r="N177" t="n">
        <v>0</v>
      </c>
      <c r="O177" t="n">
        <v>0</v>
      </c>
      <c r="P177" t="n">
        <v>0</v>
      </c>
      <c r="Q177" t="n">
        <v>0</v>
      </c>
      <c r="R177" s="2" t="inlineStr"/>
    </row>
    <row r="178" ht="15" customHeight="1">
      <c r="A178" t="inlineStr">
        <is>
          <t>A 22431-2021</t>
        </is>
      </c>
      <c r="B178" s="1" t="n">
        <v>44326</v>
      </c>
      <c r="C178" s="1" t="n">
        <v>45564</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22703-2021</t>
        </is>
      </c>
      <c r="B179" s="1" t="n">
        <v>44327</v>
      </c>
      <c r="C179" s="1" t="n">
        <v>45564</v>
      </c>
      <c r="D179" t="inlineStr">
        <is>
          <t>DALARNAS LÄN</t>
        </is>
      </c>
      <c r="E179" t="inlineStr">
        <is>
          <t>LEKSAND</t>
        </is>
      </c>
      <c r="F179" t="inlineStr">
        <is>
          <t>Bergvik skog väst AB</t>
        </is>
      </c>
      <c r="G179" t="n">
        <v>3.4</v>
      </c>
      <c r="H179" t="n">
        <v>0</v>
      </c>
      <c r="I179" t="n">
        <v>0</v>
      </c>
      <c r="J179" t="n">
        <v>0</v>
      </c>
      <c r="K179" t="n">
        <v>0</v>
      </c>
      <c r="L179" t="n">
        <v>0</v>
      </c>
      <c r="M179" t="n">
        <v>0</v>
      </c>
      <c r="N179" t="n">
        <v>0</v>
      </c>
      <c r="O179" t="n">
        <v>0</v>
      </c>
      <c r="P179" t="n">
        <v>0</v>
      </c>
      <c r="Q179" t="n">
        <v>0</v>
      </c>
      <c r="R179" s="2" t="inlineStr"/>
      <c r="U179">
        <f>HYPERLINK("https://klasma.github.io/Logging_2029/knärot/A 22703-2021 karta knärot.png", "A 22703-2021")</f>
        <v/>
      </c>
      <c r="V179">
        <f>HYPERLINK("https://klasma.github.io/Logging_2029/klagomål/A 22703-2021 FSC-klagomål.docx", "A 22703-2021")</f>
        <v/>
      </c>
      <c r="W179">
        <f>HYPERLINK("https://klasma.github.io/Logging_2029/klagomålsmail/A 22703-2021 FSC-klagomål mail.docx", "A 22703-2021")</f>
        <v/>
      </c>
      <c r="X179">
        <f>HYPERLINK("https://klasma.github.io/Logging_2029/tillsyn/A 22703-2021 tillsynsbegäran.docx", "A 22703-2021")</f>
        <v/>
      </c>
      <c r="Y179">
        <f>HYPERLINK("https://klasma.github.io/Logging_2029/tillsynsmail/A 22703-2021 tillsynsbegäran mail.docx", "A 22703-2021")</f>
        <v/>
      </c>
    </row>
    <row r="180" ht="15" customHeight="1">
      <c r="A180" t="inlineStr">
        <is>
          <t>A 22684-2021</t>
        </is>
      </c>
      <c r="B180" s="1" t="n">
        <v>44327</v>
      </c>
      <c r="C180" s="1" t="n">
        <v>45564</v>
      </c>
      <c r="D180" t="inlineStr">
        <is>
          <t>DALARNAS LÄN</t>
        </is>
      </c>
      <c r="E180" t="inlineStr">
        <is>
          <t>LEKSAND</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22999-2021</t>
        </is>
      </c>
      <c r="B181" s="1" t="n">
        <v>44328</v>
      </c>
      <c r="C181" s="1" t="n">
        <v>45564</v>
      </c>
      <c r="D181" t="inlineStr">
        <is>
          <t>DALARNAS LÄN</t>
        </is>
      </c>
      <c r="E181" t="inlineStr">
        <is>
          <t>LEKSAND</t>
        </is>
      </c>
      <c r="F181" t="inlineStr">
        <is>
          <t>Bergvik skog väst AB</t>
        </is>
      </c>
      <c r="G181" t="n">
        <v>8.5</v>
      </c>
      <c r="H181" t="n">
        <v>0</v>
      </c>
      <c r="I181" t="n">
        <v>0</v>
      </c>
      <c r="J181" t="n">
        <v>0</v>
      </c>
      <c r="K181" t="n">
        <v>0</v>
      </c>
      <c r="L181" t="n">
        <v>0</v>
      </c>
      <c r="M181" t="n">
        <v>0</v>
      </c>
      <c r="N181" t="n">
        <v>0</v>
      </c>
      <c r="O181" t="n">
        <v>0</v>
      </c>
      <c r="P181" t="n">
        <v>0</v>
      </c>
      <c r="Q181" t="n">
        <v>0</v>
      </c>
      <c r="R181" s="2" t="inlineStr"/>
    </row>
    <row r="182" ht="15" customHeight="1">
      <c r="A182" t="inlineStr">
        <is>
          <t>A 23824-2021</t>
        </is>
      </c>
      <c r="B182" s="1" t="n">
        <v>44335</v>
      </c>
      <c r="C182" s="1" t="n">
        <v>45564</v>
      </c>
      <c r="D182" t="inlineStr">
        <is>
          <t>DALARNAS LÄN</t>
        </is>
      </c>
      <c r="E182" t="inlineStr">
        <is>
          <t>LEKSAND</t>
        </is>
      </c>
      <c r="G182" t="n">
        <v>0.9</v>
      </c>
      <c r="H182" t="n">
        <v>0</v>
      </c>
      <c r="I182" t="n">
        <v>0</v>
      </c>
      <c r="J182" t="n">
        <v>0</v>
      </c>
      <c r="K182" t="n">
        <v>0</v>
      </c>
      <c r="L182" t="n">
        <v>0</v>
      </c>
      <c r="M182" t="n">
        <v>0</v>
      </c>
      <c r="N182" t="n">
        <v>0</v>
      </c>
      <c r="O182" t="n">
        <v>0</v>
      </c>
      <c r="P182" t="n">
        <v>0</v>
      </c>
      <c r="Q182" t="n">
        <v>0</v>
      </c>
      <c r="R182" s="2" t="inlineStr"/>
    </row>
    <row r="183" ht="15" customHeight="1">
      <c r="A183" t="inlineStr">
        <is>
          <t>A 24142-2021</t>
        </is>
      </c>
      <c r="B183" s="1" t="n">
        <v>44336</v>
      </c>
      <c r="C183" s="1" t="n">
        <v>45564</v>
      </c>
      <c r="D183" t="inlineStr">
        <is>
          <t>DALARNAS LÄN</t>
        </is>
      </c>
      <c r="E183" t="inlineStr">
        <is>
          <t>LEKSAND</t>
        </is>
      </c>
      <c r="F183" t="inlineStr">
        <is>
          <t>Bergvik skog väst AB</t>
        </is>
      </c>
      <c r="G183" t="n">
        <v>18.9</v>
      </c>
      <c r="H183" t="n">
        <v>0</v>
      </c>
      <c r="I183" t="n">
        <v>0</v>
      </c>
      <c r="J183" t="n">
        <v>0</v>
      </c>
      <c r="K183" t="n">
        <v>0</v>
      </c>
      <c r="L183" t="n">
        <v>0</v>
      </c>
      <c r="M183" t="n">
        <v>0</v>
      </c>
      <c r="N183" t="n">
        <v>0</v>
      </c>
      <c r="O183" t="n">
        <v>0</v>
      </c>
      <c r="P183" t="n">
        <v>0</v>
      </c>
      <c r="Q183" t="n">
        <v>0</v>
      </c>
      <c r="R183" s="2" t="inlineStr"/>
    </row>
    <row r="184" ht="15" customHeight="1">
      <c r="A184" t="inlineStr">
        <is>
          <t>A 24479-2021</t>
        </is>
      </c>
      <c r="B184" s="1" t="n">
        <v>44337</v>
      </c>
      <c r="C184" s="1" t="n">
        <v>45564</v>
      </c>
      <c r="D184" t="inlineStr">
        <is>
          <t>DALARNAS LÄN</t>
        </is>
      </c>
      <c r="E184" t="inlineStr">
        <is>
          <t>LEKSAND</t>
        </is>
      </c>
      <c r="F184" t="inlineStr">
        <is>
          <t>Bergvik skog väst AB</t>
        </is>
      </c>
      <c r="G184" t="n">
        <v>6.6</v>
      </c>
      <c r="H184" t="n">
        <v>0</v>
      </c>
      <c r="I184" t="n">
        <v>0</v>
      </c>
      <c r="J184" t="n">
        <v>0</v>
      </c>
      <c r="K184" t="n">
        <v>0</v>
      </c>
      <c r="L184" t="n">
        <v>0</v>
      </c>
      <c r="M184" t="n">
        <v>0</v>
      </c>
      <c r="N184" t="n">
        <v>0</v>
      </c>
      <c r="O184" t="n">
        <v>0</v>
      </c>
      <c r="P184" t="n">
        <v>0</v>
      </c>
      <c r="Q184" t="n">
        <v>0</v>
      </c>
      <c r="R184" s="2" t="inlineStr"/>
    </row>
    <row r="185" ht="15" customHeight="1">
      <c r="A185" t="inlineStr">
        <is>
          <t>A 26738-2021</t>
        </is>
      </c>
      <c r="B185" s="1" t="n">
        <v>44349</v>
      </c>
      <c r="C185" s="1" t="n">
        <v>45564</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27154-2021</t>
        </is>
      </c>
      <c r="B186" s="1" t="n">
        <v>44350</v>
      </c>
      <c r="C186" s="1" t="n">
        <v>45564</v>
      </c>
      <c r="D186" t="inlineStr">
        <is>
          <t>DALARNAS LÄN</t>
        </is>
      </c>
      <c r="E186" t="inlineStr">
        <is>
          <t>LEKSAND</t>
        </is>
      </c>
      <c r="G186" t="n">
        <v>0.7</v>
      </c>
      <c r="H186" t="n">
        <v>0</v>
      </c>
      <c r="I186" t="n">
        <v>0</v>
      </c>
      <c r="J186" t="n">
        <v>0</v>
      </c>
      <c r="K186" t="n">
        <v>0</v>
      </c>
      <c r="L186" t="n">
        <v>0</v>
      </c>
      <c r="M186" t="n">
        <v>0</v>
      </c>
      <c r="N186" t="n">
        <v>0</v>
      </c>
      <c r="O186" t="n">
        <v>0</v>
      </c>
      <c r="P186" t="n">
        <v>0</v>
      </c>
      <c r="Q186" t="n">
        <v>0</v>
      </c>
      <c r="R186" s="2" t="inlineStr"/>
    </row>
    <row r="187" ht="15" customHeight="1">
      <c r="A187" t="inlineStr">
        <is>
          <t>A 27317-2021</t>
        </is>
      </c>
      <c r="B187" s="1" t="n">
        <v>44351</v>
      </c>
      <c r="C187" s="1" t="n">
        <v>45564</v>
      </c>
      <c r="D187" t="inlineStr">
        <is>
          <t>DALARNAS LÄN</t>
        </is>
      </c>
      <c r="E187" t="inlineStr">
        <is>
          <t>LEKSAND</t>
        </is>
      </c>
      <c r="G187" t="n">
        <v>1</v>
      </c>
      <c r="H187" t="n">
        <v>0</v>
      </c>
      <c r="I187" t="n">
        <v>0</v>
      </c>
      <c r="J187" t="n">
        <v>0</v>
      </c>
      <c r="K187" t="n">
        <v>0</v>
      </c>
      <c r="L187" t="n">
        <v>0</v>
      </c>
      <c r="M187" t="n">
        <v>0</v>
      </c>
      <c r="N187" t="n">
        <v>0</v>
      </c>
      <c r="O187" t="n">
        <v>0</v>
      </c>
      <c r="P187" t="n">
        <v>0</v>
      </c>
      <c r="Q187" t="n">
        <v>0</v>
      </c>
      <c r="R187" s="2" t="inlineStr"/>
    </row>
    <row r="188" ht="15" customHeight="1">
      <c r="A188" t="inlineStr">
        <is>
          <t>A 32152-2021</t>
        </is>
      </c>
      <c r="B188" s="1" t="n">
        <v>44371</v>
      </c>
      <c r="C188" s="1" t="n">
        <v>45564</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32635-2021</t>
        </is>
      </c>
      <c r="B189" s="1" t="n">
        <v>44374</v>
      </c>
      <c r="C189" s="1" t="n">
        <v>45564</v>
      </c>
      <c r="D189" t="inlineStr">
        <is>
          <t>DALARNAS LÄN</t>
        </is>
      </c>
      <c r="E189" t="inlineStr">
        <is>
          <t>LEKSAND</t>
        </is>
      </c>
      <c r="G189" t="n">
        <v>1.2</v>
      </c>
      <c r="H189" t="n">
        <v>0</v>
      </c>
      <c r="I189" t="n">
        <v>0</v>
      </c>
      <c r="J189" t="n">
        <v>0</v>
      </c>
      <c r="K189" t="n">
        <v>0</v>
      </c>
      <c r="L189" t="n">
        <v>0</v>
      </c>
      <c r="M189" t="n">
        <v>0</v>
      </c>
      <c r="N189" t="n">
        <v>0</v>
      </c>
      <c r="O189" t="n">
        <v>0</v>
      </c>
      <c r="P189" t="n">
        <v>0</v>
      </c>
      <c r="Q189" t="n">
        <v>0</v>
      </c>
      <c r="R189" s="2" t="inlineStr"/>
    </row>
    <row r="190" ht="15" customHeight="1">
      <c r="A190" t="inlineStr">
        <is>
          <t>A 33072-2021</t>
        </is>
      </c>
      <c r="B190" s="1" t="n">
        <v>44375</v>
      </c>
      <c r="C190" s="1" t="n">
        <v>45564</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33170-2021</t>
        </is>
      </c>
      <c r="B191" s="1" t="n">
        <v>44376</v>
      </c>
      <c r="C191" s="1" t="n">
        <v>45564</v>
      </c>
      <c r="D191" t="inlineStr">
        <is>
          <t>DALARNAS LÄN</t>
        </is>
      </c>
      <c r="E191" t="inlineStr">
        <is>
          <t>LEKSAND</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34869-2021</t>
        </is>
      </c>
      <c r="B192" s="1" t="n">
        <v>44383</v>
      </c>
      <c r="C192" s="1" t="n">
        <v>45564</v>
      </c>
      <c r="D192" t="inlineStr">
        <is>
          <t>DALARNAS LÄN</t>
        </is>
      </c>
      <c r="E192" t="inlineStr">
        <is>
          <t>LEKSAND</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34867-2021</t>
        </is>
      </c>
      <c r="B193" s="1" t="n">
        <v>44383</v>
      </c>
      <c r="C193" s="1" t="n">
        <v>45564</v>
      </c>
      <c r="D193" t="inlineStr">
        <is>
          <t>DALARNAS LÄN</t>
        </is>
      </c>
      <c r="E193" t="inlineStr">
        <is>
          <t>LEKSAND</t>
        </is>
      </c>
      <c r="F193" t="inlineStr">
        <is>
          <t>Bergvik skog väst AB</t>
        </is>
      </c>
      <c r="G193" t="n">
        <v>2.5</v>
      </c>
      <c r="H193" t="n">
        <v>0</v>
      </c>
      <c r="I193" t="n">
        <v>0</v>
      </c>
      <c r="J193" t="n">
        <v>0</v>
      </c>
      <c r="K193" t="n">
        <v>0</v>
      </c>
      <c r="L193" t="n">
        <v>0</v>
      </c>
      <c r="M193" t="n">
        <v>0</v>
      </c>
      <c r="N193" t="n">
        <v>0</v>
      </c>
      <c r="O193" t="n">
        <v>0</v>
      </c>
      <c r="P193" t="n">
        <v>0</v>
      </c>
      <c r="Q193" t="n">
        <v>0</v>
      </c>
      <c r="R193" s="2" t="inlineStr"/>
    </row>
    <row r="194" ht="15" customHeight="1">
      <c r="A194" t="inlineStr">
        <is>
          <t>A 34911-2021</t>
        </is>
      </c>
      <c r="B194" s="1" t="n">
        <v>44383</v>
      </c>
      <c r="C194" s="1" t="n">
        <v>45564</v>
      </c>
      <c r="D194" t="inlineStr">
        <is>
          <t>DALARNAS LÄN</t>
        </is>
      </c>
      <c r="E194" t="inlineStr">
        <is>
          <t>LEKSAND</t>
        </is>
      </c>
      <c r="F194" t="inlineStr">
        <is>
          <t>Bergvik skog väst AB</t>
        </is>
      </c>
      <c r="G194" t="n">
        <v>2.1</v>
      </c>
      <c r="H194" t="n">
        <v>0</v>
      </c>
      <c r="I194" t="n">
        <v>0</v>
      </c>
      <c r="J194" t="n">
        <v>0</v>
      </c>
      <c r="K194" t="n">
        <v>0</v>
      </c>
      <c r="L194" t="n">
        <v>0</v>
      </c>
      <c r="M194" t="n">
        <v>0</v>
      </c>
      <c r="N194" t="n">
        <v>0</v>
      </c>
      <c r="O194" t="n">
        <v>0</v>
      </c>
      <c r="P194" t="n">
        <v>0</v>
      </c>
      <c r="Q194" t="n">
        <v>0</v>
      </c>
      <c r="R194" s="2" t="inlineStr"/>
    </row>
    <row r="195" ht="15" customHeight="1">
      <c r="A195" t="inlineStr">
        <is>
          <t>A 36438-2021</t>
        </is>
      </c>
      <c r="B195" s="1" t="n">
        <v>44390</v>
      </c>
      <c r="C195" s="1" t="n">
        <v>45564</v>
      </c>
      <c r="D195" t="inlineStr">
        <is>
          <t>DALARNAS LÄN</t>
        </is>
      </c>
      <c r="E195" t="inlineStr">
        <is>
          <t>LEKSAND</t>
        </is>
      </c>
      <c r="G195" t="n">
        <v>5</v>
      </c>
      <c r="H195" t="n">
        <v>0</v>
      </c>
      <c r="I195" t="n">
        <v>0</v>
      </c>
      <c r="J195" t="n">
        <v>0</v>
      </c>
      <c r="K195" t="n">
        <v>0</v>
      </c>
      <c r="L195" t="n">
        <v>0</v>
      </c>
      <c r="M195" t="n">
        <v>0</v>
      </c>
      <c r="N195" t="n">
        <v>0</v>
      </c>
      <c r="O195" t="n">
        <v>0</v>
      </c>
      <c r="P195" t="n">
        <v>0</v>
      </c>
      <c r="Q195" t="n">
        <v>0</v>
      </c>
      <c r="R195" s="2" t="inlineStr"/>
    </row>
    <row r="196" ht="15" customHeight="1">
      <c r="A196" t="inlineStr">
        <is>
          <t>A 36956-2021</t>
        </is>
      </c>
      <c r="B196" s="1" t="n">
        <v>44393</v>
      </c>
      <c r="C196" s="1" t="n">
        <v>45564</v>
      </c>
      <c r="D196" t="inlineStr">
        <is>
          <t>DALARNAS LÄN</t>
        </is>
      </c>
      <c r="E196" t="inlineStr">
        <is>
          <t>LEKSAND</t>
        </is>
      </c>
      <c r="G196" t="n">
        <v>4.1</v>
      </c>
      <c r="H196" t="n">
        <v>0</v>
      </c>
      <c r="I196" t="n">
        <v>0</v>
      </c>
      <c r="J196" t="n">
        <v>0</v>
      </c>
      <c r="K196" t="n">
        <v>0</v>
      </c>
      <c r="L196" t="n">
        <v>0</v>
      </c>
      <c r="M196" t="n">
        <v>0</v>
      </c>
      <c r="N196" t="n">
        <v>0</v>
      </c>
      <c r="O196" t="n">
        <v>0</v>
      </c>
      <c r="P196" t="n">
        <v>0</v>
      </c>
      <c r="Q196" t="n">
        <v>0</v>
      </c>
      <c r="R196" s="2" t="inlineStr"/>
    </row>
    <row r="197" ht="15" customHeight="1">
      <c r="A197" t="inlineStr">
        <is>
          <t>A 37073-2021</t>
        </is>
      </c>
      <c r="B197" s="1" t="n">
        <v>44394</v>
      </c>
      <c r="C197" s="1" t="n">
        <v>45564</v>
      </c>
      <c r="D197" t="inlineStr">
        <is>
          <t>DALARNAS LÄN</t>
        </is>
      </c>
      <c r="E197" t="inlineStr">
        <is>
          <t>LEKSAND</t>
        </is>
      </c>
      <c r="F197" t="inlineStr">
        <is>
          <t>Bergvik skog väst AB</t>
        </is>
      </c>
      <c r="G197" t="n">
        <v>0.5</v>
      </c>
      <c r="H197" t="n">
        <v>0</v>
      </c>
      <c r="I197" t="n">
        <v>0</v>
      </c>
      <c r="J197" t="n">
        <v>0</v>
      </c>
      <c r="K197" t="n">
        <v>0</v>
      </c>
      <c r="L197" t="n">
        <v>0</v>
      </c>
      <c r="M197" t="n">
        <v>0</v>
      </c>
      <c r="N197" t="n">
        <v>0</v>
      </c>
      <c r="O197" t="n">
        <v>0</v>
      </c>
      <c r="P197" t="n">
        <v>0</v>
      </c>
      <c r="Q197" t="n">
        <v>0</v>
      </c>
      <c r="R197" s="2" t="inlineStr"/>
    </row>
    <row r="198" ht="15" customHeight="1">
      <c r="A198" t="inlineStr">
        <is>
          <t>A 37283-2021</t>
        </is>
      </c>
      <c r="B198" s="1" t="n">
        <v>44397</v>
      </c>
      <c r="C198" s="1" t="n">
        <v>45564</v>
      </c>
      <c r="D198" t="inlineStr">
        <is>
          <t>DALARNAS LÄN</t>
        </is>
      </c>
      <c r="E198" t="inlineStr">
        <is>
          <t>LEKSAND</t>
        </is>
      </c>
      <c r="G198" t="n">
        <v>2.9</v>
      </c>
      <c r="H198" t="n">
        <v>0</v>
      </c>
      <c r="I198" t="n">
        <v>0</v>
      </c>
      <c r="J198" t="n">
        <v>0</v>
      </c>
      <c r="K198" t="n">
        <v>0</v>
      </c>
      <c r="L198" t="n">
        <v>0</v>
      </c>
      <c r="M198" t="n">
        <v>0</v>
      </c>
      <c r="N198" t="n">
        <v>0</v>
      </c>
      <c r="O198" t="n">
        <v>0</v>
      </c>
      <c r="P198" t="n">
        <v>0</v>
      </c>
      <c r="Q198" t="n">
        <v>0</v>
      </c>
      <c r="R198" s="2" t="inlineStr"/>
    </row>
    <row r="199" ht="15" customHeight="1">
      <c r="A199" t="inlineStr">
        <is>
          <t>A 37531-2021</t>
        </is>
      </c>
      <c r="B199" s="1" t="n">
        <v>44399</v>
      </c>
      <c r="C199" s="1" t="n">
        <v>45564</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38192-2021</t>
        </is>
      </c>
      <c r="B200" s="1" t="n">
        <v>44405</v>
      </c>
      <c r="C200" s="1" t="n">
        <v>45564</v>
      </c>
      <c r="D200" t="inlineStr">
        <is>
          <t>DALARNAS LÄN</t>
        </is>
      </c>
      <c r="E200" t="inlineStr">
        <is>
          <t>LEKSAND</t>
        </is>
      </c>
      <c r="G200" t="n">
        <v>2</v>
      </c>
      <c r="H200" t="n">
        <v>0</v>
      </c>
      <c r="I200" t="n">
        <v>0</v>
      </c>
      <c r="J200" t="n">
        <v>0</v>
      </c>
      <c r="K200" t="n">
        <v>0</v>
      </c>
      <c r="L200" t="n">
        <v>0</v>
      </c>
      <c r="M200" t="n">
        <v>0</v>
      </c>
      <c r="N200" t="n">
        <v>0</v>
      </c>
      <c r="O200" t="n">
        <v>0</v>
      </c>
      <c r="P200" t="n">
        <v>0</v>
      </c>
      <c r="Q200" t="n">
        <v>0</v>
      </c>
      <c r="R200" s="2" t="inlineStr"/>
    </row>
    <row r="201" ht="15" customHeight="1">
      <c r="A201" t="inlineStr">
        <is>
          <t>A 38619-2021</t>
        </is>
      </c>
      <c r="B201" s="1" t="n">
        <v>44409</v>
      </c>
      <c r="C201" s="1" t="n">
        <v>45564</v>
      </c>
      <c r="D201" t="inlineStr">
        <is>
          <t>DALARNAS LÄN</t>
        </is>
      </c>
      <c r="E201" t="inlineStr">
        <is>
          <t>LEKSAND</t>
        </is>
      </c>
      <c r="G201" t="n">
        <v>0.6</v>
      </c>
      <c r="H201" t="n">
        <v>0</v>
      </c>
      <c r="I201" t="n">
        <v>0</v>
      </c>
      <c r="J201" t="n">
        <v>0</v>
      </c>
      <c r="K201" t="n">
        <v>0</v>
      </c>
      <c r="L201" t="n">
        <v>0</v>
      </c>
      <c r="M201" t="n">
        <v>0</v>
      </c>
      <c r="N201" t="n">
        <v>0</v>
      </c>
      <c r="O201" t="n">
        <v>0</v>
      </c>
      <c r="P201" t="n">
        <v>0</v>
      </c>
      <c r="Q201" t="n">
        <v>0</v>
      </c>
      <c r="R201" s="2" t="inlineStr"/>
    </row>
    <row r="202" ht="15" customHeight="1">
      <c r="A202" t="inlineStr">
        <is>
          <t>A 39203-2021</t>
        </is>
      </c>
      <c r="B202" s="1" t="n">
        <v>44413</v>
      </c>
      <c r="C202" s="1" t="n">
        <v>45564</v>
      </c>
      <c r="D202" t="inlineStr">
        <is>
          <t>DALARNAS LÄN</t>
        </is>
      </c>
      <c r="E202" t="inlineStr">
        <is>
          <t>LEKSAND</t>
        </is>
      </c>
      <c r="G202" t="n">
        <v>5</v>
      </c>
      <c r="H202" t="n">
        <v>0</v>
      </c>
      <c r="I202" t="n">
        <v>0</v>
      </c>
      <c r="J202" t="n">
        <v>0</v>
      </c>
      <c r="K202" t="n">
        <v>0</v>
      </c>
      <c r="L202" t="n">
        <v>0</v>
      </c>
      <c r="M202" t="n">
        <v>0</v>
      </c>
      <c r="N202" t="n">
        <v>0</v>
      </c>
      <c r="O202" t="n">
        <v>0</v>
      </c>
      <c r="P202" t="n">
        <v>0</v>
      </c>
      <c r="Q202" t="n">
        <v>0</v>
      </c>
      <c r="R202" s="2" t="inlineStr"/>
    </row>
    <row r="203" ht="15" customHeight="1">
      <c r="A203" t="inlineStr">
        <is>
          <t>A 40584-2021</t>
        </is>
      </c>
      <c r="B203" s="1" t="n">
        <v>44420</v>
      </c>
      <c r="C203" s="1" t="n">
        <v>45564</v>
      </c>
      <c r="D203" t="inlineStr">
        <is>
          <t>DALARNAS LÄN</t>
        </is>
      </c>
      <c r="E203" t="inlineStr">
        <is>
          <t>LEKSAND</t>
        </is>
      </c>
      <c r="G203" t="n">
        <v>6</v>
      </c>
      <c r="H203" t="n">
        <v>0</v>
      </c>
      <c r="I203" t="n">
        <v>0</v>
      </c>
      <c r="J203" t="n">
        <v>0</v>
      </c>
      <c r="K203" t="n">
        <v>0</v>
      </c>
      <c r="L203" t="n">
        <v>0</v>
      </c>
      <c r="M203" t="n">
        <v>0</v>
      </c>
      <c r="N203" t="n">
        <v>0</v>
      </c>
      <c r="O203" t="n">
        <v>0</v>
      </c>
      <c r="P203" t="n">
        <v>0</v>
      </c>
      <c r="Q203" t="n">
        <v>0</v>
      </c>
      <c r="R203" s="2" t="inlineStr"/>
    </row>
    <row r="204" ht="15" customHeight="1">
      <c r="A204" t="inlineStr">
        <is>
          <t>A 42952-2021</t>
        </is>
      </c>
      <c r="B204" s="1" t="n">
        <v>44431</v>
      </c>
      <c r="C204" s="1" t="n">
        <v>45564</v>
      </c>
      <c r="D204" t="inlineStr">
        <is>
          <t>DALARNAS LÄN</t>
        </is>
      </c>
      <c r="E204" t="inlineStr">
        <is>
          <t>LEKSAND</t>
        </is>
      </c>
      <c r="G204" t="n">
        <v>5.4</v>
      </c>
      <c r="H204" t="n">
        <v>0</v>
      </c>
      <c r="I204" t="n">
        <v>0</v>
      </c>
      <c r="J204" t="n">
        <v>0</v>
      </c>
      <c r="K204" t="n">
        <v>0</v>
      </c>
      <c r="L204" t="n">
        <v>0</v>
      </c>
      <c r="M204" t="n">
        <v>0</v>
      </c>
      <c r="N204" t="n">
        <v>0</v>
      </c>
      <c r="O204" t="n">
        <v>0</v>
      </c>
      <c r="P204" t="n">
        <v>0</v>
      </c>
      <c r="Q204" t="n">
        <v>0</v>
      </c>
      <c r="R204" s="2" t="inlineStr"/>
    </row>
    <row r="205" ht="15" customHeight="1">
      <c r="A205" t="inlineStr">
        <is>
          <t>A 43410-2021</t>
        </is>
      </c>
      <c r="B205" s="1" t="n">
        <v>44432</v>
      </c>
      <c r="C205" s="1" t="n">
        <v>45564</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44922-2021</t>
        </is>
      </c>
      <c r="B206" s="1" t="n">
        <v>44438</v>
      </c>
      <c r="C206" s="1" t="n">
        <v>45564</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45155-2021</t>
        </is>
      </c>
      <c r="B207" s="1" t="n">
        <v>44439</v>
      </c>
      <c r="C207" s="1" t="n">
        <v>45564</v>
      </c>
      <c r="D207" t="inlineStr">
        <is>
          <t>DALARNAS LÄN</t>
        </is>
      </c>
      <c r="E207" t="inlineStr">
        <is>
          <t>LEKSAND</t>
        </is>
      </c>
      <c r="G207" t="n">
        <v>0.6</v>
      </c>
      <c r="H207" t="n">
        <v>0</v>
      </c>
      <c r="I207" t="n">
        <v>0</v>
      </c>
      <c r="J207" t="n">
        <v>0</v>
      </c>
      <c r="K207" t="n">
        <v>0</v>
      </c>
      <c r="L207" t="n">
        <v>0</v>
      </c>
      <c r="M207" t="n">
        <v>0</v>
      </c>
      <c r="N207" t="n">
        <v>0</v>
      </c>
      <c r="O207" t="n">
        <v>0</v>
      </c>
      <c r="P207" t="n">
        <v>0</v>
      </c>
      <c r="Q207" t="n">
        <v>0</v>
      </c>
      <c r="R207" s="2" t="inlineStr"/>
    </row>
    <row r="208" ht="15" customHeight="1">
      <c r="A208" t="inlineStr">
        <is>
          <t>A 45788-2021</t>
        </is>
      </c>
      <c r="B208" s="1" t="n">
        <v>44441</v>
      </c>
      <c r="C208" s="1" t="n">
        <v>45564</v>
      </c>
      <c r="D208" t="inlineStr">
        <is>
          <t>DALARNAS LÄN</t>
        </is>
      </c>
      <c r="E208" t="inlineStr">
        <is>
          <t>LEKSAND</t>
        </is>
      </c>
      <c r="G208" t="n">
        <v>3</v>
      </c>
      <c r="H208" t="n">
        <v>0</v>
      </c>
      <c r="I208" t="n">
        <v>0</v>
      </c>
      <c r="J208" t="n">
        <v>0</v>
      </c>
      <c r="K208" t="n">
        <v>0</v>
      </c>
      <c r="L208" t="n">
        <v>0</v>
      </c>
      <c r="M208" t="n">
        <v>0</v>
      </c>
      <c r="N208" t="n">
        <v>0</v>
      </c>
      <c r="O208" t="n">
        <v>0</v>
      </c>
      <c r="P208" t="n">
        <v>0</v>
      </c>
      <c r="Q208" t="n">
        <v>0</v>
      </c>
      <c r="R208" s="2" t="inlineStr"/>
    </row>
    <row r="209" ht="15" customHeight="1">
      <c r="A209" t="inlineStr">
        <is>
          <t>A 47121-2021</t>
        </is>
      </c>
      <c r="B209" s="1" t="n">
        <v>44446</v>
      </c>
      <c r="C209" s="1" t="n">
        <v>45564</v>
      </c>
      <c r="D209" t="inlineStr">
        <is>
          <t>DALARNAS LÄN</t>
        </is>
      </c>
      <c r="E209" t="inlineStr">
        <is>
          <t>LEKSAND</t>
        </is>
      </c>
      <c r="G209" t="n">
        <v>3.5</v>
      </c>
      <c r="H209" t="n">
        <v>0</v>
      </c>
      <c r="I209" t="n">
        <v>0</v>
      </c>
      <c r="J209" t="n">
        <v>0</v>
      </c>
      <c r="K209" t="n">
        <v>0</v>
      </c>
      <c r="L209" t="n">
        <v>0</v>
      </c>
      <c r="M209" t="n">
        <v>0</v>
      </c>
      <c r="N209" t="n">
        <v>0</v>
      </c>
      <c r="O209" t="n">
        <v>0</v>
      </c>
      <c r="P209" t="n">
        <v>0</v>
      </c>
      <c r="Q209" t="n">
        <v>0</v>
      </c>
      <c r="R209" s="2" t="inlineStr"/>
    </row>
    <row r="210" ht="15" customHeight="1">
      <c r="A210" t="inlineStr">
        <is>
          <t>A 48949-2021</t>
        </is>
      </c>
      <c r="B210" s="1" t="n">
        <v>44453</v>
      </c>
      <c r="C210" s="1" t="n">
        <v>45564</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53625-2021</t>
        </is>
      </c>
      <c r="B211" s="1" t="n">
        <v>44469</v>
      </c>
      <c r="C211" s="1" t="n">
        <v>45564</v>
      </c>
      <c r="D211" t="inlineStr">
        <is>
          <t>DALARNAS LÄN</t>
        </is>
      </c>
      <c r="E211" t="inlineStr">
        <is>
          <t>LEKSAND</t>
        </is>
      </c>
      <c r="G211" t="n">
        <v>1.6</v>
      </c>
      <c r="H211" t="n">
        <v>0</v>
      </c>
      <c r="I211" t="n">
        <v>0</v>
      </c>
      <c r="J211" t="n">
        <v>0</v>
      </c>
      <c r="K211" t="n">
        <v>0</v>
      </c>
      <c r="L211" t="n">
        <v>0</v>
      </c>
      <c r="M211" t="n">
        <v>0</v>
      </c>
      <c r="N211" t="n">
        <v>0</v>
      </c>
      <c r="O211" t="n">
        <v>0</v>
      </c>
      <c r="P211" t="n">
        <v>0</v>
      </c>
      <c r="Q211" t="n">
        <v>0</v>
      </c>
      <c r="R211" s="2" t="inlineStr"/>
    </row>
    <row r="212" ht="15" customHeight="1">
      <c r="A212" t="inlineStr">
        <is>
          <t>A 56153-2021</t>
        </is>
      </c>
      <c r="B212" s="1" t="n">
        <v>44477</v>
      </c>
      <c r="C212" s="1" t="n">
        <v>45564</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58569-2021</t>
        </is>
      </c>
      <c r="B213" s="1" t="n">
        <v>44488</v>
      </c>
      <c r="C213" s="1" t="n">
        <v>45564</v>
      </c>
      <c r="D213" t="inlineStr">
        <is>
          <t>DALARNAS LÄN</t>
        </is>
      </c>
      <c r="E213" t="inlineStr">
        <is>
          <t>LEKSAND</t>
        </is>
      </c>
      <c r="G213" t="n">
        <v>1.7</v>
      </c>
      <c r="H213" t="n">
        <v>0</v>
      </c>
      <c r="I213" t="n">
        <v>0</v>
      </c>
      <c r="J213" t="n">
        <v>0</v>
      </c>
      <c r="K213" t="n">
        <v>0</v>
      </c>
      <c r="L213" t="n">
        <v>0</v>
      </c>
      <c r="M213" t="n">
        <v>0</v>
      </c>
      <c r="N213" t="n">
        <v>0</v>
      </c>
      <c r="O213" t="n">
        <v>0</v>
      </c>
      <c r="P213" t="n">
        <v>0</v>
      </c>
      <c r="Q213" t="n">
        <v>0</v>
      </c>
      <c r="R213" s="2" t="inlineStr"/>
    </row>
    <row r="214" ht="15" customHeight="1">
      <c r="A214" t="inlineStr">
        <is>
          <t>A 59422-2021</t>
        </is>
      </c>
      <c r="B214" s="1" t="n">
        <v>44491</v>
      </c>
      <c r="C214" s="1" t="n">
        <v>45564</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61546-2021</t>
        </is>
      </c>
      <c r="B215" s="1" t="n">
        <v>44501</v>
      </c>
      <c r="C215" s="1" t="n">
        <v>45564</v>
      </c>
      <c r="D215" t="inlineStr">
        <is>
          <t>DALARNAS LÄN</t>
        </is>
      </c>
      <c r="E215" t="inlineStr">
        <is>
          <t>LEKSAND</t>
        </is>
      </c>
      <c r="G215" t="n">
        <v>3</v>
      </c>
      <c r="H215" t="n">
        <v>0</v>
      </c>
      <c r="I215" t="n">
        <v>0</v>
      </c>
      <c r="J215" t="n">
        <v>0</v>
      </c>
      <c r="K215" t="n">
        <v>0</v>
      </c>
      <c r="L215" t="n">
        <v>0</v>
      </c>
      <c r="M215" t="n">
        <v>0</v>
      </c>
      <c r="N215" t="n">
        <v>0</v>
      </c>
      <c r="O215" t="n">
        <v>0</v>
      </c>
      <c r="P215" t="n">
        <v>0</v>
      </c>
      <c r="Q215" t="n">
        <v>0</v>
      </c>
      <c r="R215" s="2" t="inlineStr"/>
    </row>
    <row r="216" ht="15" customHeight="1">
      <c r="A216" t="inlineStr">
        <is>
          <t>A 61669-2021</t>
        </is>
      </c>
      <c r="B216" s="1" t="n">
        <v>44501</v>
      </c>
      <c r="C216" s="1" t="n">
        <v>45564</v>
      </c>
      <c r="D216" t="inlineStr">
        <is>
          <t>DALARNAS LÄN</t>
        </is>
      </c>
      <c r="E216" t="inlineStr">
        <is>
          <t>LEKSAND</t>
        </is>
      </c>
      <c r="G216" t="n">
        <v>3.6</v>
      </c>
      <c r="H216" t="n">
        <v>0</v>
      </c>
      <c r="I216" t="n">
        <v>0</v>
      </c>
      <c r="J216" t="n">
        <v>0</v>
      </c>
      <c r="K216" t="n">
        <v>0</v>
      </c>
      <c r="L216" t="n">
        <v>0</v>
      </c>
      <c r="M216" t="n">
        <v>0</v>
      </c>
      <c r="N216" t="n">
        <v>0</v>
      </c>
      <c r="O216" t="n">
        <v>0</v>
      </c>
      <c r="P216" t="n">
        <v>0</v>
      </c>
      <c r="Q216" t="n">
        <v>0</v>
      </c>
      <c r="R216" s="2" t="inlineStr"/>
    </row>
    <row r="217" ht="15" customHeight="1">
      <c r="A217" t="inlineStr">
        <is>
          <t>A 61676-2021</t>
        </is>
      </c>
      <c r="B217" s="1" t="n">
        <v>44501</v>
      </c>
      <c r="C217" s="1" t="n">
        <v>45564</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62279-2021</t>
        </is>
      </c>
      <c r="B218" s="1" t="n">
        <v>44503</v>
      </c>
      <c r="C218" s="1" t="n">
        <v>45564</v>
      </c>
      <c r="D218" t="inlineStr">
        <is>
          <t>DALARNAS LÄN</t>
        </is>
      </c>
      <c r="E218" t="inlineStr">
        <is>
          <t>LEKSAND</t>
        </is>
      </c>
      <c r="G218" t="n">
        <v>1.8</v>
      </c>
      <c r="H218" t="n">
        <v>0</v>
      </c>
      <c r="I218" t="n">
        <v>0</v>
      </c>
      <c r="J218" t="n">
        <v>0</v>
      </c>
      <c r="K218" t="n">
        <v>0</v>
      </c>
      <c r="L218" t="n">
        <v>0</v>
      </c>
      <c r="M218" t="n">
        <v>0</v>
      </c>
      <c r="N218" t="n">
        <v>0</v>
      </c>
      <c r="O218" t="n">
        <v>0</v>
      </c>
      <c r="P218" t="n">
        <v>0</v>
      </c>
      <c r="Q218" t="n">
        <v>0</v>
      </c>
      <c r="R218" s="2" t="inlineStr"/>
    </row>
    <row r="219" ht="15" customHeight="1">
      <c r="A219" t="inlineStr">
        <is>
          <t>A 64718-2021</t>
        </is>
      </c>
      <c r="B219" s="1" t="n">
        <v>44512</v>
      </c>
      <c r="C219" s="1" t="n">
        <v>45564</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68573-2021</t>
        </is>
      </c>
      <c r="B220" s="1" t="n">
        <v>44529</v>
      </c>
      <c r="C220" s="1" t="n">
        <v>45564</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68617-2021</t>
        </is>
      </c>
      <c r="B221" s="1" t="n">
        <v>44529</v>
      </c>
      <c r="C221" s="1" t="n">
        <v>45564</v>
      </c>
      <c r="D221" t="inlineStr">
        <is>
          <t>DALARNAS LÄN</t>
        </is>
      </c>
      <c r="E221" t="inlineStr">
        <is>
          <t>LEKSAND</t>
        </is>
      </c>
      <c r="G221" t="n">
        <v>0.4</v>
      </c>
      <c r="H221" t="n">
        <v>0</v>
      </c>
      <c r="I221" t="n">
        <v>0</v>
      </c>
      <c r="J221" t="n">
        <v>0</v>
      </c>
      <c r="K221" t="n">
        <v>0</v>
      </c>
      <c r="L221" t="n">
        <v>0</v>
      </c>
      <c r="M221" t="n">
        <v>0</v>
      </c>
      <c r="N221" t="n">
        <v>0</v>
      </c>
      <c r="O221" t="n">
        <v>0</v>
      </c>
      <c r="P221" t="n">
        <v>0</v>
      </c>
      <c r="Q221" t="n">
        <v>0</v>
      </c>
      <c r="R221" s="2" t="inlineStr"/>
    </row>
    <row r="222" ht="15" customHeight="1">
      <c r="A222" t="inlineStr">
        <is>
          <t>A 69525-2021</t>
        </is>
      </c>
      <c r="B222" s="1" t="n">
        <v>44531</v>
      </c>
      <c r="C222" s="1" t="n">
        <v>45564</v>
      </c>
      <c r="D222" t="inlineStr">
        <is>
          <t>DALARNAS LÄN</t>
        </is>
      </c>
      <c r="E222" t="inlineStr">
        <is>
          <t>LEKSAND</t>
        </is>
      </c>
      <c r="G222" t="n">
        <v>2.9</v>
      </c>
      <c r="H222" t="n">
        <v>0</v>
      </c>
      <c r="I222" t="n">
        <v>0</v>
      </c>
      <c r="J222" t="n">
        <v>0</v>
      </c>
      <c r="K222" t="n">
        <v>0</v>
      </c>
      <c r="L222" t="n">
        <v>0</v>
      </c>
      <c r="M222" t="n">
        <v>0</v>
      </c>
      <c r="N222" t="n">
        <v>0</v>
      </c>
      <c r="O222" t="n">
        <v>0</v>
      </c>
      <c r="P222" t="n">
        <v>0</v>
      </c>
      <c r="Q222" t="n">
        <v>0</v>
      </c>
      <c r="R222" s="2" t="inlineStr"/>
    </row>
    <row r="223" ht="15" customHeight="1">
      <c r="A223" t="inlineStr">
        <is>
          <t>A 70098-2021</t>
        </is>
      </c>
      <c r="B223" s="1" t="n">
        <v>44533</v>
      </c>
      <c r="C223" s="1" t="n">
        <v>45564</v>
      </c>
      <c r="D223" t="inlineStr">
        <is>
          <t>DALARNAS LÄN</t>
        </is>
      </c>
      <c r="E223" t="inlineStr">
        <is>
          <t>LEKSAND</t>
        </is>
      </c>
      <c r="G223" t="n">
        <v>0.8</v>
      </c>
      <c r="H223" t="n">
        <v>0</v>
      </c>
      <c r="I223" t="n">
        <v>0</v>
      </c>
      <c r="J223" t="n">
        <v>0</v>
      </c>
      <c r="K223" t="n">
        <v>0</v>
      </c>
      <c r="L223" t="n">
        <v>0</v>
      </c>
      <c r="M223" t="n">
        <v>0</v>
      </c>
      <c r="N223" t="n">
        <v>0</v>
      </c>
      <c r="O223" t="n">
        <v>0</v>
      </c>
      <c r="P223" t="n">
        <v>0</v>
      </c>
      <c r="Q223" t="n">
        <v>0</v>
      </c>
      <c r="R223" s="2" t="inlineStr"/>
    </row>
    <row r="224" ht="15" customHeight="1">
      <c r="A224" t="inlineStr">
        <is>
          <t>A 70099-2021</t>
        </is>
      </c>
      <c r="B224" s="1" t="n">
        <v>44533</v>
      </c>
      <c r="C224" s="1" t="n">
        <v>45564</v>
      </c>
      <c r="D224" t="inlineStr">
        <is>
          <t>DALARNAS LÄN</t>
        </is>
      </c>
      <c r="E224" t="inlineStr">
        <is>
          <t>LEKSAND</t>
        </is>
      </c>
      <c r="G224" t="n">
        <v>2.8</v>
      </c>
      <c r="H224" t="n">
        <v>0</v>
      </c>
      <c r="I224" t="n">
        <v>0</v>
      </c>
      <c r="J224" t="n">
        <v>0</v>
      </c>
      <c r="K224" t="n">
        <v>0</v>
      </c>
      <c r="L224" t="n">
        <v>0</v>
      </c>
      <c r="M224" t="n">
        <v>0</v>
      </c>
      <c r="N224" t="n">
        <v>0</v>
      </c>
      <c r="O224" t="n">
        <v>0</v>
      </c>
      <c r="P224" t="n">
        <v>0</v>
      </c>
      <c r="Q224" t="n">
        <v>0</v>
      </c>
      <c r="R224" s="2" t="inlineStr"/>
    </row>
    <row r="225" ht="15" customHeight="1">
      <c r="A225" t="inlineStr">
        <is>
          <t>A 70026-2021</t>
        </is>
      </c>
      <c r="B225" s="1" t="n">
        <v>44533</v>
      </c>
      <c r="C225" s="1" t="n">
        <v>45564</v>
      </c>
      <c r="D225" t="inlineStr">
        <is>
          <t>DALARNAS LÄN</t>
        </is>
      </c>
      <c r="E225" t="inlineStr">
        <is>
          <t>LEKSAND</t>
        </is>
      </c>
      <c r="G225" t="n">
        <v>0.9</v>
      </c>
      <c r="H225" t="n">
        <v>0</v>
      </c>
      <c r="I225" t="n">
        <v>0</v>
      </c>
      <c r="J225" t="n">
        <v>0</v>
      </c>
      <c r="K225" t="n">
        <v>0</v>
      </c>
      <c r="L225" t="n">
        <v>0</v>
      </c>
      <c r="M225" t="n">
        <v>0</v>
      </c>
      <c r="N225" t="n">
        <v>0</v>
      </c>
      <c r="O225" t="n">
        <v>0</v>
      </c>
      <c r="P225" t="n">
        <v>0</v>
      </c>
      <c r="Q225" t="n">
        <v>0</v>
      </c>
      <c r="R225" s="2" t="inlineStr"/>
    </row>
    <row r="226" ht="15" customHeight="1">
      <c r="A226" t="inlineStr">
        <is>
          <t>A 70296-2021</t>
        </is>
      </c>
      <c r="B226" s="1" t="n">
        <v>44536</v>
      </c>
      <c r="C226" s="1" t="n">
        <v>45564</v>
      </c>
      <c r="D226" t="inlineStr">
        <is>
          <t>DALARNAS LÄN</t>
        </is>
      </c>
      <c r="E226" t="inlineStr">
        <is>
          <t>LEKSAND</t>
        </is>
      </c>
      <c r="G226" t="n">
        <v>2.7</v>
      </c>
      <c r="H226" t="n">
        <v>0</v>
      </c>
      <c r="I226" t="n">
        <v>0</v>
      </c>
      <c r="J226" t="n">
        <v>0</v>
      </c>
      <c r="K226" t="n">
        <v>0</v>
      </c>
      <c r="L226" t="n">
        <v>0</v>
      </c>
      <c r="M226" t="n">
        <v>0</v>
      </c>
      <c r="N226" t="n">
        <v>0</v>
      </c>
      <c r="O226" t="n">
        <v>0</v>
      </c>
      <c r="P226" t="n">
        <v>0</v>
      </c>
      <c r="Q226" t="n">
        <v>0</v>
      </c>
      <c r="R226" s="2" t="inlineStr"/>
    </row>
    <row r="227" ht="15" customHeight="1">
      <c r="A227" t="inlineStr">
        <is>
          <t>A 70451-2021</t>
        </is>
      </c>
      <c r="B227" s="1" t="n">
        <v>44536</v>
      </c>
      <c r="C227" s="1" t="n">
        <v>45564</v>
      </c>
      <c r="D227" t="inlineStr">
        <is>
          <t>DALARNAS LÄN</t>
        </is>
      </c>
      <c r="E227" t="inlineStr">
        <is>
          <t>LEKSAND</t>
        </is>
      </c>
      <c r="G227" t="n">
        <v>3.7</v>
      </c>
      <c r="H227" t="n">
        <v>0</v>
      </c>
      <c r="I227" t="n">
        <v>0</v>
      </c>
      <c r="J227" t="n">
        <v>0</v>
      </c>
      <c r="K227" t="n">
        <v>0</v>
      </c>
      <c r="L227" t="n">
        <v>0</v>
      </c>
      <c r="M227" t="n">
        <v>0</v>
      </c>
      <c r="N227" t="n">
        <v>0</v>
      </c>
      <c r="O227" t="n">
        <v>0</v>
      </c>
      <c r="P227" t="n">
        <v>0</v>
      </c>
      <c r="Q227" t="n">
        <v>0</v>
      </c>
      <c r="R227" s="2" t="inlineStr"/>
    </row>
    <row r="228" ht="15" customHeight="1">
      <c r="A228" t="inlineStr">
        <is>
          <t>A 71311-2021</t>
        </is>
      </c>
      <c r="B228" s="1" t="n">
        <v>44539</v>
      </c>
      <c r="C228" s="1" t="n">
        <v>45564</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71754-2021</t>
        </is>
      </c>
      <c r="B229" s="1" t="n">
        <v>44543</v>
      </c>
      <c r="C229" s="1" t="n">
        <v>45564</v>
      </c>
      <c r="D229" t="inlineStr">
        <is>
          <t>DALARNAS LÄN</t>
        </is>
      </c>
      <c r="E229" t="inlineStr">
        <is>
          <t>LEKSAND</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71817-2021</t>
        </is>
      </c>
      <c r="B230" s="1" t="n">
        <v>44543</v>
      </c>
      <c r="C230" s="1" t="n">
        <v>45564</v>
      </c>
      <c r="D230" t="inlineStr">
        <is>
          <t>DALARNAS LÄN</t>
        </is>
      </c>
      <c r="E230" t="inlineStr">
        <is>
          <t>LEKSAND</t>
        </is>
      </c>
      <c r="F230" t="inlineStr">
        <is>
          <t>Bergvik skog väst AB</t>
        </is>
      </c>
      <c r="G230" t="n">
        <v>3</v>
      </c>
      <c r="H230" t="n">
        <v>0</v>
      </c>
      <c r="I230" t="n">
        <v>0</v>
      </c>
      <c r="J230" t="n">
        <v>0</v>
      </c>
      <c r="K230" t="n">
        <v>0</v>
      </c>
      <c r="L230" t="n">
        <v>0</v>
      </c>
      <c r="M230" t="n">
        <v>0</v>
      </c>
      <c r="N230" t="n">
        <v>0</v>
      </c>
      <c r="O230" t="n">
        <v>0</v>
      </c>
      <c r="P230" t="n">
        <v>0</v>
      </c>
      <c r="Q230" t="n">
        <v>0</v>
      </c>
      <c r="R230" s="2" t="inlineStr"/>
    </row>
    <row r="231" ht="15" customHeight="1">
      <c r="A231" t="inlineStr">
        <is>
          <t>A 72155-2021</t>
        </is>
      </c>
      <c r="B231" s="1" t="n">
        <v>44543</v>
      </c>
      <c r="C231" s="1" t="n">
        <v>45564</v>
      </c>
      <c r="D231" t="inlineStr">
        <is>
          <t>DALARNAS LÄN</t>
        </is>
      </c>
      <c r="E231" t="inlineStr">
        <is>
          <t>LEKSAND</t>
        </is>
      </c>
      <c r="G231" t="n">
        <v>2.5</v>
      </c>
      <c r="H231" t="n">
        <v>0</v>
      </c>
      <c r="I231" t="n">
        <v>0</v>
      </c>
      <c r="J231" t="n">
        <v>0</v>
      </c>
      <c r="K231" t="n">
        <v>0</v>
      </c>
      <c r="L231" t="n">
        <v>0</v>
      </c>
      <c r="M231" t="n">
        <v>0</v>
      </c>
      <c r="N231" t="n">
        <v>0</v>
      </c>
      <c r="O231" t="n">
        <v>0</v>
      </c>
      <c r="P231" t="n">
        <v>0</v>
      </c>
      <c r="Q231" t="n">
        <v>0</v>
      </c>
      <c r="R231" s="2" t="inlineStr"/>
    </row>
    <row r="232" ht="15" customHeight="1">
      <c r="A232" t="inlineStr">
        <is>
          <t>A 72000-2021</t>
        </is>
      </c>
      <c r="B232" s="1" t="n">
        <v>44544</v>
      </c>
      <c r="C232" s="1" t="n">
        <v>45564</v>
      </c>
      <c r="D232" t="inlineStr">
        <is>
          <t>DALARNAS LÄN</t>
        </is>
      </c>
      <c r="E232" t="inlineStr">
        <is>
          <t>LEKSAND</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72001-2021</t>
        </is>
      </c>
      <c r="B233" s="1" t="n">
        <v>44544</v>
      </c>
      <c r="C233" s="1" t="n">
        <v>45564</v>
      </c>
      <c r="D233" t="inlineStr">
        <is>
          <t>DALARNAS LÄN</t>
        </is>
      </c>
      <c r="E233" t="inlineStr">
        <is>
          <t>LEKSAND</t>
        </is>
      </c>
      <c r="F233" t="inlineStr">
        <is>
          <t>Bergvik skog väst AB</t>
        </is>
      </c>
      <c r="G233" t="n">
        <v>1.3</v>
      </c>
      <c r="H233" t="n">
        <v>0</v>
      </c>
      <c r="I233" t="n">
        <v>0</v>
      </c>
      <c r="J233" t="n">
        <v>0</v>
      </c>
      <c r="K233" t="n">
        <v>0</v>
      </c>
      <c r="L233" t="n">
        <v>0</v>
      </c>
      <c r="M233" t="n">
        <v>0</v>
      </c>
      <c r="N233" t="n">
        <v>0</v>
      </c>
      <c r="O233" t="n">
        <v>0</v>
      </c>
      <c r="P233" t="n">
        <v>0</v>
      </c>
      <c r="Q233" t="n">
        <v>0</v>
      </c>
      <c r="R233" s="2" t="inlineStr"/>
    </row>
    <row r="234" ht="15" customHeight="1">
      <c r="A234" t="inlineStr">
        <is>
          <t>A 72581-2021</t>
        </is>
      </c>
      <c r="B234" s="1" t="n">
        <v>44546</v>
      </c>
      <c r="C234" s="1" t="n">
        <v>45564</v>
      </c>
      <c r="D234" t="inlineStr">
        <is>
          <t>DALARNAS LÄN</t>
        </is>
      </c>
      <c r="E234" t="inlineStr">
        <is>
          <t>LEKSAND</t>
        </is>
      </c>
      <c r="G234" t="n">
        <v>0.6</v>
      </c>
      <c r="H234" t="n">
        <v>0</v>
      </c>
      <c r="I234" t="n">
        <v>0</v>
      </c>
      <c r="J234" t="n">
        <v>0</v>
      </c>
      <c r="K234" t="n">
        <v>0</v>
      </c>
      <c r="L234" t="n">
        <v>0</v>
      </c>
      <c r="M234" t="n">
        <v>0</v>
      </c>
      <c r="N234" t="n">
        <v>0</v>
      </c>
      <c r="O234" t="n">
        <v>0</v>
      </c>
      <c r="P234" t="n">
        <v>0</v>
      </c>
      <c r="Q234" t="n">
        <v>0</v>
      </c>
      <c r="R234" s="2" t="inlineStr"/>
    </row>
    <row r="235" ht="15" customHeight="1">
      <c r="A235" t="inlineStr">
        <is>
          <t>A 72531-2021</t>
        </is>
      </c>
      <c r="B235" s="1" t="n">
        <v>44546</v>
      </c>
      <c r="C235" s="1" t="n">
        <v>45564</v>
      </c>
      <c r="D235" t="inlineStr">
        <is>
          <t>DALARNAS LÄN</t>
        </is>
      </c>
      <c r="E235" t="inlineStr">
        <is>
          <t>LEKSAND</t>
        </is>
      </c>
      <c r="F235" t="inlineStr">
        <is>
          <t>Bergvik skog väst AB</t>
        </is>
      </c>
      <c r="G235" t="n">
        <v>1.7</v>
      </c>
      <c r="H235" t="n">
        <v>0</v>
      </c>
      <c r="I235" t="n">
        <v>0</v>
      </c>
      <c r="J235" t="n">
        <v>0</v>
      </c>
      <c r="K235" t="n">
        <v>0</v>
      </c>
      <c r="L235" t="n">
        <v>0</v>
      </c>
      <c r="M235" t="n">
        <v>0</v>
      </c>
      <c r="N235" t="n">
        <v>0</v>
      </c>
      <c r="O235" t="n">
        <v>0</v>
      </c>
      <c r="P235" t="n">
        <v>0</v>
      </c>
      <c r="Q235" t="n">
        <v>0</v>
      </c>
      <c r="R235" s="2" t="inlineStr"/>
    </row>
    <row r="236" ht="15" customHeight="1">
      <c r="A236" t="inlineStr">
        <is>
          <t>A 72575-2021</t>
        </is>
      </c>
      <c r="B236" s="1" t="n">
        <v>44546</v>
      </c>
      <c r="C236" s="1" t="n">
        <v>45564</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74067-2021</t>
        </is>
      </c>
      <c r="B237" s="1" t="n">
        <v>44553</v>
      </c>
      <c r="C237" s="1" t="n">
        <v>45564</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791-2022</t>
        </is>
      </c>
      <c r="B238" s="1" t="n">
        <v>44570</v>
      </c>
      <c r="C238" s="1" t="n">
        <v>45564</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1775-2022</t>
        </is>
      </c>
      <c r="B239" s="1" t="n">
        <v>44574</v>
      </c>
      <c r="C239" s="1" t="n">
        <v>45564</v>
      </c>
      <c r="D239" t="inlineStr">
        <is>
          <t>DALARNAS LÄN</t>
        </is>
      </c>
      <c r="E239" t="inlineStr">
        <is>
          <t>LEKSAND</t>
        </is>
      </c>
      <c r="G239" t="n">
        <v>2</v>
      </c>
      <c r="H239" t="n">
        <v>0</v>
      </c>
      <c r="I239" t="n">
        <v>0</v>
      </c>
      <c r="J239" t="n">
        <v>0</v>
      </c>
      <c r="K239" t="n">
        <v>0</v>
      </c>
      <c r="L239" t="n">
        <v>0</v>
      </c>
      <c r="M239" t="n">
        <v>0</v>
      </c>
      <c r="N239" t="n">
        <v>0</v>
      </c>
      <c r="O239" t="n">
        <v>0</v>
      </c>
      <c r="P239" t="n">
        <v>0</v>
      </c>
      <c r="Q239" t="n">
        <v>0</v>
      </c>
      <c r="R239" s="2" t="inlineStr"/>
    </row>
    <row r="240" ht="15" customHeight="1">
      <c r="A240" t="inlineStr">
        <is>
          <t>A 2579-2022</t>
        </is>
      </c>
      <c r="B240" s="1" t="n">
        <v>44580</v>
      </c>
      <c r="C240" s="1" t="n">
        <v>45564</v>
      </c>
      <c r="D240" t="inlineStr">
        <is>
          <t>DALARNAS LÄN</t>
        </is>
      </c>
      <c r="E240" t="inlineStr">
        <is>
          <t>LEKSAND</t>
        </is>
      </c>
      <c r="G240" t="n">
        <v>0.3</v>
      </c>
      <c r="H240" t="n">
        <v>0</v>
      </c>
      <c r="I240" t="n">
        <v>0</v>
      </c>
      <c r="J240" t="n">
        <v>0</v>
      </c>
      <c r="K240" t="n">
        <v>0</v>
      </c>
      <c r="L240" t="n">
        <v>0</v>
      </c>
      <c r="M240" t="n">
        <v>0</v>
      </c>
      <c r="N240" t="n">
        <v>0</v>
      </c>
      <c r="O240" t="n">
        <v>0</v>
      </c>
      <c r="P240" t="n">
        <v>0</v>
      </c>
      <c r="Q240" t="n">
        <v>0</v>
      </c>
      <c r="R240" s="2" t="inlineStr"/>
    </row>
    <row r="241" ht="15" customHeight="1">
      <c r="A241" t="inlineStr">
        <is>
          <t>A 4257-2022</t>
        </is>
      </c>
      <c r="B241" s="1" t="n">
        <v>44588</v>
      </c>
      <c r="C241" s="1" t="n">
        <v>45564</v>
      </c>
      <c r="D241" t="inlineStr">
        <is>
          <t>DALARNAS LÄN</t>
        </is>
      </c>
      <c r="E241" t="inlineStr">
        <is>
          <t>LEKSAND</t>
        </is>
      </c>
      <c r="G241" t="n">
        <v>6.8</v>
      </c>
      <c r="H241" t="n">
        <v>0</v>
      </c>
      <c r="I241" t="n">
        <v>0</v>
      </c>
      <c r="J241" t="n">
        <v>0</v>
      </c>
      <c r="K241" t="n">
        <v>0</v>
      </c>
      <c r="L241" t="n">
        <v>0</v>
      </c>
      <c r="M241" t="n">
        <v>0</v>
      </c>
      <c r="N241" t="n">
        <v>0</v>
      </c>
      <c r="O241" t="n">
        <v>0</v>
      </c>
      <c r="P241" t="n">
        <v>0</v>
      </c>
      <c r="Q241" t="n">
        <v>0</v>
      </c>
      <c r="R241" s="2" t="inlineStr"/>
    </row>
    <row r="242" ht="15" customHeight="1">
      <c r="A242" t="inlineStr">
        <is>
          <t>A 4609-2022</t>
        </is>
      </c>
      <c r="B242" s="1" t="n">
        <v>44592</v>
      </c>
      <c r="C242" s="1" t="n">
        <v>45564</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8501-2022</t>
        </is>
      </c>
      <c r="B243" s="1" t="n">
        <v>44613</v>
      </c>
      <c r="C243" s="1" t="n">
        <v>45564</v>
      </c>
      <c r="D243" t="inlineStr">
        <is>
          <t>DALARNAS LÄN</t>
        </is>
      </c>
      <c r="E243" t="inlineStr">
        <is>
          <t>LEKSAND</t>
        </is>
      </c>
      <c r="G243" t="n">
        <v>3</v>
      </c>
      <c r="H243" t="n">
        <v>0</v>
      </c>
      <c r="I243" t="n">
        <v>0</v>
      </c>
      <c r="J243" t="n">
        <v>0</v>
      </c>
      <c r="K243" t="n">
        <v>0</v>
      </c>
      <c r="L243" t="n">
        <v>0</v>
      </c>
      <c r="M243" t="n">
        <v>0</v>
      </c>
      <c r="N243" t="n">
        <v>0</v>
      </c>
      <c r="O243" t="n">
        <v>0</v>
      </c>
      <c r="P243" t="n">
        <v>0</v>
      </c>
      <c r="Q243" t="n">
        <v>0</v>
      </c>
      <c r="R243" s="2" t="inlineStr"/>
    </row>
    <row r="244" ht="15" customHeight="1">
      <c r="A244" t="inlineStr">
        <is>
          <t>A 11015-2022</t>
        </is>
      </c>
      <c r="B244" s="1" t="n">
        <v>44628</v>
      </c>
      <c r="C244" s="1" t="n">
        <v>45564</v>
      </c>
      <c r="D244" t="inlineStr">
        <is>
          <t>DALARNAS LÄN</t>
        </is>
      </c>
      <c r="E244" t="inlineStr">
        <is>
          <t>LEKSAND</t>
        </is>
      </c>
      <c r="G244" t="n">
        <v>1.4</v>
      </c>
      <c r="H244" t="n">
        <v>0</v>
      </c>
      <c r="I244" t="n">
        <v>0</v>
      </c>
      <c r="J244" t="n">
        <v>0</v>
      </c>
      <c r="K244" t="n">
        <v>0</v>
      </c>
      <c r="L244" t="n">
        <v>0</v>
      </c>
      <c r="M244" t="n">
        <v>0</v>
      </c>
      <c r="N244" t="n">
        <v>0</v>
      </c>
      <c r="O244" t="n">
        <v>0</v>
      </c>
      <c r="P244" t="n">
        <v>0</v>
      </c>
      <c r="Q244" t="n">
        <v>0</v>
      </c>
      <c r="R244" s="2" t="inlineStr"/>
    </row>
    <row r="245" ht="15" customHeight="1">
      <c r="A245" t="inlineStr">
        <is>
          <t>A 11412-2022</t>
        </is>
      </c>
      <c r="B245" s="1" t="n">
        <v>44630</v>
      </c>
      <c r="C245" s="1" t="n">
        <v>45564</v>
      </c>
      <c r="D245" t="inlineStr">
        <is>
          <t>DALARNAS LÄN</t>
        </is>
      </c>
      <c r="E245" t="inlineStr">
        <is>
          <t>LEKSAND</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12992-2022</t>
        </is>
      </c>
      <c r="B246" s="1" t="n">
        <v>44643</v>
      </c>
      <c r="C246" s="1" t="n">
        <v>45564</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14140-2022</t>
        </is>
      </c>
      <c r="B247" s="1" t="n">
        <v>44651</v>
      </c>
      <c r="C247" s="1" t="n">
        <v>45564</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14806-2022</t>
        </is>
      </c>
      <c r="B248" s="1" t="n">
        <v>44656</v>
      </c>
      <c r="C248" s="1" t="n">
        <v>45564</v>
      </c>
      <c r="D248" t="inlineStr">
        <is>
          <t>DALARNAS LÄN</t>
        </is>
      </c>
      <c r="E248" t="inlineStr">
        <is>
          <t>LEKSAND</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16353-2022</t>
        </is>
      </c>
      <c r="B249" s="1" t="n">
        <v>44670</v>
      </c>
      <c r="C249" s="1" t="n">
        <v>45564</v>
      </c>
      <c r="D249" t="inlineStr">
        <is>
          <t>DALARNAS LÄN</t>
        </is>
      </c>
      <c r="E249" t="inlineStr">
        <is>
          <t>LEKSAND</t>
        </is>
      </c>
      <c r="G249" t="n">
        <v>1.7</v>
      </c>
      <c r="H249" t="n">
        <v>0</v>
      </c>
      <c r="I249" t="n">
        <v>0</v>
      </c>
      <c r="J249" t="n">
        <v>0</v>
      </c>
      <c r="K249" t="n">
        <v>0</v>
      </c>
      <c r="L249" t="n">
        <v>0</v>
      </c>
      <c r="M249" t="n">
        <v>0</v>
      </c>
      <c r="N249" t="n">
        <v>0</v>
      </c>
      <c r="O249" t="n">
        <v>0</v>
      </c>
      <c r="P249" t="n">
        <v>0</v>
      </c>
      <c r="Q249" t="n">
        <v>0</v>
      </c>
      <c r="R249" s="2" t="inlineStr"/>
    </row>
    <row r="250" ht="15" customHeight="1">
      <c r="A250" t="inlineStr">
        <is>
          <t>A 16375-2022</t>
        </is>
      </c>
      <c r="B250" s="1" t="n">
        <v>44671</v>
      </c>
      <c r="C250" s="1" t="n">
        <v>45564</v>
      </c>
      <c r="D250" t="inlineStr">
        <is>
          <t>DALARNAS LÄN</t>
        </is>
      </c>
      <c r="E250" t="inlineStr">
        <is>
          <t>LEKSAND</t>
        </is>
      </c>
      <c r="G250" t="n">
        <v>0.9</v>
      </c>
      <c r="H250" t="n">
        <v>0</v>
      </c>
      <c r="I250" t="n">
        <v>0</v>
      </c>
      <c r="J250" t="n">
        <v>0</v>
      </c>
      <c r="K250" t="n">
        <v>0</v>
      </c>
      <c r="L250" t="n">
        <v>0</v>
      </c>
      <c r="M250" t="n">
        <v>0</v>
      </c>
      <c r="N250" t="n">
        <v>0</v>
      </c>
      <c r="O250" t="n">
        <v>0</v>
      </c>
      <c r="P250" t="n">
        <v>0</v>
      </c>
      <c r="Q250" t="n">
        <v>0</v>
      </c>
      <c r="R250" s="2" t="inlineStr"/>
    </row>
    <row r="251" ht="15" customHeight="1">
      <c r="A251" t="inlineStr">
        <is>
          <t>A 16976-2022</t>
        </is>
      </c>
      <c r="B251" s="1" t="n">
        <v>44676</v>
      </c>
      <c r="C251" s="1" t="n">
        <v>45564</v>
      </c>
      <c r="D251" t="inlineStr">
        <is>
          <t>DALARNAS LÄN</t>
        </is>
      </c>
      <c r="E251" t="inlineStr">
        <is>
          <t>LEKSAND</t>
        </is>
      </c>
      <c r="F251" t="inlineStr">
        <is>
          <t>Övriga Aktiebolag</t>
        </is>
      </c>
      <c r="G251" t="n">
        <v>0.7</v>
      </c>
      <c r="H251" t="n">
        <v>0</v>
      </c>
      <c r="I251" t="n">
        <v>0</v>
      </c>
      <c r="J251" t="n">
        <v>0</v>
      </c>
      <c r="K251" t="n">
        <v>0</v>
      </c>
      <c r="L251" t="n">
        <v>0</v>
      </c>
      <c r="M251" t="n">
        <v>0</v>
      </c>
      <c r="N251" t="n">
        <v>0</v>
      </c>
      <c r="O251" t="n">
        <v>0</v>
      </c>
      <c r="P251" t="n">
        <v>0</v>
      </c>
      <c r="Q251" t="n">
        <v>0</v>
      </c>
      <c r="R251" s="2" t="inlineStr"/>
    </row>
    <row r="252" ht="15" customHeight="1">
      <c r="A252" t="inlineStr">
        <is>
          <t>A 17455-2022</t>
        </is>
      </c>
      <c r="B252" s="1" t="n">
        <v>44679</v>
      </c>
      <c r="C252" s="1" t="n">
        <v>45564</v>
      </c>
      <c r="D252" t="inlineStr">
        <is>
          <t>DALARNAS LÄN</t>
        </is>
      </c>
      <c r="E252" t="inlineStr">
        <is>
          <t>LEKSAND</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18140-2022</t>
        </is>
      </c>
      <c r="B253" s="1" t="n">
        <v>44684</v>
      </c>
      <c r="C253" s="1" t="n">
        <v>45564</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18866-2022</t>
        </is>
      </c>
      <c r="B254" s="1" t="n">
        <v>44690</v>
      </c>
      <c r="C254" s="1" t="n">
        <v>45564</v>
      </c>
      <c r="D254" t="inlineStr">
        <is>
          <t>DALARNAS LÄN</t>
        </is>
      </c>
      <c r="E254" t="inlineStr">
        <is>
          <t>LEKSAND</t>
        </is>
      </c>
      <c r="F254" t="inlineStr">
        <is>
          <t>Övriga Aktiebolag</t>
        </is>
      </c>
      <c r="G254" t="n">
        <v>5.1</v>
      </c>
      <c r="H254" t="n">
        <v>0</v>
      </c>
      <c r="I254" t="n">
        <v>0</v>
      </c>
      <c r="J254" t="n">
        <v>0</v>
      </c>
      <c r="K254" t="n">
        <v>0</v>
      </c>
      <c r="L254" t="n">
        <v>0</v>
      </c>
      <c r="M254" t="n">
        <v>0</v>
      </c>
      <c r="N254" t="n">
        <v>0</v>
      </c>
      <c r="O254" t="n">
        <v>0</v>
      </c>
      <c r="P254" t="n">
        <v>0</v>
      </c>
      <c r="Q254" t="n">
        <v>0</v>
      </c>
      <c r="R254" s="2" t="inlineStr"/>
    </row>
    <row r="255" ht="15" customHeight="1">
      <c r="A255" t="inlineStr">
        <is>
          <t>A 18870-2022</t>
        </is>
      </c>
      <c r="B255" s="1" t="n">
        <v>44690</v>
      </c>
      <c r="C255" s="1" t="n">
        <v>45564</v>
      </c>
      <c r="D255" t="inlineStr">
        <is>
          <t>DALARNAS LÄN</t>
        </is>
      </c>
      <c r="E255" t="inlineStr">
        <is>
          <t>LEKSAND</t>
        </is>
      </c>
      <c r="F255" t="inlineStr">
        <is>
          <t>Övriga Aktiebolag</t>
        </is>
      </c>
      <c r="G255" t="n">
        <v>3.1</v>
      </c>
      <c r="H255" t="n">
        <v>0</v>
      </c>
      <c r="I255" t="n">
        <v>0</v>
      </c>
      <c r="J255" t="n">
        <v>0</v>
      </c>
      <c r="K255" t="n">
        <v>0</v>
      </c>
      <c r="L255" t="n">
        <v>0</v>
      </c>
      <c r="M255" t="n">
        <v>0</v>
      </c>
      <c r="N255" t="n">
        <v>0</v>
      </c>
      <c r="O255" t="n">
        <v>0</v>
      </c>
      <c r="P255" t="n">
        <v>0</v>
      </c>
      <c r="Q255" t="n">
        <v>0</v>
      </c>
      <c r="R255" s="2" t="inlineStr"/>
    </row>
    <row r="256" ht="15" customHeight="1">
      <c r="A256" t="inlineStr">
        <is>
          <t>A 19467-2022</t>
        </is>
      </c>
      <c r="B256" s="1" t="n">
        <v>44693</v>
      </c>
      <c r="C256" s="1" t="n">
        <v>45564</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19480-2022</t>
        </is>
      </c>
      <c r="B257" s="1" t="n">
        <v>44693</v>
      </c>
      <c r="C257" s="1" t="n">
        <v>45564</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19993-2022</t>
        </is>
      </c>
      <c r="B258" s="1" t="n">
        <v>44697</v>
      </c>
      <c r="C258" s="1" t="n">
        <v>45564</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20274-2022</t>
        </is>
      </c>
      <c r="B259" s="1" t="n">
        <v>44698</v>
      </c>
      <c r="C259" s="1" t="n">
        <v>45564</v>
      </c>
      <c r="D259" t="inlineStr">
        <is>
          <t>DALARNAS LÄN</t>
        </is>
      </c>
      <c r="E259" t="inlineStr">
        <is>
          <t>LEKSAND</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21565-2022</t>
        </is>
      </c>
      <c r="B260" s="1" t="n">
        <v>44704</v>
      </c>
      <c r="C260" s="1" t="n">
        <v>45564</v>
      </c>
      <c r="D260" t="inlineStr">
        <is>
          <t>DALARNAS LÄN</t>
        </is>
      </c>
      <c r="E260" t="inlineStr">
        <is>
          <t>LEKSAND</t>
        </is>
      </c>
      <c r="G260" t="n">
        <v>2.1</v>
      </c>
      <c r="H260" t="n">
        <v>0</v>
      </c>
      <c r="I260" t="n">
        <v>0</v>
      </c>
      <c r="J260" t="n">
        <v>0</v>
      </c>
      <c r="K260" t="n">
        <v>0</v>
      </c>
      <c r="L260" t="n">
        <v>0</v>
      </c>
      <c r="M260" t="n">
        <v>0</v>
      </c>
      <c r="N260" t="n">
        <v>0</v>
      </c>
      <c r="O260" t="n">
        <v>0</v>
      </c>
      <c r="P260" t="n">
        <v>0</v>
      </c>
      <c r="Q260" t="n">
        <v>0</v>
      </c>
      <c r="R260" s="2" t="inlineStr"/>
    </row>
    <row r="261" ht="15" customHeight="1">
      <c r="A261" t="inlineStr">
        <is>
          <t>A 21841-2022</t>
        </is>
      </c>
      <c r="B261" s="1" t="n">
        <v>44711</v>
      </c>
      <c r="C261" s="1" t="n">
        <v>45564</v>
      </c>
      <c r="D261" t="inlineStr">
        <is>
          <t>DALARNAS LÄN</t>
        </is>
      </c>
      <c r="E261" t="inlineStr">
        <is>
          <t>LEKSAND</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21839-2022</t>
        </is>
      </c>
      <c r="B262" s="1" t="n">
        <v>44711</v>
      </c>
      <c r="C262" s="1" t="n">
        <v>45564</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21840-2022</t>
        </is>
      </c>
      <c r="B263" s="1" t="n">
        <v>44711</v>
      </c>
      <c r="C263" s="1" t="n">
        <v>45564</v>
      </c>
      <c r="D263" t="inlineStr">
        <is>
          <t>DALARNAS LÄN</t>
        </is>
      </c>
      <c r="E263" t="inlineStr">
        <is>
          <t>LEKSAND</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22683-2022</t>
        </is>
      </c>
      <c r="B264" s="1" t="n">
        <v>44714</v>
      </c>
      <c r="C264" s="1" t="n">
        <v>45564</v>
      </c>
      <c r="D264" t="inlineStr">
        <is>
          <t>DALARNAS LÄN</t>
        </is>
      </c>
      <c r="E264" t="inlineStr">
        <is>
          <t>LEKSAND</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22681-2022</t>
        </is>
      </c>
      <c r="B265" s="1" t="n">
        <v>44714</v>
      </c>
      <c r="C265" s="1" t="n">
        <v>45564</v>
      </c>
      <c r="D265" t="inlineStr">
        <is>
          <t>DALARNAS LÄN</t>
        </is>
      </c>
      <c r="E265" t="inlineStr">
        <is>
          <t>LEKSAND</t>
        </is>
      </c>
      <c r="F265" t="inlineStr">
        <is>
          <t>Bergvik skog väst AB</t>
        </is>
      </c>
      <c r="G265" t="n">
        <v>2.8</v>
      </c>
      <c r="H265" t="n">
        <v>0</v>
      </c>
      <c r="I265" t="n">
        <v>0</v>
      </c>
      <c r="J265" t="n">
        <v>0</v>
      </c>
      <c r="K265" t="n">
        <v>0</v>
      </c>
      <c r="L265" t="n">
        <v>0</v>
      </c>
      <c r="M265" t="n">
        <v>0</v>
      </c>
      <c r="N265" t="n">
        <v>0</v>
      </c>
      <c r="O265" t="n">
        <v>0</v>
      </c>
      <c r="P265" t="n">
        <v>0</v>
      </c>
      <c r="Q265" t="n">
        <v>0</v>
      </c>
      <c r="R265" s="2" t="inlineStr"/>
    </row>
    <row r="266" ht="15" customHeight="1">
      <c r="A266" t="inlineStr">
        <is>
          <t>A 22684-2022</t>
        </is>
      </c>
      <c r="B266" s="1" t="n">
        <v>44714</v>
      </c>
      <c r="C266" s="1" t="n">
        <v>45564</v>
      </c>
      <c r="D266" t="inlineStr">
        <is>
          <t>DALARNAS LÄN</t>
        </is>
      </c>
      <c r="E266" t="inlineStr">
        <is>
          <t>LEKSAND</t>
        </is>
      </c>
      <c r="F266" t="inlineStr">
        <is>
          <t>Bergvik skog väst AB</t>
        </is>
      </c>
      <c r="G266" t="n">
        <v>1.3</v>
      </c>
      <c r="H266" t="n">
        <v>0</v>
      </c>
      <c r="I266" t="n">
        <v>0</v>
      </c>
      <c r="J266" t="n">
        <v>0</v>
      </c>
      <c r="K266" t="n">
        <v>0</v>
      </c>
      <c r="L266" t="n">
        <v>0</v>
      </c>
      <c r="M266" t="n">
        <v>0</v>
      </c>
      <c r="N266" t="n">
        <v>0</v>
      </c>
      <c r="O266" t="n">
        <v>0</v>
      </c>
      <c r="P266" t="n">
        <v>0</v>
      </c>
      <c r="Q266" t="n">
        <v>0</v>
      </c>
      <c r="R266" s="2" t="inlineStr"/>
    </row>
    <row r="267" ht="15" customHeight="1">
      <c r="A267" t="inlineStr">
        <is>
          <t>A 23137-2022</t>
        </is>
      </c>
      <c r="B267" s="1" t="n">
        <v>44719</v>
      </c>
      <c r="C267" s="1" t="n">
        <v>45564</v>
      </c>
      <c r="D267" t="inlineStr">
        <is>
          <t>DALARNAS LÄN</t>
        </is>
      </c>
      <c r="E267" t="inlineStr">
        <is>
          <t>LEKSAND</t>
        </is>
      </c>
      <c r="G267" t="n">
        <v>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45564</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45564</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45564</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45564</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45564</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45564</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45564</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45564</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45564</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45564</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45564</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45564</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45564</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45564</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45564</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45564</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45564</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45564</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45564</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45564</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45564</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45564</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45564</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45564</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45564</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45564</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45564</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45564</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45564</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45564</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45564</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45564</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45564</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45564</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45564</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45564</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45564</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45564</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45564</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45564</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45564</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45564</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45564</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45564</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45564</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45564</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45564</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45564</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45564</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45564</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45564</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45564</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45564</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45564</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45564</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45564</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45564</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45564</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45564</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45564</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45564</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45564</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45564</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45564</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45564</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45564</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45564</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45564</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45564</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45564</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45564</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45564</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45564</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45564</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45564</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45564</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45564</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45564</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45564</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45564</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45564</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45564</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45564</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45564</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45564</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45564</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45564</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45564</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45564</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45564</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45564</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45564</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45564</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45564</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45564</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45564</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45564</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45564</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45564</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45564</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45564</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45564</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45564</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45564</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45564</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45564</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45564</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45564</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45564</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45564</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45564</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45564</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45564</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45564</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45564</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45564</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45564</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45564</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45564</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45564</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45564</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45564</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45564</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45564</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45564</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45564</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45564</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45564</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45564</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45564</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45564</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45564</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45564</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45564</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45564</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45564</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45564</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45564</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45564</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45564</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45564</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45564</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45564</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45564</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45564</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45564</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45564</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45564</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45564</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45564</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45564</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45564</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45564</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45564</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45564</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45564</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45564</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45564</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45564</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45564</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45564</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45564</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45564</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45564</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45564</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45564</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45564</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45564</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45564</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45564</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45564</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45564</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45564</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45564</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45564</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45564</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45564</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45564</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45564</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45564</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45564</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45564</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45564</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45564</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45564</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45564</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45564</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45564</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45564</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45564</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45564</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45564</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45564</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45564</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45564</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45564</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45564</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45564</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45564</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45564</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45564</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45564</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45564</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45564</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45564</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45564</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45564</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45564</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45564</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45564</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45564</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45564</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45564</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45564</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45564</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45564</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45564</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45564</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45564</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45564</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45564</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45564</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45564</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45564</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45564</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45564</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45564</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45564</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45564</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45564</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45564</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45564</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45564</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45564</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45564</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45564</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45564</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45564</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45564</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45564</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45564</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45564</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45564</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45564</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45564</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45564</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45564</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45564</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45564</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45564</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45564</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45564</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45564</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45564</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45564</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45564</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45564</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45564</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45564</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45564</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45564</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45564</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45564</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45564</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45564</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45564</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45564</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45564</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45564</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45564</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45564</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45564</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45564</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45564</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45564</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45564</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45564</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45564</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45564</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45564</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45564</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45564</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45564</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45564</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45564</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45564</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45564</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45564</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45564</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45564</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45564</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45564</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45564</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45564</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45564</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45564</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45564</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45564</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45564</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45564</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45564</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45564</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45564</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45564</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45564</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45564</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45564</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45564</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45564</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45564</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45564</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45564</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45564</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45564</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45564</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45564</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45564</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45564</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45564</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45564</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45564</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45564</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45564</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45564</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45564</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45564</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45564</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45564</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45564</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45564</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45564</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45564</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45564</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45564</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45564</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45564</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45564</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45564</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45564</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45564</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45564</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45564</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45564</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45564</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45564</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45564</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45564</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45564</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45564</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45564</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45564</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45564</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45564</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45564</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45564</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45564</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45564</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45564</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45564</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45564</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45564</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45564</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45564</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45564</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45564</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45564</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45564</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45564</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45564</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45564</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45564</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45564</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45564</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45564</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45564</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45564</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45564</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45564</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45564</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45564</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45564</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45564</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45564</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45564</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45564</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45564</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45564</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45564</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45564</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45564</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45564</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45564</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45564</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45564</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45564</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45564</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45564</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45564</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45564</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45564</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45564</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45564</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45564</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45564</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45564</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45564</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45564</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45564</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45564</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45564</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45564</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45564</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45564</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45564</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45564</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45564</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45564</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45564</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45564</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45564</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45564</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45564</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45564</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45564</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45564</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45564</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45564</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45564</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45564</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45564</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45564</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45564</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45564</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45564</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45564</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45564</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45564</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45564</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45564</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45564</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45564</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45564</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45564</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45564</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45564</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45564</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45564</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45564</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45564</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45564</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45564</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45564</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45564</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45564</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45564</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45564</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45564</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45564</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45564</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45564</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45564</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45564</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45564</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45564</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45564</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45564</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45564</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45564</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45564</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45564</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45564</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45564</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45564</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45564</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45564</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45564</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45564</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45564</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45564</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45564</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45564</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45564</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45564</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45564</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45564</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45564</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45564</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45564</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45564</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45564</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45564</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45564</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45564</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45564</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45564</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45564</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45564</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45564</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45564</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45564</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45564</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45564</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45564</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45564</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45564</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45564</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45564</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45564</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45564</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45564</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45564</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45564</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45564</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45564</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45564</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45564</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45564</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45564</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45564</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45564</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45564</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45564</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45564</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45564</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45564</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45564</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45564</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45564</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45564</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45564</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45564</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45564</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45564</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45564</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45564</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45564</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45564</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45564</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45564</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45564</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45564</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45564</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45564</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45564</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45564</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45564</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45564</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45564</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45564</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45564</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45564</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45564</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45564</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45564</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45564</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45564</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45564</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45564</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45564</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45564</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45564</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45564</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45564</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45564</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45564</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45564</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45564</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45564</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45564</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45564</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45564</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45564</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45564</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45564</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45564</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45564</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45564</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45564</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45564</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45564</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45564</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45564</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45564</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45564</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45564</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45564</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45564</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45564</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45564</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45564</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45564</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45564</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45564</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45564</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45564</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45564</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45564</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45564</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45564</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45564</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45564</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45564</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45564</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45564</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45564</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45564</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45564</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45564</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45564</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45564</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45564</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45564</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45564</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45564</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45564</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45564</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45564</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45564</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45564</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45564</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45564</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45564</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45564</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45564</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45564</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45564</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45564</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45564</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45564</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45564</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45564</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45564</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45564</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45564</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45564</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45564</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45564</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45564</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45564</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45564</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45564</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45564</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45564</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45564</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45564</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45564</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45564</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45564</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45564</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45564</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45564</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45564</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45564</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45564</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45564</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45564</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45564</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45564</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45564</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45564</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45564</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45564</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45564</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45564</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45564</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45564</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45564</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45564</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45564</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45564</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45564</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45564</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45564</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45564</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45564</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45564</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45564</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45564</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45564</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45564</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45564</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45564</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45564</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45564</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45564</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45564</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45564</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45564</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45564</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45564</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45564</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45564</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45564</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45564</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45564</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45564</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45564</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45564</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45564</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45564</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45564</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45564</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45564</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45564</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45564</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45564</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45564</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45564</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45564</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45564</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45564</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45564</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45564</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45564</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45564</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45564</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45564</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45564</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45564</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45564</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45564</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45564</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45564</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45564</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45564</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45564</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45564</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45564</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45564</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45564</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45564</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45564</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45564</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45564</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45564</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45564</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45564</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45564</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45564</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45564</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45564</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45564</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45564</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45564</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45564</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45564</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45564</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45564</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45564</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45564</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45564</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45564</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45564</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45564</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45564</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45564</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45564</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45564</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45564</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45564</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45564</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45564</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45564</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45564</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45564</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45564</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45564</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45564</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45564</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45564</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45564</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45564</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45564</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45564</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45564</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45564</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45564</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45564</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45564</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45564</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45564</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45564</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45564</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45564</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45564</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45564</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45564</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45564</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45564</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45564</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45564</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45564</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45564</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37952-2024</t>
        </is>
      </c>
      <c r="B1061" s="1" t="n">
        <v>45544</v>
      </c>
      <c r="C1061" s="1" t="n">
        <v>45564</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37850-2024</t>
        </is>
      </c>
      <c r="B1062" s="1" t="n">
        <v>45544</v>
      </c>
      <c r="C1062" s="1" t="n">
        <v>45564</v>
      </c>
      <c r="D1062" t="inlineStr">
        <is>
          <t>DALARNAS LÄN</t>
        </is>
      </c>
      <c r="E1062" t="inlineStr">
        <is>
          <t>LEKSAND</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45564</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45564</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45564</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45564</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45564</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45564</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39819-2024</t>
        </is>
      </c>
      <c r="B1069" s="1" t="n">
        <v>45553</v>
      </c>
      <c r="C1069" s="1" t="n">
        <v>45564</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40009-2024</t>
        </is>
      </c>
      <c r="B1070" s="1" t="n">
        <v>45553</v>
      </c>
      <c r="C1070" s="1" t="n">
        <v>45564</v>
      </c>
      <c r="D1070" t="inlineStr">
        <is>
          <t>DALARNAS LÄN</t>
        </is>
      </c>
      <c r="E1070" t="inlineStr">
        <is>
          <t>LEKSAND</t>
        </is>
      </c>
      <c r="F1070" t="inlineStr">
        <is>
          <t>Bergvik skog väst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45564</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45564</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45564</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45564</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40752-2024</t>
        </is>
      </c>
      <c r="B1075" s="1" t="n">
        <v>45558</v>
      </c>
      <c r="C1075" s="1" t="n">
        <v>45564</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40746-2024</t>
        </is>
      </c>
      <c r="B1076" s="1" t="n">
        <v>45558</v>
      </c>
      <c r="C1076" s="1" t="n">
        <v>45564</v>
      </c>
      <c r="D1076" t="inlineStr">
        <is>
          <t>DALARNAS LÄN</t>
        </is>
      </c>
      <c r="E1076" t="inlineStr">
        <is>
          <t>LEKSAND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40864-2024</t>
        </is>
      </c>
      <c r="B1077" s="1" t="n">
        <v>45558</v>
      </c>
      <c r="C1077" s="1" t="n">
        <v>45564</v>
      </c>
      <c r="D1077" t="inlineStr">
        <is>
          <t>DALARNAS LÄN</t>
        </is>
      </c>
      <c r="E1077" t="inlineStr">
        <is>
          <t>LEKSAND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40868-2024</t>
        </is>
      </c>
      <c r="B1078" s="1" t="n">
        <v>45558</v>
      </c>
      <c r="C1078" s="1" t="n">
        <v>45564</v>
      </c>
      <c r="D1078" t="inlineStr">
        <is>
          <t>DALARNAS LÄN</t>
        </is>
      </c>
      <c r="E1078" t="inlineStr">
        <is>
          <t>LEKSAND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45564</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41015-2024</t>
        </is>
      </c>
      <c r="B1080" s="1" t="n">
        <v>45559</v>
      </c>
      <c r="C1080" s="1" t="n">
        <v>45564</v>
      </c>
      <c r="D1080" t="inlineStr">
        <is>
          <t>DALARNAS LÄN</t>
        </is>
      </c>
      <c r="E1080" t="inlineStr">
        <is>
          <t>LEKSAND</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45564</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41306-2024</t>
        </is>
      </c>
      <c r="B1082" s="1" t="n">
        <v>45559</v>
      </c>
      <c r="C1082" s="1" t="n">
        <v>45564</v>
      </c>
      <c r="D1082" t="inlineStr">
        <is>
          <t>DALARNAS LÄN</t>
        </is>
      </c>
      <c r="E1082" t="inlineStr">
        <is>
          <t>LEKSAND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45564</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45564</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45564</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45564</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45564</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c r="A1088" t="inlineStr">
        <is>
          <t>A 42125-2024</t>
        </is>
      </c>
      <c r="B1088" s="1" t="n">
        <v>45562</v>
      </c>
      <c r="C1088" s="1" t="n">
        <v>45564</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2024-09-29T12:07:59Z</dcterms:created>
  <dcterms:modified xmlns:dcterms="http://purl.org/dc/terms/" xmlns:xsi="http://www.w3.org/2001/XMLSchema-instance" xsi:type="dcterms:W3CDTF">2024-09-29T12:08:00Z</dcterms:modified>
</cp:coreProperties>
</file>