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46043</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46043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46043</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46043</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46043</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46043</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46043</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46043</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46043</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46043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46043</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46043</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46043</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40636-2025</t>
        </is>
      </c>
      <c r="B20" s="1" t="n">
        <v>45896.60490740741</v>
      </c>
      <c r="C20" s="1" t="n">
        <v>46043</v>
      </c>
      <c r="D20" t="inlineStr">
        <is>
          <t>DALARNAS LÄN</t>
        </is>
      </c>
      <c r="E20" t="inlineStr">
        <is>
          <t>LEKSAND</t>
        </is>
      </c>
      <c r="F20" t="inlineStr">
        <is>
          <t>Bergvik skog väst AB</t>
        </is>
      </c>
      <c r="G20" t="n">
        <v>3.2</v>
      </c>
      <c r="H20" t="n">
        <v>1</v>
      </c>
      <c r="I20" t="n">
        <v>0</v>
      </c>
      <c r="J20" t="n">
        <v>4</v>
      </c>
      <c r="K20" t="n">
        <v>1</v>
      </c>
      <c r="L20" t="n">
        <v>0</v>
      </c>
      <c r="M20" t="n">
        <v>0</v>
      </c>
      <c r="N20" t="n">
        <v>0</v>
      </c>
      <c r="O20" t="n">
        <v>5</v>
      </c>
      <c r="P20" t="n">
        <v>1</v>
      </c>
      <c r="Q20" t="n">
        <v>5</v>
      </c>
      <c r="R20" s="2" t="inlineStr">
        <is>
          <t>Rynkskinn
Dofttaggsvamp
Garnlav
Tretåig hackspett
Ullticka</t>
        </is>
      </c>
      <c r="S20">
        <f>HYPERLINK("https://klasma.github.io/Logging_2029/artfynd/A 40636-2025 artfynd.xlsx", "A 40636-2025")</f>
        <v/>
      </c>
      <c r="T20">
        <f>HYPERLINK("https://klasma.github.io/Logging_2029/kartor/A 40636-2025 karta.png", "A 40636-2025")</f>
        <v/>
      </c>
      <c r="U20">
        <f>HYPERLINK("https://klasma.github.io/Logging_2029/knärot/A 40636-2025 karta knärot.png", "A 40636-2025")</f>
        <v/>
      </c>
      <c r="V20">
        <f>HYPERLINK("https://klasma.github.io/Logging_2029/klagomål/A 40636-2025 FSC-klagomål.docx", "A 40636-2025")</f>
        <v/>
      </c>
      <c r="W20">
        <f>HYPERLINK("https://klasma.github.io/Logging_2029/klagomålsmail/A 40636-2025 FSC-klagomål mail.docx", "A 40636-2025")</f>
        <v/>
      </c>
      <c r="X20">
        <f>HYPERLINK("https://klasma.github.io/Logging_2029/tillsyn/A 40636-2025 tillsynsbegäran.docx", "A 40636-2025")</f>
        <v/>
      </c>
      <c r="Y20">
        <f>HYPERLINK("https://klasma.github.io/Logging_2029/tillsynsmail/A 40636-2025 tillsynsbegäran mail.docx", "A 40636-2025")</f>
        <v/>
      </c>
      <c r="Z20">
        <f>HYPERLINK("https://klasma.github.io/Logging_2029/fåglar/A 40636-2025 prioriterade fågelarter.docx", "A 40636-2025")</f>
        <v/>
      </c>
    </row>
    <row r="21" ht="15" customHeight="1">
      <c r="A21" t="inlineStr">
        <is>
          <t>A 31957-2025</t>
        </is>
      </c>
      <c r="B21" s="1" t="n">
        <v>45835</v>
      </c>
      <c r="C21" s="1" t="n">
        <v>46043</v>
      </c>
      <c r="D21" t="inlineStr">
        <is>
          <t>DALARNAS LÄN</t>
        </is>
      </c>
      <c r="E21" t="inlineStr">
        <is>
          <t>LEKSAND</t>
        </is>
      </c>
      <c r="G21" t="n">
        <v>5.2</v>
      </c>
      <c r="H21" t="n">
        <v>2</v>
      </c>
      <c r="I21" t="n">
        <v>0</v>
      </c>
      <c r="J21" t="n">
        <v>3</v>
      </c>
      <c r="K21" t="n">
        <v>1</v>
      </c>
      <c r="L21" t="n">
        <v>0</v>
      </c>
      <c r="M21" t="n">
        <v>0</v>
      </c>
      <c r="N21" t="n">
        <v>0</v>
      </c>
      <c r="O21" t="n">
        <v>4</v>
      </c>
      <c r="P21" t="n">
        <v>1</v>
      </c>
      <c r="Q21" t="n">
        <v>5</v>
      </c>
      <c r="R21" s="2" t="inlineStr">
        <is>
          <t>Knärot
Dvärgbägarlav
Mörk kolflarnlav
Vedskivlav
Tjäder</t>
        </is>
      </c>
      <c r="S21">
        <f>HYPERLINK("https://klasma.github.io/Logging_2029/artfynd/A 31957-2025 artfynd.xlsx", "A 31957-2025")</f>
        <v/>
      </c>
      <c r="T21">
        <f>HYPERLINK("https://klasma.github.io/Logging_2029/kartor/A 31957-2025 karta.png", "A 31957-2025")</f>
        <v/>
      </c>
      <c r="U21">
        <f>HYPERLINK("https://klasma.github.io/Logging_2029/knärot/A 31957-2025 karta knärot.png", "A 31957-2025")</f>
        <v/>
      </c>
      <c r="V21">
        <f>HYPERLINK("https://klasma.github.io/Logging_2029/klagomål/A 31957-2025 FSC-klagomål.docx", "A 31957-2025")</f>
        <v/>
      </c>
      <c r="W21">
        <f>HYPERLINK("https://klasma.github.io/Logging_2029/klagomålsmail/A 31957-2025 FSC-klagomål mail.docx", "A 31957-2025")</f>
        <v/>
      </c>
      <c r="X21">
        <f>HYPERLINK("https://klasma.github.io/Logging_2029/tillsyn/A 31957-2025 tillsynsbegäran.docx", "A 31957-2025")</f>
        <v/>
      </c>
      <c r="Y21">
        <f>HYPERLINK("https://klasma.github.io/Logging_2029/tillsynsmail/A 31957-2025 tillsynsbegäran mail.docx", "A 31957-2025")</f>
        <v/>
      </c>
      <c r="Z21">
        <f>HYPERLINK("https://klasma.github.io/Logging_2029/fåglar/A 31957-2025 prioriterade fågelarter.docx", "A 31957-2025")</f>
        <v/>
      </c>
    </row>
    <row r="22" ht="15" customHeight="1">
      <c r="A22" t="inlineStr">
        <is>
          <t>A 8529-2023</t>
        </is>
      </c>
      <c r="B22" s="1" t="n">
        <v>44977</v>
      </c>
      <c r="C22" s="1" t="n">
        <v>46043</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15377-2025</t>
        </is>
      </c>
      <c r="B23" s="1" t="n">
        <v>45747.40665509259</v>
      </c>
      <c r="C23" s="1" t="n">
        <v>46043</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46043</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41528-2025</t>
        </is>
      </c>
      <c r="B25" s="1" t="n">
        <v>45901.55515046296</v>
      </c>
      <c r="C25" s="1" t="n">
        <v>46043</v>
      </c>
      <c r="D25" t="inlineStr">
        <is>
          <t>DALARNAS LÄN</t>
        </is>
      </c>
      <c r="E25" t="inlineStr">
        <is>
          <t>LEKSAND</t>
        </is>
      </c>
      <c r="F25" t="inlineStr">
        <is>
          <t>Bergvik skog väst AB</t>
        </is>
      </c>
      <c r="G25" t="n">
        <v>2.7</v>
      </c>
      <c r="H25" t="n">
        <v>1</v>
      </c>
      <c r="I25" t="n">
        <v>1</v>
      </c>
      <c r="J25" t="n">
        <v>2</v>
      </c>
      <c r="K25" t="n">
        <v>0</v>
      </c>
      <c r="L25" t="n">
        <v>0</v>
      </c>
      <c r="M25" t="n">
        <v>0</v>
      </c>
      <c r="N25" t="n">
        <v>0</v>
      </c>
      <c r="O25" t="n">
        <v>2</v>
      </c>
      <c r="P25" t="n">
        <v>0</v>
      </c>
      <c r="Q25" t="n">
        <v>3</v>
      </c>
      <c r="R25" s="2" t="inlineStr">
        <is>
          <t>Garnlav
Tretåig hackspett
Mindre märgborre</t>
        </is>
      </c>
      <c r="S25">
        <f>HYPERLINK("https://klasma.github.io/Logging_2029/artfynd/A 41528-2025 artfynd.xlsx", "A 41528-2025")</f>
        <v/>
      </c>
      <c r="T25">
        <f>HYPERLINK("https://klasma.github.io/Logging_2029/kartor/A 41528-2025 karta.png", "A 41528-2025")</f>
        <v/>
      </c>
      <c r="V25">
        <f>HYPERLINK("https://klasma.github.io/Logging_2029/klagomål/A 41528-2025 FSC-klagomål.docx", "A 41528-2025")</f>
        <v/>
      </c>
      <c r="W25">
        <f>HYPERLINK("https://klasma.github.io/Logging_2029/klagomålsmail/A 41528-2025 FSC-klagomål mail.docx", "A 41528-2025")</f>
        <v/>
      </c>
      <c r="X25">
        <f>HYPERLINK("https://klasma.github.io/Logging_2029/tillsyn/A 41528-2025 tillsynsbegäran.docx", "A 41528-2025")</f>
        <v/>
      </c>
      <c r="Y25">
        <f>HYPERLINK("https://klasma.github.io/Logging_2029/tillsynsmail/A 41528-2025 tillsynsbegäran mail.docx", "A 41528-2025")</f>
        <v/>
      </c>
      <c r="Z25">
        <f>HYPERLINK("https://klasma.github.io/Logging_2029/fåglar/A 41528-2025 prioriterade fågelarter.docx", "A 41528-2025")</f>
        <v/>
      </c>
    </row>
    <row r="26" ht="15" customHeight="1">
      <c r="A26" t="inlineStr">
        <is>
          <t>A 37399-2023</t>
        </is>
      </c>
      <c r="B26" s="1" t="n">
        <v>45156</v>
      </c>
      <c r="C26" s="1" t="n">
        <v>46043</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9408-2024</t>
        </is>
      </c>
      <c r="B27" s="1" t="n">
        <v>45358</v>
      </c>
      <c r="C27" s="1" t="n">
        <v>46043</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46043</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46043</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35865-2025</t>
        </is>
      </c>
      <c r="B30" s="1" t="n">
        <v>45861.7066087963</v>
      </c>
      <c r="C30" s="1" t="n">
        <v>46043</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18860-2025</t>
        </is>
      </c>
      <c r="B31" s="1" t="n">
        <v>45764.42738425926</v>
      </c>
      <c r="C31" s="1" t="n">
        <v>46043</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55519-2021</t>
        </is>
      </c>
      <c r="B32" s="1" t="n">
        <v>44475</v>
      </c>
      <c r="C32" s="1" t="n">
        <v>46043</v>
      </c>
      <c r="D32" t="inlineStr">
        <is>
          <t>DALARNAS LÄN</t>
        </is>
      </c>
      <c r="E32" t="inlineStr">
        <is>
          <t>LEKSAND</t>
        </is>
      </c>
      <c r="G32" t="n">
        <v>1.8</v>
      </c>
      <c r="H32" t="n">
        <v>2</v>
      </c>
      <c r="I32" t="n">
        <v>0</v>
      </c>
      <c r="J32" t="n">
        <v>0</v>
      </c>
      <c r="K32" t="n">
        <v>0</v>
      </c>
      <c r="L32" t="n">
        <v>0</v>
      </c>
      <c r="M32" t="n">
        <v>0</v>
      </c>
      <c r="N32" t="n">
        <v>0</v>
      </c>
      <c r="O32" t="n">
        <v>0</v>
      </c>
      <c r="P32" t="n">
        <v>0</v>
      </c>
      <c r="Q32" t="n">
        <v>2</v>
      </c>
      <c r="R32" s="2" t="inlineStr">
        <is>
          <t>Fläcknycklar
Mattlummer</t>
        </is>
      </c>
      <c r="S32">
        <f>HYPERLINK("https://klasma.github.io/Logging_2029/artfynd/A 55519-2021 artfynd.xlsx", "A 55519-2021")</f>
        <v/>
      </c>
      <c r="T32">
        <f>HYPERLINK("https://klasma.github.io/Logging_2029/kartor/A 55519-2021 karta.png", "A 55519-2021")</f>
        <v/>
      </c>
      <c r="V32">
        <f>HYPERLINK("https://klasma.github.io/Logging_2029/klagomål/A 55519-2021 FSC-klagomål.docx", "A 55519-2021")</f>
        <v/>
      </c>
      <c r="W32">
        <f>HYPERLINK("https://klasma.github.io/Logging_2029/klagomålsmail/A 55519-2021 FSC-klagomål mail.docx", "A 55519-2021")</f>
        <v/>
      </c>
      <c r="X32">
        <f>HYPERLINK("https://klasma.github.io/Logging_2029/tillsyn/A 55519-2021 tillsynsbegäran.docx", "A 55519-2021")</f>
        <v/>
      </c>
      <c r="Y32">
        <f>HYPERLINK("https://klasma.github.io/Logging_2029/tillsynsmail/A 55519-2021 tillsynsbegäran mail.docx", "A 55519-2021")</f>
        <v/>
      </c>
    </row>
    <row r="33" ht="15" customHeight="1">
      <c r="A33" t="inlineStr">
        <is>
          <t>A 41718-2021</t>
        </is>
      </c>
      <c r="B33" s="1" t="n">
        <v>44425</v>
      </c>
      <c r="C33" s="1" t="n">
        <v>46043</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31124-2024</t>
        </is>
      </c>
      <c r="B34" s="1" t="n">
        <v>45502.62886574074</v>
      </c>
      <c r="C34" s="1" t="n">
        <v>46043</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164-2024</t>
        </is>
      </c>
      <c r="B35" s="1" t="n">
        <v>45294.49954861111</v>
      </c>
      <c r="C35" s="1" t="n">
        <v>46043</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45375-2025</t>
        </is>
      </c>
      <c r="B36" s="1" t="n">
        <v>45922.39347222223</v>
      </c>
      <c r="C36" s="1" t="n">
        <v>46043</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47601-2025</t>
        </is>
      </c>
      <c r="B37" s="1" t="n">
        <v>45931.46008101852</v>
      </c>
      <c r="C37" s="1" t="n">
        <v>46043</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46043</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36778-2025</t>
        </is>
      </c>
      <c r="B39" s="1" t="n">
        <v>45873</v>
      </c>
      <c r="C39" s="1" t="n">
        <v>46043</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4974-2025</t>
        </is>
      </c>
      <c r="B40" s="1" t="n">
        <v>45690.8478587963</v>
      </c>
      <c r="C40" s="1" t="n">
        <v>46043</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46043</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46043</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31951-2025</t>
        </is>
      </c>
      <c r="B43" s="1" t="n">
        <v>45835.33481481481</v>
      </c>
      <c r="C43" s="1" t="n">
        <v>46043</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34993-2025</t>
        </is>
      </c>
      <c r="B44" s="1" t="n">
        <v>45849.82383101852</v>
      </c>
      <c r="C44" s="1" t="n">
        <v>46043</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46043</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11218-2023</t>
        </is>
      </c>
      <c r="B46" s="1" t="n">
        <v>44992.62401620371</v>
      </c>
      <c r="C46" s="1" t="n">
        <v>46043</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41873-2022</t>
        </is>
      </c>
      <c r="B47" s="1" t="n">
        <v>44829</v>
      </c>
      <c r="C47" s="1" t="n">
        <v>46043</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55633-2024</t>
        </is>
      </c>
      <c r="B48" s="1" t="n">
        <v>45621</v>
      </c>
      <c r="C48" s="1" t="n">
        <v>46043</v>
      </c>
      <c r="D48" t="inlineStr">
        <is>
          <t>DALARNAS LÄN</t>
        </is>
      </c>
      <c r="E48" t="inlineStr">
        <is>
          <t>LEKSAND</t>
        </is>
      </c>
      <c r="G48" t="n">
        <v>7.8</v>
      </c>
      <c r="H48" t="n">
        <v>0</v>
      </c>
      <c r="I48" t="n">
        <v>0</v>
      </c>
      <c r="J48" t="n">
        <v>1</v>
      </c>
      <c r="K48" t="n">
        <v>0</v>
      </c>
      <c r="L48" t="n">
        <v>0</v>
      </c>
      <c r="M48" t="n">
        <v>0</v>
      </c>
      <c r="N48" t="n">
        <v>0</v>
      </c>
      <c r="O48" t="n">
        <v>1</v>
      </c>
      <c r="P48" t="n">
        <v>0</v>
      </c>
      <c r="Q48" t="n">
        <v>1</v>
      </c>
      <c r="R48" s="2" t="inlineStr">
        <is>
          <t>Ullticka</t>
        </is>
      </c>
      <c r="S48">
        <f>HYPERLINK("https://klasma.github.io/Logging_2029/artfynd/A 55633-2024 artfynd.xlsx", "A 55633-2024")</f>
        <v/>
      </c>
      <c r="T48">
        <f>HYPERLINK("https://klasma.github.io/Logging_2029/kartor/A 55633-2024 karta.png", "A 55633-2024")</f>
        <v/>
      </c>
      <c r="V48">
        <f>HYPERLINK("https://klasma.github.io/Logging_2029/klagomål/A 55633-2024 FSC-klagomål.docx", "A 55633-2024")</f>
        <v/>
      </c>
      <c r="W48">
        <f>HYPERLINK("https://klasma.github.io/Logging_2029/klagomålsmail/A 55633-2024 FSC-klagomål mail.docx", "A 55633-2024")</f>
        <v/>
      </c>
      <c r="X48">
        <f>HYPERLINK("https://klasma.github.io/Logging_2029/tillsyn/A 55633-2024 tillsynsbegäran.docx", "A 55633-2024")</f>
        <v/>
      </c>
      <c r="Y48">
        <f>HYPERLINK("https://klasma.github.io/Logging_2029/tillsynsmail/A 55633-2024 tillsynsbegäran mail.docx", "A 55633-2024")</f>
        <v/>
      </c>
    </row>
    <row r="49" ht="15" customHeight="1">
      <c r="A49" t="inlineStr">
        <is>
          <t>A 52600-2024</t>
        </is>
      </c>
      <c r="B49" s="1" t="n">
        <v>45609</v>
      </c>
      <c r="C49" s="1" t="n">
        <v>46043</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59205-2023</t>
        </is>
      </c>
      <c r="B50" s="1" t="n">
        <v>45251</v>
      </c>
      <c r="C50" s="1" t="n">
        <v>46043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6029-2025</t>
        </is>
      </c>
      <c r="B51" s="1" t="n">
        <v>45695</v>
      </c>
      <c r="C51" s="1" t="n">
        <v>46043</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16735-2025</t>
        </is>
      </c>
      <c r="B52" s="1" t="n">
        <v>45754.54314814815</v>
      </c>
      <c r="C52" s="1" t="n">
        <v>46043</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23137-2022</t>
        </is>
      </c>
      <c r="B53" s="1" t="n">
        <v>44719</v>
      </c>
      <c r="C53" s="1" t="n">
        <v>46043</v>
      </c>
      <c r="D53" t="inlineStr">
        <is>
          <t>DALARNAS LÄN</t>
        </is>
      </c>
      <c r="E53" t="inlineStr">
        <is>
          <t>LEKSAND</t>
        </is>
      </c>
      <c r="G53" t="n">
        <v>3</v>
      </c>
      <c r="H53" t="n">
        <v>0</v>
      </c>
      <c r="I53" t="n">
        <v>0</v>
      </c>
      <c r="J53" t="n">
        <v>0</v>
      </c>
      <c r="K53" t="n">
        <v>1</v>
      </c>
      <c r="L53" t="n">
        <v>0</v>
      </c>
      <c r="M53" t="n">
        <v>0</v>
      </c>
      <c r="N53" t="n">
        <v>0</v>
      </c>
      <c r="O53" t="n">
        <v>1</v>
      </c>
      <c r="P53" t="n">
        <v>1</v>
      </c>
      <c r="Q53" t="n">
        <v>1</v>
      </c>
      <c r="R53" s="2" t="inlineStr">
        <is>
          <t>Koppartaggsvamp</t>
        </is>
      </c>
      <c r="S53">
        <f>HYPERLINK("https://klasma.github.io/Logging_2029/artfynd/A 23137-2022 artfynd.xlsx", "A 23137-2022")</f>
        <v/>
      </c>
      <c r="T53">
        <f>HYPERLINK("https://klasma.github.io/Logging_2029/kartor/A 23137-2022 karta.png", "A 23137-2022")</f>
        <v/>
      </c>
      <c r="V53">
        <f>HYPERLINK("https://klasma.github.io/Logging_2029/klagomål/A 23137-2022 FSC-klagomål.docx", "A 23137-2022")</f>
        <v/>
      </c>
      <c r="W53">
        <f>HYPERLINK("https://klasma.github.io/Logging_2029/klagomålsmail/A 23137-2022 FSC-klagomål mail.docx", "A 23137-2022")</f>
        <v/>
      </c>
      <c r="X53">
        <f>HYPERLINK("https://klasma.github.io/Logging_2029/tillsyn/A 23137-2022 tillsynsbegäran.docx", "A 23137-2022")</f>
        <v/>
      </c>
      <c r="Y53">
        <f>HYPERLINK("https://klasma.github.io/Logging_2029/tillsynsmail/A 23137-2022 tillsynsbegäran mail.docx", "A 23137-2022")</f>
        <v/>
      </c>
    </row>
    <row r="54" ht="15" customHeight="1">
      <c r="A54" t="inlineStr">
        <is>
          <t>A 36438-2021</t>
        </is>
      </c>
      <c r="B54" s="1" t="n">
        <v>44390.91288194444</v>
      </c>
      <c r="C54" s="1" t="n">
        <v>46043</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46043</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46043</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46043</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46043</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46043</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46043</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46043</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46043</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46043</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35801-2022</t>
        </is>
      </c>
      <c r="B64" s="1" t="n">
        <v>44802</v>
      </c>
      <c r="C64" s="1" t="n">
        <v>46043</v>
      </c>
      <c r="D64" t="inlineStr">
        <is>
          <t>DALARNAS LÄN</t>
        </is>
      </c>
      <c r="E64" t="inlineStr">
        <is>
          <t>LEKSAND</t>
        </is>
      </c>
      <c r="F64" t="inlineStr">
        <is>
          <t>Bergvik skog väst AB</t>
        </is>
      </c>
      <c r="G64" t="n">
        <v>6.4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46043</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46043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46043</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46043</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46043</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46043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46043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46043</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46043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46043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46043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46043</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46043</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46043</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46043</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46043</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46043</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46043</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46043</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46043</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46043</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46043</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46043</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46043</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46043</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46043</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46043</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46043</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46043</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50219-2022</t>
        </is>
      </c>
      <c r="B95" s="1" t="n">
        <v>44865.64244212963</v>
      </c>
      <c r="C95" s="1" t="n">
        <v>46043</v>
      </c>
      <c r="D95" t="inlineStr">
        <is>
          <t>DALARNAS LÄN</t>
        </is>
      </c>
      <c r="E95" t="inlineStr">
        <is>
          <t>LEKSAND</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46043</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46043</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46043</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46043</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46043</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46043</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46043</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46043</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46043</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46043</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46043</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46043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46043</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46043</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46043</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46043</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46043</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46043</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14797-2025</t>
        </is>
      </c>
      <c r="B114" s="1" t="n">
        <v>45742.90363425926</v>
      </c>
      <c r="C114" s="1" t="n">
        <v>46043</v>
      </c>
      <c r="D114" t="inlineStr">
        <is>
          <t>DALARNAS LÄN</t>
        </is>
      </c>
      <c r="E114" t="inlineStr">
        <is>
          <t>LEKSAND</t>
        </is>
      </c>
      <c r="G114" t="n">
        <v>1.4</v>
      </c>
      <c r="H114" t="n">
        <v>0</v>
      </c>
      <c r="I114" t="n">
        <v>0</v>
      </c>
      <c r="J114" t="n">
        <v>0</v>
      </c>
      <c r="K114" t="n">
        <v>0</v>
      </c>
      <c r="L114" t="n">
        <v>0</v>
      </c>
      <c r="M114" t="n">
        <v>0</v>
      </c>
      <c r="N114" t="n">
        <v>0</v>
      </c>
      <c r="O114" t="n">
        <v>0</v>
      </c>
      <c r="P114" t="n">
        <v>0</v>
      </c>
      <c r="Q114" t="n">
        <v>0</v>
      </c>
      <c r="R114" s="2" t="inlineStr"/>
    </row>
    <row r="115" ht="15" customHeight="1">
      <c r="A115" t="inlineStr">
        <is>
          <t>A 19559-2023</t>
        </is>
      </c>
      <c r="B115" s="1" t="n">
        <v>45050</v>
      </c>
      <c r="C115" s="1" t="n">
        <v>46043</v>
      </c>
      <c r="D115" t="inlineStr">
        <is>
          <t>DALARNAS LÄN</t>
        </is>
      </c>
      <c r="E115" t="inlineStr">
        <is>
          <t>LEKSAND</t>
        </is>
      </c>
      <c r="G115" t="n">
        <v>0.1</v>
      </c>
      <c r="H115" t="n">
        <v>0</v>
      </c>
      <c r="I115" t="n">
        <v>0</v>
      </c>
      <c r="J115" t="n">
        <v>0</v>
      </c>
      <c r="K115" t="n">
        <v>0</v>
      </c>
      <c r="L115" t="n">
        <v>0</v>
      </c>
      <c r="M115" t="n">
        <v>0</v>
      </c>
      <c r="N115" t="n">
        <v>0</v>
      </c>
      <c r="O115" t="n">
        <v>0</v>
      </c>
      <c r="P115" t="n">
        <v>0</v>
      </c>
      <c r="Q115" t="n">
        <v>0</v>
      </c>
      <c r="R115" s="2" t="inlineStr"/>
    </row>
    <row r="116" ht="15" customHeight="1">
      <c r="A116" t="inlineStr">
        <is>
          <t>A 8046-2024</t>
        </is>
      </c>
      <c r="B116" s="1" t="n">
        <v>45351.31555555556</v>
      </c>
      <c r="C116" s="1" t="n">
        <v>46043</v>
      </c>
      <c r="D116" t="inlineStr">
        <is>
          <t>DALARNAS LÄN</t>
        </is>
      </c>
      <c r="E116" t="inlineStr">
        <is>
          <t>LEKSAND</t>
        </is>
      </c>
      <c r="G116" t="n">
        <v>2.9</v>
      </c>
      <c r="H116" t="n">
        <v>0</v>
      </c>
      <c r="I116" t="n">
        <v>0</v>
      </c>
      <c r="J116" t="n">
        <v>0</v>
      </c>
      <c r="K116" t="n">
        <v>0</v>
      </c>
      <c r="L116" t="n">
        <v>0</v>
      </c>
      <c r="M116" t="n">
        <v>0</v>
      </c>
      <c r="N116" t="n">
        <v>0</v>
      </c>
      <c r="O116" t="n">
        <v>0</v>
      </c>
      <c r="P116" t="n">
        <v>0</v>
      </c>
      <c r="Q116" t="n">
        <v>0</v>
      </c>
      <c r="R116" s="2" t="inlineStr"/>
    </row>
    <row r="117" ht="15" customHeight="1">
      <c r="A117" t="inlineStr">
        <is>
          <t>A 38001-2023</t>
        </is>
      </c>
      <c r="B117" s="1" t="n">
        <v>45160</v>
      </c>
      <c r="C117" s="1" t="n">
        <v>46043</v>
      </c>
      <c r="D117" t="inlineStr">
        <is>
          <t>DALARNAS LÄN</t>
        </is>
      </c>
      <c r="E117" t="inlineStr">
        <is>
          <t>LEKSAND</t>
        </is>
      </c>
      <c r="G117" t="n">
        <v>3.6</v>
      </c>
      <c r="H117" t="n">
        <v>0</v>
      </c>
      <c r="I117" t="n">
        <v>0</v>
      </c>
      <c r="J117" t="n">
        <v>0</v>
      </c>
      <c r="K117" t="n">
        <v>0</v>
      </c>
      <c r="L117" t="n">
        <v>0</v>
      </c>
      <c r="M117" t="n">
        <v>0</v>
      </c>
      <c r="N117" t="n">
        <v>0</v>
      </c>
      <c r="O117" t="n">
        <v>0</v>
      </c>
      <c r="P117" t="n">
        <v>0</v>
      </c>
      <c r="Q117" t="n">
        <v>0</v>
      </c>
      <c r="R117" s="2" t="inlineStr"/>
    </row>
    <row r="118" ht="15" customHeight="1">
      <c r="A118" t="inlineStr">
        <is>
          <t>A 5583-2024</t>
        </is>
      </c>
      <c r="B118" s="1" t="n">
        <v>45334</v>
      </c>
      <c r="C118" s="1" t="n">
        <v>46043</v>
      </c>
      <c r="D118" t="inlineStr">
        <is>
          <t>DALARNAS LÄN</t>
        </is>
      </c>
      <c r="E118" t="inlineStr">
        <is>
          <t>LEKSAND</t>
        </is>
      </c>
      <c r="F118" t="inlineStr">
        <is>
          <t>Kyrkan</t>
        </is>
      </c>
      <c r="G118" t="n">
        <v>0.4</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46043</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13161-2024</t>
        </is>
      </c>
      <c r="B120" s="1" t="n">
        <v>45386.38972222222</v>
      </c>
      <c r="C120" s="1" t="n">
        <v>46043</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59826-2023</t>
        </is>
      </c>
      <c r="B121" s="1" t="n">
        <v>45254</v>
      </c>
      <c r="C121" s="1" t="n">
        <v>46043</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12290-2024</t>
        </is>
      </c>
      <c r="B122" s="1" t="n">
        <v>45378.57877314815</v>
      </c>
      <c r="C122" s="1" t="n">
        <v>46043</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7417-2024</t>
        </is>
      </c>
      <c r="B123" s="1" t="n">
        <v>45345.62378472222</v>
      </c>
      <c r="C123" s="1" t="n">
        <v>46043</v>
      </c>
      <c r="D123" t="inlineStr">
        <is>
          <t>DALARNAS LÄN</t>
        </is>
      </c>
      <c r="E123" t="inlineStr">
        <is>
          <t>LEKSAND</t>
        </is>
      </c>
      <c r="G123" t="n">
        <v>2.8</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46043</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6758-2024</t>
        </is>
      </c>
      <c r="B125" s="1" t="n">
        <v>45342.46857638889</v>
      </c>
      <c r="C125" s="1" t="n">
        <v>46043</v>
      </c>
      <c r="D125" t="inlineStr">
        <is>
          <t>DALARNAS LÄN</t>
        </is>
      </c>
      <c r="E125" t="inlineStr">
        <is>
          <t>LEKSAND</t>
        </is>
      </c>
      <c r="F125" t="inlineStr">
        <is>
          <t>Bergvik skog väst AB</t>
        </is>
      </c>
      <c r="G125" t="n">
        <v>6.2</v>
      </c>
      <c r="H125" t="n">
        <v>0</v>
      </c>
      <c r="I125" t="n">
        <v>0</v>
      </c>
      <c r="J125" t="n">
        <v>0</v>
      </c>
      <c r="K125" t="n">
        <v>0</v>
      </c>
      <c r="L125" t="n">
        <v>0</v>
      </c>
      <c r="M125" t="n">
        <v>0</v>
      </c>
      <c r="N125" t="n">
        <v>0</v>
      </c>
      <c r="O125" t="n">
        <v>0</v>
      </c>
      <c r="P125" t="n">
        <v>0</v>
      </c>
      <c r="Q125" t="n">
        <v>0</v>
      </c>
      <c r="R125" s="2" t="inlineStr"/>
    </row>
    <row r="126" ht="15" customHeight="1">
      <c r="A126" t="inlineStr">
        <is>
          <t>A 25025-2023</t>
        </is>
      </c>
      <c r="B126" s="1" t="n">
        <v>45085.92146990741</v>
      </c>
      <c r="C126" s="1" t="n">
        <v>46043</v>
      </c>
      <c r="D126" t="inlineStr">
        <is>
          <t>DALARNAS LÄN</t>
        </is>
      </c>
      <c r="E126" t="inlineStr">
        <is>
          <t>LEKSAND</t>
        </is>
      </c>
      <c r="G126" t="n">
        <v>3</v>
      </c>
      <c r="H126" t="n">
        <v>0</v>
      </c>
      <c r="I126" t="n">
        <v>0</v>
      </c>
      <c r="J126" t="n">
        <v>0</v>
      </c>
      <c r="K126" t="n">
        <v>0</v>
      </c>
      <c r="L126" t="n">
        <v>0</v>
      </c>
      <c r="M126" t="n">
        <v>0</v>
      </c>
      <c r="N126" t="n">
        <v>0</v>
      </c>
      <c r="O126" t="n">
        <v>0</v>
      </c>
      <c r="P126" t="n">
        <v>0</v>
      </c>
      <c r="Q126" t="n">
        <v>0</v>
      </c>
      <c r="R126" s="2" t="inlineStr"/>
    </row>
    <row r="127" ht="15" customHeight="1">
      <c r="A127" t="inlineStr">
        <is>
          <t>A 25038-2023</t>
        </is>
      </c>
      <c r="B127" s="1" t="n">
        <v>45085</v>
      </c>
      <c r="C127" s="1" t="n">
        <v>46043</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48644-2023</t>
        </is>
      </c>
      <c r="B128" s="1" t="n">
        <v>45208.58997685185</v>
      </c>
      <c r="C128" s="1" t="n">
        <v>46043</v>
      </c>
      <c r="D128" t="inlineStr">
        <is>
          <t>DALARNAS LÄN</t>
        </is>
      </c>
      <c r="E128" t="inlineStr">
        <is>
          <t>LEKSAND</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51857-2022</t>
        </is>
      </c>
      <c r="B129" s="1" t="n">
        <v>44867</v>
      </c>
      <c r="C129" s="1" t="n">
        <v>46043</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33072-2021</t>
        </is>
      </c>
      <c r="B130" s="1" t="n">
        <v>44375</v>
      </c>
      <c r="C130" s="1" t="n">
        <v>46043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19820-2024</t>
        </is>
      </c>
      <c r="B131" s="1" t="n">
        <v>45433.33907407407</v>
      </c>
      <c r="C131" s="1" t="n">
        <v>46043</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19823-2024</t>
        </is>
      </c>
      <c r="B132" s="1" t="n">
        <v>45433.34469907408</v>
      </c>
      <c r="C132" s="1" t="n">
        <v>46043</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15968-2025</t>
        </is>
      </c>
      <c r="B133" s="1" t="n">
        <v>45749.54818287037</v>
      </c>
      <c r="C133" s="1" t="n">
        <v>46043</v>
      </c>
      <c r="D133" t="inlineStr">
        <is>
          <t>DALARNAS LÄN</t>
        </is>
      </c>
      <c r="E133" t="inlineStr">
        <is>
          <t>LEKSAND</t>
        </is>
      </c>
      <c r="G133" t="n">
        <v>3.2</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46043</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56517-2025</t>
        </is>
      </c>
      <c r="B135" s="1" t="n">
        <v>45975.45777777778</v>
      </c>
      <c r="C135" s="1" t="n">
        <v>46043</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56623-2025</t>
        </is>
      </c>
      <c r="B136" s="1" t="n">
        <v>45975.60164351852</v>
      </c>
      <c r="C136" s="1" t="n">
        <v>46043</v>
      </c>
      <c r="D136" t="inlineStr">
        <is>
          <t>DALARNAS LÄN</t>
        </is>
      </c>
      <c r="E136" t="inlineStr">
        <is>
          <t>LEKSAND</t>
        </is>
      </c>
      <c r="F136" t="inlineStr">
        <is>
          <t>Bergvik skog väst AB</t>
        </is>
      </c>
      <c r="G136" t="n">
        <v>0.8</v>
      </c>
      <c r="H136" t="n">
        <v>0</v>
      </c>
      <c r="I136" t="n">
        <v>0</v>
      </c>
      <c r="J136" t="n">
        <v>0</v>
      </c>
      <c r="K136" t="n">
        <v>0</v>
      </c>
      <c r="L136" t="n">
        <v>0</v>
      </c>
      <c r="M136" t="n">
        <v>0</v>
      </c>
      <c r="N136" t="n">
        <v>0</v>
      </c>
      <c r="O136" t="n">
        <v>0</v>
      </c>
      <c r="P136" t="n">
        <v>0</v>
      </c>
      <c r="Q136" t="n">
        <v>0</v>
      </c>
      <c r="R136" s="2" t="inlineStr"/>
    </row>
    <row r="137" ht="15" customHeight="1">
      <c r="A137" t="inlineStr">
        <is>
          <t>A 412-2024</t>
        </is>
      </c>
      <c r="B137" s="1" t="n">
        <v>45296</v>
      </c>
      <c r="C137" s="1" t="n">
        <v>46043</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59673-2023</t>
        </is>
      </c>
      <c r="B138" s="1" t="n">
        <v>45255.44603009259</v>
      </c>
      <c r="C138" s="1" t="n">
        <v>46043</v>
      </c>
      <c r="D138" t="inlineStr">
        <is>
          <t>DALARNAS LÄN</t>
        </is>
      </c>
      <c r="E138" t="inlineStr">
        <is>
          <t>LEKSAND</t>
        </is>
      </c>
      <c r="G138" t="n">
        <v>12.2</v>
      </c>
      <c r="H138" t="n">
        <v>0</v>
      </c>
      <c r="I138" t="n">
        <v>0</v>
      </c>
      <c r="J138" t="n">
        <v>0</v>
      </c>
      <c r="K138" t="n">
        <v>0</v>
      </c>
      <c r="L138" t="n">
        <v>0</v>
      </c>
      <c r="M138" t="n">
        <v>0</v>
      </c>
      <c r="N138" t="n">
        <v>0</v>
      </c>
      <c r="O138" t="n">
        <v>0</v>
      </c>
      <c r="P138" t="n">
        <v>0</v>
      </c>
      <c r="Q138" t="n">
        <v>0</v>
      </c>
      <c r="R138" s="2" t="inlineStr"/>
    </row>
    <row r="139" ht="15" customHeight="1">
      <c r="A139" t="inlineStr">
        <is>
          <t>A 63894-2025</t>
        </is>
      </c>
      <c r="B139" s="1" t="n">
        <v>46020.6441087963</v>
      </c>
      <c r="C139" s="1" t="n">
        <v>46043</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23068-2024</t>
        </is>
      </c>
      <c r="B140" s="1" t="n">
        <v>45450.45521990741</v>
      </c>
      <c r="C140" s="1" t="n">
        <v>46043</v>
      </c>
      <c r="D140" t="inlineStr">
        <is>
          <t>DALARNAS LÄN</t>
        </is>
      </c>
      <c r="E140" t="inlineStr">
        <is>
          <t>LEKSAND</t>
        </is>
      </c>
      <c r="G140" t="n">
        <v>2.4</v>
      </c>
      <c r="H140" t="n">
        <v>0</v>
      </c>
      <c r="I140" t="n">
        <v>0</v>
      </c>
      <c r="J140" t="n">
        <v>0</v>
      </c>
      <c r="K140" t="n">
        <v>0</v>
      </c>
      <c r="L140" t="n">
        <v>0</v>
      </c>
      <c r="M140" t="n">
        <v>0</v>
      </c>
      <c r="N140" t="n">
        <v>0</v>
      </c>
      <c r="O140" t="n">
        <v>0</v>
      </c>
      <c r="P140" t="n">
        <v>0</v>
      </c>
      <c r="Q140" t="n">
        <v>0</v>
      </c>
      <c r="R140" s="2" t="inlineStr"/>
    </row>
    <row r="141" ht="15" customHeight="1">
      <c r="A141" t="inlineStr">
        <is>
          <t>A 63757-2025</t>
        </is>
      </c>
      <c r="B141" s="1" t="n">
        <v>46018.42364583333</v>
      </c>
      <c r="C141" s="1" t="n">
        <v>46043</v>
      </c>
      <c r="D141" t="inlineStr">
        <is>
          <t>DALARNAS LÄN</t>
        </is>
      </c>
      <c r="E141" t="inlineStr">
        <is>
          <t>LEKSAND</t>
        </is>
      </c>
      <c r="G141" t="n">
        <v>4</v>
      </c>
      <c r="H141" t="n">
        <v>0</v>
      </c>
      <c r="I141" t="n">
        <v>0</v>
      </c>
      <c r="J141" t="n">
        <v>0</v>
      </c>
      <c r="K141" t="n">
        <v>0</v>
      </c>
      <c r="L141" t="n">
        <v>0</v>
      </c>
      <c r="M141" t="n">
        <v>0</v>
      </c>
      <c r="N141" t="n">
        <v>0</v>
      </c>
      <c r="O141" t="n">
        <v>0</v>
      </c>
      <c r="P141" t="n">
        <v>0</v>
      </c>
      <c r="Q141" t="n">
        <v>0</v>
      </c>
      <c r="R141" s="2" t="inlineStr"/>
    </row>
    <row r="142" ht="15" customHeight="1">
      <c r="A142" t="inlineStr">
        <is>
          <t>A 63890-2025</t>
        </is>
      </c>
      <c r="B142" s="1" t="n">
        <v>46020.63613425926</v>
      </c>
      <c r="C142" s="1" t="n">
        <v>46043</v>
      </c>
      <c r="D142" t="inlineStr">
        <is>
          <t>DALARNAS LÄN</t>
        </is>
      </c>
      <c r="E142" t="inlineStr">
        <is>
          <t>LEKSAND</t>
        </is>
      </c>
      <c r="G142" t="n">
        <v>3.3</v>
      </c>
      <c r="H142" t="n">
        <v>0</v>
      </c>
      <c r="I142" t="n">
        <v>0</v>
      </c>
      <c r="J142" t="n">
        <v>0</v>
      </c>
      <c r="K142" t="n">
        <v>0</v>
      </c>
      <c r="L142" t="n">
        <v>0</v>
      </c>
      <c r="M142" t="n">
        <v>0</v>
      </c>
      <c r="N142" t="n">
        <v>0</v>
      </c>
      <c r="O142" t="n">
        <v>0</v>
      </c>
      <c r="P142" t="n">
        <v>0</v>
      </c>
      <c r="Q142" t="n">
        <v>0</v>
      </c>
      <c r="R142" s="2" t="inlineStr"/>
    </row>
    <row r="143" ht="15" customHeight="1">
      <c r="A143" t="inlineStr">
        <is>
          <t>A 22281-2024</t>
        </is>
      </c>
      <c r="B143" s="1" t="n">
        <v>45446.54756944445</v>
      </c>
      <c r="C143" s="1" t="n">
        <v>46043</v>
      </c>
      <c r="D143" t="inlineStr">
        <is>
          <t>DALARNAS LÄN</t>
        </is>
      </c>
      <c r="E143" t="inlineStr">
        <is>
          <t>LEKSAND</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40755-2024</t>
        </is>
      </c>
      <c r="B144" s="1" t="n">
        <v>45558.45815972222</v>
      </c>
      <c r="C144" s="1" t="n">
        <v>46043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46043</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57267-2025</t>
        </is>
      </c>
      <c r="B146" s="1" t="n">
        <v>45979.67476851852</v>
      </c>
      <c r="C146" s="1" t="n">
        <v>46043</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34244-2024</t>
        </is>
      </c>
      <c r="B147" s="1" t="n">
        <v>45524.58349537037</v>
      </c>
      <c r="C147" s="1" t="n">
        <v>46043</v>
      </c>
      <c r="D147" t="inlineStr">
        <is>
          <t>DALARNAS LÄN</t>
        </is>
      </c>
      <c r="E147" t="inlineStr">
        <is>
          <t>LEKSAND</t>
        </is>
      </c>
      <c r="G147" t="n">
        <v>1.5</v>
      </c>
      <c r="H147" t="n">
        <v>0</v>
      </c>
      <c r="I147" t="n">
        <v>0</v>
      </c>
      <c r="J147" t="n">
        <v>0</v>
      </c>
      <c r="K147" t="n">
        <v>0</v>
      </c>
      <c r="L147" t="n">
        <v>0</v>
      </c>
      <c r="M147" t="n">
        <v>0</v>
      </c>
      <c r="N147" t="n">
        <v>0</v>
      </c>
      <c r="O147" t="n">
        <v>0</v>
      </c>
      <c r="P147" t="n">
        <v>0</v>
      </c>
      <c r="Q147" t="n">
        <v>0</v>
      </c>
      <c r="R147" s="2" t="inlineStr"/>
    </row>
    <row r="148" ht="15" customHeight="1">
      <c r="A148" t="inlineStr">
        <is>
          <t>A 57223-2025</t>
        </is>
      </c>
      <c r="B148" s="1" t="n">
        <v>45979.61486111111</v>
      </c>
      <c r="C148" s="1" t="n">
        <v>46043</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57231-2025</t>
        </is>
      </c>
      <c r="B149" s="1" t="n">
        <v>45979.62025462963</v>
      </c>
      <c r="C149" s="1" t="n">
        <v>46043</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63968-2025</t>
        </is>
      </c>
      <c r="B150" s="1" t="n">
        <v>46021.32299768519</v>
      </c>
      <c r="C150" s="1" t="n">
        <v>46043</v>
      </c>
      <c r="D150" t="inlineStr">
        <is>
          <t>DALARNAS LÄN</t>
        </is>
      </c>
      <c r="E150" t="inlineStr">
        <is>
          <t>LEKSAND</t>
        </is>
      </c>
      <c r="G150" t="n">
        <v>2.6</v>
      </c>
      <c r="H150" t="n">
        <v>0</v>
      </c>
      <c r="I150" t="n">
        <v>0</v>
      </c>
      <c r="J150" t="n">
        <v>0</v>
      </c>
      <c r="K150" t="n">
        <v>0</v>
      </c>
      <c r="L150" t="n">
        <v>0</v>
      </c>
      <c r="M150" t="n">
        <v>0</v>
      </c>
      <c r="N150" t="n">
        <v>0</v>
      </c>
      <c r="O150" t="n">
        <v>0</v>
      </c>
      <c r="P150" t="n">
        <v>0</v>
      </c>
      <c r="Q150" t="n">
        <v>0</v>
      </c>
      <c r="R150" s="2" t="inlineStr"/>
    </row>
    <row r="151" ht="15" customHeight="1">
      <c r="A151" t="inlineStr">
        <is>
          <t>A 7861-2024</t>
        </is>
      </c>
      <c r="B151" s="1" t="n">
        <v>45350.30831018519</v>
      </c>
      <c r="C151" s="1" t="n">
        <v>46043</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57536-2025</t>
        </is>
      </c>
      <c r="B152" s="1" t="n">
        <v>45980.64287037037</v>
      </c>
      <c r="C152" s="1" t="n">
        <v>46043</v>
      </c>
      <c r="D152" t="inlineStr">
        <is>
          <t>DALARNAS LÄN</t>
        </is>
      </c>
      <c r="E152" t="inlineStr">
        <is>
          <t>LEKSAND</t>
        </is>
      </c>
      <c r="G152" t="n">
        <v>1</v>
      </c>
      <c r="H152" t="n">
        <v>0</v>
      </c>
      <c r="I152" t="n">
        <v>0</v>
      </c>
      <c r="J152" t="n">
        <v>0</v>
      </c>
      <c r="K152" t="n">
        <v>0</v>
      </c>
      <c r="L152" t="n">
        <v>0</v>
      </c>
      <c r="M152" t="n">
        <v>0</v>
      </c>
      <c r="N152" t="n">
        <v>0</v>
      </c>
      <c r="O152" t="n">
        <v>0</v>
      </c>
      <c r="P152" t="n">
        <v>0</v>
      </c>
      <c r="Q152" t="n">
        <v>0</v>
      </c>
      <c r="R152" s="2" t="inlineStr"/>
    </row>
    <row r="153" ht="15" customHeight="1">
      <c r="A153" t="inlineStr">
        <is>
          <t>A 57962-2025</t>
        </is>
      </c>
      <c r="B153" s="1" t="n">
        <v>45982.37767361111</v>
      </c>
      <c r="C153" s="1" t="n">
        <v>46043</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63967-2025</t>
        </is>
      </c>
      <c r="B154" s="1" t="n">
        <v>46021.31668981481</v>
      </c>
      <c r="C154" s="1" t="n">
        <v>46043</v>
      </c>
      <c r="D154" t="inlineStr">
        <is>
          <t>DALARNAS LÄN</t>
        </is>
      </c>
      <c r="E154" t="inlineStr">
        <is>
          <t>LEKSAND</t>
        </is>
      </c>
      <c r="G154" t="n">
        <v>6.4</v>
      </c>
      <c r="H154" t="n">
        <v>0</v>
      </c>
      <c r="I154" t="n">
        <v>0</v>
      </c>
      <c r="J154" t="n">
        <v>0</v>
      </c>
      <c r="K154" t="n">
        <v>0</v>
      </c>
      <c r="L154" t="n">
        <v>0</v>
      </c>
      <c r="M154" t="n">
        <v>0</v>
      </c>
      <c r="N154" t="n">
        <v>0</v>
      </c>
      <c r="O154" t="n">
        <v>0</v>
      </c>
      <c r="P154" t="n">
        <v>0</v>
      </c>
      <c r="Q154" t="n">
        <v>0</v>
      </c>
      <c r="R154" s="2" t="inlineStr"/>
    </row>
    <row r="155" ht="15" customHeight="1">
      <c r="A155" t="inlineStr">
        <is>
          <t>A 57869-2025</t>
        </is>
      </c>
      <c r="B155" s="1" t="n">
        <v>45981.65211805556</v>
      </c>
      <c r="C155" s="1" t="n">
        <v>46043</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5738-2023</t>
        </is>
      </c>
      <c r="B156" s="1" t="n">
        <v>44962</v>
      </c>
      <c r="C156" s="1" t="n">
        <v>46043</v>
      </c>
      <c r="D156" t="inlineStr">
        <is>
          <t>DALARNAS LÄN</t>
        </is>
      </c>
      <c r="E156" t="inlineStr">
        <is>
          <t>LEKSAND</t>
        </is>
      </c>
      <c r="G156" t="n">
        <v>0.2</v>
      </c>
      <c r="H156" t="n">
        <v>0</v>
      </c>
      <c r="I156" t="n">
        <v>0</v>
      </c>
      <c r="J156" t="n">
        <v>0</v>
      </c>
      <c r="K156" t="n">
        <v>0</v>
      </c>
      <c r="L156" t="n">
        <v>0</v>
      </c>
      <c r="M156" t="n">
        <v>0</v>
      </c>
      <c r="N156" t="n">
        <v>0</v>
      </c>
      <c r="O156" t="n">
        <v>0</v>
      </c>
      <c r="P156" t="n">
        <v>0</v>
      </c>
      <c r="Q156" t="n">
        <v>0</v>
      </c>
      <c r="R156" s="2" t="inlineStr"/>
    </row>
    <row r="157" ht="15" customHeight="1">
      <c r="A157" t="inlineStr">
        <is>
          <t>A 5570-2024</t>
        </is>
      </c>
      <c r="B157" s="1" t="n">
        <v>45334</v>
      </c>
      <c r="C157" s="1" t="n">
        <v>46043</v>
      </c>
      <c r="D157" t="inlineStr">
        <is>
          <t>DALARNAS LÄN</t>
        </is>
      </c>
      <c r="E157" t="inlineStr">
        <is>
          <t>LEKSAND</t>
        </is>
      </c>
      <c r="G157" t="n">
        <v>0.3</v>
      </c>
      <c r="H157" t="n">
        <v>0</v>
      </c>
      <c r="I157" t="n">
        <v>0</v>
      </c>
      <c r="J157" t="n">
        <v>0</v>
      </c>
      <c r="K157" t="n">
        <v>0</v>
      </c>
      <c r="L157" t="n">
        <v>0</v>
      </c>
      <c r="M157" t="n">
        <v>0</v>
      </c>
      <c r="N157" t="n">
        <v>0</v>
      </c>
      <c r="O157" t="n">
        <v>0</v>
      </c>
      <c r="P157" t="n">
        <v>0</v>
      </c>
      <c r="Q157" t="n">
        <v>0</v>
      </c>
      <c r="R157" s="2" t="inlineStr"/>
    </row>
    <row r="158" ht="15" customHeight="1">
      <c r="A158" t="inlineStr">
        <is>
          <t>A 58114-2025</t>
        </is>
      </c>
      <c r="B158" s="1" t="n">
        <v>45982.60335648148</v>
      </c>
      <c r="C158" s="1" t="n">
        <v>46043</v>
      </c>
      <c r="D158" t="inlineStr">
        <is>
          <t>DALARNAS LÄN</t>
        </is>
      </c>
      <c r="E158" t="inlineStr">
        <is>
          <t>LEKSAND</t>
        </is>
      </c>
      <c r="G158" t="n">
        <v>3</v>
      </c>
      <c r="H158" t="n">
        <v>0</v>
      </c>
      <c r="I158" t="n">
        <v>0</v>
      </c>
      <c r="J158" t="n">
        <v>0</v>
      </c>
      <c r="K158" t="n">
        <v>0</v>
      </c>
      <c r="L158" t="n">
        <v>0</v>
      </c>
      <c r="M158" t="n">
        <v>0</v>
      </c>
      <c r="N158" t="n">
        <v>0</v>
      </c>
      <c r="O158" t="n">
        <v>0</v>
      </c>
      <c r="P158" t="n">
        <v>0</v>
      </c>
      <c r="Q158" t="n">
        <v>0</v>
      </c>
      <c r="R158" s="2" t="inlineStr"/>
    </row>
    <row r="159" ht="15" customHeight="1">
      <c r="A159" t="inlineStr">
        <is>
          <t>A 133-2026</t>
        </is>
      </c>
      <c r="B159" s="1" t="n">
        <v>46024.60450231482</v>
      </c>
      <c r="C159" s="1" t="n">
        <v>46043</v>
      </c>
      <c r="D159" t="inlineStr">
        <is>
          <t>DALARNAS LÄN</t>
        </is>
      </c>
      <c r="E159" t="inlineStr">
        <is>
          <t>LEKSAND</t>
        </is>
      </c>
      <c r="G159" t="n">
        <v>1.9</v>
      </c>
      <c r="H159" t="n">
        <v>0</v>
      </c>
      <c r="I159" t="n">
        <v>0</v>
      </c>
      <c r="J159" t="n">
        <v>0</v>
      </c>
      <c r="K159" t="n">
        <v>0</v>
      </c>
      <c r="L159" t="n">
        <v>0</v>
      </c>
      <c r="M159" t="n">
        <v>0</v>
      </c>
      <c r="N159" t="n">
        <v>0</v>
      </c>
      <c r="O159" t="n">
        <v>0</v>
      </c>
      <c r="P159" t="n">
        <v>0</v>
      </c>
      <c r="Q159" t="n">
        <v>0</v>
      </c>
      <c r="R159" s="2" t="inlineStr"/>
    </row>
    <row r="160" ht="15" customHeight="1">
      <c r="A160" t="inlineStr">
        <is>
          <t>A 22080-2025</t>
        </is>
      </c>
      <c r="B160" s="1" t="n">
        <v>45785</v>
      </c>
      <c r="C160" s="1" t="n">
        <v>46043</v>
      </c>
      <c r="D160" t="inlineStr">
        <is>
          <t>DALARNAS LÄN</t>
        </is>
      </c>
      <c r="E160" t="inlineStr">
        <is>
          <t>LEKSAND</t>
        </is>
      </c>
      <c r="G160" t="n">
        <v>7</v>
      </c>
      <c r="H160" t="n">
        <v>0</v>
      </c>
      <c r="I160" t="n">
        <v>0</v>
      </c>
      <c r="J160" t="n">
        <v>0</v>
      </c>
      <c r="K160" t="n">
        <v>0</v>
      </c>
      <c r="L160" t="n">
        <v>0</v>
      </c>
      <c r="M160" t="n">
        <v>0</v>
      </c>
      <c r="N160" t="n">
        <v>0</v>
      </c>
      <c r="O160" t="n">
        <v>0</v>
      </c>
      <c r="P160" t="n">
        <v>0</v>
      </c>
      <c r="Q160" t="n">
        <v>0</v>
      </c>
      <c r="R160" s="2" t="inlineStr"/>
    </row>
    <row r="161" ht="15" customHeight="1">
      <c r="A161" t="inlineStr">
        <is>
          <t>A 94-2026</t>
        </is>
      </c>
      <c r="B161" s="1" t="n">
        <v>46024.49158564815</v>
      </c>
      <c r="C161" s="1" t="n">
        <v>46043</v>
      </c>
      <c r="D161" t="inlineStr">
        <is>
          <t>DALARNAS LÄN</t>
        </is>
      </c>
      <c r="E161" t="inlineStr">
        <is>
          <t>LEKSAND</t>
        </is>
      </c>
      <c r="G161" t="n">
        <v>2.6</v>
      </c>
      <c r="H161" t="n">
        <v>0</v>
      </c>
      <c r="I161" t="n">
        <v>0</v>
      </c>
      <c r="J161" t="n">
        <v>0</v>
      </c>
      <c r="K161" t="n">
        <v>0</v>
      </c>
      <c r="L161" t="n">
        <v>0</v>
      </c>
      <c r="M161" t="n">
        <v>0</v>
      </c>
      <c r="N161" t="n">
        <v>0</v>
      </c>
      <c r="O161" t="n">
        <v>0</v>
      </c>
      <c r="P161" t="n">
        <v>0</v>
      </c>
      <c r="Q161" t="n">
        <v>0</v>
      </c>
      <c r="R161" s="2" t="inlineStr"/>
    </row>
    <row r="162" ht="15" customHeight="1">
      <c r="A162" t="inlineStr">
        <is>
          <t>A 38498-2025</t>
        </is>
      </c>
      <c r="B162" s="1" t="n">
        <v>45884.3706712963</v>
      </c>
      <c r="C162" s="1" t="n">
        <v>46043</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43693-2022</t>
        </is>
      </c>
      <c r="B163" s="1" t="n">
        <v>44837.6369212963</v>
      </c>
      <c r="C163" s="1" t="n">
        <v>46043</v>
      </c>
      <c r="D163" t="inlineStr">
        <is>
          <t>DALARNAS LÄN</t>
        </is>
      </c>
      <c r="E163" t="inlineStr">
        <is>
          <t>LEKSAND</t>
        </is>
      </c>
      <c r="G163" t="n">
        <v>2.7</v>
      </c>
      <c r="H163" t="n">
        <v>0</v>
      </c>
      <c r="I163" t="n">
        <v>0</v>
      </c>
      <c r="J163" t="n">
        <v>0</v>
      </c>
      <c r="K163" t="n">
        <v>0</v>
      </c>
      <c r="L163" t="n">
        <v>0</v>
      </c>
      <c r="M163" t="n">
        <v>0</v>
      </c>
      <c r="N163" t="n">
        <v>0</v>
      </c>
      <c r="O163" t="n">
        <v>0</v>
      </c>
      <c r="P163" t="n">
        <v>0</v>
      </c>
      <c r="Q163" t="n">
        <v>0</v>
      </c>
      <c r="R163" s="2" t="inlineStr"/>
    </row>
    <row r="164" ht="15" customHeight="1">
      <c r="A164" t="inlineStr">
        <is>
          <t>A 43735-2022</t>
        </is>
      </c>
      <c r="B164" s="1" t="n">
        <v>44837.70210648148</v>
      </c>
      <c r="C164" s="1" t="n">
        <v>46043</v>
      </c>
      <c r="D164" t="inlineStr">
        <is>
          <t>DALARNAS LÄN</t>
        </is>
      </c>
      <c r="E164" t="inlineStr">
        <is>
          <t>LEKSAND</t>
        </is>
      </c>
      <c r="G164" t="n">
        <v>2.9</v>
      </c>
      <c r="H164" t="n">
        <v>0</v>
      </c>
      <c r="I164" t="n">
        <v>0</v>
      </c>
      <c r="J164" t="n">
        <v>0</v>
      </c>
      <c r="K164" t="n">
        <v>0</v>
      </c>
      <c r="L164" t="n">
        <v>0</v>
      </c>
      <c r="M164" t="n">
        <v>0</v>
      </c>
      <c r="N164" t="n">
        <v>0</v>
      </c>
      <c r="O164" t="n">
        <v>0</v>
      </c>
      <c r="P164" t="n">
        <v>0</v>
      </c>
      <c r="Q164" t="n">
        <v>0</v>
      </c>
      <c r="R164" s="2" t="inlineStr"/>
    </row>
    <row r="165" ht="15" customHeight="1">
      <c r="A165" t="inlineStr">
        <is>
          <t>A 57760-2025</t>
        </is>
      </c>
      <c r="B165" s="1" t="n">
        <v>45981</v>
      </c>
      <c r="C165" s="1" t="n">
        <v>46043</v>
      </c>
      <c r="D165" t="inlineStr">
        <is>
          <t>DALARNAS LÄN</t>
        </is>
      </c>
      <c r="E165" t="inlineStr">
        <is>
          <t>LEKSAND</t>
        </is>
      </c>
      <c r="G165" t="n">
        <v>3.9</v>
      </c>
      <c r="H165" t="n">
        <v>0</v>
      </c>
      <c r="I165" t="n">
        <v>0</v>
      </c>
      <c r="J165" t="n">
        <v>0</v>
      </c>
      <c r="K165" t="n">
        <v>0</v>
      </c>
      <c r="L165" t="n">
        <v>0</v>
      </c>
      <c r="M165" t="n">
        <v>0</v>
      </c>
      <c r="N165" t="n">
        <v>0</v>
      </c>
      <c r="O165" t="n">
        <v>0</v>
      </c>
      <c r="P165" t="n">
        <v>0</v>
      </c>
      <c r="Q165" t="n">
        <v>0</v>
      </c>
      <c r="R165" s="2" t="inlineStr"/>
    </row>
    <row r="166" ht="15" customHeight="1">
      <c r="A166" t="inlineStr">
        <is>
          <t>A 17726-2024</t>
        </is>
      </c>
      <c r="B166" s="1" t="n">
        <v>45418.55609953704</v>
      </c>
      <c r="C166" s="1" t="n">
        <v>46043</v>
      </c>
      <c r="D166" t="inlineStr">
        <is>
          <t>DALARNAS LÄN</t>
        </is>
      </c>
      <c r="E166" t="inlineStr">
        <is>
          <t>LEKSAND</t>
        </is>
      </c>
      <c r="G166" t="n">
        <v>5.2</v>
      </c>
      <c r="H166" t="n">
        <v>0</v>
      </c>
      <c r="I166" t="n">
        <v>0</v>
      </c>
      <c r="J166" t="n">
        <v>0</v>
      </c>
      <c r="K166" t="n">
        <v>0</v>
      </c>
      <c r="L166" t="n">
        <v>0</v>
      </c>
      <c r="M166" t="n">
        <v>0</v>
      </c>
      <c r="N166" t="n">
        <v>0</v>
      </c>
      <c r="O166" t="n">
        <v>0</v>
      </c>
      <c r="P166" t="n">
        <v>0</v>
      </c>
      <c r="Q166" t="n">
        <v>0</v>
      </c>
      <c r="R166" s="2" t="inlineStr"/>
    </row>
    <row r="167" ht="15" customHeight="1">
      <c r="A167" t="inlineStr">
        <is>
          <t>A 63969-2025</t>
        </is>
      </c>
      <c r="B167" s="1" t="n">
        <v>46021.32637731481</v>
      </c>
      <c r="C167" s="1" t="n">
        <v>46043</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57688-2025</t>
        </is>
      </c>
      <c r="B168" s="1" t="n">
        <v>45981.44429398148</v>
      </c>
      <c r="C168" s="1" t="n">
        <v>46043</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2517-2024</t>
        </is>
      </c>
      <c r="B169" s="1" t="n">
        <v>45313</v>
      </c>
      <c r="C169" s="1" t="n">
        <v>46043</v>
      </c>
      <c r="D169" t="inlineStr">
        <is>
          <t>DALARNAS LÄN</t>
        </is>
      </c>
      <c r="E169" t="inlineStr">
        <is>
          <t>LEKSAND</t>
        </is>
      </c>
      <c r="F169" t="inlineStr">
        <is>
          <t>Bergvik skog väst AB</t>
        </is>
      </c>
      <c r="G169" t="n">
        <v>4</v>
      </c>
      <c r="H169" t="n">
        <v>0</v>
      </c>
      <c r="I169" t="n">
        <v>0</v>
      </c>
      <c r="J169" t="n">
        <v>0</v>
      </c>
      <c r="K169" t="n">
        <v>0</v>
      </c>
      <c r="L169" t="n">
        <v>0</v>
      </c>
      <c r="M169" t="n">
        <v>0</v>
      </c>
      <c r="N169" t="n">
        <v>0</v>
      </c>
      <c r="O169" t="n">
        <v>0</v>
      </c>
      <c r="P169" t="n">
        <v>0</v>
      </c>
      <c r="Q169" t="n">
        <v>0</v>
      </c>
      <c r="R169" s="2" t="inlineStr"/>
    </row>
    <row r="170" ht="15" customHeight="1">
      <c r="A170" t="inlineStr">
        <is>
          <t>A 60692-2023</t>
        </is>
      </c>
      <c r="B170" s="1" t="n">
        <v>45260.50008101852</v>
      </c>
      <c r="C170" s="1" t="n">
        <v>46043</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47640-2024</t>
        </is>
      </c>
      <c r="B171" s="1" t="n">
        <v>45588.36508101852</v>
      </c>
      <c r="C171" s="1" t="n">
        <v>46043</v>
      </c>
      <c r="D171" t="inlineStr">
        <is>
          <t>DALARNAS LÄN</t>
        </is>
      </c>
      <c r="E171" t="inlineStr">
        <is>
          <t>LEKSAND</t>
        </is>
      </c>
      <c r="G171" t="n">
        <v>9.1</v>
      </c>
      <c r="H171" t="n">
        <v>0</v>
      </c>
      <c r="I171" t="n">
        <v>0</v>
      </c>
      <c r="J171" t="n">
        <v>0</v>
      </c>
      <c r="K171" t="n">
        <v>0</v>
      </c>
      <c r="L171" t="n">
        <v>0</v>
      </c>
      <c r="M171" t="n">
        <v>0</v>
      </c>
      <c r="N171" t="n">
        <v>0</v>
      </c>
      <c r="O171" t="n">
        <v>0</v>
      </c>
      <c r="P171" t="n">
        <v>0</v>
      </c>
      <c r="Q171" t="n">
        <v>0</v>
      </c>
      <c r="R171" s="2" t="inlineStr"/>
    </row>
    <row r="172" ht="15" customHeight="1">
      <c r="A172" t="inlineStr">
        <is>
          <t>A 22536-2025</t>
        </is>
      </c>
      <c r="B172" s="1" t="n">
        <v>45787.33037037037</v>
      </c>
      <c r="C172" s="1" t="n">
        <v>46043</v>
      </c>
      <c r="D172" t="inlineStr">
        <is>
          <t>DALARNAS LÄN</t>
        </is>
      </c>
      <c r="E172" t="inlineStr">
        <is>
          <t>LEKSAND</t>
        </is>
      </c>
      <c r="G172" t="n">
        <v>1.8</v>
      </c>
      <c r="H172" t="n">
        <v>0</v>
      </c>
      <c r="I172" t="n">
        <v>0</v>
      </c>
      <c r="J172" t="n">
        <v>0</v>
      </c>
      <c r="K172" t="n">
        <v>0</v>
      </c>
      <c r="L172" t="n">
        <v>0</v>
      </c>
      <c r="M172" t="n">
        <v>0</v>
      </c>
      <c r="N172" t="n">
        <v>0</v>
      </c>
      <c r="O172" t="n">
        <v>0</v>
      </c>
      <c r="P172" t="n">
        <v>0</v>
      </c>
      <c r="Q172" t="n">
        <v>0</v>
      </c>
      <c r="R172" s="2" t="inlineStr"/>
    </row>
    <row r="173" ht="15" customHeight="1">
      <c r="A173" t="inlineStr">
        <is>
          <t>A 58921-2025</t>
        </is>
      </c>
      <c r="B173" s="1" t="n">
        <v>45986</v>
      </c>
      <c r="C173" s="1" t="n">
        <v>46043</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30204-2024</t>
        </is>
      </c>
      <c r="B174" s="1" t="n">
        <v>45490.35402777778</v>
      </c>
      <c r="C174" s="1" t="n">
        <v>46043</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58449-2025</t>
        </is>
      </c>
      <c r="B175" s="1" t="n">
        <v>45985.62520833333</v>
      </c>
      <c r="C175" s="1" t="n">
        <v>46043</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53122-2023</t>
        </is>
      </c>
      <c r="B176" s="1" t="n">
        <v>45228</v>
      </c>
      <c r="C176" s="1" t="n">
        <v>46043</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19618-2024</t>
        </is>
      </c>
      <c r="B177" s="1" t="n">
        <v>45432.32896990741</v>
      </c>
      <c r="C177" s="1" t="n">
        <v>46043</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60042-2023</t>
        </is>
      </c>
      <c r="B178" s="1" t="n">
        <v>45256</v>
      </c>
      <c r="C178" s="1" t="n">
        <v>46043</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7897-2025</t>
        </is>
      </c>
      <c r="B179" s="1" t="n">
        <v>45707.30969907407</v>
      </c>
      <c r="C179" s="1" t="n">
        <v>46043</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23283-2024</t>
        </is>
      </c>
      <c r="B180" s="1" t="n">
        <v>45453</v>
      </c>
      <c r="C180" s="1" t="n">
        <v>46043</v>
      </c>
      <c r="D180" t="inlineStr">
        <is>
          <t>DALARNAS LÄN</t>
        </is>
      </c>
      <c r="E180" t="inlineStr">
        <is>
          <t>LEKSAND</t>
        </is>
      </c>
      <c r="G180" t="n">
        <v>0.9</v>
      </c>
      <c r="H180" t="n">
        <v>0</v>
      </c>
      <c r="I180" t="n">
        <v>0</v>
      </c>
      <c r="J180" t="n">
        <v>0</v>
      </c>
      <c r="K180" t="n">
        <v>0</v>
      </c>
      <c r="L180" t="n">
        <v>0</v>
      </c>
      <c r="M180" t="n">
        <v>0</v>
      </c>
      <c r="N180" t="n">
        <v>0</v>
      </c>
      <c r="O180" t="n">
        <v>0</v>
      </c>
      <c r="P180" t="n">
        <v>0</v>
      </c>
      <c r="Q180" t="n">
        <v>0</v>
      </c>
      <c r="R180" s="2" t="inlineStr"/>
    </row>
    <row r="181" ht="15" customHeight="1">
      <c r="A181" t="inlineStr">
        <is>
          <t>A 58519-2025</t>
        </is>
      </c>
      <c r="B181" s="1" t="n">
        <v>45985.70894675926</v>
      </c>
      <c r="C181" s="1" t="n">
        <v>46043</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38721-2025</t>
        </is>
      </c>
      <c r="B182" s="1" t="n">
        <v>45886.83605324074</v>
      </c>
      <c r="C182" s="1" t="n">
        <v>46043</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22876-2025</t>
        </is>
      </c>
      <c r="B183" s="1" t="n">
        <v>45790.3728587963</v>
      </c>
      <c r="C183" s="1" t="n">
        <v>46043</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47121-2021</t>
        </is>
      </c>
      <c r="B184" s="1" t="n">
        <v>44446</v>
      </c>
      <c r="C184" s="1" t="n">
        <v>46043</v>
      </c>
      <c r="D184" t="inlineStr">
        <is>
          <t>DALARNAS LÄN</t>
        </is>
      </c>
      <c r="E184" t="inlineStr">
        <is>
          <t>LEKSAND</t>
        </is>
      </c>
      <c r="G184" t="n">
        <v>3.5</v>
      </c>
      <c r="H184" t="n">
        <v>0</v>
      </c>
      <c r="I184" t="n">
        <v>0</v>
      </c>
      <c r="J184" t="n">
        <v>0</v>
      </c>
      <c r="K184" t="n">
        <v>0</v>
      </c>
      <c r="L184" t="n">
        <v>0</v>
      </c>
      <c r="M184" t="n">
        <v>0</v>
      </c>
      <c r="N184" t="n">
        <v>0</v>
      </c>
      <c r="O184" t="n">
        <v>0</v>
      </c>
      <c r="P184" t="n">
        <v>0</v>
      </c>
      <c r="Q184" t="n">
        <v>0</v>
      </c>
      <c r="R184" s="2" t="inlineStr"/>
    </row>
    <row r="185" ht="15" customHeight="1">
      <c r="A185" t="inlineStr">
        <is>
          <t>A 32688-2024</t>
        </is>
      </c>
      <c r="B185" s="1" t="n">
        <v>45515.83091435185</v>
      </c>
      <c r="C185" s="1" t="n">
        <v>46043</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54677-2025</t>
        </is>
      </c>
      <c r="B186" s="1" t="n">
        <v>45966</v>
      </c>
      <c r="C186" s="1" t="n">
        <v>46043</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58516-2025</t>
        </is>
      </c>
      <c r="B187" s="1" t="n">
        <v>45985.70596064815</v>
      </c>
      <c r="C187" s="1" t="n">
        <v>46043</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58626-2025</t>
        </is>
      </c>
      <c r="B188" s="1" t="n">
        <v>45986.47667824074</v>
      </c>
      <c r="C188" s="1" t="n">
        <v>46043</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58674-2025</t>
        </is>
      </c>
      <c r="B189" s="1" t="n">
        <v>45986.55810185185</v>
      </c>
      <c r="C189" s="1" t="n">
        <v>46043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39546-2025</t>
        </is>
      </c>
      <c r="B190" s="1" t="n">
        <v>45890.45706018519</v>
      </c>
      <c r="C190" s="1" t="n">
        <v>46043</v>
      </c>
      <c r="D190" t="inlineStr">
        <is>
          <t>DALARNAS LÄN</t>
        </is>
      </c>
      <c r="E190" t="inlineStr">
        <is>
          <t>LEKSAND</t>
        </is>
      </c>
      <c r="G190" t="n">
        <v>4.6</v>
      </c>
      <c r="H190" t="n">
        <v>0</v>
      </c>
      <c r="I190" t="n">
        <v>0</v>
      </c>
      <c r="J190" t="n">
        <v>0</v>
      </c>
      <c r="K190" t="n">
        <v>0</v>
      </c>
      <c r="L190" t="n">
        <v>0</v>
      </c>
      <c r="M190" t="n">
        <v>0</v>
      </c>
      <c r="N190" t="n">
        <v>0</v>
      </c>
      <c r="O190" t="n">
        <v>0</v>
      </c>
      <c r="P190" t="n">
        <v>0</v>
      </c>
      <c r="Q190" t="n">
        <v>0</v>
      </c>
      <c r="R190" s="2" t="inlineStr"/>
    </row>
    <row r="191" ht="15" customHeight="1">
      <c r="A191" t="inlineStr">
        <is>
          <t>A 39572-2025</t>
        </is>
      </c>
      <c r="B191" s="1" t="n">
        <v>45890</v>
      </c>
      <c r="C191" s="1" t="n">
        <v>46043</v>
      </c>
      <c r="D191" t="inlineStr">
        <is>
          <t>DALARNAS LÄN</t>
        </is>
      </c>
      <c r="E191" t="inlineStr">
        <is>
          <t>LEKSAND</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4121-2024</t>
        </is>
      </c>
      <c r="B192" s="1" t="n">
        <v>45323</v>
      </c>
      <c r="C192" s="1" t="n">
        <v>46043</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58376-2025</t>
        </is>
      </c>
      <c r="B193" s="1" t="n">
        <v>45985.53180555555</v>
      </c>
      <c r="C193" s="1" t="n">
        <v>46043</v>
      </c>
      <c r="D193" t="inlineStr">
        <is>
          <t>DALARNAS LÄN</t>
        </is>
      </c>
      <c r="E193" t="inlineStr">
        <is>
          <t>LEKSAND</t>
        </is>
      </c>
      <c r="G193" t="n">
        <v>5.7</v>
      </c>
      <c r="H193" t="n">
        <v>0</v>
      </c>
      <c r="I193" t="n">
        <v>0</v>
      </c>
      <c r="J193" t="n">
        <v>0</v>
      </c>
      <c r="K193" t="n">
        <v>0</v>
      </c>
      <c r="L193" t="n">
        <v>0</v>
      </c>
      <c r="M193" t="n">
        <v>0</v>
      </c>
      <c r="N193" t="n">
        <v>0</v>
      </c>
      <c r="O193" t="n">
        <v>0</v>
      </c>
      <c r="P193" t="n">
        <v>0</v>
      </c>
      <c r="Q193" t="n">
        <v>0</v>
      </c>
      <c r="R193" s="2" t="inlineStr"/>
    </row>
    <row r="194" ht="15" customHeight="1">
      <c r="A194" t="inlineStr">
        <is>
          <t>A 23517-2025</t>
        </is>
      </c>
      <c r="B194" s="1" t="n">
        <v>45792</v>
      </c>
      <c r="C194" s="1" t="n">
        <v>46043</v>
      </c>
      <c r="D194" t="inlineStr">
        <is>
          <t>DALARNAS LÄN</t>
        </is>
      </c>
      <c r="E194" t="inlineStr">
        <is>
          <t>LEKSAND</t>
        </is>
      </c>
      <c r="G194" t="n">
        <v>2.2</v>
      </c>
      <c r="H194" t="n">
        <v>0</v>
      </c>
      <c r="I194" t="n">
        <v>0</v>
      </c>
      <c r="J194" t="n">
        <v>0</v>
      </c>
      <c r="K194" t="n">
        <v>0</v>
      </c>
      <c r="L194" t="n">
        <v>0</v>
      </c>
      <c r="M194" t="n">
        <v>0</v>
      </c>
      <c r="N194" t="n">
        <v>0</v>
      </c>
      <c r="O194" t="n">
        <v>0</v>
      </c>
      <c r="P194" t="n">
        <v>0</v>
      </c>
      <c r="Q194" t="n">
        <v>0</v>
      </c>
      <c r="R194" s="2" t="inlineStr"/>
    </row>
    <row r="195" ht="15" customHeight="1">
      <c r="A195" t="inlineStr">
        <is>
          <t>A 72575-2021</t>
        </is>
      </c>
      <c r="B195" s="1" t="n">
        <v>44546</v>
      </c>
      <c r="C195" s="1" t="n">
        <v>46043</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72581-2021</t>
        </is>
      </c>
      <c r="B196" s="1" t="n">
        <v>44546.46354166666</v>
      </c>
      <c r="C196" s="1" t="n">
        <v>46043</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39569-2025</t>
        </is>
      </c>
      <c r="B197" s="1" t="n">
        <v>45890</v>
      </c>
      <c r="C197" s="1" t="n">
        <v>46043</v>
      </c>
      <c r="D197" t="inlineStr">
        <is>
          <t>DALARNAS LÄN</t>
        </is>
      </c>
      <c r="E197" t="inlineStr">
        <is>
          <t>LEKSAND</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58900-2025</t>
        </is>
      </c>
      <c r="B198" s="1" t="n">
        <v>45987</v>
      </c>
      <c r="C198" s="1" t="n">
        <v>46043</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519-2026</t>
        </is>
      </c>
      <c r="B199" s="1" t="n">
        <v>46029.44658564815</v>
      </c>
      <c r="C199" s="1" t="n">
        <v>46043</v>
      </c>
      <c r="D199" t="inlineStr">
        <is>
          <t>DALARNAS LÄN</t>
        </is>
      </c>
      <c r="E199" t="inlineStr">
        <is>
          <t>LEKSAND</t>
        </is>
      </c>
      <c r="G199" t="n">
        <v>1.8</v>
      </c>
      <c r="H199" t="n">
        <v>0</v>
      </c>
      <c r="I199" t="n">
        <v>0</v>
      </c>
      <c r="J199" t="n">
        <v>0</v>
      </c>
      <c r="K199" t="n">
        <v>0</v>
      </c>
      <c r="L199" t="n">
        <v>0</v>
      </c>
      <c r="M199" t="n">
        <v>0</v>
      </c>
      <c r="N199" t="n">
        <v>0</v>
      </c>
      <c r="O199" t="n">
        <v>0</v>
      </c>
      <c r="P199" t="n">
        <v>0</v>
      </c>
      <c r="Q199" t="n">
        <v>0</v>
      </c>
      <c r="R199" s="2" t="inlineStr"/>
    </row>
    <row r="200" ht="15" customHeight="1">
      <c r="A200" t="inlineStr">
        <is>
          <t>A 61614-2023</t>
        </is>
      </c>
      <c r="B200" s="1" t="n">
        <v>45261</v>
      </c>
      <c r="C200" s="1" t="n">
        <v>46043</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26062-2024</t>
        </is>
      </c>
      <c r="B201" s="1" t="n">
        <v>45468.3509375</v>
      </c>
      <c r="C201" s="1" t="n">
        <v>46043</v>
      </c>
      <c r="D201" t="inlineStr">
        <is>
          <t>DALARNAS LÄN</t>
        </is>
      </c>
      <c r="E201" t="inlineStr">
        <is>
          <t>LEKSAND</t>
        </is>
      </c>
      <c r="F201" t="inlineStr">
        <is>
          <t>Övriga statliga verk och myndigheter</t>
        </is>
      </c>
      <c r="G201" t="n">
        <v>6.4</v>
      </c>
      <c r="H201" t="n">
        <v>0</v>
      </c>
      <c r="I201" t="n">
        <v>0</v>
      </c>
      <c r="J201" t="n">
        <v>0</v>
      </c>
      <c r="K201" t="n">
        <v>0</v>
      </c>
      <c r="L201" t="n">
        <v>0</v>
      </c>
      <c r="M201" t="n">
        <v>0</v>
      </c>
      <c r="N201" t="n">
        <v>0</v>
      </c>
      <c r="O201" t="n">
        <v>0</v>
      </c>
      <c r="P201" t="n">
        <v>0</v>
      </c>
      <c r="Q201" t="n">
        <v>0</v>
      </c>
      <c r="R201" s="2" t="inlineStr"/>
    </row>
    <row r="202" ht="15" customHeight="1">
      <c r="A202" t="inlineStr">
        <is>
          <t>A 593-2026</t>
        </is>
      </c>
      <c r="B202" s="1" t="n">
        <v>46029.49751157407</v>
      </c>
      <c r="C202" s="1" t="n">
        <v>46043</v>
      </c>
      <c r="D202" t="inlineStr">
        <is>
          <t>DALARNAS LÄN</t>
        </is>
      </c>
      <c r="E202" t="inlineStr">
        <is>
          <t>LEKSAND</t>
        </is>
      </c>
      <c r="G202" t="n">
        <v>1.8</v>
      </c>
      <c r="H202" t="n">
        <v>0</v>
      </c>
      <c r="I202" t="n">
        <v>0</v>
      </c>
      <c r="J202" t="n">
        <v>0</v>
      </c>
      <c r="K202" t="n">
        <v>0</v>
      </c>
      <c r="L202" t="n">
        <v>0</v>
      </c>
      <c r="M202" t="n">
        <v>0</v>
      </c>
      <c r="N202" t="n">
        <v>0</v>
      </c>
      <c r="O202" t="n">
        <v>0</v>
      </c>
      <c r="P202" t="n">
        <v>0</v>
      </c>
      <c r="Q202" t="n">
        <v>0</v>
      </c>
      <c r="R202" s="2" t="inlineStr"/>
    </row>
    <row r="203" ht="15" customHeight="1">
      <c r="A203" t="inlineStr">
        <is>
          <t>A 39516-2025</t>
        </is>
      </c>
      <c r="B203" s="1" t="n">
        <v>45890.42633101852</v>
      </c>
      <c r="C203" s="1" t="n">
        <v>46043</v>
      </c>
      <c r="D203" t="inlineStr">
        <is>
          <t>DALARNAS LÄN</t>
        </is>
      </c>
      <c r="E203" t="inlineStr">
        <is>
          <t>LEKSAND</t>
        </is>
      </c>
      <c r="G203" t="n">
        <v>3.6</v>
      </c>
      <c r="H203" t="n">
        <v>0</v>
      </c>
      <c r="I203" t="n">
        <v>0</v>
      </c>
      <c r="J203" t="n">
        <v>0</v>
      </c>
      <c r="K203" t="n">
        <v>0</v>
      </c>
      <c r="L203" t="n">
        <v>0</v>
      </c>
      <c r="M203" t="n">
        <v>0</v>
      </c>
      <c r="N203" t="n">
        <v>0</v>
      </c>
      <c r="O203" t="n">
        <v>0</v>
      </c>
      <c r="P203" t="n">
        <v>0</v>
      </c>
      <c r="Q203" t="n">
        <v>0</v>
      </c>
      <c r="R203" s="2" t="inlineStr"/>
    </row>
    <row r="204" ht="15" customHeight="1">
      <c r="A204" t="inlineStr">
        <is>
          <t>A 59271-2025</t>
        </is>
      </c>
      <c r="B204" s="1" t="n">
        <v>45988.68571759259</v>
      </c>
      <c r="C204" s="1" t="n">
        <v>46043</v>
      </c>
      <c r="D204" t="inlineStr">
        <is>
          <t>DALARNAS LÄN</t>
        </is>
      </c>
      <c r="E204" t="inlineStr">
        <is>
          <t>LEKSAND</t>
        </is>
      </c>
      <c r="G204" t="n">
        <v>2.2</v>
      </c>
      <c r="H204" t="n">
        <v>0</v>
      </c>
      <c r="I204" t="n">
        <v>0</v>
      </c>
      <c r="J204" t="n">
        <v>0</v>
      </c>
      <c r="K204" t="n">
        <v>0</v>
      </c>
      <c r="L204" t="n">
        <v>0</v>
      </c>
      <c r="M204" t="n">
        <v>0</v>
      </c>
      <c r="N204" t="n">
        <v>0</v>
      </c>
      <c r="O204" t="n">
        <v>0</v>
      </c>
      <c r="P204" t="n">
        <v>0</v>
      </c>
      <c r="Q204" t="n">
        <v>0</v>
      </c>
      <c r="R204" s="2" t="inlineStr"/>
    </row>
    <row r="205" ht="15" customHeight="1">
      <c r="A205" t="inlineStr">
        <is>
          <t>A 34585-2024</t>
        </is>
      </c>
      <c r="B205" s="1" t="n">
        <v>45526.37697916666</v>
      </c>
      <c r="C205" s="1" t="n">
        <v>46043</v>
      </c>
      <c r="D205" t="inlineStr">
        <is>
          <t>DALARNAS LÄN</t>
        </is>
      </c>
      <c r="E205" t="inlineStr">
        <is>
          <t>LEKSAND</t>
        </is>
      </c>
      <c r="G205" t="n">
        <v>0.9</v>
      </c>
      <c r="H205" t="n">
        <v>0</v>
      </c>
      <c r="I205" t="n">
        <v>0</v>
      </c>
      <c r="J205" t="n">
        <v>0</v>
      </c>
      <c r="K205" t="n">
        <v>0</v>
      </c>
      <c r="L205" t="n">
        <v>0</v>
      </c>
      <c r="M205" t="n">
        <v>0</v>
      </c>
      <c r="N205" t="n">
        <v>0</v>
      </c>
      <c r="O205" t="n">
        <v>0</v>
      </c>
      <c r="P205" t="n">
        <v>0</v>
      </c>
      <c r="Q205" t="n">
        <v>0</v>
      </c>
      <c r="R205" s="2" t="inlineStr"/>
    </row>
    <row r="206" ht="15" customHeight="1">
      <c r="A206" t="inlineStr">
        <is>
          <t>A 39660-2025</t>
        </is>
      </c>
      <c r="B206" s="1" t="n">
        <v>45890.63006944444</v>
      </c>
      <c r="C206" s="1" t="n">
        <v>46043</v>
      </c>
      <c r="D206" t="inlineStr">
        <is>
          <t>DALARNAS LÄN</t>
        </is>
      </c>
      <c r="E206" t="inlineStr">
        <is>
          <t>LEKSAND</t>
        </is>
      </c>
      <c r="F206" t="inlineStr">
        <is>
          <t>Bergvik skog väst AB</t>
        </is>
      </c>
      <c r="G206" t="n">
        <v>5.8</v>
      </c>
      <c r="H206" t="n">
        <v>0</v>
      </c>
      <c r="I206" t="n">
        <v>0</v>
      </c>
      <c r="J206" t="n">
        <v>0</v>
      </c>
      <c r="K206" t="n">
        <v>0</v>
      </c>
      <c r="L206" t="n">
        <v>0</v>
      </c>
      <c r="M206" t="n">
        <v>0</v>
      </c>
      <c r="N206" t="n">
        <v>0</v>
      </c>
      <c r="O206" t="n">
        <v>0</v>
      </c>
      <c r="P206" t="n">
        <v>0</v>
      </c>
      <c r="Q206" t="n">
        <v>0</v>
      </c>
      <c r="R206" s="2" t="inlineStr"/>
    </row>
    <row r="207" ht="15" customHeight="1">
      <c r="A207" t="inlineStr">
        <is>
          <t>A 39693-2025</t>
        </is>
      </c>
      <c r="B207" s="1" t="n">
        <v>45890.68304398148</v>
      </c>
      <c r="C207" s="1" t="n">
        <v>46043</v>
      </c>
      <c r="D207" t="inlineStr">
        <is>
          <t>DALARNAS LÄN</t>
        </is>
      </c>
      <c r="E207" t="inlineStr">
        <is>
          <t>LEKSAND</t>
        </is>
      </c>
      <c r="G207" t="n">
        <v>3.1</v>
      </c>
      <c r="H207" t="n">
        <v>0</v>
      </c>
      <c r="I207" t="n">
        <v>0</v>
      </c>
      <c r="J207" t="n">
        <v>0</v>
      </c>
      <c r="K207" t="n">
        <v>0</v>
      </c>
      <c r="L207" t="n">
        <v>0</v>
      </c>
      <c r="M207" t="n">
        <v>0</v>
      </c>
      <c r="N207" t="n">
        <v>0</v>
      </c>
      <c r="O207" t="n">
        <v>0</v>
      </c>
      <c r="P207" t="n">
        <v>0</v>
      </c>
      <c r="Q207" t="n">
        <v>0</v>
      </c>
      <c r="R207" s="2" t="inlineStr"/>
    </row>
    <row r="208" ht="15" customHeight="1">
      <c r="A208" t="inlineStr">
        <is>
          <t>A 63514-2023</t>
        </is>
      </c>
      <c r="B208" s="1" t="n">
        <v>45274</v>
      </c>
      <c r="C208" s="1" t="n">
        <v>46043</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59083-2025</t>
        </is>
      </c>
      <c r="B209" s="1" t="n">
        <v>45988</v>
      </c>
      <c r="C209" s="1" t="n">
        <v>46043</v>
      </c>
      <c r="D209" t="inlineStr">
        <is>
          <t>DALARNAS LÄN</t>
        </is>
      </c>
      <c r="E209" t="inlineStr">
        <is>
          <t>LEKSAND</t>
        </is>
      </c>
      <c r="F209" t="inlineStr">
        <is>
          <t>Bergvik skog väst AB</t>
        </is>
      </c>
      <c r="G209" t="n">
        <v>2.7</v>
      </c>
      <c r="H209" t="n">
        <v>0</v>
      </c>
      <c r="I209" t="n">
        <v>0</v>
      </c>
      <c r="J209" t="n">
        <v>0</v>
      </c>
      <c r="K209" t="n">
        <v>0</v>
      </c>
      <c r="L209" t="n">
        <v>0</v>
      </c>
      <c r="M209" t="n">
        <v>0</v>
      </c>
      <c r="N209" t="n">
        <v>0</v>
      </c>
      <c r="O209" t="n">
        <v>0</v>
      </c>
      <c r="P209" t="n">
        <v>0</v>
      </c>
      <c r="Q209" t="n">
        <v>0</v>
      </c>
      <c r="R209" s="2" t="inlineStr"/>
      <c r="U209">
        <f>HYPERLINK("https://klasma.github.io/Logging_2029/knärot/A 59083-2025 karta knärot.png", "A 59083-2025")</f>
        <v/>
      </c>
      <c r="V209">
        <f>HYPERLINK("https://klasma.github.io/Logging_2029/klagomål/A 59083-2025 FSC-klagomål.docx", "A 59083-2025")</f>
        <v/>
      </c>
      <c r="W209">
        <f>HYPERLINK("https://klasma.github.io/Logging_2029/klagomålsmail/A 59083-2025 FSC-klagomål mail.docx", "A 59083-2025")</f>
        <v/>
      </c>
      <c r="X209">
        <f>HYPERLINK("https://klasma.github.io/Logging_2029/tillsyn/A 59083-2025 tillsynsbegäran.docx", "A 59083-2025")</f>
        <v/>
      </c>
      <c r="Y209">
        <f>HYPERLINK("https://klasma.github.io/Logging_2029/tillsynsmail/A 59083-2025 tillsynsbegäran mail.docx", "A 59083-2025")</f>
        <v/>
      </c>
    </row>
    <row r="210" ht="15" customHeight="1">
      <c r="A210" t="inlineStr">
        <is>
          <t>A 23058-2025</t>
        </is>
      </c>
      <c r="B210" s="1" t="n">
        <v>45790.78076388889</v>
      </c>
      <c r="C210" s="1" t="n">
        <v>46043</v>
      </c>
      <c r="D210" t="inlineStr">
        <is>
          <t>DALARNAS LÄN</t>
        </is>
      </c>
      <c r="E210" t="inlineStr">
        <is>
          <t>LEKSAND</t>
        </is>
      </c>
      <c r="G210" t="n">
        <v>6.7</v>
      </c>
      <c r="H210" t="n">
        <v>0</v>
      </c>
      <c r="I210" t="n">
        <v>0</v>
      </c>
      <c r="J210" t="n">
        <v>0</v>
      </c>
      <c r="K210" t="n">
        <v>0</v>
      </c>
      <c r="L210" t="n">
        <v>0</v>
      </c>
      <c r="M210" t="n">
        <v>0</v>
      </c>
      <c r="N210" t="n">
        <v>0</v>
      </c>
      <c r="O210" t="n">
        <v>0</v>
      </c>
      <c r="P210" t="n">
        <v>0</v>
      </c>
      <c r="Q210" t="n">
        <v>0</v>
      </c>
      <c r="R210" s="2" t="inlineStr"/>
    </row>
    <row r="211" ht="15" customHeight="1">
      <c r="A211" t="inlineStr">
        <is>
          <t>A 41169-2024</t>
        </is>
      </c>
      <c r="B211" s="1" t="n">
        <v>45559.48637731482</v>
      </c>
      <c r="C211" s="1" t="n">
        <v>46043</v>
      </c>
      <c r="D211" t="inlineStr">
        <is>
          <t>DALARNAS LÄN</t>
        </is>
      </c>
      <c r="E211" t="inlineStr">
        <is>
          <t>LEKSAND</t>
        </is>
      </c>
      <c r="G211" t="n">
        <v>8.9</v>
      </c>
      <c r="H211" t="n">
        <v>0</v>
      </c>
      <c r="I211" t="n">
        <v>0</v>
      </c>
      <c r="J211" t="n">
        <v>0</v>
      </c>
      <c r="K211" t="n">
        <v>0</v>
      </c>
      <c r="L211" t="n">
        <v>0</v>
      </c>
      <c r="M211" t="n">
        <v>0</v>
      </c>
      <c r="N211" t="n">
        <v>0</v>
      </c>
      <c r="O211" t="n">
        <v>0</v>
      </c>
      <c r="P211" t="n">
        <v>0</v>
      </c>
      <c r="Q211" t="n">
        <v>0</v>
      </c>
      <c r="R211" s="2" t="inlineStr"/>
    </row>
    <row r="212" ht="15" customHeight="1">
      <c r="A212" t="inlineStr">
        <is>
          <t>A 23076-2025</t>
        </is>
      </c>
      <c r="B212" s="1" t="n">
        <v>45790.90960648148</v>
      </c>
      <c r="C212" s="1" t="n">
        <v>46043</v>
      </c>
      <c r="D212" t="inlineStr">
        <is>
          <t>DALARNAS LÄN</t>
        </is>
      </c>
      <c r="E212" t="inlineStr">
        <is>
          <t>LEKSAND</t>
        </is>
      </c>
      <c r="G212" t="n">
        <v>0.9</v>
      </c>
      <c r="H212" t="n">
        <v>0</v>
      </c>
      <c r="I212" t="n">
        <v>0</v>
      </c>
      <c r="J212" t="n">
        <v>0</v>
      </c>
      <c r="K212" t="n">
        <v>0</v>
      </c>
      <c r="L212" t="n">
        <v>0</v>
      </c>
      <c r="M212" t="n">
        <v>0</v>
      </c>
      <c r="N212" t="n">
        <v>0</v>
      </c>
      <c r="O212" t="n">
        <v>0</v>
      </c>
      <c r="P212" t="n">
        <v>0</v>
      </c>
      <c r="Q212" t="n">
        <v>0</v>
      </c>
      <c r="R212" s="2" t="inlineStr"/>
    </row>
    <row r="213" ht="15" customHeight="1">
      <c r="A213" t="inlineStr">
        <is>
          <t>A 7928-2023</t>
        </is>
      </c>
      <c r="B213" s="1" t="n">
        <v>44973</v>
      </c>
      <c r="C213" s="1" t="n">
        <v>46043</v>
      </c>
      <c r="D213" t="inlineStr">
        <is>
          <t>DALARNAS LÄN</t>
        </is>
      </c>
      <c r="E213" t="inlineStr">
        <is>
          <t>LEKSAND</t>
        </is>
      </c>
      <c r="G213" t="n">
        <v>1.9</v>
      </c>
      <c r="H213" t="n">
        <v>0</v>
      </c>
      <c r="I213" t="n">
        <v>0</v>
      </c>
      <c r="J213" t="n">
        <v>0</v>
      </c>
      <c r="K213" t="n">
        <v>0</v>
      </c>
      <c r="L213" t="n">
        <v>0</v>
      </c>
      <c r="M213" t="n">
        <v>0</v>
      </c>
      <c r="N213" t="n">
        <v>0</v>
      </c>
      <c r="O213" t="n">
        <v>0</v>
      </c>
      <c r="P213" t="n">
        <v>0</v>
      </c>
      <c r="Q213" t="n">
        <v>0</v>
      </c>
      <c r="R213" s="2" t="inlineStr"/>
    </row>
    <row r="214" ht="15" customHeight="1">
      <c r="A214" t="inlineStr">
        <is>
          <t>A 489-2026</t>
        </is>
      </c>
      <c r="B214" s="1" t="n">
        <v>46029.42424768519</v>
      </c>
      <c r="C214" s="1" t="n">
        <v>46043</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989-2026</t>
        </is>
      </c>
      <c r="B215" s="1" t="n">
        <v>46030.58655092592</v>
      </c>
      <c r="C215" s="1" t="n">
        <v>46043</v>
      </c>
      <c r="D215" t="inlineStr">
        <is>
          <t>DALARNAS LÄN</t>
        </is>
      </c>
      <c r="E215" t="inlineStr">
        <is>
          <t>LEKSAND</t>
        </is>
      </c>
      <c r="G215" t="n">
        <v>3.9</v>
      </c>
      <c r="H215" t="n">
        <v>0</v>
      </c>
      <c r="I215" t="n">
        <v>0</v>
      </c>
      <c r="J215" t="n">
        <v>0</v>
      </c>
      <c r="K215" t="n">
        <v>0</v>
      </c>
      <c r="L215" t="n">
        <v>0</v>
      </c>
      <c r="M215" t="n">
        <v>0</v>
      </c>
      <c r="N215" t="n">
        <v>0</v>
      </c>
      <c r="O215" t="n">
        <v>0</v>
      </c>
      <c r="P215" t="n">
        <v>0</v>
      </c>
      <c r="Q215" t="n">
        <v>0</v>
      </c>
      <c r="R215" s="2" t="inlineStr"/>
    </row>
    <row r="216" ht="15" customHeight="1">
      <c r="A216" t="inlineStr">
        <is>
          <t>A 30860-2024</t>
        </is>
      </c>
      <c r="B216" s="1" t="n">
        <v>45497.69108796296</v>
      </c>
      <c r="C216" s="1" t="n">
        <v>46043</v>
      </c>
      <c r="D216" t="inlineStr">
        <is>
          <t>DALARNAS LÄN</t>
        </is>
      </c>
      <c r="E216" t="inlineStr">
        <is>
          <t>LEKSAND</t>
        </is>
      </c>
      <c r="F216" t="inlineStr">
        <is>
          <t>Bergvik skog väst AB</t>
        </is>
      </c>
      <c r="G216" t="n">
        <v>0.7</v>
      </c>
      <c r="H216" t="n">
        <v>0</v>
      </c>
      <c r="I216" t="n">
        <v>0</v>
      </c>
      <c r="J216" t="n">
        <v>0</v>
      </c>
      <c r="K216" t="n">
        <v>0</v>
      </c>
      <c r="L216" t="n">
        <v>0</v>
      </c>
      <c r="M216" t="n">
        <v>0</v>
      </c>
      <c r="N216" t="n">
        <v>0</v>
      </c>
      <c r="O216" t="n">
        <v>0</v>
      </c>
      <c r="P216" t="n">
        <v>0</v>
      </c>
      <c r="Q216" t="n">
        <v>0</v>
      </c>
      <c r="R216" s="2" t="inlineStr"/>
    </row>
    <row r="217" ht="15" customHeight="1">
      <c r="A217" t="inlineStr">
        <is>
          <t>A 30864-2024</t>
        </is>
      </c>
      <c r="B217" s="1" t="n">
        <v>45497.71550925926</v>
      </c>
      <c r="C217" s="1" t="n">
        <v>46043</v>
      </c>
      <c r="D217" t="inlineStr">
        <is>
          <t>DALARNAS LÄN</t>
        </is>
      </c>
      <c r="E217" t="inlineStr">
        <is>
          <t>LEKSAND</t>
        </is>
      </c>
      <c r="F217" t="inlineStr">
        <is>
          <t>Bergvik skog väst AB</t>
        </is>
      </c>
      <c r="G217" t="n">
        <v>2.3</v>
      </c>
      <c r="H217" t="n">
        <v>0</v>
      </c>
      <c r="I217" t="n">
        <v>0</v>
      </c>
      <c r="J217" t="n">
        <v>0</v>
      </c>
      <c r="K217" t="n">
        <v>0</v>
      </c>
      <c r="L217" t="n">
        <v>0</v>
      </c>
      <c r="M217" t="n">
        <v>0</v>
      </c>
      <c r="N217" t="n">
        <v>0</v>
      </c>
      <c r="O217" t="n">
        <v>0</v>
      </c>
      <c r="P217" t="n">
        <v>0</v>
      </c>
      <c r="Q217" t="n">
        <v>0</v>
      </c>
      <c r="R217" s="2" t="inlineStr"/>
    </row>
    <row r="218" ht="15" customHeight="1">
      <c r="A218" t="inlineStr">
        <is>
          <t>A 59106-2025</t>
        </is>
      </c>
      <c r="B218" s="1" t="n">
        <v>45988.46891203704</v>
      </c>
      <c r="C218" s="1" t="n">
        <v>46043</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435-2026</t>
        </is>
      </c>
      <c r="B219" s="1" t="n">
        <v>46029.33446759259</v>
      </c>
      <c r="C219" s="1" t="n">
        <v>46043</v>
      </c>
      <c r="D219" t="inlineStr">
        <is>
          <t>DALARNAS LÄN</t>
        </is>
      </c>
      <c r="E219" t="inlineStr">
        <is>
          <t>LEKSAND</t>
        </is>
      </c>
      <c r="G219" t="n">
        <v>3.5</v>
      </c>
      <c r="H219" t="n">
        <v>0</v>
      </c>
      <c r="I219" t="n">
        <v>0</v>
      </c>
      <c r="J219" t="n">
        <v>0</v>
      </c>
      <c r="K219" t="n">
        <v>0</v>
      </c>
      <c r="L219" t="n">
        <v>0</v>
      </c>
      <c r="M219" t="n">
        <v>0</v>
      </c>
      <c r="N219" t="n">
        <v>0</v>
      </c>
      <c r="O219" t="n">
        <v>0</v>
      </c>
      <c r="P219" t="n">
        <v>0</v>
      </c>
      <c r="Q219" t="n">
        <v>0</v>
      </c>
      <c r="R219" s="2" t="inlineStr"/>
    </row>
    <row r="220" ht="15" customHeight="1">
      <c r="A220" t="inlineStr">
        <is>
          <t>A 581-2026</t>
        </is>
      </c>
      <c r="B220" s="1" t="n">
        <v>46029.48001157407</v>
      </c>
      <c r="C220" s="1" t="n">
        <v>46043</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720-2026</t>
        </is>
      </c>
      <c r="B221" s="1" t="n">
        <v>46029.635</v>
      </c>
      <c r="C221" s="1" t="n">
        <v>46043</v>
      </c>
      <c r="D221" t="inlineStr">
        <is>
          <t>DALARNAS LÄN</t>
        </is>
      </c>
      <c r="E221" t="inlineStr">
        <is>
          <t>LEKSAND</t>
        </is>
      </c>
      <c r="G221" t="n">
        <v>6.7</v>
      </c>
      <c r="H221" t="n">
        <v>0</v>
      </c>
      <c r="I221" t="n">
        <v>0</v>
      </c>
      <c r="J221" t="n">
        <v>0</v>
      </c>
      <c r="K221" t="n">
        <v>0</v>
      </c>
      <c r="L221" t="n">
        <v>0</v>
      </c>
      <c r="M221" t="n">
        <v>0</v>
      </c>
      <c r="N221" t="n">
        <v>0</v>
      </c>
      <c r="O221" t="n">
        <v>0</v>
      </c>
      <c r="P221" t="n">
        <v>0</v>
      </c>
      <c r="Q221" t="n">
        <v>0</v>
      </c>
      <c r="R221" s="2" t="inlineStr"/>
    </row>
    <row r="222" ht="15" customHeight="1">
      <c r="A222" t="inlineStr">
        <is>
          <t>A 521-2026</t>
        </is>
      </c>
      <c r="B222" s="1" t="n">
        <v>46029.44782407407</v>
      </c>
      <c r="C222" s="1" t="n">
        <v>46043</v>
      </c>
      <c r="D222" t="inlineStr">
        <is>
          <t>DALARNAS LÄN</t>
        </is>
      </c>
      <c r="E222" t="inlineStr">
        <is>
          <t>LEKSAND</t>
        </is>
      </c>
      <c r="G222" t="n">
        <v>3.4</v>
      </c>
      <c r="H222" t="n">
        <v>0</v>
      </c>
      <c r="I222" t="n">
        <v>0</v>
      </c>
      <c r="J222" t="n">
        <v>0</v>
      </c>
      <c r="K222" t="n">
        <v>0</v>
      </c>
      <c r="L222" t="n">
        <v>0</v>
      </c>
      <c r="M222" t="n">
        <v>0</v>
      </c>
      <c r="N222" t="n">
        <v>0</v>
      </c>
      <c r="O222" t="n">
        <v>0</v>
      </c>
      <c r="P222" t="n">
        <v>0</v>
      </c>
      <c r="Q222" t="n">
        <v>0</v>
      </c>
      <c r="R222" s="2" t="inlineStr"/>
    </row>
    <row r="223" ht="15" customHeight="1">
      <c r="A223" t="inlineStr">
        <is>
          <t>A 57468-2023</t>
        </is>
      </c>
      <c r="B223" s="1" t="n">
        <v>45246</v>
      </c>
      <c r="C223" s="1" t="n">
        <v>46043</v>
      </c>
      <c r="D223" t="inlineStr">
        <is>
          <t>DALARNAS LÄN</t>
        </is>
      </c>
      <c r="E223" t="inlineStr">
        <is>
          <t>LEKSAND</t>
        </is>
      </c>
      <c r="G223" t="n">
        <v>4.6</v>
      </c>
      <c r="H223" t="n">
        <v>0</v>
      </c>
      <c r="I223" t="n">
        <v>0</v>
      </c>
      <c r="J223" t="n">
        <v>0</v>
      </c>
      <c r="K223" t="n">
        <v>0</v>
      </c>
      <c r="L223" t="n">
        <v>0</v>
      </c>
      <c r="M223" t="n">
        <v>0</v>
      </c>
      <c r="N223" t="n">
        <v>0</v>
      </c>
      <c r="O223" t="n">
        <v>0</v>
      </c>
      <c r="P223" t="n">
        <v>0</v>
      </c>
      <c r="Q223" t="n">
        <v>0</v>
      </c>
      <c r="R223" s="2" t="inlineStr"/>
    </row>
    <row r="224" ht="15" customHeight="1">
      <c r="A224" t="inlineStr">
        <is>
          <t>A 40517-2025</t>
        </is>
      </c>
      <c r="B224" s="1" t="n">
        <v>45896.36368055556</v>
      </c>
      <c r="C224" s="1" t="n">
        <v>46043</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46043</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5582-2024</t>
        </is>
      </c>
      <c r="B226" s="1" t="n">
        <v>45334</v>
      </c>
      <c r="C226" s="1" t="n">
        <v>46043</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5584-2024</t>
        </is>
      </c>
      <c r="B227" s="1" t="n">
        <v>45334</v>
      </c>
      <c r="C227" s="1" t="n">
        <v>46043</v>
      </c>
      <c r="D227" t="inlineStr">
        <is>
          <t>DALARNAS LÄN</t>
        </is>
      </c>
      <c r="E227" t="inlineStr">
        <is>
          <t>LEKSAND</t>
        </is>
      </c>
      <c r="F227" t="inlineStr">
        <is>
          <t>Kyrkan</t>
        </is>
      </c>
      <c r="G227" t="n">
        <v>0.4</v>
      </c>
      <c r="H227" t="n">
        <v>0</v>
      </c>
      <c r="I227" t="n">
        <v>0</v>
      </c>
      <c r="J227" t="n">
        <v>0</v>
      </c>
      <c r="K227" t="n">
        <v>0</v>
      </c>
      <c r="L227" t="n">
        <v>0</v>
      </c>
      <c r="M227" t="n">
        <v>0</v>
      </c>
      <c r="N227" t="n">
        <v>0</v>
      </c>
      <c r="O227" t="n">
        <v>0</v>
      </c>
      <c r="P227" t="n">
        <v>0</v>
      </c>
      <c r="Q227" t="n">
        <v>0</v>
      </c>
      <c r="R227" s="2" t="inlineStr"/>
    </row>
    <row r="228" ht="15" customHeight="1">
      <c r="A228" t="inlineStr">
        <is>
          <t>A 40513-2025</t>
        </is>
      </c>
      <c r="B228" s="1" t="n">
        <v>45896.35100694445</v>
      </c>
      <c r="C228" s="1" t="n">
        <v>46043</v>
      </c>
      <c r="D228" t="inlineStr">
        <is>
          <t>DALARNAS LÄN</t>
        </is>
      </c>
      <c r="E228" t="inlineStr">
        <is>
          <t>LEKSAND</t>
        </is>
      </c>
      <c r="G228" t="n">
        <v>7.1</v>
      </c>
      <c r="H228" t="n">
        <v>0</v>
      </c>
      <c r="I228" t="n">
        <v>0</v>
      </c>
      <c r="J228" t="n">
        <v>0</v>
      </c>
      <c r="K228" t="n">
        <v>0</v>
      </c>
      <c r="L228" t="n">
        <v>0</v>
      </c>
      <c r="M228" t="n">
        <v>0</v>
      </c>
      <c r="N228" t="n">
        <v>0</v>
      </c>
      <c r="O228" t="n">
        <v>0</v>
      </c>
      <c r="P228" t="n">
        <v>0</v>
      </c>
      <c r="Q228" t="n">
        <v>0</v>
      </c>
      <c r="R228" s="2" t="inlineStr"/>
    </row>
    <row r="229" ht="15" customHeight="1">
      <c r="A229" t="inlineStr">
        <is>
          <t>A 59638-2025</t>
        </is>
      </c>
      <c r="B229" s="1" t="n">
        <v>45992.41105324074</v>
      </c>
      <c r="C229" s="1" t="n">
        <v>46043</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49499-2024</t>
        </is>
      </c>
      <c r="B230" s="1" t="n">
        <v>45596</v>
      </c>
      <c r="C230" s="1" t="n">
        <v>46043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23855-2025</t>
        </is>
      </c>
      <c r="B231" s="1" t="n">
        <v>45793.65900462963</v>
      </c>
      <c r="C231" s="1" t="n">
        <v>46043</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1220-2026</t>
        </is>
      </c>
      <c r="B232" s="1" t="n">
        <v>46031.40140046296</v>
      </c>
      <c r="C232" s="1" t="n">
        <v>46043</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40752-2024</t>
        </is>
      </c>
      <c r="B233" s="1" t="n">
        <v>45558.45638888889</v>
      </c>
      <c r="C233" s="1" t="n">
        <v>46043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41237-2025</t>
        </is>
      </c>
      <c r="B234" s="1" t="n">
        <v>45898.59570601852</v>
      </c>
      <c r="C234" s="1" t="n">
        <v>46043</v>
      </c>
      <c r="D234" t="inlineStr">
        <is>
          <t>DALARNAS LÄN</t>
        </is>
      </c>
      <c r="E234" t="inlineStr">
        <is>
          <t>LEKSAND</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24919-2024</t>
        </is>
      </c>
      <c r="B235" s="1" t="n">
        <v>45461.60636574074</v>
      </c>
      <c r="C235" s="1" t="n">
        <v>46043</v>
      </c>
      <c r="D235" t="inlineStr">
        <is>
          <t>DALARNAS LÄN</t>
        </is>
      </c>
      <c r="E235" t="inlineStr">
        <is>
          <t>LEKSAND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41248-2025</t>
        </is>
      </c>
      <c r="B236" s="1" t="n">
        <v>45898.60199074074</v>
      </c>
      <c r="C236" s="1" t="n">
        <v>46043</v>
      </c>
      <c r="D236" t="inlineStr">
        <is>
          <t>DALARNAS LÄN</t>
        </is>
      </c>
      <c r="E236" t="inlineStr">
        <is>
          <t>LEKSAND</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41308-2025</t>
        </is>
      </c>
      <c r="B237" s="1" t="n">
        <v>45898</v>
      </c>
      <c r="C237" s="1" t="n">
        <v>46043</v>
      </c>
      <c r="D237" t="inlineStr">
        <is>
          <t>DALARNAS LÄN</t>
        </is>
      </c>
      <c r="E237" t="inlineStr">
        <is>
          <t>LEKSAND</t>
        </is>
      </c>
      <c r="F237" t="inlineStr">
        <is>
          <t>Bergvik skog väst AB</t>
        </is>
      </c>
      <c r="G237" t="n">
        <v>6.7</v>
      </c>
      <c r="H237" t="n">
        <v>0</v>
      </c>
      <c r="I237" t="n">
        <v>0</v>
      </c>
      <c r="J237" t="n">
        <v>0</v>
      </c>
      <c r="K237" t="n">
        <v>0</v>
      </c>
      <c r="L237" t="n">
        <v>0</v>
      </c>
      <c r="M237" t="n">
        <v>0</v>
      </c>
      <c r="N237" t="n">
        <v>0</v>
      </c>
      <c r="O237" t="n">
        <v>0</v>
      </c>
      <c r="P237" t="n">
        <v>0</v>
      </c>
      <c r="Q237" t="n">
        <v>0</v>
      </c>
      <c r="R237" s="2" t="inlineStr"/>
    </row>
    <row r="238" ht="15" customHeight="1">
      <c r="A238" t="inlineStr">
        <is>
          <t>A 7450-2023</t>
        </is>
      </c>
      <c r="B238" s="1" t="n">
        <v>44971</v>
      </c>
      <c r="C238" s="1" t="n">
        <v>46043</v>
      </c>
      <c r="D238" t="inlineStr">
        <is>
          <t>DALARNAS LÄN</t>
        </is>
      </c>
      <c r="E238" t="inlineStr">
        <is>
          <t>LEKSAND</t>
        </is>
      </c>
      <c r="G238" t="n">
        <v>3</v>
      </c>
      <c r="H238" t="n">
        <v>0</v>
      </c>
      <c r="I238" t="n">
        <v>0</v>
      </c>
      <c r="J238" t="n">
        <v>0</v>
      </c>
      <c r="K238" t="n">
        <v>0</v>
      </c>
      <c r="L238" t="n">
        <v>0</v>
      </c>
      <c r="M238" t="n">
        <v>0</v>
      </c>
      <c r="N238" t="n">
        <v>0</v>
      </c>
      <c r="O238" t="n">
        <v>0</v>
      </c>
      <c r="P238" t="n">
        <v>0</v>
      </c>
      <c r="Q238" t="n">
        <v>0</v>
      </c>
      <c r="R238" s="2" t="inlineStr"/>
    </row>
    <row r="239" ht="15" customHeight="1">
      <c r="A239" t="inlineStr">
        <is>
          <t>A 63792-2025</t>
        </is>
      </c>
      <c r="B239" s="1" t="n">
        <v>46019</v>
      </c>
      <c r="C239" s="1" t="n">
        <v>46043</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41380-2025</t>
        </is>
      </c>
      <c r="B240" s="1" t="n">
        <v>45900.92826388889</v>
      </c>
      <c r="C240" s="1" t="n">
        <v>46043</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1149-2026</t>
        </is>
      </c>
      <c r="B241" s="1" t="n">
        <v>46030.92302083333</v>
      </c>
      <c r="C241" s="1" t="n">
        <v>46043</v>
      </c>
      <c r="D241" t="inlineStr">
        <is>
          <t>DALARNAS LÄN</t>
        </is>
      </c>
      <c r="E241" t="inlineStr">
        <is>
          <t>LEKSAND</t>
        </is>
      </c>
      <c r="G241" t="n">
        <v>11.7</v>
      </c>
      <c r="H241" t="n">
        <v>0</v>
      </c>
      <c r="I241" t="n">
        <v>0</v>
      </c>
      <c r="J241" t="n">
        <v>0</v>
      </c>
      <c r="K241" t="n">
        <v>0</v>
      </c>
      <c r="L241" t="n">
        <v>0</v>
      </c>
      <c r="M241" t="n">
        <v>0</v>
      </c>
      <c r="N241" t="n">
        <v>0</v>
      </c>
      <c r="O241" t="n">
        <v>0</v>
      </c>
      <c r="P241" t="n">
        <v>0</v>
      </c>
      <c r="Q241" t="n">
        <v>0</v>
      </c>
      <c r="R241" s="2" t="inlineStr"/>
    </row>
    <row r="242" ht="15" customHeight="1">
      <c r="A242" t="inlineStr">
        <is>
          <t>A 41934-2025</t>
        </is>
      </c>
      <c r="B242" s="1" t="n">
        <v>45903</v>
      </c>
      <c r="C242" s="1" t="n">
        <v>46043</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64099-2025</t>
        </is>
      </c>
      <c r="B243" s="1" t="n">
        <v>46021</v>
      </c>
      <c r="C243" s="1" t="n">
        <v>46043</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23891-2025</t>
        </is>
      </c>
      <c r="B244" s="1" t="n">
        <v>45793</v>
      </c>
      <c r="C244" s="1" t="n">
        <v>46043</v>
      </c>
      <c r="D244" t="inlineStr">
        <is>
          <t>DALARNAS LÄN</t>
        </is>
      </c>
      <c r="E244" t="inlineStr">
        <is>
          <t>LEKSAND</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139-2026</t>
        </is>
      </c>
      <c r="B245" s="1" t="n">
        <v>46024</v>
      </c>
      <c r="C245" s="1" t="n">
        <v>46043</v>
      </c>
      <c r="D245" t="inlineStr">
        <is>
          <t>DALARNAS LÄN</t>
        </is>
      </c>
      <c r="E245" t="inlineStr">
        <is>
          <t>LEKSAND</t>
        </is>
      </c>
      <c r="G245" t="n">
        <v>4</v>
      </c>
      <c r="H245" t="n">
        <v>0</v>
      </c>
      <c r="I245" t="n">
        <v>0</v>
      </c>
      <c r="J245" t="n">
        <v>0</v>
      </c>
      <c r="K245" t="n">
        <v>0</v>
      </c>
      <c r="L245" t="n">
        <v>0</v>
      </c>
      <c r="M245" t="n">
        <v>0</v>
      </c>
      <c r="N245" t="n">
        <v>0</v>
      </c>
      <c r="O245" t="n">
        <v>0</v>
      </c>
      <c r="P245" t="n">
        <v>0</v>
      </c>
      <c r="Q245" t="n">
        <v>0</v>
      </c>
      <c r="R245" s="2" t="inlineStr"/>
    </row>
    <row r="246" ht="15" customHeight="1">
      <c r="A246" t="inlineStr">
        <is>
          <t>A 58244-2024</t>
        </is>
      </c>
      <c r="B246" s="1" t="n">
        <v>45631</v>
      </c>
      <c r="C246" s="1" t="n">
        <v>46043</v>
      </c>
      <c r="D246" t="inlineStr">
        <is>
          <t>DALARNAS LÄN</t>
        </is>
      </c>
      <c r="E246" t="inlineStr">
        <is>
          <t>LEKSAND</t>
        </is>
      </c>
      <c r="G246" t="n">
        <v>1.9</v>
      </c>
      <c r="H246" t="n">
        <v>0</v>
      </c>
      <c r="I246" t="n">
        <v>0</v>
      </c>
      <c r="J246" t="n">
        <v>0</v>
      </c>
      <c r="K246" t="n">
        <v>0</v>
      </c>
      <c r="L246" t="n">
        <v>0</v>
      </c>
      <c r="M246" t="n">
        <v>0</v>
      </c>
      <c r="N246" t="n">
        <v>0</v>
      </c>
      <c r="O246" t="n">
        <v>0</v>
      </c>
      <c r="P246" t="n">
        <v>0</v>
      </c>
      <c r="Q246" t="n">
        <v>0</v>
      </c>
      <c r="R246" s="2" t="inlineStr"/>
    </row>
    <row r="247" ht="15" customHeight="1">
      <c r="A247" t="inlineStr">
        <is>
          <t>A 62161-2024</t>
        </is>
      </c>
      <c r="B247" s="1" t="n">
        <v>45656.86009259259</v>
      </c>
      <c r="C247" s="1" t="n">
        <v>46043</v>
      </c>
      <c r="D247" t="inlineStr">
        <is>
          <t>DALARNAS LÄN</t>
        </is>
      </c>
      <c r="E247" t="inlineStr">
        <is>
          <t>LEKSAND</t>
        </is>
      </c>
      <c r="G247" t="n">
        <v>2</v>
      </c>
      <c r="H247" t="n">
        <v>0</v>
      </c>
      <c r="I247" t="n">
        <v>0</v>
      </c>
      <c r="J247" t="n">
        <v>0</v>
      </c>
      <c r="K247" t="n">
        <v>0</v>
      </c>
      <c r="L247" t="n">
        <v>0</v>
      </c>
      <c r="M247" t="n">
        <v>0</v>
      </c>
      <c r="N247" t="n">
        <v>0</v>
      </c>
      <c r="O247" t="n">
        <v>0</v>
      </c>
      <c r="P247" t="n">
        <v>0</v>
      </c>
      <c r="Q247" t="n">
        <v>0</v>
      </c>
      <c r="R247" s="2" t="inlineStr"/>
    </row>
    <row r="248" ht="15" customHeight="1">
      <c r="A248" t="inlineStr">
        <is>
          <t>A 41335-2025</t>
        </is>
      </c>
      <c r="B248" s="1" t="n">
        <v>45899.36747685185</v>
      </c>
      <c r="C248" s="1" t="n">
        <v>46043</v>
      </c>
      <c r="D248" t="inlineStr">
        <is>
          <t>DALARNAS LÄN</t>
        </is>
      </c>
      <c r="E248" t="inlineStr">
        <is>
          <t>LEKSAND</t>
        </is>
      </c>
      <c r="G248" t="n">
        <v>5.9</v>
      </c>
      <c r="H248" t="n">
        <v>0</v>
      </c>
      <c r="I248" t="n">
        <v>0</v>
      </c>
      <c r="J248" t="n">
        <v>0</v>
      </c>
      <c r="K248" t="n">
        <v>0</v>
      </c>
      <c r="L248" t="n">
        <v>0</v>
      </c>
      <c r="M248" t="n">
        <v>0</v>
      </c>
      <c r="N248" t="n">
        <v>0</v>
      </c>
      <c r="O248" t="n">
        <v>0</v>
      </c>
      <c r="P248" t="n">
        <v>0</v>
      </c>
      <c r="Q248" t="n">
        <v>0</v>
      </c>
      <c r="R248" s="2" t="inlineStr"/>
    </row>
    <row r="249" ht="15" customHeight="1">
      <c r="A249" t="inlineStr">
        <is>
          <t>A 2397-2026</t>
        </is>
      </c>
      <c r="B249" s="1" t="n">
        <v>46036.67840277778</v>
      </c>
      <c r="C249" s="1" t="n">
        <v>46043</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41487-2025</t>
        </is>
      </c>
      <c r="B250" s="1" t="n">
        <v>45901.4815625</v>
      </c>
      <c r="C250" s="1" t="n">
        <v>46043</v>
      </c>
      <c r="D250" t="inlineStr">
        <is>
          <t>DALARNAS LÄN</t>
        </is>
      </c>
      <c r="E250" t="inlineStr">
        <is>
          <t>LEKSAND</t>
        </is>
      </c>
      <c r="F250" t="inlineStr">
        <is>
          <t>Bergvik skog väst AB</t>
        </is>
      </c>
      <c r="G250" t="n">
        <v>7.3</v>
      </c>
      <c r="H250" t="n">
        <v>0</v>
      </c>
      <c r="I250" t="n">
        <v>0</v>
      </c>
      <c r="J250" t="n">
        <v>0</v>
      </c>
      <c r="K250" t="n">
        <v>0</v>
      </c>
      <c r="L250" t="n">
        <v>0</v>
      </c>
      <c r="M250" t="n">
        <v>0</v>
      </c>
      <c r="N250" t="n">
        <v>0</v>
      </c>
      <c r="O250" t="n">
        <v>0</v>
      </c>
      <c r="P250" t="n">
        <v>0</v>
      </c>
      <c r="Q250" t="n">
        <v>0</v>
      </c>
      <c r="R250" s="2" t="inlineStr"/>
    </row>
    <row r="251" ht="15" customHeight="1">
      <c r="A251" t="inlineStr">
        <is>
          <t>A 60067-2025</t>
        </is>
      </c>
      <c r="B251" s="1" t="n">
        <v>45993.66039351852</v>
      </c>
      <c r="C251" s="1" t="n">
        <v>46043</v>
      </c>
      <c r="D251" t="inlineStr">
        <is>
          <t>DALARNAS LÄN</t>
        </is>
      </c>
      <c r="E251" t="inlineStr">
        <is>
          <t>LEKSAND</t>
        </is>
      </c>
      <c r="G251" t="n">
        <v>3.3</v>
      </c>
      <c r="H251" t="n">
        <v>0</v>
      </c>
      <c r="I251" t="n">
        <v>0</v>
      </c>
      <c r="J251" t="n">
        <v>0</v>
      </c>
      <c r="K251" t="n">
        <v>0</v>
      </c>
      <c r="L251" t="n">
        <v>0</v>
      </c>
      <c r="M251" t="n">
        <v>0</v>
      </c>
      <c r="N251" t="n">
        <v>0</v>
      </c>
      <c r="O251" t="n">
        <v>0</v>
      </c>
      <c r="P251" t="n">
        <v>0</v>
      </c>
      <c r="Q251" t="n">
        <v>0</v>
      </c>
      <c r="R251" s="2" t="inlineStr"/>
    </row>
    <row r="252" ht="15" customHeight="1">
      <c r="A252" t="inlineStr">
        <is>
          <t>A 60170-2025</t>
        </is>
      </c>
      <c r="B252" s="1" t="n">
        <v>45994.44629629629</v>
      </c>
      <c r="C252" s="1" t="n">
        <v>46043</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11606-2025</t>
        </is>
      </c>
      <c r="B253" s="1" t="n">
        <v>45727</v>
      </c>
      <c r="C253" s="1" t="n">
        <v>46043</v>
      </c>
      <c r="D253" t="inlineStr">
        <is>
          <t>DALARNAS LÄN</t>
        </is>
      </c>
      <c r="E253" t="inlineStr">
        <is>
          <t>LEKSAND</t>
        </is>
      </c>
      <c r="G253" t="n">
        <v>2.3</v>
      </c>
      <c r="H253" t="n">
        <v>0</v>
      </c>
      <c r="I253" t="n">
        <v>0</v>
      </c>
      <c r="J253" t="n">
        <v>0</v>
      </c>
      <c r="K253" t="n">
        <v>0</v>
      </c>
      <c r="L253" t="n">
        <v>0</v>
      </c>
      <c r="M253" t="n">
        <v>0</v>
      </c>
      <c r="N253" t="n">
        <v>0</v>
      </c>
      <c r="O253" t="n">
        <v>0</v>
      </c>
      <c r="P253" t="n">
        <v>0</v>
      </c>
      <c r="Q253" t="n">
        <v>0</v>
      </c>
      <c r="R253" s="2" t="inlineStr"/>
    </row>
    <row r="254" ht="15" customHeight="1">
      <c r="A254" t="inlineStr">
        <is>
          <t>A 64096-2025</t>
        </is>
      </c>
      <c r="B254" s="1" t="n">
        <v>46021</v>
      </c>
      <c r="C254" s="1" t="n">
        <v>46043</v>
      </c>
      <c r="D254" t="inlineStr">
        <is>
          <t>DALARNAS LÄN</t>
        </is>
      </c>
      <c r="E254" t="inlineStr">
        <is>
          <t>LEKSAND</t>
        </is>
      </c>
      <c r="G254" t="n">
        <v>4.5</v>
      </c>
      <c r="H254" t="n">
        <v>0</v>
      </c>
      <c r="I254" t="n">
        <v>0</v>
      </c>
      <c r="J254" t="n">
        <v>0</v>
      </c>
      <c r="K254" t="n">
        <v>0</v>
      </c>
      <c r="L254" t="n">
        <v>0</v>
      </c>
      <c r="M254" t="n">
        <v>0</v>
      </c>
      <c r="N254" t="n">
        <v>0</v>
      </c>
      <c r="O254" t="n">
        <v>0</v>
      </c>
      <c r="P254" t="n">
        <v>0</v>
      </c>
      <c r="Q254" t="n">
        <v>0</v>
      </c>
      <c r="R254" s="2" t="inlineStr"/>
    </row>
    <row r="255" ht="15" customHeight="1">
      <c r="A255" t="inlineStr">
        <is>
          <t>A 64101-2025</t>
        </is>
      </c>
      <c r="B255" s="1" t="n">
        <v>46021</v>
      </c>
      <c r="C255" s="1" t="n">
        <v>46043</v>
      </c>
      <c r="D255" t="inlineStr">
        <is>
          <t>DALARNAS LÄN</t>
        </is>
      </c>
      <c r="E255" t="inlineStr">
        <is>
          <t>LEKSAND</t>
        </is>
      </c>
      <c r="G255" t="n">
        <v>2.9</v>
      </c>
      <c r="H255" t="n">
        <v>0</v>
      </c>
      <c r="I255" t="n">
        <v>0</v>
      </c>
      <c r="J255" t="n">
        <v>0</v>
      </c>
      <c r="K255" t="n">
        <v>0</v>
      </c>
      <c r="L255" t="n">
        <v>0</v>
      </c>
      <c r="M255" t="n">
        <v>0</v>
      </c>
      <c r="N255" t="n">
        <v>0</v>
      </c>
      <c r="O255" t="n">
        <v>0</v>
      </c>
      <c r="P255" t="n">
        <v>0</v>
      </c>
      <c r="Q255" t="n">
        <v>0</v>
      </c>
      <c r="R255" s="2" t="inlineStr"/>
    </row>
    <row r="256" ht="15" customHeight="1">
      <c r="A256" t="inlineStr">
        <is>
          <t>A 21954-2023</t>
        </is>
      </c>
      <c r="B256" s="1" t="n">
        <v>45068</v>
      </c>
      <c r="C256" s="1" t="n">
        <v>46043</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8743-2023</t>
        </is>
      </c>
      <c r="B257" s="1" t="n">
        <v>44978</v>
      </c>
      <c r="C257" s="1" t="n">
        <v>46043</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24187-2025</t>
        </is>
      </c>
      <c r="B258" s="1" t="n">
        <v>45796</v>
      </c>
      <c r="C258" s="1" t="n">
        <v>46043</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24188-2025</t>
        </is>
      </c>
      <c r="B259" s="1" t="n">
        <v>45796</v>
      </c>
      <c r="C259" s="1" t="n">
        <v>46043</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23892-2025</t>
        </is>
      </c>
      <c r="B260" s="1" t="n">
        <v>45793</v>
      </c>
      <c r="C260" s="1" t="n">
        <v>46043</v>
      </c>
      <c r="D260" t="inlineStr">
        <is>
          <t>DALARNAS LÄN</t>
        </is>
      </c>
      <c r="E260" t="inlineStr">
        <is>
          <t>LEKSAND</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56211-2023</t>
        </is>
      </c>
      <c r="B261" s="1" t="n">
        <v>45240</v>
      </c>
      <c r="C261" s="1" t="n">
        <v>46043</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63544-2023</t>
        </is>
      </c>
      <c r="B262" s="1" t="n">
        <v>45275</v>
      </c>
      <c r="C262" s="1" t="n">
        <v>46043</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1960-2026</t>
        </is>
      </c>
      <c r="B263" s="1" t="n">
        <v>46035.62866898148</v>
      </c>
      <c r="C263" s="1" t="n">
        <v>46043</v>
      </c>
      <c r="D263" t="inlineStr">
        <is>
          <t>DALARNAS LÄN</t>
        </is>
      </c>
      <c r="E263" t="inlineStr">
        <is>
          <t>LEKSAND</t>
        </is>
      </c>
      <c r="G263" t="n">
        <v>4.3</v>
      </c>
      <c r="H263" t="n">
        <v>0</v>
      </c>
      <c r="I263" t="n">
        <v>0</v>
      </c>
      <c r="J263" t="n">
        <v>0</v>
      </c>
      <c r="K263" t="n">
        <v>0</v>
      </c>
      <c r="L263" t="n">
        <v>0</v>
      </c>
      <c r="M263" t="n">
        <v>0</v>
      </c>
      <c r="N263" t="n">
        <v>0</v>
      </c>
      <c r="O263" t="n">
        <v>0</v>
      </c>
      <c r="P263" t="n">
        <v>0</v>
      </c>
      <c r="Q263" t="n">
        <v>0</v>
      </c>
      <c r="R263" s="2" t="inlineStr"/>
    </row>
    <row r="264" ht="15" customHeight="1">
      <c r="A264" t="inlineStr">
        <is>
          <t>A 42284-2025</t>
        </is>
      </c>
      <c r="B264" s="1" t="n">
        <v>45903</v>
      </c>
      <c r="C264" s="1" t="n">
        <v>46043</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2068-2026</t>
        </is>
      </c>
      <c r="B265" s="1" t="n">
        <v>46036.27943287037</v>
      </c>
      <c r="C265" s="1" t="n">
        <v>46043</v>
      </c>
      <c r="D265" t="inlineStr">
        <is>
          <t>DALARNAS LÄN</t>
        </is>
      </c>
      <c r="E265" t="inlineStr">
        <is>
          <t>LEKSAND</t>
        </is>
      </c>
      <c r="F265" t="inlineStr">
        <is>
          <t>Övriga Aktiebolag</t>
        </is>
      </c>
      <c r="G265" t="n">
        <v>15.5</v>
      </c>
      <c r="H265" t="n">
        <v>0</v>
      </c>
      <c r="I265" t="n">
        <v>0</v>
      </c>
      <c r="J265" t="n">
        <v>0</v>
      </c>
      <c r="K265" t="n">
        <v>0</v>
      </c>
      <c r="L265" t="n">
        <v>0</v>
      </c>
      <c r="M265" t="n">
        <v>0</v>
      </c>
      <c r="N265" t="n">
        <v>0</v>
      </c>
      <c r="O265" t="n">
        <v>0</v>
      </c>
      <c r="P265" t="n">
        <v>0</v>
      </c>
      <c r="Q265" t="n">
        <v>0</v>
      </c>
      <c r="R265" s="2" t="inlineStr"/>
    </row>
    <row r="266" ht="15" customHeight="1">
      <c r="A266" t="inlineStr">
        <is>
          <t>A 1968-2026</t>
        </is>
      </c>
      <c r="B266" s="1" t="n">
        <v>46035.63878472222</v>
      </c>
      <c r="C266" s="1" t="n">
        <v>46043</v>
      </c>
      <c r="D266" t="inlineStr">
        <is>
          <t>DALARNAS LÄN</t>
        </is>
      </c>
      <c r="E266" t="inlineStr">
        <is>
          <t>LEKSAND</t>
        </is>
      </c>
      <c r="G266" t="n">
        <v>2.8</v>
      </c>
      <c r="H266" t="n">
        <v>0</v>
      </c>
      <c r="I266" t="n">
        <v>0</v>
      </c>
      <c r="J266" t="n">
        <v>0</v>
      </c>
      <c r="K266" t="n">
        <v>0</v>
      </c>
      <c r="L266" t="n">
        <v>0</v>
      </c>
      <c r="M266" t="n">
        <v>0</v>
      </c>
      <c r="N266" t="n">
        <v>0</v>
      </c>
      <c r="O266" t="n">
        <v>0</v>
      </c>
      <c r="P266" t="n">
        <v>0</v>
      </c>
      <c r="Q266" t="n">
        <v>0</v>
      </c>
      <c r="R266" s="2" t="inlineStr"/>
    </row>
    <row r="267" ht="15" customHeight="1">
      <c r="A267" t="inlineStr">
        <is>
          <t>A 1946-2026</t>
        </is>
      </c>
      <c r="B267" s="1" t="n">
        <v>46035.59733796296</v>
      </c>
      <c r="C267" s="1" t="n">
        <v>46043</v>
      </c>
      <c r="D267" t="inlineStr">
        <is>
          <t>DALARNAS LÄN</t>
        </is>
      </c>
      <c r="E267" t="inlineStr">
        <is>
          <t>LEKSAND</t>
        </is>
      </c>
      <c r="G267" t="n">
        <v>1.3</v>
      </c>
      <c r="H267" t="n">
        <v>0</v>
      </c>
      <c r="I267" t="n">
        <v>0</v>
      </c>
      <c r="J267" t="n">
        <v>0</v>
      </c>
      <c r="K267" t="n">
        <v>0</v>
      </c>
      <c r="L267" t="n">
        <v>0</v>
      </c>
      <c r="M267" t="n">
        <v>0</v>
      </c>
      <c r="N267" t="n">
        <v>0</v>
      </c>
      <c r="O267" t="n">
        <v>0</v>
      </c>
      <c r="P267" t="n">
        <v>0</v>
      </c>
      <c r="Q267" t="n">
        <v>0</v>
      </c>
      <c r="R267" s="2" t="inlineStr"/>
    </row>
    <row r="268" ht="15" customHeight="1">
      <c r="A268" t="inlineStr">
        <is>
          <t>A 63961-2025</t>
        </is>
      </c>
      <c r="B268" s="1" t="n">
        <v>46020</v>
      </c>
      <c r="C268" s="1" t="n">
        <v>46043</v>
      </c>
      <c r="D268" t="inlineStr">
        <is>
          <t>DALARNAS LÄN</t>
        </is>
      </c>
      <c r="E268" t="inlineStr">
        <is>
          <t>LEKSAND</t>
        </is>
      </c>
      <c r="F268" t="inlineStr">
        <is>
          <t>Övriga Aktiebolag</t>
        </is>
      </c>
      <c r="G268" t="n">
        <v>3.7</v>
      </c>
      <c r="H268" t="n">
        <v>0</v>
      </c>
      <c r="I268" t="n">
        <v>0</v>
      </c>
      <c r="J268" t="n">
        <v>0</v>
      </c>
      <c r="K268" t="n">
        <v>0</v>
      </c>
      <c r="L268" t="n">
        <v>0</v>
      </c>
      <c r="M268" t="n">
        <v>0</v>
      </c>
      <c r="N268" t="n">
        <v>0</v>
      </c>
      <c r="O268" t="n">
        <v>0</v>
      </c>
      <c r="P268" t="n">
        <v>0</v>
      </c>
      <c r="Q268" t="n">
        <v>0</v>
      </c>
      <c r="R268" s="2" t="inlineStr"/>
    </row>
    <row r="269" ht="15" customHeight="1">
      <c r="A269" t="inlineStr">
        <is>
          <t>A 42402-2025</t>
        </is>
      </c>
      <c r="B269" s="1" t="n">
        <v>45905.3753125</v>
      </c>
      <c r="C269" s="1" t="n">
        <v>46043</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1995-2026</t>
        </is>
      </c>
      <c r="B270" s="1" t="n">
        <v>46035.67491898148</v>
      </c>
      <c r="C270" s="1" t="n">
        <v>46043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63902-2025</t>
        </is>
      </c>
      <c r="B271" s="1" t="n">
        <v>46020</v>
      </c>
      <c r="C271" s="1" t="n">
        <v>46043</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63972-2025</t>
        </is>
      </c>
      <c r="B272" s="1" t="n">
        <v>46021</v>
      </c>
      <c r="C272" s="1" t="n">
        <v>46043</v>
      </c>
      <c r="D272" t="inlineStr">
        <is>
          <t>DALARNAS LÄN</t>
        </is>
      </c>
      <c r="E272" t="inlineStr">
        <is>
          <t>LEKSAND</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28032-2024</t>
        </is>
      </c>
      <c r="B273" s="1" t="n">
        <v>45476.49346064815</v>
      </c>
      <c r="C273" s="1" t="n">
        <v>46043</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24714-2025</t>
        </is>
      </c>
      <c r="B274" s="1" t="n">
        <v>45798.96927083333</v>
      </c>
      <c r="C274" s="1" t="n">
        <v>46043</v>
      </c>
      <c r="D274" t="inlineStr">
        <is>
          <t>DALARNAS LÄN</t>
        </is>
      </c>
      <c r="E274" t="inlineStr">
        <is>
          <t>LEKSAND</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19550-2023</t>
        </is>
      </c>
      <c r="B275" s="1" t="n">
        <v>45049</v>
      </c>
      <c r="C275" s="1" t="n">
        <v>46043</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33593-2024</t>
        </is>
      </c>
      <c r="B276" s="1" t="n">
        <v>45520.36055555556</v>
      </c>
      <c r="C276" s="1" t="n">
        <v>46043</v>
      </c>
      <c r="D276" t="inlineStr">
        <is>
          <t>DALARNAS LÄN</t>
        </is>
      </c>
      <c r="E276" t="inlineStr">
        <is>
          <t>LEKSAND</t>
        </is>
      </c>
      <c r="G276" t="n">
        <v>0.3</v>
      </c>
      <c r="H276" t="n">
        <v>0</v>
      </c>
      <c r="I276" t="n">
        <v>0</v>
      </c>
      <c r="J276" t="n">
        <v>0</v>
      </c>
      <c r="K276" t="n">
        <v>0</v>
      </c>
      <c r="L276" t="n">
        <v>0</v>
      </c>
      <c r="M276" t="n">
        <v>0</v>
      </c>
      <c r="N276" t="n">
        <v>0</v>
      </c>
      <c r="O276" t="n">
        <v>0</v>
      </c>
      <c r="P276" t="n">
        <v>0</v>
      </c>
      <c r="Q276" t="n">
        <v>0</v>
      </c>
      <c r="R276" s="2" t="inlineStr"/>
    </row>
    <row r="277" ht="15" customHeight="1">
      <c r="A277" t="inlineStr">
        <is>
          <t>A 60023-2025</t>
        </is>
      </c>
      <c r="B277" s="1" t="n">
        <v>45993.60201388889</v>
      </c>
      <c r="C277" s="1" t="n">
        <v>46043</v>
      </c>
      <c r="D277" t="inlineStr">
        <is>
          <t>DALARNAS LÄN</t>
        </is>
      </c>
      <c r="E277" t="inlineStr">
        <is>
          <t>LEKSAND</t>
        </is>
      </c>
      <c r="G277" t="n">
        <v>6.5</v>
      </c>
      <c r="H277" t="n">
        <v>0</v>
      </c>
      <c r="I277" t="n">
        <v>0</v>
      </c>
      <c r="J277" t="n">
        <v>0</v>
      </c>
      <c r="K277" t="n">
        <v>0</v>
      </c>
      <c r="L277" t="n">
        <v>0</v>
      </c>
      <c r="M277" t="n">
        <v>0</v>
      </c>
      <c r="N277" t="n">
        <v>0</v>
      </c>
      <c r="O277" t="n">
        <v>0</v>
      </c>
      <c r="P277" t="n">
        <v>0</v>
      </c>
      <c r="Q277" t="n">
        <v>0</v>
      </c>
      <c r="R277" s="2" t="inlineStr"/>
    </row>
    <row r="278" ht="15" customHeight="1">
      <c r="A278" t="inlineStr">
        <is>
          <t>A 1950-2026</t>
        </is>
      </c>
      <c r="B278" s="1" t="n">
        <v>46035.60259259259</v>
      </c>
      <c r="C278" s="1" t="n">
        <v>46043</v>
      </c>
      <c r="D278" t="inlineStr">
        <is>
          <t>DALARNAS LÄN</t>
        </is>
      </c>
      <c r="E278" t="inlineStr">
        <is>
          <t>LEKSAND</t>
        </is>
      </c>
      <c r="G278" t="n">
        <v>5.3</v>
      </c>
      <c r="H278" t="n">
        <v>0</v>
      </c>
      <c r="I278" t="n">
        <v>0</v>
      </c>
      <c r="J278" t="n">
        <v>0</v>
      </c>
      <c r="K278" t="n">
        <v>0</v>
      </c>
      <c r="L278" t="n">
        <v>0</v>
      </c>
      <c r="M278" t="n">
        <v>0</v>
      </c>
      <c r="N278" t="n">
        <v>0</v>
      </c>
      <c r="O278" t="n">
        <v>0</v>
      </c>
      <c r="P278" t="n">
        <v>0</v>
      </c>
      <c r="Q278" t="n">
        <v>0</v>
      </c>
      <c r="R278" s="2" t="inlineStr"/>
    </row>
    <row r="279" ht="15" customHeight="1">
      <c r="A279" t="inlineStr">
        <is>
          <t>A 2048-2026</t>
        </is>
      </c>
      <c r="B279" s="1" t="n">
        <v>46035.84534722222</v>
      </c>
      <c r="C279" s="1" t="n">
        <v>46043</v>
      </c>
      <c r="D279" t="inlineStr">
        <is>
          <t>DALARNAS LÄN</t>
        </is>
      </c>
      <c r="E279" t="inlineStr">
        <is>
          <t>LEKSAND</t>
        </is>
      </c>
      <c r="G279" t="n">
        <v>2.7</v>
      </c>
      <c r="H279" t="n">
        <v>0</v>
      </c>
      <c r="I279" t="n">
        <v>0</v>
      </c>
      <c r="J279" t="n">
        <v>0</v>
      </c>
      <c r="K279" t="n">
        <v>0</v>
      </c>
      <c r="L279" t="n">
        <v>0</v>
      </c>
      <c r="M279" t="n">
        <v>0</v>
      </c>
      <c r="N279" t="n">
        <v>0</v>
      </c>
      <c r="O279" t="n">
        <v>0</v>
      </c>
      <c r="P279" t="n">
        <v>0</v>
      </c>
      <c r="Q279" t="n">
        <v>0</v>
      </c>
      <c r="R279" s="2" t="inlineStr"/>
    </row>
    <row r="280" ht="15" customHeight="1">
      <c r="A280" t="inlineStr">
        <is>
          <t>A 63905-2025</t>
        </is>
      </c>
      <c r="B280" s="1" t="n">
        <v>46020</v>
      </c>
      <c r="C280" s="1" t="n">
        <v>46043</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63906-2025</t>
        </is>
      </c>
      <c r="B281" s="1" t="n">
        <v>46020</v>
      </c>
      <c r="C281" s="1" t="n">
        <v>46043</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2373-2026</t>
        </is>
      </c>
      <c r="B282" s="1" t="n">
        <v>46036.64986111111</v>
      </c>
      <c r="C282" s="1" t="n">
        <v>46043</v>
      </c>
      <c r="D282" t="inlineStr">
        <is>
          <t>DALARNAS LÄN</t>
        </is>
      </c>
      <c r="E282" t="inlineStr">
        <is>
          <t>LEKSAND</t>
        </is>
      </c>
      <c r="G282" t="n">
        <v>2.3</v>
      </c>
      <c r="H282" t="n">
        <v>0</v>
      </c>
      <c r="I282" t="n">
        <v>0</v>
      </c>
      <c r="J282" t="n">
        <v>0</v>
      </c>
      <c r="K282" t="n">
        <v>0</v>
      </c>
      <c r="L282" t="n">
        <v>0</v>
      </c>
      <c r="M282" t="n">
        <v>0</v>
      </c>
      <c r="N282" t="n">
        <v>0</v>
      </c>
      <c r="O282" t="n">
        <v>0</v>
      </c>
      <c r="P282" t="n">
        <v>0</v>
      </c>
      <c r="Q282" t="n">
        <v>0</v>
      </c>
      <c r="R282" s="2" t="inlineStr"/>
    </row>
    <row r="283" ht="15" customHeight="1">
      <c r="A283" t="inlineStr">
        <is>
          <t>A 47203-2023</t>
        </is>
      </c>
      <c r="B283" s="1" t="n">
        <v>45202</v>
      </c>
      <c r="C283" s="1" t="n">
        <v>46043</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60614-2025</t>
        </is>
      </c>
      <c r="B284" s="1" t="n">
        <v>45996.36671296296</v>
      </c>
      <c r="C284" s="1" t="n">
        <v>46043</v>
      </c>
      <c r="D284" t="inlineStr">
        <is>
          <t>DALARNAS LÄN</t>
        </is>
      </c>
      <c r="E284" t="inlineStr">
        <is>
          <t>LEKSAND</t>
        </is>
      </c>
      <c r="G284" t="n">
        <v>3.4</v>
      </c>
      <c r="H284" t="n">
        <v>0</v>
      </c>
      <c r="I284" t="n">
        <v>0</v>
      </c>
      <c r="J284" t="n">
        <v>0</v>
      </c>
      <c r="K284" t="n">
        <v>0</v>
      </c>
      <c r="L284" t="n">
        <v>0</v>
      </c>
      <c r="M284" t="n">
        <v>0</v>
      </c>
      <c r="N284" t="n">
        <v>0</v>
      </c>
      <c r="O284" t="n">
        <v>0</v>
      </c>
      <c r="P284" t="n">
        <v>0</v>
      </c>
      <c r="Q284" t="n">
        <v>0</v>
      </c>
      <c r="R284" s="2" t="inlineStr"/>
    </row>
    <row r="285" ht="15" customHeight="1">
      <c r="A285" t="inlineStr">
        <is>
          <t>A 43195-2025</t>
        </is>
      </c>
      <c r="B285" s="1" t="n">
        <v>45910.4294212963</v>
      </c>
      <c r="C285" s="1" t="n">
        <v>46043</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9105-2024</t>
        </is>
      </c>
      <c r="B286" s="1" t="n">
        <v>45357</v>
      </c>
      <c r="C286" s="1" t="n">
        <v>46043</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50447-2023</t>
        </is>
      </c>
      <c r="B287" s="1" t="n">
        <v>45216.72185185185</v>
      </c>
      <c r="C287" s="1" t="n">
        <v>46043</v>
      </c>
      <c r="D287" t="inlineStr">
        <is>
          <t>DALARNAS LÄN</t>
        </is>
      </c>
      <c r="E287" t="inlineStr">
        <is>
          <t>LEKSAND</t>
        </is>
      </c>
      <c r="G287" t="n">
        <v>1.1</v>
      </c>
      <c r="H287" t="n">
        <v>0</v>
      </c>
      <c r="I287" t="n">
        <v>0</v>
      </c>
      <c r="J287" t="n">
        <v>0</v>
      </c>
      <c r="K287" t="n">
        <v>0</v>
      </c>
      <c r="L287" t="n">
        <v>0</v>
      </c>
      <c r="M287" t="n">
        <v>0</v>
      </c>
      <c r="N287" t="n">
        <v>0</v>
      </c>
      <c r="O287" t="n">
        <v>0</v>
      </c>
      <c r="P287" t="n">
        <v>0</v>
      </c>
      <c r="Q287" t="n">
        <v>0</v>
      </c>
      <c r="R287" s="2" t="inlineStr"/>
    </row>
    <row r="288" ht="15" customHeight="1">
      <c r="A288" t="inlineStr">
        <is>
          <t>A 60945-2024</t>
        </is>
      </c>
      <c r="B288" s="1" t="n">
        <v>45645.37893518519</v>
      </c>
      <c r="C288" s="1" t="n">
        <v>46043</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319-2026</t>
        </is>
      </c>
      <c r="B289" s="1" t="n">
        <v>46027</v>
      </c>
      <c r="C289" s="1" t="n">
        <v>46043</v>
      </c>
      <c r="D289" t="inlineStr">
        <is>
          <t>DALARNAS LÄN</t>
        </is>
      </c>
      <c r="E289" t="inlineStr">
        <is>
          <t>LEKSAND</t>
        </is>
      </c>
      <c r="G289" t="n">
        <v>12.9</v>
      </c>
      <c r="H289" t="n">
        <v>0</v>
      </c>
      <c r="I289" t="n">
        <v>0</v>
      </c>
      <c r="J289" t="n">
        <v>0</v>
      </c>
      <c r="K289" t="n">
        <v>0</v>
      </c>
      <c r="L289" t="n">
        <v>0</v>
      </c>
      <c r="M289" t="n">
        <v>0</v>
      </c>
      <c r="N289" t="n">
        <v>0</v>
      </c>
      <c r="O289" t="n">
        <v>0</v>
      </c>
      <c r="P289" t="n">
        <v>0</v>
      </c>
      <c r="Q289" t="n">
        <v>0</v>
      </c>
      <c r="R289" s="2" t="inlineStr"/>
    </row>
    <row r="290" ht="15" customHeight="1">
      <c r="A290" t="inlineStr">
        <is>
          <t>A 60358-2025</t>
        </is>
      </c>
      <c r="B290" s="1" t="n">
        <v>45995.31949074074</v>
      </c>
      <c r="C290" s="1" t="n">
        <v>46043</v>
      </c>
      <c r="D290" t="inlineStr">
        <is>
          <t>DALARNAS LÄN</t>
        </is>
      </c>
      <c r="E290" t="inlineStr">
        <is>
          <t>LEKSAND</t>
        </is>
      </c>
      <c r="G290" t="n">
        <v>2.9</v>
      </c>
      <c r="H290" t="n">
        <v>0</v>
      </c>
      <c r="I290" t="n">
        <v>0</v>
      </c>
      <c r="J290" t="n">
        <v>0</v>
      </c>
      <c r="K290" t="n">
        <v>0</v>
      </c>
      <c r="L290" t="n">
        <v>0</v>
      </c>
      <c r="M290" t="n">
        <v>0</v>
      </c>
      <c r="N290" t="n">
        <v>0</v>
      </c>
      <c r="O290" t="n">
        <v>0</v>
      </c>
      <c r="P290" t="n">
        <v>0</v>
      </c>
      <c r="Q290" t="n">
        <v>0</v>
      </c>
      <c r="R290" s="2" t="inlineStr"/>
    </row>
    <row r="291" ht="15" customHeight="1">
      <c r="A291" t="inlineStr">
        <is>
          <t>A 61787-2022</t>
        </is>
      </c>
      <c r="B291" s="1" t="n">
        <v>44917</v>
      </c>
      <c r="C291" s="1" t="n">
        <v>46043</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43830-2025</t>
        </is>
      </c>
      <c r="B292" s="1" t="n">
        <v>45912</v>
      </c>
      <c r="C292" s="1" t="n">
        <v>46043</v>
      </c>
      <c r="D292" t="inlineStr">
        <is>
          <t>DALARNAS LÄN</t>
        </is>
      </c>
      <c r="E292" t="inlineStr">
        <is>
          <t>LEKSAND</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43630-2025</t>
        </is>
      </c>
      <c r="B293" s="1" t="n">
        <v>45911.70278935185</v>
      </c>
      <c r="C293" s="1" t="n">
        <v>46043</v>
      </c>
      <c r="D293" t="inlineStr">
        <is>
          <t>DALARNAS LÄN</t>
        </is>
      </c>
      <c r="E293" t="inlineStr">
        <is>
          <t>LEKSAND</t>
        </is>
      </c>
      <c r="G293" t="n">
        <v>4.7</v>
      </c>
      <c r="H293" t="n">
        <v>0</v>
      </c>
      <c r="I293" t="n">
        <v>0</v>
      </c>
      <c r="J293" t="n">
        <v>0</v>
      </c>
      <c r="K293" t="n">
        <v>0</v>
      </c>
      <c r="L293" t="n">
        <v>0</v>
      </c>
      <c r="M293" t="n">
        <v>0</v>
      </c>
      <c r="N293" t="n">
        <v>0</v>
      </c>
      <c r="O293" t="n">
        <v>0</v>
      </c>
      <c r="P293" t="n">
        <v>0</v>
      </c>
      <c r="Q293" t="n">
        <v>0</v>
      </c>
      <c r="R293" s="2" t="inlineStr"/>
    </row>
    <row r="294" ht="15" customHeight="1">
      <c r="A294" t="inlineStr">
        <is>
          <t>A 63898-2025</t>
        </is>
      </c>
      <c r="B294" s="1" t="n">
        <v>46020</v>
      </c>
      <c r="C294" s="1" t="n">
        <v>46043</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46043</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43629-2025</t>
        </is>
      </c>
      <c r="B296" s="1" t="n">
        <v>45911.70180555555</v>
      </c>
      <c r="C296" s="1" t="n">
        <v>46043</v>
      </c>
      <c r="D296" t="inlineStr">
        <is>
          <t>DALARNAS LÄN</t>
        </is>
      </c>
      <c r="E296" t="inlineStr">
        <is>
          <t>LEKSAND</t>
        </is>
      </c>
      <c r="G296" t="n">
        <v>2.1</v>
      </c>
      <c r="H296" t="n">
        <v>0</v>
      </c>
      <c r="I296" t="n">
        <v>0</v>
      </c>
      <c r="J296" t="n">
        <v>0</v>
      </c>
      <c r="K296" t="n">
        <v>0</v>
      </c>
      <c r="L296" t="n">
        <v>0</v>
      </c>
      <c r="M296" t="n">
        <v>0</v>
      </c>
      <c r="N296" t="n">
        <v>0</v>
      </c>
      <c r="O296" t="n">
        <v>0</v>
      </c>
      <c r="P296" t="n">
        <v>0</v>
      </c>
      <c r="Q296" t="n">
        <v>0</v>
      </c>
      <c r="R296" s="2" t="inlineStr"/>
    </row>
    <row r="297" ht="15" customHeight="1">
      <c r="A297" t="inlineStr">
        <is>
          <t>A 2697-2026</t>
        </is>
      </c>
      <c r="B297" s="1" t="n">
        <v>46037.67550925926</v>
      </c>
      <c r="C297" s="1" t="n">
        <v>46043</v>
      </c>
      <c r="D297" t="inlineStr">
        <is>
          <t>DALARNAS LÄN</t>
        </is>
      </c>
      <c r="E297" t="inlineStr">
        <is>
          <t>LEKSAND</t>
        </is>
      </c>
      <c r="G297" t="n">
        <v>10</v>
      </c>
      <c r="H297" t="n">
        <v>0</v>
      </c>
      <c r="I297" t="n">
        <v>0</v>
      </c>
      <c r="J297" t="n">
        <v>0</v>
      </c>
      <c r="K297" t="n">
        <v>0</v>
      </c>
      <c r="L297" t="n">
        <v>0</v>
      </c>
      <c r="M297" t="n">
        <v>0</v>
      </c>
      <c r="N297" t="n">
        <v>0</v>
      </c>
      <c r="O297" t="n">
        <v>0</v>
      </c>
      <c r="P297" t="n">
        <v>0</v>
      </c>
      <c r="Q297" t="n">
        <v>0</v>
      </c>
      <c r="R297" s="2" t="inlineStr"/>
    </row>
    <row r="298" ht="15" customHeight="1">
      <c r="A298" t="inlineStr">
        <is>
          <t>A 2853-2026</t>
        </is>
      </c>
      <c r="B298" s="1" t="n">
        <v>46038.48278935185</v>
      </c>
      <c r="C298" s="1" t="n">
        <v>46043</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28913-2024</t>
        </is>
      </c>
      <c r="B299" s="1" t="n">
        <v>45480.75318287037</v>
      </c>
      <c r="C299" s="1" t="n">
        <v>46043</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46043</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24373-2025</t>
        </is>
      </c>
      <c r="B301" s="1" t="n">
        <v>45797.61113425926</v>
      </c>
      <c r="C301" s="1" t="n">
        <v>46043</v>
      </c>
      <c r="D301" t="inlineStr">
        <is>
          <t>DALARNAS LÄN</t>
        </is>
      </c>
      <c r="E301" t="inlineStr">
        <is>
          <t>LEKSAND</t>
        </is>
      </c>
      <c r="G301" t="n">
        <v>2.4</v>
      </c>
      <c r="H301" t="n">
        <v>0</v>
      </c>
      <c r="I301" t="n">
        <v>0</v>
      </c>
      <c r="J301" t="n">
        <v>0</v>
      </c>
      <c r="K301" t="n">
        <v>0</v>
      </c>
      <c r="L301" t="n">
        <v>0</v>
      </c>
      <c r="M301" t="n">
        <v>0</v>
      </c>
      <c r="N301" t="n">
        <v>0</v>
      </c>
      <c r="O301" t="n">
        <v>0</v>
      </c>
      <c r="P301" t="n">
        <v>0</v>
      </c>
      <c r="Q301" t="n">
        <v>0</v>
      </c>
      <c r="R301" s="2" t="inlineStr"/>
    </row>
    <row r="302" ht="15" customHeight="1">
      <c r="A302" t="inlineStr">
        <is>
          <t>A 43875-2025</t>
        </is>
      </c>
      <c r="B302" s="1" t="n">
        <v>45912.67685185185</v>
      </c>
      <c r="C302" s="1" t="n">
        <v>46043</v>
      </c>
      <c r="D302" t="inlineStr">
        <is>
          <t>DALARNAS LÄN</t>
        </is>
      </c>
      <c r="E302" t="inlineStr">
        <is>
          <t>LEKSAND</t>
        </is>
      </c>
      <c r="G302" t="n">
        <v>1.7</v>
      </c>
      <c r="H302" t="n">
        <v>0</v>
      </c>
      <c r="I302" t="n">
        <v>0</v>
      </c>
      <c r="J302" t="n">
        <v>0</v>
      </c>
      <c r="K302" t="n">
        <v>0</v>
      </c>
      <c r="L302" t="n">
        <v>0</v>
      </c>
      <c r="M302" t="n">
        <v>0</v>
      </c>
      <c r="N302" t="n">
        <v>0</v>
      </c>
      <c r="O302" t="n">
        <v>0</v>
      </c>
      <c r="P302" t="n">
        <v>0</v>
      </c>
      <c r="Q302" t="n">
        <v>0</v>
      </c>
      <c r="R302" s="2" t="inlineStr"/>
    </row>
    <row r="303" ht="15" customHeight="1">
      <c r="A303" t="inlineStr">
        <is>
          <t>A 43888-2025</t>
        </is>
      </c>
      <c r="B303" s="1" t="n">
        <v>45912</v>
      </c>
      <c r="C303" s="1" t="n">
        <v>46043</v>
      </c>
      <c r="D303" t="inlineStr">
        <is>
          <t>DALARNAS LÄN</t>
        </is>
      </c>
      <c r="E303" t="inlineStr">
        <is>
          <t>LEKSAND</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39921-2024</t>
        </is>
      </c>
      <c r="B304" s="1" t="n">
        <v>45553</v>
      </c>
      <c r="C304" s="1" t="n">
        <v>46043</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60544-2025</t>
        </is>
      </c>
      <c r="B305" s="1" t="n">
        <v>45995.68694444445</v>
      </c>
      <c r="C305" s="1" t="n">
        <v>46043</v>
      </c>
      <c r="D305" t="inlineStr">
        <is>
          <t>DALARNAS LÄN</t>
        </is>
      </c>
      <c r="E305" t="inlineStr">
        <is>
          <t>LEKSAND</t>
        </is>
      </c>
      <c r="G305" t="n">
        <v>4.4</v>
      </c>
      <c r="H305" t="n">
        <v>0</v>
      </c>
      <c r="I305" t="n">
        <v>0</v>
      </c>
      <c r="J305" t="n">
        <v>0</v>
      </c>
      <c r="K305" t="n">
        <v>0</v>
      </c>
      <c r="L305" t="n">
        <v>0</v>
      </c>
      <c r="M305" t="n">
        <v>0</v>
      </c>
      <c r="N305" t="n">
        <v>0</v>
      </c>
      <c r="O305" t="n">
        <v>0</v>
      </c>
      <c r="P305" t="n">
        <v>0</v>
      </c>
      <c r="Q305" t="n">
        <v>0</v>
      </c>
      <c r="R305" s="2" t="inlineStr"/>
    </row>
    <row r="306" ht="15" customHeight="1">
      <c r="A306" t="inlineStr">
        <is>
          <t>A 41015-2024</t>
        </is>
      </c>
      <c r="B306" s="1" t="n">
        <v>45559.32537037037</v>
      </c>
      <c r="C306" s="1" t="n">
        <v>46043</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43628-2025</t>
        </is>
      </c>
      <c r="B307" s="1" t="n">
        <v>45911.70060185185</v>
      </c>
      <c r="C307" s="1" t="n">
        <v>46043</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6050-2023</t>
        </is>
      </c>
      <c r="B308" s="1" t="n">
        <v>44959</v>
      </c>
      <c r="C308" s="1" t="n">
        <v>46043</v>
      </c>
      <c r="D308" t="inlineStr">
        <is>
          <t>DALARNAS LÄN</t>
        </is>
      </c>
      <c r="E308" t="inlineStr">
        <is>
          <t>LEKSAND</t>
        </is>
      </c>
      <c r="G308" t="n">
        <v>6.2</v>
      </c>
      <c r="H308" t="n">
        <v>0</v>
      </c>
      <c r="I308" t="n">
        <v>0</v>
      </c>
      <c r="J308" t="n">
        <v>0</v>
      </c>
      <c r="K308" t="n">
        <v>0</v>
      </c>
      <c r="L308" t="n">
        <v>0</v>
      </c>
      <c r="M308" t="n">
        <v>0</v>
      </c>
      <c r="N308" t="n">
        <v>0</v>
      </c>
      <c r="O308" t="n">
        <v>0</v>
      </c>
      <c r="P308" t="n">
        <v>0</v>
      </c>
      <c r="Q308" t="n">
        <v>0</v>
      </c>
      <c r="R308" s="2" t="inlineStr"/>
    </row>
    <row r="309" ht="15" customHeight="1">
      <c r="A309" t="inlineStr">
        <is>
          <t>A 27791-2023</t>
        </is>
      </c>
      <c r="B309" s="1" t="n">
        <v>45098</v>
      </c>
      <c r="C309" s="1" t="n">
        <v>46043</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44516-2025</t>
        </is>
      </c>
      <c r="B310" s="1" t="n">
        <v>45916.70982638889</v>
      </c>
      <c r="C310" s="1" t="n">
        <v>46043</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44519-2025</t>
        </is>
      </c>
      <c r="B311" s="1" t="n">
        <v>45916.71483796297</v>
      </c>
      <c r="C311" s="1" t="n">
        <v>46043</v>
      </c>
      <c r="D311" t="inlineStr">
        <is>
          <t>DALARNAS LÄN</t>
        </is>
      </c>
      <c r="E311" t="inlineStr">
        <is>
          <t>LEKSAND</t>
        </is>
      </c>
      <c r="G311" t="n">
        <v>3.6</v>
      </c>
      <c r="H311" t="n">
        <v>0</v>
      </c>
      <c r="I311" t="n">
        <v>0</v>
      </c>
      <c r="J311" t="n">
        <v>0</v>
      </c>
      <c r="K311" t="n">
        <v>0</v>
      </c>
      <c r="L311" t="n">
        <v>0</v>
      </c>
      <c r="M311" t="n">
        <v>0</v>
      </c>
      <c r="N311" t="n">
        <v>0</v>
      </c>
      <c r="O311" t="n">
        <v>0</v>
      </c>
      <c r="P311" t="n">
        <v>0</v>
      </c>
      <c r="Q311" t="n">
        <v>0</v>
      </c>
      <c r="R311" s="2" t="inlineStr"/>
    </row>
    <row r="312" ht="15" customHeight="1">
      <c r="A312" t="inlineStr">
        <is>
          <t>A 40868-2024</t>
        </is>
      </c>
      <c r="B312" s="1" t="n">
        <v>45558</v>
      </c>
      <c r="C312" s="1" t="n">
        <v>46043</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22646-2025</t>
        </is>
      </c>
      <c r="B313" s="1" t="n">
        <v>45786</v>
      </c>
      <c r="C313" s="1" t="n">
        <v>46043</v>
      </c>
      <c r="D313" t="inlineStr">
        <is>
          <t>DALARNAS LÄN</t>
        </is>
      </c>
      <c r="E313" t="inlineStr">
        <is>
          <t>LEKSAND</t>
        </is>
      </c>
      <c r="F313" t="inlineStr">
        <is>
          <t>Kommuner</t>
        </is>
      </c>
      <c r="G313" t="n">
        <v>1.6</v>
      </c>
      <c r="H313" t="n">
        <v>0</v>
      </c>
      <c r="I313" t="n">
        <v>0</v>
      </c>
      <c r="J313" t="n">
        <v>0</v>
      </c>
      <c r="K313" t="n">
        <v>0</v>
      </c>
      <c r="L313" t="n">
        <v>0</v>
      </c>
      <c r="M313" t="n">
        <v>0</v>
      </c>
      <c r="N313" t="n">
        <v>0</v>
      </c>
      <c r="O313" t="n">
        <v>0</v>
      </c>
      <c r="P313" t="n">
        <v>0</v>
      </c>
      <c r="Q313" t="n">
        <v>0</v>
      </c>
      <c r="R313" s="2" t="inlineStr"/>
    </row>
    <row r="314" ht="15" customHeight="1">
      <c r="A314" t="inlineStr">
        <is>
          <t>A 44237-2025</t>
        </is>
      </c>
      <c r="B314" s="1" t="n">
        <v>45915.6677199074</v>
      </c>
      <c r="C314" s="1" t="n">
        <v>46043</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14504-2025</t>
        </is>
      </c>
      <c r="B315" s="1" t="n">
        <v>45741</v>
      </c>
      <c r="C315" s="1" t="n">
        <v>46043</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3525-2026</t>
        </is>
      </c>
      <c r="B316" s="1" t="n">
        <v>46042.60645833334</v>
      </c>
      <c r="C316" s="1" t="n">
        <v>46043</v>
      </c>
      <c r="D316" t="inlineStr">
        <is>
          <t>DALARNAS LÄN</t>
        </is>
      </c>
      <c r="E316" t="inlineStr">
        <is>
          <t>LEKSAND</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40007-2024</t>
        </is>
      </c>
      <c r="B317" s="1" t="n">
        <v>45553.6516550926</v>
      </c>
      <c r="C317" s="1" t="n">
        <v>46043</v>
      </c>
      <c r="D317" t="inlineStr">
        <is>
          <t>DALARNAS LÄN</t>
        </is>
      </c>
      <c r="E317" t="inlineStr">
        <is>
          <t>LEKSAND</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24369-2025</t>
        </is>
      </c>
      <c r="B318" s="1" t="n">
        <v>45797.60731481481</v>
      </c>
      <c r="C318" s="1" t="n">
        <v>46043</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32072-2024</t>
        </is>
      </c>
      <c r="B319" s="1" t="n">
        <v>45510.98405092592</v>
      </c>
      <c r="C319" s="1" t="n">
        <v>46043</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44948-2025</t>
        </is>
      </c>
      <c r="B320" s="1" t="n">
        <v>45918.60555555556</v>
      </c>
      <c r="C320" s="1" t="n">
        <v>46043</v>
      </c>
      <c r="D320" t="inlineStr">
        <is>
          <t>DALARNAS LÄN</t>
        </is>
      </c>
      <c r="E320" t="inlineStr">
        <is>
          <t>LEKSAND</t>
        </is>
      </c>
      <c r="G320" t="n">
        <v>5.1</v>
      </c>
      <c r="H320" t="n">
        <v>0</v>
      </c>
      <c r="I320" t="n">
        <v>0</v>
      </c>
      <c r="J320" t="n">
        <v>0</v>
      </c>
      <c r="K320" t="n">
        <v>0</v>
      </c>
      <c r="L320" t="n">
        <v>0</v>
      </c>
      <c r="M320" t="n">
        <v>0</v>
      </c>
      <c r="N320" t="n">
        <v>0</v>
      </c>
      <c r="O320" t="n">
        <v>0</v>
      </c>
      <c r="P320" t="n">
        <v>0</v>
      </c>
      <c r="Q320" t="n">
        <v>0</v>
      </c>
      <c r="R320" s="2" t="inlineStr"/>
    </row>
    <row r="321" ht="15" customHeight="1">
      <c r="A321" t="inlineStr">
        <is>
          <t>A 3144-2026</t>
        </is>
      </c>
      <c r="B321" s="1" t="n">
        <v>46041.40858796296</v>
      </c>
      <c r="C321" s="1" t="n">
        <v>46043</v>
      </c>
      <c r="D321" t="inlineStr">
        <is>
          <t>DALARNAS LÄN</t>
        </is>
      </c>
      <c r="E321" t="inlineStr">
        <is>
          <t>LEKSAND</t>
        </is>
      </c>
      <c r="G321" t="n">
        <v>4.8</v>
      </c>
      <c r="H321" t="n">
        <v>0</v>
      </c>
      <c r="I321" t="n">
        <v>0</v>
      </c>
      <c r="J321" t="n">
        <v>0</v>
      </c>
      <c r="K321" t="n">
        <v>0</v>
      </c>
      <c r="L321" t="n">
        <v>0</v>
      </c>
      <c r="M321" t="n">
        <v>0</v>
      </c>
      <c r="N321" t="n">
        <v>0</v>
      </c>
      <c r="O321" t="n">
        <v>0</v>
      </c>
      <c r="P321" t="n">
        <v>0</v>
      </c>
      <c r="Q321" t="n">
        <v>0</v>
      </c>
      <c r="R321" s="2" t="inlineStr"/>
    </row>
    <row r="322" ht="15" customHeight="1">
      <c r="A322" t="inlineStr">
        <is>
          <t>A 1899-2026</t>
        </is>
      </c>
      <c r="B322" s="1" t="n">
        <v>46035</v>
      </c>
      <c r="C322" s="1" t="n">
        <v>46043</v>
      </c>
      <c r="D322" t="inlineStr">
        <is>
          <t>DALARNAS LÄN</t>
        </is>
      </c>
      <c r="E322" t="inlineStr">
        <is>
          <t>LEKSAND</t>
        </is>
      </c>
      <c r="G322" t="n">
        <v>3.6</v>
      </c>
      <c r="H322" t="n">
        <v>0</v>
      </c>
      <c r="I322" t="n">
        <v>0</v>
      </c>
      <c r="J322" t="n">
        <v>0</v>
      </c>
      <c r="K322" t="n">
        <v>0</v>
      </c>
      <c r="L322" t="n">
        <v>0</v>
      </c>
      <c r="M322" t="n">
        <v>0</v>
      </c>
      <c r="N322" t="n">
        <v>0</v>
      </c>
      <c r="O322" t="n">
        <v>0</v>
      </c>
      <c r="P322" t="n">
        <v>0</v>
      </c>
      <c r="Q322" t="n">
        <v>0</v>
      </c>
      <c r="R322" s="2" t="inlineStr"/>
    </row>
    <row r="323" ht="15" customHeight="1">
      <c r="A323" t="inlineStr">
        <is>
          <t>A 13165-2023</t>
        </is>
      </c>
      <c r="B323" s="1" t="n">
        <v>45002.57731481481</v>
      </c>
      <c r="C323" s="1" t="n">
        <v>46043</v>
      </c>
      <c r="D323" t="inlineStr">
        <is>
          <t>DALARNAS LÄN</t>
        </is>
      </c>
      <c r="E323" t="inlineStr">
        <is>
          <t>LEKSAND</t>
        </is>
      </c>
      <c r="G323" t="n">
        <v>2.4</v>
      </c>
      <c r="H323" t="n">
        <v>0</v>
      </c>
      <c r="I323" t="n">
        <v>0</v>
      </c>
      <c r="J323" t="n">
        <v>0</v>
      </c>
      <c r="K323" t="n">
        <v>0</v>
      </c>
      <c r="L323" t="n">
        <v>0</v>
      </c>
      <c r="M323" t="n">
        <v>0</v>
      </c>
      <c r="N323" t="n">
        <v>0</v>
      </c>
      <c r="O323" t="n">
        <v>0</v>
      </c>
      <c r="P323" t="n">
        <v>0</v>
      </c>
      <c r="Q323" t="n">
        <v>0</v>
      </c>
      <c r="R323" s="2" t="inlineStr"/>
    </row>
    <row r="324" ht="15" customHeight="1">
      <c r="A324" t="inlineStr">
        <is>
          <t>A 7467-2023</t>
        </is>
      </c>
      <c r="B324" s="1" t="n">
        <v>44966</v>
      </c>
      <c r="C324" s="1" t="n">
        <v>46043</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45788-2021</t>
        </is>
      </c>
      <c r="B325" s="1" t="n">
        <v>44441</v>
      </c>
      <c r="C325" s="1" t="n">
        <v>46043</v>
      </c>
      <c r="D325" t="inlineStr">
        <is>
          <t>DALARNAS LÄN</t>
        </is>
      </c>
      <c r="E325" t="inlineStr">
        <is>
          <t>LEKSAND</t>
        </is>
      </c>
      <c r="G325" t="n">
        <v>3</v>
      </c>
      <c r="H325" t="n">
        <v>0</v>
      </c>
      <c r="I325" t="n">
        <v>0</v>
      </c>
      <c r="J325" t="n">
        <v>0</v>
      </c>
      <c r="K325" t="n">
        <v>0</v>
      </c>
      <c r="L325" t="n">
        <v>0</v>
      </c>
      <c r="M325" t="n">
        <v>0</v>
      </c>
      <c r="N325" t="n">
        <v>0</v>
      </c>
      <c r="O325" t="n">
        <v>0</v>
      </c>
      <c r="P325" t="n">
        <v>0</v>
      </c>
      <c r="Q325" t="n">
        <v>0</v>
      </c>
      <c r="R325" s="2" t="inlineStr"/>
    </row>
    <row r="326" ht="15" customHeight="1">
      <c r="A326" t="inlineStr">
        <is>
          <t>A 1983-2026</t>
        </is>
      </c>
      <c r="B326" s="1" t="n">
        <v>46035</v>
      </c>
      <c r="C326" s="1" t="n">
        <v>46043</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44672-2025</t>
        </is>
      </c>
      <c r="B327" s="1" t="n">
        <v>45917.56780092593</v>
      </c>
      <c r="C327" s="1" t="n">
        <v>46043</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46043</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3244-2026</t>
        </is>
      </c>
      <c r="B329" s="1" t="n">
        <v>46041.5733912037</v>
      </c>
      <c r="C329" s="1" t="n">
        <v>46043</v>
      </c>
      <c r="D329" t="inlineStr">
        <is>
          <t>DALARNAS LÄN</t>
        </is>
      </c>
      <c r="E329" t="inlineStr">
        <is>
          <t>LEKSAND</t>
        </is>
      </c>
      <c r="G329" t="n">
        <v>0.6</v>
      </c>
      <c r="H329" t="n">
        <v>0</v>
      </c>
      <c r="I329" t="n">
        <v>0</v>
      </c>
      <c r="J329" t="n">
        <v>0</v>
      </c>
      <c r="K329" t="n">
        <v>0</v>
      </c>
      <c r="L329" t="n">
        <v>0</v>
      </c>
      <c r="M329" t="n">
        <v>0</v>
      </c>
      <c r="N329" t="n">
        <v>0</v>
      </c>
      <c r="O329" t="n">
        <v>0</v>
      </c>
      <c r="P329" t="n">
        <v>0</v>
      </c>
      <c r="Q329" t="n">
        <v>0</v>
      </c>
      <c r="R329" s="2" t="inlineStr"/>
    </row>
    <row r="330" ht="15" customHeight="1">
      <c r="A330" t="inlineStr">
        <is>
          <t>A 45300-2025</t>
        </is>
      </c>
      <c r="B330" s="1" t="n">
        <v>45921.30490740741</v>
      </c>
      <c r="C330" s="1" t="n">
        <v>46043</v>
      </c>
      <c r="D330" t="inlineStr">
        <is>
          <t>DALARNAS LÄN</t>
        </is>
      </c>
      <c r="E330" t="inlineStr">
        <is>
          <t>LEKSAND</t>
        </is>
      </c>
      <c r="G330" t="n">
        <v>2.3</v>
      </c>
      <c r="H330" t="n">
        <v>0</v>
      </c>
      <c r="I330" t="n">
        <v>0</v>
      </c>
      <c r="J330" t="n">
        <v>0</v>
      </c>
      <c r="K330" t="n">
        <v>0</v>
      </c>
      <c r="L330" t="n">
        <v>0</v>
      </c>
      <c r="M330" t="n">
        <v>0</v>
      </c>
      <c r="N330" t="n">
        <v>0</v>
      </c>
      <c r="O330" t="n">
        <v>0</v>
      </c>
      <c r="P330" t="n">
        <v>0</v>
      </c>
      <c r="Q330" t="n">
        <v>0</v>
      </c>
      <c r="R330" s="2" t="inlineStr"/>
    </row>
    <row r="331" ht="15" customHeight="1">
      <c r="A331" t="inlineStr">
        <is>
          <t>A 28592-2023</t>
        </is>
      </c>
      <c r="B331" s="1" t="n">
        <v>45103</v>
      </c>
      <c r="C331" s="1" t="n">
        <v>46043</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45381-2025</t>
        </is>
      </c>
      <c r="B332" s="1" t="n">
        <v>45922.39989583333</v>
      </c>
      <c r="C332" s="1" t="n">
        <v>46043</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3061-2026</t>
        </is>
      </c>
      <c r="B333" s="1" t="n">
        <v>46039.95699074074</v>
      </c>
      <c r="C333" s="1" t="n">
        <v>46043</v>
      </c>
      <c r="D333" t="inlineStr">
        <is>
          <t>DALARNAS LÄN</t>
        </is>
      </c>
      <c r="E333" t="inlineStr">
        <is>
          <t>LEKSAND</t>
        </is>
      </c>
      <c r="G333" t="n">
        <v>1.1</v>
      </c>
      <c r="H333" t="n">
        <v>0</v>
      </c>
      <c r="I333" t="n">
        <v>0</v>
      </c>
      <c r="J333" t="n">
        <v>0</v>
      </c>
      <c r="K333" t="n">
        <v>0</v>
      </c>
      <c r="L333" t="n">
        <v>0</v>
      </c>
      <c r="M333" t="n">
        <v>0</v>
      </c>
      <c r="N333" t="n">
        <v>0</v>
      </c>
      <c r="O333" t="n">
        <v>0</v>
      </c>
      <c r="P333" t="n">
        <v>0</v>
      </c>
      <c r="Q333" t="n">
        <v>0</v>
      </c>
      <c r="R333" s="2" t="inlineStr"/>
    </row>
    <row r="334" ht="15" customHeight="1">
      <c r="A334" t="inlineStr">
        <is>
          <t>A 45318-2025</t>
        </is>
      </c>
      <c r="B334" s="1" t="n">
        <v>45921.85230324074</v>
      </c>
      <c r="C334" s="1" t="n">
        <v>46043</v>
      </c>
      <c r="D334" t="inlineStr">
        <is>
          <t>DALARNAS LÄN</t>
        </is>
      </c>
      <c r="E334" t="inlineStr">
        <is>
          <t>LEKSAND</t>
        </is>
      </c>
      <c r="G334" t="n">
        <v>0.6</v>
      </c>
      <c r="H334" t="n">
        <v>0</v>
      </c>
      <c r="I334" t="n">
        <v>0</v>
      </c>
      <c r="J334" t="n">
        <v>0</v>
      </c>
      <c r="K334" t="n">
        <v>0</v>
      </c>
      <c r="L334" t="n">
        <v>0</v>
      </c>
      <c r="M334" t="n">
        <v>0</v>
      </c>
      <c r="N334" t="n">
        <v>0</v>
      </c>
      <c r="O334" t="n">
        <v>0</v>
      </c>
      <c r="P334" t="n">
        <v>0</v>
      </c>
      <c r="Q334" t="n">
        <v>0</v>
      </c>
      <c r="R334" s="2" t="inlineStr"/>
    </row>
    <row r="335" ht="15" customHeight="1">
      <c r="A335" t="inlineStr">
        <is>
          <t>A 24715-2025</t>
        </is>
      </c>
      <c r="B335" s="1" t="n">
        <v>45798.97899305556</v>
      </c>
      <c r="C335" s="1" t="n">
        <v>46043</v>
      </c>
      <c r="D335" t="inlineStr">
        <is>
          <t>DALARNAS LÄN</t>
        </is>
      </c>
      <c r="E335" t="inlineStr">
        <is>
          <t>LEKSAND</t>
        </is>
      </c>
      <c r="G335" t="n">
        <v>8.4</v>
      </c>
      <c r="H335" t="n">
        <v>0</v>
      </c>
      <c r="I335" t="n">
        <v>0</v>
      </c>
      <c r="J335" t="n">
        <v>0</v>
      </c>
      <c r="K335" t="n">
        <v>0</v>
      </c>
      <c r="L335" t="n">
        <v>0</v>
      </c>
      <c r="M335" t="n">
        <v>0</v>
      </c>
      <c r="N335" t="n">
        <v>0</v>
      </c>
      <c r="O335" t="n">
        <v>0</v>
      </c>
      <c r="P335" t="n">
        <v>0</v>
      </c>
      <c r="Q335" t="n">
        <v>0</v>
      </c>
      <c r="R335" s="2" t="inlineStr"/>
    </row>
    <row r="336" ht="15" customHeight="1">
      <c r="A336" t="inlineStr">
        <is>
          <t>A 3240-2026</t>
        </is>
      </c>
      <c r="B336" s="1" t="n">
        <v>46041.56834490741</v>
      </c>
      <c r="C336" s="1" t="n">
        <v>46043</v>
      </c>
      <c r="D336" t="inlineStr">
        <is>
          <t>DALARNAS LÄN</t>
        </is>
      </c>
      <c r="E336" t="inlineStr">
        <is>
          <t>LEKSAND</t>
        </is>
      </c>
      <c r="G336" t="n">
        <v>6.1</v>
      </c>
      <c r="H336" t="n">
        <v>0</v>
      </c>
      <c r="I336" t="n">
        <v>0</v>
      </c>
      <c r="J336" t="n">
        <v>0</v>
      </c>
      <c r="K336" t="n">
        <v>0</v>
      </c>
      <c r="L336" t="n">
        <v>0</v>
      </c>
      <c r="M336" t="n">
        <v>0</v>
      </c>
      <c r="N336" t="n">
        <v>0</v>
      </c>
      <c r="O336" t="n">
        <v>0</v>
      </c>
      <c r="P336" t="n">
        <v>0</v>
      </c>
      <c r="Q336" t="n">
        <v>0</v>
      </c>
      <c r="R336" s="2" t="inlineStr"/>
    </row>
    <row r="337" ht="15" customHeight="1">
      <c r="A337" t="inlineStr">
        <is>
          <t>A 3516-2026</t>
        </is>
      </c>
      <c r="B337" s="1" t="n">
        <v>46042.58835648148</v>
      </c>
      <c r="C337" s="1" t="n">
        <v>46043</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2630-2025</t>
        </is>
      </c>
      <c r="B338" s="1" t="n">
        <v>45675.85865740741</v>
      </c>
      <c r="C338" s="1" t="n">
        <v>46043</v>
      </c>
      <c r="D338" t="inlineStr">
        <is>
          <t>DALARNAS LÄN</t>
        </is>
      </c>
      <c r="E338" t="inlineStr">
        <is>
          <t>LEKSAND</t>
        </is>
      </c>
      <c r="G338" t="n">
        <v>1.6</v>
      </c>
      <c r="H338" t="n">
        <v>0</v>
      </c>
      <c r="I338" t="n">
        <v>0</v>
      </c>
      <c r="J338" t="n">
        <v>0</v>
      </c>
      <c r="K338" t="n">
        <v>0</v>
      </c>
      <c r="L338" t="n">
        <v>0</v>
      </c>
      <c r="M338" t="n">
        <v>0</v>
      </c>
      <c r="N338" t="n">
        <v>0</v>
      </c>
      <c r="O338" t="n">
        <v>0</v>
      </c>
      <c r="P338" t="n">
        <v>0</v>
      </c>
      <c r="Q338" t="n">
        <v>0</v>
      </c>
      <c r="R338" s="2" t="inlineStr"/>
    </row>
    <row r="339" ht="15" customHeight="1">
      <c r="A339" t="inlineStr">
        <is>
          <t>A 46176-2025</t>
        </is>
      </c>
      <c r="B339" s="1" t="n">
        <v>45924.65101851852</v>
      </c>
      <c r="C339" s="1" t="n">
        <v>46043</v>
      </c>
      <c r="D339" t="inlineStr">
        <is>
          <t>DALARNAS LÄN</t>
        </is>
      </c>
      <c r="E339" t="inlineStr">
        <is>
          <t>LEKSAND</t>
        </is>
      </c>
      <c r="G339" t="n">
        <v>2.4</v>
      </c>
      <c r="H339" t="n">
        <v>0</v>
      </c>
      <c r="I339" t="n">
        <v>0</v>
      </c>
      <c r="J339" t="n">
        <v>0</v>
      </c>
      <c r="K339" t="n">
        <v>0</v>
      </c>
      <c r="L339" t="n">
        <v>0</v>
      </c>
      <c r="M339" t="n">
        <v>0</v>
      </c>
      <c r="N339" t="n">
        <v>0</v>
      </c>
      <c r="O339" t="n">
        <v>0</v>
      </c>
      <c r="P339" t="n">
        <v>0</v>
      </c>
      <c r="Q339" t="n">
        <v>0</v>
      </c>
      <c r="R339" s="2" t="inlineStr"/>
    </row>
    <row r="340" ht="15" customHeight="1">
      <c r="A340" t="inlineStr">
        <is>
          <t>A 1441-2026</t>
        </is>
      </c>
      <c r="B340" s="1" t="n">
        <v>46032</v>
      </c>
      <c r="C340" s="1" t="n">
        <v>46043</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13063-2023</t>
        </is>
      </c>
      <c r="B341" s="1" t="n">
        <v>45001</v>
      </c>
      <c r="C341" s="1" t="n">
        <v>46043</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25096-2025</t>
        </is>
      </c>
      <c r="B342" s="1" t="n">
        <v>45800.33868055556</v>
      </c>
      <c r="C342" s="1" t="n">
        <v>46043</v>
      </c>
      <c r="D342" t="inlineStr">
        <is>
          <t>DALARNAS LÄN</t>
        </is>
      </c>
      <c r="E342" t="inlineStr">
        <is>
          <t>LEKSAND</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42727-2024</t>
        </is>
      </c>
      <c r="B343" s="1" t="n">
        <v>45566</v>
      </c>
      <c r="C343" s="1" t="n">
        <v>46043</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36444-2023</t>
        </is>
      </c>
      <c r="B344" s="1" t="n">
        <v>45152.63138888889</v>
      </c>
      <c r="C344" s="1" t="n">
        <v>46043</v>
      </c>
      <c r="D344" t="inlineStr">
        <is>
          <t>DALARNAS LÄN</t>
        </is>
      </c>
      <c r="E344" t="inlineStr">
        <is>
          <t>LEKSAND</t>
        </is>
      </c>
      <c r="G344" t="n">
        <v>0.5</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46043</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40407-2024</t>
        </is>
      </c>
      <c r="B346" s="1" t="n">
        <v>45555</v>
      </c>
      <c r="C346" s="1" t="n">
        <v>46043</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46483-2025</t>
        </is>
      </c>
      <c r="B347" s="1" t="n">
        <v>45925.70248842592</v>
      </c>
      <c r="C347" s="1" t="n">
        <v>46043</v>
      </c>
      <c r="D347" t="inlineStr">
        <is>
          <t>DALARNAS LÄN</t>
        </is>
      </c>
      <c r="E347" t="inlineStr">
        <is>
          <t>LEKSAND</t>
        </is>
      </c>
      <c r="G347" t="n">
        <v>3.6</v>
      </c>
      <c r="H347" t="n">
        <v>0</v>
      </c>
      <c r="I347" t="n">
        <v>0</v>
      </c>
      <c r="J347" t="n">
        <v>0</v>
      </c>
      <c r="K347" t="n">
        <v>0</v>
      </c>
      <c r="L347" t="n">
        <v>0</v>
      </c>
      <c r="M347" t="n">
        <v>0</v>
      </c>
      <c r="N347" t="n">
        <v>0</v>
      </c>
      <c r="O347" t="n">
        <v>0</v>
      </c>
      <c r="P347" t="n">
        <v>0</v>
      </c>
      <c r="Q347" t="n">
        <v>0</v>
      </c>
      <c r="R347" s="2" t="inlineStr"/>
    </row>
    <row r="348" ht="15" customHeight="1">
      <c r="A348" t="inlineStr">
        <is>
          <t>A 25105-2025</t>
        </is>
      </c>
      <c r="B348" s="1" t="n">
        <v>45800.34751157407</v>
      </c>
      <c r="C348" s="1" t="n">
        <v>46043</v>
      </c>
      <c r="D348" t="inlineStr">
        <is>
          <t>DALARNAS LÄN</t>
        </is>
      </c>
      <c r="E348" t="inlineStr">
        <is>
          <t>LEKSAND</t>
        </is>
      </c>
      <c r="F348" t="inlineStr">
        <is>
          <t>Bergvik skog väst AB</t>
        </is>
      </c>
      <c r="G348" t="n">
        <v>1.8</v>
      </c>
      <c r="H348" t="n">
        <v>0</v>
      </c>
      <c r="I348" t="n">
        <v>0</v>
      </c>
      <c r="J348" t="n">
        <v>0</v>
      </c>
      <c r="K348" t="n">
        <v>0</v>
      </c>
      <c r="L348" t="n">
        <v>0</v>
      </c>
      <c r="M348" t="n">
        <v>0</v>
      </c>
      <c r="N348" t="n">
        <v>0</v>
      </c>
      <c r="O348" t="n">
        <v>0</v>
      </c>
      <c r="P348" t="n">
        <v>0</v>
      </c>
      <c r="Q348" t="n">
        <v>0</v>
      </c>
      <c r="R348" s="2" t="inlineStr"/>
    </row>
    <row r="349" ht="15" customHeight="1">
      <c r="A349" t="inlineStr">
        <is>
          <t>A 46628-2024</t>
        </is>
      </c>
      <c r="B349" s="1" t="n">
        <v>45583.33195601852</v>
      </c>
      <c r="C349" s="1" t="n">
        <v>46043</v>
      </c>
      <c r="D349" t="inlineStr">
        <is>
          <t>DALARNAS LÄN</t>
        </is>
      </c>
      <c r="E349" t="inlineStr">
        <is>
          <t>LEKSAND</t>
        </is>
      </c>
      <c r="G349" t="n">
        <v>0.2</v>
      </c>
      <c r="H349" t="n">
        <v>0</v>
      </c>
      <c r="I349" t="n">
        <v>0</v>
      </c>
      <c r="J349" t="n">
        <v>0</v>
      </c>
      <c r="K349" t="n">
        <v>0</v>
      </c>
      <c r="L349" t="n">
        <v>0</v>
      </c>
      <c r="M349" t="n">
        <v>0</v>
      </c>
      <c r="N349" t="n">
        <v>0</v>
      </c>
      <c r="O349" t="n">
        <v>0</v>
      </c>
      <c r="P349" t="n">
        <v>0</v>
      </c>
      <c r="Q349" t="n">
        <v>0</v>
      </c>
      <c r="R349" s="2" t="inlineStr"/>
    </row>
    <row r="350" ht="15" customHeight="1">
      <c r="A350" t="inlineStr">
        <is>
          <t>A 46978-2025</t>
        </is>
      </c>
      <c r="B350" s="1" t="n">
        <v>45929.51811342593</v>
      </c>
      <c r="C350" s="1" t="n">
        <v>46043</v>
      </c>
      <c r="D350" t="inlineStr">
        <is>
          <t>DALARNAS LÄN</t>
        </is>
      </c>
      <c r="E350" t="inlineStr">
        <is>
          <t>LEKSAND</t>
        </is>
      </c>
      <c r="G350" t="n">
        <v>2</v>
      </c>
      <c r="H350" t="n">
        <v>0</v>
      </c>
      <c r="I350" t="n">
        <v>0</v>
      </c>
      <c r="J350" t="n">
        <v>0</v>
      </c>
      <c r="K350" t="n">
        <v>0</v>
      </c>
      <c r="L350" t="n">
        <v>0</v>
      </c>
      <c r="M350" t="n">
        <v>0</v>
      </c>
      <c r="N350" t="n">
        <v>0</v>
      </c>
      <c r="O350" t="n">
        <v>0</v>
      </c>
      <c r="P350" t="n">
        <v>0</v>
      </c>
      <c r="Q350" t="n">
        <v>0</v>
      </c>
      <c r="R350" s="2" t="inlineStr"/>
    </row>
    <row r="351" ht="15" customHeight="1">
      <c r="A351" t="inlineStr">
        <is>
          <t>A 9141-2023</t>
        </is>
      </c>
      <c r="B351" s="1" t="n">
        <v>44974</v>
      </c>
      <c r="C351" s="1" t="n">
        <v>46043</v>
      </c>
      <c r="D351" t="inlineStr">
        <is>
          <t>DALARNAS LÄN</t>
        </is>
      </c>
      <c r="E351" t="inlineStr">
        <is>
          <t>LEKSAND</t>
        </is>
      </c>
      <c r="G351" t="n">
        <v>1.9</v>
      </c>
      <c r="H351" t="n">
        <v>0</v>
      </c>
      <c r="I351" t="n">
        <v>0</v>
      </c>
      <c r="J351" t="n">
        <v>0</v>
      </c>
      <c r="K351" t="n">
        <v>0</v>
      </c>
      <c r="L351" t="n">
        <v>0</v>
      </c>
      <c r="M351" t="n">
        <v>0</v>
      </c>
      <c r="N351" t="n">
        <v>0</v>
      </c>
      <c r="O351" t="n">
        <v>0</v>
      </c>
      <c r="P351" t="n">
        <v>0</v>
      </c>
      <c r="Q351" t="n">
        <v>0</v>
      </c>
      <c r="R351" s="2" t="inlineStr"/>
    </row>
    <row r="352" ht="15" customHeight="1">
      <c r="A352" t="inlineStr">
        <is>
          <t>A 54844-2021</t>
        </is>
      </c>
      <c r="B352" s="1" t="n">
        <v>44474.30614583333</v>
      </c>
      <c r="C352" s="1" t="n">
        <v>46043</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8211-2023</t>
        </is>
      </c>
      <c r="B353" s="1" t="n">
        <v>44974</v>
      </c>
      <c r="C353" s="1" t="n">
        <v>46043</v>
      </c>
      <c r="D353" t="inlineStr">
        <is>
          <t>DALARNAS LÄN</t>
        </is>
      </c>
      <c r="E353" t="inlineStr">
        <is>
          <t>LEKSAND</t>
        </is>
      </c>
      <c r="G353" t="n">
        <v>5.2</v>
      </c>
      <c r="H353" t="n">
        <v>0</v>
      </c>
      <c r="I353" t="n">
        <v>0</v>
      </c>
      <c r="J353" t="n">
        <v>0</v>
      </c>
      <c r="K353" t="n">
        <v>0</v>
      </c>
      <c r="L353" t="n">
        <v>0</v>
      </c>
      <c r="M353" t="n">
        <v>0</v>
      </c>
      <c r="N353" t="n">
        <v>0</v>
      </c>
      <c r="O353" t="n">
        <v>0</v>
      </c>
      <c r="P353" t="n">
        <v>0</v>
      </c>
      <c r="Q353" t="n">
        <v>0</v>
      </c>
      <c r="R353" s="2" t="inlineStr"/>
    </row>
    <row r="354" ht="15" customHeight="1">
      <c r="A354" t="inlineStr">
        <is>
          <t>A 31255-2023</t>
        </is>
      </c>
      <c r="B354" s="1" t="n">
        <v>45114.36729166667</v>
      </c>
      <c r="C354" s="1" t="n">
        <v>46043</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47068-2025</t>
        </is>
      </c>
      <c r="B355" s="1" t="n">
        <v>45929.63511574074</v>
      </c>
      <c r="C355" s="1" t="n">
        <v>46043</v>
      </c>
      <c r="D355" t="inlineStr">
        <is>
          <t>DALARNAS LÄN</t>
        </is>
      </c>
      <c r="E355" t="inlineStr">
        <is>
          <t>LEKSAND</t>
        </is>
      </c>
      <c r="G355" t="n">
        <v>3.4</v>
      </c>
      <c r="H355" t="n">
        <v>0</v>
      </c>
      <c r="I355" t="n">
        <v>0</v>
      </c>
      <c r="J355" t="n">
        <v>0</v>
      </c>
      <c r="K355" t="n">
        <v>0</v>
      </c>
      <c r="L355" t="n">
        <v>0</v>
      </c>
      <c r="M355" t="n">
        <v>0</v>
      </c>
      <c r="N355" t="n">
        <v>0</v>
      </c>
      <c r="O355" t="n">
        <v>0</v>
      </c>
      <c r="P355" t="n">
        <v>0</v>
      </c>
      <c r="Q355" t="n">
        <v>0</v>
      </c>
      <c r="R355" s="2" t="inlineStr"/>
    </row>
    <row r="356" ht="15" customHeight="1">
      <c r="A356" t="inlineStr">
        <is>
          <t>A 46949-2025</t>
        </is>
      </c>
      <c r="B356" s="1" t="n">
        <v>45929.46811342592</v>
      </c>
      <c r="C356" s="1" t="n">
        <v>46043</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25610-2025</t>
        </is>
      </c>
      <c r="B357" s="1" t="n">
        <v>45803.56033564815</v>
      </c>
      <c r="C357" s="1" t="n">
        <v>46043</v>
      </c>
      <c r="D357" t="inlineStr">
        <is>
          <t>DALARNAS LÄN</t>
        </is>
      </c>
      <c r="E357" t="inlineStr">
        <is>
          <t>LEKSAND</t>
        </is>
      </c>
      <c r="G357" t="n">
        <v>5.2</v>
      </c>
      <c r="H357" t="n">
        <v>0</v>
      </c>
      <c r="I357" t="n">
        <v>0</v>
      </c>
      <c r="J357" t="n">
        <v>0</v>
      </c>
      <c r="K357" t="n">
        <v>0</v>
      </c>
      <c r="L357" t="n">
        <v>0</v>
      </c>
      <c r="M357" t="n">
        <v>0</v>
      </c>
      <c r="N357" t="n">
        <v>0</v>
      </c>
      <c r="O357" t="n">
        <v>0</v>
      </c>
      <c r="P357" t="n">
        <v>0</v>
      </c>
      <c r="Q357" t="n">
        <v>0</v>
      </c>
      <c r="R357" s="2" t="inlineStr"/>
    </row>
    <row r="358" ht="15" customHeight="1">
      <c r="A358" t="inlineStr">
        <is>
          <t>A 46665-2023</t>
        </is>
      </c>
      <c r="B358" s="1" t="n">
        <v>45198.47399305556</v>
      </c>
      <c r="C358" s="1" t="n">
        <v>46043</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47976-2025</t>
        </is>
      </c>
      <c r="B359" s="1" t="n">
        <v>45932.60846064815</v>
      </c>
      <c r="C359" s="1" t="n">
        <v>46043</v>
      </c>
      <c r="D359" t="inlineStr">
        <is>
          <t>DALARNAS LÄN</t>
        </is>
      </c>
      <c r="E359" t="inlineStr">
        <is>
          <t>LEKSAND</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47977-2025</t>
        </is>
      </c>
      <c r="B360" s="1" t="n">
        <v>45932.60920138889</v>
      </c>
      <c r="C360" s="1" t="n">
        <v>46043</v>
      </c>
      <c r="D360" t="inlineStr">
        <is>
          <t>DALARNAS LÄN</t>
        </is>
      </c>
      <c r="E360" t="inlineStr">
        <is>
          <t>LEKSAND</t>
        </is>
      </c>
      <c r="F360" t="inlineStr">
        <is>
          <t>Bergvik skog väst AB</t>
        </is>
      </c>
      <c r="G360" t="n">
        <v>0.2</v>
      </c>
      <c r="H360" t="n">
        <v>0</v>
      </c>
      <c r="I360" t="n">
        <v>0</v>
      </c>
      <c r="J360" t="n">
        <v>0</v>
      </c>
      <c r="K360" t="n">
        <v>0</v>
      </c>
      <c r="L360" t="n">
        <v>0</v>
      </c>
      <c r="M360" t="n">
        <v>0</v>
      </c>
      <c r="N360" t="n">
        <v>0</v>
      </c>
      <c r="O360" t="n">
        <v>0</v>
      </c>
      <c r="P360" t="n">
        <v>0</v>
      </c>
      <c r="Q360" t="n">
        <v>0</v>
      </c>
      <c r="R360" s="2" t="inlineStr"/>
    </row>
    <row r="361" ht="15" customHeight="1">
      <c r="A361" t="inlineStr">
        <is>
          <t>A 14615-2024</t>
        </is>
      </c>
      <c r="B361" s="1" t="n">
        <v>45397.26047453703</v>
      </c>
      <c r="C361" s="1" t="n">
        <v>46043</v>
      </c>
      <c r="D361" t="inlineStr">
        <is>
          <t>DALARNAS LÄN</t>
        </is>
      </c>
      <c r="E361" t="inlineStr">
        <is>
          <t>LEKSAND</t>
        </is>
      </c>
      <c r="G361" t="n">
        <v>0.4</v>
      </c>
      <c r="H361" t="n">
        <v>0</v>
      </c>
      <c r="I361" t="n">
        <v>0</v>
      </c>
      <c r="J361" t="n">
        <v>0</v>
      </c>
      <c r="K361" t="n">
        <v>0</v>
      </c>
      <c r="L361" t="n">
        <v>0</v>
      </c>
      <c r="M361" t="n">
        <v>0</v>
      </c>
      <c r="N361" t="n">
        <v>0</v>
      </c>
      <c r="O361" t="n">
        <v>0</v>
      </c>
      <c r="P361" t="n">
        <v>0</v>
      </c>
      <c r="Q361" t="n">
        <v>0</v>
      </c>
      <c r="R361" s="2" t="inlineStr"/>
    </row>
    <row r="362" ht="15" customHeight="1">
      <c r="A362" t="inlineStr">
        <is>
          <t>A 30863-2024</t>
        </is>
      </c>
      <c r="B362" s="1" t="n">
        <v>45497.71074074074</v>
      </c>
      <c r="C362" s="1" t="n">
        <v>46043</v>
      </c>
      <c r="D362" t="inlineStr">
        <is>
          <t>DALARNAS LÄN</t>
        </is>
      </c>
      <c r="E362" t="inlineStr">
        <is>
          <t>LEKSAND</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48421-2025</t>
        </is>
      </c>
      <c r="B363" s="1" t="n">
        <v>45934.67564814815</v>
      </c>
      <c r="C363" s="1" t="n">
        <v>46043</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54289-2023</t>
        </is>
      </c>
      <c r="B364" s="1" t="n">
        <v>45232.71193287037</v>
      </c>
      <c r="C364" s="1" t="n">
        <v>46043</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57927-2024</t>
        </is>
      </c>
      <c r="B365" s="1" t="n">
        <v>45630</v>
      </c>
      <c r="C365" s="1" t="n">
        <v>46043</v>
      </c>
      <c r="D365" t="inlineStr">
        <is>
          <t>DALARNAS LÄN</t>
        </is>
      </c>
      <c r="E365" t="inlineStr">
        <is>
          <t>LEKSAND</t>
        </is>
      </c>
      <c r="G365" t="n">
        <v>0.2</v>
      </c>
      <c r="H365" t="n">
        <v>0</v>
      </c>
      <c r="I365" t="n">
        <v>0</v>
      </c>
      <c r="J365" t="n">
        <v>0</v>
      </c>
      <c r="K365" t="n">
        <v>0</v>
      </c>
      <c r="L365" t="n">
        <v>0</v>
      </c>
      <c r="M365" t="n">
        <v>0</v>
      </c>
      <c r="N365" t="n">
        <v>0</v>
      </c>
      <c r="O365" t="n">
        <v>0</v>
      </c>
      <c r="P365" t="n">
        <v>0</v>
      </c>
      <c r="Q365" t="n">
        <v>0</v>
      </c>
      <c r="R365" s="2" t="inlineStr"/>
    </row>
    <row r="366" ht="15" customHeight="1">
      <c r="A366" t="inlineStr">
        <is>
          <t>A 29157-2022</t>
        </is>
      </c>
      <c r="B366" s="1" t="n">
        <v>44750.48355324074</v>
      </c>
      <c r="C366" s="1" t="n">
        <v>46043</v>
      </c>
      <c r="D366" t="inlineStr">
        <is>
          <t>DALARNAS LÄN</t>
        </is>
      </c>
      <c r="E366" t="inlineStr">
        <is>
          <t>LEKSAND</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57930-2024</t>
        </is>
      </c>
      <c r="B367" s="1" t="n">
        <v>45630</v>
      </c>
      <c r="C367" s="1" t="n">
        <v>46043</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48829-2025</t>
        </is>
      </c>
      <c r="B368" s="1" t="n">
        <v>45936</v>
      </c>
      <c r="C368" s="1" t="n">
        <v>46043</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48824-2025</t>
        </is>
      </c>
      <c r="B369" s="1" t="n">
        <v>45937.37949074074</v>
      </c>
      <c r="C369" s="1" t="n">
        <v>46043</v>
      </c>
      <c r="D369" t="inlineStr">
        <is>
          <t>DALARNAS LÄN</t>
        </is>
      </c>
      <c r="E369" t="inlineStr">
        <is>
          <t>LEKSAND</t>
        </is>
      </c>
      <c r="G369" t="n">
        <v>6.3</v>
      </c>
      <c r="H369" t="n">
        <v>0</v>
      </c>
      <c r="I369" t="n">
        <v>0</v>
      </c>
      <c r="J369" t="n">
        <v>0</v>
      </c>
      <c r="K369" t="n">
        <v>0</v>
      </c>
      <c r="L369" t="n">
        <v>0</v>
      </c>
      <c r="M369" t="n">
        <v>0</v>
      </c>
      <c r="N369" t="n">
        <v>0</v>
      </c>
      <c r="O369" t="n">
        <v>0</v>
      </c>
      <c r="P369" t="n">
        <v>0</v>
      </c>
      <c r="Q369" t="n">
        <v>0</v>
      </c>
      <c r="R369" s="2" t="inlineStr"/>
    </row>
    <row r="370" ht="15" customHeight="1">
      <c r="A370" t="inlineStr">
        <is>
          <t>A 49209-2025</t>
        </is>
      </c>
      <c r="B370" s="1" t="n">
        <v>45938.43589120371</v>
      </c>
      <c r="C370" s="1" t="n">
        <v>46043</v>
      </c>
      <c r="D370" t="inlineStr">
        <is>
          <t>DALARNAS LÄN</t>
        </is>
      </c>
      <c r="E370" t="inlineStr">
        <is>
          <t>LEKSAND</t>
        </is>
      </c>
      <c r="G370" t="n">
        <v>4.8</v>
      </c>
      <c r="H370" t="n">
        <v>0</v>
      </c>
      <c r="I370" t="n">
        <v>0</v>
      </c>
      <c r="J370" t="n">
        <v>0</v>
      </c>
      <c r="K370" t="n">
        <v>0</v>
      </c>
      <c r="L370" t="n">
        <v>0</v>
      </c>
      <c r="M370" t="n">
        <v>0</v>
      </c>
      <c r="N370" t="n">
        <v>0</v>
      </c>
      <c r="O370" t="n">
        <v>0</v>
      </c>
      <c r="P370" t="n">
        <v>0</v>
      </c>
      <c r="Q370" t="n">
        <v>0</v>
      </c>
      <c r="R370" s="2" t="inlineStr"/>
    </row>
    <row r="371" ht="15" customHeight="1">
      <c r="A371" t="inlineStr">
        <is>
          <t>A 48922-2025</t>
        </is>
      </c>
      <c r="B371" s="1" t="n">
        <v>45937.50077546296</v>
      </c>
      <c r="C371" s="1" t="n">
        <v>46043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49076-2025</t>
        </is>
      </c>
      <c r="B372" s="1" t="n">
        <v>45937.65601851852</v>
      </c>
      <c r="C372" s="1" t="n">
        <v>46043</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49212-2025</t>
        </is>
      </c>
      <c r="B373" s="1" t="n">
        <v>45938.43855324074</v>
      </c>
      <c r="C373" s="1" t="n">
        <v>46043</v>
      </c>
      <c r="D373" t="inlineStr">
        <is>
          <t>DALARNAS LÄN</t>
        </is>
      </c>
      <c r="E373" t="inlineStr">
        <is>
          <t>LEKSAND</t>
        </is>
      </c>
      <c r="G373" t="n">
        <v>2</v>
      </c>
      <c r="H373" t="n">
        <v>0</v>
      </c>
      <c r="I373" t="n">
        <v>0</v>
      </c>
      <c r="J373" t="n">
        <v>0</v>
      </c>
      <c r="K373" t="n">
        <v>0</v>
      </c>
      <c r="L373" t="n">
        <v>0</v>
      </c>
      <c r="M373" t="n">
        <v>0</v>
      </c>
      <c r="N373" t="n">
        <v>0</v>
      </c>
      <c r="O373" t="n">
        <v>0</v>
      </c>
      <c r="P373" t="n">
        <v>0</v>
      </c>
      <c r="Q373" t="n">
        <v>0</v>
      </c>
      <c r="R373" s="2" t="inlineStr"/>
    </row>
    <row r="374" ht="15" customHeight="1">
      <c r="A374" t="inlineStr">
        <is>
          <t>A 12356-2023</t>
        </is>
      </c>
      <c r="B374" s="1" t="n">
        <v>44998</v>
      </c>
      <c r="C374" s="1" t="n">
        <v>46043</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41046-2024</t>
        </is>
      </c>
      <c r="B375" s="1" t="n">
        <v>45559.36677083333</v>
      </c>
      <c r="C375" s="1" t="n">
        <v>46043</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56016-2024</t>
        </is>
      </c>
      <c r="B376" s="1" t="n">
        <v>45623.87737268519</v>
      </c>
      <c r="C376" s="1" t="n">
        <v>46043</v>
      </c>
      <c r="D376" t="inlineStr">
        <is>
          <t>DALARNAS LÄN</t>
        </is>
      </c>
      <c r="E376" t="inlineStr">
        <is>
          <t>LEKSAND</t>
        </is>
      </c>
      <c r="G376" t="n">
        <v>6.1</v>
      </c>
      <c r="H376" t="n">
        <v>0</v>
      </c>
      <c r="I376" t="n">
        <v>0</v>
      </c>
      <c r="J376" t="n">
        <v>0</v>
      </c>
      <c r="K376" t="n">
        <v>0</v>
      </c>
      <c r="L376" t="n">
        <v>0</v>
      </c>
      <c r="M376" t="n">
        <v>0</v>
      </c>
      <c r="N376" t="n">
        <v>0</v>
      </c>
      <c r="O376" t="n">
        <v>0</v>
      </c>
      <c r="P376" t="n">
        <v>0</v>
      </c>
      <c r="Q376" t="n">
        <v>0</v>
      </c>
      <c r="R376" s="2" t="inlineStr"/>
    </row>
    <row r="377" ht="15" customHeight="1">
      <c r="A377" t="inlineStr">
        <is>
          <t>A 49505-2025</t>
        </is>
      </c>
      <c r="B377" s="1" t="n">
        <v>45939.37564814815</v>
      </c>
      <c r="C377" s="1" t="n">
        <v>46043</v>
      </c>
      <c r="D377" t="inlineStr">
        <is>
          <t>DALARNAS LÄN</t>
        </is>
      </c>
      <c r="E377" t="inlineStr">
        <is>
          <t>LEKSAND</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50332-2025</t>
        </is>
      </c>
      <c r="B378" s="1" t="n">
        <v>45944.47092592593</v>
      </c>
      <c r="C378" s="1" t="n">
        <v>46043</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55926-2024</t>
        </is>
      </c>
      <c r="B379" s="1" t="n">
        <v>45623.601875</v>
      </c>
      <c r="C379" s="1" t="n">
        <v>46043</v>
      </c>
      <c r="D379" t="inlineStr">
        <is>
          <t>DALARNAS LÄN</t>
        </is>
      </c>
      <c r="E379" t="inlineStr">
        <is>
          <t>LEKSAND</t>
        </is>
      </c>
      <c r="G379" t="n">
        <v>0.6</v>
      </c>
      <c r="H379" t="n">
        <v>0</v>
      </c>
      <c r="I379" t="n">
        <v>0</v>
      </c>
      <c r="J379" t="n">
        <v>0</v>
      </c>
      <c r="K379" t="n">
        <v>0</v>
      </c>
      <c r="L379" t="n">
        <v>0</v>
      </c>
      <c r="M379" t="n">
        <v>0</v>
      </c>
      <c r="N379" t="n">
        <v>0</v>
      </c>
      <c r="O379" t="n">
        <v>0</v>
      </c>
      <c r="P379" t="n">
        <v>0</v>
      </c>
      <c r="Q379" t="n">
        <v>0</v>
      </c>
      <c r="R379" s="2" t="inlineStr"/>
    </row>
    <row r="380" ht="15" customHeight="1">
      <c r="A380" t="inlineStr">
        <is>
          <t>A 16293-2025</t>
        </is>
      </c>
      <c r="B380" s="1" t="n">
        <v>45751.33447916667</v>
      </c>
      <c r="C380" s="1" t="n">
        <v>46043</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51860-2024</t>
        </is>
      </c>
      <c r="B381" s="1" t="n">
        <v>45607.54511574074</v>
      </c>
      <c r="C381" s="1" t="n">
        <v>46043</v>
      </c>
      <c r="D381" t="inlineStr">
        <is>
          <t>DALARNAS LÄN</t>
        </is>
      </c>
      <c r="E381" t="inlineStr">
        <is>
          <t>LEKSAND</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12363-2023</t>
        </is>
      </c>
      <c r="B382" s="1" t="n">
        <v>44998</v>
      </c>
      <c r="C382" s="1" t="n">
        <v>46043</v>
      </c>
      <c r="D382" t="inlineStr">
        <is>
          <t>DALARNAS LÄN</t>
        </is>
      </c>
      <c r="E382" t="inlineStr">
        <is>
          <t>LEKSAND</t>
        </is>
      </c>
      <c r="G382" t="n">
        <v>10</v>
      </c>
      <c r="H382" t="n">
        <v>0</v>
      </c>
      <c r="I382" t="n">
        <v>0</v>
      </c>
      <c r="J382" t="n">
        <v>0</v>
      </c>
      <c r="K382" t="n">
        <v>0</v>
      </c>
      <c r="L382" t="n">
        <v>0</v>
      </c>
      <c r="M382" t="n">
        <v>0</v>
      </c>
      <c r="N382" t="n">
        <v>0</v>
      </c>
      <c r="O382" t="n">
        <v>0</v>
      </c>
      <c r="P382" t="n">
        <v>0</v>
      </c>
      <c r="Q382" t="n">
        <v>0</v>
      </c>
      <c r="R382" s="2" t="inlineStr"/>
    </row>
    <row r="383" ht="15" customHeight="1">
      <c r="A383" t="inlineStr">
        <is>
          <t>A 15020-2023</t>
        </is>
      </c>
      <c r="B383" s="1" t="n">
        <v>45015.6196412037</v>
      </c>
      <c r="C383" s="1" t="n">
        <v>46043</v>
      </c>
      <c r="D383" t="inlineStr">
        <is>
          <t>DALARNAS LÄN</t>
        </is>
      </c>
      <c r="E383" t="inlineStr">
        <is>
          <t>LEKSAND</t>
        </is>
      </c>
      <c r="G383" t="n">
        <v>2.6</v>
      </c>
      <c r="H383" t="n">
        <v>0</v>
      </c>
      <c r="I383" t="n">
        <v>0</v>
      </c>
      <c r="J383" t="n">
        <v>0</v>
      </c>
      <c r="K383" t="n">
        <v>0</v>
      </c>
      <c r="L383" t="n">
        <v>0</v>
      </c>
      <c r="M383" t="n">
        <v>0</v>
      </c>
      <c r="N383" t="n">
        <v>0</v>
      </c>
      <c r="O383" t="n">
        <v>0</v>
      </c>
      <c r="P383" t="n">
        <v>0</v>
      </c>
      <c r="Q383" t="n">
        <v>0</v>
      </c>
      <c r="R383" s="2" t="inlineStr"/>
    </row>
    <row r="384" ht="15" customHeight="1">
      <c r="A384" t="inlineStr">
        <is>
          <t>A 23323-2023</t>
        </is>
      </c>
      <c r="B384" s="1" t="n">
        <v>45076</v>
      </c>
      <c r="C384" s="1" t="n">
        <v>46043</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10299-2024</t>
        </is>
      </c>
      <c r="B385" s="1" t="n">
        <v>45365.50425925926</v>
      </c>
      <c r="C385" s="1" t="n">
        <v>46043</v>
      </c>
      <c r="D385" t="inlineStr">
        <is>
          <t>DALARNAS LÄN</t>
        </is>
      </c>
      <c r="E385" t="inlineStr">
        <is>
          <t>LEKSAND</t>
        </is>
      </c>
      <c r="G385" t="n">
        <v>3.6</v>
      </c>
      <c r="H385" t="n">
        <v>0</v>
      </c>
      <c r="I385" t="n">
        <v>0</v>
      </c>
      <c r="J385" t="n">
        <v>0</v>
      </c>
      <c r="K385" t="n">
        <v>0</v>
      </c>
      <c r="L385" t="n">
        <v>0</v>
      </c>
      <c r="M385" t="n">
        <v>0</v>
      </c>
      <c r="N385" t="n">
        <v>0</v>
      </c>
      <c r="O385" t="n">
        <v>0</v>
      </c>
      <c r="P385" t="n">
        <v>0</v>
      </c>
      <c r="Q385" t="n">
        <v>0</v>
      </c>
      <c r="R385" s="2" t="inlineStr"/>
    </row>
    <row r="386" ht="15" customHeight="1">
      <c r="A386" t="inlineStr">
        <is>
          <t>A 26386-2025</t>
        </is>
      </c>
      <c r="B386" s="1" t="n">
        <v>45806</v>
      </c>
      <c r="C386" s="1" t="n">
        <v>46043</v>
      </c>
      <c r="D386" t="inlineStr">
        <is>
          <t>DALARNAS LÄN</t>
        </is>
      </c>
      <c r="E386" t="inlineStr">
        <is>
          <t>LEKSAND</t>
        </is>
      </c>
      <c r="F386" t="inlineStr">
        <is>
          <t>Bergvik skog väst AB</t>
        </is>
      </c>
      <c r="G386" t="n">
        <v>26.3</v>
      </c>
      <c r="H386" t="n">
        <v>0</v>
      </c>
      <c r="I386" t="n">
        <v>0</v>
      </c>
      <c r="J386" t="n">
        <v>0</v>
      </c>
      <c r="K386" t="n">
        <v>0</v>
      </c>
      <c r="L386" t="n">
        <v>0</v>
      </c>
      <c r="M386" t="n">
        <v>0</v>
      </c>
      <c r="N386" t="n">
        <v>0</v>
      </c>
      <c r="O386" t="n">
        <v>0</v>
      </c>
      <c r="P386" t="n">
        <v>0</v>
      </c>
      <c r="Q386" t="n">
        <v>0</v>
      </c>
      <c r="R386" s="2" t="inlineStr"/>
    </row>
    <row r="387" ht="15" customHeight="1">
      <c r="A387" t="inlineStr">
        <is>
          <t>A 55643-2024</t>
        </is>
      </c>
      <c r="B387" s="1" t="n">
        <v>45621</v>
      </c>
      <c r="C387" s="1" t="n">
        <v>46043</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60129-2023</t>
        </is>
      </c>
      <c r="B388" s="1" t="n">
        <v>45258.49056712963</v>
      </c>
      <c r="C388" s="1" t="n">
        <v>46043</v>
      </c>
      <c r="D388" t="inlineStr">
        <is>
          <t>DALARNAS LÄN</t>
        </is>
      </c>
      <c r="E388" t="inlineStr">
        <is>
          <t>LEKSAND</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16137-2023</t>
        </is>
      </c>
      <c r="B389" s="1" t="n">
        <v>45027</v>
      </c>
      <c r="C389" s="1" t="n">
        <v>46043</v>
      </c>
      <c r="D389" t="inlineStr">
        <is>
          <t>DALARNAS LÄN</t>
        </is>
      </c>
      <c r="E389" t="inlineStr">
        <is>
          <t>LEKSAND</t>
        </is>
      </c>
      <c r="G389" t="n">
        <v>1.6</v>
      </c>
      <c r="H389" t="n">
        <v>0</v>
      </c>
      <c r="I389" t="n">
        <v>0</v>
      </c>
      <c r="J389" t="n">
        <v>0</v>
      </c>
      <c r="K389" t="n">
        <v>0</v>
      </c>
      <c r="L389" t="n">
        <v>0</v>
      </c>
      <c r="M389" t="n">
        <v>0</v>
      </c>
      <c r="N389" t="n">
        <v>0</v>
      </c>
      <c r="O389" t="n">
        <v>0</v>
      </c>
      <c r="P389" t="n">
        <v>0</v>
      </c>
      <c r="Q389" t="n">
        <v>0</v>
      </c>
      <c r="R389" s="2" t="inlineStr"/>
    </row>
    <row r="390" ht="15" customHeight="1">
      <c r="A390" t="inlineStr">
        <is>
          <t>A 50704-2025</t>
        </is>
      </c>
      <c r="B390" s="1" t="n">
        <v>45946.27984953704</v>
      </c>
      <c r="C390" s="1" t="n">
        <v>46043</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6028-2025</t>
        </is>
      </c>
      <c r="B391" s="1" t="n">
        <v>45695</v>
      </c>
      <c r="C391" s="1" t="n">
        <v>46043</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56283-2024</t>
        </is>
      </c>
      <c r="B392" s="1" t="n">
        <v>45624.67864583333</v>
      </c>
      <c r="C392" s="1" t="n">
        <v>46043</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56299-2024</t>
        </is>
      </c>
      <c r="B393" s="1" t="n">
        <v>45624.68607638889</v>
      </c>
      <c r="C393" s="1" t="n">
        <v>46043</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25329-2022</t>
        </is>
      </c>
      <c r="B394" s="1" t="n">
        <v>44731.8799537037</v>
      </c>
      <c r="C394" s="1" t="n">
        <v>46043</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32726-2025</t>
        </is>
      </c>
      <c r="B395" s="1" t="n">
        <v>45839.3969212963</v>
      </c>
      <c r="C395" s="1" t="n">
        <v>46043</v>
      </c>
      <c r="D395" t="inlineStr">
        <is>
          <t>DALARNAS LÄN</t>
        </is>
      </c>
      <c r="E395" t="inlineStr">
        <is>
          <t>LEKSAND</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43077-2024</t>
        </is>
      </c>
      <c r="B396" s="1" t="n">
        <v>45567.50030092592</v>
      </c>
      <c r="C396" s="1" t="n">
        <v>46043</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26423-2025</t>
        </is>
      </c>
      <c r="B397" s="1" t="n">
        <v>45807.37829861111</v>
      </c>
      <c r="C397" s="1" t="n">
        <v>46043</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24005-2024</t>
        </is>
      </c>
      <c r="B398" s="1" t="n">
        <v>45456.39239583333</v>
      </c>
      <c r="C398" s="1" t="n">
        <v>46043</v>
      </c>
      <c r="D398" t="inlineStr">
        <is>
          <t>DALARNAS LÄN</t>
        </is>
      </c>
      <c r="E398" t="inlineStr">
        <is>
          <t>LEKSAND</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1984-2025</t>
        </is>
      </c>
      <c r="B399" s="1" t="n">
        <v>45670</v>
      </c>
      <c r="C399" s="1" t="n">
        <v>46043</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59199-2024</t>
        </is>
      </c>
      <c r="B400" s="1" t="n">
        <v>45637</v>
      </c>
      <c r="C400" s="1" t="n">
        <v>46043</v>
      </c>
      <c r="D400" t="inlineStr">
        <is>
          <t>DALARNAS LÄN</t>
        </is>
      </c>
      <c r="E400" t="inlineStr">
        <is>
          <t>LEKSAND</t>
        </is>
      </c>
      <c r="G400" t="n">
        <v>5.4</v>
      </c>
      <c r="H400" t="n">
        <v>0</v>
      </c>
      <c r="I400" t="n">
        <v>0</v>
      </c>
      <c r="J400" t="n">
        <v>0</v>
      </c>
      <c r="K400" t="n">
        <v>0</v>
      </c>
      <c r="L400" t="n">
        <v>0</v>
      </c>
      <c r="M400" t="n">
        <v>0</v>
      </c>
      <c r="N400" t="n">
        <v>0</v>
      </c>
      <c r="O400" t="n">
        <v>0</v>
      </c>
      <c r="P400" t="n">
        <v>0</v>
      </c>
      <c r="Q400" t="n">
        <v>0</v>
      </c>
      <c r="R400" s="2" t="inlineStr"/>
    </row>
    <row r="401" ht="15" customHeight="1">
      <c r="A401" t="inlineStr">
        <is>
          <t>A 51663-2025</t>
        </is>
      </c>
      <c r="B401" s="1" t="n">
        <v>45951</v>
      </c>
      <c r="C401" s="1" t="n">
        <v>46043</v>
      </c>
      <c r="D401" t="inlineStr">
        <is>
          <t>DALARNAS LÄN</t>
        </is>
      </c>
      <c r="E401" t="inlineStr">
        <is>
          <t>LEKSAND</t>
        </is>
      </c>
      <c r="F401" t="inlineStr">
        <is>
          <t>Bergvik skog väst AB</t>
        </is>
      </c>
      <c r="G401" t="n">
        <v>3.1</v>
      </c>
      <c r="H401" t="n">
        <v>0</v>
      </c>
      <c r="I401" t="n">
        <v>0</v>
      </c>
      <c r="J401" t="n">
        <v>0</v>
      </c>
      <c r="K401" t="n">
        <v>0</v>
      </c>
      <c r="L401" t="n">
        <v>0</v>
      </c>
      <c r="M401" t="n">
        <v>0</v>
      </c>
      <c r="N401" t="n">
        <v>0</v>
      </c>
      <c r="O401" t="n">
        <v>0</v>
      </c>
      <c r="P401" t="n">
        <v>0</v>
      </c>
      <c r="Q401" t="n">
        <v>0</v>
      </c>
      <c r="R401" s="2" t="inlineStr"/>
    </row>
    <row r="402" ht="15" customHeight="1">
      <c r="A402" t="inlineStr">
        <is>
          <t>A 51728-2025</t>
        </is>
      </c>
      <c r="B402" s="1" t="n">
        <v>45951</v>
      </c>
      <c r="C402" s="1" t="n">
        <v>46043</v>
      </c>
      <c r="D402" t="inlineStr">
        <is>
          <t>DALARNAS LÄN</t>
        </is>
      </c>
      <c r="E402" t="inlineStr">
        <is>
          <t>LEKSAND</t>
        </is>
      </c>
      <c r="F402" t="inlineStr">
        <is>
          <t>Bergvik skog väst AB</t>
        </is>
      </c>
      <c r="G402" t="n">
        <v>14.2</v>
      </c>
      <c r="H402" t="n">
        <v>0</v>
      </c>
      <c r="I402" t="n">
        <v>0</v>
      </c>
      <c r="J402" t="n">
        <v>0</v>
      </c>
      <c r="K402" t="n">
        <v>0</v>
      </c>
      <c r="L402" t="n">
        <v>0</v>
      </c>
      <c r="M402" t="n">
        <v>0</v>
      </c>
      <c r="N402" t="n">
        <v>0</v>
      </c>
      <c r="O402" t="n">
        <v>0</v>
      </c>
      <c r="P402" t="n">
        <v>0</v>
      </c>
      <c r="Q402" t="n">
        <v>0</v>
      </c>
      <c r="R402" s="2" t="inlineStr"/>
    </row>
    <row r="403" ht="15" customHeight="1">
      <c r="A403" t="inlineStr">
        <is>
          <t>A 27323-2025</t>
        </is>
      </c>
      <c r="B403" s="1" t="n">
        <v>45812.60392361111</v>
      </c>
      <c r="C403" s="1" t="n">
        <v>46043</v>
      </c>
      <c r="D403" t="inlineStr">
        <is>
          <t>DALARNAS LÄN</t>
        </is>
      </c>
      <c r="E403" t="inlineStr">
        <is>
          <t>LEKSAND</t>
        </is>
      </c>
      <c r="F403" t="inlineStr">
        <is>
          <t>Bergvik skog väst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33310-2023</t>
        </is>
      </c>
      <c r="B404" s="1" t="n">
        <v>45127.82231481482</v>
      </c>
      <c r="C404" s="1" t="n">
        <v>46043</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57899-2024</t>
        </is>
      </c>
      <c r="B405" s="1" t="n">
        <v>45630</v>
      </c>
      <c r="C405" s="1" t="n">
        <v>46043</v>
      </c>
      <c r="D405" t="inlineStr">
        <is>
          <t>DALARNAS LÄN</t>
        </is>
      </c>
      <c r="E405" t="inlineStr">
        <is>
          <t>LEKSAND</t>
        </is>
      </c>
      <c r="G405" t="n">
        <v>0.6</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46043</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56753-2023</t>
        </is>
      </c>
      <c r="B407" s="1" t="n">
        <v>45244.37094907407</v>
      </c>
      <c r="C407" s="1" t="n">
        <v>46043</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51768-2025</t>
        </is>
      </c>
      <c r="B408" s="1" t="n">
        <v>45951.64041666667</v>
      </c>
      <c r="C408" s="1" t="n">
        <v>46043</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51926-2025</t>
        </is>
      </c>
      <c r="B409" s="1" t="n">
        <v>45952.49537037037</v>
      </c>
      <c r="C409" s="1" t="n">
        <v>46043</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57933-2024</t>
        </is>
      </c>
      <c r="B410" s="1" t="n">
        <v>45630</v>
      </c>
      <c r="C410" s="1" t="n">
        <v>46043</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46043</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22683-2022</t>
        </is>
      </c>
      <c r="B412" s="1" t="n">
        <v>44714</v>
      </c>
      <c r="C412" s="1" t="n">
        <v>46043</v>
      </c>
      <c r="D412" t="inlineStr">
        <is>
          <t>DALARNAS LÄN</t>
        </is>
      </c>
      <c r="E412" t="inlineStr">
        <is>
          <t>LEKSAND</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52755-2024</t>
        </is>
      </c>
      <c r="B413" s="1" t="n">
        <v>45610.50217592593</v>
      </c>
      <c r="C413" s="1" t="n">
        <v>46043</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60338-2025</t>
        </is>
      </c>
      <c r="B414" s="1" t="n">
        <v>45993</v>
      </c>
      <c r="C414" s="1" t="n">
        <v>46043</v>
      </c>
      <c r="D414" t="inlineStr">
        <is>
          <t>DALARNAS LÄN</t>
        </is>
      </c>
      <c r="E414" t="inlineStr">
        <is>
          <t>LEKSAND</t>
        </is>
      </c>
      <c r="G414" t="n">
        <v>2.5</v>
      </c>
      <c r="H414" t="n">
        <v>0</v>
      </c>
      <c r="I414" t="n">
        <v>0</v>
      </c>
      <c r="J414" t="n">
        <v>0</v>
      </c>
      <c r="K414" t="n">
        <v>0</v>
      </c>
      <c r="L414" t="n">
        <v>0</v>
      </c>
      <c r="M414" t="n">
        <v>0</v>
      </c>
      <c r="N414" t="n">
        <v>0</v>
      </c>
      <c r="O414" t="n">
        <v>0</v>
      </c>
      <c r="P414" t="n">
        <v>0</v>
      </c>
      <c r="Q414" t="n">
        <v>0</v>
      </c>
      <c r="R414" s="2" t="inlineStr"/>
    </row>
    <row r="415" ht="15" customHeight="1">
      <c r="A415" t="inlineStr">
        <is>
          <t>A 6846-2023</t>
        </is>
      </c>
      <c r="B415" s="1" t="n">
        <v>44967.43953703704</v>
      </c>
      <c r="C415" s="1" t="n">
        <v>46043</v>
      </c>
      <c r="D415" t="inlineStr">
        <is>
          <t>DALARNAS LÄN</t>
        </is>
      </c>
      <c r="E415" t="inlineStr">
        <is>
          <t>LEKSAND</t>
        </is>
      </c>
      <c r="F415" t="inlineStr">
        <is>
          <t>Bergvik skog väst AB</t>
        </is>
      </c>
      <c r="G415" t="n">
        <v>1</v>
      </c>
      <c r="H415" t="n">
        <v>0</v>
      </c>
      <c r="I415" t="n">
        <v>0</v>
      </c>
      <c r="J415" t="n">
        <v>0</v>
      </c>
      <c r="K415" t="n">
        <v>0</v>
      </c>
      <c r="L415" t="n">
        <v>0</v>
      </c>
      <c r="M415" t="n">
        <v>0</v>
      </c>
      <c r="N415" t="n">
        <v>0</v>
      </c>
      <c r="O415" t="n">
        <v>0</v>
      </c>
      <c r="P415" t="n">
        <v>0</v>
      </c>
      <c r="Q415" t="n">
        <v>0</v>
      </c>
      <c r="R415" s="2" t="inlineStr"/>
    </row>
    <row r="416" ht="15" customHeight="1">
      <c r="A416" t="inlineStr">
        <is>
          <t>A 52671-2025</t>
        </is>
      </c>
      <c r="B416" s="1" t="n">
        <v>45955.98113425926</v>
      </c>
      <c r="C416" s="1" t="n">
        <v>46043</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53190-2025</t>
        </is>
      </c>
      <c r="B417" s="1" t="n">
        <v>45958.56283564815</v>
      </c>
      <c r="C417" s="1" t="n">
        <v>46043</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27183-2025</t>
        </is>
      </c>
      <c r="B418" s="1" t="n">
        <v>45812.36097222222</v>
      </c>
      <c r="C418" s="1" t="n">
        <v>46043</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27262-2025</t>
        </is>
      </c>
      <c r="B419" s="1" t="n">
        <v>45812</v>
      </c>
      <c r="C419" s="1" t="n">
        <v>46043</v>
      </c>
      <c r="D419" t="inlineStr">
        <is>
          <t>DALARNAS LÄN</t>
        </is>
      </c>
      <c r="E419" t="inlineStr">
        <is>
          <t>LEKSAND</t>
        </is>
      </c>
      <c r="F419" t="inlineStr">
        <is>
          <t>Bergvik skog väst AB</t>
        </is>
      </c>
      <c r="G419" t="n">
        <v>7.7</v>
      </c>
      <c r="H419" t="n">
        <v>0</v>
      </c>
      <c r="I419" t="n">
        <v>0</v>
      </c>
      <c r="J419" t="n">
        <v>0</v>
      </c>
      <c r="K419" t="n">
        <v>0</v>
      </c>
      <c r="L419" t="n">
        <v>0</v>
      </c>
      <c r="M419" t="n">
        <v>0</v>
      </c>
      <c r="N419" t="n">
        <v>0</v>
      </c>
      <c r="O419" t="n">
        <v>0</v>
      </c>
      <c r="P419" t="n">
        <v>0</v>
      </c>
      <c r="Q419" t="n">
        <v>0</v>
      </c>
      <c r="R419" s="2" t="inlineStr"/>
    </row>
    <row r="420" ht="15" customHeight="1">
      <c r="A420" t="inlineStr">
        <is>
          <t>A 27329-2025</t>
        </is>
      </c>
      <c r="B420" s="1" t="n">
        <v>45812.60864583333</v>
      </c>
      <c r="C420" s="1" t="n">
        <v>46043</v>
      </c>
      <c r="D420" t="inlineStr">
        <is>
          <t>DALARNAS LÄN</t>
        </is>
      </c>
      <c r="E420" t="inlineStr">
        <is>
          <t>LEKSAND</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27332-2025</t>
        </is>
      </c>
      <c r="B421" s="1" t="n">
        <v>45812.61265046296</v>
      </c>
      <c r="C421" s="1" t="n">
        <v>46043</v>
      </c>
      <c r="D421" t="inlineStr">
        <is>
          <t>DALARNAS LÄN</t>
        </is>
      </c>
      <c r="E421" t="inlineStr">
        <is>
          <t>LEKSAND</t>
        </is>
      </c>
      <c r="F421" t="inlineStr">
        <is>
          <t>Bergvik skog väst AB</t>
        </is>
      </c>
      <c r="G421" t="n">
        <v>2.9</v>
      </c>
      <c r="H421" t="n">
        <v>0</v>
      </c>
      <c r="I421" t="n">
        <v>0</v>
      </c>
      <c r="J421" t="n">
        <v>0</v>
      </c>
      <c r="K421" t="n">
        <v>0</v>
      </c>
      <c r="L421" t="n">
        <v>0</v>
      </c>
      <c r="M421" t="n">
        <v>0</v>
      </c>
      <c r="N421" t="n">
        <v>0</v>
      </c>
      <c r="O421" t="n">
        <v>0</v>
      </c>
      <c r="P421" t="n">
        <v>0</v>
      </c>
      <c r="Q421" t="n">
        <v>0</v>
      </c>
      <c r="R421" s="2" t="inlineStr"/>
    </row>
    <row r="422" ht="15" customHeight="1">
      <c r="A422" t="inlineStr">
        <is>
          <t>A 6030-2025</t>
        </is>
      </c>
      <c r="B422" s="1" t="n">
        <v>45695</v>
      </c>
      <c r="C422" s="1" t="n">
        <v>46043</v>
      </c>
      <c r="D422" t="inlineStr">
        <is>
          <t>DALARNAS LÄN</t>
        </is>
      </c>
      <c r="E422" t="inlineStr">
        <is>
          <t>LEKSAND</t>
        </is>
      </c>
      <c r="G422" t="n">
        <v>1.4</v>
      </c>
      <c r="H422" t="n">
        <v>0</v>
      </c>
      <c r="I422" t="n">
        <v>0</v>
      </c>
      <c r="J422" t="n">
        <v>0</v>
      </c>
      <c r="K422" t="n">
        <v>0</v>
      </c>
      <c r="L422" t="n">
        <v>0</v>
      </c>
      <c r="M422" t="n">
        <v>0</v>
      </c>
      <c r="N422" t="n">
        <v>0</v>
      </c>
      <c r="O422" t="n">
        <v>0</v>
      </c>
      <c r="P422" t="n">
        <v>0</v>
      </c>
      <c r="Q422" t="n">
        <v>0</v>
      </c>
      <c r="R422" s="2" t="inlineStr"/>
    </row>
    <row r="423" ht="15" customHeight="1">
      <c r="A423" t="inlineStr">
        <is>
          <t>A 27682-2025</t>
        </is>
      </c>
      <c r="B423" s="1" t="n">
        <v>45813.64782407408</v>
      </c>
      <c r="C423" s="1" t="n">
        <v>46043</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53041-2025</t>
        </is>
      </c>
      <c r="B424" s="1" t="n">
        <v>45958.35487268519</v>
      </c>
      <c r="C424" s="1" t="n">
        <v>46043</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53243-2025</t>
        </is>
      </c>
      <c r="B425" s="1" t="n">
        <v>45958.6442824074</v>
      </c>
      <c r="C425" s="1" t="n">
        <v>46043</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53981-2024</t>
        </is>
      </c>
      <c r="B426" s="1" t="n">
        <v>45615</v>
      </c>
      <c r="C426" s="1" t="n">
        <v>46043</v>
      </c>
      <c r="D426" t="inlineStr">
        <is>
          <t>DALARNAS LÄN</t>
        </is>
      </c>
      <c r="E426" t="inlineStr">
        <is>
          <t>LEKSAND</t>
        </is>
      </c>
      <c r="G426" t="n">
        <v>5.4</v>
      </c>
      <c r="H426" t="n">
        <v>0</v>
      </c>
      <c r="I426" t="n">
        <v>0</v>
      </c>
      <c r="J426" t="n">
        <v>0</v>
      </c>
      <c r="K426" t="n">
        <v>0</v>
      </c>
      <c r="L426" t="n">
        <v>0</v>
      </c>
      <c r="M426" t="n">
        <v>0</v>
      </c>
      <c r="N426" t="n">
        <v>0</v>
      </c>
      <c r="O426" t="n">
        <v>0</v>
      </c>
      <c r="P426" t="n">
        <v>0</v>
      </c>
      <c r="Q426" t="n">
        <v>0</v>
      </c>
      <c r="R426" s="2" t="inlineStr"/>
    </row>
    <row r="427" ht="15" customHeight="1">
      <c r="A427" t="inlineStr">
        <is>
          <t>A 17589-2025</t>
        </is>
      </c>
      <c r="B427" s="1" t="n">
        <v>45757.67844907408</v>
      </c>
      <c r="C427" s="1" t="n">
        <v>46043</v>
      </c>
      <c r="D427" t="inlineStr">
        <is>
          <t>DALARNAS LÄN</t>
        </is>
      </c>
      <c r="E427" t="inlineStr">
        <is>
          <t>LEKSAND</t>
        </is>
      </c>
      <c r="G427" t="n">
        <v>5.8</v>
      </c>
      <c r="H427" t="n">
        <v>0</v>
      </c>
      <c r="I427" t="n">
        <v>0</v>
      </c>
      <c r="J427" t="n">
        <v>0</v>
      </c>
      <c r="K427" t="n">
        <v>0</v>
      </c>
      <c r="L427" t="n">
        <v>0</v>
      </c>
      <c r="M427" t="n">
        <v>0</v>
      </c>
      <c r="N427" t="n">
        <v>0</v>
      </c>
      <c r="O427" t="n">
        <v>0</v>
      </c>
      <c r="P427" t="n">
        <v>0</v>
      </c>
      <c r="Q427" t="n">
        <v>0</v>
      </c>
      <c r="R427" s="2" t="inlineStr"/>
    </row>
    <row r="428" ht="15" customHeight="1">
      <c r="A428" t="inlineStr">
        <is>
          <t>A 27705-2025</t>
        </is>
      </c>
      <c r="B428" s="1" t="n">
        <v>45813</v>
      </c>
      <c r="C428" s="1" t="n">
        <v>46043</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53438-2025</t>
        </is>
      </c>
      <c r="B429" s="1" t="n">
        <v>45959.63711805556</v>
      </c>
      <c r="C429" s="1" t="n">
        <v>46043</v>
      </c>
      <c r="D429" t="inlineStr">
        <is>
          <t>DALARNAS LÄN</t>
        </is>
      </c>
      <c r="E429" t="inlineStr">
        <is>
          <t>LEKSAND</t>
        </is>
      </c>
      <c r="G429" t="n">
        <v>1.2</v>
      </c>
      <c r="H429" t="n">
        <v>0</v>
      </c>
      <c r="I429" t="n">
        <v>0</v>
      </c>
      <c r="J429" t="n">
        <v>0</v>
      </c>
      <c r="K429" t="n">
        <v>0</v>
      </c>
      <c r="L429" t="n">
        <v>0</v>
      </c>
      <c r="M429" t="n">
        <v>0</v>
      </c>
      <c r="N429" t="n">
        <v>0</v>
      </c>
      <c r="O429" t="n">
        <v>0</v>
      </c>
      <c r="P429" t="n">
        <v>0</v>
      </c>
      <c r="Q429" t="n">
        <v>0</v>
      </c>
      <c r="R429" s="2" t="inlineStr"/>
    </row>
    <row r="430" ht="15" customHeight="1">
      <c r="A430" t="inlineStr">
        <is>
          <t>A 11740-2025</t>
        </is>
      </c>
      <c r="B430" s="1" t="n">
        <v>45727.62582175926</v>
      </c>
      <c r="C430" s="1" t="n">
        <v>46043</v>
      </c>
      <c r="D430" t="inlineStr">
        <is>
          <t>DALARNAS LÄN</t>
        </is>
      </c>
      <c r="E430" t="inlineStr">
        <is>
          <t>LEKSAND</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27680-2025</t>
        </is>
      </c>
      <c r="B431" s="1" t="n">
        <v>45813.64618055556</v>
      </c>
      <c r="C431" s="1" t="n">
        <v>46043</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61684-2025</t>
        </is>
      </c>
      <c r="B432" s="1" t="n">
        <v>46002.49790509259</v>
      </c>
      <c r="C432" s="1" t="n">
        <v>46043</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53619-2025</t>
        </is>
      </c>
      <c r="B433" s="1" t="n">
        <v>45960</v>
      </c>
      <c r="C433" s="1" t="n">
        <v>46043</v>
      </c>
      <c r="D433" t="inlineStr">
        <is>
          <t>DALARNAS LÄN</t>
        </is>
      </c>
      <c r="E433" t="inlineStr">
        <is>
          <t>LEKSAND</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28483-2025</t>
        </is>
      </c>
      <c r="B434" s="1" t="n">
        <v>45818</v>
      </c>
      <c r="C434" s="1" t="n">
        <v>46043</v>
      </c>
      <c r="D434" t="inlineStr">
        <is>
          <t>DALARNAS LÄN</t>
        </is>
      </c>
      <c r="E434" t="inlineStr">
        <is>
          <t>LEKSAND</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61491-2025</t>
        </is>
      </c>
      <c r="B435" s="1" t="n">
        <v>46001.63854166667</v>
      </c>
      <c r="C435" s="1" t="n">
        <v>46043</v>
      </c>
      <c r="D435" t="inlineStr">
        <is>
          <t>DALARNAS LÄN</t>
        </is>
      </c>
      <c r="E435" t="inlineStr">
        <is>
          <t>LEKSAND</t>
        </is>
      </c>
      <c r="G435" t="n">
        <v>1.8</v>
      </c>
      <c r="H435" t="n">
        <v>0</v>
      </c>
      <c r="I435" t="n">
        <v>0</v>
      </c>
      <c r="J435" t="n">
        <v>0</v>
      </c>
      <c r="K435" t="n">
        <v>0</v>
      </c>
      <c r="L435" t="n">
        <v>0</v>
      </c>
      <c r="M435" t="n">
        <v>0</v>
      </c>
      <c r="N435" t="n">
        <v>0</v>
      </c>
      <c r="O435" t="n">
        <v>0</v>
      </c>
      <c r="P435" t="n">
        <v>0</v>
      </c>
      <c r="Q435" t="n">
        <v>0</v>
      </c>
      <c r="R435" s="2" t="inlineStr"/>
    </row>
    <row r="436" ht="15" customHeight="1">
      <c r="A436" t="inlineStr">
        <is>
          <t>A 53718-2025</t>
        </is>
      </c>
      <c r="B436" s="1" t="n">
        <v>45960.61840277778</v>
      </c>
      <c r="C436" s="1" t="n">
        <v>46043</v>
      </c>
      <c r="D436" t="inlineStr">
        <is>
          <t>DALARNAS LÄN</t>
        </is>
      </c>
      <c r="E436" t="inlineStr">
        <is>
          <t>LEKSAND</t>
        </is>
      </c>
      <c r="G436" t="n">
        <v>7.5</v>
      </c>
      <c r="H436" t="n">
        <v>0</v>
      </c>
      <c r="I436" t="n">
        <v>0</v>
      </c>
      <c r="J436" t="n">
        <v>0</v>
      </c>
      <c r="K436" t="n">
        <v>0</v>
      </c>
      <c r="L436" t="n">
        <v>0</v>
      </c>
      <c r="M436" t="n">
        <v>0</v>
      </c>
      <c r="N436" t="n">
        <v>0</v>
      </c>
      <c r="O436" t="n">
        <v>0</v>
      </c>
      <c r="P436" t="n">
        <v>0</v>
      </c>
      <c r="Q436" t="n">
        <v>0</v>
      </c>
      <c r="R436" s="2" t="inlineStr"/>
    </row>
    <row r="437" ht="15" customHeight="1">
      <c r="A437" t="inlineStr">
        <is>
          <t>A 54015-2025</t>
        </is>
      </c>
      <c r="B437" s="1" t="n">
        <v>45961.64158564815</v>
      </c>
      <c r="C437" s="1" t="n">
        <v>46043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62301-2025</t>
        </is>
      </c>
      <c r="B438" s="1" t="n">
        <v>46006.65743055556</v>
      </c>
      <c r="C438" s="1" t="n">
        <v>46043</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62306-2025</t>
        </is>
      </c>
      <c r="B439" s="1" t="n">
        <v>46006.66878472222</v>
      </c>
      <c r="C439" s="1" t="n">
        <v>46043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54120-2025</t>
        </is>
      </c>
      <c r="B440" s="1" t="n">
        <v>45964.45040509259</v>
      </c>
      <c r="C440" s="1" t="n">
        <v>46043</v>
      </c>
      <c r="D440" t="inlineStr">
        <is>
          <t>DALARNAS LÄN</t>
        </is>
      </c>
      <c r="E440" t="inlineStr">
        <is>
          <t>LEKSAND</t>
        </is>
      </c>
      <c r="G440" t="n">
        <v>0.7</v>
      </c>
      <c r="H440" t="n">
        <v>0</v>
      </c>
      <c r="I440" t="n">
        <v>0</v>
      </c>
      <c r="J440" t="n">
        <v>0</v>
      </c>
      <c r="K440" t="n">
        <v>0</v>
      </c>
      <c r="L440" t="n">
        <v>0</v>
      </c>
      <c r="M440" t="n">
        <v>0</v>
      </c>
      <c r="N440" t="n">
        <v>0</v>
      </c>
      <c r="O440" t="n">
        <v>0</v>
      </c>
      <c r="P440" t="n">
        <v>0</v>
      </c>
      <c r="Q440" t="n">
        <v>0</v>
      </c>
      <c r="R440" s="2" t="inlineStr"/>
    </row>
    <row r="441" ht="15" customHeight="1">
      <c r="A441" t="inlineStr">
        <is>
          <t>A 28505-2025</t>
        </is>
      </c>
      <c r="B441" s="1" t="n">
        <v>45818</v>
      </c>
      <c r="C441" s="1" t="n">
        <v>46043</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44491-2023</t>
        </is>
      </c>
      <c r="B442" s="1" t="n">
        <v>45183</v>
      </c>
      <c r="C442" s="1" t="n">
        <v>46043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53804-2025</t>
        </is>
      </c>
      <c r="B443" s="1" t="n">
        <v>45960.83247685185</v>
      </c>
      <c r="C443" s="1" t="n">
        <v>46043</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33001-2023</t>
        </is>
      </c>
      <c r="B444" s="1" t="n">
        <v>45125</v>
      </c>
      <c r="C444" s="1" t="n">
        <v>46043</v>
      </c>
      <c r="D444" t="inlineStr">
        <is>
          <t>DALARNAS LÄN</t>
        </is>
      </c>
      <c r="E444" t="inlineStr">
        <is>
          <t>LEKSAND</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28499-2025</t>
        </is>
      </c>
      <c r="B445" s="1" t="n">
        <v>45818</v>
      </c>
      <c r="C445" s="1" t="n">
        <v>46043</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33674-2023</t>
        </is>
      </c>
      <c r="B446" s="1" t="n">
        <v>45132</v>
      </c>
      <c r="C446" s="1" t="n">
        <v>46043</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27984-2025</t>
        </is>
      </c>
      <c r="B447" s="1" t="n">
        <v>45817.57710648148</v>
      </c>
      <c r="C447" s="1" t="n">
        <v>46043</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54125-2025</t>
        </is>
      </c>
      <c r="B448" s="1" t="n">
        <v>45964.45671296296</v>
      </c>
      <c r="C448" s="1" t="n">
        <v>46043</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53836-2025</t>
        </is>
      </c>
      <c r="B449" s="1" t="n">
        <v>45961.3475462963</v>
      </c>
      <c r="C449" s="1" t="n">
        <v>46043</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53838-2025</t>
        </is>
      </c>
      <c r="B450" s="1" t="n">
        <v>45961.34895833334</v>
      </c>
      <c r="C450" s="1" t="n">
        <v>46043</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62337-2025</t>
        </is>
      </c>
      <c r="B451" s="1" t="n">
        <v>46006</v>
      </c>
      <c r="C451" s="1" t="n">
        <v>46043</v>
      </c>
      <c r="D451" t="inlineStr">
        <is>
          <t>DALARNAS LÄN</t>
        </is>
      </c>
      <c r="E451" t="inlineStr">
        <is>
          <t>LEKSAND</t>
        </is>
      </c>
      <c r="G451" t="n">
        <v>1.9</v>
      </c>
      <c r="H451" t="n">
        <v>0</v>
      </c>
      <c r="I451" t="n">
        <v>0</v>
      </c>
      <c r="J451" t="n">
        <v>0</v>
      </c>
      <c r="K451" t="n">
        <v>0</v>
      </c>
      <c r="L451" t="n">
        <v>0</v>
      </c>
      <c r="M451" t="n">
        <v>0</v>
      </c>
      <c r="N451" t="n">
        <v>0</v>
      </c>
      <c r="O451" t="n">
        <v>0</v>
      </c>
      <c r="P451" t="n">
        <v>0</v>
      </c>
      <c r="Q451" t="n">
        <v>0</v>
      </c>
      <c r="R451" s="2" t="inlineStr"/>
    </row>
    <row r="452" ht="15" customHeight="1">
      <c r="A452" t="inlineStr">
        <is>
          <t>A 16135-2023</t>
        </is>
      </c>
      <c r="B452" s="1" t="n">
        <v>45027.63717592593</v>
      </c>
      <c r="C452" s="1" t="n">
        <v>46043</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30198-2024</t>
        </is>
      </c>
      <c r="B453" s="1" t="n">
        <v>45490.34765046297</v>
      </c>
      <c r="C453" s="1" t="n">
        <v>46043</v>
      </c>
      <c r="D453" t="inlineStr">
        <is>
          <t>DALARNAS LÄN</t>
        </is>
      </c>
      <c r="E453" t="inlineStr">
        <is>
          <t>LEKSAND</t>
        </is>
      </c>
      <c r="G453" t="n">
        <v>0.8</v>
      </c>
      <c r="H453" t="n">
        <v>0</v>
      </c>
      <c r="I453" t="n">
        <v>0</v>
      </c>
      <c r="J453" t="n">
        <v>0</v>
      </c>
      <c r="K453" t="n">
        <v>0</v>
      </c>
      <c r="L453" t="n">
        <v>0</v>
      </c>
      <c r="M453" t="n">
        <v>0</v>
      </c>
      <c r="N453" t="n">
        <v>0</v>
      </c>
      <c r="O453" t="n">
        <v>0</v>
      </c>
      <c r="P453" t="n">
        <v>0</v>
      </c>
      <c r="Q453" t="n">
        <v>0</v>
      </c>
      <c r="R453" s="2" t="inlineStr"/>
    </row>
    <row r="454" ht="15" customHeight="1">
      <c r="A454" t="inlineStr">
        <is>
          <t>A 54779-2025</t>
        </is>
      </c>
      <c r="B454" s="1" t="n">
        <v>45966.61672453704</v>
      </c>
      <c r="C454" s="1" t="n">
        <v>46043</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54815-2025</t>
        </is>
      </c>
      <c r="B455" s="1" t="n">
        <v>45966.65237268519</v>
      </c>
      <c r="C455" s="1" t="n">
        <v>46043</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46043</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28488-2025</t>
        </is>
      </c>
      <c r="B457" s="1" t="n">
        <v>45818</v>
      </c>
      <c r="C457" s="1" t="n">
        <v>46043</v>
      </c>
      <c r="D457" t="inlineStr">
        <is>
          <t>DALARNAS LÄN</t>
        </is>
      </c>
      <c r="E457" t="inlineStr">
        <is>
          <t>LEKSAND</t>
        </is>
      </c>
      <c r="G457" t="n">
        <v>1.1</v>
      </c>
      <c r="H457" t="n">
        <v>0</v>
      </c>
      <c r="I457" t="n">
        <v>0</v>
      </c>
      <c r="J457" t="n">
        <v>0</v>
      </c>
      <c r="K457" t="n">
        <v>0</v>
      </c>
      <c r="L457" t="n">
        <v>0</v>
      </c>
      <c r="M457" t="n">
        <v>0</v>
      </c>
      <c r="N457" t="n">
        <v>0</v>
      </c>
      <c r="O457" t="n">
        <v>0</v>
      </c>
      <c r="P457" t="n">
        <v>0</v>
      </c>
      <c r="Q457" t="n">
        <v>0</v>
      </c>
      <c r="R457" s="2" t="inlineStr"/>
    </row>
    <row r="458" ht="15" customHeight="1">
      <c r="A458" t="inlineStr">
        <is>
          <t>A 62322-2025</t>
        </is>
      </c>
      <c r="B458" s="1" t="n">
        <v>46006</v>
      </c>
      <c r="C458" s="1" t="n">
        <v>46043</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54440-2025</t>
        </is>
      </c>
      <c r="B459" s="1" t="n">
        <v>45965.50385416667</v>
      </c>
      <c r="C459" s="1" t="n">
        <v>46043</v>
      </c>
      <c r="D459" t="inlineStr">
        <is>
          <t>DALARNAS LÄN</t>
        </is>
      </c>
      <c r="E459" t="inlineStr">
        <is>
          <t>LEKSAND</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43158-2025</t>
        </is>
      </c>
      <c r="B460" s="1" t="n">
        <v>45910.35496527778</v>
      </c>
      <c r="C460" s="1" t="n">
        <v>46043</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54295-2025</t>
        </is>
      </c>
      <c r="B461" s="1" t="n">
        <v>45964.87122685185</v>
      </c>
      <c r="C461" s="1" t="n">
        <v>46043</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54752-2025</t>
        </is>
      </c>
      <c r="B462" s="1" t="n">
        <v>45966.5916087963</v>
      </c>
      <c r="C462" s="1" t="n">
        <v>46043</v>
      </c>
      <c r="D462" t="inlineStr">
        <is>
          <t>DALARNAS LÄN</t>
        </is>
      </c>
      <c r="E462" t="inlineStr">
        <is>
          <t>LEKSAND</t>
        </is>
      </c>
      <c r="G462" t="n">
        <v>0.3</v>
      </c>
      <c r="H462" t="n">
        <v>0</v>
      </c>
      <c r="I462" t="n">
        <v>0</v>
      </c>
      <c r="J462" t="n">
        <v>0</v>
      </c>
      <c r="K462" t="n">
        <v>0</v>
      </c>
      <c r="L462" t="n">
        <v>0</v>
      </c>
      <c r="M462" t="n">
        <v>0</v>
      </c>
      <c r="N462" t="n">
        <v>0</v>
      </c>
      <c r="O462" t="n">
        <v>0</v>
      </c>
      <c r="P462" t="n">
        <v>0</v>
      </c>
      <c r="Q462" t="n">
        <v>0</v>
      </c>
      <c r="R462" s="2" t="inlineStr"/>
    </row>
    <row r="463" ht="15" customHeight="1">
      <c r="A463" t="inlineStr">
        <is>
          <t>A 54767-2025</t>
        </is>
      </c>
      <c r="B463" s="1" t="n">
        <v>45966.60414351852</v>
      </c>
      <c r="C463" s="1" t="n">
        <v>46043</v>
      </c>
      <c r="D463" t="inlineStr">
        <is>
          <t>DALARNAS LÄN</t>
        </is>
      </c>
      <c r="E463" t="inlineStr">
        <is>
          <t>LEKSAND</t>
        </is>
      </c>
      <c r="G463" t="n">
        <v>2.4</v>
      </c>
      <c r="H463" t="n">
        <v>0</v>
      </c>
      <c r="I463" t="n">
        <v>0</v>
      </c>
      <c r="J463" t="n">
        <v>0</v>
      </c>
      <c r="K463" t="n">
        <v>0</v>
      </c>
      <c r="L463" t="n">
        <v>0</v>
      </c>
      <c r="M463" t="n">
        <v>0</v>
      </c>
      <c r="N463" t="n">
        <v>0</v>
      </c>
      <c r="O463" t="n">
        <v>0</v>
      </c>
      <c r="P463" t="n">
        <v>0</v>
      </c>
      <c r="Q463" t="n">
        <v>0</v>
      </c>
      <c r="R463" s="2" t="inlineStr"/>
    </row>
    <row r="464" ht="15" customHeight="1">
      <c r="A464" t="inlineStr">
        <is>
          <t>A 54785-2025</t>
        </is>
      </c>
      <c r="B464" s="1" t="n">
        <v>45966.62619212963</v>
      </c>
      <c r="C464" s="1" t="n">
        <v>46043</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54805-2025</t>
        </is>
      </c>
      <c r="B465" s="1" t="n">
        <v>45966.64165509259</v>
      </c>
      <c r="C465" s="1" t="n">
        <v>46043</v>
      </c>
      <c r="D465" t="inlineStr">
        <is>
          <t>DALARNAS LÄN</t>
        </is>
      </c>
      <c r="E465" t="inlineStr">
        <is>
          <t>LEKSAND</t>
        </is>
      </c>
      <c r="G465" t="n">
        <v>1.8</v>
      </c>
      <c r="H465" t="n">
        <v>0</v>
      </c>
      <c r="I465" t="n">
        <v>0</v>
      </c>
      <c r="J465" t="n">
        <v>0</v>
      </c>
      <c r="K465" t="n">
        <v>0</v>
      </c>
      <c r="L465" t="n">
        <v>0</v>
      </c>
      <c r="M465" t="n">
        <v>0</v>
      </c>
      <c r="N465" t="n">
        <v>0</v>
      </c>
      <c r="O465" t="n">
        <v>0</v>
      </c>
      <c r="P465" t="n">
        <v>0</v>
      </c>
      <c r="Q465" t="n">
        <v>0</v>
      </c>
      <c r="R465" s="2" t="inlineStr"/>
    </row>
    <row r="466" ht="15" customHeight="1">
      <c r="A466" t="inlineStr">
        <is>
          <t>A 54293-2025</t>
        </is>
      </c>
      <c r="B466" s="1" t="n">
        <v>45964.86651620371</v>
      </c>
      <c r="C466" s="1" t="n">
        <v>46043</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33566-2023</t>
        </is>
      </c>
      <c r="B467" s="1" t="n">
        <v>45131.64390046296</v>
      </c>
      <c r="C467" s="1" t="n">
        <v>46043</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62557-2025</t>
        </is>
      </c>
      <c r="B468" s="1" t="n">
        <v>46007.68412037037</v>
      </c>
      <c r="C468" s="1" t="n">
        <v>46043</v>
      </c>
      <c r="D468" t="inlineStr">
        <is>
          <t>DALARNAS LÄN</t>
        </is>
      </c>
      <c r="E468" t="inlineStr">
        <is>
          <t>LEKSAND</t>
        </is>
      </c>
      <c r="G468" t="n">
        <v>0.8</v>
      </c>
      <c r="H468" t="n">
        <v>0</v>
      </c>
      <c r="I468" t="n">
        <v>0</v>
      </c>
      <c r="J468" t="n">
        <v>0</v>
      </c>
      <c r="K468" t="n">
        <v>0</v>
      </c>
      <c r="L468" t="n">
        <v>0</v>
      </c>
      <c r="M468" t="n">
        <v>0</v>
      </c>
      <c r="N468" t="n">
        <v>0</v>
      </c>
      <c r="O468" t="n">
        <v>0</v>
      </c>
      <c r="P468" t="n">
        <v>0</v>
      </c>
      <c r="Q468" t="n">
        <v>0</v>
      </c>
      <c r="R468" s="2" t="inlineStr"/>
    </row>
    <row r="469" ht="15" customHeight="1">
      <c r="A469" t="inlineStr">
        <is>
          <t>A 28770-2025</t>
        </is>
      </c>
      <c r="B469" s="1" t="n">
        <v>45820</v>
      </c>
      <c r="C469" s="1" t="n">
        <v>46043</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62549-2025</t>
        </is>
      </c>
      <c r="B470" s="1" t="n">
        <v>46007.66886574074</v>
      </c>
      <c r="C470" s="1" t="n">
        <v>46043</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46043</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62525-2025</t>
        </is>
      </c>
      <c r="B472" s="1" t="n">
        <v>46007.63509259259</v>
      </c>
      <c r="C472" s="1" t="n">
        <v>46043</v>
      </c>
      <c r="D472" t="inlineStr">
        <is>
          <t>DALARNAS LÄN</t>
        </is>
      </c>
      <c r="E472" t="inlineStr">
        <is>
          <t>LEKSAND</t>
        </is>
      </c>
      <c r="G472" t="n">
        <v>5.7</v>
      </c>
      <c r="H472" t="n">
        <v>0</v>
      </c>
      <c r="I472" t="n">
        <v>0</v>
      </c>
      <c r="J472" t="n">
        <v>0</v>
      </c>
      <c r="K472" t="n">
        <v>0</v>
      </c>
      <c r="L472" t="n">
        <v>0</v>
      </c>
      <c r="M472" t="n">
        <v>0</v>
      </c>
      <c r="N472" t="n">
        <v>0</v>
      </c>
      <c r="O472" t="n">
        <v>0</v>
      </c>
      <c r="P472" t="n">
        <v>0</v>
      </c>
      <c r="Q472" t="n">
        <v>0</v>
      </c>
      <c r="R472" s="2" t="inlineStr"/>
    </row>
    <row r="473" ht="15" customHeight="1">
      <c r="A473" t="inlineStr">
        <is>
          <t>A 54789-2025</t>
        </is>
      </c>
      <c r="B473" s="1" t="n">
        <v>45966</v>
      </c>
      <c r="C473" s="1" t="n">
        <v>46043</v>
      </c>
      <c r="D473" t="inlineStr">
        <is>
          <t>DALARNAS LÄN</t>
        </is>
      </c>
      <c r="E473" t="inlineStr">
        <is>
          <t>LEKSAND</t>
        </is>
      </c>
      <c r="F473" t="inlineStr">
        <is>
          <t>Bergvik skog väst AB</t>
        </is>
      </c>
      <c r="G473" t="n">
        <v>1.6</v>
      </c>
      <c r="H473" t="n">
        <v>0</v>
      </c>
      <c r="I473" t="n">
        <v>0</v>
      </c>
      <c r="J473" t="n">
        <v>0</v>
      </c>
      <c r="K473" t="n">
        <v>0</v>
      </c>
      <c r="L473" t="n">
        <v>0</v>
      </c>
      <c r="M473" t="n">
        <v>0</v>
      </c>
      <c r="N473" t="n">
        <v>0</v>
      </c>
      <c r="O473" t="n">
        <v>0</v>
      </c>
      <c r="P473" t="n">
        <v>0</v>
      </c>
      <c r="Q473" t="n">
        <v>0</v>
      </c>
      <c r="R473" s="2" t="inlineStr"/>
    </row>
    <row r="474" ht="15" customHeight="1">
      <c r="A474" t="inlineStr">
        <is>
          <t>A 54494-2025</t>
        </is>
      </c>
      <c r="B474" s="1" t="n">
        <v>45965.59965277778</v>
      </c>
      <c r="C474" s="1" t="n">
        <v>46043</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28458-2025</t>
        </is>
      </c>
      <c r="B475" s="1" t="n">
        <v>45819.413125</v>
      </c>
      <c r="C475" s="1" t="n">
        <v>46043</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62556-2025</t>
        </is>
      </c>
      <c r="B476" s="1" t="n">
        <v>46007.68230324074</v>
      </c>
      <c r="C476" s="1" t="n">
        <v>46043</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62560-2025</t>
        </is>
      </c>
      <c r="B477" s="1" t="n">
        <v>46007.68733796296</v>
      </c>
      <c r="C477" s="1" t="n">
        <v>46043</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7395-2025</t>
        </is>
      </c>
      <c r="B478" s="1" t="n">
        <v>45705.34516203704</v>
      </c>
      <c r="C478" s="1" t="n">
        <v>46043</v>
      </c>
      <c r="D478" t="inlineStr">
        <is>
          <t>DALARNAS LÄN</t>
        </is>
      </c>
      <c r="E478" t="inlineStr">
        <is>
          <t>LEKSAND</t>
        </is>
      </c>
      <c r="G478" t="n">
        <v>1.8</v>
      </c>
      <c r="H478" t="n">
        <v>0</v>
      </c>
      <c r="I478" t="n">
        <v>0</v>
      </c>
      <c r="J478" t="n">
        <v>0</v>
      </c>
      <c r="K478" t="n">
        <v>0</v>
      </c>
      <c r="L478" t="n">
        <v>0</v>
      </c>
      <c r="M478" t="n">
        <v>0</v>
      </c>
      <c r="N478" t="n">
        <v>0</v>
      </c>
      <c r="O478" t="n">
        <v>0</v>
      </c>
      <c r="P478" t="n">
        <v>0</v>
      </c>
      <c r="Q478" t="n">
        <v>0</v>
      </c>
      <c r="R478" s="2" t="inlineStr"/>
    </row>
    <row r="479" ht="15" customHeight="1">
      <c r="A479" t="inlineStr">
        <is>
          <t>A 31971-2024</t>
        </is>
      </c>
      <c r="B479" s="1" t="n">
        <v>45510.55171296297</v>
      </c>
      <c r="C479" s="1" t="n">
        <v>46043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62863-2025</t>
        </is>
      </c>
      <c r="B480" s="1" t="n">
        <v>46008.78130787037</v>
      </c>
      <c r="C480" s="1" t="n">
        <v>46043</v>
      </c>
      <c r="D480" t="inlineStr">
        <is>
          <t>DALARNAS LÄN</t>
        </is>
      </c>
      <c r="E480" t="inlineStr">
        <is>
          <t>LEKSAND</t>
        </is>
      </c>
      <c r="F480" t="inlineStr">
        <is>
          <t>Bergvik skog väst AB</t>
        </is>
      </c>
      <c r="G480" t="n">
        <v>5.2</v>
      </c>
      <c r="H480" t="n">
        <v>0</v>
      </c>
      <c r="I480" t="n">
        <v>0</v>
      </c>
      <c r="J480" t="n">
        <v>0</v>
      </c>
      <c r="K480" t="n">
        <v>0</v>
      </c>
      <c r="L480" t="n">
        <v>0</v>
      </c>
      <c r="M480" t="n">
        <v>0</v>
      </c>
      <c r="N480" t="n">
        <v>0</v>
      </c>
      <c r="O480" t="n">
        <v>0</v>
      </c>
      <c r="P480" t="n">
        <v>0</v>
      </c>
      <c r="Q480" t="n">
        <v>0</v>
      </c>
      <c r="R480" s="2" t="inlineStr"/>
    </row>
    <row r="481" ht="15" customHeight="1">
      <c r="A481" t="inlineStr">
        <is>
          <t>A 62574-2025</t>
        </is>
      </c>
      <c r="B481" s="1" t="n">
        <v>46007.73261574074</v>
      </c>
      <c r="C481" s="1" t="n">
        <v>46043</v>
      </c>
      <c r="D481" t="inlineStr">
        <is>
          <t>DALARNAS LÄN</t>
        </is>
      </c>
      <c r="E481" t="inlineStr">
        <is>
          <t>LEKSAND</t>
        </is>
      </c>
      <c r="G481" t="n">
        <v>0.9</v>
      </c>
      <c r="H481" t="n">
        <v>0</v>
      </c>
      <c r="I481" t="n">
        <v>0</v>
      </c>
      <c r="J481" t="n">
        <v>0</v>
      </c>
      <c r="K481" t="n">
        <v>0</v>
      </c>
      <c r="L481" t="n">
        <v>0</v>
      </c>
      <c r="M481" t="n">
        <v>0</v>
      </c>
      <c r="N481" t="n">
        <v>0</v>
      </c>
      <c r="O481" t="n">
        <v>0</v>
      </c>
      <c r="P481" t="n">
        <v>0</v>
      </c>
      <c r="Q481" t="n">
        <v>0</v>
      </c>
      <c r="R481" s="2" t="inlineStr"/>
    </row>
    <row r="482" ht="15" customHeight="1">
      <c r="A482" t="inlineStr">
        <is>
          <t>A 29005-2025</t>
        </is>
      </c>
      <c r="B482" s="1" t="n">
        <v>45821.39326388889</v>
      </c>
      <c r="C482" s="1" t="n">
        <v>46043</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28985-2025</t>
        </is>
      </c>
      <c r="B483" s="1" t="n">
        <v>45821.36862268519</v>
      </c>
      <c r="C483" s="1" t="n">
        <v>46043</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61546-2021</t>
        </is>
      </c>
      <c r="B484" s="1" t="n">
        <v>44501</v>
      </c>
      <c r="C484" s="1" t="n">
        <v>46043</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63360-2025</t>
        </is>
      </c>
      <c r="B485" s="1" t="n">
        <v>46010.67482638889</v>
      </c>
      <c r="C485" s="1" t="n">
        <v>46043</v>
      </c>
      <c r="D485" t="inlineStr">
        <is>
          <t>DALARNAS LÄN</t>
        </is>
      </c>
      <c r="E485" t="inlineStr">
        <is>
          <t>LEKSAND</t>
        </is>
      </c>
      <c r="G485" t="n">
        <v>1</v>
      </c>
      <c r="H485" t="n">
        <v>0</v>
      </c>
      <c r="I485" t="n">
        <v>0</v>
      </c>
      <c r="J485" t="n">
        <v>0</v>
      </c>
      <c r="K485" t="n">
        <v>0</v>
      </c>
      <c r="L485" t="n">
        <v>0</v>
      </c>
      <c r="M485" t="n">
        <v>0</v>
      </c>
      <c r="N485" t="n">
        <v>0</v>
      </c>
      <c r="O485" t="n">
        <v>0</v>
      </c>
      <c r="P485" t="n">
        <v>0</v>
      </c>
      <c r="Q485" t="n">
        <v>0</v>
      </c>
      <c r="R485" s="2" t="inlineStr"/>
    </row>
    <row r="486" ht="15" customHeight="1">
      <c r="A486" t="inlineStr">
        <is>
          <t>A 63260-2025</t>
        </is>
      </c>
      <c r="B486" s="1" t="n">
        <v>46010.55725694444</v>
      </c>
      <c r="C486" s="1" t="n">
        <v>46043</v>
      </c>
      <c r="D486" t="inlineStr">
        <is>
          <t>DALARNAS LÄN</t>
        </is>
      </c>
      <c r="E486" t="inlineStr">
        <is>
          <t>LEKSAND</t>
        </is>
      </c>
      <c r="G486" t="n">
        <v>11.7</v>
      </c>
      <c r="H486" t="n">
        <v>0</v>
      </c>
      <c r="I486" t="n">
        <v>0</v>
      </c>
      <c r="J486" t="n">
        <v>0</v>
      </c>
      <c r="K486" t="n">
        <v>0</v>
      </c>
      <c r="L486" t="n">
        <v>0</v>
      </c>
      <c r="M486" t="n">
        <v>0</v>
      </c>
      <c r="N486" t="n">
        <v>0</v>
      </c>
      <c r="O486" t="n">
        <v>0</v>
      </c>
      <c r="P486" t="n">
        <v>0</v>
      </c>
      <c r="Q486" t="n">
        <v>0</v>
      </c>
      <c r="R486" s="2" t="inlineStr"/>
    </row>
    <row r="487" ht="15" customHeight="1">
      <c r="A487" t="inlineStr">
        <is>
          <t>A 7653-2025</t>
        </is>
      </c>
      <c r="B487" s="1" t="n">
        <v>45705.95238425926</v>
      </c>
      <c r="C487" s="1" t="n">
        <v>46043</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41853-2023</t>
        </is>
      </c>
      <c r="B488" s="1" t="n">
        <v>45176.62483796296</v>
      </c>
      <c r="C488" s="1" t="n">
        <v>46043</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62116-2024</t>
        </is>
      </c>
      <c r="B489" s="1" t="n">
        <v>45646</v>
      </c>
      <c r="C489" s="1" t="n">
        <v>46043</v>
      </c>
      <c r="D489" t="inlineStr">
        <is>
          <t>DALARNAS LÄN</t>
        </is>
      </c>
      <c r="E489" t="inlineStr">
        <is>
          <t>LEKSAND</t>
        </is>
      </c>
      <c r="G489" t="n">
        <v>1.4</v>
      </c>
      <c r="H489" t="n">
        <v>0</v>
      </c>
      <c r="I489" t="n">
        <v>0</v>
      </c>
      <c r="J489" t="n">
        <v>0</v>
      </c>
      <c r="K489" t="n">
        <v>0</v>
      </c>
      <c r="L489" t="n">
        <v>0</v>
      </c>
      <c r="M489" t="n">
        <v>0</v>
      </c>
      <c r="N489" t="n">
        <v>0</v>
      </c>
      <c r="O489" t="n">
        <v>0</v>
      </c>
      <c r="P489" t="n">
        <v>0</v>
      </c>
      <c r="Q489" t="n">
        <v>0</v>
      </c>
      <c r="R489" s="2" t="inlineStr"/>
    </row>
    <row r="490" ht="15" customHeight="1">
      <c r="A490" t="inlineStr">
        <is>
          <t>A 15986-2025</t>
        </is>
      </c>
      <c r="B490" s="1" t="n">
        <v>45749.57331018519</v>
      </c>
      <c r="C490" s="1" t="n">
        <v>46043</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62295-2023</t>
        </is>
      </c>
      <c r="B491" s="1" t="n">
        <v>45267</v>
      </c>
      <c r="C491" s="1" t="n">
        <v>46043</v>
      </c>
      <c r="D491" t="inlineStr">
        <is>
          <t>DALARNAS LÄN</t>
        </is>
      </c>
      <c r="E491" t="inlineStr">
        <is>
          <t>LEKSAND</t>
        </is>
      </c>
      <c r="G491" t="n">
        <v>2.5</v>
      </c>
      <c r="H491" t="n">
        <v>0</v>
      </c>
      <c r="I491" t="n">
        <v>0</v>
      </c>
      <c r="J491" t="n">
        <v>0</v>
      </c>
      <c r="K491" t="n">
        <v>0</v>
      </c>
      <c r="L491" t="n">
        <v>0</v>
      </c>
      <c r="M491" t="n">
        <v>0</v>
      </c>
      <c r="N491" t="n">
        <v>0</v>
      </c>
      <c r="O491" t="n">
        <v>0</v>
      </c>
      <c r="P491" t="n">
        <v>0</v>
      </c>
      <c r="Q491" t="n">
        <v>0</v>
      </c>
      <c r="R491" s="2" t="inlineStr"/>
    </row>
    <row r="492" ht="15" customHeight="1">
      <c r="A492" t="inlineStr">
        <is>
          <t>A 63592-2025</t>
        </is>
      </c>
      <c r="B492" s="1" t="n">
        <v>46013.89994212963</v>
      </c>
      <c r="C492" s="1" t="n">
        <v>46043</v>
      </c>
      <c r="D492" t="inlineStr">
        <is>
          <t>DALARNAS LÄN</t>
        </is>
      </c>
      <c r="E492" t="inlineStr">
        <is>
          <t>LEKSAND</t>
        </is>
      </c>
      <c r="G492" t="n">
        <v>2.7</v>
      </c>
      <c r="H492" t="n">
        <v>0</v>
      </c>
      <c r="I492" t="n">
        <v>0</v>
      </c>
      <c r="J492" t="n">
        <v>0</v>
      </c>
      <c r="K492" t="n">
        <v>0</v>
      </c>
      <c r="L492" t="n">
        <v>0</v>
      </c>
      <c r="M492" t="n">
        <v>0</v>
      </c>
      <c r="N492" t="n">
        <v>0</v>
      </c>
      <c r="O492" t="n">
        <v>0</v>
      </c>
      <c r="P492" t="n">
        <v>0</v>
      </c>
      <c r="Q492" t="n">
        <v>0</v>
      </c>
      <c r="R492" s="2" t="inlineStr"/>
    </row>
    <row r="493" ht="15" customHeight="1">
      <c r="A493" t="inlineStr">
        <is>
          <t>A 10771-2024</t>
        </is>
      </c>
      <c r="B493" s="1" t="n">
        <v>45369.57342592593</v>
      </c>
      <c r="C493" s="1" t="n">
        <v>46043</v>
      </c>
      <c r="D493" t="inlineStr">
        <is>
          <t>DALARNAS LÄN</t>
        </is>
      </c>
      <c r="E493" t="inlineStr">
        <is>
          <t>LEKSAND</t>
        </is>
      </c>
      <c r="G493" t="n">
        <v>0.4</v>
      </c>
      <c r="H493" t="n">
        <v>0</v>
      </c>
      <c r="I493" t="n">
        <v>0</v>
      </c>
      <c r="J493" t="n">
        <v>0</v>
      </c>
      <c r="K493" t="n">
        <v>0</v>
      </c>
      <c r="L493" t="n">
        <v>0</v>
      </c>
      <c r="M493" t="n">
        <v>0</v>
      </c>
      <c r="N493" t="n">
        <v>0</v>
      </c>
      <c r="O493" t="n">
        <v>0</v>
      </c>
      <c r="P493" t="n">
        <v>0</v>
      </c>
      <c r="Q493" t="n">
        <v>0</v>
      </c>
      <c r="R493" s="2" t="inlineStr"/>
    </row>
    <row r="494" ht="15" customHeight="1">
      <c r="A494" t="inlineStr">
        <is>
          <t>A 55493-2025</t>
        </is>
      </c>
      <c r="B494" s="1" t="n">
        <v>45971.57913194445</v>
      </c>
      <c r="C494" s="1" t="n">
        <v>46043</v>
      </c>
      <c r="D494" t="inlineStr">
        <is>
          <t>DALARNAS LÄN</t>
        </is>
      </c>
      <c r="E494" t="inlineStr">
        <is>
          <t>LEKSAND</t>
        </is>
      </c>
      <c r="G494" t="n">
        <v>0.9</v>
      </c>
      <c r="H494" t="n">
        <v>0</v>
      </c>
      <c r="I494" t="n">
        <v>0</v>
      </c>
      <c r="J494" t="n">
        <v>0</v>
      </c>
      <c r="K494" t="n">
        <v>0</v>
      </c>
      <c r="L494" t="n">
        <v>0</v>
      </c>
      <c r="M494" t="n">
        <v>0</v>
      </c>
      <c r="N494" t="n">
        <v>0</v>
      </c>
      <c r="O494" t="n">
        <v>0</v>
      </c>
      <c r="P494" t="n">
        <v>0</v>
      </c>
      <c r="Q494" t="n">
        <v>0</v>
      </c>
      <c r="R494" s="2" t="inlineStr"/>
    </row>
    <row r="495" ht="15" customHeight="1">
      <c r="A495" t="inlineStr">
        <is>
          <t>A 29729-2025</t>
        </is>
      </c>
      <c r="B495" s="1" t="n">
        <v>45825.58077546296</v>
      </c>
      <c r="C495" s="1" t="n">
        <v>46043</v>
      </c>
      <c r="D495" t="inlineStr">
        <is>
          <t>DALARNAS LÄN</t>
        </is>
      </c>
      <c r="E495" t="inlineStr">
        <is>
          <t>LEKSAND</t>
        </is>
      </c>
      <c r="F495" t="inlineStr">
        <is>
          <t>Bergvik skog väst AB</t>
        </is>
      </c>
      <c r="G495" t="n">
        <v>4.3</v>
      </c>
      <c r="H495" t="n">
        <v>0</v>
      </c>
      <c r="I495" t="n">
        <v>0</v>
      </c>
      <c r="J495" t="n">
        <v>0</v>
      </c>
      <c r="K495" t="n">
        <v>0</v>
      </c>
      <c r="L495" t="n">
        <v>0</v>
      </c>
      <c r="M495" t="n">
        <v>0</v>
      </c>
      <c r="N495" t="n">
        <v>0</v>
      </c>
      <c r="O495" t="n">
        <v>0</v>
      </c>
      <c r="P495" t="n">
        <v>0</v>
      </c>
      <c r="Q495" t="n">
        <v>0</v>
      </c>
      <c r="R495" s="2" t="inlineStr"/>
    </row>
    <row r="496" ht="15" customHeight="1">
      <c r="A496" t="inlineStr">
        <is>
          <t>A 29553-2025</t>
        </is>
      </c>
      <c r="B496" s="1" t="n">
        <v>45825.35315972222</v>
      </c>
      <c r="C496" s="1" t="n">
        <v>46043</v>
      </c>
      <c r="D496" t="inlineStr">
        <is>
          <t>DALARNAS LÄN</t>
        </is>
      </c>
      <c r="E496" t="inlineStr">
        <is>
          <t>LEKSAND</t>
        </is>
      </c>
      <c r="G496" t="n">
        <v>1.8</v>
      </c>
      <c r="H496" t="n">
        <v>0</v>
      </c>
      <c r="I496" t="n">
        <v>0</v>
      </c>
      <c r="J496" t="n">
        <v>0</v>
      </c>
      <c r="K496" t="n">
        <v>0</v>
      </c>
      <c r="L496" t="n">
        <v>0</v>
      </c>
      <c r="M496" t="n">
        <v>0</v>
      </c>
      <c r="N496" t="n">
        <v>0</v>
      </c>
      <c r="O496" t="n">
        <v>0</v>
      </c>
      <c r="P496" t="n">
        <v>0</v>
      </c>
      <c r="Q496" t="n">
        <v>0</v>
      </c>
      <c r="R496" s="2" t="inlineStr"/>
    </row>
    <row r="497" ht="15" customHeight="1">
      <c r="A497" t="inlineStr">
        <is>
          <t>A 46834-2023</t>
        </is>
      </c>
      <c r="B497" s="1" t="n">
        <v>45199.35668981481</v>
      </c>
      <c r="C497" s="1" t="n">
        <v>46043</v>
      </c>
      <c r="D497" t="inlineStr">
        <is>
          <t>DALARNAS LÄN</t>
        </is>
      </c>
      <c r="E497" t="inlineStr">
        <is>
          <t>LEKSAND</t>
        </is>
      </c>
      <c r="G497" t="n">
        <v>16.3</v>
      </c>
      <c r="H497" t="n">
        <v>0</v>
      </c>
      <c r="I497" t="n">
        <v>0</v>
      </c>
      <c r="J497" t="n">
        <v>0</v>
      </c>
      <c r="K497" t="n">
        <v>0</v>
      </c>
      <c r="L497" t="n">
        <v>0</v>
      </c>
      <c r="M497" t="n">
        <v>0</v>
      </c>
      <c r="N497" t="n">
        <v>0</v>
      </c>
      <c r="O497" t="n">
        <v>0</v>
      </c>
      <c r="P497" t="n">
        <v>0</v>
      </c>
      <c r="Q497" t="n">
        <v>0</v>
      </c>
      <c r="R497" s="2" t="inlineStr"/>
    </row>
    <row r="498" ht="15" customHeight="1">
      <c r="A498" t="inlineStr">
        <is>
          <t>A 55784-2025</t>
        </is>
      </c>
      <c r="B498" s="1" t="n">
        <v>45972.63765046297</v>
      </c>
      <c r="C498" s="1" t="n">
        <v>46043</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56161-2025</t>
        </is>
      </c>
      <c r="B499" s="1" t="n">
        <v>45974.37554398148</v>
      </c>
      <c r="C499" s="1" t="n">
        <v>46043</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1983-2025</t>
        </is>
      </c>
      <c r="B500" s="1" t="n">
        <v>45670</v>
      </c>
      <c r="C500" s="1" t="n">
        <v>46043</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21402-2023</t>
        </is>
      </c>
      <c r="B501" s="1" t="n">
        <v>45061</v>
      </c>
      <c r="C501" s="1" t="n">
        <v>46043</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30254-2025</t>
        </is>
      </c>
      <c r="B502" s="1" t="n">
        <v>45827.42336805556</v>
      </c>
      <c r="C502" s="1" t="n">
        <v>46043</v>
      </c>
      <c r="D502" t="inlineStr">
        <is>
          <t>DALARNAS LÄN</t>
        </is>
      </c>
      <c r="E502" t="inlineStr">
        <is>
          <t>LEKSAND</t>
        </is>
      </c>
      <c r="G502" t="n">
        <v>3.5</v>
      </c>
      <c r="H502" t="n">
        <v>0</v>
      </c>
      <c r="I502" t="n">
        <v>0</v>
      </c>
      <c r="J502" t="n">
        <v>0</v>
      </c>
      <c r="K502" t="n">
        <v>0</v>
      </c>
      <c r="L502" t="n">
        <v>0</v>
      </c>
      <c r="M502" t="n">
        <v>0</v>
      </c>
      <c r="N502" t="n">
        <v>0</v>
      </c>
      <c r="O502" t="n">
        <v>0</v>
      </c>
      <c r="P502" t="n">
        <v>0</v>
      </c>
      <c r="Q502" t="n">
        <v>0</v>
      </c>
      <c r="R502" s="2" t="inlineStr"/>
    </row>
    <row r="503" ht="15" customHeight="1">
      <c r="A503" t="inlineStr">
        <is>
          <t>A 56331-2025</t>
        </is>
      </c>
      <c r="B503" s="1" t="n">
        <v>45974.64157407408</v>
      </c>
      <c r="C503" s="1" t="n">
        <v>46043</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43142-2024</t>
        </is>
      </c>
      <c r="B504" s="1" t="n">
        <v>45567.62144675926</v>
      </c>
      <c r="C504" s="1" t="n">
        <v>46043</v>
      </c>
      <c r="D504" t="inlineStr">
        <is>
          <t>DALARNAS LÄN</t>
        </is>
      </c>
      <c r="E504" t="inlineStr">
        <is>
          <t>LEKSAND</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56514-2025</t>
        </is>
      </c>
      <c r="B505" s="1" t="n">
        <v>45975.45502314815</v>
      </c>
      <c r="C505" s="1" t="n">
        <v>46043</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56960-2025</t>
        </is>
      </c>
      <c r="B506" s="1" t="n">
        <v>45978.65903935185</v>
      </c>
      <c r="C506" s="1" t="n">
        <v>46043</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47673-2023</t>
        </is>
      </c>
      <c r="B507" s="1" t="n">
        <v>45203</v>
      </c>
      <c r="C507" s="1" t="n">
        <v>46043</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59718-2023</t>
        </is>
      </c>
      <c r="B508" s="1" t="n">
        <v>45257</v>
      </c>
      <c r="C508" s="1" t="n">
        <v>46043</v>
      </c>
      <c r="D508" t="inlineStr">
        <is>
          <t>DALARNAS LÄN</t>
        </is>
      </c>
      <c r="E508" t="inlineStr">
        <is>
          <t>LEKSAND</t>
        </is>
      </c>
      <c r="G508" t="n">
        <v>2.2</v>
      </c>
      <c r="H508" t="n">
        <v>0</v>
      </c>
      <c r="I508" t="n">
        <v>0</v>
      </c>
      <c r="J508" t="n">
        <v>0</v>
      </c>
      <c r="K508" t="n">
        <v>0</v>
      </c>
      <c r="L508" t="n">
        <v>0</v>
      </c>
      <c r="M508" t="n">
        <v>0</v>
      </c>
      <c r="N508" t="n">
        <v>0</v>
      </c>
      <c r="O508" t="n">
        <v>0</v>
      </c>
      <c r="P508" t="n">
        <v>0</v>
      </c>
      <c r="Q508" t="n">
        <v>0</v>
      </c>
      <c r="R508" s="2" t="inlineStr"/>
    </row>
    <row r="509" ht="15" customHeight="1">
      <c r="A509" t="inlineStr">
        <is>
          <t>A 30917-2025</t>
        </is>
      </c>
      <c r="B509" s="1" t="n">
        <v>45832.37989583334</v>
      </c>
      <c r="C509" s="1" t="n">
        <v>46043</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31179-2025</t>
        </is>
      </c>
      <c r="B510" s="1" t="n">
        <v>45832.67648148148</v>
      </c>
      <c r="C510" s="1" t="n">
        <v>46043</v>
      </c>
      <c r="D510" t="inlineStr">
        <is>
          <t>DALARNAS LÄN</t>
        </is>
      </c>
      <c r="E510" t="inlineStr">
        <is>
          <t>LEKSAND</t>
        </is>
      </c>
      <c r="G510" t="n">
        <v>4.7</v>
      </c>
      <c r="H510" t="n">
        <v>0</v>
      </c>
      <c r="I510" t="n">
        <v>0</v>
      </c>
      <c r="J510" t="n">
        <v>0</v>
      </c>
      <c r="K510" t="n">
        <v>0</v>
      </c>
      <c r="L510" t="n">
        <v>0</v>
      </c>
      <c r="M510" t="n">
        <v>0</v>
      </c>
      <c r="N510" t="n">
        <v>0</v>
      </c>
      <c r="O510" t="n">
        <v>0</v>
      </c>
      <c r="P510" t="n">
        <v>0</v>
      </c>
      <c r="Q510" t="n">
        <v>0</v>
      </c>
      <c r="R510" s="2" t="inlineStr"/>
    </row>
    <row r="511" ht="15" customHeight="1">
      <c r="A511" t="inlineStr">
        <is>
          <t>A 30969-2025</t>
        </is>
      </c>
      <c r="B511" s="1" t="n">
        <v>45832.45914351852</v>
      </c>
      <c r="C511" s="1" t="n">
        <v>46043</v>
      </c>
      <c r="D511" t="inlineStr">
        <is>
          <t>DALARNAS LÄN</t>
        </is>
      </c>
      <c r="E511" t="inlineStr">
        <is>
          <t>LEKSAND</t>
        </is>
      </c>
      <c r="F511" t="inlineStr">
        <is>
          <t>Bergvik skog väst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30911-2025</t>
        </is>
      </c>
      <c r="B512" s="1" t="n">
        <v>45832.37547453704</v>
      </c>
      <c r="C512" s="1" t="n">
        <v>46043</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1775-2022</t>
        </is>
      </c>
      <c r="B513" s="1" t="n">
        <v>44574</v>
      </c>
      <c r="C513" s="1" t="n">
        <v>46043</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30994-2023</t>
        </is>
      </c>
      <c r="B514" s="1" t="n">
        <v>45113</v>
      </c>
      <c r="C514" s="1" t="n">
        <v>46043</v>
      </c>
      <c r="D514" t="inlineStr">
        <is>
          <t>DALARNAS LÄN</t>
        </is>
      </c>
      <c r="E514" t="inlineStr">
        <is>
          <t>LEKSAND</t>
        </is>
      </c>
      <c r="G514" t="n">
        <v>1.1</v>
      </c>
      <c r="H514" t="n">
        <v>0</v>
      </c>
      <c r="I514" t="n">
        <v>0</v>
      </c>
      <c r="J514" t="n">
        <v>0</v>
      </c>
      <c r="K514" t="n">
        <v>0</v>
      </c>
      <c r="L514" t="n">
        <v>0</v>
      </c>
      <c r="M514" t="n">
        <v>0</v>
      </c>
      <c r="N514" t="n">
        <v>0</v>
      </c>
      <c r="O514" t="n">
        <v>0</v>
      </c>
      <c r="P514" t="n">
        <v>0</v>
      </c>
      <c r="Q514" t="n">
        <v>0</v>
      </c>
      <c r="R514" s="2" t="inlineStr"/>
    </row>
    <row r="515" ht="15" customHeight="1">
      <c r="A515" t="inlineStr">
        <is>
          <t>A 30920-2025</t>
        </is>
      </c>
      <c r="B515" s="1" t="n">
        <v>45832.38484953704</v>
      </c>
      <c r="C515" s="1" t="n">
        <v>46043</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57665-2023</t>
        </is>
      </c>
      <c r="B516" s="1" t="n">
        <v>45246</v>
      </c>
      <c r="C516" s="1" t="n">
        <v>46043</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30916-2025</t>
        </is>
      </c>
      <c r="B517" s="1" t="n">
        <v>45832.37885416667</v>
      </c>
      <c r="C517" s="1" t="n">
        <v>46043</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30973-2025</t>
        </is>
      </c>
      <c r="B518" s="1" t="n">
        <v>45832.46300925926</v>
      </c>
      <c r="C518" s="1" t="n">
        <v>46043</v>
      </c>
      <c r="D518" t="inlineStr">
        <is>
          <t>DALARNAS LÄN</t>
        </is>
      </c>
      <c r="E518" t="inlineStr">
        <is>
          <t>LEKSAND</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31189-2025</t>
        </is>
      </c>
      <c r="B519" s="1" t="n">
        <v>45832.6799537037</v>
      </c>
      <c r="C519" s="1" t="n">
        <v>46043</v>
      </c>
      <c r="D519" t="inlineStr">
        <is>
          <t>DALARNAS LÄN</t>
        </is>
      </c>
      <c r="E519" t="inlineStr">
        <is>
          <t>LEKSAND</t>
        </is>
      </c>
      <c r="G519" t="n">
        <v>5</v>
      </c>
      <c r="H519" t="n">
        <v>0</v>
      </c>
      <c r="I519" t="n">
        <v>0</v>
      </c>
      <c r="J519" t="n">
        <v>0</v>
      </c>
      <c r="K519" t="n">
        <v>0</v>
      </c>
      <c r="L519" t="n">
        <v>0</v>
      </c>
      <c r="M519" t="n">
        <v>0</v>
      </c>
      <c r="N519" t="n">
        <v>0</v>
      </c>
      <c r="O519" t="n">
        <v>0</v>
      </c>
      <c r="P519" t="n">
        <v>0</v>
      </c>
      <c r="Q519" t="n">
        <v>0</v>
      </c>
      <c r="R519" s="2" t="inlineStr"/>
    </row>
    <row r="520" ht="15" customHeight="1">
      <c r="A520" t="inlineStr">
        <is>
          <t>A 51480-2022</t>
        </is>
      </c>
      <c r="B520" s="1" t="n">
        <v>44869.57961805556</v>
      </c>
      <c r="C520" s="1" t="n">
        <v>46043</v>
      </c>
      <c r="D520" t="inlineStr">
        <is>
          <t>DALARNAS LÄN</t>
        </is>
      </c>
      <c r="E520" t="inlineStr">
        <is>
          <t>LEKSAND</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31619-2025</t>
        </is>
      </c>
      <c r="B521" s="1" t="n">
        <v>45833</v>
      </c>
      <c r="C521" s="1" t="n">
        <v>46043</v>
      </c>
      <c r="D521" t="inlineStr">
        <is>
          <t>DALARNAS LÄN</t>
        </is>
      </c>
      <c r="E521" t="inlineStr">
        <is>
          <t>LEKSAND</t>
        </is>
      </c>
      <c r="G521" t="n">
        <v>2.5</v>
      </c>
      <c r="H521" t="n">
        <v>0</v>
      </c>
      <c r="I521" t="n">
        <v>0</v>
      </c>
      <c r="J521" t="n">
        <v>0</v>
      </c>
      <c r="K521" t="n">
        <v>0</v>
      </c>
      <c r="L521" t="n">
        <v>0</v>
      </c>
      <c r="M521" t="n">
        <v>0</v>
      </c>
      <c r="N521" t="n">
        <v>0</v>
      </c>
      <c r="O521" t="n">
        <v>0</v>
      </c>
      <c r="P521" t="n">
        <v>0</v>
      </c>
      <c r="Q521" t="n">
        <v>0</v>
      </c>
      <c r="R521" s="2" t="inlineStr"/>
    </row>
    <row r="522" ht="15" customHeight="1">
      <c r="A522" t="inlineStr">
        <is>
          <t>A 31446-2025</t>
        </is>
      </c>
      <c r="B522" s="1" t="n">
        <v>45833</v>
      </c>
      <c r="C522" s="1" t="n">
        <v>46043</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43237-2024</t>
        </is>
      </c>
      <c r="B523" s="1" t="n">
        <v>45567</v>
      </c>
      <c r="C523" s="1" t="n">
        <v>46043</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31787-2025</t>
        </is>
      </c>
      <c r="B524" s="1" t="n">
        <v>45834</v>
      </c>
      <c r="C524" s="1" t="n">
        <v>46043</v>
      </c>
      <c r="D524" t="inlineStr">
        <is>
          <t>DALARNAS LÄN</t>
        </is>
      </c>
      <c r="E524" t="inlineStr">
        <is>
          <t>LEKSAND</t>
        </is>
      </c>
      <c r="F524" t="inlineStr">
        <is>
          <t>Bergvik skog väst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31493-2025</t>
        </is>
      </c>
      <c r="B525" s="1" t="n">
        <v>45833</v>
      </c>
      <c r="C525" s="1" t="n">
        <v>46043</v>
      </c>
      <c r="D525" t="inlineStr">
        <is>
          <t>DALARNAS LÄN</t>
        </is>
      </c>
      <c r="E525" t="inlineStr">
        <is>
          <t>LEKSAND</t>
        </is>
      </c>
      <c r="G525" t="n">
        <v>0.9</v>
      </c>
      <c r="H525" t="n">
        <v>0</v>
      </c>
      <c r="I525" t="n">
        <v>0</v>
      </c>
      <c r="J525" t="n">
        <v>0</v>
      </c>
      <c r="K525" t="n">
        <v>0</v>
      </c>
      <c r="L525" t="n">
        <v>0</v>
      </c>
      <c r="M525" t="n">
        <v>0</v>
      </c>
      <c r="N525" t="n">
        <v>0</v>
      </c>
      <c r="O525" t="n">
        <v>0</v>
      </c>
      <c r="P525" t="n">
        <v>0</v>
      </c>
      <c r="Q525" t="n">
        <v>0</v>
      </c>
      <c r="R525" s="2" t="inlineStr"/>
    </row>
    <row r="526" ht="15" customHeight="1">
      <c r="A526" t="inlineStr">
        <is>
          <t>A 34482-2022</t>
        </is>
      </c>
      <c r="B526" s="1" t="n">
        <v>44792</v>
      </c>
      <c r="C526" s="1" t="n">
        <v>46043</v>
      </c>
      <c r="D526" t="inlineStr">
        <is>
          <t>DALARNAS LÄN</t>
        </is>
      </c>
      <c r="E526" t="inlineStr">
        <is>
          <t>LEKSAND</t>
        </is>
      </c>
      <c r="G526" t="n">
        <v>2.6</v>
      </c>
      <c r="H526" t="n">
        <v>0</v>
      </c>
      <c r="I526" t="n">
        <v>0</v>
      </c>
      <c r="J526" t="n">
        <v>0</v>
      </c>
      <c r="K526" t="n">
        <v>0</v>
      </c>
      <c r="L526" t="n">
        <v>0</v>
      </c>
      <c r="M526" t="n">
        <v>0</v>
      </c>
      <c r="N526" t="n">
        <v>0</v>
      </c>
      <c r="O526" t="n">
        <v>0</v>
      </c>
      <c r="P526" t="n">
        <v>0</v>
      </c>
      <c r="Q526" t="n">
        <v>0</v>
      </c>
      <c r="R526" s="2" t="inlineStr"/>
    </row>
    <row r="527" ht="15" customHeight="1">
      <c r="A527" t="inlineStr">
        <is>
          <t>A 17485-2025</t>
        </is>
      </c>
      <c r="B527" s="1" t="n">
        <v>45757.49976851852</v>
      </c>
      <c r="C527" s="1" t="n">
        <v>46043</v>
      </c>
      <c r="D527" t="inlineStr">
        <is>
          <t>DALARNAS LÄN</t>
        </is>
      </c>
      <c r="E527" t="inlineStr">
        <is>
          <t>LEKSAND</t>
        </is>
      </c>
      <c r="G527" t="n">
        <v>3.7</v>
      </c>
      <c r="H527" t="n">
        <v>0</v>
      </c>
      <c r="I527" t="n">
        <v>0</v>
      </c>
      <c r="J527" t="n">
        <v>0</v>
      </c>
      <c r="K527" t="n">
        <v>0</v>
      </c>
      <c r="L527" t="n">
        <v>0</v>
      </c>
      <c r="M527" t="n">
        <v>0</v>
      </c>
      <c r="N527" t="n">
        <v>0</v>
      </c>
      <c r="O527" t="n">
        <v>0</v>
      </c>
      <c r="P527" t="n">
        <v>0</v>
      </c>
      <c r="Q527" t="n">
        <v>0</v>
      </c>
      <c r="R527" s="2" t="inlineStr"/>
    </row>
    <row r="528" ht="15" customHeight="1">
      <c r="A528" t="inlineStr">
        <is>
          <t>A 30595-2023</t>
        </is>
      </c>
      <c r="B528" s="1" t="n">
        <v>45112</v>
      </c>
      <c r="C528" s="1" t="n">
        <v>46043</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32104-2025</t>
        </is>
      </c>
      <c r="B529" s="1" t="n">
        <v>45835</v>
      </c>
      <c r="C529" s="1" t="n">
        <v>46043</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32593-2025</t>
        </is>
      </c>
      <c r="B530" s="1" t="n">
        <v>45838</v>
      </c>
      <c r="C530" s="1" t="n">
        <v>46043</v>
      </c>
      <c r="D530" t="inlineStr">
        <is>
          <t>DALARNAS LÄN</t>
        </is>
      </c>
      <c r="E530" t="inlineStr">
        <is>
          <t>LEKSAND</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56943-2024</t>
        </is>
      </c>
      <c r="B531" s="1" t="n">
        <v>45625</v>
      </c>
      <c r="C531" s="1" t="n">
        <v>46043</v>
      </c>
      <c r="D531" t="inlineStr">
        <is>
          <t>DALARNAS LÄN</t>
        </is>
      </c>
      <c r="E531" t="inlineStr">
        <is>
          <t>LEKSAND</t>
        </is>
      </c>
      <c r="G531" t="n">
        <v>0.7</v>
      </c>
      <c r="H531" t="n">
        <v>0</v>
      </c>
      <c r="I531" t="n">
        <v>0</v>
      </c>
      <c r="J531" t="n">
        <v>0</v>
      </c>
      <c r="K531" t="n">
        <v>0</v>
      </c>
      <c r="L531" t="n">
        <v>0</v>
      </c>
      <c r="M531" t="n">
        <v>0</v>
      </c>
      <c r="N531" t="n">
        <v>0</v>
      </c>
      <c r="O531" t="n">
        <v>0</v>
      </c>
      <c r="P531" t="n">
        <v>0</v>
      </c>
      <c r="Q531" t="n">
        <v>0</v>
      </c>
      <c r="R531" s="2" t="inlineStr"/>
    </row>
    <row r="532" ht="15" customHeight="1">
      <c r="A532" t="inlineStr">
        <is>
          <t>A 32661-2025</t>
        </is>
      </c>
      <c r="B532" s="1" t="n">
        <v>45838.67953703704</v>
      </c>
      <c r="C532" s="1" t="n">
        <v>46043</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15257-2025</t>
        </is>
      </c>
      <c r="B533" s="1" t="n">
        <v>45744</v>
      </c>
      <c r="C533" s="1" t="n">
        <v>46043</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24142-2021</t>
        </is>
      </c>
      <c r="B534" s="1" t="n">
        <v>44336</v>
      </c>
      <c r="C534" s="1" t="n">
        <v>46043</v>
      </c>
      <c r="D534" t="inlineStr">
        <is>
          <t>DALARNAS LÄN</t>
        </is>
      </c>
      <c r="E534" t="inlineStr">
        <is>
          <t>LEKSAND</t>
        </is>
      </c>
      <c r="F534" t="inlineStr">
        <is>
          <t>Bergvik skog väst AB</t>
        </is>
      </c>
      <c r="G534" t="n">
        <v>18.9</v>
      </c>
      <c r="H534" t="n">
        <v>0</v>
      </c>
      <c r="I534" t="n">
        <v>0</v>
      </c>
      <c r="J534" t="n">
        <v>0</v>
      </c>
      <c r="K534" t="n">
        <v>0</v>
      </c>
      <c r="L534" t="n">
        <v>0</v>
      </c>
      <c r="M534" t="n">
        <v>0</v>
      </c>
      <c r="N534" t="n">
        <v>0</v>
      </c>
      <c r="O534" t="n">
        <v>0</v>
      </c>
      <c r="P534" t="n">
        <v>0</v>
      </c>
      <c r="Q534" t="n">
        <v>0</v>
      </c>
      <c r="R534" s="2" t="inlineStr"/>
    </row>
    <row r="535" ht="15" customHeight="1">
      <c r="A535" t="inlineStr">
        <is>
          <t>A 32301-2025</t>
        </is>
      </c>
      <c r="B535" s="1" t="n">
        <v>45835</v>
      </c>
      <c r="C535" s="1" t="n">
        <v>46043</v>
      </c>
      <c r="D535" t="inlineStr">
        <is>
          <t>DALARNAS LÄN</t>
        </is>
      </c>
      <c r="E535" t="inlineStr">
        <is>
          <t>LEKSAND</t>
        </is>
      </c>
      <c r="G535" t="n">
        <v>2.2</v>
      </c>
      <c r="H535" t="n">
        <v>0</v>
      </c>
      <c r="I535" t="n">
        <v>0</v>
      </c>
      <c r="J535" t="n">
        <v>0</v>
      </c>
      <c r="K535" t="n">
        <v>0</v>
      </c>
      <c r="L535" t="n">
        <v>0</v>
      </c>
      <c r="M535" t="n">
        <v>0</v>
      </c>
      <c r="N535" t="n">
        <v>0</v>
      </c>
      <c r="O535" t="n">
        <v>0</v>
      </c>
      <c r="P535" t="n">
        <v>0</v>
      </c>
      <c r="Q535" t="n">
        <v>0</v>
      </c>
      <c r="R535" s="2" t="inlineStr"/>
    </row>
    <row r="536" ht="15" customHeight="1">
      <c r="A536" t="inlineStr">
        <is>
          <t>A 16815-2025</t>
        </is>
      </c>
      <c r="B536" s="1" t="n">
        <v>45754</v>
      </c>
      <c r="C536" s="1" t="n">
        <v>46043</v>
      </c>
      <c r="D536" t="inlineStr">
        <is>
          <t>DALARNAS LÄN</t>
        </is>
      </c>
      <c r="E536" t="inlineStr">
        <is>
          <t>LEKSAND</t>
        </is>
      </c>
      <c r="G536" t="n">
        <v>2.8</v>
      </c>
      <c r="H536" t="n">
        <v>0</v>
      </c>
      <c r="I536" t="n">
        <v>0</v>
      </c>
      <c r="J536" t="n">
        <v>0</v>
      </c>
      <c r="K536" t="n">
        <v>0</v>
      </c>
      <c r="L536" t="n">
        <v>0</v>
      </c>
      <c r="M536" t="n">
        <v>0</v>
      </c>
      <c r="N536" t="n">
        <v>0</v>
      </c>
      <c r="O536" t="n">
        <v>0</v>
      </c>
      <c r="P536" t="n">
        <v>0</v>
      </c>
      <c r="Q536" t="n">
        <v>0</v>
      </c>
      <c r="R536" s="2" t="inlineStr"/>
    </row>
    <row r="537" ht="15" customHeight="1">
      <c r="A537" t="inlineStr">
        <is>
          <t>A 32653-2025</t>
        </is>
      </c>
      <c r="B537" s="1" t="n">
        <v>45838</v>
      </c>
      <c r="C537" s="1" t="n">
        <v>46043</v>
      </c>
      <c r="D537" t="inlineStr">
        <is>
          <t>DALARNAS LÄN</t>
        </is>
      </c>
      <c r="E537" t="inlineStr">
        <is>
          <t>LEKSAND</t>
        </is>
      </c>
      <c r="G537" t="n">
        <v>5.6</v>
      </c>
      <c r="H537" t="n">
        <v>0</v>
      </c>
      <c r="I537" t="n">
        <v>0</v>
      </c>
      <c r="J537" t="n">
        <v>0</v>
      </c>
      <c r="K537" t="n">
        <v>0</v>
      </c>
      <c r="L537" t="n">
        <v>0</v>
      </c>
      <c r="M537" t="n">
        <v>0</v>
      </c>
      <c r="N537" t="n">
        <v>0</v>
      </c>
      <c r="O537" t="n">
        <v>0</v>
      </c>
      <c r="P537" t="n">
        <v>0</v>
      </c>
      <c r="Q537" t="n">
        <v>0</v>
      </c>
      <c r="R537" s="2" t="inlineStr"/>
    </row>
    <row r="538" ht="15" customHeight="1">
      <c r="A538" t="inlineStr">
        <is>
          <t>A 61208-2023</t>
        </is>
      </c>
      <c r="B538" s="1" t="n">
        <v>45260</v>
      </c>
      <c r="C538" s="1" t="n">
        <v>46043</v>
      </c>
      <c r="D538" t="inlineStr">
        <is>
          <t>DALARNAS LÄN</t>
        </is>
      </c>
      <c r="E538" t="inlineStr">
        <is>
          <t>LEKSAND</t>
        </is>
      </c>
      <c r="G538" t="n">
        <v>1.7</v>
      </c>
      <c r="H538" t="n">
        <v>0</v>
      </c>
      <c r="I538" t="n">
        <v>0</v>
      </c>
      <c r="J538" t="n">
        <v>0</v>
      </c>
      <c r="K538" t="n">
        <v>0</v>
      </c>
      <c r="L538" t="n">
        <v>0</v>
      </c>
      <c r="M538" t="n">
        <v>0</v>
      </c>
      <c r="N538" t="n">
        <v>0</v>
      </c>
      <c r="O538" t="n">
        <v>0</v>
      </c>
      <c r="P538" t="n">
        <v>0</v>
      </c>
      <c r="Q538" t="n">
        <v>0</v>
      </c>
      <c r="R538" s="2" t="inlineStr"/>
    </row>
    <row r="539" ht="15" customHeight="1">
      <c r="A539" t="inlineStr">
        <is>
          <t>A 52977-2022</t>
        </is>
      </c>
      <c r="B539" s="1" t="n">
        <v>44875</v>
      </c>
      <c r="C539" s="1" t="n">
        <v>46043</v>
      </c>
      <c r="D539" t="inlineStr">
        <is>
          <t>DALARNAS LÄN</t>
        </is>
      </c>
      <c r="E539" t="inlineStr">
        <is>
          <t>LEKSAND</t>
        </is>
      </c>
      <c r="G539" t="n">
        <v>1.5</v>
      </c>
      <c r="H539" t="n">
        <v>0</v>
      </c>
      <c r="I539" t="n">
        <v>0</v>
      </c>
      <c r="J539" t="n">
        <v>0</v>
      </c>
      <c r="K539" t="n">
        <v>0</v>
      </c>
      <c r="L539" t="n">
        <v>0</v>
      </c>
      <c r="M539" t="n">
        <v>0</v>
      </c>
      <c r="N539" t="n">
        <v>0</v>
      </c>
      <c r="O539" t="n">
        <v>0</v>
      </c>
      <c r="P539" t="n">
        <v>0</v>
      </c>
      <c r="Q539" t="n">
        <v>0</v>
      </c>
      <c r="R539" s="2" t="inlineStr"/>
    </row>
    <row r="540" ht="15" customHeight="1">
      <c r="A540" t="inlineStr">
        <is>
          <t>A 25921-2024</t>
        </is>
      </c>
      <c r="B540" s="1" t="n">
        <v>45467.6053587963</v>
      </c>
      <c r="C540" s="1" t="n">
        <v>46043</v>
      </c>
      <c r="D540" t="inlineStr">
        <is>
          <t>DALARNAS LÄN</t>
        </is>
      </c>
      <c r="E540" t="inlineStr">
        <is>
          <t>LEKSAND</t>
        </is>
      </c>
      <c r="G540" t="n">
        <v>2.8</v>
      </c>
      <c r="H540" t="n">
        <v>0</v>
      </c>
      <c r="I540" t="n">
        <v>0</v>
      </c>
      <c r="J540" t="n">
        <v>0</v>
      </c>
      <c r="K540" t="n">
        <v>0</v>
      </c>
      <c r="L540" t="n">
        <v>0</v>
      </c>
      <c r="M540" t="n">
        <v>0</v>
      </c>
      <c r="N540" t="n">
        <v>0</v>
      </c>
      <c r="O540" t="n">
        <v>0</v>
      </c>
      <c r="P540" t="n">
        <v>0</v>
      </c>
      <c r="Q540" t="n">
        <v>0</v>
      </c>
      <c r="R540" s="2" t="inlineStr"/>
    </row>
    <row r="541" ht="15" customHeight="1">
      <c r="A541" t="inlineStr">
        <is>
          <t>A 31945-2025</t>
        </is>
      </c>
      <c r="B541" s="1" t="n">
        <v>45835</v>
      </c>
      <c r="C541" s="1" t="n">
        <v>46043</v>
      </c>
      <c r="D541" t="inlineStr">
        <is>
          <t>DALARNAS LÄN</t>
        </is>
      </c>
      <c r="E541" t="inlineStr">
        <is>
          <t>LEKSAND</t>
        </is>
      </c>
      <c r="G541" t="n">
        <v>0.8</v>
      </c>
      <c r="H541" t="n">
        <v>0</v>
      </c>
      <c r="I541" t="n">
        <v>0</v>
      </c>
      <c r="J541" t="n">
        <v>0</v>
      </c>
      <c r="K541" t="n">
        <v>0</v>
      </c>
      <c r="L541" t="n">
        <v>0</v>
      </c>
      <c r="M541" t="n">
        <v>0</v>
      </c>
      <c r="N541" t="n">
        <v>0</v>
      </c>
      <c r="O541" t="n">
        <v>0</v>
      </c>
      <c r="P541" t="n">
        <v>0</v>
      </c>
      <c r="Q541" t="n">
        <v>0</v>
      </c>
      <c r="R541" s="2" t="inlineStr"/>
    </row>
    <row r="542" ht="15" customHeight="1">
      <c r="A542" t="inlineStr">
        <is>
          <t>A 28892-2022</t>
        </is>
      </c>
      <c r="B542" s="1" t="n">
        <v>44749</v>
      </c>
      <c r="C542" s="1" t="n">
        <v>46043</v>
      </c>
      <c r="D542" t="inlineStr">
        <is>
          <t>DALARNAS LÄN</t>
        </is>
      </c>
      <c r="E542" t="inlineStr">
        <is>
          <t>LEKSAND</t>
        </is>
      </c>
      <c r="F542" t="inlineStr">
        <is>
          <t>Bergvik skog väst AB</t>
        </is>
      </c>
      <c r="G542" t="n">
        <v>9.1</v>
      </c>
      <c r="H542" t="n">
        <v>0</v>
      </c>
      <c r="I542" t="n">
        <v>0</v>
      </c>
      <c r="J542" t="n">
        <v>0</v>
      </c>
      <c r="K542" t="n">
        <v>0</v>
      </c>
      <c r="L542" t="n">
        <v>0</v>
      </c>
      <c r="M542" t="n">
        <v>0</v>
      </c>
      <c r="N542" t="n">
        <v>0</v>
      </c>
      <c r="O542" t="n">
        <v>0</v>
      </c>
      <c r="P542" t="n">
        <v>0</v>
      </c>
      <c r="Q542" t="n">
        <v>0</v>
      </c>
      <c r="R542" s="2" t="inlineStr"/>
    </row>
    <row r="543" ht="15" customHeight="1">
      <c r="A543" t="inlineStr">
        <is>
          <t>A 33160-2025</t>
        </is>
      </c>
      <c r="B543" s="1" t="n">
        <v>45840</v>
      </c>
      <c r="C543" s="1" t="n">
        <v>46043</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320-2023</t>
        </is>
      </c>
      <c r="B544" s="1" t="n">
        <v>44929</v>
      </c>
      <c r="C544" s="1" t="n">
        <v>46043</v>
      </c>
      <c r="D544" t="inlineStr">
        <is>
          <t>DALARNAS LÄN</t>
        </is>
      </c>
      <c r="E544" t="inlineStr">
        <is>
          <t>LEKSAND</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32855-2025</t>
        </is>
      </c>
      <c r="B545" s="1" t="n">
        <v>45839.57643518518</v>
      </c>
      <c r="C545" s="1" t="n">
        <v>46043</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12581-2025</t>
        </is>
      </c>
      <c r="B546" s="1" t="n">
        <v>45732.62201388889</v>
      </c>
      <c r="C546" s="1" t="n">
        <v>46043</v>
      </c>
      <c r="D546" t="inlineStr">
        <is>
          <t>DALARNAS LÄN</t>
        </is>
      </c>
      <c r="E546" t="inlineStr">
        <is>
          <t>LEKSAND</t>
        </is>
      </c>
      <c r="G546" t="n">
        <v>5.1</v>
      </c>
      <c r="H546" t="n">
        <v>0</v>
      </c>
      <c r="I546" t="n">
        <v>0</v>
      </c>
      <c r="J546" t="n">
        <v>0</v>
      </c>
      <c r="K546" t="n">
        <v>0</v>
      </c>
      <c r="L546" t="n">
        <v>0</v>
      </c>
      <c r="M546" t="n">
        <v>0</v>
      </c>
      <c r="N546" t="n">
        <v>0</v>
      </c>
      <c r="O546" t="n">
        <v>0</v>
      </c>
      <c r="P546" t="n">
        <v>0</v>
      </c>
      <c r="Q546" t="n">
        <v>0</v>
      </c>
      <c r="R546" s="2" t="inlineStr"/>
    </row>
    <row r="547" ht="15" customHeight="1">
      <c r="A547" t="inlineStr">
        <is>
          <t>A 12620-2025</t>
        </is>
      </c>
      <c r="B547" s="1" t="n">
        <v>45733.35498842593</v>
      </c>
      <c r="C547" s="1" t="n">
        <v>46043</v>
      </c>
      <c r="D547" t="inlineStr">
        <is>
          <t>DALARNAS LÄN</t>
        </is>
      </c>
      <c r="E547" t="inlineStr">
        <is>
          <t>LEKSAND</t>
        </is>
      </c>
      <c r="F547" t="inlineStr">
        <is>
          <t>Bergvik skog väst AB</t>
        </is>
      </c>
      <c r="G547" t="n">
        <v>3.9</v>
      </c>
      <c r="H547" t="n">
        <v>0</v>
      </c>
      <c r="I547" t="n">
        <v>0</v>
      </c>
      <c r="J547" t="n">
        <v>0</v>
      </c>
      <c r="K547" t="n">
        <v>0</v>
      </c>
      <c r="L547" t="n">
        <v>0</v>
      </c>
      <c r="M547" t="n">
        <v>0</v>
      </c>
      <c r="N547" t="n">
        <v>0</v>
      </c>
      <c r="O547" t="n">
        <v>0</v>
      </c>
      <c r="P547" t="n">
        <v>0</v>
      </c>
      <c r="Q547" t="n">
        <v>0</v>
      </c>
      <c r="R547" s="2" t="inlineStr"/>
    </row>
    <row r="548" ht="15" customHeight="1">
      <c r="A548" t="inlineStr">
        <is>
          <t>A 12623-2025</t>
        </is>
      </c>
      <c r="B548" s="1" t="n">
        <v>45733.36079861111</v>
      </c>
      <c r="C548" s="1" t="n">
        <v>46043</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32666-2023</t>
        </is>
      </c>
      <c r="B549" s="1" t="n">
        <v>45121</v>
      </c>
      <c r="C549" s="1" t="n">
        <v>46043</v>
      </c>
      <c r="D549" t="inlineStr">
        <is>
          <t>DALARNAS LÄN</t>
        </is>
      </c>
      <c r="E549" t="inlineStr">
        <is>
          <t>LEKSAND</t>
        </is>
      </c>
      <c r="G549" t="n">
        <v>9.9</v>
      </c>
      <c r="H549" t="n">
        <v>0</v>
      </c>
      <c r="I549" t="n">
        <v>0</v>
      </c>
      <c r="J549" t="n">
        <v>0</v>
      </c>
      <c r="K549" t="n">
        <v>0</v>
      </c>
      <c r="L549" t="n">
        <v>0</v>
      </c>
      <c r="M549" t="n">
        <v>0</v>
      </c>
      <c r="N549" t="n">
        <v>0</v>
      </c>
      <c r="O549" t="n">
        <v>0</v>
      </c>
      <c r="P549" t="n">
        <v>0</v>
      </c>
      <c r="Q549" t="n">
        <v>0</v>
      </c>
      <c r="R549" s="2" t="inlineStr"/>
    </row>
    <row r="550" ht="15" customHeight="1">
      <c r="A550" t="inlineStr">
        <is>
          <t>A 5231-2024</t>
        </is>
      </c>
      <c r="B550" s="1" t="n">
        <v>45330</v>
      </c>
      <c r="C550" s="1" t="n">
        <v>46043</v>
      </c>
      <c r="D550" t="inlineStr">
        <is>
          <t>DALARNAS LÄN</t>
        </is>
      </c>
      <c r="E550" t="inlineStr">
        <is>
          <t>LEKSAND</t>
        </is>
      </c>
      <c r="F550" t="inlineStr">
        <is>
          <t>Bergvik skog väst AB</t>
        </is>
      </c>
      <c r="G550" t="n">
        <v>11.2</v>
      </c>
      <c r="H550" t="n">
        <v>0</v>
      </c>
      <c r="I550" t="n">
        <v>0</v>
      </c>
      <c r="J550" t="n">
        <v>0</v>
      </c>
      <c r="K550" t="n">
        <v>0</v>
      </c>
      <c r="L550" t="n">
        <v>0</v>
      </c>
      <c r="M550" t="n">
        <v>0</v>
      </c>
      <c r="N550" t="n">
        <v>0</v>
      </c>
      <c r="O550" t="n">
        <v>0</v>
      </c>
      <c r="P550" t="n">
        <v>0</v>
      </c>
      <c r="Q550" t="n">
        <v>0</v>
      </c>
      <c r="R550" s="2" t="inlineStr"/>
    </row>
    <row r="551" ht="15" customHeight="1">
      <c r="A551" t="inlineStr">
        <is>
          <t>A 23896-2024</t>
        </is>
      </c>
      <c r="B551" s="1" t="n">
        <v>45455.6758449074</v>
      </c>
      <c r="C551" s="1" t="n">
        <v>46043</v>
      </c>
      <c r="D551" t="inlineStr">
        <is>
          <t>DALARNAS LÄN</t>
        </is>
      </c>
      <c r="E551" t="inlineStr">
        <is>
          <t>LEKSAND</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46043</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61288-2022</t>
        </is>
      </c>
      <c r="B553" s="1" t="n">
        <v>44915</v>
      </c>
      <c r="C553" s="1" t="n">
        <v>46043</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20936-2023</t>
        </is>
      </c>
      <c r="B554" s="1" t="n">
        <v>45061</v>
      </c>
      <c r="C554" s="1" t="n">
        <v>46043</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33804-2025</t>
        </is>
      </c>
      <c r="B555" s="1" t="n">
        <v>45842</v>
      </c>
      <c r="C555" s="1" t="n">
        <v>46043</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17377-2025</t>
        </is>
      </c>
      <c r="B556" s="1" t="n">
        <v>45756.983125</v>
      </c>
      <c r="C556" s="1" t="n">
        <v>46043</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46043</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53817-2023</t>
        </is>
      </c>
      <c r="B558" s="1" t="n">
        <v>45231.40488425926</v>
      </c>
      <c r="C558" s="1" t="n">
        <v>46043</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45103.61575231481</v>
      </c>
      <c r="C559" s="1" t="n">
        <v>46043</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14943-2023</t>
        </is>
      </c>
      <c r="B560" s="1" t="n">
        <v>45015</v>
      </c>
      <c r="C560" s="1" t="n">
        <v>46043</v>
      </c>
      <c r="D560" t="inlineStr">
        <is>
          <t>DALARNAS LÄN</t>
        </is>
      </c>
      <c r="E560" t="inlineStr">
        <is>
          <t>LEKSAND</t>
        </is>
      </c>
      <c r="G560" t="n">
        <v>1.7</v>
      </c>
      <c r="H560" t="n">
        <v>0</v>
      </c>
      <c r="I560" t="n">
        <v>0</v>
      </c>
      <c r="J560" t="n">
        <v>0</v>
      </c>
      <c r="K560" t="n">
        <v>0</v>
      </c>
      <c r="L560" t="n">
        <v>0</v>
      </c>
      <c r="M560" t="n">
        <v>0</v>
      </c>
      <c r="N560" t="n">
        <v>0</v>
      </c>
      <c r="O560" t="n">
        <v>0</v>
      </c>
      <c r="P560" t="n">
        <v>0</v>
      </c>
      <c r="Q560" t="n">
        <v>0</v>
      </c>
      <c r="R560" s="2" t="inlineStr"/>
    </row>
    <row r="561" ht="15" customHeight="1">
      <c r="A561" t="inlineStr">
        <is>
          <t>A 41840-2024</t>
        </is>
      </c>
      <c r="B561" s="1" t="n">
        <v>45561.42170138889</v>
      </c>
      <c r="C561" s="1" t="n">
        <v>46043</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33143-2024</t>
        </is>
      </c>
      <c r="B562" s="1" t="n">
        <v>45518</v>
      </c>
      <c r="C562" s="1" t="n">
        <v>46043</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34789-2025</t>
        </is>
      </c>
      <c r="B563" s="1" t="n">
        <v>45848</v>
      </c>
      <c r="C563" s="1" t="n">
        <v>46043</v>
      </c>
      <c r="D563" t="inlineStr">
        <is>
          <t>DALARNAS LÄN</t>
        </is>
      </c>
      <c r="E563" t="inlineStr">
        <is>
          <t>LEKSAND</t>
        </is>
      </c>
      <c r="F563" t="inlineStr">
        <is>
          <t>Bergvik skog väst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41896-2024</t>
        </is>
      </c>
      <c r="B564" s="1" t="n">
        <v>45561.51310185185</v>
      </c>
      <c r="C564" s="1" t="n">
        <v>46043</v>
      </c>
      <c r="D564" t="inlineStr">
        <is>
          <t>DALARNAS LÄN</t>
        </is>
      </c>
      <c r="E564" t="inlineStr">
        <is>
          <t>LEKSAND</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34537-2025</t>
        </is>
      </c>
      <c r="B565" s="1" t="n">
        <v>45847</v>
      </c>
      <c r="C565" s="1" t="n">
        <v>46043</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35094-2025</t>
        </is>
      </c>
      <c r="B566" s="1" t="n">
        <v>45852</v>
      </c>
      <c r="C566" s="1" t="n">
        <v>46043</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34965-2025</t>
        </is>
      </c>
      <c r="B567" s="1" t="n">
        <v>45849</v>
      </c>
      <c r="C567" s="1" t="n">
        <v>46043</v>
      </c>
      <c r="D567" t="inlineStr">
        <is>
          <t>DALARNAS LÄN</t>
        </is>
      </c>
      <c r="E567" t="inlineStr">
        <is>
          <t>LEKSAND</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34966-2025</t>
        </is>
      </c>
      <c r="B568" s="1" t="n">
        <v>45849</v>
      </c>
      <c r="C568" s="1" t="n">
        <v>46043</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471-2025</t>
        </is>
      </c>
      <c r="B569" s="1" t="n">
        <v>45664.43394675926</v>
      </c>
      <c r="C569" s="1" t="n">
        <v>46043</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13705-2021</t>
        </is>
      </c>
      <c r="B570" s="1" t="n">
        <v>44274</v>
      </c>
      <c r="C570" s="1" t="n">
        <v>46043</v>
      </c>
      <c r="D570" t="inlineStr">
        <is>
          <t>DALARNAS LÄN</t>
        </is>
      </c>
      <c r="E570" t="inlineStr">
        <is>
          <t>LEKSAND</t>
        </is>
      </c>
      <c r="G570" t="n">
        <v>3.8</v>
      </c>
      <c r="H570" t="n">
        <v>0</v>
      </c>
      <c r="I570" t="n">
        <v>0</v>
      </c>
      <c r="J570" t="n">
        <v>0</v>
      </c>
      <c r="K570" t="n">
        <v>0</v>
      </c>
      <c r="L570" t="n">
        <v>0</v>
      </c>
      <c r="M570" t="n">
        <v>0</v>
      </c>
      <c r="N570" t="n">
        <v>0</v>
      </c>
      <c r="O570" t="n">
        <v>0</v>
      </c>
      <c r="P570" t="n">
        <v>0</v>
      </c>
      <c r="Q570" t="n">
        <v>0</v>
      </c>
      <c r="R570" s="2" t="inlineStr"/>
    </row>
    <row r="571" ht="15" customHeight="1">
      <c r="A571" t="inlineStr">
        <is>
          <t>A 35746-2025</t>
        </is>
      </c>
      <c r="B571" s="1" t="n">
        <v>45860</v>
      </c>
      <c r="C571" s="1" t="n">
        <v>46043</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11128-2023</t>
        </is>
      </c>
      <c r="B572" s="1" t="n">
        <v>44992</v>
      </c>
      <c r="C572" s="1" t="n">
        <v>46043</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60024-2023</t>
        </is>
      </c>
      <c r="B573" s="1" t="n">
        <v>45258</v>
      </c>
      <c r="C573" s="1" t="n">
        <v>46043</v>
      </c>
      <c r="D573" t="inlineStr">
        <is>
          <t>DALARNAS LÄN</t>
        </is>
      </c>
      <c r="E573" t="inlineStr">
        <is>
          <t>LEKSAND</t>
        </is>
      </c>
      <c r="G573" t="n">
        <v>4.2</v>
      </c>
      <c r="H573" t="n">
        <v>0</v>
      </c>
      <c r="I573" t="n">
        <v>0</v>
      </c>
      <c r="J573" t="n">
        <v>0</v>
      </c>
      <c r="K573" t="n">
        <v>0</v>
      </c>
      <c r="L573" t="n">
        <v>0</v>
      </c>
      <c r="M573" t="n">
        <v>0</v>
      </c>
      <c r="N573" t="n">
        <v>0</v>
      </c>
      <c r="O573" t="n">
        <v>0</v>
      </c>
      <c r="P573" t="n">
        <v>0</v>
      </c>
      <c r="Q573" t="n">
        <v>0</v>
      </c>
      <c r="R573" s="2" t="inlineStr"/>
    </row>
    <row r="574" ht="15" customHeight="1">
      <c r="A574" t="inlineStr">
        <is>
          <t>A 11859-2024</t>
        </is>
      </c>
      <c r="B574" s="1" t="n">
        <v>45376.44569444445</v>
      </c>
      <c r="C574" s="1" t="n">
        <v>46043</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62133-2023</t>
        </is>
      </c>
      <c r="B575" s="1" t="n">
        <v>45267.35582175926</v>
      </c>
      <c r="C575" s="1" t="n">
        <v>46043</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58495-2023</t>
        </is>
      </c>
      <c r="B576" s="1" t="n">
        <v>45251</v>
      </c>
      <c r="C576" s="1" t="n">
        <v>46043</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6039-2023</t>
        </is>
      </c>
      <c r="B577" s="1" t="n">
        <v>44959</v>
      </c>
      <c r="C577" s="1" t="n">
        <v>46043</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22517-2024</t>
        </is>
      </c>
      <c r="B578" s="1" t="n">
        <v>45447.40143518519</v>
      </c>
      <c r="C578" s="1" t="n">
        <v>46043</v>
      </c>
      <c r="D578" t="inlineStr">
        <is>
          <t>DALARNAS LÄN</t>
        </is>
      </c>
      <c r="E578" t="inlineStr">
        <is>
          <t>LEKSAND</t>
        </is>
      </c>
      <c r="G578" t="n">
        <v>0.4</v>
      </c>
      <c r="H578" t="n">
        <v>0</v>
      </c>
      <c r="I578" t="n">
        <v>0</v>
      </c>
      <c r="J578" t="n">
        <v>0</v>
      </c>
      <c r="K578" t="n">
        <v>0</v>
      </c>
      <c r="L578" t="n">
        <v>0</v>
      </c>
      <c r="M578" t="n">
        <v>0</v>
      </c>
      <c r="N578" t="n">
        <v>0</v>
      </c>
      <c r="O578" t="n">
        <v>0</v>
      </c>
      <c r="P578" t="n">
        <v>0</v>
      </c>
      <c r="Q578" t="n">
        <v>0</v>
      </c>
      <c r="R578" s="2" t="inlineStr"/>
    </row>
    <row r="579" ht="15" customHeight="1">
      <c r="A579" t="inlineStr">
        <is>
          <t>A 52801-2023</t>
        </is>
      </c>
      <c r="B579" s="1" t="n">
        <v>45219</v>
      </c>
      <c r="C579" s="1" t="n">
        <v>46043</v>
      </c>
      <c r="D579" t="inlineStr">
        <is>
          <t>DALARNAS LÄN</t>
        </is>
      </c>
      <c r="E579" t="inlineStr">
        <is>
          <t>LEKSAND</t>
        </is>
      </c>
      <c r="G579" t="n">
        <v>4.9</v>
      </c>
      <c r="H579" t="n">
        <v>0</v>
      </c>
      <c r="I579" t="n">
        <v>0</v>
      </c>
      <c r="J579" t="n">
        <v>0</v>
      </c>
      <c r="K579" t="n">
        <v>0</v>
      </c>
      <c r="L579" t="n">
        <v>0</v>
      </c>
      <c r="M579" t="n">
        <v>0</v>
      </c>
      <c r="N579" t="n">
        <v>0</v>
      </c>
      <c r="O579" t="n">
        <v>0</v>
      </c>
      <c r="P579" t="n">
        <v>0</v>
      </c>
      <c r="Q579" t="n">
        <v>0</v>
      </c>
      <c r="R579" s="2" t="inlineStr"/>
    </row>
    <row r="580" ht="15" customHeight="1">
      <c r="A580" t="inlineStr">
        <is>
          <t>A 35866-2025</t>
        </is>
      </c>
      <c r="B580" s="1" t="n">
        <v>45861</v>
      </c>
      <c r="C580" s="1" t="n">
        <v>46043</v>
      </c>
      <c r="D580" t="inlineStr">
        <is>
          <t>DALARNAS LÄN</t>
        </is>
      </c>
      <c r="E580" t="inlineStr">
        <is>
          <t>LEKSAND</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45768-2023</t>
        </is>
      </c>
      <c r="B581" s="1" t="n">
        <v>45195</v>
      </c>
      <c r="C581" s="1" t="n">
        <v>46043</v>
      </c>
      <c r="D581" t="inlineStr">
        <is>
          <t>DALARNAS LÄN</t>
        </is>
      </c>
      <c r="E581" t="inlineStr">
        <is>
          <t>LEKSAND</t>
        </is>
      </c>
      <c r="G581" t="n">
        <v>0.4</v>
      </c>
      <c r="H581" t="n">
        <v>0</v>
      </c>
      <c r="I581" t="n">
        <v>0</v>
      </c>
      <c r="J581" t="n">
        <v>0</v>
      </c>
      <c r="K581" t="n">
        <v>0</v>
      </c>
      <c r="L581" t="n">
        <v>0</v>
      </c>
      <c r="M581" t="n">
        <v>0</v>
      </c>
      <c r="N581" t="n">
        <v>0</v>
      </c>
      <c r="O581" t="n">
        <v>0</v>
      </c>
      <c r="P581" t="n">
        <v>0</v>
      </c>
      <c r="Q581" t="n">
        <v>0</v>
      </c>
      <c r="R581" s="2" t="inlineStr"/>
    </row>
    <row r="582" ht="15" customHeight="1">
      <c r="A582" t="inlineStr">
        <is>
          <t>A 41306-2024</t>
        </is>
      </c>
      <c r="B582" s="1" t="n">
        <v>45559.62550925926</v>
      </c>
      <c r="C582" s="1" t="n">
        <v>46043</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35998-2025</t>
        </is>
      </c>
      <c r="B583" s="1" t="n">
        <v>45863.51550925926</v>
      </c>
      <c r="C583" s="1" t="n">
        <v>46043</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36021-2025</t>
        </is>
      </c>
      <c r="B584" s="1" t="n">
        <v>45863.72346064815</v>
      </c>
      <c r="C584" s="1" t="n">
        <v>46043</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36450-2023</t>
        </is>
      </c>
      <c r="B585" s="1" t="n">
        <v>45152.64842592592</v>
      </c>
      <c r="C585" s="1" t="n">
        <v>46043</v>
      </c>
      <c r="D585" t="inlineStr">
        <is>
          <t>DALARNAS LÄN</t>
        </is>
      </c>
      <c r="E585" t="inlineStr">
        <is>
          <t>LEKSAND</t>
        </is>
      </c>
      <c r="G585" t="n">
        <v>2.4</v>
      </c>
      <c r="H585" t="n">
        <v>0</v>
      </c>
      <c r="I585" t="n">
        <v>0</v>
      </c>
      <c r="J585" t="n">
        <v>0</v>
      </c>
      <c r="K585" t="n">
        <v>0</v>
      </c>
      <c r="L585" t="n">
        <v>0</v>
      </c>
      <c r="M585" t="n">
        <v>0</v>
      </c>
      <c r="N585" t="n">
        <v>0</v>
      </c>
      <c r="O585" t="n">
        <v>0</v>
      </c>
      <c r="P585" t="n">
        <v>0</v>
      </c>
      <c r="Q585" t="n">
        <v>0</v>
      </c>
      <c r="R585" s="2" t="inlineStr"/>
    </row>
    <row r="586" ht="15" customHeight="1">
      <c r="A586" t="inlineStr">
        <is>
          <t>A 36020-2025</t>
        </is>
      </c>
      <c r="B586" s="1" t="n">
        <v>45863</v>
      </c>
      <c r="C586" s="1" t="n">
        <v>46043</v>
      </c>
      <c r="D586" t="inlineStr">
        <is>
          <t>DALARNAS LÄN</t>
        </is>
      </c>
      <c r="E586" t="inlineStr">
        <is>
          <t>LEKSAND</t>
        </is>
      </c>
      <c r="F586" t="inlineStr">
        <is>
          <t>Bergvik skog väst AB</t>
        </is>
      </c>
      <c r="G586" t="n">
        <v>2.8</v>
      </c>
      <c r="H586" t="n">
        <v>0</v>
      </c>
      <c r="I586" t="n">
        <v>0</v>
      </c>
      <c r="J586" t="n">
        <v>0</v>
      </c>
      <c r="K586" t="n">
        <v>0</v>
      </c>
      <c r="L586" t="n">
        <v>0</v>
      </c>
      <c r="M586" t="n">
        <v>0</v>
      </c>
      <c r="N586" t="n">
        <v>0</v>
      </c>
      <c r="O586" t="n">
        <v>0</v>
      </c>
      <c r="P586" t="n">
        <v>0</v>
      </c>
      <c r="Q586" t="n">
        <v>0</v>
      </c>
      <c r="R586" s="2" t="inlineStr"/>
    </row>
    <row r="587" ht="15" customHeight="1">
      <c r="A587" t="inlineStr">
        <is>
          <t>A 1458-2024</t>
        </is>
      </c>
      <c r="B587" s="1" t="n">
        <v>45303</v>
      </c>
      <c r="C587" s="1" t="n">
        <v>46043</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1461-2024</t>
        </is>
      </c>
      <c r="B588" s="1" t="n">
        <v>45303</v>
      </c>
      <c r="C588" s="1" t="n">
        <v>46043</v>
      </c>
      <c r="D588" t="inlineStr">
        <is>
          <t>DALARNAS LÄN</t>
        </is>
      </c>
      <c r="E588" t="inlineStr">
        <is>
          <t>LEKSAND</t>
        </is>
      </c>
      <c r="G588" t="n">
        <v>2.4</v>
      </c>
      <c r="H588" t="n">
        <v>0</v>
      </c>
      <c r="I588" t="n">
        <v>0</v>
      </c>
      <c r="J588" t="n">
        <v>0</v>
      </c>
      <c r="K588" t="n">
        <v>0</v>
      </c>
      <c r="L588" t="n">
        <v>0</v>
      </c>
      <c r="M588" t="n">
        <v>0</v>
      </c>
      <c r="N588" t="n">
        <v>0</v>
      </c>
      <c r="O588" t="n">
        <v>0</v>
      </c>
      <c r="P588" t="n">
        <v>0</v>
      </c>
      <c r="Q588" t="n">
        <v>0</v>
      </c>
      <c r="R588" s="2" t="inlineStr"/>
    </row>
    <row r="589" ht="15" customHeight="1">
      <c r="A589" t="inlineStr">
        <is>
          <t>A 36017-2025</t>
        </is>
      </c>
      <c r="B589" s="1" t="n">
        <v>45863</v>
      </c>
      <c r="C589" s="1" t="n">
        <v>46043</v>
      </c>
      <c r="D589" t="inlineStr">
        <is>
          <t>DALARNAS LÄN</t>
        </is>
      </c>
      <c r="E589" t="inlineStr">
        <is>
          <t>LEKSAND</t>
        </is>
      </c>
      <c r="F589" t="inlineStr">
        <is>
          <t>Bergvik skog väst AB</t>
        </is>
      </c>
      <c r="G589" t="n">
        <v>17.9</v>
      </c>
      <c r="H589" t="n">
        <v>0</v>
      </c>
      <c r="I589" t="n">
        <v>0</v>
      </c>
      <c r="J589" t="n">
        <v>0</v>
      </c>
      <c r="K589" t="n">
        <v>0</v>
      </c>
      <c r="L589" t="n">
        <v>0</v>
      </c>
      <c r="M589" t="n">
        <v>0</v>
      </c>
      <c r="N589" t="n">
        <v>0</v>
      </c>
      <c r="O589" t="n">
        <v>0</v>
      </c>
      <c r="P589" t="n">
        <v>0</v>
      </c>
      <c r="Q589" t="n">
        <v>0</v>
      </c>
      <c r="R589" s="2" t="inlineStr"/>
    </row>
    <row r="590" ht="15" customHeight="1">
      <c r="A590" t="inlineStr">
        <is>
          <t>A 3737-2023</t>
        </is>
      </c>
      <c r="B590" s="1" t="n">
        <v>44951.42983796296</v>
      </c>
      <c r="C590" s="1" t="n">
        <v>46043</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36190-2025</t>
        </is>
      </c>
      <c r="B591" s="1" t="n">
        <v>45867</v>
      </c>
      <c r="C591" s="1" t="n">
        <v>46043</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11678-2023</t>
        </is>
      </c>
      <c r="B592" s="1" t="n">
        <v>44994</v>
      </c>
      <c r="C592" s="1" t="n">
        <v>46043</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13288-2023</t>
        </is>
      </c>
      <c r="B593" s="1" t="n">
        <v>45004.8160300926</v>
      </c>
      <c r="C593" s="1" t="n">
        <v>46043</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11869-2024</t>
        </is>
      </c>
      <c r="B594" s="1" t="n">
        <v>45376.45800925926</v>
      </c>
      <c r="C594" s="1" t="n">
        <v>46043</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36540-2025</t>
        </is>
      </c>
      <c r="B595" s="1" t="n">
        <v>45869.63885416667</v>
      </c>
      <c r="C595" s="1" t="n">
        <v>46043</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27520-2023</t>
        </is>
      </c>
      <c r="B596" s="1" t="n">
        <v>45097</v>
      </c>
      <c r="C596" s="1" t="n">
        <v>46043</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30169-2023</t>
        </is>
      </c>
      <c r="B597" s="1" t="n">
        <v>45110</v>
      </c>
      <c r="C597" s="1" t="n">
        <v>46043</v>
      </c>
      <c r="D597" t="inlineStr">
        <is>
          <t>DALARNAS LÄN</t>
        </is>
      </c>
      <c r="E597" t="inlineStr">
        <is>
          <t>LEKSAND</t>
        </is>
      </c>
      <c r="G597" t="n">
        <v>1.1</v>
      </c>
      <c r="H597" t="n">
        <v>0</v>
      </c>
      <c r="I597" t="n">
        <v>0</v>
      </c>
      <c r="J597" t="n">
        <v>0</v>
      </c>
      <c r="K597" t="n">
        <v>0</v>
      </c>
      <c r="L597" t="n">
        <v>0</v>
      </c>
      <c r="M597" t="n">
        <v>0</v>
      </c>
      <c r="N597" t="n">
        <v>0</v>
      </c>
      <c r="O597" t="n">
        <v>0</v>
      </c>
      <c r="P597" t="n">
        <v>0</v>
      </c>
      <c r="Q597" t="n">
        <v>0</v>
      </c>
      <c r="R597" s="2" t="inlineStr"/>
    </row>
    <row r="598" ht="15" customHeight="1">
      <c r="A598" t="inlineStr">
        <is>
          <t>A 37952-2024</t>
        </is>
      </c>
      <c r="B598" s="1" t="n">
        <v>45544.5200462963</v>
      </c>
      <c r="C598" s="1" t="n">
        <v>46043</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164-2023</t>
        </is>
      </c>
      <c r="B599" s="1" t="n">
        <v>44918</v>
      </c>
      <c r="C599" s="1" t="n">
        <v>46043</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3352-2024</t>
        </is>
      </c>
      <c r="B600" s="1" t="n">
        <v>45317</v>
      </c>
      <c r="C600" s="1" t="n">
        <v>46043</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51677-2024</t>
        </is>
      </c>
      <c r="B601" s="1" t="n">
        <v>45607.30265046296</v>
      </c>
      <c r="C601" s="1" t="n">
        <v>46043</v>
      </c>
      <c r="D601" t="inlineStr">
        <is>
          <t>DALARNAS LÄN</t>
        </is>
      </c>
      <c r="E601" t="inlineStr">
        <is>
          <t>LEKSAND</t>
        </is>
      </c>
      <c r="G601" t="n">
        <v>3.4</v>
      </c>
      <c r="H601" t="n">
        <v>0</v>
      </c>
      <c r="I601" t="n">
        <v>0</v>
      </c>
      <c r="J601" t="n">
        <v>0</v>
      </c>
      <c r="K601" t="n">
        <v>0</v>
      </c>
      <c r="L601" t="n">
        <v>0</v>
      </c>
      <c r="M601" t="n">
        <v>0</v>
      </c>
      <c r="N601" t="n">
        <v>0</v>
      </c>
      <c r="O601" t="n">
        <v>0</v>
      </c>
      <c r="P601" t="n">
        <v>0</v>
      </c>
      <c r="Q601" t="n">
        <v>0</v>
      </c>
      <c r="R601" s="2" t="inlineStr"/>
    </row>
    <row r="602" ht="15" customHeight="1">
      <c r="A602" t="inlineStr">
        <is>
          <t>A 31391-2024</t>
        </is>
      </c>
      <c r="B602" s="1" t="n">
        <v>45505.46616898148</v>
      </c>
      <c r="C602" s="1" t="n">
        <v>46043</v>
      </c>
      <c r="D602" t="inlineStr">
        <is>
          <t>DALARNAS LÄN</t>
        </is>
      </c>
      <c r="E602" t="inlineStr">
        <is>
          <t>LEKSAND</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11004-2023</t>
        </is>
      </c>
      <c r="B603" s="1" t="n">
        <v>44986</v>
      </c>
      <c r="C603" s="1" t="n">
        <v>46043</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27244-2023</t>
        </is>
      </c>
      <c r="B604" s="1" t="n">
        <v>45096</v>
      </c>
      <c r="C604" s="1" t="n">
        <v>46043</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18107-2025</t>
        </is>
      </c>
      <c r="B605" s="1" t="n">
        <v>45761.55939814815</v>
      </c>
      <c r="C605" s="1" t="n">
        <v>46043</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16051-2023</t>
        </is>
      </c>
      <c r="B606" s="1" t="n">
        <v>45027</v>
      </c>
      <c r="C606" s="1" t="n">
        <v>46043</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56059-2024</t>
        </is>
      </c>
      <c r="B607" s="1" t="n">
        <v>45624.36729166667</v>
      </c>
      <c r="C607" s="1" t="n">
        <v>46043</v>
      </c>
      <c r="D607" t="inlineStr">
        <is>
          <t>DALARNAS LÄN</t>
        </is>
      </c>
      <c r="E607" t="inlineStr">
        <is>
          <t>LEKSAND</t>
        </is>
      </c>
      <c r="G607" t="n">
        <v>3.1</v>
      </c>
      <c r="H607" t="n">
        <v>0</v>
      </c>
      <c r="I607" t="n">
        <v>0</v>
      </c>
      <c r="J607" t="n">
        <v>0</v>
      </c>
      <c r="K607" t="n">
        <v>0</v>
      </c>
      <c r="L607" t="n">
        <v>0</v>
      </c>
      <c r="M607" t="n">
        <v>0</v>
      </c>
      <c r="N607" t="n">
        <v>0</v>
      </c>
      <c r="O607" t="n">
        <v>0</v>
      </c>
      <c r="P607" t="n">
        <v>0</v>
      </c>
      <c r="Q607" t="n">
        <v>0</v>
      </c>
      <c r="R607" s="2" t="inlineStr"/>
    </row>
    <row r="608" ht="15" customHeight="1">
      <c r="A608" t="inlineStr">
        <is>
          <t>A 37508-2025</t>
        </is>
      </c>
      <c r="B608" s="1" t="n">
        <v>45877.66282407408</v>
      </c>
      <c r="C608" s="1" t="n">
        <v>46043</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2579-2022</t>
        </is>
      </c>
      <c r="B609" s="1" t="n">
        <v>44580</v>
      </c>
      <c r="C609" s="1" t="n">
        <v>46043</v>
      </c>
      <c r="D609" t="inlineStr">
        <is>
          <t>DALARNAS LÄN</t>
        </is>
      </c>
      <c r="E609" t="inlineStr">
        <is>
          <t>LEKSAND</t>
        </is>
      </c>
      <c r="G609" t="n">
        <v>0.3</v>
      </c>
      <c r="H609" t="n">
        <v>0</v>
      </c>
      <c r="I609" t="n">
        <v>0</v>
      </c>
      <c r="J609" t="n">
        <v>0</v>
      </c>
      <c r="K609" t="n">
        <v>0</v>
      </c>
      <c r="L609" t="n">
        <v>0</v>
      </c>
      <c r="M609" t="n">
        <v>0</v>
      </c>
      <c r="N609" t="n">
        <v>0</v>
      </c>
      <c r="O609" t="n">
        <v>0</v>
      </c>
      <c r="P609" t="n">
        <v>0</v>
      </c>
      <c r="Q609" t="n">
        <v>0</v>
      </c>
      <c r="R609" s="2" t="inlineStr"/>
    </row>
    <row r="610" ht="15" customHeight="1">
      <c r="A610" t="inlineStr">
        <is>
          <t>A 49395-2024</t>
        </is>
      </c>
      <c r="B610" s="1" t="n">
        <v>45595</v>
      </c>
      <c r="C610" s="1" t="n">
        <v>46043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37996-2025</t>
        </is>
      </c>
      <c r="B611" s="1" t="n">
        <v>45881.8299537037</v>
      </c>
      <c r="C611" s="1" t="n">
        <v>46043</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38090-2025</t>
        </is>
      </c>
      <c r="B612" s="1" t="n">
        <v>45882.48440972222</v>
      </c>
      <c r="C612" s="1" t="n">
        <v>46043</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45127.84586805556</v>
      </c>
      <c r="C613" s="1" t="n">
        <v>46043</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33318-2023</t>
        </is>
      </c>
      <c r="B614" s="1" t="n">
        <v>45127</v>
      </c>
      <c r="C614" s="1" t="n">
        <v>46043</v>
      </c>
      <c r="D614" t="inlineStr">
        <is>
          <t>DALARNAS LÄN</t>
        </is>
      </c>
      <c r="E614" t="inlineStr">
        <is>
          <t>LEKSAND</t>
        </is>
      </c>
      <c r="G614" t="n">
        <v>5.5</v>
      </c>
      <c r="H614" t="n">
        <v>0</v>
      </c>
      <c r="I614" t="n">
        <v>0</v>
      </c>
      <c r="J614" t="n">
        <v>0</v>
      </c>
      <c r="K614" t="n">
        <v>0</v>
      </c>
      <c r="L614" t="n">
        <v>0</v>
      </c>
      <c r="M614" t="n">
        <v>0</v>
      </c>
      <c r="N614" t="n">
        <v>0</v>
      </c>
      <c r="O614" t="n">
        <v>0</v>
      </c>
      <c r="P614" t="n">
        <v>0</v>
      </c>
      <c r="Q614" t="n">
        <v>0</v>
      </c>
      <c r="R614" s="2" t="inlineStr"/>
    </row>
    <row r="615" ht="15" customHeight="1">
      <c r="A615" t="inlineStr">
        <is>
          <t>A 19296-2024</t>
        </is>
      </c>
      <c r="B615" s="1" t="n">
        <v>45428.69438657408</v>
      </c>
      <c r="C615" s="1" t="n">
        <v>46043</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40009-2024</t>
        </is>
      </c>
      <c r="B616" s="1" t="n">
        <v>45553.65361111111</v>
      </c>
      <c r="C616" s="1" t="n">
        <v>46043</v>
      </c>
      <c r="D616" t="inlineStr">
        <is>
          <t>DALARNAS LÄN</t>
        </is>
      </c>
      <c r="E616" t="inlineStr">
        <is>
          <t>LEKSAND</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52572-2024</t>
        </is>
      </c>
      <c r="B617" s="1" t="n">
        <v>45609.66488425926</v>
      </c>
      <c r="C617" s="1" t="n">
        <v>46043</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12851-2023</t>
        </is>
      </c>
      <c r="B618" s="1" t="n">
        <v>45001.49347222222</v>
      </c>
      <c r="C618" s="1" t="n">
        <v>46043</v>
      </c>
      <c r="D618" t="inlineStr">
        <is>
          <t>DALARNAS LÄN</t>
        </is>
      </c>
      <c r="E618" t="inlineStr">
        <is>
          <t>LEKSAND</t>
        </is>
      </c>
      <c r="G618" t="n">
        <v>1.9</v>
      </c>
      <c r="H618" t="n">
        <v>0</v>
      </c>
      <c r="I618" t="n">
        <v>0</v>
      </c>
      <c r="J618" t="n">
        <v>0</v>
      </c>
      <c r="K618" t="n">
        <v>0</v>
      </c>
      <c r="L618" t="n">
        <v>0</v>
      </c>
      <c r="M618" t="n">
        <v>0</v>
      </c>
      <c r="N618" t="n">
        <v>0</v>
      </c>
      <c r="O618" t="n">
        <v>0</v>
      </c>
      <c r="P618" t="n">
        <v>0</v>
      </c>
      <c r="Q618" t="n">
        <v>0</v>
      </c>
      <c r="R618" s="2" t="inlineStr"/>
    </row>
    <row r="619" ht="15" customHeight="1">
      <c r="A619" t="inlineStr">
        <is>
          <t>A 19295-2024</t>
        </is>
      </c>
      <c r="B619" s="1" t="n">
        <v>45428.69106481481</v>
      </c>
      <c r="C619" s="1" t="n">
        <v>46043</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9781-2024</t>
        </is>
      </c>
      <c r="B620" s="1" t="n">
        <v>45362.66299768518</v>
      </c>
      <c r="C620" s="1" t="n">
        <v>46043</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63513-2023</t>
        </is>
      </c>
      <c r="B621" s="1" t="n">
        <v>45274</v>
      </c>
      <c r="C621" s="1" t="n">
        <v>46043</v>
      </c>
      <c r="D621" t="inlineStr">
        <is>
          <t>DALARNAS LÄN</t>
        </is>
      </c>
      <c r="E621" t="inlineStr">
        <is>
          <t>LEKSAND</t>
        </is>
      </c>
      <c r="G621" t="n">
        <v>2.3</v>
      </c>
      <c r="H621" t="n">
        <v>0</v>
      </c>
      <c r="I621" t="n">
        <v>0</v>
      </c>
      <c r="J621" t="n">
        <v>0</v>
      </c>
      <c r="K621" t="n">
        <v>0</v>
      </c>
      <c r="L621" t="n">
        <v>0</v>
      </c>
      <c r="M621" t="n">
        <v>0</v>
      </c>
      <c r="N621" t="n">
        <v>0</v>
      </c>
      <c r="O621" t="n">
        <v>0</v>
      </c>
      <c r="P621" t="n">
        <v>0</v>
      </c>
      <c r="Q621" t="n">
        <v>0</v>
      </c>
      <c r="R621" s="2" t="inlineStr"/>
    </row>
    <row r="622" ht="15" customHeight="1">
      <c r="A622" t="inlineStr">
        <is>
          <t>A 40230-2023</t>
        </is>
      </c>
      <c r="B622" s="1" t="n">
        <v>45169.46887731482</v>
      </c>
      <c r="C622" s="1" t="n">
        <v>46043</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39819-2024</t>
        </is>
      </c>
      <c r="B623" s="1" t="n">
        <v>45553.38774305556</v>
      </c>
      <c r="C623" s="1" t="n">
        <v>46043</v>
      </c>
      <c r="D623" t="inlineStr">
        <is>
          <t>DALARNAS LÄN</t>
        </is>
      </c>
      <c r="E623" t="inlineStr">
        <is>
          <t>LEKSAND</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52100-2024</t>
        </is>
      </c>
      <c r="B624" s="1" t="n">
        <v>45608.41634259259</v>
      </c>
      <c r="C624" s="1" t="n">
        <v>46043</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4257-2022</t>
        </is>
      </c>
      <c r="B625" s="1" t="n">
        <v>44588</v>
      </c>
      <c r="C625" s="1" t="n">
        <v>46043</v>
      </c>
      <c r="D625" t="inlineStr">
        <is>
          <t>DALARNAS LÄN</t>
        </is>
      </c>
      <c r="E625" t="inlineStr">
        <is>
          <t>LEKSAND</t>
        </is>
      </c>
      <c r="G625" t="n">
        <v>6.8</v>
      </c>
      <c r="H625" t="n">
        <v>0</v>
      </c>
      <c r="I625" t="n">
        <v>0</v>
      </c>
      <c r="J625" t="n">
        <v>0</v>
      </c>
      <c r="K625" t="n">
        <v>0</v>
      </c>
      <c r="L625" t="n">
        <v>0</v>
      </c>
      <c r="M625" t="n">
        <v>0</v>
      </c>
      <c r="N625" t="n">
        <v>0</v>
      </c>
      <c r="O625" t="n">
        <v>0</v>
      </c>
      <c r="P625" t="n">
        <v>0</v>
      </c>
      <c r="Q625" t="n">
        <v>0</v>
      </c>
      <c r="R625" s="2" t="inlineStr"/>
    </row>
    <row r="626" ht="15" customHeight="1">
      <c r="A626" t="inlineStr">
        <is>
          <t>A 31726-2024</t>
        </is>
      </c>
      <c r="B626" s="1" t="n">
        <v>45509.33908564815</v>
      </c>
      <c r="C626" s="1" t="n">
        <v>46043</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55512-2024</t>
        </is>
      </c>
      <c r="B627" s="1" t="n">
        <v>45621</v>
      </c>
      <c r="C627" s="1" t="n">
        <v>46043</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52059-2024</t>
        </is>
      </c>
      <c r="B628" s="1" t="n">
        <v>45608.35609953704</v>
      </c>
      <c r="C628" s="1" t="n">
        <v>46043</v>
      </c>
      <c r="D628" t="inlineStr">
        <is>
          <t>DALARNAS LÄN</t>
        </is>
      </c>
      <c r="E628" t="inlineStr">
        <is>
          <t>LEKSAND</t>
        </is>
      </c>
      <c r="G628" t="n">
        <v>0.8</v>
      </c>
      <c r="H628" t="n">
        <v>0</v>
      </c>
      <c r="I628" t="n">
        <v>0</v>
      </c>
      <c r="J628" t="n">
        <v>0</v>
      </c>
      <c r="K628" t="n">
        <v>0</v>
      </c>
      <c r="L628" t="n">
        <v>0</v>
      </c>
      <c r="M628" t="n">
        <v>0</v>
      </c>
      <c r="N628" t="n">
        <v>0</v>
      </c>
      <c r="O628" t="n">
        <v>0</v>
      </c>
      <c r="P628" t="n">
        <v>0</v>
      </c>
      <c r="Q628" t="n">
        <v>0</v>
      </c>
      <c r="R628" s="2" t="inlineStr"/>
    </row>
    <row r="629" ht="15" customHeight="1">
      <c r="A629" t="inlineStr">
        <is>
          <t>A 12992-2022</t>
        </is>
      </c>
      <c r="B629" s="1" t="n">
        <v>44643</v>
      </c>
      <c r="C629" s="1" t="n">
        <v>46043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11712-2025</t>
        </is>
      </c>
      <c r="B630" s="1" t="n">
        <v>45727</v>
      </c>
      <c r="C630" s="1" t="n">
        <v>46043</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24003-2024</t>
        </is>
      </c>
      <c r="B631" s="1" t="n">
        <v>45456.39003472222</v>
      </c>
      <c r="C631" s="1" t="n">
        <v>46043</v>
      </c>
      <c r="D631" t="inlineStr">
        <is>
          <t>DALARNAS LÄN</t>
        </is>
      </c>
      <c r="E631" t="inlineStr">
        <is>
          <t>LEKSAND</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46043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47854-2023</t>
        </is>
      </c>
      <c r="B633" s="1" t="n">
        <v>45198</v>
      </c>
      <c r="C633" s="1" t="n">
        <v>46043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46043</v>
      </c>
      <c r="D634" t="inlineStr">
        <is>
          <t>DALARNAS LÄN</t>
        </is>
      </c>
      <c r="E634" t="inlineStr">
        <is>
          <t>LEKSAND</t>
        </is>
      </c>
      <c r="G634" t="n">
        <v>0.3</v>
      </c>
      <c r="H634" t="n">
        <v>0</v>
      </c>
      <c r="I634" t="n">
        <v>0</v>
      </c>
      <c r="J634" t="n">
        <v>0</v>
      </c>
      <c r="K634" t="n">
        <v>0</v>
      </c>
      <c r="L634" t="n">
        <v>0</v>
      </c>
      <c r="M634" t="n">
        <v>0</v>
      </c>
      <c r="N634" t="n">
        <v>0</v>
      </c>
      <c r="O634" t="n">
        <v>0</v>
      </c>
      <c r="P634" t="n">
        <v>0</v>
      </c>
      <c r="Q634" t="n">
        <v>0</v>
      </c>
      <c r="R634" s="2" t="inlineStr"/>
    </row>
    <row r="635" ht="15" customHeight="1">
      <c r="A635" t="inlineStr">
        <is>
          <t>A 44469-2024</t>
        </is>
      </c>
      <c r="B635" s="1" t="n">
        <v>45574</v>
      </c>
      <c r="C635" s="1" t="n">
        <v>46043</v>
      </c>
      <c r="D635" t="inlineStr">
        <is>
          <t>DALARNAS LÄN</t>
        </is>
      </c>
      <c r="E635" t="inlineStr">
        <is>
          <t>LEKSAND</t>
        </is>
      </c>
      <c r="G635" t="n">
        <v>2</v>
      </c>
      <c r="H635" t="n">
        <v>0</v>
      </c>
      <c r="I635" t="n">
        <v>0</v>
      </c>
      <c r="J635" t="n">
        <v>0</v>
      </c>
      <c r="K635" t="n">
        <v>0</v>
      </c>
      <c r="L635" t="n">
        <v>0</v>
      </c>
      <c r="M635" t="n">
        <v>0</v>
      </c>
      <c r="N635" t="n">
        <v>0</v>
      </c>
      <c r="O635" t="n">
        <v>0</v>
      </c>
      <c r="P635" t="n">
        <v>0</v>
      </c>
      <c r="Q635" t="n">
        <v>0</v>
      </c>
      <c r="R635" s="2" t="inlineStr"/>
    </row>
    <row r="636" ht="15" customHeight="1">
      <c r="A636" t="inlineStr">
        <is>
          <t>A 52293-2024</t>
        </is>
      </c>
      <c r="B636" s="1" t="n">
        <v>45608.71297453704</v>
      </c>
      <c r="C636" s="1" t="n">
        <v>46043</v>
      </c>
      <c r="D636" t="inlineStr">
        <is>
          <t>DALARNAS LÄN</t>
        </is>
      </c>
      <c r="E636" t="inlineStr">
        <is>
          <t>LEKSAND</t>
        </is>
      </c>
      <c r="G636" t="n">
        <v>1.6</v>
      </c>
      <c r="H636" t="n">
        <v>0</v>
      </c>
      <c r="I636" t="n">
        <v>0</v>
      </c>
      <c r="J636" t="n">
        <v>0</v>
      </c>
      <c r="K636" t="n">
        <v>0</v>
      </c>
      <c r="L636" t="n">
        <v>0</v>
      </c>
      <c r="M636" t="n">
        <v>0</v>
      </c>
      <c r="N636" t="n">
        <v>0</v>
      </c>
      <c r="O636" t="n">
        <v>0</v>
      </c>
      <c r="P636" t="n">
        <v>0</v>
      </c>
      <c r="Q636" t="n">
        <v>0</v>
      </c>
      <c r="R636" s="2" t="inlineStr"/>
    </row>
    <row r="637" ht="15" customHeight="1">
      <c r="A637" t="inlineStr">
        <is>
          <t>A 46876-2023</t>
        </is>
      </c>
      <c r="B637" s="1" t="n">
        <v>45200</v>
      </c>
      <c r="C637" s="1" t="n">
        <v>46043</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9857-2025</t>
        </is>
      </c>
      <c r="B638" s="1" t="n">
        <v>45716.62609953704</v>
      </c>
      <c r="C638" s="1" t="n">
        <v>46043</v>
      </c>
      <c r="D638" t="inlineStr">
        <is>
          <t>DALARNAS LÄN</t>
        </is>
      </c>
      <c r="E638" t="inlineStr">
        <is>
          <t>LEKSAND</t>
        </is>
      </c>
      <c r="G638" t="n">
        <v>1.7</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46043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1267-2025</t>
        </is>
      </c>
      <c r="B640" s="1" t="n">
        <v>45667</v>
      </c>
      <c r="C640" s="1" t="n">
        <v>46043</v>
      </c>
      <c r="D640" t="inlineStr">
        <is>
          <t>DALARNAS LÄN</t>
        </is>
      </c>
      <c r="E640" t="inlineStr">
        <is>
          <t>LEKSAND</t>
        </is>
      </c>
      <c r="G640" t="n">
        <v>0.8</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46043</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3183-2025</t>
        </is>
      </c>
      <c r="B642" s="1" t="n">
        <v>45679.40298611111</v>
      </c>
      <c r="C642" s="1" t="n">
        <v>46043</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59751-2024</t>
        </is>
      </c>
      <c r="B643" s="1" t="n">
        <v>45638</v>
      </c>
      <c r="C643" s="1" t="n">
        <v>46043</v>
      </c>
      <c r="D643" t="inlineStr">
        <is>
          <t>DALARNAS LÄN</t>
        </is>
      </c>
      <c r="E643" t="inlineStr">
        <is>
          <t>LEKSAND</t>
        </is>
      </c>
      <c r="G643" t="n">
        <v>5.2</v>
      </c>
      <c r="H643" t="n">
        <v>0</v>
      </c>
      <c r="I643" t="n">
        <v>0</v>
      </c>
      <c r="J643" t="n">
        <v>0</v>
      </c>
      <c r="K643" t="n">
        <v>0</v>
      </c>
      <c r="L643" t="n">
        <v>0</v>
      </c>
      <c r="M643" t="n">
        <v>0</v>
      </c>
      <c r="N643" t="n">
        <v>0</v>
      </c>
      <c r="O643" t="n">
        <v>0</v>
      </c>
      <c r="P643" t="n">
        <v>0</v>
      </c>
      <c r="Q643" t="n">
        <v>0</v>
      </c>
      <c r="R643" s="2" t="inlineStr"/>
    </row>
    <row r="644" ht="15" customHeight="1">
      <c r="A644" t="inlineStr">
        <is>
          <t>A 54917-2024</t>
        </is>
      </c>
      <c r="B644" s="1" t="n">
        <v>45618.69581018519</v>
      </c>
      <c r="C644" s="1" t="n">
        <v>46043</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19700-2025</t>
        </is>
      </c>
      <c r="B645" s="1" t="n">
        <v>45771.32445601852</v>
      </c>
      <c r="C645" s="1" t="n">
        <v>46043</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8045-2024</t>
        </is>
      </c>
      <c r="B646" s="1" t="n">
        <v>45351.31371527778</v>
      </c>
      <c r="C646" s="1" t="n">
        <v>46043</v>
      </c>
      <c r="D646" t="inlineStr">
        <is>
          <t>DALARNAS LÄN</t>
        </is>
      </c>
      <c r="E646" t="inlineStr">
        <is>
          <t>LEKSAND</t>
        </is>
      </c>
      <c r="G646" t="n">
        <v>6.7</v>
      </c>
      <c r="H646" t="n">
        <v>0</v>
      </c>
      <c r="I646" t="n">
        <v>0</v>
      </c>
      <c r="J646" t="n">
        <v>0</v>
      </c>
      <c r="K646" t="n">
        <v>0</v>
      </c>
      <c r="L646" t="n">
        <v>0</v>
      </c>
      <c r="M646" t="n">
        <v>0</v>
      </c>
      <c r="N646" t="n">
        <v>0</v>
      </c>
      <c r="O646" t="n">
        <v>0</v>
      </c>
      <c r="P646" t="n">
        <v>0</v>
      </c>
      <c r="Q646" t="n">
        <v>0</v>
      </c>
      <c r="R646" s="2" t="inlineStr"/>
    </row>
    <row r="647" ht="15" customHeight="1">
      <c r="A647" t="inlineStr">
        <is>
          <t>A 57013-2023</t>
        </is>
      </c>
      <c r="B647" s="1" t="n">
        <v>45244</v>
      </c>
      <c r="C647" s="1" t="n">
        <v>46043</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37832-2023</t>
        </is>
      </c>
      <c r="B648" s="1" t="n">
        <v>45160.3479050926</v>
      </c>
      <c r="C648" s="1" t="n">
        <v>46043</v>
      </c>
      <c r="D648" t="inlineStr">
        <is>
          <t>DALARNAS LÄN</t>
        </is>
      </c>
      <c r="E648" t="inlineStr">
        <is>
          <t>LEKSAND</t>
        </is>
      </c>
      <c r="G648" t="n">
        <v>2</v>
      </c>
      <c r="H648" t="n">
        <v>0</v>
      </c>
      <c r="I648" t="n">
        <v>0</v>
      </c>
      <c r="J648" t="n">
        <v>0</v>
      </c>
      <c r="K648" t="n">
        <v>0</v>
      </c>
      <c r="L648" t="n">
        <v>0</v>
      </c>
      <c r="M648" t="n">
        <v>0</v>
      </c>
      <c r="N648" t="n">
        <v>0</v>
      </c>
      <c r="O648" t="n">
        <v>0</v>
      </c>
      <c r="P648" t="n">
        <v>0</v>
      </c>
      <c r="Q648" t="n">
        <v>0</v>
      </c>
      <c r="R648" s="2" t="inlineStr"/>
    </row>
    <row r="649" ht="15" customHeight="1">
      <c r="A649" t="inlineStr">
        <is>
          <t>A 18040-2024</t>
        </is>
      </c>
      <c r="B649" s="1" t="n">
        <v>45420.36664351852</v>
      </c>
      <c r="C649" s="1" t="n">
        <v>46043</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6778-2025</t>
        </is>
      </c>
      <c r="B650" s="1" t="n">
        <v>45700.64615740741</v>
      </c>
      <c r="C650" s="1" t="n">
        <v>46043</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43419-2024</t>
        </is>
      </c>
      <c r="B651" s="1" t="n">
        <v>45568</v>
      </c>
      <c r="C651" s="1" t="n">
        <v>46043</v>
      </c>
      <c r="D651" t="inlineStr">
        <is>
          <t>DALARNAS LÄN</t>
        </is>
      </c>
      <c r="E651" t="inlineStr">
        <is>
          <t>LEKSAND</t>
        </is>
      </c>
      <c r="G651" t="n">
        <v>0.4</v>
      </c>
      <c r="H651" t="n">
        <v>0</v>
      </c>
      <c r="I651" t="n">
        <v>0</v>
      </c>
      <c r="J651" t="n">
        <v>0</v>
      </c>
      <c r="K651" t="n">
        <v>0</v>
      </c>
      <c r="L651" t="n">
        <v>0</v>
      </c>
      <c r="M651" t="n">
        <v>0</v>
      </c>
      <c r="N651" t="n">
        <v>0</v>
      </c>
      <c r="O651" t="n">
        <v>0</v>
      </c>
      <c r="P651" t="n">
        <v>0</v>
      </c>
      <c r="Q651" t="n">
        <v>0</v>
      </c>
      <c r="R651" s="2" t="inlineStr"/>
    </row>
    <row r="652" ht="15" customHeight="1">
      <c r="A652" t="inlineStr">
        <is>
          <t>A 39595-2023</t>
        </is>
      </c>
      <c r="B652" s="1" t="n">
        <v>45167</v>
      </c>
      <c r="C652" s="1" t="n">
        <v>46043</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24481-2024</t>
        </is>
      </c>
      <c r="B653" s="1" t="n">
        <v>45459.36460648148</v>
      </c>
      <c r="C653" s="1" t="n">
        <v>46043</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17606-2024</t>
        </is>
      </c>
      <c r="B654" s="1" t="n">
        <v>45415</v>
      </c>
      <c r="C654" s="1" t="n">
        <v>46043</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34033-2024</t>
        </is>
      </c>
      <c r="B655" s="1" t="n">
        <v>45523.59265046296</v>
      </c>
      <c r="C655" s="1" t="n">
        <v>46043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61054-2023</t>
        </is>
      </c>
      <c r="B656" s="1" t="n">
        <v>45261</v>
      </c>
      <c r="C656" s="1" t="n">
        <v>46043</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61056-2023</t>
        </is>
      </c>
      <c r="B657" s="1" t="n">
        <v>45261</v>
      </c>
      <c r="C657" s="1" t="n">
        <v>46043</v>
      </c>
      <c r="D657" t="inlineStr">
        <is>
          <t>DALARNAS LÄN</t>
        </is>
      </c>
      <c r="E657" t="inlineStr">
        <is>
          <t>LEKSAND</t>
        </is>
      </c>
      <c r="G657" t="n">
        <v>0.3</v>
      </c>
      <c r="H657" t="n">
        <v>0</v>
      </c>
      <c r="I657" t="n">
        <v>0</v>
      </c>
      <c r="J657" t="n">
        <v>0</v>
      </c>
      <c r="K657" t="n">
        <v>0</v>
      </c>
      <c r="L657" t="n">
        <v>0</v>
      </c>
      <c r="M657" t="n">
        <v>0</v>
      </c>
      <c r="N657" t="n">
        <v>0</v>
      </c>
      <c r="O657" t="n">
        <v>0</v>
      </c>
      <c r="P657" t="n">
        <v>0</v>
      </c>
      <c r="Q657" t="n">
        <v>0</v>
      </c>
      <c r="R657" s="2" t="inlineStr"/>
    </row>
    <row r="658" ht="15" customHeight="1">
      <c r="A658" t="inlineStr">
        <is>
          <t>A 7894-2025</t>
        </is>
      </c>
      <c r="B658" s="1" t="n">
        <v>45707.30268518518</v>
      </c>
      <c r="C658" s="1" t="n">
        <v>46043</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58877-2023</t>
        </is>
      </c>
      <c r="B659" s="1" t="n">
        <v>45252</v>
      </c>
      <c r="C659" s="1" t="n">
        <v>46043</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17455-2022</t>
        </is>
      </c>
      <c r="B660" s="1" t="n">
        <v>44679.3775</v>
      </c>
      <c r="C660" s="1" t="n">
        <v>46043</v>
      </c>
      <c r="D660" t="inlineStr">
        <is>
          <t>DALARNAS LÄN</t>
        </is>
      </c>
      <c r="E660" t="inlineStr">
        <is>
          <t>LEKSAND</t>
        </is>
      </c>
      <c r="F660" t="inlineStr">
        <is>
          <t>Bergvik skog väst AB</t>
        </is>
      </c>
      <c r="G660" t="n">
        <v>1.8</v>
      </c>
      <c r="H660" t="n">
        <v>0</v>
      </c>
      <c r="I660" t="n">
        <v>0</v>
      </c>
      <c r="J660" t="n">
        <v>0</v>
      </c>
      <c r="K660" t="n">
        <v>0</v>
      </c>
      <c r="L660" t="n">
        <v>0</v>
      </c>
      <c r="M660" t="n">
        <v>0</v>
      </c>
      <c r="N660" t="n">
        <v>0</v>
      </c>
      <c r="O660" t="n">
        <v>0</v>
      </c>
      <c r="P660" t="n">
        <v>0</v>
      </c>
      <c r="Q660" t="n">
        <v>0</v>
      </c>
      <c r="R660" s="2" t="inlineStr"/>
    </row>
    <row r="661" ht="15" customHeight="1">
      <c r="A661" t="inlineStr">
        <is>
          <t>A 60040-2023</t>
        </is>
      </c>
      <c r="B661" s="1" t="n">
        <v>45256</v>
      </c>
      <c r="C661" s="1" t="n">
        <v>46043</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33306-2023</t>
        </is>
      </c>
      <c r="B662" s="1" t="n">
        <v>45127</v>
      </c>
      <c r="C662" s="1" t="n">
        <v>46043</v>
      </c>
      <c r="D662" t="inlineStr">
        <is>
          <t>DALARNAS LÄN</t>
        </is>
      </c>
      <c r="E662" t="inlineStr">
        <is>
          <t>LEKSAND</t>
        </is>
      </c>
      <c r="G662" t="n">
        <v>2.2</v>
      </c>
      <c r="H662" t="n">
        <v>0</v>
      </c>
      <c r="I662" t="n">
        <v>0</v>
      </c>
      <c r="J662" t="n">
        <v>0</v>
      </c>
      <c r="K662" t="n">
        <v>0</v>
      </c>
      <c r="L662" t="n">
        <v>0</v>
      </c>
      <c r="M662" t="n">
        <v>0</v>
      </c>
      <c r="N662" t="n">
        <v>0</v>
      </c>
      <c r="O662" t="n">
        <v>0</v>
      </c>
      <c r="P662" t="n">
        <v>0</v>
      </c>
      <c r="Q662" t="n">
        <v>0</v>
      </c>
      <c r="R662" s="2" t="inlineStr"/>
    </row>
    <row r="663" ht="15" customHeight="1">
      <c r="A663" t="inlineStr">
        <is>
          <t>A 33316-2023</t>
        </is>
      </c>
      <c r="B663" s="1" t="n">
        <v>45127</v>
      </c>
      <c r="C663" s="1" t="n">
        <v>46043</v>
      </c>
      <c r="D663" t="inlineStr">
        <is>
          <t>DALARNAS LÄN</t>
        </is>
      </c>
      <c r="E663" t="inlineStr">
        <is>
          <t>LEKSAND</t>
        </is>
      </c>
      <c r="G663" t="n">
        <v>8.9</v>
      </c>
      <c r="H663" t="n">
        <v>0</v>
      </c>
      <c r="I663" t="n">
        <v>0</v>
      </c>
      <c r="J663" t="n">
        <v>0</v>
      </c>
      <c r="K663" t="n">
        <v>0</v>
      </c>
      <c r="L663" t="n">
        <v>0</v>
      </c>
      <c r="M663" t="n">
        <v>0</v>
      </c>
      <c r="N663" t="n">
        <v>0</v>
      </c>
      <c r="O663" t="n">
        <v>0</v>
      </c>
      <c r="P663" t="n">
        <v>0</v>
      </c>
      <c r="Q663" t="n">
        <v>0</v>
      </c>
      <c r="R663" s="2" t="inlineStr"/>
    </row>
    <row r="664" ht="15" customHeight="1">
      <c r="A664" t="inlineStr">
        <is>
          <t>A 22681-2022</t>
        </is>
      </c>
      <c r="B664" s="1" t="n">
        <v>44714.50961805556</v>
      </c>
      <c r="C664" s="1" t="n">
        <v>46043</v>
      </c>
      <c r="D664" t="inlineStr">
        <is>
          <t>DALARNAS LÄN</t>
        </is>
      </c>
      <c r="E664" t="inlineStr">
        <is>
          <t>LEKSAND</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30196-2023</t>
        </is>
      </c>
      <c r="B665" s="1" t="n">
        <v>45110</v>
      </c>
      <c r="C665" s="1" t="n">
        <v>46043</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46446-2023</t>
        </is>
      </c>
      <c r="B666" s="1" t="n">
        <v>45197.59344907408</v>
      </c>
      <c r="C666" s="1" t="n">
        <v>46043</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54682-2023</t>
        </is>
      </c>
      <c r="B667" s="1" t="n">
        <v>45235.90439814814</v>
      </c>
      <c r="C667" s="1" t="n">
        <v>46043</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1463-2024</t>
        </is>
      </c>
      <c r="B668" s="1" t="n">
        <v>45303</v>
      </c>
      <c r="C668" s="1" t="n">
        <v>46043</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30000-2023</t>
        </is>
      </c>
      <c r="B669" s="1" t="n">
        <v>45109.71128472222</v>
      </c>
      <c r="C669" s="1" t="n">
        <v>46043</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17282-2025</t>
        </is>
      </c>
      <c r="B670" s="1" t="n">
        <v>45756.57114583333</v>
      </c>
      <c r="C670" s="1" t="n">
        <v>46043</v>
      </c>
      <c r="D670" t="inlineStr">
        <is>
          <t>DALARNAS LÄN</t>
        </is>
      </c>
      <c r="E670" t="inlineStr">
        <is>
          <t>LEKSAND</t>
        </is>
      </c>
      <c r="G670" t="n">
        <v>0.9</v>
      </c>
      <c r="H670" t="n">
        <v>0</v>
      </c>
      <c r="I670" t="n">
        <v>0</v>
      </c>
      <c r="J670" t="n">
        <v>0</v>
      </c>
      <c r="K670" t="n">
        <v>0</v>
      </c>
      <c r="L670" t="n">
        <v>0</v>
      </c>
      <c r="M670" t="n">
        <v>0</v>
      </c>
      <c r="N670" t="n">
        <v>0</v>
      </c>
      <c r="O670" t="n">
        <v>0</v>
      </c>
      <c r="P670" t="n">
        <v>0</v>
      </c>
      <c r="Q670" t="n">
        <v>0</v>
      </c>
      <c r="R670" s="2" t="inlineStr"/>
    </row>
    <row r="671" ht="15" customHeight="1">
      <c r="A671" t="inlineStr">
        <is>
          <t>A 12923-2025</t>
        </is>
      </c>
      <c r="B671" s="1" t="n">
        <v>45734.29193287037</v>
      </c>
      <c r="C671" s="1" t="n">
        <v>46043</v>
      </c>
      <c r="D671" t="inlineStr">
        <is>
          <t>DALARNAS LÄN</t>
        </is>
      </c>
      <c r="E671" t="inlineStr">
        <is>
          <t>LEKSAND</t>
        </is>
      </c>
      <c r="G671" t="n">
        <v>7.2</v>
      </c>
      <c r="H671" t="n">
        <v>0</v>
      </c>
      <c r="I671" t="n">
        <v>0</v>
      </c>
      <c r="J671" t="n">
        <v>0</v>
      </c>
      <c r="K671" t="n">
        <v>0</v>
      </c>
      <c r="L671" t="n">
        <v>0</v>
      </c>
      <c r="M671" t="n">
        <v>0</v>
      </c>
      <c r="N671" t="n">
        <v>0</v>
      </c>
      <c r="O671" t="n">
        <v>0</v>
      </c>
      <c r="P671" t="n">
        <v>0</v>
      </c>
      <c r="Q671" t="n">
        <v>0</v>
      </c>
      <c r="R671" s="2" t="inlineStr"/>
    </row>
    <row r="672" ht="15" customHeight="1">
      <c r="A672" t="inlineStr">
        <is>
          <t>A 2820-2024</t>
        </is>
      </c>
      <c r="B672" s="1" t="n">
        <v>45314.76287037037</v>
      </c>
      <c r="C672" s="1" t="n">
        <v>46043</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2822-2024</t>
        </is>
      </c>
      <c r="B673" s="1" t="n">
        <v>45314.76622685185</v>
      </c>
      <c r="C673" s="1" t="n">
        <v>46043</v>
      </c>
      <c r="D673" t="inlineStr">
        <is>
          <t>DALARNAS LÄN</t>
        </is>
      </c>
      <c r="E673" t="inlineStr">
        <is>
          <t>LEKSAND</t>
        </is>
      </c>
      <c r="G673" t="n">
        <v>1.6</v>
      </c>
      <c r="H673" t="n">
        <v>0</v>
      </c>
      <c r="I673" t="n">
        <v>0</v>
      </c>
      <c r="J673" t="n">
        <v>0</v>
      </c>
      <c r="K673" t="n">
        <v>0</v>
      </c>
      <c r="L673" t="n">
        <v>0</v>
      </c>
      <c r="M673" t="n">
        <v>0</v>
      </c>
      <c r="N673" t="n">
        <v>0</v>
      </c>
      <c r="O673" t="n">
        <v>0</v>
      </c>
      <c r="P673" t="n">
        <v>0</v>
      </c>
      <c r="Q673" t="n">
        <v>0</v>
      </c>
      <c r="R673" s="2" t="inlineStr"/>
    </row>
    <row r="674" ht="15" customHeight="1">
      <c r="A674" t="inlineStr">
        <is>
          <t>A 51320-2023</t>
        </is>
      </c>
      <c r="B674" s="1" t="n">
        <v>45219.57456018519</v>
      </c>
      <c r="C674" s="1" t="n">
        <v>46043</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12621-2025</t>
        </is>
      </c>
      <c r="B675" s="1" t="n">
        <v>45733.3575</v>
      </c>
      <c r="C675" s="1" t="n">
        <v>46043</v>
      </c>
      <c r="D675" t="inlineStr">
        <is>
          <t>DALARNAS LÄN</t>
        </is>
      </c>
      <c r="E675" t="inlineStr">
        <is>
          <t>LEKSAND</t>
        </is>
      </c>
      <c r="F675" t="inlineStr">
        <is>
          <t>Bergvik skog väst AB</t>
        </is>
      </c>
      <c r="G675" t="n">
        <v>1.2</v>
      </c>
      <c r="H675" t="n">
        <v>0</v>
      </c>
      <c r="I675" t="n">
        <v>0</v>
      </c>
      <c r="J675" t="n">
        <v>0</v>
      </c>
      <c r="K675" t="n">
        <v>0</v>
      </c>
      <c r="L675" t="n">
        <v>0</v>
      </c>
      <c r="M675" t="n">
        <v>0</v>
      </c>
      <c r="N675" t="n">
        <v>0</v>
      </c>
      <c r="O675" t="n">
        <v>0</v>
      </c>
      <c r="P675" t="n">
        <v>0</v>
      </c>
      <c r="Q675" t="n">
        <v>0</v>
      </c>
      <c r="R675" s="2" t="inlineStr"/>
    </row>
    <row r="676" ht="15" customHeight="1">
      <c r="A676" t="inlineStr">
        <is>
          <t>A 51377-2023</t>
        </is>
      </c>
      <c r="B676" s="1" t="n">
        <v>45219</v>
      </c>
      <c r="C676" s="1" t="n">
        <v>46043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59859-2023</t>
        </is>
      </c>
      <c r="B677" s="1" t="n">
        <v>45257</v>
      </c>
      <c r="C677" s="1" t="n">
        <v>46043</v>
      </c>
      <c r="D677" t="inlineStr">
        <is>
          <t>DALARNAS LÄN</t>
        </is>
      </c>
      <c r="E677" t="inlineStr">
        <is>
          <t>LEKSAND</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19330-2025</t>
        </is>
      </c>
      <c r="B678" s="1" t="n">
        <v>45769</v>
      </c>
      <c r="C678" s="1" t="n">
        <v>46043</v>
      </c>
      <c r="D678" t="inlineStr">
        <is>
          <t>DALARNAS LÄN</t>
        </is>
      </c>
      <c r="E678" t="inlineStr">
        <is>
          <t>LEKSAND</t>
        </is>
      </c>
      <c r="G678" t="n">
        <v>1.6</v>
      </c>
      <c r="H678" t="n">
        <v>0</v>
      </c>
      <c r="I678" t="n">
        <v>0</v>
      </c>
      <c r="J678" t="n">
        <v>0</v>
      </c>
      <c r="K678" t="n">
        <v>0</v>
      </c>
      <c r="L678" t="n">
        <v>0</v>
      </c>
      <c r="M678" t="n">
        <v>0</v>
      </c>
      <c r="N678" t="n">
        <v>0</v>
      </c>
      <c r="O678" t="n">
        <v>0</v>
      </c>
      <c r="P678" t="n">
        <v>0</v>
      </c>
      <c r="Q678" t="n">
        <v>0</v>
      </c>
      <c r="R678" s="2" t="inlineStr"/>
    </row>
    <row r="679" ht="15" customHeight="1">
      <c r="A679" t="inlineStr">
        <is>
          <t>A 45943-2022</t>
        </is>
      </c>
      <c r="B679" s="1" t="n">
        <v>44846.64418981481</v>
      </c>
      <c r="C679" s="1" t="n">
        <v>46043</v>
      </c>
      <c r="D679" t="inlineStr">
        <is>
          <t>DALARNAS LÄN</t>
        </is>
      </c>
      <c r="E679" t="inlineStr">
        <is>
          <t>LEKSAND</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60878-2023</t>
        </is>
      </c>
      <c r="B680" s="1" t="n">
        <v>45259</v>
      </c>
      <c r="C680" s="1" t="n">
        <v>46043</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61502-2023</t>
        </is>
      </c>
      <c r="B681" s="1" t="n">
        <v>45264</v>
      </c>
      <c r="C681" s="1" t="n">
        <v>46043</v>
      </c>
      <c r="D681" t="inlineStr">
        <is>
          <t>DALARNAS LÄN</t>
        </is>
      </c>
      <c r="E681" t="inlineStr">
        <is>
          <t>LEKSAND</t>
        </is>
      </c>
      <c r="G681" t="n">
        <v>5.2</v>
      </c>
      <c r="H681" t="n">
        <v>0</v>
      </c>
      <c r="I681" t="n">
        <v>0</v>
      </c>
      <c r="J681" t="n">
        <v>0</v>
      </c>
      <c r="K681" t="n">
        <v>0</v>
      </c>
      <c r="L681" t="n">
        <v>0</v>
      </c>
      <c r="M681" t="n">
        <v>0</v>
      </c>
      <c r="N681" t="n">
        <v>0</v>
      </c>
      <c r="O681" t="n">
        <v>0</v>
      </c>
      <c r="P681" t="n">
        <v>0</v>
      </c>
      <c r="Q681" t="n">
        <v>0</v>
      </c>
      <c r="R681" s="2" t="inlineStr"/>
    </row>
    <row r="682" ht="15" customHeight="1">
      <c r="A682" t="inlineStr">
        <is>
          <t>A 28965-2023</t>
        </is>
      </c>
      <c r="B682" s="1" t="n">
        <v>45104</v>
      </c>
      <c r="C682" s="1" t="n">
        <v>46043</v>
      </c>
      <c r="D682" t="inlineStr">
        <is>
          <t>DALARNAS LÄN</t>
        </is>
      </c>
      <c r="E682" t="inlineStr">
        <is>
          <t>LEKSAND</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1719-2024</t>
        </is>
      </c>
      <c r="B683" s="1" t="n">
        <v>45307</v>
      </c>
      <c r="C683" s="1" t="n">
        <v>46043</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16744-2025</t>
        </is>
      </c>
      <c r="B684" s="1" t="n">
        <v>45754</v>
      </c>
      <c r="C684" s="1" t="n">
        <v>46043</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22349-2024</t>
        </is>
      </c>
      <c r="B685" s="1" t="n">
        <v>45446</v>
      </c>
      <c r="C685" s="1" t="n">
        <v>46043</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11617-2024</t>
        </is>
      </c>
      <c r="B686" s="1" t="n">
        <v>45373.42898148148</v>
      </c>
      <c r="C686" s="1" t="n">
        <v>46043</v>
      </c>
      <c r="D686" t="inlineStr">
        <is>
          <t>DALARNAS LÄN</t>
        </is>
      </c>
      <c r="E686" t="inlineStr">
        <is>
          <t>LEKSAND</t>
        </is>
      </c>
      <c r="G686" t="n">
        <v>1.9</v>
      </c>
      <c r="H686" t="n">
        <v>0</v>
      </c>
      <c r="I686" t="n">
        <v>0</v>
      </c>
      <c r="J686" t="n">
        <v>0</v>
      </c>
      <c r="K686" t="n">
        <v>0</v>
      </c>
      <c r="L686" t="n">
        <v>0</v>
      </c>
      <c r="M686" t="n">
        <v>0</v>
      </c>
      <c r="N686" t="n">
        <v>0</v>
      </c>
      <c r="O686" t="n">
        <v>0</v>
      </c>
      <c r="P686" t="n">
        <v>0</v>
      </c>
      <c r="Q686" t="n">
        <v>0</v>
      </c>
      <c r="R686" s="2" t="inlineStr"/>
    </row>
    <row r="687" ht="15" customHeight="1">
      <c r="A687" t="inlineStr">
        <is>
          <t>A 61953-2023</t>
        </is>
      </c>
      <c r="B687" s="1" t="n">
        <v>45266</v>
      </c>
      <c r="C687" s="1" t="n">
        <v>46043</v>
      </c>
      <c r="D687" t="inlineStr">
        <is>
          <t>DALARNAS LÄN</t>
        </is>
      </c>
      <c r="E687" t="inlineStr">
        <is>
          <t>LEKSAND</t>
        </is>
      </c>
      <c r="G687" t="n">
        <v>0.1</v>
      </c>
      <c r="H687" t="n">
        <v>0</v>
      </c>
      <c r="I687" t="n">
        <v>0</v>
      </c>
      <c r="J687" t="n">
        <v>0</v>
      </c>
      <c r="K687" t="n">
        <v>0</v>
      </c>
      <c r="L687" t="n">
        <v>0</v>
      </c>
      <c r="M687" t="n">
        <v>0</v>
      </c>
      <c r="N687" t="n">
        <v>0</v>
      </c>
      <c r="O687" t="n">
        <v>0</v>
      </c>
      <c r="P687" t="n">
        <v>0</v>
      </c>
      <c r="Q687" t="n">
        <v>0</v>
      </c>
      <c r="R687" s="2" t="inlineStr"/>
    </row>
    <row r="688" ht="15" customHeight="1">
      <c r="A688" t="inlineStr">
        <is>
          <t>A 58619-2022</t>
        </is>
      </c>
      <c r="B688" s="1" t="n">
        <v>44902.59579861111</v>
      </c>
      <c r="C688" s="1" t="n">
        <v>46043</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20946-2023</t>
        </is>
      </c>
      <c r="B689" s="1" t="n">
        <v>45061</v>
      </c>
      <c r="C689" s="1" t="n">
        <v>46043</v>
      </c>
      <c r="D689" t="inlineStr">
        <is>
          <t>DALARNAS LÄN</t>
        </is>
      </c>
      <c r="E689" t="inlineStr">
        <is>
          <t>LEKSAND</t>
        </is>
      </c>
      <c r="G689" t="n">
        <v>2.7</v>
      </c>
      <c r="H689" t="n">
        <v>0</v>
      </c>
      <c r="I689" t="n">
        <v>0</v>
      </c>
      <c r="J689" t="n">
        <v>0</v>
      </c>
      <c r="K689" t="n">
        <v>0</v>
      </c>
      <c r="L689" t="n">
        <v>0</v>
      </c>
      <c r="M689" t="n">
        <v>0</v>
      </c>
      <c r="N689" t="n">
        <v>0</v>
      </c>
      <c r="O689" t="n">
        <v>0</v>
      </c>
      <c r="P689" t="n">
        <v>0</v>
      </c>
      <c r="Q689" t="n">
        <v>0</v>
      </c>
      <c r="R689" s="2" t="inlineStr"/>
    </row>
    <row r="690" ht="15" customHeight="1">
      <c r="A690" t="inlineStr">
        <is>
          <t>A 61225-2023</t>
        </is>
      </c>
      <c r="B690" s="1" t="n">
        <v>45264</v>
      </c>
      <c r="C690" s="1" t="n">
        <v>46043</v>
      </c>
      <c r="D690" t="inlineStr">
        <is>
          <t>DALARNAS LÄN</t>
        </is>
      </c>
      <c r="E690" t="inlineStr">
        <is>
          <t>LEKSAND</t>
        </is>
      </c>
      <c r="G690" t="n">
        <v>7</v>
      </c>
      <c r="H690" t="n">
        <v>0</v>
      </c>
      <c r="I690" t="n">
        <v>0</v>
      </c>
      <c r="J690" t="n">
        <v>0</v>
      </c>
      <c r="K690" t="n">
        <v>0</v>
      </c>
      <c r="L690" t="n">
        <v>0</v>
      </c>
      <c r="M690" t="n">
        <v>0</v>
      </c>
      <c r="N690" t="n">
        <v>0</v>
      </c>
      <c r="O690" t="n">
        <v>0</v>
      </c>
      <c r="P690" t="n">
        <v>0</v>
      </c>
      <c r="Q690" t="n">
        <v>0</v>
      </c>
      <c r="R690" s="2" t="inlineStr"/>
    </row>
    <row r="691" ht="15" customHeight="1">
      <c r="A691" t="inlineStr">
        <is>
          <t>A 61252-2023</t>
        </is>
      </c>
      <c r="B691" s="1" t="n">
        <v>45261</v>
      </c>
      <c r="C691" s="1" t="n">
        <v>46043</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14617-2024</t>
        </is>
      </c>
      <c r="B692" s="1" t="n">
        <v>45397</v>
      </c>
      <c r="C692" s="1" t="n">
        <v>46043</v>
      </c>
      <c r="D692" t="inlineStr">
        <is>
          <t>DALARNAS LÄN</t>
        </is>
      </c>
      <c r="E692" t="inlineStr">
        <is>
          <t>LEKSAND</t>
        </is>
      </c>
      <c r="G692" t="n">
        <v>0.2</v>
      </c>
      <c r="H692" t="n">
        <v>0</v>
      </c>
      <c r="I692" t="n">
        <v>0</v>
      </c>
      <c r="J692" t="n">
        <v>0</v>
      </c>
      <c r="K692" t="n">
        <v>0</v>
      </c>
      <c r="L692" t="n">
        <v>0</v>
      </c>
      <c r="M692" t="n">
        <v>0</v>
      </c>
      <c r="N692" t="n">
        <v>0</v>
      </c>
      <c r="O692" t="n">
        <v>0</v>
      </c>
      <c r="P692" t="n">
        <v>0</v>
      </c>
      <c r="Q692" t="n">
        <v>0</v>
      </c>
      <c r="R692" s="2" t="inlineStr"/>
    </row>
    <row r="693" ht="15" customHeight="1">
      <c r="A693" t="inlineStr">
        <is>
          <t>A 46141-2022</t>
        </is>
      </c>
      <c r="B693" s="1" t="n">
        <v>44846</v>
      </c>
      <c r="C693" s="1" t="n">
        <v>46043</v>
      </c>
      <c r="D693" t="inlineStr">
        <is>
          <t>DALARNAS LÄN</t>
        </is>
      </c>
      <c r="E693" t="inlineStr">
        <is>
          <t>LEKSAND</t>
        </is>
      </c>
      <c r="G693" t="n">
        <v>2.8</v>
      </c>
      <c r="H693" t="n">
        <v>0</v>
      </c>
      <c r="I693" t="n">
        <v>0</v>
      </c>
      <c r="J693" t="n">
        <v>0</v>
      </c>
      <c r="K693" t="n">
        <v>0</v>
      </c>
      <c r="L693" t="n">
        <v>0</v>
      </c>
      <c r="M693" t="n">
        <v>0</v>
      </c>
      <c r="N693" t="n">
        <v>0</v>
      </c>
      <c r="O693" t="n">
        <v>0</v>
      </c>
      <c r="P693" t="n">
        <v>0</v>
      </c>
      <c r="Q693" t="n">
        <v>0</v>
      </c>
      <c r="R693" s="2" t="inlineStr"/>
    </row>
    <row r="694" ht="15" customHeight="1">
      <c r="A694" t="inlineStr">
        <is>
          <t>A 62993-2023</t>
        </is>
      </c>
      <c r="B694" s="1" t="n">
        <v>45272</v>
      </c>
      <c r="C694" s="1" t="n">
        <v>46043</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61933-2023</t>
        </is>
      </c>
      <c r="B695" s="1" t="n">
        <v>45266</v>
      </c>
      <c r="C695" s="1" t="n">
        <v>46043</v>
      </c>
      <c r="D695" t="inlineStr">
        <is>
          <t>DALARNAS LÄN</t>
        </is>
      </c>
      <c r="E695" t="inlineStr">
        <is>
          <t>LEKSAND</t>
        </is>
      </c>
      <c r="G695" t="n">
        <v>0.2</v>
      </c>
      <c r="H695" t="n">
        <v>0</v>
      </c>
      <c r="I695" t="n">
        <v>0</v>
      </c>
      <c r="J695" t="n">
        <v>0</v>
      </c>
      <c r="K695" t="n">
        <v>0</v>
      </c>
      <c r="L695" t="n">
        <v>0</v>
      </c>
      <c r="M695" t="n">
        <v>0</v>
      </c>
      <c r="N695" t="n">
        <v>0</v>
      </c>
      <c r="O695" t="n">
        <v>0</v>
      </c>
      <c r="P695" t="n">
        <v>0</v>
      </c>
      <c r="Q695" t="n">
        <v>0</v>
      </c>
      <c r="R695" s="2" t="inlineStr"/>
    </row>
    <row r="696" ht="15" customHeight="1">
      <c r="A696" t="inlineStr">
        <is>
          <t>A 33198-2022</t>
        </is>
      </c>
      <c r="B696" s="1" t="n">
        <v>44785.68597222222</v>
      </c>
      <c r="C696" s="1" t="n">
        <v>46043</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15619-2025</t>
        </is>
      </c>
      <c r="B697" s="1" t="n">
        <v>45747</v>
      </c>
      <c r="C697" s="1" t="n">
        <v>46043</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46931-2023</t>
        </is>
      </c>
      <c r="B698" s="1" t="n">
        <v>45201</v>
      </c>
      <c r="C698" s="1" t="n">
        <v>46043</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17483-2025</t>
        </is>
      </c>
      <c r="B699" s="1" t="n">
        <v>45757.49408564815</v>
      </c>
      <c r="C699" s="1" t="n">
        <v>46043</v>
      </c>
      <c r="D699" t="inlineStr">
        <is>
          <t>DALARNAS LÄN</t>
        </is>
      </c>
      <c r="E699" t="inlineStr">
        <is>
          <t>LEKSAND</t>
        </is>
      </c>
      <c r="G699" t="n">
        <v>4.1</v>
      </c>
      <c r="H699" t="n">
        <v>0</v>
      </c>
      <c r="I699" t="n">
        <v>0</v>
      </c>
      <c r="J699" t="n">
        <v>0</v>
      </c>
      <c r="K699" t="n">
        <v>0</v>
      </c>
      <c r="L699" t="n">
        <v>0</v>
      </c>
      <c r="M699" t="n">
        <v>0</v>
      </c>
      <c r="N699" t="n">
        <v>0</v>
      </c>
      <c r="O699" t="n">
        <v>0</v>
      </c>
      <c r="P699" t="n">
        <v>0</v>
      </c>
      <c r="Q699" t="n">
        <v>0</v>
      </c>
      <c r="R699" s="2" t="inlineStr"/>
    </row>
    <row r="700" ht="15" customHeight="1">
      <c r="A700" t="inlineStr">
        <is>
          <t>A 17759-2023</t>
        </is>
      </c>
      <c r="B700" s="1" t="n">
        <v>45037.48765046296</v>
      </c>
      <c r="C700" s="1" t="n">
        <v>46043</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43220-2024</t>
        </is>
      </c>
      <c r="B701" s="1" t="n">
        <v>45567.86112268519</v>
      </c>
      <c r="C701" s="1" t="n">
        <v>46043</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55015-2024</t>
        </is>
      </c>
      <c r="B702" s="1" t="n">
        <v>45621.35554398148</v>
      </c>
      <c r="C702" s="1" t="n">
        <v>46043</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34039-2024</t>
        </is>
      </c>
      <c r="B703" s="1" t="n">
        <v>45523.5974537037</v>
      </c>
      <c r="C703" s="1" t="n">
        <v>46043</v>
      </c>
      <c r="D703" t="inlineStr">
        <is>
          <t>DALARNAS LÄN</t>
        </is>
      </c>
      <c r="E703" t="inlineStr">
        <is>
          <t>LEKSAND</t>
        </is>
      </c>
      <c r="G703" t="n">
        <v>7.1</v>
      </c>
      <c r="H703" t="n">
        <v>0</v>
      </c>
      <c r="I703" t="n">
        <v>0</v>
      </c>
      <c r="J703" t="n">
        <v>0</v>
      </c>
      <c r="K703" t="n">
        <v>0</v>
      </c>
      <c r="L703" t="n">
        <v>0</v>
      </c>
      <c r="M703" t="n">
        <v>0</v>
      </c>
      <c r="N703" t="n">
        <v>0</v>
      </c>
      <c r="O703" t="n">
        <v>0</v>
      </c>
      <c r="P703" t="n">
        <v>0</v>
      </c>
      <c r="Q703" t="n">
        <v>0</v>
      </c>
      <c r="R703" s="2" t="inlineStr"/>
    </row>
    <row r="704" ht="15" customHeight="1">
      <c r="A704" t="inlineStr">
        <is>
          <t>A 46505-2023</t>
        </is>
      </c>
      <c r="B704" s="1" t="n">
        <v>45197</v>
      </c>
      <c r="C704" s="1" t="n">
        <v>46043</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481-2024</t>
        </is>
      </c>
      <c r="B705" s="1" t="n">
        <v>45298</v>
      </c>
      <c r="C705" s="1" t="n">
        <v>46043</v>
      </c>
      <c r="D705" t="inlineStr">
        <is>
          <t>DALARNAS LÄN</t>
        </is>
      </c>
      <c r="E705" t="inlineStr">
        <is>
          <t>LEKSAND</t>
        </is>
      </c>
      <c r="G705" t="n">
        <v>7</v>
      </c>
      <c r="H705" t="n">
        <v>0</v>
      </c>
      <c r="I705" t="n">
        <v>0</v>
      </c>
      <c r="J705" t="n">
        <v>0</v>
      </c>
      <c r="K705" t="n">
        <v>0</v>
      </c>
      <c r="L705" t="n">
        <v>0</v>
      </c>
      <c r="M705" t="n">
        <v>0</v>
      </c>
      <c r="N705" t="n">
        <v>0</v>
      </c>
      <c r="O705" t="n">
        <v>0</v>
      </c>
      <c r="P705" t="n">
        <v>0</v>
      </c>
      <c r="Q705" t="n">
        <v>0</v>
      </c>
      <c r="R705" s="2" t="inlineStr"/>
    </row>
    <row r="706" ht="15" customHeight="1">
      <c r="A706" t="inlineStr">
        <is>
          <t>A 50278-2023</t>
        </is>
      </c>
      <c r="B706" s="1" t="n">
        <v>45216.43444444444</v>
      </c>
      <c r="C706" s="1" t="n">
        <v>46043</v>
      </c>
      <c r="D706" t="inlineStr">
        <is>
          <t>DALARNAS LÄN</t>
        </is>
      </c>
      <c r="E706" t="inlineStr">
        <is>
          <t>LEKSAND</t>
        </is>
      </c>
      <c r="G706" t="n">
        <v>0.4</v>
      </c>
      <c r="H706" t="n">
        <v>0</v>
      </c>
      <c r="I706" t="n">
        <v>0</v>
      </c>
      <c r="J706" t="n">
        <v>0</v>
      </c>
      <c r="K706" t="n">
        <v>0</v>
      </c>
      <c r="L706" t="n">
        <v>0</v>
      </c>
      <c r="M706" t="n">
        <v>0</v>
      </c>
      <c r="N706" t="n">
        <v>0</v>
      </c>
      <c r="O706" t="n">
        <v>0</v>
      </c>
      <c r="P706" t="n">
        <v>0</v>
      </c>
      <c r="Q706" t="n">
        <v>0</v>
      </c>
      <c r="R706" s="2" t="inlineStr"/>
    </row>
    <row r="707" ht="15" customHeight="1">
      <c r="A707" t="inlineStr">
        <is>
          <t>A 16197-2024</t>
        </is>
      </c>
      <c r="B707" s="1" t="n">
        <v>45406.70356481482</v>
      </c>
      <c r="C707" s="1" t="n">
        <v>46043</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5453-2025</t>
        </is>
      </c>
      <c r="B708" s="1" t="n">
        <v>45692.95231481481</v>
      </c>
      <c r="C708" s="1" t="n">
        <v>46043</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57925-2024</t>
        </is>
      </c>
      <c r="B709" s="1" t="n">
        <v>45630</v>
      </c>
      <c r="C709" s="1" t="n">
        <v>46043</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27445-2024</t>
        </is>
      </c>
      <c r="B710" s="1" t="n">
        <v>45474.42474537037</v>
      </c>
      <c r="C710" s="1" t="n">
        <v>46043</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27446-2024</t>
        </is>
      </c>
      <c r="B711" s="1" t="n">
        <v>45474.42671296297</v>
      </c>
      <c r="C711" s="1" t="n">
        <v>46043</v>
      </c>
      <c r="D711" t="inlineStr">
        <is>
          <t>DALARNAS LÄN</t>
        </is>
      </c>
      <c r="E711" t="inlineStr">
        <is>
          <t>LEKSAND</t>
        </is>
      </c>
      <c r="G711" t="n">
        <v>2.9</v>
      </c>
      <c r="H711" t="n">
        <v>0</v>
      </c>
      <c r="I711" t="n">
        <v>0</v>
      </c>
      <c r="J711" t="n">
        <v>0</v>
      </c>
      <c r="K711" t="n">
        <v>0</v>
      </c>
      <c r="L711" t="n">
        <v>0</v>
      </c>
      <c r="M711" t="n">
        <v>0</v>
      </c>
      <c r="N711" t="n">
        <v>0</v>
      </c>
      <c r="O711" t="n">
        <v>0</v>
      </c>
      <c r="P711" t="n">
        <v>0</v>
      </c>
      <c r="Q711" t="n">
        <v>0</v>
      </c>
      <c r="R711" s="2" t="inlineStr"/>
    </row>
    <row r="712" ht="15" customHeight="1">
      <c r="A712" t="inlineStr">
        <is>
          <t>A 18837-2023</t>
        </is>
      </c>
      <c r="B712" s="1" t="n">
        <v>45044.42940972222</v>
      </c>
      <c r="C712" s="1" t="n">
        <v>46043</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17730-2024</t>
        </is>
      </c>
      <c r="B713" s="1" t="n">
        <v>45418</v>
      </c>
      <c r="C713" s="1" t="n">
        <v>46043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64933-2023</t>
        </is>
      </c>
      <c r="B714" s="1" t="n">
        <v>45282</v>
      </c>
      <c r="C714" s="1" t="n">
        <v>46043</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39620-2024</t>
        </is>
      </c>
      <c r="B715" s="1" t="n">
        <v>45552.43163194445</v>
      </c>
      <c r="C715" s="1" t="n">
        <v>46043</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57907-2024</t>
        </is>
      </c>
      <c r="B716" s="1" t="n">
        <v>45630</v>
      </c>
      <c r="C716" s="1" t="n">
        <v>46043</v>
      </c>
      <c r="D716" t="inlineStr">
        <is>
          <t>DALARNAS LÄN</t>
        </is>
      </c>
      <c r="E716" t="inlineStr">
        <is>
          <t>LEKSAND</t>
        </is>
      </c>
      <c r="G716" t="n">
        <v>1.4</v>
      </c>
      <c r="H716" t="n">
        <v>0</v>
      </c>
      <c r="I716" t="n">
        <v>0</v>
      </c>
      <c r="J716" t="n">
        <v>0</v>
      </c>
      <c r="K716" t="n">
        <v>0</v>
      </c>
      <c r="L716" t="n">
        <v>0</v>
      </c>
      <c r="M716" t="n">
        <v>0</v>
      </c>
      <c r="N716" t="n">
        <v>0</v>
      </c>
      <c r="O716" t="n">
        <v>0</v>
      </c>
      <c r="P716" t="n">
        <v>0</v>
      </c>
      <c r="Q716" t="n">
        <v>0</v>
      </c>
      <c r="R716" s="2" t="inlineStr"/>
    </row>
    <row r="717" ht="15" customHeight="1">
      <c r="A717" t="inlineStr">
        <is>
          <t>A 59236-2024</t>
        </is>
      </c>
      <c r="B717" s="1" t="n">
        <v>45637.58795138889</v>
      </c>
      <c r="C717" s="1" t="n">
        <v>46043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34038-2024</t>
        </is>
      </c>
      <c r="B718" s="1" t="n">
        <v>45523.59578703704</v>
      </c>
      <c r="C718" s="1" t="n">
        <v>46043</v>
      </c>
      <c r="D718" t="inlineStr">
        <is>
          <t>DALARNAS LÄN</t>
        </is>
      </c>
      <c r="E718" t="inlineStr">
        <is>
          <t>LEKSAND</t>
        </is>
      </c>
      <c r="G718" t="n">
        <v>0.3</v>
      </c>
      <c r="H718" t="n">
        <v>0</v>
      </c>
      <c r="I718" t="n">
        <v>0</v>
      </c>
      <c r="J718" t="n">
        <v>0</v>
      </c>
      <c r="K718" t="n">
        <v>0</v>
      </c>
      <c r="L718" t="n">
        <v>0</v>
      </c>
      <c r="M718" t="n">
        <v>0</v>
      </c>
      <c r="N718" t="n">
        <v>0</v>
      </c>
      <c r="O718" t="n">
        <v>0</v>
      </c>
      <c r="P718" t="n">
        <v>0</v>
      </c>
      <c r="Q718" t="n">
        <v>0</v>
      </c>
      <c r="R718" s="2" t="inlineStr"/>
    </row>
    <row r="719" ht="15" customHeight="1">
      <c r="A719" t="inlineStr">
        <is>
          <t>A 34041-2024</t>
        </is>
      </c>
      <c r="B719" s="1" t="n">
        <v>45523.59895833334</v>
      </c>
      <c r="C719" s="1" t="n">
        <v>46043</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10833-2023</t>
        </is>
      </c>
      <c r="B720" s="1" t="n">
        <v>44990</v>
      </c>
      <c r="C720" s="1" t="n">
        <v>46043</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17233-2023</t>
        </is>
      </c>
      <c r="B721" s="1" t="n">
        <v>45035</v>
      </c>
      <c r="C721" s="1" t="n">
        <v>46043</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16231-2021</t>
        </is>
      </c>
      <c r="B722" s="1" t="n">
        <v>44292</v>
      </c>
      <c r="C722" s="1" t="n">
        <v>46043</v>
      </c>
      <c r="D722" t="inlineStr">
        <is>
          <t>DALARNAS LÄN</t>
        </is>
      </c>
      <c r="E722" t="inlineStr">
        <is>
          <t>LEKSAND</t>
        </is>
      </c>
      <c r="G722" t="n">
        <v>1.1</v>
      </c>
      <c r="H722" t="n">
        <v>0</v>
      </c>
      <c r="I722" t="n">
        <v>0</v>
      </c>
      <c r="J722" t="n">
        <v>0</v>
      </c>
      <c r="K722" t="n">
        <v>0</v>
      </c>
      <c r="L722" t="n">
        <v>0</v>
      </c>
      <c r="M722" t="n">
        <v>0</v>
      </c>
      <c r="N722" t="n">
        <v>0</v>
      </c>
      <c r="O722" t="n">
        <v>0</v>
      </c>
      <c r="P722" t="n">
        <v>0</v>
      </c>
      <c r="Q722" t="n">
        <v>0</v>
      </c>
      <c r="R722" s="2" t="inlineStr"/>
    </row>
    <row r="723" ht="15" customHeight="1">
      <c r="A723" t="inlineStr">
        <is>
          <t>A 12857-2023</t>
        </is>
      </c>
      <c r="B723" s="1" t="n">
        <v>45001.5000462963</v>
      </c>
      <c r="C723" s="1" t="n">
        <v>46043</v>
      </c>
      <c r="D723" t="inlineStr">
        <is>
          <t>DALARNAS LÄN</t>
        </is>
      </c>
      <c r="E723" t="inlineStr">
        <is>
          <t>LEKSAND</t>
        </is>
      </c>
      <c r="G723" t="n">
        <v>0.2</v>
      </c>
      <c r="H723" t="n">
        <v>0</v>
      </c>
      <c r="I723" t="n">
        <v>0</v>
      </c>
      <c r="J723" t="n">
        <v>0</v>
      </c>
      <c r="K723" t="n">
        <v>0</v>
      </c>
      <c r="L723" t="n">
        <v>0</v>
      </c>
      <c r="M723" t="n">
        <v>0</v>
      </c>
      <c r="N723" t="n">
        <v>0</v>
      </c>
      <c r="O723" t="n">
        <v>0</v>
      </c>
      <c r="P723" t="n">
        <v>0</v>
      </c>
      <c r="Q723" t="n">
        <v>0</v>
      </c>
      <c r="R723" s="2" t="inlineStr"/>
    </row>
    <row r="724" ht="15" customHeight="1">
      <c r="A724" t="inlineStr">
        <is>
          <t>A 28674-2024</t>
        </is>
      </c>
      <c r="B724" s="1" t="n">
        <v>45478.47863425926</v>
      </c>
      <c r="C724" s="1" t="n">
        <v>46043</v>
      </c>
      <c r="D724" t="inlineStr">
        <is>
          <t>DALARNAS LÄN</t>
        </is>
      </c>
      <c r="E724" t="inlineStr">
        <is>
          <t>LEKSAND</t>
        </is>
      </c>
      <c r="G724" t="n">
        <v>4.9</v>
      </c>
      <c r="H724" t="n">
        <v>0</v>
      </c>
      <c r="I724" t="n">
        <v>0</v>
      </c>
      <c r="J724" t="n">
        <v>0</v>
      </c>
      <c r="K724" t="n">
        <v>0</v>
      </c>
      <c r="L724" t="n">
        <v>0</v>
      </c>
      <c r="M724" t="n">
        <v>0</v>
      </c>
      <c r="N724" t="n">
        <v>0</v>
      </c>
      <c r="O724" t="n">
        <v>0</v>
      </c>
      <c r="P724" t="n">
        <v>0</v>
      </c>
      <c r="Q724" t="n">
        <v>0</v>
      </c>
      <c r="R724" s="2" t="inlineStr"/>
    </row>
    <row r="725" ht="15" customHeight="1">
      <c r="A725" t="inlineStr">
        <is>
          <t>A 19622-2024</t>
        </is>
      </c>
      <c r="B725" s="1" t="n">
        <v>45432.33592592592</v>
      </c>
      <c r="C725" s="1" t="n">
        <v>46043</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27317-2021</t>
        </is>
      </c>
      <c r="B726" s="1" t="n">
        <v>44351</v>
      </c>
      <c r="C726" s="1" t="n">
        <v>46043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61055-2023</t>
        </is>
      </c>
      <c r="B727" s="1" t="n">
        <v>45261</v>
      </c>
      <c r="C727" s="1" t="n">
        <v>46043</v>
      </c>
      <c r="D727" t="inlineStr">
        <is>
          <t>DALARNAS LÄN</t>
        </is>
      </c>
      <c r="E727" t="inlineStr">
        <is>
          <t>LEKSAND</t>
        </is>
      </c>
      <c r="G727" t="n">
        <v>0.3</v>
      </c>
      <c r="H727" t="n">
        <v>0</v>
      </c>
      <c r="I727" t="n">
        <v>0</v>
      </c>
      <c r="J727" t="n">
        <v>0</v>
      </c>
      <c r="K727" t="n">
        <v>0</v>
      </c>
      <c r="L727" t="n">
        <v>0</v>
      </c>
      <c r="M727" t="n">
        <v>0</v>
      </c>
      <c r="N727" t="n">
        <v>0</v>
      </c>
      <c r="O727" t="n">
        <v>0</v>
      </c>
      <c r="P727" t="n">
        <v>0</v>
      </c>
      <c r="Q727" t="n">
        <v>0</v>
      </c>
      <c r="R727" s="2" t="inlineStr"/>
    </row>
    <row r="728" ht="15" customHeight="1">
      <c r="A728" t="inlineStr">
        <is>
          <t>A 10743-2024</t>
        </is>
      </c>
      <c r="B728" s="1" t="n">
        <v>45369.52167824074</v>
      </c>
      <c r="C728" s="1" t="n">
        <v>46043</v>
      </c>
      <c r="D728" t="inlineStr">
        <is>
          <t>DALARNAS LÄN</t>
        </is>
      </c>
      <c r="E728" t="inlineStr">
        <is>
          <t>LEKSAND</t>
        </is>
      </c>
      <c r="G728" t="n">
        <v>2.7</v>
      </c>
      <c r="H728" t="n">
        <v>0</v>
      </c>
      <c r="I728" t="n">
        <v>0</v>
      </c>
      <c r="J728" t="n">
        <v>0</v>
      </c>
      <c r="K728" t="n">
        <v>0</v>
      </c>
      <c r="L728" t="n">
        <v>0</v>
      </c>
      <c r="M728" t="n">
        <v>0</v>
      </c>
      <c r="N728" t="n">
        <v>0</v>
      </c>
      <c r="O728" t="n">
        <v>0</v>
      </c>
      <c r="P728" t="n">
        <v>0</v>
      </c>
      <c r="Q728" t="n">
        <v>0</v>
      </c>
      <c r="R728" s="2" t="inlineStr"/>
    </row>
    <row r="729" ht="15" customHeight="1">
      <c r="A729" t="inlineStr">
        <is>
          <t>A 10367-2023</t>
        </is>
      </c>
      <c r="B729" s="1" t="n">
        <v>44987</v>
      </c>
      <c r="C729" s="1" t="n">
        <v>46043</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1946-2024</t>
        </is>
      </c>
      <c r="B730" s="1" t="n">
        <v>45308</v>
      </c>
      <c r="C730" s="1" t="n">
        <v>46043</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59763-2023</t>
        </is>
      </c>
      <c r="B731" s="1" t="n">
        <v>45257</v>
      </c>
      <c r="C731" s="1" t="n">
        <v>46043</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17533-2023</t>
        </is>
      </c>
      <c r="B732" s="1" t="n">
        <v>45036</v>
      </c>
      <c r="C732" s="1" t="n">
        <v>46043</v>
      </c>
      <c r="D732" t="inlineStr">
        <is>
          <t>DALARNAS LÄN</t>
        </is>
      </c>
      <c r="E732" t="inlineStr">
        <is>
          <t>LEKSAND</t>
        </is>
      </c>
      <c r="G732" t="n">
        <v>3</v>
      </c>
      <c r="H732" t="n">
        <v>0</v>
      </c>
      <c r="I732" t="n">
        <v>0</v>
      </c>
      <c r="J732" t="n">
        <v>0</v>
      </c>
      <c r="K732" t="n">
        <v>0</v>
      </c>
      <c r="L732" t="n">
        <v>0</v>
      </c>
      <c r="M732" t="n">
        <v>0</v>
      </c>
      <c r="N732" t="n">
        <v>0</v>
      </c>
      <c r="O732" t="n">
        <v>0</v>
      </c>
      <c r="P732" t="n">
        <v>0</v>
      </c>
      <c r="Q732" t="n">
        <v>0</v>
      </c>
      <c r="R732" s="2" t="inlineStr"/>
    </row>
    <row r="733" ht="15" customHeight="1">
      <c r="A733" t="inlineStr">
        <is>
          <t>A 49397-2024</t>
        </is>
      </c>
      <c r="B733" s="1" t="n">
        <v>45595</v>
      </c>
      <c r="C733" s="1" t="n">
        <v>46043</v>
      </c>
      <c r="D733" t="inlineStr">
        <is>
          <t>DALARNAS LÄN</t>
        </is>
      </c>
      <c r="E733" t="inlineStr">
        <is>
          <t>LEKSAND</t>
        </is>
      </c>
      <c r="G733" t="n">
        <v>4.3</v>
      </c>
      <c r="H733" t="n">
        <v>0</v>
      </c>
      <c r="I733" t="n">
        <v>0</v>
      </c>
      <c r="J733" t="n">
        <v>0</v>
      </c>
      <c r="K733" t="n">
        <v>0</v>
      </c>
      <c r="L733" t="n">
        <v>0</v>
      </c>
      <c r="M733" t="n">
        <v>0</v>
      </c>
      <c r="N733" t="n">
        <v>0</v>
      </c>
      <c r="O733" t="n">
        <v>0</v>
      </c>
      <c r="P733" t="n">
        <v>0</v>
      </c>
      <c r="Q733" t="n">
        <v>0</v>
      </c>
      <c r="R733" s="2" t="inlineStr"/>
    </row>
    <row r="734" ht="15" customHeight="1">
      <c r="A734" t="inlineStr">
        <is>
          <t>A 6027-2025</t>
        </is>
      </c>
      <c r="B734" s="1" t="n">
        <v>45695</v>
      </c>
      <c r="C734" s="1" t="n">
        <v>46043</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53717-2023</t>
        </is>
      </c>
      <c r="B735" s="1" t="n">
        <v>45230</v>
      </c>
      <c r="C735" s="1" t="n">
        <v>46043</v>
      </c>
      <c r="D735" t="inlineStr">
        <is>
          <t>DALARNAS LÄN</t>
        </is>
      </c>
      <c r="E735" t="inlineStr">
        <is>
          <t>LEKSAND</t>
        </is>
      </c>
      <c r="G735" t="n">
        <v>2.4</v>
      </c>
      <c r="H735" t="n">
        <v>0</v>
      </c>
      <c r="I735" t="n">
        <v>0</v>
      </c>
      <c r="J735" t="n">
        <v>0</v>
      </c>
      <c r="K735" t="n">
        <v>0</v>
      </c>
      <c r="L735" t="n">
        <v>0</v>
      </c>
      <c r="M735" t="n">
        <v>0</v>
      </c>
      <c r="N735" t="n">
        <v>0</v>
      </c>
      <c r="O735" t="n">
        <v>0</v>
      </c>
      <c r="P735" t="n">
        <v>0</v>
      </c>
      <c r="Q735" t="n">
        <v>0</v>
      </c>
      <c r="R735" s="2" t="inlineStr"/>
    </row>
    <row r="736" ht="15" customHeight="1">
      <c r="A736" t="inlineStr">
        <is>
          <t>A 43470-2024</t>
        </is>
      </c>
      <c r="B736" s="1" t="n">
        <v>45568</v>
      </c>
      <c r="C736" s="1" t="n">
        <v>46043</v>
      </c>
      <c r="D736" t="inlineStr">
        <is>
          <t>DALARNAS LÄN</t>
        </is>
      </c>
      <c r="E736" t="inlineStr">
        <is>
          <t>LEKSAND</t>
        </is>
      </c>
      <c r="G736" t="n">
        <v>3.1</v>
      </c>
      <c r="H736" t="n">
        <v>0</v>
      </c>
      <c r="I736" t="n">
        <v>0</v>
      </c>
      <c r="J736" t="n">
        <v>0</v>
      </c>
      <c r="K736" t="n">
        <v>0</v>
      </c>
      <c r="L736" t="n">
        <v>0</v>
      </c>
      <c r="M736" t="n">
        <v>0</v>
      </c>
      <c r="N736" t="n">
        <v>0</v>
      </c>
      <c r="O736" t="n">
        <v>0</v>
      </c>
      <c r="P736" t="n">
        <v>0</v>
      </c>
      <c r="Q736" t="n">
        <v>0</v>
      </c>
      <c r="R736" s="2" t="inlineStr"/>
    </row>
    <row r="737" ht="15" customHeight="1">
      <c r="A737" t="inlineStr">
        <is>
          <t>A 60873-2023</t>
        </is>
      </c>
      <c r="B737" s="1" t="n">
        <v>45261.03266203704</v>
      </c>
      <c r="C737" s="1" t="n">
        <v>46043</v>
      </c>
      <c r="D737" t="inlineStr">
        <is>
          <t>DALARNAS LÄN</t>
        </is>
      </c>
      <c r="E737" t="inlineStr">
        <is>
          <t>LEKSAND</t>
        </is>
      </c>
      <c r="G737" t="n">
        <v>5.2</v>
      </c>
      <c r="H737" t="n">
        <v>0</v>
      </c>
      <c r="I737" t="n">
        <v>0</v>
      </c>
      <c r="J737" t="n">
        <v>0</v>
      </c>
      <c r="K737" t="n">
        <v>0</v>
      </c>
      <c r="L737" t="n">
        <v>0</v>
      </c>
      <c r="M737" t="n">
        <v>0</v>
      </c>
      <c r="N737" t="n">
        <v>0</v>
      </c>
      <c r="O737" t="n">
        <v>0</v>
      </c>
      <c r="P737" t="n">
        <v>0</v>
      </c>
      <c r="Q737" t="n">
        <v>0</v>
      </c>
      <c r="R737" s="2" t="inlineStr"/>
    </row>
    <row r="738" ht="15" customHeight="1">
      <c r="A738" t="inlineStr">
        <is>
          <t>A 54914-2024</t>
        </is>
      </c>
      <c r="B738" s="1" t="n">
        <v>45618.69380787037</v>
      </c>
      <c r="C738" s="1" t="n">
        <v>46043</v>
      </c>
      <c r="D738" t="inlineStr">
        <is>
          <t>DALARNAS LÄN</t>
        </is>
      </c>
      <c r="E738" t="inlineStr">
        <is>
          <t>LEKSAND</t>
        </is>
      </c>
      <c r="G738" t="n">
        <v>1.7</v>
      </c>
      <c r="H738" t="n">
        <v>0</v>
      </c>
      <c r="I738" t="n">
        <v>0</v>
      </c>
      <c r="J738" t="n">
        <v>0</v>
      </c>
      <c r="K738" t="n">
        <v>0</v>
      </c>
      <c r="L738" t="n">
        <v>0</v>
      </c>
      <c r="M738" t="n">
        <v>0</v>
      </c>
      <c r="N738" t="n">
        <v>0</v>
      </c>
      <c r="O738" t="n">
        <v>0</v>
      </c>
      <c r="P738" t="n">
        <v>0</v>
      </c>
      <c r="Q738" t="n">
        <v>0</v>
      </c>
      <c r="R738" s="2" t="inlineStr"/>
    </row>
    <row r="739" ht="15" customHeight="1">
      <c r="A739" t="inlineStr">
        <is>
          <t>A 167-2023</t>
        </is>
      </c>
      <c r="B739" s="1" t="n">
        <v>44918</v>
      </c>
      <c r="C739" s="1" t="n">
        <v>46043</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56950-2024</t>
        </is>
      </c>
      <c r="B740" s="1" t="n">
        <v>45625</v>
      </c>
      <c r="C740" s="1" t="n">
        <v>46043</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9938-2023</t>
        </is>
      </c>
      <c r="B741" s="1" t="n">
        <v>44985</v>
      </c>
      <c r="C741" s="1" t="n">
        <v>46043</v>
      </c>
      <c r="D741" t="inlineStr">
        <is>
          <t>DALARNAS LÄN</t>
        </is>
      </c>
      <c r="E741" t="inlineStr">
        <is>
          <t>LEKSAND</t>
        </is>
      </c>
      <c r="G741" t="n">
        <v>3.1</v>
      </c>
      <c r="H741" t="n">
        <v>0</v>
      </c>
      <c r="I741" t="n">
        <v>0</v>
      </c>
      <c r="J741" t="n">
        <v>0</v>
      </c>
      <c r="K741" t="n">
        <v>0</v>
      </c>
      <c r="L741" t="n">
        <v>0</v>
      </c>
      <c r="M741" t="n">
        <v>0</v>
      </c>
      <c r="N741" t="n">
        <v>0</v>
      </c>
      <c r="O741" t="n">
        <v>0</v>
      </c>
      <c r="P741" t="n">
        <v>0</v>
      </c>
      <c r="Q741" t="n">
        <v>0</v>
      </c>
      <c r="R741" s="2" t="inlineStr"/>
    </row>
    <row r="742" ht="15" customHeight="1">
      <c r="A742" t="inlineStr">
        <is>
          <t>A 59103-2024</t>
        </is>
      </c>
      <c r="B742" s="1" t="n">
        <v>45637.34184027778</v>
      </c>
      <c r="C742" s="1" t="n">
        <v>46043</v>
      </c>
      <c r="D742" t="inlineStr">
        <is>
          <t>DALARNAS LÄN</t>
        </is>
      </c>
      <c r="E742" t="inlineStr">
        <is>
          <t>LEKSAND</t>
        </is>
      </c>
      <c r="G742" t="n">
        <v>1.5</v>
      </c>
      <c r="H742" t="n">
        <v>0</v>
      </c>
      <c r="I742" t="n">
        <v>0</v>
      </c>
      <c r="J742" t="n">
        <v>0</v>
      </c>
      <c r="K742" t="n">
        <v>0</v>
      </c>
      <c r="L742" t="n">
        <v>0</v>
      </c>
      <c r="M742" t="n">
        <v>0</v>
      </c>
      <c r="N742" t="n">
        <v>0</v>
      </c>
      <c r="O742" t="n">
        <v>0</v>
      </c>
      <c r="P742" t="n">
        <v>0</v>
      </c>
      <c r="Q742" t="n">
        <v>0</v>
      </c>
      <c r="R742" s="2" t="inlineStr"/>
    </row>
    <row r="743" ht="15" customHeight="1">
      <c r="A743" t="inlineStr">
        <is>
          <t>A 70099-2021</t>
        </is>
      </c>
      <c r="B743" s="1" t="n">
        <v>44533</v>
      </c>
      <c r="C743" s="1" t="n">
        <v>46043</v>
      </c>
      <c r="D743" t="inlineStr">
        <is>
          <t>DALARNAS LÄN</t>
        </is>
      </c>
      <c r="E743" t="inlineStr">
        <is>
          <t>LEKSAND</t>
        </is>
      </c>
      <c r="G743" t="n">
        <v>2.8</v>
      </c>
      <c r="H743" t="n">
        <v>0</v>
      </c>
      <c r="I743" t="n">
        <v>0</v>
      </c>
      <c r="J743" t="n">
        <v>0</v>
      </c>
      <c r="K743" t="n">
        <v>0</v>
      </c>
      <c r="L743" t="n">
        <v>0</v>
      </c>
      <c r="M743" t="n">
        <v>0</v>
      </c>
      <c r="N743" t="n">
        <v>0</v>
      </c>
      <c r="O743" t="n">
        <v>0</v>
      </c>
      <c r="P743" t="n">
        <v>0</v>
      </c>
      <c r="Q743" t="n">
        <v>0</v>
      </c>
      <c r="R743" s="2" t="inlineStr"/>
    </row>
    <row r="744" ht="15" customHeight="1">
      <c r="A744" t="inlineStr">
        <is>
          <t>A 13401-2023</t>
        </is>
      </c>
      <c r="B744" s="1" t="n">
        <v>45005</v>
      </c>
      <c r="C744" s="1" t="n">
        <v>46043</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60113-2022</t>
        </is>
      </c>
      <c r="B745" s="1" t="n">
        <v>44909</v>
      </c>
      <c r="C745" s="1" t="n">
        <v>46043</v>
      </c>
      <c r="D745" t="inlineStr">
        <is>
          <t>DALARNAS LÄN</t>
        </is>
      </c>
      <c r="E745" t="inlineStr">
        <is>
          <t>LEKSAND</t>
        </is>
      </c>
      <c r="G745" t="n">
        <v>3.7</v>
      </c>
      <c r="H745" t="n">
        <v>0</v>
      </c>
      <c r="I745" t="n">
        <v>0</v>
      </c>
      <c r="J745" t="n">
        <v>0</v>
      </c>
      <c r="K745" t="n">
        <v>0</v>
      </c>
      <c r="L745" t="n">
        <v>0</v>
      </c>
      <c r="M745" t="n">
        <v>0</v>
      </c>
      <c r="N745" t="n">
        <v>0</v>
      </c>
      <c r="O745" t="n">
        <v>0</v>
      </c>
      <c r="P745" t="n">
        <v>0</v>
      </c>
      <c r="Q745" t="n">
        <v>0</v>
      </c>
      <c r="R745" s="2" t="inlineStr"/>
    </row>
    <row r="746" ht="15" customHeight="1">
      <c r="A746" t="inlineStr">
        <is>
          <t>A 15173-2025</t>
        </is>
      </c>
      <c r="B746" s="1" t="n">
        <v>45744.50858796296</v>
      </c>
      <c r="C746" s="1" t="n">
        <v>46043</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30611-2023</t>
        </is>
      </c>
      <c r="B747" s="1" t="n">
        <v>45112</v>
      </c>
      <c r="C747" s="1" t="n">
        <v>46043</v>
      </c>
      <c r="D747" t="inlineStr">
        <is>
          <t>DALARNAS LÄN</t>
        </is>
      </c>
      <c r="E747" t="inlineStr">
        <is>
          <t>LEKSAND</t>
        </is>
      </c>
      <c r="G747" t="n">
        <v>3.1</v>
      </c>
      <c r="H747" t="n">
        <v>0</v>
      </c>
      <c r="I747" t="n">
        <v>0</v>
      </c>
      <c r="J747" t="n">
        <v>0</v>
      </c>
      <c r="K747" t="n">
        <v>0</v>
      </c>
      <c r="L747" t="n">
        <v>0</v>
      </c>
      <c r="M747" t="n">
        <v>0</v>
      </c>
      <c r="N747" t="n">
        <v>0</v>
      </c>
      <c r="O747" t="n">
        <v>0</v>
      </c>
      <c r="P747" t="n">
        <v>0</v>
      </c>
      <c r="Q747" t="n">
        <v>0</v>
      </c>
      <c r="R747" s="2" t="inlineStr"/>
    </row>
    <row r="748" ht="15" customHeight="1">
      <c r="A748" t="inlineStr">
        <is>
          <t>A 31254-2023</t>
        </is>
      </c>
      <c r="B748" s="1" t="n">
        <v>45114</v>
      </c>
      <c r="C748" s="1" t="n">
        <v>46043</v>
      </c>
      <c r="D748" t="inlineStr">
        <is>
          <t>DALARNAS LÄN</t>
        </is>
      </c>
      <c r="E748" t="inlineStr">
        <is>
          <t>LEKSAND</t>
        </is>
      </c>
      <c r="G748" t="n">
        <v>1.4</v>
      </c>
      <c r="H748" t="n">
        <v>0</v>
      </c>
      <c r="I748" t="n">
        <v>0</v>
      </c>
      <c r="J748" t="n">
        <v>0</v>
      </c>
      <c r="K748" t="n">
        <v>0</v>
      </c>
      <c r="L748" t="n">
        <v>0</v>
      </c>
      <c r="M748" t="n">
        <v>0</v>
      </c>
      <c r="N748" t="n">
        <v>0</v>
      </c>
      <c r="O748" t="n">
        <v>0</v>
      </c>
      <c r="P748" t="n">
        <v>0</v>
      </c>
      <c r="Q748" t="n">
        <v>0</v>
      </c>
      <c r="R748" s="2" t="inlineStr"/>
    </row>
    <row r="749" ht="15" customHeight="1">
      <c r="A749" t="inlineStr">
        <is>
          <t>A 62306-2023</t>
        </is>
      </c>
      <c r="B749" s="1" t="n">
        <v>45266</v>
      </c>
      <c r="C749" s="1" t="n">
        <v>46043</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30175-2023</t>
        </is>
      </c>
      <c r="B750" s="1" t="n">
        <v>45110</v>
      </c>
      <c r="C750" s="1" t="n">
        <v>46043</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28921-2023</t>
        </is>
      </c>
      <c r="B751" s="1" t="n">
        <v>45104</v>
      </c>
      <c r="C751" s="1" t="n">
        <v>46043</v>
      </c>
      <c r="D751" t="inlineStr">
        <is>
          <t>DALARNAS LÄN</t>
        </is>
      </c>
      <c r="E751" t="inlineStr">
        <is>
          <t>LEKSAND</t>
        </is>
      </c>
      <c r="G751" t="n">
        <v>4.4</v>
      </c>
      <c r="H751" t="n">
        <v>0</v>
      </c>
      <c r="I751" t="n">
        <v>0</v>
      </c>
      <c r="J751" t="n">
        <v>0</v>
      </c>
      <c r="K751" t="n">
        <v>0</v>
      </c>
      <c r="L751" t="n">
        <v>0</v>
      </c>
      <c r="M751" t="n">
        <v>0</v>
      </c>
      <c r="N751" t="n">
        <v>0</v>
      </c>
      <c r="O751" t="n">
        <v>0</v>
      </c>
      <c r="P751" t="n">
        <v>0</v>
      </c>
      <c r="Q751" t="n">
        <v>0</v>
      </c>
      <c r="R751" s="2" t="inlineStr"/>
    </row>
    <row r="752" ht="15" customHeight="1">
      <c r="A752" t="inlineStr">
        <is>
          <t>A 8940-2023</t>
        </is>
      </c>
      <c r="B752" s="1" t="n">
        <v>44974</v>
      </c>
      <c r="C752" s="1" t="n">
        <v>46043</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row r="753" ht="15" customHeight="1">
      <c r="A753" t="inlineStr">
        <is>
          <t>A 9459-2023</t>
        </is>
      </c>
      <c r="B753" s="1" t="n">
        <v>44977</v>
      </c>
      <c r="C753" s="1" t="n">
        <v>46043</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56941-2024</t>
        </is>
      </c>
      <c r="B754" s="1" t="n">
        <v>45625</v>
      </c>
      <c r="C754" s="1" t="n">
        <v>46043</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48721-2023</t>
        </is>
      </c>
      <c r="B755" s="1" t="n">
        <v>45203</v>
      </c>
      <c r="C755" s="1" t="n">
        <v>46043</v>
      </c>
      <c r="D755" t="inlineStr">
        <is>
          <t>DALARNAS LÄN</t>
        </is>
      </c>
      <c r="E755" t="inlineStr">
        <is>
          <t>LEKSAND</t>
        </is>
      </c>
      <c r="G755" t="n">
        <v>2.9</v>
      </c>
      <c r="H755" t="n">
        <v>0</v>
      </c>
      <c r="I755" t="n">
        <v>0</v>
      </c>
      <c r="J755" t="n">
        <v>0</v>
      </c>
      <c r="K755" t="n">
        <v>0</v>
      </c>
      <c r="L755" t="n">
        <v>0</v>
      </c>
      <c r="M755" t="n">
        <v>0</v>
      </c>
      <c r="N755" t="n">
        <v>0</v>
      </c>
      <c r="O755" t="n">
        <v>0</v>
      </c>
      <c r="P755" t="n">
        <v>0</v>
      </c>
      <c r="Q755" t="n">
        <v>0</v>
      </c>
      <c r="R755" s="2" t="inlineStr"/>
    </row>
    <row r="756" ht="15" customHeight="1">
      <c r="A756" t="inlineStr">
        <is>
          <t>A 33463-2023</t>
        </is>
      </c>
      <c r="B756" s="1" t="n">
        <v>45131</v>
      </c>
      <c r="C756" s="1" t="n">
        <v>46043</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8755-2023</t>
        </is>
      </c>
      <c r="B757" s="1" t="n">
        <v>44978</v>
      </c>
      <c r="C757" s="1" t="n">
        <v>46043</v>
      </c>
      <c r="D757" t="inlineStr">
        <is>
          <t>DALARNAS LÄN</t>
        </is>
      </c>
      <c r="E757" t="inlineStr">
        <is>
          <t>LEKSAND</t>
        </is>
      </c>
      <c r="G757" t="n">
        <v>2.3</v>
      </c>
      <c r="H757" t="n">
        <v>0</v>
      </c>
      <c r="I757" t="n">
        <v>0</v>
      </c>
      <c r="J757" t="n">
        <v>0</v>
      </c>
      <c r="K757" t="n">
        <v>0</v>
      </c>
      <c r="L757" t="n">
        <v>0</v>
      </c>
      <c r="M757" t="n">
        <v>0</v>
      </c>
      <c r="N757" t="n">
        <v>0</v>
      </c>
      <c r="O757" t="n">
        <v>0</v>
      </c>
      <c r="P757" t="n">
        <v>0</v>
      </c>
      <c r="Q757" t="n">
        <v>0</v>
      </c>
      <c r="R757" s="2" t="inlineStr"/>
    </row>
    <row r="758" ht="15" customHeight="1">
      <c r="A758" t="inlineStr">
        <is>
          <t>A 59840-2024</t>
        </is>
      </c>
      <c r="B758" s="1" t="n">
        <v>45638</v>
      </c>
      <c r="C758" s="1" t="n">
        <v>46043</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10967-2023</t>
        </is>
      </c>
      <c r="B759" s="1" t="n">
        <v>44991.58001157407</v>
      </c>
      <c r="C759" s="1" t="n">
        <v>46043</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10974-2023</t>
        </is>
      </c>
      <c r="B760" s="1" t="n">
        <v>44991.59049768518</v>
      </c>
      <c r="C760" s="1" t="n">
        <v>46043</v>
      </c>
      <c r="D760" t="inlineStr">
        <is>
          <t>DALARNAS LÄN</t>
        </is>
      </c>
      <c r="E760" t="inlineStr">
        <is>
          <t>LEKSAND</t>
        </is>
      </c>
      <c r="G760" t="n">
        <v>0.3</v>
      </c>
      <c r="H760" t="n">
        <v>0</v>
      </c>
      <c r="I760" t="n">
        <v>0</v>
      </c>
      <c r="J760" t="n">
        <v>0</v>
      </c>
      <c r="K760" t="n">
        <v>0</v>
      </c>
      <c r="L760" t="n">
        <v>0</v>
      </c>
      <c r="M760" t="n">
        <v>0</v>
      </c>
      <c r="N760" t="n">
        <v>0</v>
      </c>
      <c r="O760" t="n">
        <v>0</v>
      </c>
      <c r="P760" t="n">
        <v>0</v>
      </c>
      <c r="Q760" t="n">
        <v>0</v>
      </c>
      <c r="R760" s="2" t="inlineStr"/>
    </row>
    <row r="761" ht="15" customHeight="1">
      <c r="A761" t="inlineStr">
        <is>
          <t>A 55516-2024</t>
        </is>
      </c>
      <c r="B761" s="1" t="n">
        <v>45621</v>
      </c>
      <c r="C761" s="1" t="n">
        <v>46043</v>
      </c>
      <c r="D761" t="inlineStr">
        <is>
          <t>DALARNAS LÄN</t>
        </is>
      </c>
      <c r="E761" t="inlineStr">
        <is>
          <t>LEKSAND</t>
        </is>
      </c>
      <c r="G761" t="n">
        <v>1.4</v>
      </c>
      <c r="H761" t="n">
        <v>0</v>
      </c>
      <c r="I761" t="n">
        <v>0</v>
      </c>
      <c r="J761" t="n">
        <v>0</v>
      </c>
      <c r="K761" t="n">
        <v>0</v>
      </c>
      <c r="L761" t="n">
        <v>0</v>
      </c>
      <c r="M761" t="n">
        <v>0</v>
      </c>
      <c r="N761" t="n">
        <v>0</v>
      </c>
      <c r="O761" t="n">
        <v>0</v>
      </c>
      <c r="P761" t="n">
        <v>0</v>
      </c>
      <c r="Q761" t="n">
        <v>0</v>
      </c>
      <c r="R761" s="2" t="inlineStr"/>
    </row>
    <row r="762" ht="15" customHeight="1">
      <c r="A762" t="inlineStr">
        <is>
          <t>A 30858-2024</t>
        </is>
      </c>
      <c r="B762" s="1" t="n">
        <v>45497.67601851852</v>
      </c>
      <c r="C762" s="1" t="n">
        <v>46043</v>
      </c>
      <c r="D762" t="inlineStr">
        <is>
          <t>DALARNAS LÄN</t>
        </is>
      </c>
      <c r="E762" t="inlineStr">
        <is>
          <t>LEKSAND</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11015-2022</t>
        </is>
      </c>
      <c r="B763" s="1" t="n">
        <v>44628.52340277778</v>
      </c>
      <c r="C763" s="1" t="n">
        <v>46043</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12582-2025</t>
        </is>
      </c>
      <c r="B764" s="1" t="n">
        <v>45732.62988425926</v>
      </c>
      <c r="C764" s="1" t="n">
        <v>46043</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1182-2025</t>
        </is>
      </c>
      <c r="B765" s="1" t="n">
        <v>45667.35712962963</v>
      </c>
      <c r="C765" s="1" t="n">
        <v>46043</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1519-2024</t>
        </is>
      </c>
      <c r="B766" s="1" t="n">
        <v>45306</v>
      </c>
      <c r="C766" s="1" t="n">
        <v>46043</v>
      </c>
      <c r="D766" t="inlineStr">
        <is>
          <t>DALARNAS LÄN</t>
        </is>
      </c>
      <c r="E766" t="inlineStr">
        <is>
          <t>LEKSAND</t>
        </is>
      </c>
      <c r="G766" t="n">
        <v>3.3</v>
      </c>
      <c r="H766" t="n">
        <v>0</v>
      </c>
      <c r="I766" t="n">
        <v>0</v>
      </c>
      <c r="J766" t="n">
        <v>0</v>
      </c>
      <c r="K766" t="n">
        <v>0</v>
      </c>
      <c r="L766" t="n">
        <v>0</v>
      </c>
      <c r="M766" t="n">
        <v>0</v>
      </c>
      <c r="N766" t="n">
        <v>0</v>
      </c>
      <c r="O766" t="n">
        <v>0</v>
      </c>
      <c r="P766" t="n">
        <v>0</v>
      </c>
      <c r="Q766" t="n">
        <v>0</v>
      </c>
      <c r="R766" s="2" t="inlineStr"/>
    </row>
    <row r="767" ht="15" customHeight="1">
      <c r="A767" t="inlineStr">
        <is>
          <t>A 71817-2021</t>
        </is>
      </c>
      <c r="B767" s="1" t="n">
        <v>44543.59780092593</v>
      </c>
      <c r="C767" s="1" t="n">
        <v>46043</v>
      </c>
      <c r="D767" t="inlineStr">
        <is>
          <t>DALARNAS LÄN</t>
        </is>
      </c>
      <c r="E767" t="inlineStr">
        <is>
          <t>LEKSAND</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32-2024</t>
        </is>
      </c>
      <c r="B768" s="1" t="n">
        <v>45293</v>
      </c>
      <c r="C768" s="1" t="n">
        <v>46043</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36932-2023</t>
        </is>
      </c>
      <c r="B769" s="1" t="n">
        <v>45154</v>
      </c>
      <c r="C769" s="1" t="n">
        <v>46043</v>
      </c>
      <c r="D769" t="inlineStr">
        <is>
          <t>DALARNAS LÄN</t>
        </is>
      </c>
      <c r="E769" t="inlineStr">
        <is>
          <t>LEKSAND</t>
        </is>
      </c>
      <c r="G769" t="n">
        <v>1.3</v>
      </c>
      <c r="H769" t="n">
        <v>0</v>
      </c>
      <c r="I769" t="n">
        <v>0</v>
      </c>
      <c r="J769" t="n">
        <v>0</v>
      </c>
      <c r="K769" t="n">
        <v>0</v>
      </c>
      <c r="L769" t="n">
        <v>0</v>
      </c>
      <c r="M769" t="n">
        <v>0</v>
      </c>
      <c r="N769" t="n">
        <v>0</v>
      </c>
      <c r="O769" t="n">
        <v>0</v>
      </c>
      <c r="P769" t="n">
        <v>0</v>
      </c>
      <c r="Q769" t="n">
        <v>0</v>
      </c>
      <c r="R769" s="2" t="inlineStr"/>
    </row>
    <row r="770" ht="15" customHeight="1">
      <c r="A770" t="inlineStr">
        <is>
          <t>A 23663-2024</t>
        </is>
      </c>
      <c r="B770" s="1" t="n">
        <v>45454.57049768518</v>
      </c>
      <c r="C770" s="1" t="n">
        <v>46043</v>
      </c>
      <c r="D770" t="inlineStr">
        <is>
          <t>DALARNAS LÄN</t>
        </is>
      </c>
      <c r="E770" t="inlineStr">
        <is>
          <t>LEKSAND</t>
        </is>
      </c>
      <c r="G770" t="n">
        <v>2.5</v>
      </c>
      <c r="H770" t="n">
        <v>0</v>
      </c>
      <c r="I770" t="n">
        <v>0</v>
      </c>
      <c r="J770" t="n">
        <v>0</v>
      </c>
      <c r="K770" t="n">
        <v>0</v>
      </c>
      <c r="L770" t="n">
        <v>0</v>
      </c>
      <c r="M770" t="n">
        <v>0</v>
      </c>
      <c r="N770" t="n">
        <v>0</v>
      </c>
      <c r="O770" t="n">
        <v>0</v>
      </c>
      <c r="P770" t="n">
        <v>0</v>
      </c>
      <c r="Q770" t="n">
        <v>0</v>
      </c>
      <c r="R770" s="2" t="inlineStr"/>
    </row>
    <row r="771" ht="15" customHeight="1">
      <c r="A771" t="inlineStr">
        <is>
          <t>A 33180-2024</t>
        </is>
      </c>
      <c r="B771" s="1" t="n">
        <v>45518.44481481481</v>
      </c>
      <c r="C771" s="1" t="n">
        <v>46043</v>
      </c>
      <c r="D771" t="inlineStr">
        <is>
          <t>DALARNAS LÄN</t>
        </is>
      </c>
      <c r="E771" t="inlineStr">
        <is>
          <t>LEKSAND</t>
        </is>
      </c>
      <c r="G771" t="n">
        <v>7.6</v>
      </c>
      <c r="H771" t="n">
        <v>0</v>
      </c>
      <c r="I771" t="n">
        <v>0</v>
      </c>
      <c r="J771" t="n">
        <v>0</v>
      </c>
      <c r="K771" t="n">
        <v>0</v>
      </c>
      <c r="L771" t="n">
        <v>0</v>
      </c>
      <c r="M771" t="n">
        <v>0</v>
      </c>
      <c r="N771" t="n">
        <v>0</v>
      </c>
      <c r="O771" t="n">
        <v>0</v>
      </c>
      <c r="P771" t="n">
        <v>0</v>
      </c>
      <c r="Q771" t="n">
        <v>0</v>
      </c>
      <c r="R771" s="2" t="inlineStr"/>
    </row>
    <row r="772" ht="15" customHeight="1">
      <c r="A772" t="inlineStr">
        <is>
          <t>A 60715-2022</t>
        </is>
      </c>
      <c r="B772" s="1" t="n">
        <v>44912</v>
      </c>
      <c r="C772" s="1" t="n">
        <v>46043</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11092-2023</t>
        </is>
      </c>
      <c r="B773" s="1" t="n">
        <v>44992</v>
      </c>
      <c r="C773" s="1" t="n">
        <v>46043</v>
      </c>
      <c r="D773" t="inlineStr">
        <is>
          <t>DALARNAS LÄN</t>
        </is>
      </c>
      <c r="E773" t="inlineStr">
        <is>
          <t>LEKSAND</t>
        </is>
      </c>
      <c r="G773" t="n">
        <v>0.5</v>
      </c>
      <c r="H773" t="n">
        <v>0</v>
      </c>
      <c r="I773" t="n">
        <v>0</v>
      </c>
      <c r="J773" t="n">
        <v>0</v>
      </c>
      <c r="K773" t="n">
        <v>0</v>
      </c>
      <c r="L773" t="n">
        <v>0</v>
      </c>
      <c r="M773" t="n">
        <v>0</v>
      </c>
      <c r="N773" t="n">
        <v>0</v>
      </c>
      <c r="O773" t="n">
        <v>0</v>
      </c>
      <c r="P773" t="n">
        <v>0</v>
      </c>
      <c r="Q773" t="n">
        <v>0</v>
      </c>
      <c r="R773" s="2" t="inlineStr"/>
    </row>
    <row r="774" ht="15" customHeight="1">
      <c r="A774" t="inlineStr">
        <is>
          <t>A 15882-2023</t>
        </is>
      </c>
      <c r="B774" s="1" t="n">
        <v>45022</v>
      </c>
      <c r="C774" s="1" t="n">
        <v>46043</v>
      </c>
      <c r="D774" t="inlineStr">
        <is>
          <t>DALARNAS LÄN</t>
        </is>
      </c>
      <c r="E774" t="inlineStr">
        <is>
          <t>LEKSAND</t>
        </is>
      </c>
      <c r="G774" t="n">
        <v>0.1</v>
      </c>
      <c r="H774" t="n">
        <v>0</v>
      </c>
      <c r="I774" t="n">
        <v>0</v>
      </c>
      <c r="J774" t="n">
        <v>0</v>
      </c>
      <c r="K774" t="n">
        <v>0</v>
      </c>
      <c r="L774" t="n">
        <v>0</v>
      </c>
      <c r="M774" t="n">
        <v>0</v>
      </c>
      <c r="N774" t="n">
        <v>0</v>
      </c>
      <c r="O774" t="n">
        <v>0</v>
      </c>
      <c r="P774" t="n">
        <v>0</v>
      </c>
      <c r="Q774" t="n">
        <v>0</v>
      </c>
      <c r="R774" s="2" t="inlineStr"/>
    </row>
    <row r="775" ht="15" customHeight="1">
      <c r="A775" t="inlineStr">
        <is>
          <t>A 1443-2024</t>
        </is>
      </c>
      <c r="B775" s="1" t="n">
        <v>45303</v>
      </c>
      <c r="C775" s="1" t="n">
        <v>46043</v>
      </c>
      <c r="D775" t="inlineStr">
        <is>
          <t>DALARNAS LÄN</t>
        </is>
      </c>
      <c r="E775" t="inlineStr">
        <is>
          <t>LEKSAND</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1457-2024</t>
        </is>
      </c>
      <c r="B776" s="1" t="n">
        <v>45303</v>
      </c>
      <c r="C776" s="1" t="n">
        <v>46043</v>
      </c>
      <c r="D776" t="inlineStr">
        <is>
          <t>DALARNAS LÄN</t>
        </is>
      </c>
      <c r="E776" t="inlineStr">
        <is>
          <t>LEKSAND</t>
        </is>
      </c>
      <c r="G776" t="n">
        <v>4.4</v>
      </c>
      <c r="H776" t="n">
        <v>0</v>
      </c>
      <c r="I776" t="n">
        <v>0</v>
      </c>
      <c r="J776" t="n">
        <v>0</v>
      </c>
      <c r="K776" t="n">
        <v>0</v>
      </c>
      <c r="L776" t="n">
        <v>0</v>
      </c>
      <c r="M776" t="n">
        <v>0</v>
      </c>
      <c r="N776" t="n">
        <v>0</v>
      </c>
      <c r="O776" t="n">
        <v>0</v>
      </c>
      <c r="P776" t="n">
        <v>0</v>
      </c>
      <c r="Q776" t="n">
        <v>0</v>
      </c>
      <c r="R776" s="2" t="inlineStr"/>
    </row>
    <row r="777" ht="15" customHeight="1">
      <c r="A777" t="inlineStr">
        <is>
          <t>A 1215-2024</t>
        </is>
      </c>
      <c r="B777" s="1" t="n">
        <v>45302</v>
      </c>
      <c r="C777" s="1" t="n">
        <v>46043</v>
      </c>
      <c r="D777" t="inlineStr">
        <is>
          <t>DALARNAS LÄN</t>
        </is>
      </c>
      <c r="E777" t="inlineStr">
        <is>
          <t>LEKSAND</t>
        </is>
      </c>
      <c r="G777" t="n">
        <v>1.3</v>
      </c>
      <c r="H777" t="n">
        <v>0</v>
      </c>
      <c r="I777" t="n">
        <v>0</v>
      </c>
      <c r="J777" t="n">
        <v>0</v>
      </c>
      <c r="K777" t="n">
        <v>0</v>
      </c>
      <c r="L777" t="n">
        <v>0</v>
      </c>
      <c r="M777" t="n">
        <v>0</v>
      </c>
      <c r="N777" t="n">
        <v>0</v>
      </c>
      <c r="O777" t="n">
        <v>0</v>
      </c>
      <c r="P777" t="n">
        <v>0</v>
      </c>
      <c r="Q777" t="n">
        <v>0</v>
      </c>
      <c r="R777" s="2" t="inlineStr"/>
    </row>
    <row r="778" ht="15" customHeight="1">
      <c r="A778" t="inlineStr">
        <is>
          <t>A 53464-2024</t>
        </is>
      </c>
      <c r="B778" s="1" t="n">
        <v>45611</v>
      </c>
      <c r="C778" s="1" t="n">
        <v>46043</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56330-2022</t>
        </is>
      </c>
      <c r="B779" s="1" t="n">
        <v>44890.62630787037</v>
      </c>
      <c r="C779" s="1" t="n">
        <v>46043</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2140-2024</t>
        </is>
      </c>
      <c r="B780" s="1" t="n">
        <v>45309</v>
      </c>
      <c r="C780" s="1" t="n">
        <v>46043</v>
      </c>
      <c r="D780" t="inlineStr">
        <is>
          <t>DALARNAS LÄN</t>
        </is>
      </c>
      <c r="E780" t="inlineStr">
        <is>
          <t>LEKSAND</t>
        </is>
      </c>
      <c r="G780" t="n">
        <v>1.5</v>
      </c>
      <c r="H780" t="n">
        <v>0</v>
      </c>
      <c r="I780" t="n">
        <v>0</v>
      </c>
      <c r="J780" t="n">
        <v>0</v>
      </c>
      <c r="K780" t="n">
        <v>0</v>
      </c>
      <c r="L780" t="n">
        <v>0</v>
      </c>
      <c r="M780" t="n">
        <v>0</v>
      </c>
      <c r="N780" t="n">
        <v>0</v>
      </c>
      <c r="O780" t="n">
        <v>0</v>
      </c>
      <c r="P780" t="n">
        <v>0</v>
      </c>
      <c r="Q780" t="n">
        <v>0</v>
      </c>
      <c r="R780" s="2" t="inlineStr"/>
    </row>
    <row r="781" ht="15" customHeight="1">
      <c r="A781" t="inlineStr">
        <is>
          <t>A 2694-2025</t>
        </is>
      </c>
      <c r="B781" s="1" t="n">
        <v>45677.38246527778</v>
      </c>
      <c r="C781" s="1" t="n">
        <v>46043</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18176-2024</t>
        </is>
      </c>
      <c r="B782" s="1" t="n">
        <v>45420.63901620371</v>
      </c>
      <c r="C782" s="1" t="n">
        <v>46043</v>
      </c>
      <c r="D782" t="inlineStr">
        <is>
          <t>DALARNAS LÄN</t>
        </is>
      </c>
      <c r="E782" t="inlineStr">
        <is>
          <t>LEKSAND</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55268-2024</t>
        </is>
      </c>
      <c r="B783" s="1" t="n">
        <v>45621.61266203703</v>
      </c>
      <c r="C783" s="1" t="n">
        <v>46043</v>
      </c>
      <c r="D783" t="inlineStr">
        <is>
          <t>DALARNAS LÄN</t>
        </is>
      </c>
      <c r="E783" t="inlineStr">
        <is>
          <t>LEKSAND</t>
        </is>
      </c>
      <c r="G783" t="n">
        <v>4.2</v>
      </c>
      <c r="H783" t="n">
        <v>0</v>
      </c>
      <c r="I783" t="n">
        <v>0</v>
      </c>
      <c r="J783" t="n">
        <v>0</v>
      </c>
      <c r="K783" t="n">
        <v>0</v>
      </c>
      <c r="L783" t="n">
        <v>0</v>
      </c>
      <c r="M783" t="n">
        <v>0</v>
      </c>
      <c r="N783" t="n">
        <v>0</v>
      </c>
      <c r="O783" t="n">
        <v>0</v>
      </c>
      <c r="P783" t="n">
        <v>0</v>
      </c>
      <c r="Q783" t="n">
        <v>0</v>
      </c>
      <c r="R783" s="2" t="inlineStr"/>
    </row>
    <row r="784" ht="15" customHeight="1">
      <c r="A784" t="inlineStr">
        <is>
          <t>A 62130-2024</t>
        </is>
      </c>
      <c r="B784" s="1" t="n">
        <v>45656.61827546296</v>
      </c>
      <c r="C784" s="1" t="n">
        <v>46043</v>
      </c>
      <c r="D784" t="inlineStr">
        <is>
          <t>DALARNAS LÄN</t>
        </is>
      </c>
      <c r="E784" t="inlineStr">
        <is>
          <t>LEKSAND</t>
        </is>
      </c>
      <c r="G784" t="n">
        <v>11.4</v>
      </c>
      <c r="H784" t="n">
        <v>0</v>
      </c>
      <c r="I784" t="n">
        <v>0</v>
      </c>
      <c r="J784" t="n">
        <v>0</v>
      </c>
      <c r="K784" t="n">
        <v>0</v>
      </c>
      <c r="L784" t="n">
        <v>0</v>
      </c>
      <c r="M784" t="n">
        <v>0</v>
      </c>
      <c r="N784" t="n">
        <v>0</v>
      </c>
      <c r="O784" t="n">
        <v>0</v>
      </c>
      <c r="P784" t="n">
        <v>0</v>
      </c>
      <c r="Q784" t="n">
        <v>0</v>
      </c>
      <c r="R784" s="2" t="inlineStr"/>
    </row>
    <row r="785" ht="15" customHeight="1">
      <c r="A785" t="inlineStr">
        <is>
          <t>A 30998-2023</t>
        </is>
      </c>
      <c r="B785" s="1" t="n">
        <v>45113.54193287037</v>
      </c>
      <c r="C785" s="1" t="n">
        <v>46043</v>
      </c>
      <c r="D785" t="inlineStr">
        <is>
          <t>DALARNAS LÄN</t>
        </is>
      </c>
      <c r="E785" t="inlineStr">
        <is>
          <t>LEKSAND</t>
        </is>
      </c>
      <c r="G785" t="n">
        <v>0.5</v>
      </c>
      <c r="H785" t="n">
        <v>0</v>
      </c>
      <c r="I785" t="n">
        <v>0</v>
      </c>
      <c r="J785" t="n">
        <v>0</v>
      </c>
      <c r="K785" t="n">
        <v>0</v>
      </c>
      <c r="L785" t="n">
        <v>0</v>
      </c>
      <c r="M785" t="n">
        <v>0</v>
      </c>
      <c r="N785" t="n">
        <v>0</v>
      </c>
      <c r="O785" t="n">
        <v>0</v>
      </c>
      <c r="P785" t="n">
        <v>0</v>
      </c>
      <c r="Q785" t="n">
        <v>0</v>
      </c>
      <c r="R785" s="2" t="inlineStr"/>
    </row>
    <row r="786" ht="15" customHeight="1">
      <c r="A786" t="inlineStr">
        <is>
          <t>A 6519-2025</t>
        </is>
      </c>
      <c r="B786" s="1" t="n">
        <v>45699</v>
      </c>
      <c r="C786" s="1" t="n">
        <v>46043</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9143-2023</t>
        </is>
      </c>
      <c r="B787" s="1" t="n">
        <v>44974</v>
      </c>
      <c r="C787" s="1" t="n">
        <v>46043</v>
      </c>
      <c r="D787" t="inlineStr">
        <is>
          <t>DALARNAS LÄN</t>
        </is>
      </c>
      <c r="E787" t="inlineStr">
        <is>
          <t>LEKSAND</t>
        </is>
      </c>
      <c r="G787" t="n">
        <v>4.3</v>
      </c>
      <c r="H787" t="n">
        <v>0</v>
      </c>
      <c r="I787" t="n">
        <v>0</v>
      </c>
      <c r="J787" t="n">
        <v>0</v>
      </c>
      <c r="K787" t="n">
        <v>0</v>
      </c>
      <c r="L787" t="n">
        <v>0</v>
      </c>
      <c r="M787" t="n">
        <v>0</v>
      </c>
      <c r="N787" t="n">
        <v>0</v>
      </c>
      <c r="O787" t="n">
        <v>0</v>
      </c>
      <c r="P787" t="n">
        <v>0</v>
      </c>
      <c r="Q787" t="n">
        <v>0</v>
      </c>
      <c r="R787" s="2" t="inlineStr"/>
    </row>
    <row r="788" ht="15" customHeight="1">
      <c r="A788" t="inlineStr">
        <is>
          <t>A 36262-2023</t>
        </is>
      </c>
      <c r="B788" s="1" t="n">
        <v>45151.9096875</v>
      </c>
      <c r="C788" s="1" t="n">
        <v>46043</v>
      </c>
      <c r="D788" t="inlineStr">
        <is>
          <t>DALARNAS LÄN</t>
        </is>
      </c>
      <c r="E788" t="inlineStr">
        <is>
          <t>LEKSAND</t>
        </is>
      </c>
      <c r="G788" t="n">
        <v>1.2</v>
      </c>
      <c r="H788" t="n">
        <v>0</v>
      </c>
      <c r="I788" t="n">
        <v>0</v>
      </c>
      <c r="J788" t="n">
        <v>0</v>
      </c>
      <c r="K788" t="n">
        <v>0</v>
      </c>
      <c r="L788" t="n">
        <v>0</v>
      </c>
      <c r="M788" t="n">
        <v>0</v>
      </c>
      <c r="N788" t="n">
        <v>0</v>
      </c>
      <c r="O788" t="n">
        <v>0</v>
      </c>
      <c r="P788" t="n">
        <v>0</v>
      </c>
      <c r="Q788" t="n">
        <v>0</v>
      </c>
      <c r="R788" s="2" t="inlineStr"/>
    </row>
    <row r="789" ht="15" customHeight="1">
      <c r="A789" t="inlineStr">
        <is>
          <t>A 60095-2022</t>
        </is>
      </c>
      <c r="B789" s="1" t="n">
        <v>44909</v>
      </c>
      <c r="C789" s="1" t="n">
        <v>46043</v>
      </c>
      <c r="D789" t="inlineStr">
        <is>
          <t>DALARNAS LÄN</t>
        </is>
      </c>
      <c r="E789" t="inlineStr">
        <is>
          <t>LEKSAND</t>
        </is>
      </c>
      <c r="G789" t="n">
        <v>2.4</v>
      </c>
      <c r="H789" t="n">
        <v>0</v>
      </c>
      <c r="I789" t="n">
        <v>0</v>
      </c>
      <c r="J789" t="n">
        <v>0</v>
      </c>
      <c r="K789" t="n">
        <v>0</v>
      </c>
      <c r="L789" t="n">
        <v>0</v>
      </c>
      <c r="M789" t="n">
        <v>0</v>
      </c>
      <c r="N789" t="n">
        <v>0</v>
      </c>
      <c r="O789" t="n">
        <v>0</v>
      </c>
      <c r="P789" t="n">
        <v>0</v>
      </c>
      <c r="Q789" t="n">
        <v>0</v>
      </c>
      <c r="R789" s="2" t="inlineStr"/>
    </row>
    <row r="790" ht="15" customHeight="1">
      <c r="A790" t="inlineStr">
        <is>
          <t>A 38117-2023</t>
        </is>
      </c>
      <c r="B790" s="1" t="n">
        <v>45161</v>
      </c>
      <c r="C790" s="1" t="n">
        <v>46043</v>
      </c>
      <c r="D790" t="inlineStr">
        <is>
          <t>DALARNAS LÄN</t>
        </is>
      </c>
      <c r="E790" t="inlineStr">
        <is>
          <t>LEKSAND</t>
        </is>
      </c>
      <c r="G790" t="n">
        <v>1.5</v>
      </c>
      <c r="H790" t="n">
        <v>0</v>
      </c>
      <c r="I790" t="n">
        <v>0</v>
      </c>
      <c r="J790" t="n">
        <v>0</v>
      </c>
      <c r="K790" t="n">
        <v>0</v>
      </c>
      <c r="L790" t="n">
        <v>0</v>
      </c>
      <c r="M790" t="n">
        <v>0</v>
      </c>
      <c r="N790" t="n">
        <v>0</v>
      </c>
      <c r="O790" t="n">
        <v>0</v>
      </c>
      <c r="P790" t="n">
        <v>0</v>
      </c>
      <c r="Q790" t="n">
        <v>0</v>
      </c>
      <c r="R790" s="2" t="inlineStr"/>
    </row>
    <row r="791" ht="15" customHeight="1">
      <c r="A791" t="inlineStr">
        <is>
          <t>A 11418-2023</t>
        </is>
      </c>
      <c r="B791" s="1" t="n">
        <v>44993</v>
      </c>
      <c r="C791" s="1" t="n">
        <v>46043</v>
      </c>
      <c r="D791" t="inlineStr">
        <is>
          <t>DALARNAS LÄN</t>
        </is>
      </c>
      <c r="E791" t="inlineStr">
        <is>
          <t>LEKSAND</t>
        </is>
      </c>
      <c r="G791" t="n">
        <v>2.7</v>
      </c>
      <c r="H791" t="n">
        <v>0</v>
      </c>
      <c r="I791" t="n">
        <v>0</v>
      </c>
      <c r="J791" t="n">
        <v>0</v>
      </c>
      <c r="K791" t="n">
        <v>0</v>
      </c>
      <c r="L791" t="n">
        <v>0</v>
      </c>
      <c r="M791" t="n">
        <v>0</v>
      </c>
      <c r="N791" t="n">
        <v>0</v>
      </c>
      <c r="O791" t="n">
        <v>0</v>
      </c>
      <c r="P791" t="n">
        <v>0</v>
      </c>
      <c r="Q791" t="n">
        <v>0</v>
      </c>
      <c r="R791" s="2" t="inlineStr"/>
    </row>
    <row r="792" ht="15" customHeight="1">
      <c r="A792" t="inlineStr">
        <is>
          <t>A 39558-2023</t>
        </is>
      </c>
      <c r="B792" s="1" t="n">
        <v>45167.38664351852</v>
      </c>
      <c r="C792" s="1" t="n">
        <v>46043</v>
      </c>
      <c r="D792" t="inlineStr">
        <is>
          <t>DALARNAS LÄN</t>
        </is>
      </c>
      <c r="E792" t="inlineStr">
        <is>
          <t>LEKSAND</t>
        </is>
      </c>
      <c r="G792" t="n">
        <v>39.9</v>
      </c>
      <c r="H792" t="n">
        <v>0</v>
      </c>
      <c r="I792" t="n">
        <v>0</v>
      </c>
      <c r="J792" t="n">
        <v>0</v>
      </c>
      <c r="K792" t="n">
        <v>0</v>
      </c>
      <c r="L792" t="n">
        <v>0</v>
      </c>
      <c r="M792" t="n">
        <v>0</v>
      </c>
      <c r="N792" t="n">
        <v>0</v>
      </c>
      <c r="O792" t="n">
        <v>0</v>
      </c>
      <c r="P792" t="n">
        <v>0</v>
      </c>
      <c r="Q792" t="n">
        <v>0</v>
      </c>
      <c r="R792" s="2" t="inlineStr"/>
    </row>
    <row r="793" ht="15" customHeight="1">
      <c r="A793" t="inlineStr">
        <is>
          <t>A 43231-2024</t>
        </is>
      </c>
      <c r="B793" s="1" t="n">
        <v>45567.89709490741</v>
      </c>
      <c r="C793" s="1" t="n">
        <v>46043</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64516-2023</t>
        </is>
      </c>
      <c r="B794" s="1" t="n">
        <v>45280</v>
      </c>
      <c r="C794" s="1" t="n">
        <v>46043</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53799-2023</t>
        </is>
      </c>
      <c r="B795" s="1" t="n">
        <v>45231.35564814815</v>
      </c>
      <c r="C795" s="1" t="n">
        <v>46043</v>
      </c>
      <c r="D795" t="inlineStr">
        <is>
          <t>DALARNAS LÄN</t>
        </is>
      </c>
      <c r="E795" t="inlineStr">
        <is>
          <t>LEKSAND</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40193-2024</t>
        </is>
      </c>
      <c r="B796" s="1" t="n">
        <v>45554.5734375</v>
      </c>
      <c r="C796" s="1" t="n">
        <v>46043</v>
      </c>
      <c r="D796" t="inlineStr">
        <is>
          <t>DALARNAS LÄN</t>
        </is>
      </c>
      <c r="E796" t="inlineStr">
        <is>
          <t>LEKSAND</t>
        </is>
      </c>
      <c r="F796" t="inlineStr">
        <is>
          <t>Övriga statliga verk och myndigheter</t>
        </is>
      </c>
      <c r="G796" t="n">
        <v>1</v>
      </c>
      <c r="H796" t="n">
        <v>0</v>
      </c>
      <c r="I796" t="n">
        <v>0</v>
      </c>
      <c r="J796" t="n">
        <v>0</v>
      </c>
      <c r="K796" t="n">
        <v>0</v>
      </c>
      <c r="L796" t="n">
        <v>0</v>
      </c>
      <c r="M796" t="n">
        <v>0</v>
      </c>
      <c r="N796" t="n">
        <v>0</v>
      </c>
      <c r="O796" t="n">
        <v>0</v>
      </c>
      <c r="P796" t="n">
        <v>0</v>
      </c>
      <c r="Q796" t="n">
        <v>0</v>
      </c>
      <c r="R796" s="2" t="inlineStr"/>
    </row>
    <row r="797" ht="15" customHeight="1">
      <c r="A797" t="inlineStr">
        <is>
          <t>A 31728-2024</t>
        </is>
      </c>
      <c r="B797" s="1" t="n">
        <v>45509.34517361111</v>
      </c>
      <c r="C797" s="1" t="n">
        <v>46043</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32394-2024</t>
        </is>
      </c>
      <c r="B798" s="1" t="n">
        <v>45512.64349537037</v>
      </c>
      <c r="C798" s="1" t="n">
        <v>46043</v>
      </c>
      <c r="D798" t="inlineStr">
        <is>
          <t>DALARNAS LÄN</t>
        </is>
      </c>
      <c r="E798" t="inlineStr">
        <is>
          <t>LEKSAND</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43221-2024</t>
        </is>
      </c>
      <c r="B799" s="1" t="n">
        <v>45567.86695601852</v>
      </c>
      <c r="C799" s="1" t="n">
        <v>46043</v>
      </c>
      <c r="D799" t="inlineStr">
        <is>
          <t>DALARNAS LÄN</t>
        </is>
      </c>
      <c r="E799" t="inlineStr">
        <is>
          <t>LEKSAND</t>
        </is>
      </c>
      <c r="G799" t="n">
        <v>1.1</v>
      </c>
      <c r="H799" t="n">
        <v>0</v>
      </c>
      <c r="I799" t="n">
        <v>0</v>
      </c>
      <c r="J799" t="n">
        <v>0</v>
      </c>
      <c r="K799" t="n">
        <v>0</v>
      </c>
      <c r="L799" t="n">
        <v>0</v>
      </c>
      <c r="M799" t="n">
        <v>0</v>
      </c>
      <c r="N799" t="n">
        <v>0</v>
      </c>
      <c r="O799" t="n">
        <v>0</v>
      </c>
      <c r="P799" t="n">
        <v>0</v>
      </c>
      <c r="Q799" t="n">
        <v>0</v>
      </c>
      <c r="R799" s="2" t="inlineStr"/>
    </row>
    <row r="800" ht="15" customHeight="1">
      <c r="A800" t="inlineStr">
        <is>
          <t>A 21839-2022</t>
        </is>
      </c>
      <c r="B800" s="1" t="n">
        <v>44711</v>
      </c>
      <c r="C800" s="1" t="n">
        <v>46043</v>
      </c>
      <c r="D800" t="inlineStr">
        <is>
          <t>DALARNAS LÄN</t>
        </is>
      </c>
      <c r="E800" t="inlineStr">
        <is>
          <t>LEKSAND</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22388-2024</t>
        </is>
      </c>
      <c r="B801" s="1" t="n">
        <v>45446</v>
      </c>
      <c r="C801" s="1" t="n">
        <v>46043</v>
      </c>
      <c r="D801" t="inlineStr">
        <is>
          <t>DALARNAS LÄN</t>
        </is>
      </c>
      <c r="E801" t="inlineStr">
        <is>
          <t>LEKSAND</t>
        </is>
      </c>
      <c r="F801" t="inlineStr">
        <is>
          <t>Bergvik skog väst AB</t>
        </is>
      </c>
      <c r="G801" t="n">
        <v>5.3</v>
      </c>
      <c r="H801" t="n">
        <v>0</v>
      </c>
      <c r="I801" t="n">
        <v>0</v>
      </c>
      <c r="J801" t="n">
        <v>0</v>
      </c>
      <c r="K801" t="n">
        <v>0</v>
      </c>
      <c r="L801" t="n">
        <v>0</v>
      </c>
      <c r="M801" t="n">
        <v>0</v>
      </c>
      <c r="N801" t="n">
        <v>0</v>
      </c>
      <c r="O801" t="n">
        <v>0</v>
      </c>
      <c r="P801" t="n">
        <v>0</v>
      </c>
      <c r="Q801" t="n">
        <v>0</v>
      </c>
      <c r="R801" s="2" t="inlineStr"/>
    </row>
    <row r="802" ht="15" customHeight="1">
      <c r="A802" t="inlineStr">
        <is>
          <t>A 15120-2023</t>
        </is>
      </c>
      <c r="B802" s="1" t="n">
        <v>45016.46484953703</v>
      </c>
      <c r="C802" s="1" t="n">
        <v>46043</v>
      </c>
      <c r="D802" t="inlineStr">
        <is>
          <t>DALARNAS LÄN</t>
        </is>
      </c>
      <c r="E802" t="inlineStr">
        <is>
          <t>LEKSAND</t>
        </is>
      </c>
      <c r="G802" t="n">
        <v>2.7</v>
      </c>
      <c r="H802" t="n">
        <v>0</v>
      </c>
      <c r="I802" t="n">
        <v>0</v>
      </c>
      <c r="J802" t="n">
        <v>0</v>
      </c>
      <c r="K802" t="n">
        <v>0</v>
      </c>
      <c r="L802" t="n">
        <v>0</v>
      </c>
      <c r="M802" t="n">
        <v>0</v>
      </c>
      <c r="N802" t="n">
        <v>0</v>
      </c>
      <c r="O802" t="n">
        <v>0</v>
      </c>
      <c r="P802" t="n">
        <v>0</v>
      </c>
      <c r="Q802" t="n">
        <v>0</v>
      </c>
      <c r="R802" s="2" t="inlineStr"/>
    </row>
    <row r="803" ht="15" customHeight="1">
      <c r="A803" t="inlineStr">
        <is>
          <t>A 17413-2023</t>
        </is>
      </c>
      <c r="B803" s="1" t="n">
        <v>45035</v>
      </c>
      <c r="C803" s="1" t="n">
        <v>46043</v>
      </c>
      <c r="D803" t="inlineStr">
        <is>
          <t>DALARNAS LÄN</t>
        </is>
      </c>
      <c r="E803" t="inlineStr">
        <is>
          <t>LEKSAND</t>
        </is>
      </c>
      <c r="G803" t="n">
        <v>1.7</v>
      </c>
      <c r="H803" t="n">
        <v>0</v>
      </c>
      <c r="I803" t="n">
        <v>0</v>
      </c>
      <c r="J803" t="n">
        <v>0</v>
      </c>
      <c r="K803" t="n">
        <v>0</v>
      </c>
      <c r="L803" t="n">
        <v>0</v>
      </c>
      <c r="M803" t="n">
        <v>0</v>
      </c>
      <c r="N803" t="n">
        <v>0</v>
      </c>
      <c r="O803" t="n">
        <v>0</v>
      </c>
      <c r="P803" t="n">
        <v>0</v>
      </c>
      <c r="Q803" t="n">
        <v>0</v>
      </c>
      <c r="R803" s="2" t="inlineStr"/>
    </row>
    <row r="804" ht="15" customHeight="1">
      <c r="A804" t="inlineStr">
        <is>
          <t>A 9138-2023</t>
        </is>
      </c>
      <c r="B804" s="1" t="n">
        <v>44974</v>
      </c>
      <c r="C804" s="1" t="n">
        <v>46043</v>
      </c>
      <c r="D804" t="inlineStr">
        <is>
          <t>DALARNAS LÄN</t>
        </is>
      </c>
      <c r="E804" t="inlineStr">
        <is>
          <t>LEKSAND</t>
        </is>
      </c>
      <c r="G804" t="n">
        <v>4.6</v>
      </c>
      <c r="H804" t="n">
        <v>0</v>
      </c>
      <c r="I804" t="n">
        <v>0</v>
      </c>
      <c r="J804" t="n">
        <v>0</v>
      </c>
      <c r="K804" t="n">
        <v>0</v>
      </c>
      <c r="L804" t="n">
        <v>0</v>
      </c>
      <c r="M804" t="n">
        <v>0</v>
      </c>
      <c r="N804" t="n">
        <v>0</v>
      </c>
      <c r="O804" t="n">
        <v>0</v>
      </c>
      <c r="P804" t="n">
        <v>0</v>
      </c>
      <c r="Q804" t="n">
        <v>0</v>
      </c>
      <c r="R804" s="2" t="inlineStr"/>
    </row>
    <row r="805" ht="15" customHeight="1">
      <c r="A805" t="inlineStr">
        <is>
          <t>A 61680-2024</t>
        </is>
      </c>
      <c r="B805" s="1" t="n">
        <v>45647.42890046296</v>
      </c>
      <c r="C805" s="1" t="n">
        <v>46043</v>
      </c>
      <c r="D805" t="inlineStr">
        <is>
          <t>DALARNAS LÄN</t>
        </is>
      </c>
      <c r="E805" t="inlineStr">
        <is>
          <t>LEKSAND</t>
        </is>
      </c>
      <c r="G805" t="n">
        <v>3.6</v>
      </c>
      <c r="H805" t="n">
        <v>0</v>
      </c>
      <c r="I805" t="n">
        <v>0</v>
      </c>
      <c r="J805" t="n">
        <v>0</v>
      </c>
      <c r="K805" t="n">
        <v>0</v>
      </c>
      <c r="L805" t="n">
        <v>0</v>
      </c>
      <c r="M805" t="n">
        <v>0</v>
      </c>
      <c r="N805" t="n">
        <v>0</v>
      </c>
      <c r="O805" t="n">
        <v>0</v>
      </c>
      <c r="P805" t="n">
        <v>0</v>
      </c>
      <c r="Q805" t="n">
        <v>0</v>
      </c>
      <c r="R805" s="2" t="inlineStr"/>
    </row>
    <row r="806" ht="15" customHeight="1">
      <c r="A806" t="inlineStr">
        <is>
          <t>A 54911-2024</t>
        </is>
      </c>
      <c r="B806" s="1" t="n">
        <v>45618.68929398148</v>
      </c>
      <c r="C806" s="1" t="n">
        <v>46043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16611-2024</t>
        </is>
      </c>
      <c r="B807" s="1" t="n">
        <v>45408.55504629629</v>
      </c>
      <c r="C807" s="1" t="n">
        <v>46043</v>
      </c>
      <c r="D807" t="inlineStr">
        <is>
          <t>DALARNAS LÄN</t>
        </is>
      </c>
      <c r="E807" t="inlineStr">
        <is>
          <t>LEKSAND</t>
        </is>
      </c>
      <c r="G807" t="n">
        <v>5.9</v>
      </c>
      <c r="H807" t="n">
        <v>0</v>
      </c>
      <c r="I807" t="n">
        <v>0</v>
      </c>
      <c r="J807" t="n">
        <v>0</v>
      </c>
      <c r="K807" t="n">
        <v>0</v>
      </c>
      <c r="L807" t="n">
        <v>0</v>
      </c>
      <c r="M807" t="n">
        <v>0</v>
      </c>
      <c r="N807" t="n">
        <v>0</v>
      </c>
      <c r="O807" t="n">
        <v>0</v>
      </c>
      <c r="P807" t="n">
        <v>0</v>
      </c>
      <c r="Q807" t="n">
        <v>0</v>
      </c>
      <c r="R807" s="2" t="inlineStr"/>
    </row>
    <row r="808" ht="15" customHeight="1">
      <c r="A808" t="inlineStr">
        <is>
          <t>A 5574-2024</t>
        </is>
      </c>
      <c r="B808" s="1" t="n">
        <v>45334</v>
      </c>
      <c r="C808" s="1" t="n">
        <v>46043</v>
      </c>
      <c r="D808" t="inlineStr">
        <is>
          <t>DALARNAS LÄN</t>
        </is>
      </c>
      <c r="E808" t="inlineStr">
        <is>
          <t>LEKSAND</t>
        </is>
      </c>
      <c r="G808" t="n">
        <v>0.4</v>
      </c>
      <c r="H808" t="n">
        <v>0</v>
      </c>
      <c r="I808" t="n">
        <v>0</v>
      </c>
      <c r="J808" t="n">
        <v>0</v>
      </c>
      <c r="K808" t="n">
        <v>0</v>
      </c>
      <c r="L808" t="n">
        <v>0</v>
      </c>
      <c r="M808" t="n">
        <v>0</v>
      </c>
      <c r="N808" t="n">
        <v>0</v>
      </c>
      <c r="O808" t="n">
        <v>0</v>
      </c>
      <c r="P808" t="n">
        <v>0</v>
      </c>
      <c r="Q808" t="n">
        <v>0</v>
      </c>
      <c r="R808" s="2" t="inlineStr"/>
    </row>
    <row r="809" ht="15" customHeight="1">
      <c r="A809" t="inlineStr">
        <is>
          <t>A 45512-2023</t>
        </is>
      </c>
      <c r="B809" s="1" t="n">
        <v>45194.49178240741</v>
      </c>
      <c r="C809" s="1" t="n">
        <v>46043</v>
      </c>
      <c r="D809" t="inlineStr">
        <is>
          <t>DALARNAS LÄN</t>
        </is>
      </c>
      <c r="E809" t="inlineStr">
        <is>
          <t>LEKSAND</t>
        </is>
      </c>
      <c r="F809" t="inlineStr">
        <is>
          <t>Bergvik skog väst AB</t>
        </is>
      </c>
      <c r="G809" t="n">
        <v>3.4</v>
      </c>
      <c r="H809" t="n">
        <v>0</v>
      </c>
      <c r="I809" t="n">
        <v>0</v>
      </c>
      <c r="J809" t="n">
        <v>0</v>
      </c>
      <c r="K809" t="n">
        <v>0</v>
      </c>
      <c r="L809" t="n">
        <v>0</v>
      </c>
      <c r="M809" t="n">
        <v>0</v>
      </c>
      <c r="N809" t="n">
        <v>0</v>
      </c>
      <c r="O809" t="n">
        <v>0</v>
      </c>
      <c r="P809" t="n">
        <v>0</v>
      </c>
      <c r="Q809" t="n">
        <v>0</v>
      </c>
      <c r="R809" s="2" t="inlineStr"/>
    </row>
    <row r="810" ht="15" customHeight="1">
      <c r="A810" t="inlineStr">
        <is>
          <t>A 402-2024</t>
        </is>
      </c>
      <c r="B810" s="1" t="n">
        <v>45296.45545138889</v>
      </c>
      <c r="C810" s="1" t="n">
        <v>46043</v>
      </c>
      <c r="D810" t="inlineStr">
        <is>
          <t>DALARNAS LÄN</t>
        </is>
      </c>
      <c r="E810" t="inlineStr">
        <is>
          <t>LEKSAND</t>
        </is>
      </c>
      <c r="G810" t="n">
        <v>1.5</v>
      </c>
      <c r="H810" t="n">
        <v>0</v>
      </c>
      <c r="I810" t="n">
        <v>0</v>
      </c>
      <c r="J810" t="n">
        <v>0</v>
      </c>
      <c r="K810" t="n">
        <v>0</v>
      </c>
      <c r="L810" t="n">
        <v>0</v>
      </c>
      <c r="M810" t="n">
        <v>0</v>
      </c>
      <c r="N810" t="n">
        <v>0</v>
      </c>
      <c r="O810" t="n">
        <v>0</v>
      </c>
      <c r="P810" t="n">
        <v>0</v>
      </c>
      <c r="Q810" t="n">
        <v>0</v>
      </c>
      <c r="R810" s="2" t="inlineStr"/>
    </row>
    <row r="811" ht="15" customHeight="1">
      <c r="A811" t="inlineStr">
        <is>
          <t>A 7778-2025</t>
        </is>
      </c>
      <c r="B811" s="1" t="n">
        <v>45706</v>
      </c>
      <c r="C811" s="1" t="n">
        <v>46043</v>
      </c>
      <c r="D811" t="inlineStr">
        <is>
          <t>DALARNAS LÄN</t>
        </is>
      </c>
      <c r="E811" t="inlineStr">
        <is>
          <t>LEKSAND</t>
        </is>
      </c>
      <c r="G811" t="n">
        <v>2.2</v>
      </c>
      <c r="H811" t="n">
        <v>0</v>
      </c>
      <c r="I811" t="n">
        <v>0</v>
      </c>
      <c r="J811" t="n">
        <v>0</v>
      </c>
      <c r="K811" t="n">
        <v>0</v>
      </c>
      <c r="L811" t="n">
        <v>0</v>
      </c>
      <c r="M811" t="n">
        <v>0</v>
      </c>
      <c r="N811" t="n">
        <v>0</v>
      </c>
      <c r="O811" t="n">
        <v>0</v>
      </c>
      <c r="P811" t="n">
        <v>0</v>
      </c>
      <c r="Q811" t="n">
        <v>0</v>
      </c>
      <c r="R811" s="2" t="inlineStr"/>
    </row>
    <row r="812" ht="15" customHeight="1">
      <c r="A812" t="inlineStr">
        <is>
          <t>A 19590-2023</t>
        </is>
      </c>
      <c r="B812" s="1" t="n">
        <v>45049</v>
      </c>
      <c r="C812" s="1" t="n">
        <v>46043</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39807-2024</t>
        </is>
      </c>
      <c r="B813" s="1" t="n">
        <v>45553.35763888889</v>
      </c>
      <c r="C813" s="1" t="n">
        <v>46043</v>
      </c>
      <c r="D813" t="inlineStr">
        <is>
          <t>DALARNAS LÄN</t>
        </is>
      </c>
      <c r="E813" t="inlineStr">
        <is>
          <t>LEKSAND</t>
        </is>
      </c>
      <c r="F813" t="inlineStr">
        <is>
          <t>Bergvik skog väst AB</t>
        </is>
      </c>
      <c r="G813" t="n">
        <v>1.2</v>
      </c>
      <c r="H813" t="n">
        <v>0</v>
      </c>
      <c r="I813" t="n">
        <v>0</v>
      </c>
      <c r="J813" t="n">
        <v>0</v>
      </c>
      <c r="K813" t="n">
        <v>0</v>
      </c>
      <c r="L813" t="n">
        <v>0</v>
      </c>
      <c r="M813" t="n">
        <v>0</v>
      </c>
      <c r="N813" t="n">
        <v>0</v>
      </c>
      <c r="O813" t="n">
        <v>0</v>
      </c>
      <c r="P813" t="n">
        <v>0</v>
      </c>
      <c r="Q813" t="n">
        <v>0</v>
      </c>
      <c r="R813" s="2" t="inlineStr"/>
    </row>
    <row r="814" ht="15" customHeight="1">
      <c r="A814" t="inlineStr">
        <is>
          <t>A 31850-2024</t>
        </is>
      </c>
      <c r="B814" s="1" t="n">
        <v>45509.67334490741</v>
      </c>
      <c r="C814" s="1" t="n">
        <v>46043</v>
      </c>
      <c r="D814" t="inlineStr">
        <is>
          <t>DALARNAS LÄN</t>
        </is>
      </c>
      <c r="E814" t="inlineStr">
        <is>
          <t>LEKSAND</t>
        </is>
      </c>
      <c r="G814" t="n">
        <v>0.5</v>
      </c>
      <c r="H814" t="n">
        <v>0</v>
      </c>
      <c r="I814" t="n">
        <v>0</v>
      </c>
      <c r="J814" t="n">
        <v>0</v>
      </c>
      <c r="K814" t="n">
        <v>0</v>
      </c>
      <c r="L814" t="n">
        <v>0</v>
      </c>
      <c r="M814" t="n">
        <v>0</v>
      </c>
      <c r="N814" t="n">
        <v>0</v>
      </c>
      <c r="O814" t="n">
        <v>0</v>
      </c>
      <c r="P814" t="n">
        <v>0</v>
      </c>
      <c r="Q814" t="n">
        <v>0</v>
      </c>
      <c r="R814" s="2" t="inlineStr"/>
    </row>
    <row r="815" ht="15" customHeight="1">
      <c r="A815" t="inlineStr">
        <is>
          <t>A 11277-2025</t>
        </is>
      </c>
      <c r="B815" s="1" t="n">
        <v>45726.41565972222</v>
      </c>
      <c r="C815" s="1" t="n">
        <v>46043</v>
      </c>
      <c r="D815" t="inlineStr">
        <is>
          <t>DALARNAS LÄN</t>
        </is>
      </c>
      <c r="E815" t="inlineStr">
        <is>
          <t>LEKSAND</t>
        </is>
      </c>
      <c r="G815" t="n">
        <v>2</v>
      </c>
      <c r="H815" t="n">
        <v>0</v>
      </c>
      <c r="I815" t="n">
        <v>0</v>
      </c>
      <c r="J815" t="n">
        <v>0</v>
      </c>
      <c r="K815" t="n">
        <v>0</v>
      </c>
      <c r="L815" t="n">
        <v>0</v>
      </c>
      <c r="M815" t="n">
        <v>0</v>
      </c>
      <c r="N815" t="n">
        <v>0</v>
      </c>
      <c r="O815" t="n">
        <v>0</v>
      </c>
      <c r="P815" t="n">
        <v>0</v>
      </c>
      <c r="Q815" t="n">
        <v>0</v>
      </c>
      <c r="R815" s="2" t="inlineStr"/>
    </row>
    <row r="816" ht="15" customHeight="1">
      <c r="A816" t="inlineStr">
        <is>
          <t>A 325-2023</t>
        </is>
      </c>
      <c r="B816" s="1" t="n">
        <v>44929</v>
      </c>
      <c r="C816" s="1" t="n">
        <v>46043</v>
      </c>
      <c r="D816" t="inlineStr">
        <is>
          <t>DALARNAS LÄN</t>
        </is>
      </c>
      <c r="E816" t="inlineStr">
        <is>
          <t>LEKSAND</t>
        </is>
      </c>
      <c r="F816" t="inlineStr">
        <is>
          <t>Övriga Aktiebolag</t>
        </is>
      </c>
      <c r="G816" t="n">
        <v>7.1</v>
      </c>
      <c r="H816" t="n">
        <v>0</v>
      </c>
      <c r="I816" t="n">
        <v>0</v>
      </c>
      <c r="J816" t="n">
        <v>0</v>
      </c>
      <c r="K816" t="n">
        <v>0</v>
      </c>
      <c r="L816" t="n">
        <v>0</v>
      </c>
      <c r="M816" t="n">
        <v>0</v>
      </c>
      <c r="N816" t="n">
        <v>0</v>
      </c>
      <c r="O816" t="n">
        <v>0</v>
      </c>
      <c r="P816" t="n">
        <v>0</v>
      </c>
      <c r="Q816" t="n">
        <v>0</v>
      </c>
      <c r="R816" s="2" t="inlineStr"/>
    </row>
    <row r="817" ht="15" customHeight="1">
      <c r="A817" t="inlineStr">
        <is>
          <t>A 11678-2025</t>
        </is>
      </c>
      <c r="B817" s="1" t="n">
        <v>45726</v>
      </c>
      <c r="C817" s="1" t="n">
        <v>46043</v>
      </c>
      <c r="D817" t="inlineStr">
        <is>
          <t>DALARNAS LÄN</t>
        </is>
      </c>
      <c r="E817" t="inlineStr">
        <is>
          <t>LEKSAND</t>
        </is>
      </c>
      <c r="G817" t="n">
        <v>9.4</v>
      </c>
      <c r="H817" t="n">
        <v>0</v>
      </c>
      <c r="I817" t="n">
        <v>0</v>
      </c>
      <c r="J817" t="n">
        <v>0</v>
      </c>
      <c r="K817" t="n">
        <v>0</v>
      </c>
      <c r="L817" t="n">
        <v>0</v>
      </c>
      <c r="M817" t="n">
        <v>0</v>
      </c>
      <c r="N817" t="n">
        <v>0</v>
      </c>
      <c r="O817" t="n">
        <v>0</v>
      </c>
      <c r="P817" t="n">
        <v>0</v>
      </c>
      <c r="Q817" t="n">
        <v>0</v>
      </c>
      <c r="R817" s="2" t="inlineStr"/>
    </row>
    <row r="818" ht="15" customHeight="1">
      <c r="A818" t="inlineStr">
        <is>
          <t>A 28630-2023</t>
        </is>
      </c>
      <c r="B818" s="1" t="n">
        <v>45103.61003472222</v>
      </c>
      <c r="C818" s="1" t="n">
        <v>46043</v>
      </c>
      <c r="D818" t="inlineStr">
        <is>
          <t>DALARNAS LÄN</t>
        </is>
      </c>
      <c r="E818" t="inlineStr">
        <is>
          <t>LEKSAND</t>
        </is>
      </c>
      <c r="F818" t="inlineStr">
        <is>
          <t>Bergvik skog väst AB</t>
        </is>
      </c>
      <c r="G818" t="n">
        <v>0.3</v>
      </c>
      <c r="H818" t="n">
        <v>0</v>
      </c>
      <c r="I818" t="n">
        <v>0</v>
      </c>
      <c r="J818" t="n">
        <v>0</v>
      </c>
      <c r="K818" t="n">
        <v>0</v>
      </c>
      <c r="L818" t="n">
        <v>0</v>
      </c>
      <c r="M818" t="n">
        <v>0</v>
      </c>
      <c r="N818" t="n">
        <v>0</v>
      </c>
      <c r="O818" t="n">
        <v>0</v>
      </c>
      <c r="P818" t="n">
        <v>0</v>
      </c>
      <c r="Q818" t="n">
        <v>0</v>
      </c>
      <c r="R818" s="2" t="inlineStr"/>
    </row>
    <row r="819" ht="15" customHeight="1">
      <c r="A819" t="inlineStr">
        <is>
          <t>A 7759-2025</t>
        </is>
      </c>
      <c r="B819" s="1" t="n">
        <v>45706.53827546296</v>
      </c>
      <c r="C819" s="1" t="n">
        <v>46043</v>
      </c>
      <c r="D819" t="inlineStr">
        <is>
          <t>DALARNAS LÄN</t>
        </is>
      </c>
      <c r="E819" t="inlineStr">
        <is>
          <t>LEKSAND</t>
        </is>
      </c>
      <c r="G819" t="n">
        <v>3.3</v>
      </c>
      <c r="H819" t="n">
        <v>0</v>
      </c>
      <c r="I819" t="n">
        <v>0</v>
      </c>
      <c r="J819" t="n">
        <v>0</v>
      </c>
      <c r="K819" t="n">
        <v>0</v>
      </c>
      <c r="L819" t="n">
        <v>0</v>
      </c>
      <c r="M819" t="n">
        <v>0</v>
      </c>
      <c r="N819" t="n">
        <v>0</v>
      </c>
      <c r="O819" t="n">
        <v>0</v>
      </c>
      <c r="P819" t="n">
        <v>0</v>
      </c>
      <c r="Q819" t="n">
        <v>0</v>
      </c>
      <c r="R819" s="2" t="inlineStr"/>
    </row>
    <row r="820" ht="15" customHeight="1">
      <c r="A820" t="inlineStr">
        <is>
          <t>A 17078-2023</t>
        </is>
      </c>
      <c r="B820" s="1" t="n">
        <v>45034</v>
      </c>
      <c r="C820" s="1" t="n">
        <v>46043</v>
      </c>
      <c r="D820" t="inlineStr">
        <is>
          <t>DALARNAS LÄN</t>
        </is>
      </c>
      <c r="E820" t="inlineStr">
        <is>
          <t>LEKSAND</t>
        </is>
      </c>
      <c r="G820" t="n">
        <v>0.5</v>
      </c>
      <c r="H820" t="n">
        <v>0</v>
      </c>
      <c r="I820" t="n">
        <v>0</v>
      </c>
      <c r="J820" t="n">
        <v>0</v>
      </c>
      <c r="K820" t="n">
        <v>0</v>
      </c>
      <c r="L820" t="n">
        <v>0</v>
      </c>
      <c r="M820" t="n">
        <v>0</v>
      </c>
      <c r="N820" t="n">
        <v>0</v>
      </c>
      <c r="O820" t="n">
        <v>0</v>
      </c>
      <c r="P820" t="n">
        <v>0</v>
      </c>
      <c r="Q820" t="n">
        <v>0</v>
      </c>
      <c r="R820" s="2" t="inlineStr"/>
    </row>
    <row r="821" ht="15" customHeight="1">
      <c r="A821" t="inlineStr">
        <is>
          <t>A 14865-2025</t>
        </is>
      </c>
      <c r="B821" s="1" t="n">
        <v>45743.43929398148</v>
      </c>
      <c r="C821" s="1" t="n">
        <v>46043</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16854-2025</t>
        </is>
      </c>
      <c r="B822" s="1" t="n">
        <v>45754.72883101852</v>
      </c>
      <c r="C822" s="1" t="n">
        <v>46043</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5847-2025</t>
        </is>
      </c>
      <c r="B823" s="1" t="n">
        <v>45695.30824074074</v>
      </c>
      <c r="C823" s="1" t="n">
        <v>46043</v>
      </c>
      <c r="D823" t="inlineStr">
        <is>
          <t>DALARNAS LÄN</t>
        </is>
      </c>
      <c r="E823" t="inlineStr">
        <is>
          <t>LEKSAND</t>
        </is>
      </c>
      <c r="G823" t="n">
        <v>2.6</v>
      </c>
      <c r="H823" t="n">
        <v>0</v>
      </c>
      <c r="I823" t="n">
        <v>0</v>
      </c>
      <c r="J823" t="n">
        <v>0</v>
      </c>
      <c r="K823" t="n">
        <v>0</v>
      </c>
      <c r="L823" t="n">
        <v>0</v>
      </c>
      <c r="M823" t="n">
        <v>0</v>
      </c>
      <c r="N823" t="n">
        <v>0</v>
      </c>
      <c r="O823" t="n">
        <v>0</v>
      </c>
      <c r="P823" t="n">
        <v>0</v>
      </c>
      <c r="Q823" t="n">
        <v>0</v>
      </c>
      <c r="R823" s="2" t="inlineStr"/>
    </row>
    <row r="824" ht="15" customHeight="1">
      <c r="A824" t="inlineStr">
        <is>
          <t>A 5873-2025</t>
        </is>
      </c>
      <c r="B824" s="1" t="n">
        <v>45695.36715277778</v>
      </c>
      <c r="C824" s="1" t="n">
        <v>46043</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18481-2024</t>
        </is>
      </c>
      <c r="B825" s="1" t="n">
        <v>45425.52193287037</v>
      </c>
      <c r="C825" s="1" t="n">
        <v>46043</v>
      </c>
      <c r="D825" t="inlineStr">
        <is>
          <t>DALARNAS LÄN</t>
        </is>
      </c>
      <c r="E825" t="inlineStr">
        <is>
          <t>LEKSAND</t>
        </is>
      </c>
      <c r="G825" t="n">
        <v>0.9</v>
      </c>
      <c r="H825" t="n">
        <v>0</v>
      </c>
      <c r="I825" t="n">
        <v>0</v>
      </c>
      <c r="J825" t="n">
        <v>0</v>
      </c>
      <c r="K825" t="n">
        <v>0</v>
      </c>
      <c r="L825" t="n">
        <v>0</v>
      </c>
      <c r="M825" t="n">
        <v>0</v>
      </c>
      <c r="N825" t="n">
        <v>0</v>
      </c>
      <c r="O825" t="n">
        <v>0</v>
      </c>
      <c r="P825" t="n">
        <v>0</v>
      </c>
      <c r="Q825" t="n">
        <v>0</v>
      </c>
      <c r="R825" s="2" t="inlineStr"/>
    </row>
    <row r="826" ht="15" customHeight="1">
      <c r="A826" t="inlineStr">
        <is>
          <t>A 18484-2024</t>
        </is>
      </c>
      <c r="B826" s="1" t="n">
        <v>45425.52559027778</v>
      </c>
      <c r="C826" s="1" t="n">
        <v>46043</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53193-2024</t>
        </is>
      </c>
      <c r="B827" s="1" t="n">
        <v>45610</v>
      </c>
      <c r="C827" s="1" t="n">
        <v>46043</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11080-2023</t>
        </is>
      </c>
      <c r="B828" s="1" t="n">
        <v>44992</v>
      </c>
      <c r="C828" s="1" t="n">
        <v>46043</v>
      </c>
      <c r="D828" t="inlineStr">
        <is>
          <t>DALARNAS LÄN</t>
        </is>
      </c>
      <c r="E828" t="inlineStr">
        <is>
          <t>LEKSAND</t>
        </is>
      </c>
      <c r="G828" t="n">
        <v>6.9</v>
      </c>
      <c r="H828" t="n">
        <v>0</v>
      </c>
      <c r="I828" t="n">
        <v>0</v>
      </c>
      <c r="J828" t="n">
        <v>0</v>
      </c>
      <c r="K828" t="n">
        <v>0</v>
      </c>
      <c r="L828" t="n">
        <v>0</v>
      </c>
      <c r="M828" t="n">
        <v>0</v>
      </c>
      <c r="N828" t="n">
        <v>0</v>
      </c>
      <c r="O828" t="n">
        <v>0</v>
      </c>
      <c r="P828" t="n">
        <v>0</v>
      </c>
      <c r="Q828" t="n">
        <v>0</v>
      </c>
      <c r="R828" s="2" t="inlineStr"/>
    </row>
    <row r="829" ht="15" customHeight="1">
      <c r="A829" t="inlineStr">
        <is>
          <t>A 26957-2023</t>
        </is>
      </c>
      <c r="B829" s="1" t="n">
        <v>45093</v>
      </c>
      <c r="C829" s="1" t="n">
        <v>46043</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19371-2024</t>
        </is>
      </c>
      <c r="B830" s="1" t="n">
        <v>45429.34969907408</v>
      </c>
      <c r="C830" s="1" t="n">
        <v>46043</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7827-2024</t>
        </is>
      </c>
      <c r="B831" s="1" t="n">
        <v>45349.7467824074</v>
      </c>
      <c r="C831" s="1" t="n">
        <v>46043</v>
      </c>
      <c r="D831" t="inlineStr">
        <is>
          <t>DALARNAS LÄN</t>
        </is>
      </c>
      <c r="E831" t="inlineStr">
        <is>
          <t>LEKSAND</t>
        </is>
      </c>
      <c r="G831" t="n">
        <v>2.2</v>
      </c>
      <c r="H831" t="n">
        <v>0</v>
      </c>
      <c r="I831" t="n">
        <v>0</v>
      </c>
      <c r="J831" t="n">
        <v>0</v>
      </c>
      <c r="K831" t="n">
        <v>0</v>
      </c>
      <c r="L831" t="n">
        <v>0</v>
      </c>
      <c r="M831" t="n">
        <v>0</v>
      </c>
      <c r="N831" t="n">
        <v>0</v>
      </c>
      <c r="O831" t="n">
        <v>0</v>
      </c>
      <c r="P831" t="n">
        <v>0</v>
      </c>
      <c r="Q831" t="n">
        <v>0</v>
      </c>
      <c r="R831" s="2" t="inlineStr"/>
    </row>
    <row r="832" ht="15" customHeight="1">
      <c r="A832" t="inlineStr">
        <is>
          <t>A 49405-2024</t>
        </is>
      </c>
      <c r="B832" s="1" t="n">
        <v>45595</v>
      </c>
      <c r="C832" s="1" t="n">
        <v>46043</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20683-2025</t>
        </is>
      </c>
      <c r="B833" s="1" t="n">
        <v>45776</v>
      </c>
      <c r="C833" s="1" t="n">
        <v>46043</v>
      </c>
      <c r="D833" t="inlineStr">
        <is>
          <t>DALARNAS LÄN</t>
        </is>
      </c>
      <c r="E833" t="inlineStr">
        <is>
          <t>LEKSAND</t>
        </is>
      </c>
      <c r="F833" t="inlineStr">
        <is>
          <t>Bergvik skog väst AB</t>
        </is>
      </c>
      <c r="G833" t="n">
        <v>4.1</v>
      </c>
      <c r="H833" t="n">
        <v>0</v>
      </c>
      <c r="I833" t="n">
        <v>0</v>
      </c>
      <c r="J833" t="n">
        <v>0</v>
      </c>
      <c r="K833" t="n">
        <v>0</v>
      </c>
      <c r="L833" t="n">
        <v>0</v>
      </c>
      <c r="M833" t="n">
        <v>0</v>
      </c>
      <c r="N833" t="n">
        <v>0</v>
      </c>
      <c r="O833" t="n">
        <v>0</v>
      </c>
      <c r="P833" t="n">
        <v>0</v>
      </c>
      <c r="Q833" t="n">
        <v>0</v>
      </c>
      <c r="R833" s="2" t="inlineStr"/>
    </row>
    <row r="834" ht="15" customHeight="1">
      <c r="A834" t="inlineStr">
        <is>
          <t>A 20937-2025</t>
        </is>
      </c>
      <c r="B834" s="1" t="n">
        <v>45777.42769675926</v>
      </c>
      <c r="C834" s="1" t="n">
        <v>46043</v>
      </c>
      <c r="D834" t="inlineStr">
        <is>
          <t>DALARNAS LÄN</t>
        </is>
      </c>
      <c r="E834" t="inlineStr">
        <is>
          <t>LEKSAND</t>
        </is>
      </c>
      <c r="G834" t="n">
        <v>2.2</v>
      </c>
      <c r="H834" t="n">
        <v>0</v>
      </c>
      <c r="I834" t="n">
        <v>0</v>
      </c>
      <c r="J834" t="n">
        <v>0</v>
      </c>
      <c r="K834" t="n">
        <v>0</v>
      </c>
      <c r="L834" t="n">
        <v>0</v>
      </c>
      <c r="M834" t="n">
        <v>0</v>
      </c>
      <c r="N834" t="n">
        <v>0</v>
      </c>
      <c r="O834" t="n">
        <v>0</v>
      </c>
      <c r="P834" t="n">
        <v>0</v>
      </c>
      <c r="Q834" t="n">
        <v>0</v>
      </c>
      <c r="R834" s="2" t="inlineStr"/>
    </row>
    <row r="835" ht="15" customHeight="1">
      <c r="A835" t="inlineStr">
        <is>
          <t>A 21457-2025</t>
        </is>
      </c>
      <c r="B835" s="1" t="n">
        <v>45782.55451388889</v>
      </c>
      <c r="C835" s="1" t="n">
        <v>46043</v>
      </c>
      <c r="D835" t="inlineStr">
        <is>
          <t>DALARNAS LÄN</t>
        </is>
      </c>
      <c r="E835" t="inlineStr">
        <is>
          <t>LEKSAND</t>
        </is>
      </c>
      <c r="G835" t="n">
        <v>1</v>
      </c>
      <c r="H835" t="n">
        <v>0</v>
      </c>
      <c r="I835" t="n">
        <v>0</v>
      </c>
      <c r="J835" t="n">
        <v>0</v>
      </c>
      <c r="K835" t="n">
        <v>0</v>
      </c>
      <c r="L835" t="n">
        <v>0</v>
      </c>
      <c r="M835" t="n">
        <v>0</v>
      </c>
      <c r="N835" t="n">
        <v>0</v>
      </c>
      <c r="O835" t="n">
        <v>0</v>
      </c>
      <c r="P835" t="n">
        <v>0</v>
      </c>
      <c r="Q835" t="n">
        <v>0</v>
      </c>
      <c r="R835" s="2" t="inlineStr"/>
    </row>
    <row r="836" ht="15" customHeight="1">
      <c r="A836" t="inlineStr">
        <is>
          <t>A 21230-2025</t>
        </is>
      </c>
      <c r="B836" s="1" t="n">
        <v>45779.54589120371</v>
      </c>
      <c r="C836" s="1" t="n">
        <v>46043</v>
      </c>
      <c r="D836" t="inlineStr">
        <is>
          <t>DALARNAS LÄN</t>
        </is>
      </c>
      <c r="E836" t="inlineStr">
        <is>
          <t>LEKSAND</t>
        </is>
      </c>
      <c r="G836" t="n">
        <v>0.5</v>
      </c>
      <c r="H836" t="n">
        <v>0</v>
      </c>
      <c r="I836" t="n">
        <v>0</v>
      </c>
      <c r="J836" t="n">
        <v>0</v>
      </c>
      <c r="K836" t="n">
        <v>0</v>
      </c>
      <c r="L836" t="n">
        <v>0</v>
      </c>
      <c r="M836" t="n">
        <v>0</v>
      </c>
      <c r="N836" t="n">
        <v>0</v>
      </c>
      <c r="O836" t="n">
        <v>0</v>
      </c>
      <c r="P836" t="n">
        <v>0</v>
      </c>
      <c r="Q836" t="n">
        <v>0</v>
      </c>
      <c r="R836" s="2" t="inlineStr"/>
    </row>
    <row r="837" ht="15" customHeight="1">
      <c r="A837" t="inlineStr">
        <is>
          <t>A 21193-2025</t>
        </is>
      </c>
      <c r="B837" s="1" t="n">
        <v>45779.46675925926</v>
      </c>
      <c r="C837" s="1" t="n">
        <v>46043</v>
      </c>
      <c r="D837" t="inlineStr">
        <is>
          <t>DALARNAS LÄN</t>
        </is>
      </c>
      <c r="E837" t="inlineStr">
        <is>
          <t>LEKSAND</t>
        </is>
      </c>
      <c r="G837" t="n">
        <v>3.7</v>
      </c>
      <c r="H837" t="n">
        <v>0</v>
      </c>
      <c r="I837" t="n">
        <v>0</v>
      </c>
      <c r="J837" t="n">
        <v>0</v>
      </c>
      <c r="K837" t="n">
        <v>0</v>
      </c>
      <c r="L837" t="n">
        <v>0</v>
      </c>
      <c r="M837" t="n">
        <v>0</v>
      </c>
      <c r="N837" t="n">
        <v>0</v>
      </c>
      <c r="O837" t="n">
        <v>0</v>
      </c>
      <c r="P837" t="n">
        <v>0</v>
      </c>
      <c r="Q837" t="n">
        <v>0</v>
      </c>
      <c r="R837" s="2" t="inlineStr"/>
    </row>
    <row r="838" ht="15" customHeight="1">
      <c r="A838" t="inlineStr">
        <is>
          <t>A 11872-2024</t>
        </is>
      </c>
      <c r="B838" s="1" t="n">
        <v>45376.46833333333</v>
      </c>
      <c r="C838" s="1" t="n">
        <v>46043</v>
      </c>
      <c r="D838" t="inlineStr">
        <is>
          <t>DALARNAS LÄN</t>
        </is>
      </c>
      <c r="E838" t="inlineStr">
        <is>
          <t>LEKSAND</t>
        </is>
      </c>
      <c r="G838" t="n">
        <v>3.1</v>
      </c>
      <c r="H838" t="n">
        <v>0</v>
      </c>
      <c r="I838" t="n">
        <v>0</v>
      </c>
      <c r="J838" t="n">
        <v>0</v>
      </c>
      <c r="K838" t="n">
        <v>0</v>
      </c>
      <c r="L838" t="n">
        <v>0</v>
      </c>
      <c r="M838" t="n">
        <v>0</v>
      </c>
      <c r="N838" t="n">
        <v>0</v>
      </c>
      <c r="O838" t="n">
        <v>0</v>
      </c>
      <c r="P838" t="n">
        <v>0</v>
      </c>
      <c r="Q838" t="n">
        <v>0</v>
      </c>
      <c r="R838" s="2" t="inlineStr"/>
    </row>
    <row r="839" ht="15" customHeight="1">
      <c r="A839" t="inlineStr">
        <is>
          <t>A 21600-2025</t>
        </is>
      </c>
      <c r="B839" s="1" t="n">
        <v>45783.3521875</v>
      </c>
      <c r="C839" s="1" t="n">
        <v>46043</v>
      </c>
      <c r="D839" t="inlineStr">
        <is>
          <t>DALARNAS LÄN</t>
        </is>
      </c>
      <c r="E839" t="inlineStr">
        <is>
          <t>LEKSAND</t>
        </is>
      </c>
      <c r="G839" t="n">
        <v>7.7</v>
      </c>
      <c r="H839" t="n">
        <v>0</v>
      </c>
      <c r="I839" t="n">
        <v>0</v>
      </c>
      <c r="J839" t="n">
        <v>0</v>
      </c>
      <c r="K839" t="n">
        <v>0</v>
      </c>
      <c r="L839" t="n">
        <v>0</v>
      </c>
      <c r="M839" t="n">
        <v>0</v>
      </c>
      <c r="N839" t="n">
        <v>0</v>
      </c>
      <c r="O839" t="n">
        <v>0</v>
      </c>
      <c r="P839" t="n">
        <v>0</v>
      </c>
      <c r="Q839" t="n">
        <v>0</v>
      </c>
      <c r="R839" s="2" t="inlineStr"/>
    </row>
    <row r="840" ht="15" customHeight="1">
      <c r="A840" t="inlineStr">
        <is>
          <t>A 40627-2023</t>
        </is>
      </c>
      <c r="B840" s="1" t="n">
        <v>45170</v>
      </c>
      <c r="C840" s="1" t="n">
        <v>46043</v>
      </c>
      <c r="D840" t="inlineStr">
        <is>
          <t>DALARNAS LÄN</t>
        </is>
      </c>
      <c r="E840" t="inlineStr">
        <is>
          <t>LEKSAND</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21916-2025</t>
        </is>
      </c>
      <c r="B841" s="1" t="n">
        <v>45784.50115740741</v>
      </c>
      <c r="C841" s="1" t="n">
        <v>46043</v>
      </c>
      <c r="D841" t="inlineStr">
        <is>
          <t>DALARNAS LÄN</t>
        </is>
      </c>
      <c r="E841" t="inlineStr">
        <is>
          <t>LEKSAND</t>
        </is>
      </c>
      <c r="G841" t="n">
        <v>2.6</v>
      </c>
      <c r="H841" t="n">
        <v>0</v>
      </c>
      <c r="I841" t="n">
        <v>0</v>
      </c>
      <c r="J841" t="n">
        <v>0</v>
      </c>
      <c r="K841" t="n">
        <v>0</v>
      </c>
      <c r="L841" t="n">
        <v>0</v>
      </c>
      <c r="M841" t="n">
        <v>0</v>
      </c>
      <c r="N841" t="n">
        <v>0</v>
      </c>
      <c r="O841" t="n">
        <v>0</v>
      </c>
      <c r="P841" t="n">
        <v>0</v>
      </c>
      <c r="Q841" t="n">
        <v>0</v>
      </c>
      <c r="R841" s="2" t="inlineStr"/>
    </row>
    <row r="842" ht="15" customHeight="1">
      <c r="A842" t="inlineStr">
        <is>
          <t>A 14967-2023</t>
        </is>
      </c>
      <c r="B842" s="1" t="n">
        <v>45015</v>
      </c>
      <c r="C842" s="1" t="n">
        <v>46043</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62307-2023</t>
        </is>
      </c>
      <c r="B843" s="1" t="n">
        <v>45266</v>
      </c>
      <c r="C843" s="1" t="n">
        <v>46043</v>
      </c>
      <c r="D843" t="inlineStr">
        <is>
          <t>DALARNAS LÄN</t>
        </is>
      </c>
      <c r="E843" t="inlineStr">
        <is>
          <t>LEKSAND</t>
        </is>
      </c>
      <c r="G843" t="n">
        <v>3.9</v>
      </c>
      <c r="H843" t="n">
        <v>0</v>
      </c>
      <c r="I843" t="n">
        <v>0</v>
      </c>
      <c r="J843" t="n">
        <v>0</v>
      </c>
      <c r="K843" t="n">
        <v>0</v>
      </c>
      <c r="L843" t="n">
        <v>0</v>
      </c>
      <c r="M843" t="n">
        <v>0</v>
      </c>
      <c r="N843" t="n">
        <v>0</v>
      </c>
      <c r="O843" t="n">
        <v>0</v>
      </c>
      <c r="P843" t="n">
        <v>0</v>
      </c>
      <c r="Q843" t="n">
        <v>0</v>
      </c>
      <c r="R843" s="2" t="inlineStr"/>
    </row>
    <row r="844" ht="15" customHeight="1">
      <c r="A844" t="inlineStr">
        <is>
          <t>A 61554-2024</t>
        </is>
      </c>
      <c r="B844" s="1" t="n">
        <v>45646.60748842593</v>
      </c>
      <c r="C844" s="1" t="n">
        <v>46043</v>
      </c>
      <c r="D844" t="inlineStr">
        <is>
          <t>DALARNAS LÄN</t>
        </is>
      </c>
      <c r="E844" t="inlineStr">
        <is>
          <t>LEKSAND</t>
        </is>
      </c>
      <c r="G844" t="n">
        <v>2.6</v>
      </c>
      <c r="H844" t="n">
        <v>0</v>
      </c>
      <c r="I844" t="n">
        <v>0</v>
      </c>
      <c r="J844" t="n">
        <v>0</v>
      </c>
      <c r="K844" t="n">
        <v>0</v>
      </c>
      <c r="L844" t="n">
        <v>0</v>
      </c>
      <c r="M844" t="n">
        <v>0</v>
      </c>
      <c r="N844" t="n">
        <v>0</v>
      </c>
      <c r="O844" t="n">
        <v>0</v>
      </c>
      <c r="P844" t="n">
        <v>0</v>
      </c>
      <c r="Q844" t="n">
        <v>0</v>
      </c>
      <c r="R844" s="2" t="inlineStr"/>
    </row>
    <row r="845">
      <c r="A845" t="inlineStr">
        <is>
          <t>A 36534-2024</t>
        </is>
      </c>
      <c r="B845" s="1" t="n">
        <v>45537.45143518518</v>
      </c>
      <c r="C845" s="1" t="n">
        <v>46043</v>
      </c>
      <c r="D845" t="inlineStr">
        <is>
          <t>DALARNAS LÄN</t>
        </is>
      </c>
      <c r="E845" t="inlineStr">
        <is>
          <t>LEKSAND</t>
        </is>
      </c>
      <c r="G845" t="n">
        <v>4</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2026-01-21T10:53:02Z</dcterms:created>
  <dcterms:modified xmlns:dcterms="http://purl.org/dc/terms/" xmlns:xsi="http://www.w3.org/2001/XMLSchema-instance" xsi:type="dcterms:W3CDTF">2026-01-21T10:53:03Z</dcterms:modified>
</cp:coreProperties>
</file>