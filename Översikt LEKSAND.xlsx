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9501-2025</t>
        </is>
      </c>
      <c r="B13" s="1" t="n">
        <v>45715</v>
      </c>
      <c r="C13" s="1" t="n">
        <v>45924</v>
      </c>
      <c r="D13" t="inlineStr">
        <is>
          <t>DALARNAS LÄN</t>
        </is>
      </c>
      <c r="E13" t="inlineStr">
        <is>
          <t>LEKSAND</t>
        </is>
      </c>
      <c r="G13" t="n">
        <v>1.4</v>
      </c>
      <c r="H13" t="n">
        <v>5</v>
      </c>
      <c r="I13" t="n">
        <v>1</v>
      </c>
      <c r="J13" t="n">
        <v>2</v>
      </c>
      <c r="K13" t="n">
        <v>1</v>
      </c>
      <c r="L13" t="n">
        <v>0</v>
      </c>
      <c r="M13" t="n">
        <v>0</v>
      </c>
      <c r="N13" t="n">
        <v>0</v>
      </c>
      <c r="O13" t="n">
        <v>3</v>
      </c>
      <c r="P13" t="n">
        <v>1</v>
      </c>
      <c r="Q13" t="n">
        <v>6</v>
      </c>
      <c r="R13" s="2" t="inlineStr">
        <is>
          <t>Knärot
Järpe
Spillkråka
Bronshjon
Tjäder
Revlummer</t>
        </is>
      </c>
      <c r="S13">
        <f>HYPERLINK("https://klasma.github.io/Logging_2029/artfynd/A 9501-2025 artfynd.xlsx", "A 9501-2025")</f>
        <v/>
      </c>
      <c r="T13">
        <f>HYPERLINK("https://klasma.github.io/Logging_2029/kartor/A 9501-2025 karta.png", "A 9501-2025")</f>
        <v/>
      </c>
      <c r="U13">
        <f>HYPERLINK("https://klasma.github.io/Logging_2029/knärot/A 9501-2025 karta knärot.png", "A 9501-2025")</f>
        <v/>
      </c>
      <c r="V13">
        <f>HYPERLINK("https://klasma.github.io/Logging_2029/klagomål/A 9501-2025 FSC-klagomål.docx", "A 9501-2025")</f>
        <v/>
      </c>
      <c r="W13">
        <f>HYPERLINK("https://klasma.github.io/Logging_2029/klagomålsmail/A 9501-2025 FSC-klagomål mail.docx", "A 9501-2025")</f>
        <v/>
      </c>
      <c r="X13">
        <f>HYPERLINK("https://klasma.github.io/Logging_2029/tillsyn/A 9501-2025 tillsynsbegäran.docx", "A 9501-2025")</f>
        <v/>
      </c>
      <c r="Y13">
        <f>HYPERLINK("https://klasma.github.io/Logging_2029/tillsynsmail/A 9501-2025 tillsynsbegäran mail.docx", "A 9501-2025")</f>
        <v/>
      </c>
      <c r="Z13">
        <f>HYPERLINK("https://klasma.github.io/Logging_2029/fåglar/A 9501-2025 prioriterade fågelarter.docx", "A 9501-2025")</f>
        <v/>
      </c>
    </row>
    <row r="14" ht="15" customHeight="1">
      <c r="A14" t="inlineStr">
        <is>
          <t>A 30176-2024</t>
        </is>
      </c>
      <c r="B14" s="1" t="n">
        <v>45489.84730324074</v>
      </c>
      <c r="C14" s="1" t="n">
        <v>45924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45924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45924</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45924</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45924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45924</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45924</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45924</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45924</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55519-2021</t>
        </is>
      </c>
      <c r="B23" s="1" t="n">
        <v>44475</v>
      </c>
      <c r="C23" s="1" t="n">
        <v>45924</v>
      </c>
      <c r="D23" t="inlineStr">
        <is>
          <t>DALARNAS LÄN</t>
        </is>
      </c>
      <c r="E23" t="inlineStr">
        <is>
          <t>LEKSAND</t>
        </is>
      </c>
      <c r="G23" t="n">
        <v>1.8</v>
      </c>
      <c r="H23" t="n">
        <v>2</v>
      </c>
      <c r="I23" t="n">
        <v>0</v>
      </c>
      <c r="J23" t="n">
        <v>0</v>
      </c>
      <c r="K23" t="n">
        <v>0</v>
      </c>
      <c r="L23" t="n">
        <v>0</v>
      </c>
      <c r="M23" t="n">
        <v>0</v>
      </c>
      <c r="N23" t="n">
        <v>0</v>
      </c>
      <c r="O23" t="n">
        <v>0</v>
      </c>
      <c r="P23" t="n">
        <v>0</v>
      </c>
      <c r="Q23" t="n">
        <v>2</v>
      </c>
      <c r="R23" s="2" t="inlineStr">
        <is>
          <t>Fläcknycklar
Mattlummer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35865-2025</t>
        </is>
      </c>
      <c r="B24" s="1" t="n">
        <v>45861.7066087963</v>
      </c>
      <c r="C24" s="1" t="n">
        <v>45924</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59111-2024</t>
        </is>
      </c>
      <c r="B25" s="1" t="n">
        <v>45637.36484953704</v>
      </c>
      <c r="C25" s="1" t="n">
        <v>45924</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9408-2024</t>
        </is>
      </c>
      <c r="B26" s="1" t="n">
        <v>45358</v>
      </c>
      <c r="C26" s="1" t="n">
        <v>45924</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45924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18860-2025</t>
        </is>
      </c>
      <c r="B28" s="1" t="n">
        <v>45764.42738425926</v>
      </c>
      <c r="C28" s="1" t="n">
        <v>45924</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45924</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45924</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4974-2025</t>
        </is>
      </c>
      <c r="B31" s="1" t="n">
        <v>45690.8478587963</v>
      </c>
      <c r="C31" s="1" t="n">
        <v>45924</v>
      </c>
      <c r="D31" t="inlineStr">
        <is>
          <t>DALARNAS LÄN</t>
        </is>
      </c>
      <c r="E31" t="inlineStr">
        <is>
          <t>LEKSAND</t>
        </is>
      </c>
      <c r="G31" t="n">
        <v>0.9</v>
      </c>
      <c r="H31" t="n">
        <v>1</v>
      </c>
      <c r="I31" t="n">
        <v>0</v>
      </c>
      <c r="J31" t="n">
        <v>1</v>
      </c>
      <c r="K31" t="n">
        <v>0</v>
      </c>
      <c r="L31" t="n">
        <v>0</v>
      </c>
      <c r="M31" t="n">
        <v>0</v>
      </c>
      <c r="N31" t="n">
        <v>0</v>
      </c>
      <c r="O31" t="n">
        <v>1</v>
      </c>
      <c r="P31" t="n">
        <v>0</v>
      </c>
      <c r="Q31" t="n">
        <v>1</v>
      </c>
      <c r="R31" s="2" t="inlineStr">
        <is>
          <t>Spillkråka</t>
        </is>
      </c>
      <c r="S31">
        <f>HYPERLINK("https://klasma.github.io/Logging_2029/artfynd/A 4974-2025 artfynd.xlsx", "A 4974-2025")</f>
        <v/>
      </c>
      <c r="T31">
        <f>HYPERLINK("https://klasma.github.io/Logging_2029/kartor/A 4974-2025 karta.png", "A 4974-2025")</f>
        <v/>
      </c>
      <c r="V31">
        <f>HYPERLINK("https://klasma.github.io/Logging_2029/klagomål/A 4974-2025 FSC-klagomål.docx", "A 4974-2025")</f>
        <v/>
      </c>
      <c r="W31">
        <f>HYPERLINK("https://klasma.github.io/Logging_2029/klagomålsmail/A 4974-2025 FSC-klagomål mail.docx", "A 4974-2025")</f>
        <v/>
      </c>
      <c r="X31">
        <f>HYPERLINK("https://klasma.github.io/Logging_2029/tillsyn/A 4974-2025 tillsynsbegäran.docx", "A 4974-2025")</f>
        <v/>
      </c>
      <c r="Y31">
        <f>HYPERLINK("https://klasma.github.io/Logging_2029/tillsynsmail/A 4974-2025 tillsynsbegäran mail.docx", "A 4974-2025")</f>
        <v/>
      </c>
      <c r="Z31">
        <f>HYPERLINK("https://klasma.github.io/Logging_2029/fåglar/A 4974-2025 prioriterade fågelarter.docx", "A 4974-2025")</f>
        <v/>
      </c>
    </row>
    <row r="32" ht="15" customHeight="1">
      <c r="A32" t="inlineStr">
        <is>
          <t>A 31951-2025</t>
        </is>
      </c>
      <c r="B32" s="1" t="n">
        <v>45835.33481481481</v>
      </c>
      <c r="C32" s="1" t="n">
        <v>45924</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36778-2025</t>
        </is>
      </c>
      <c r="B33" s="1" t="n">
        <v>45873</v>
      </c>
      <c r="C33" s="1" t="n">
        <v>45924</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34993-2025</t>
        </is>
      </c>
      <c r="B34" s="1" t="n">
        <v>45849.82383101852</v>
      </c>
      <c r="C34" s="1" t="n">
        <v>45924</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45924</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41873-2022</t>
        </is>
      </c>
      <c r="B36" s="1" t="n">
        <v>44829</v>
      </c>
      <c r="C36" s="1" t="n">
        <v>45924</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55633-2024</t>
        </is>
      </c>
      <c r="B37" s="1" t="n">
        <v>45621</v>
      </c>
      <c r="C37" s="1" t="n">
        <v>45924</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45375-2025</t>
        </is>
      </c>
      <c r="B38" s="1" t="n">
        <v>45922.39347222223</v>
      </c>
      <c r="C38" s="1" t="n">
        <v>45924</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164-2024</t>
        </is>
      </c>
      <c r="B39" s="1" t="n">
        <v>45294.49954861111</v>
      </c>
      <c r="C39" s="1" t="n">
        <v>45924</v>
      </c>
      <c r="D39" t="inlineStr">
        <is>
          <t>DALARNAS LÄN</t>
        </is>
      </c>
      <c r="E39" t="inlineStr">
        <is>
          <t>LEKSAND</t>
        </is>
      </c>
      <c r="G39" t="n">
        <v>3.7</v>
      </c>
      <c r="H39" t="n">
        <v>1</v>
      </c>
      <c r="I39" t="n">
        <v>0</v>
      </c>
      <c r="J39" t="n">
        <v>1</v>
      </c>
      <c r="K39" t="n">
        <v>0</v>
      </c>
      <c r="L39" t="n">
        <v>0</v>
      </c>
      <c r="M39" t="n">
        <v>0</v>
      </c>
      <c r="N39" t="n">
        <v>0</v>
      </c>
      <c r="O39" t="n">
        <v>1</v>
      </c>
      <c r="P39" t="n">
        <v>0</v>
      </c>
      <c r="Q39" t="n">
        <v>1</v>
      </c>
      <c r="R39" s="2" t="inlineStr">
        <is>
          <t>Järpe</t>
        </is>
      </c>
      <c r="S39">
        <f>HYPERLINK("https://klasma.github.io/Logging_2029/artfynd/A 164-2024 artfynd.xlsx", "A 164-2024")</f>
        <v/>
      </c>
      <c r="T39">
        <f>HYPERLINK("https://klasma.github.io/Logging_2029/kartor/A 164-2024 karta.png", "A 164-2024")</f>
        <v/>
      </c>
      <c r="V39">
        <f>HYPERLINK("https://klasma.github.io/Logging_2029/klagomål/A 164-2024 FSC-klagomål.docx", "A 164-2024")</f>
        <v/>
      </c>
      <c r="W39">
        <f>HYPERLINK("https://klasma.github.io/Logging_2029/klagomålsmail/A 164-2024 FSC-klagomål mail.docx", "A 164-2024")</f>
        <v/>
      </c>
      <c r="X39">
        <f>HYPERLINK("https://klasma.github.io/Logging_2029/tillsyn/A 164-2024 tillsynsbegäran.docx", "A 164-2024")</f>
        <v/>
      </c>
      <c r="Y39">
        <f>HYPERLINK("https://klasma.github.io/Logging_2029/tillsynsmail/A 164-2024 tillsynsbegäran mail.docx", "A 164-2024")</f>
        <v/>
      </c>
      <c r="Z39">
        <f>HYPERLINK("https://klasma.github.io/Logging_2029/fåglar/A 164-2024 prioriterade fågelarter.docx", "A 164-2024")</f>
        <v/>
      </c>
    </row>
    <row r="40" ht="15" customHeight="1">
      <c r="A40" t="inlineStr">
        <is>
          <t>A 6029-2025</t>
        </is>
      </c>
      <c r="B40" s="1" t="n">
        <v>45695</v>
      </c>
      <c r="C40" s="1" t="n">
        <v>45924</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16735-2025</t>
        </is>
      </c>
      <c r="B41" s="1" t="n">
        <v>45754.54314814815</v>
      </c>
      <c r="C41" s="1" t="n">
        <v>45924</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45924</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45924</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59205-2023</t>
        </is>
      </c>
      <c r="B44" s="1" t="n">
        <v>45251</v>
      </c>
      <c r="C44" s="1" t="n">
        <v>45924</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53633-2024</t>
        </is>
      </c>
      <c r="B45" s="1" t="n">
        <v>45614.83726851852</v>
      </c>
      <c r="C45" s="1" t="n">
        <v>45924</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52600-2024</t>
        </is>
      </c>
      <c r="B46" s="1" t="n">
        <v>45609</v>
      </c>
      <c r="C46" s="1" t="n">
        <v>45924</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31124-2024</t>
        </is>
      </c>
      <c r="B47" s="1" t="n">
        <v>45502.62886574074</v>
      </c>
      <c r="C47" s="1" t="n">
        <v>45924</v>
      </c>
      <c r="D47" t="inlineStr">
        <is>
          <t>DALARNAS LÄN</t>
        </is>
      </c>
      <c r="E47" t="inlineStr">
        <is>
          <t>LEKSAND</t>
        </is>
      </c>
      <c r="G47" t="n">
        <v>1.9</v>
      </c>
      <c r="H47" t="n">
        <v>1</v>
      </c>
      <c r="I47" t="n">
        <v>0</v>
      </c>
      <c r="J47" t="n">
        <v>0</v>
      </c>
      <c r="K47" t="n">
        <v>1</v>
      </c>
      <c r="L47" t="n">
        <v>0</v>
      </c>
      <c r="M47" t="n">
        <v>0</v>
      </c>
      <c r="N47" t="n">
        <v>0</v>
      </c>
      <c r="O47" t="n">
        <v>1</v>
      </c>
      <c r="P47" t="n">
        <v>1</v>
      </c>
      <c r="Q47" t="n">
        <v>1</v>
      </c>
      <c r="R47" s="2" t="inlineStr">
        <is>
          <t>Väddnätfjäril</t>
        </is>
      </c>
      <c r="S47">
        <f>HYPERLINK("https://klasma.github.io/Logging_2029/artfynd/A 31124-2024 artfynd.xlsx", "A 31124-2024")</f>
        <v/>
      </c>
      <c r="T47">
        <f>HYPERLINK("https://klasma.github.io/Logging_2029/kartor/A 31124-2024 karta.png", "A 31124-2024")</f>
        <v/>
      </c>
      <c r="V47">
        <f>HYPERLINK("https://klasma.github.io/Logging_2029/klagomål/A 31124-2024 FSC-klagomål.docx", "A 31124-2024")</f>
        <v/>
      </c>
      <c r="W47">
        <f>HYPERLINK("https://klasma.github.io/Logging_2029/klagomålsmail/A 31124-2024 FSC-klagomål mail.docx", "A 31124-2024")</f>
        <v/>
      </c>
      <c r="X47">
        <f>HYPERLINK("https://klasma.github.io/Logging_2029/tillsyn/A 31124-2024 tillsynsbegäran.docx", "A 31124-2024")</f>
        <v/>
      </c>
      <c r="Y47">
        <f>HYPERLINK("https://klasma.github.io/Logging_2029/tillsynsmail/A 31124-2024 tillsynsbegäran mail.docx", "A 31124-2024")</f>
        <v/>
      </c>
    </row>
    <row r="48" ht="15" customHeight="1">
      <c r="A48" t="inlineStr">
        <is>
          <t>A 1078-2021</t>
        </is>
      </c>
      <c r="B48" s="1" t="n">
        <v>44207</v>
      </c>
      <c r="C48" s="1" t="n">
        <v>45924</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45924</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45924</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45924</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45924</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45924</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45924</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45924</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45924</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45924</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45924</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45924</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45924</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45924</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45924</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45924</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45924</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45924</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45924</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45924</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45924</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45924</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45924</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45924</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45924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45924</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45924</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45924</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40165-2022</t>
        </is>
      </c>
      <c r="B78" s="1" t="n">
        <v>44820.56857638889</v>
      </c>
      <c r="C78" s="1" t="n">
        <v>45924</v>
      </c>
      <c r="D78" t="inlineStr">
        <is>
          <t>DALARNAS LÄN</t>
        </is>
      </c>
      <c r="E78" t="inlineStr">
        <is>
          <t>LEKSAND</t>
        </is>
      </c>
      <c r="G78" t="n">
        <v>1.9</v>
      </c>
      <c r="H78" t="n">
        <v>0</v>
      </c>
      <c r="I78" t="n">
        <v>0</v>
      </c>
      <c r="J78" t="n">
        <v>0</v>
      </c>
      <c r="K78" t="n">
        <v>0</v>
      </c>
      <c r="L78" t="n">
        <v>0</v>
      </c>
      <c r="M78" t="n">
        <v>0</v>
      </c>
      <c r="N78" t="n">
        <v>0</v>
      </c>
      <c r="O78" t="n">
        <v>0</v>
      </c>
      <c r="P78" t="n">
        <v>0</v>
      </c>
      <c r="Q78" t="n">
        <v>0</v>
      </c>
      <c r="R78" s="2" t="inlineStr"/>
    </row>
    <row r="79" ht="15" customHeight="1">
      <c r="A79" t="inlineStr">
        <is>
          <t>A 43275-2022</t>
        </is>
      </c>
      <c r="B79" s="1" t="n">
        <v>44824</v>
      </c>
      <c r="C79" s="1" t="n">
        <v>45924</v>
      </c>
      <c r="D79" t="inlineStr">
        <is>
          <t>DALARNAS LÄN</t>
        </is>
      </c>
      <c r="E79" t="inlineStr">
        <is>
          <t>LEKSAND</t>
        </is>
      </c>
      <c r="G79" t="n">
        <v>2.1</v>
      </c>
      <c r="H79" t="n">
        <v>0</v>
      </c>
      <c r="I79" t="n">
        <v>0</v>
      </c>
      <c r="J79" t="n">
        <v>0</v>
      </c>
      <c r="K79" t="n">
        <v>0</v>
      </c>
      <c r="L79" t="n">
        <v>0</v>
      </c>
      <c r="M79" t="n">
        <v>0</v>
      </c>
      <c r="N79" t="n">
        <v>0</v>
      </c>
      <c r="O79" t="n">
        <v>0</v>
      </c>
      <c r="P79" t="n">
        <v>0</v>
      </c>
      <c r="Q79" t="n">
        <v>0</v>
      </c>
      <c r="R79" s="2" t="inlineStr"/>
    </row>
    <row r="80" ht="15" customHeight="1">
      <c r="A80" t="inlineStr">
        <is>
          <t>A 43304-2022</t>
        </is>
      </c>
      <c r="B80" s="1" t="n">
        <v>44834</v>
      </c>
      <c r="C80" s="1" t="n">
        <v>45924</v>
      </c>
      <c r="D80" t="inlineStr">
        <is>
          <t>DALARNAS LÄN</t>
        </is>
      </c>
      <c r="E80" t="inlineStr">
        <is>
          <t>LEKSAND</t>
        </is>
      </c>
      <c r="G80" t="n">
        <v>0.9</v>
      </c>
      <c r="H80" t="n">
        <v>0</v>
      </c>
      <c r="I80" t="n">
        <v>0</v>
      </c>
      <c r="J80" t="n">
        <v>0</v>
      </c>
      <c r="K80" t="n">
        <v>0</v>
      </c>
      <c r="L80" t="n">
        <v>0</v>
      </c>
      <c r="M80" t="n">
        <v>0</v>
      </c>
      <c r="N80" t="n">
        <v>0</v>
      </c>
      <c r="O80" t="n">
        <v>0</v>
      </c>
      <c r="P80" t="n">
        <v>0</v>
      </c>
      <c r="Q80" t="n">
        <v>0</v>
      </c>
      <c r="R80" s="2" t="inlineStr"/>
    </row>
    <row r="81" ht="15" customHeight="1">
      <c r="A81" t="inlineStr">
        <is>
          <t>A 50219-2022</t>
        </is>
      </c>
      <c r="B81" s="1" t="n">
        <v>44865.64244212963</v>
      </c>
      <c r="C81" s="1" t="n">
        <v>45924</v>
      </c>
      <c r="D81" t="inlineStr">
        <is>
          <t>DALARNAS LÄN</t>
        </is>
      </c>
      <c r="E81" t="inlineStr">
        <is>
          <t>LEKSAND</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45924</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19480-2022</t>
        </is>
      </c>
      <c r="B83" s="1" t="n">
        <v>44693</v>
      </c>
      <c r="C83" s="1" t="n">
        <v>45924</v>
      </c>
      <c r="D83" t="inlineStr">
        <is>
          <t>DALARNAS LÄN</t>
        </is>
      </c>
      <c r="E83" t="inlineStr">
        <is>
          <t>LEKSAND</t>
        </is>
      </c>
      <c r="G83" t="n">
        <v>0.8</v>
      </c>
      <c r="H83" t="n">
        <v>0</v>
      </c>
      <c r="I83" t="n">
        <v>0</v>
      </c>
      <c r="J83" t="n">
        <v>0</v>
      </c>
      <c r="K83" t="n">
        <v>0</v>
      </c>
      <c r="L83" t="n">
        <v>0</v>
      </c>
      <c r="M83" t="n">
        <v>0</v>
      </c>
      <c r="N83" t="n">
        <v>0</v>
      </c>
      <c r="O83" t="n">
        <v>0</v>
      </c>
      <c r="P83" t="n">
        <v>0</v>
      </c>
      <c r="Q83" t="n">
        <v>0</v>
      </c>
      <c r="R83" s="2" t="inlineStr"/>
    </row>
    <row r="84" ht="15" customHeight="1">
      <c r="A84" t="inlineStr">
        <is>
          <t>A 67307-2020</t>
        </is>
      </c>
      <c r="B84" s="1" t="n">
        <v>44181</v>
      </c>
      <c r="C84" s="1" t="n">
        <v>45924</v>
      </c>
      <c r="D84" t="inlineStr">
        <is>
          <t>DALARNAS LÄN</t>
        </is>
      </c>
      <c r="E84" t="inlineStr">
        <is>
          <t>LEKSAND</t>
        </is>
      </c>
      <c r="G84" t="n">
        <v>5.9</v>
      </c>
      <c r="H84" t="n">
        <v>0</v>
      </c>
      <c r="I84" t="n">
        <v>0</v>
      </c>
      <c r="J84" t="n">
        <v>0</v>
      </c>
      <c r="K84" t="n">
        <v>0</v>
      </c>
      <c r="L84" t="n">
        <v>0</v>
      </c>
      <c r="M84" t="n">
        <v>0</v>
      </c>
      <c r="N84" t="n">
        <v>0</v>
      </c>
      <c r="O84" t="n">
        <v>0</v>
      </c>
      <c r="P84" t="n">
        <v>0</v>
      </c>
      <c r="Q84" t="n">
        <v>0</v>
      </c>
      <c r="R84" s="2" t="inlineStr"/>
    </row>
    <row r="85" ht="15" customHeight="1">
      <c r="A85" t="inlineStr">
        <is>
          <t>A 26289-2022</t>
        </is>
      </c>
      <c r="B85" s="1" t="n">
        <v>44735</v>
      </c>
      <c r="C85" s="1" t="n">
        <v>45924</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62279-2021</t>
        </is>
      </c>
      <c r="B86" s="1" t="n">
        <v>44503</v>
      </c>
      <c r="C86" s="1" t="n">
        <v>45924</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34317-2022</t>
        </is>
      </c>
      <c r="B87" s="1" t="n">
        <v>44792.38814814815</v>
      </c>
      <c r="C87" s="1" t="n">
        <v>45924</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45924</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19677-2021</t>
        </is>
      </c>
      <c r="B89" s="1" t="n">
        <v>44312</v>
      </c>
      <c r="C89" s="1" t="n">
        <v>45924</v>
      </c>
      <c r="D89" t="inlineStr">
        <is>
          <t>DALARNAS LÄN</t>
        </is>
      </c>
      <c r="E89" t="inlineStr">
        <is>
          <t>LEKSAND</t>
        </is>
      </c>
      <c r="F89" t="inlineStr">
        <is>
          <t>Bergvik skog väst AB</t>
        </is>
      </c>
      <c r="G89" t="n">
        <v>3.1</v>
      </c>
      <c r="H89" t="n">
        <v>0</v>
      </c>
      <c r="I89" t="n">
        <v>0</v>
      </c>
      <c r="J89" t="n">
        <v>0</v>
      </c>
      <c r="K89" t="n">
        <v>0</v>
      </c>
      <c r="L89" t="n">
        <v>0</v>
      </c>
      <c r="M89" t="n">
        <v>0</v>
      </c>
      <c r="N89" t="n">
        <v>0</v>
      </c>
      <c r="O89" t="n">
        <v>0</v>
      </c>
      <c r="P89" t="n">
        <v>0</v>
      </c>
      <c r="Q89" t="n">
        <v>0</v>
      </c>
      <c r="R89" s="2" t="inlineStr"/>
    </row>
    <row r="90" ht="15" customHeight="1">
      <c r="A90" t="inlineStr">
        <is>
          <t>A 64449-2020</t>
        </is>
      </c>
      <c r="B90" s="1" t="n">
        <v>44168</v>
      </c>
      <c r="C90" s="1" t="n">
        <v>45924</v>
      </c>
      <c r="D90" t="inlineStr">
        <is>
          <t>DALARNAS LÄN</t>
        </is>
      </c>
      <c r="E90" t="inlineStr">
        <is>
          <t>LEKSAND</t>
        </is>
      </c>
      <c r="G90" t="n">
        <v>1.1</v>
      </c>
      <c r="H90" t="n">
        <v>0</v>
      </c>
      <c r="I90" t="n">
        <v>0</v>
      </c>
      <c r="J90" t="n">
        <v>0</v>
      </c>
      <c r="K90" t="n">
        <v>0</v>
      </c>
      <c r="L90" t="n">
        <v>0</v>
      </c>
      <c r="M90" t="n">
        <v>0</v>
      </c>
      <c r="N90" t="n">
        <v>0</v>
      </c>
      <c r="O90" t="n">
        <v>0</v>
      </c>
      <c r="P90" t="n">
        <v>0</v>
      </c>
      <c r="Q90" t="n">
        <v>0</v>
      </c>
      <c r="R90" s="2" t="inlineStr"/>
    </row>
    <row r="91" ht="15" customHeight="1">
      <c r="A91" t="inlineStr">
        <is>
          <t>A 18866-2022</t>
        </is>
      </c>
      <c r="B91" s="1" t="n">
        <v>44690</v>
      </c>
      <c r="C91" s="1" t="n">
        <v>45924</v>
      </c>
      <c r="D91" t="inlineStr">
        <is>
          <t>DALARNAS LÄN</t>
        </is>
      </c>
      <c r="E91" t="inlineStr">
        <is>
          <t>LEKSAND</t>
        </is>
      </c>
      <c r="F91" t="inlineStr">
        <is>
          <t>Övriga Aktiebolag</t>
        </is>
      </c>
      <c r="G91" t="n">
        <v>5.1</v>
      </c>
      <c r="H91" t="n">
        <v>0</v>
      </c>
      <c r="I91" t="n">
        <v>0</v>
      </c>
      <c r="J91" t="n">
        <v>0</v>
      </c>
      <c r="K91" t="n">
        <v>0</v>
      </c>
      <c r="L91" t="n">
        <v>0</v>
      </c>
      <c r="M91" t="n">
        <v>0</v>
      </c>
      <c r="N91" t="n">
        <v>0</v>
      </c>
      <c r="O91" t="n">
        <v>0</v>
      </c>
      <c r="P91" t="n">
        <v>0</v>
      </c>
      <c r="Q91" t="n">
        <v>0</v>
      </c>
      <c r="R91" s="2" t="inlineStr"/>
    </row>
    <row r="92" ht="15" customHeight="1">
      <c r="A92" t="inlineStr">
        <is>
          <t>A 18870-2022</t>
        </is>
      </c>
      <c r="B92" s="1" t="n">
        <v>44690.50725694445</v>
      </c>
      <c r="C92" s="1" t="n">
        <v>45924</v>
      </c>
      <c r="D92" t="inlineStr">
        <is>
          <t>DALARNAS LÄN</t>
        </is>
      </c>
      <c r="E92" t="inlineStr">
        <is>
          <t>LEKSAND</t>
        </is>
      </c>
      <c r="F92" t="inlineStr">
        <is>
          <t>Övriga Aktiebolag</t>
        </is>
      </c>
      <c r="G92" t="n">
        <v>3.1</v>
      </c>
      <c r="H92" t="n">
        <v>0</v>
      </c>
      <c r="I92" t="n">
        <v>0</v>
      </c>
      <c r="J92" t="n">
        <v>0</v>
      </c>
      <c r="K92" t="n">
        <v>0</v>
      </c>
      <c r="L92" t="n">
        <v>0</v>
      </c>
      <c r="M92" t="n">
        <v>0</v>
      </c>
      <c r="N92" t="n">
        <v>0</v>
      </c>
      <c r="O92" t="n">
        <v>0</v>
      </c>
      <c r="P92" t="n">
        <v>0</v>
      </c>
      <c r="Q92" t="n">
        <v>0</v>
      </c>
      <c r="R92" s="2" t="inlineStr"/>
    </row>
    <row r="93" ht="15" customHeight="1">
      <c r="A93" t="inlineStr">
        <is>
          <t>A 36956-2021</t>
        </is>
      </c>
      <c r="B93" s="1" t="n">
        <v>44393.55643518519</v>
      </c>
      <c r="C93" s="1" t="n">
        <v>45924</v>
      </c>
      <c r="D93" t="inlineStr">
        <is>
          <t>DALARNAS LÄN</t>
        </is>
      </c>
      <c r="E93" t="inlineStr">
        <is>
          <t>LEKSAND</t>
        </is>
      </c>
      <c r="G93" t="n">
        <v>4.1</v>
      </c>
      <c r="H93" t="n">
        <v>0</v>
      </c>
      <c r="I93" t="n">
        <v>0</v>
      </c>
      <c r="J93" t="n">
        <v>0</v>
      </c>
      <c r="K93" t="n">
        <v>0</v>
      </c>
      <c r="L93" t="n">
        <v>0</v>
      </c>
      <c r="M93" t="n">
        <v>0</v>
      </c>
      <c r="N93" t="n">
        <v>0</v>
      </c>
      <c r="O93" t="n">
        <v>0</v>
      </c>
      <c r="P93" t="n">
        <v>0</v>
      </c>
      <c r="Q93" t="n">
        <v>0</v>
      </c>
      <c r="R93" s="2" t="inlineStr"/>
    </row>
    <row r="94" ht="15" customHeight="1">
      <c r="A94" t="inlineStr">
        <is>
          <t>A 18140-2022</t>
        </is>
      </c>
      <c r="B94" s="1" t="n">
        <v>44684.58278935185</v>
      </c>
      <c r="C94" s="1" t="n">
        <v>45924</v>
      </c>
      <c r="D94" t="inlineStr">
        <is>
          <t>DALARNAS LÄN</t>
        </is>
      </c>
      <c r="E94" t="inlineStr">
        <is>
          <t>LEKSAND</t>
        </is>
      </c>
      <c r="F94" t="inlineStr">
        <is>
          <t>Övriga Aktiebolag</t>
        </is>
      </c>
      <c r="G94" t="n">
        <v>0.7</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45924</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45924</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8501-2022</t>
        </is>
      </c>
      <c r="B97" s="1" t="n">
        <v>44613.40672453704</v>
      </c>
      <c r="C97" s="1" t="n">
        <v>45924</v>
      </c>
      <c r="D97" t="inlineStr">
        <is>
          <t>DALARNAS LÄN</t>
        </is>
      </c>
      <c r="E97" t="inlineStr">
        <is>
          <t>LEKSAND</t>
        </is>
      </c>
      <c r="G97" t="n">
        <v>3</v>
      </c>
      <c r="H97" t="n">
        <v>0</v>
      </c>
      <c r="I97" t="n">
        <v>0</v>
      </c>
      <c r="J97" t="n">
        <v>0</v>
      </c>
      <c r="K97" t="n">
        <v>0</v>
      </c>
      <c r="L97" t="n">
        <v>0</v>
      </c>
      <c r="M97" t="n">
        <v>0</v>
      </c>
      <c r="N97" t="n">
        <v>0</v>
      </c>
      <c r="O97" t="n">
        <v>0</v>
      </c>
      <c r="P97" t="n">
        <v>0</v>
      </c>
      <c r="Q97" t="n">
        <v>0</v>
      </c>
      <c r="R97" s="2" t="inlineStr"/>
    </row>
    <row r="98" ht="15" customHeight="1">
      <c r="A98" t="inlineStr">
        <is>
          <t>A 21968-2021</t>
        </is>
      </c>
      <c r="B98" s="1" t="n">
        <v>44323</v>
      </c>
      <c r="C98" s="1" t="n">
        <v>45924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31871-2022</t>
        </is>
      </c>
      <c r="B99" s="1" t="n">
        <v>44777.37854166667</v>
      </c>
      <c r="C99" s="1" t="n">
        <v>45924</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14140-2022</t>
        </is>
      </c>
      <c r="B100" s="1" t="n">
        <v>44651</v>
      </c>
      <c r="C100" s="1" t="n">
        <v>45924</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43410-2021</t>
        </is>
      </c>
      <c r="B101" s="1" t="n">
        <v>44432.60814814815</v>
      </c>
      <c r="C101" s="1" t="n">
        <v>45924</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68573-2021</t>
        </is>
      </c>
      <c r="B102" s="1" t="n">
        <v>44529</v>
      </c>
      <c r="C102" s="1" t="n">
        <v>45924</v>
      </c>
      <c r="D102" t="inlineStr">
        <is>
          <t>DALARNAS LÄN</t>
        </is>
      </c>
      <c r="E102" t="inlineStr">
        <is>
          <t>LEKSAND</t>
        </is>
      </c>
      <c r="G102" t="n">
        <v>1.6</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45924</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49581-2022</t>
        </is>
      </c>
      <c r="B104" s="1" t="n">
        <v>44862.36287037037</v>
      </c>
      <c r="C104" s="1" t="n">
        <v>45924</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45924</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45924</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21965-2021</t>
        </is>
      </c>
      <c r="B107" s="1" t="n">
        <v>44323</v>
      </c>
      <c r="C107" s="1" t="n">
        <v>45924</v>
      </c>
      <c r="D107" t="inlineStr">
        <is>
          <t>DALARNAS LÄN</t>
        </is>
      </c>
      <c r="E107" t="inlineStr">
        <is>
          <t>LEKSAND</t>
        </is>
      </c>
      <c r="G107" t="n">
        <v>0.5</v>
      </c>
      <c r="H107" t="n">
        <v>0</v>
      </c>
      <c r="I107" t="n">
        <v>0</v>
      </c>
      <c r="J107" t="n">
        <v>0</v>
      </c>
      <c r="K107" t="n">
        <v>0</v>
      </c>
      <c r="L107" t="n">
        <v>0</v>
      </c>
      <c r="M107" t="n">
        <v>0</v>
      </c>
      <c r="N107" t="n">
        <v>0</v>
      </c>
      <c r="O107" t="n">
        <v>0</v>
      </c>
      <c r="P107" t="n">
        <v>0</v>
      </c>
      <c r="Q107" t="n">
        <v>0</v>
      </c>
      <c r="R107" s="2" t="inlineStr"/>
    </row>
    <row r="108" ht="15" customHeight="1">
      <c r="A108" t="inlineStr">
        <is>
          <t>A 21969-2021</t>
        </is>
      </c>
      <c r="B108" s="1" t="n">
        <v>44323</v>
      </c>
      <c r="C108" s="1" t="n">
        <v>45924</v>
      </c>
      <c r="D108" t="inlineStr">
        <is>
          <t>DALARNAS LÄN</t>
        </is>
      </c>
      <c r="E108" t="inlineStr">
        <is>
          <t>LEKSAND</t>
        </is>
      </c>
      <c r="G108" t="n">
        <v>3.8</v>
      </c>
      <c r="H108" t="n">
        <v>0</v>
      </c>
      <c r="I108" t="n">
        <v>0</v>
      </c>
      <c r="J108" t="n">
        <v>0</v>
      </c>
      <c r="K108" t="n">
        <v>0</v>
      </c>
      <c r="L108" t="n">
        <v>0</v>
      </c>
      <c r="M108" t="n">
        <v>0</v>
      </c>
      <c r="N108" t="n">
        <v>0</v>
      </c>
      <c r="O108" t="n">
        <v>0</v>
      </c>
      <c r="P108" t="n">
        <v>0</v>
      </c>
      <c r="Q108" t="n">
        <v>0</v>
      </c>
      <c r="R108" s="2" t="inlineStr"/>
    </row>
    <row r="109" ht="15" customHeight="1">
      <c r="A109" t="inlineStr">
        <is>
          <t>A 35080-2022</t>
        </is>
      </c>
      <c r="B109" s="1" t="n">
        <v>44797</v>
      </c>
      <c r="C109" s="1" t="n">
        <v>45924</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70098-2021</t>
        </is>
      </c>
      <c r="B110" s="1" t="n">
        <v>44533</v>
      </c>
      <c r="C110" s="1" t="n">
        <v>45924</v>
      </c>
      <c r="D110" t="inlineStr">
        <is>
          <t>DALARNAS LÄN</t>
        </is>
      </c>
      <c r="E110" t="inlineStr">
        <is>
          <t>LEKSAND</t>
        </is>
      </c>
      <c r="G110" t="n">
        <v>0.8</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45924</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62306-2023</t>
        </is>
      </c>
      <c r="B112" s="1" t="n">
        <v>45266</v>
      </c>
      <c r="C112" s="1" t="n">
        <v>45924</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30611-2023</t>
        </is>
      </c>
      <c r="B113" s="1" t="n">
        <v>45112</v>
      </c>
      <c r="C113" s="1" t="n">
        <v>45924</v>
      </c>
      <c r="D113" t="inlineStr">
        <is>
          <t>DALARNAS LÄN</t>
        </is>
      </c>
      <c r="E113" t="inlineStr">
        <is>
          <t>LEKSAND</t>
        </is>
      </c>
      <c r="G113" t="n">
        <v>3.1</v>
      </c>
      <c r="H113" t="n">
        <v>0</v>
      </c>
      <c r="I113" t="n">
        <v>0</v>
      </c>
      <c r="J113" t="n">
        <v>0</v>
      </c>
      <c r="K113" t="n">
        <v>0</v>
      </c>
      <c r="L113" t="n">
        <v>0</v>
      </c>
      <c r="M113" t="n">
        <v>0</v>
      </c>
      <c r="N113" t="n">
        <v>0</v>
      </c>
      <c r="O113" t="n">
        <v>0</v>
      </c>
      <c r="P113" t="n">
        <v>0</v>
      </c>
      <c r="Q113" t="n">
        <v>0</v>
      </c>
      <c r="R113" s="2" t="inlineStr"/>
    </row>
    <row r="114" ht="15" customHeight="1">
      <c r="A114" t="inlineStr">
        <is>
          <t>A 70296-2021</t>
        </is>
      </c>
      <c r="B114" s="1" t="n">
        <v>44536.40434027778</v>
      </c>
      <c r="C114" s="1" t="n">
        <v>45924</v>
      </c>
      <c r="D114" t="inlineStr">
        <is>
          <t>DALARNAS LÄN</t>
        </is>
      </c>
      <c r="E114" t="inlineStr">
        <is>
          <t>LEKSAND</t>
        </is>
      </c>
      <c r="G114" t="n">
        <v>2.7</v>
      </c>
      <c r="H114" t="n">
        <v>0</v>
      </c>
      <c r="I114" t="n">
        <v>0</v>
      </c>
      <c r="J114" t="n">
        <v>0</v>
      </c>
      <c r="K114" t="n">
        <v>0</v>
      </c>
      <c r="L114" t="n">
        <v>0</v>
      </c>
      <c r="M114" t="n">
        <v>0</v>
      </c>
      <c r="N114" t="n">
        <v>0</v>
      </c>
      <c r="O114" t="n">
        <v>0</v>
      </c>
      <c r="P114" t="n">
        <v>0</v>
      </c>
      <c r="Q114" t="n">
        <v>0</v>
      </c>
      <c r="R114" s="2" t="inlineStr"/>
    </row>
    <row r="115" ht="15" customHeight="1">
      <c r="A115" t="inlineStr">
        <is>
          <t>A 31971-2024</t>
        </is>
      </c>
      <c r="B115" s="1" t="n">
        <v>45510.55171296297</v>
      </c>
      <c r="C115" s="1" t="n">
        <v>45924</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12621-2025</t>
        </is>
      </c>
      <c r="B116" s="1" t="n">
        <v>45733.3575</v>
      </c>
      <c r="C116" s="1" t="n">
        <v>45924</v>
      </c>
      <c r="D116" t="inlineStr">
        <is>
          <t>DALARNAS LÄN</t>
        </is>
      </c>
      <c r="E116" t="inlineStr">
        <is>
          <t>LEKSAND</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22388-2024</t>
        </is>
      </c>
      <c r="B117" s="1" t="n">
        <v>45446</v>
      </c>
      <c r="C117" s="1" t="n">
        <v>45924</v>
      </c>
      <c r="D117" t="inlineStr">
        <is>
          <t>DALARNAS LÄN</t>
        </is>
      </c>
      <c r="E117" t="inlineStr">
        <is>
          <t>LEKSAND</t>
        </is>
      </c>
      <c r="F117" t="inlineStr">
        <is>
          <t>Bergvik skog väst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31728-2024</t>
        </is>
      </c>
      <c r="B118" s="1" t="n">
        <v>45509.34517361111</v>
      </c>
      <c r="C118" s="1" t="n">
        <v>45924</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48644-2023</t>
        </is>
      </c>
      <c r="B119" s="1" t="n">
        <v>45208.58997685185</v>
      </c>
      <c r="C119" s="1" t="n">
        <v>45924</v>
      </c>
      <c r="D119" t="inlineStr">
        <is>
          <t>DALARNAS LÄN</t>
        </is>
      </c>
      <c r="E119" t="inlineStr">
        <is>
          <t>LEKSAND</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10299-2024</t>
        </is>
      </c>
      <c r="B120" s="1" t="n">
        <v>45365.50425925926</v>
      </c>
      <c r="C120" s="1" t="n">
        <v>45924</v>
      </c>
      <c r="D120" t="inlineStr">
        <is>
          <t>DALARNAS LÄN</t>
        </is>
      </c>
      <c r="E120" t="inlineStr">
        <is>
          <t>LEKSAND</t>
        </is>
      </c>
      <c r="G120" t="n">
        <v>3.6</v>
      </c>
      <c r="H120" t="n">
        <v>0</v>
      </c>
      <c r="I120" t="n">
        <v>0</v>
      </c>
      <c r="J120" t="n">
        <v>0</v>
      </c>
      <c r="K120" t="n">
        <v>0</v>
      </c>
      <c r="L120" t="n">
        <v>0</v>
      </c>
      <c r="M120" t="n">
        <v>0</v>
      </c>
      <c r="N120" t="n">
        <v>0</v>
      </c>
      <c r="O120" t="n">
        <v>0</v>
      </c>
      <c r="P120" t="n">
        <v>0</v>
      </c>
      <c r="Q120" t="n">
        <v>0</v>
      </c>
      <c r="R120" s="2" t="inlineStr"/>
    </row>
    <row r="121" ht="15" customHeight="1">
      <c r="A121" t="inlineStr">
        <is>
          <t>A 16135-2023</t>
        </is>
      </c>
      <c r="B121" s="1" t="n">
        <v>45027.63717592593</v>
      </c>
      <c r="C121" s="1" t="n">
        <v>45924</v>
      </c>
      <c r="D121" t="inlineStr">
        <is>
          <t>DALARNAS LÄN</t>
        </is>
      </c>
      <c r="E121" t="inlineStr">
        <is>
          <t>LEKSAND</t>
        </is>
      </c>
      <c r="G121" t="n">
        <v>4.9</v>
      </c>
      <c r="H121" t="n">
        <v>0</v>
      </c>
      <c r="I121" t="n">
        <v>0</v>
      </c>
      <c r="J121" t="n">
        <v>0</v>
      </c>
      <c r="K121" t="n">
        <v>0</v>
      </c>
      <c r="L121" t="n">
        <v>0</v>
      </c>
      <c r="M121" t="n">
        <v>0</v>
      </c>
      <c r="N121" t="n">
        <v>0</v>
      </c>
      <c r="O121" t="n">
        <v>0</v>
      </c>
      <c r="P121" t="n">
        <v>0</v>
      </c>
      <c r="Q121" t="n">
        <v>0</v>
      </c>
      <c r="R121" s="2" t="inlineStr"/>
    </row>
    <row r="122" ht="15" customHeight="1">
      <c r="A122" t="inlineStr">
        <is>
          <t>A 59859-2023</t>
        </is>
      </c>
      <c r="B122" s="1" t="n">
        <v>45257</v>
      </c>
      <c r="C122" s="1" t="n">
        <v>45924</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39136-2023</t>
        </is>
      </c>
      <c r="B123" s="1" t="n">
        <v>45165</v>
      </c>
      <c r="C123" s="1" t="n">
        <v>45924</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325-2023</t>
        </is>
      </c>
      <c r="B124" s="1" t="n">
        <v>44929</v>
      </c>
      <c r="C124" s="1" t="n">
        <v>45924</v>
      </c>
      <c r="D124" t="inlineStr">
        <is>
          <t>DALARNAS LÄN</t>
        </is>
      </c>
      <c r="E124" t="inlineStr">
        <is>
          <t>LEKSAND</t>
        </is>
      </c>
      <c r="F124" t="inlineStr">
        <is>
          <t>Övriga Aktiebolag</t>
        </is>
      </c>
      <c r="G124" t="n">
        <v>7.1</v>
      </c>
      <c r="H124" t="n">
        <v>0</v>
      </c>
      <c r="I124" t="n">
        <v>0</v>
      </c>
      <c r="J124" t="n">
        <v>0</v>
      </c>
      <c r="K124" t="n">
        <v>0</v>
      </c>
      <c r="L124" t="n">
        <v>0</v>
      </c>
      <c r="M124" t="n">
        <v>0</v>
      </c>
      <c r="N124" t="n">
        <v>0</v>
      </c>
      <c r="O124" t="n">
        <v>0</v>
      </c>
      <c r="P124" t="n">
        <v>0</v>
      </c>
      <c r="Q124" t="n">
        <v>0</v>
      </c>
      <c r="R124" s="2" t="inlineStr"/>
    </row>
    <row r="125" ht="15" customHeight="1">
      <c r="A125" t="inlineStr">
        <is>
          <t>A 24187-2025</t>
        </is>
      </c>
      <c r="B125" s="1" t="n">
        <v>45796</v>
      </c>
      <c r="C125" s="1" t="n">
        <v>45924</v>
      </c>
      <c r="D125" t="inlineStr">
        <is>
          <t>DALARNAS LÄN</t>
        </is>
      </c>
      <c r="E125" t="inlineStr">
        <is>
          <t>LEKSAND</t>
        </is>
      </c>
      <c r="G125" t="n">
        <v>2.1</v>
      </c>
      <c r="H125" t="n">
        <v>0</v>
      </c>
      <c r="I125" t="n">
        <v>0</v>
      </c>
      <c r="J125" t="n">
        <v>0</v>
      </c>
      <c r="K125" t="n">
        <v>0</v>
      </c>
      <c r="L125" t="n">
        <v>0</v>
      </c>
      <c r="M125" t="n">
        <v>0</v>
      </c>
      <c r="N125" t="n">
        <v>0</v>
      </c>
      <c r="O125" t="n">
        <v>0</v>
      </c>
      <c r="P125" t="n">
        <v>0</v>
      </c>
      <c r="Q125" t="n">
        <v>0</v>
      </c>
      <c r="R125" s="2" t="inlineStr"/>
    </row>
    <row r="126" ht="15" customHeight="1">
      <c r="A126" t="inlineStr">
        <is>
          <t>A 24188-2025</t>
        </is>
      </c>
      <c r="B126" s="1" t="n">
        <v>45796</v>
      </c>
      <c r="C126" s="1" t="n">
        <v>45924</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7450-2023</t>
        </is>
      </c>
      <c r="B127" s="1" t="n">
        <v>44971</v>
      </c>
      <c r="C127" s="1" t="n">
        <v>45924</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53193-2024</t>
        </is>
      </c>
      <c r="B128" s="1" t="n">
        <v>45610</v>
      </c>
      <c r="C128" s="1" t="n">
        <v>45924</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24373-2025</t>
        </is>
      </c>
      <c r="B129" s="1" t="n">
        <v>45797.61113425926</v>
      </c>
      <c r="C129" s="1" t="n">
        <v>45924</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32635-2021</t>
        </is>
      </c>
      <c r="B130" s="1" t="n">
        <v>44374</v>
      </c>
      <c r="C130" s="1" t="n">
        <v>45924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22646-2025</t>
        </is>
      </c>
      <c r="B131" s="1" t="n">
        <v>45786</v>
      </c>
      <c r="C131" s="1" t="n">
        <v>45924</v>
      </c>
      <c r="D131" t="inlineStr">
        <is>
          <t>DALARNAS LÄN</t>
        </is>
      </c>
      <c r="E131" t="inlineStr">
        <is>
          <t>LEKSAND</t>
        </is>
      </c>
      <c r="F131" t="inlineStr">
        <is>
          <t>Kommuner</t>
        </is>
      </c>
      <c r="G131" t="n">
        <v>1.6</v>
      </c>
      <c r="H131" t="n">
        <v>0</v>
      </c>
      <c r="I131" t="n">
        <v>0</v>
      </c>
      <c r="J131" t="n">
        <v>0</v>
      </c>
      <c r="K131" t="n">
        <v>0</v>
      </c>
      <c r="L131" t="n">
        <v>0</v>
      </c>
      <c r="M131" t="n">
        <v>0</v>
      </c>
      <c r="N131" t="n">
        <v>0</v>
      </c>
      <c r="O131" t="n">
        <v>0</v>
      </c>
      <c r="P131" t="n">
        <v>0</v>
      </c>
      <c r="Q131" t="n">
        <v>0</v>
      </c>
      <c r="R131" s="2" t="inlineStr"/>
    </row>
    <row r="132" ht="15" customHeight="1">
      <c r="A132" t="inlineStr">
        <is>
          <t>A 59236-2024</t>
        </is>
      </c>
      <c r="B132" s="1" t="n">
        <v>45637.58795138889</v>
      </c>
      <c r="C132" s="1" t="n">
        <v>45924</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14615-2024</t>
        </is>
      </c>
      <c r="B133" s="1" t="n">
        <v>45397.26047453703</v>
      </c>
      <c r="C133" s="1" t="n">
        <v>45924</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45040-2021</t>
        </is>
      </c>
      <c r="B134" s="1" t="n">
        <v>44438</v>
      </c>
      <c r="C134" s="1" t="n">
        <v>45924</v>
      </c>
      <c r="D134" t="inlineStr">
        <is>
          <t>DALARNAS LÄN</t>
        </is>
      </c>
      <c r="E134" t="inlineStr">
        <is>
          <t>LEKSAND</t>
        </is>
      </c>
      <c r="G134" t="n">
        <v>2.7</v>
      </c>
      <c r="H134" t="n">
        <v>0</v>
      </c>
      <c r="I134" t="n">
        <v>0</v>
      </c>
      <c r="J134" t="n">
        <v>0</v>
      </c>
      <c r="K134" t="n">
        <v>0</v>
      </c>
      <c r="L134" t="n">
        <v>0</v>
      </c>
      <c r="M134" t="n">
        <v>0</v>
      </c>
      <c r="N134" t="n">
        <v>0</v>
      </c>
      <c r="O134" t="n">
        <v>0</v>
      </c>
      <c r="P134" t="n">
        <v>0</v>
      </c>
      <c r="Q134" t="n">
        <v>0</v>
      </c>
      <c r="R134" s="2" t="inlineStr"/>
    </row>
    <row r="135" ht="15" customHeight="1">
      <c r="A135" t="inlineStr">
        <is>
          <t>A 24317-2025</t>
        </is>
      </c>
      <c r="B135" s="1" t="n">
        <v>45797.53577546297</v>
      </c>
      <c r="C135" s="1" t="n">
        <v>45924</v>
      </c>
      <c r="D135" t="inlineStr">
        <is>
          <t>DALARNAS LÄN</t>
        </is>
      </c>
      <c r="E135" t="inlineStr">
        <is>
          <t>LEKSAND</t>
        </is>
      </c>
      <c r="G135" t="n">
        <v>3.4</v>
      </c>
      <c r="H135" t="n">
        <v>0</v>
      </c>
      <c r="I135" t="n">
        <v>0</v>
      </c>
      <c r="J135" t="n">
        <v>0</v>
      </c>
      <c r="K135" t="n">
        <v>0</v>
      </c>
      <c r="L135" t="n">
        <v>0</v>
      </c>
      <c r="M135" t="n">
        <v>0</v>
      </c>
      <c r="N135" t="n">
        <v>0</v>
      </c>
      <c r="O135" t="n">
        <v>0</v>
      </c>
      <c r="P135" t="n">
        <v>0</v>
      </c>
      <c r="Q135" t="n">
        <v>0</v>
      </c>
      <c r="R135" s="2" t="inlineStr"/>
    </row>
    <row r="136" ht="15" customHeight="1">
      <c r="A136" t="inlineStr">
        <is>
          <t>A 24919-2024</t>
        </is>
      </c>
      <c r="B136" s="1" t="n">
        <v>45461.60636574074</v>
      </c>
      <c r="C136" s="1" t="n">
        <v>45924</v>
      </c>
      <c r="D136" t="inlineStr">
        <is>
          <t>DALARNAS LÄN</t>
        </is>
      </c>
      <c r="E136" t="inlineStr">
        <is>
          <t>LEKSAND</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56211-2023</t>
        </is>
      </c>
      <c r="B137" s="1" t="n">
        <v>45240</v>
      </c>
      <c r="C137" s="1" t="n">
        <v>45924</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23663-2024</t>
        </is>
      </c>
      <c r="B138" s="1" t="n">
        <v>45454.57049768518</v>
      </c>
      <c r="C138" s="1" t="n">
        <v>45924</v>
      </c>
      <c r="D138" t="inlineStr">
        <is>
          <t>DALARNAS LÄN</t>
        </is>
      </c>
      <c r="E138" t="inlineStr">
        <is>
          <t>LEKSAND</t>
        </is>
      </c>
      <c r="G138" t="n">
        <v>2.5</v>
      </c>
      <c r="H138" t="n">
        <v>0</v>
      </c>
      <c r="I138" t="n">
        <v>0</v>
      </c>
      <c r="J138" t="n">
        <v>0</v>
      </c>
      <c r="K138" t="n">
        <v>0</v>
      </c>
      <c r="L138" t="n">
        <v>0</v>
      </c>
      <c r="M138" t="n">
        <v>0</v>
      </c>
      <c r="N138" t="n">
        <v>0</v>
      </c>
      <c r="O138" t="n">
        <v>0</v>
      </c>
      <c r="P138" t="n">
        <v>0</v>
      </c>
      <c r="Q138" t="n">
        <v>0</v>
      </c>
      <c r="R138" s="2" t="inlineStr"/>
    </row>
    <row r="139" ht="15" customHeight="1">
      <c r="A139" t="inlineStr">
        <is>
          <t>A 24369-2025</t>
        </is>
      </c>
      <c r="B139" s="1" t="n">
        <v>45797.60731481481</v>
      </c>
      <c r="C139" s="1" t="n">
        <v>45924</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24715-2025</t>
        </is>
      </c>
      <c r="B140" s="1" t="n">
        <v>45798.97899305556</v>
      </c>
      <c r="C140" s="1" t="n">
        <v>45924</v>
      </c>
      <c r="D140" t="inlineStr">
        <is>
          <t>DALARNAS LÄN</t>
        </is>
      </c>
      <c r="E140" t="inlineStr">
        <is>
          <t>LEKSAND</t>
        </is>
      </c>
      <c r="G140" t="n">
        <v>8.4</v>
      </c>
      <c r="H140" t="n">
        <v>0</v>
      </c>
      <c r="I140" t="n">
        <v>0</v>
      </c>
      <c r="J140" t="n">
        <v>0</v>
      </c>
      <c r="K140" t="n">
        <v>0</v>
      </c>
      <c r="L140" t="n">
        <v>0</v>
      </c>
      <c r="M140" t="n">
        <v>0</v>
      </c>
      <c r="N140" t="n">
        <v>0</v>
      </c>
      <c r="O140" t="n">
        <v>0</v>
      </c>
      <c r="P140" t="n">
        <v>0</v>
      </c>
      <c r="Q140" t="n">
        <v>0</v>
      </c>
      <c r="R140" s="2" t="inlineStr"/>
    </row>
    <row r="141" ht="15" customHeight="1">
      <c r="A141" t="inlineStr">
        <is>
          <t>A 40868-2024</t>
        </is>
      </c>
      <c r="B141" s="1" t="n">
        <v>45558</v>
      </c>
      <c r="C141" s="1" t="n">
        <v>45924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33317-2023</t>
        </is>
      </c>
      <c r="B142" s="1" t="n">
        <v>45127.84586805556</v>
      </c>
      <c r="C142" s="1" t="n">
        <v>45924</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33318-2023</t>
        </is>
      </c>
      <c r="B143" s="1" t="n">
        <v>45127</v>
      </c>
      <c r="C143" s="1" t="n">
        <v>45924</v>
      </c>
      <c r="D143" t="inlineStr">
        <is>
          <t>DALARNAS LÄN</t>
        </is>
      </c>
      <c r="E143" t="inlineStr">
        <is>
          <t>LEKSAND</t>
        </is>
      </c>
      <c r="G143" t="n">
        <v>5.5</v>
      </c>
      <c r="H143" t="n">
        <v>0</v>
      </c>
      <c r="I143" t="n">
        <v>0</v>
      </c>
      <c r="J143" t="n">
        <v>0</v>
      </c>
      <c r="K143" t="n">
        <v>0</v>
      </c>
      <c r="L143" t="n">
        <v>0</v>
      </c>
      <c r="M143" t="n">
        <v>0</v>
      </c>
      <c r="N143" t="n">
        <v>0</v>
      </c>
      <c r="O143" t="n">
        <v>0</v>
      </c>
      <c r="P143" t="n">
        <v>0</v>
      </c>
      <c r="Q143" t="n">
        <v>0</v>
      </c>
      <c r="R143" s="2" t="inlineStr"/>
    </row>
    <row r="144" ht="15" customHeight="1">
      <c r="A144" t="inlineStr">
        <is>
          <t>A 61055-2023</t>
        </is>
      </c>
      <c r="B144" s="1" t="n">
        <v>45261</v>
      </c>
      <c r="C144" s="1" t="n">
        <v>45924</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34038-2024</t>
        </is>
      </c>
      <c r="B145" s="1" t="n">
        <v>45523.59578703704</v>
      </c>
      <c r="C145" s="1" t="n">
        <v>45924</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34041-2024</t>
        </is>
      </c>
      <c r="B146" s="1" t="n">
        <v>45523.59895833334</v>
      </c>
      <c r="C146" s="1" t="n">
        <v>45924</v>
      </c>
      <c r="D146" t="inlineStr">
        <is>
          <t>DALARNAS LÄN</t>
        </is>
      </c>
      <c r="E146" t="inlineStr">
        <is>
          <t>LEKSAND</t>
        </is>
      </c>
      <c r="G146" t="n">
        <v>4</v>
      </c>
      <c r="H146" t="n">
        <v>0</v>
      </c>
      <c r="I146" t="n">
        <v>0</v>
      </c>
      <c r="J146" t="n">
        <v>0</v>
      </c>
      <c r="K146" t="n">
        <v>0</v>
      </c>
      <c r="L146" t="n">
        <v>0</v>
      </c>
      <c r="M146" t="n">
        <v>0</v>
      </c>
      <c r="N146" t="n">
        <v>0</v>
      </c>
      <c r="O146" t="n">
        <v>0</v>
      </c>
      <c r="P146" t="n">
        <v>0</v>
      </c>
      <c r="Q146" t="n">
        <v>0</v>
      </c>
      <c r="R146" s="2" t="inlineStr"/>
    </row>
    <row r="147" ht="15" customHeight="1">
      <c r="A147" t="inlineStr">
        <is>
          <t>A 23896-2024</t>
        </is>
      </c>
      <c r="B147" s="1" t="n">
        <v>45455.6758449074</v>
      </c>
      <c r="C147" s="1" t="n">
        <v>45924</v>
      </c>
      <c r="D147" t="inlineStr">
        <is>
          <t>DALARNAS LÄN</t>
        </is>
      </c>
      <c r="E147" t="inlineStr">
        <is>
          <t>LEKSAND</t>
        </is>
      </c>
      <c r="F147" t="inlineStr">
        <is>
          <t>Övriga Aktiebolag</t>
        </is>
      </c>
      <c r="G147" t="n">
        <v>0.9</v>
      </c>
      <c r="H147" t="n">
        <v>0</v>
      </c>
      <c r="I147" t="n">
        <v>0</v>
      </c>
      <c r="J147" t="n">
        <v>0</v>
      </c>
      <c r="K147" t="n">
        <v>0</v>
      </c>
      <c r="L147" t="n">
        <v>0</v>
      </c>
      <c r="M147" t="n">
        <v>0</v>
      </c>
      <c r="N147" t="n">
        <v>0</v>
      </c>
      <c r="O147" t="n">
        <v>0</v>
      </c>
      <c r="P147" t="n">
        <v>0</v>
      </c>
      <c r="Q147" t="n">
        <v>0</v>
      </c>
      <c r="R147" s="2" t="inlineStr"/>
    </row>
    <row r="148" ht="15" customHeight="1">
      <c r="A148" t="inlineStr">
        <is>
          <t>A 30449-2022</t>
        </is>
      </c>
      <c r="B148" s="1" t="n">
        <v>44761.59276620371</v>
      </c>
      <c r="C148" s="1" t="n">
        <v>45924</v>
      </c>
      <c r="D148" t="inlineStr">
        <is>
          <t>DALARNAS LÄN</t>
        </is>
      </c>
      <c r="E148" t="inlineStr">
        <is>
          <t>LEKSAND</t>
        </is>
      </c>
      <c r="G148" t="n">
        <v>5.7</v>
      </c>
      <c r="H148" t="n">
        <v>0</v>
      </c>
      <c r="I148" t="n">
        <v>0</v>
      </c>
      <c r="J148" t="n">
        <v>0</v>
      </c>
      <c r="K148" t="n">
        <v>0</v>
      </c>
      <c r="L148" t="n">
        <v>0</v>
      </c>
      <c r="M148" t="n">
        <v>0</v>
      </c>
      <c r="N148" t="n">
        <v>0</v>
      </c>
      <c r="O148" t="n">
        <v>0</v>
      </c>
      <c r="P148" t="n">
        <v>0</v>
      </c>
      <c r="Q148" t="n">
        <v>0</v>
      </c>
      <c r="R148" s="2" t="inlineStr"/>
    </row>
    <row r="149" ht="15" customHeight="1">
      <c r="A149" t="inlineStr">
        <is>
          <t>A 19622-2024</t>
        </is>
      </c>
      <c r="B149" s="1" t="n">
        <v>45432.33592592592</v>
      </c>
      <c r="C149" s="1" t="n">
        <v>45924</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45924</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24714-2025</t>
        </is>
      </c>
      <c r="B151" s="1" t="n">
        <v>45798.96927083333</v>
      </c>
      <c r="C151" s="1" t="n">
        <v>45924</v>
      </c>
      <c r="D151" t="inlineStr">
        <is>
          <t>DALARNAS LÄN</t>
        </is>
      </c>
      <c r="E151" t="inlineStr">
        <is>
          <t>LEKSAND</t>
        </is>
      </c>
      <c r="F151" t="inlineStr">
        <is>
          <t>Bergvik skog väst AB</t>
        </is>
      </c>
      <c r="G151" t="n">
        <v>6.2</v>
      </c>
      <c r="H151" t="n">
        <v>0</v>
      </c>
      <c r="I151" t="n">
        <v>0</v>
      </c>
      <c r="J151" t="n">
        <v>0</v>
      </c>
      <c r="K151" t="n">
        <v>0</v>
      </c>
      <c r="L151" t="n">
        <v>0</v>
      </c>
      <c r="M151" t="n">
        <v>0</v>
      </c>
      <c r="N151" t="n">
        <v>0</v>
      </c>
      <c r="O151" t="n">
        <v>0</v>
      </c>
      <c r="P151" t="n">
        <v>0</v>
      </c>
      <c r="Q151" t="n">
        <v>0</v>
      </c>
      <c r="R151" s="2" t="inlineStr"/>
    </row>
    <row r="152" ht="15" customHeight="1">
      <c r="A152" t="inlineStr">
        <is>
          <t>A 14865-2025</t>
        </is>
      </c>
      <c r="B152" s="1" t="n">
        <v>45743.43929398148</v>
      </c>
      <c r="C152" s="1" t="n">
        <v>45924</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28032-2024</t>
        </is>
      </c>
      <c r="B153" s="1" t="n">
        <v>45476.49346064815</v>
      </c>
      <c r="C153" s="1" t="n">
        <v>45924</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40230-2023</t>
        </is>
      </c>
      <c r="B154" s="1" t="n">
        <v>45169.46887731482</v>
      </c>
      <c r="C154" s="1" t="n">
        <v>45924</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18040-2024</t>
        </is>
      </c>
      <c r="B155" s="1" t="n">
        <v>45420.36664351852</v>
      </c>
      <c r="C155" s="1" t="n">
        <v>45924</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46141-2022</t>
        </is>
      </c>
      <c r="B156" s="1" t="n">
        <v>44846</v>
      </c>
      <c r="C156" s="1" t="n">
        <v>45924</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14616-2024</t>
        </is>
      </c>
      <c r="B157" s="1" t="n">
        <v>45397.2624537037</v>
      </c>
      <c r="C157" s="1" t="n">
        <v>45924</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18837-2023</t>
        </is>
      </c>
      <c r="B158" s="1" t="n">
        <v>45044.42940972222</v>
      </c>
      <c r="C158" s="1" t="n">
        <v>45924</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25610-2025</t>
        </is>
      </c>
      <c r="B159" s="1" t="n">
        <v>45803.56033564815</v>
      </c>
      <c r="C159" s="1" t="n">
        <v>45924</v>
      </c>
      <c r="D159" t="inlineStr">
        <is>
          <t>DALARNAS LÄN</t>
        </is>
      </c>
      <c r="E159" t="inlineStr">
        <is>
          <t>LEKSAND</t>
        </is>
      </c>
      <c r="G159" t="n">
        <v>5.2</v>
      </c>
      <c r="H159" t="n">
        <v>0</v>
      </c>
      <c r="I159" t="n">
        <v>0</v>
      </c>
      <c r="J159" t="n">
        <v>0</v>
      </c>
      <c r="K159" t="n">
        <v>0</v>
      </c>
      <c r="L159" t="n">
        <v>0</v>
      </c>
      <c r="M159" t="n">
        <v>0</v>
      </c>
      <c r="N159" t="n">
        <v>0</v>
      </c>
      <c r="O159" t="n">
        <v>0</v>
      </c>
      <c r="P159" t="n">
        <v>0</v>
      </c>
      <c r="Q159" t="n">
        <v>0</v>
      </c>
      <c r="R159" s="2" t="inlineStr"/>
    </row>
    <row r="160" ht="15" customHeight="1">
      <c r="A160" t="inlineStr">
        <is>
          <t>A 61288-2022</t>
        </is>
      </c>
      <c r="B160" s="1" t="n">
        <v>44915</v>
      </c>
      <c r="C160" s="1" t="n">
        <v>45924</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25105-2025</t>
        </is>
      </c>
      <c r="B161" s="1" t="n">
        <v>45800.34751157407</v>
      </c>
      <c r="C161" s="1" t="n">
        <v>45924</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11712-2025</t>
        </is>
      </c>
      <c r="B162" s="1" t="n">
        <v>45727</v>
      </c>
      <c r="C162" s="1" t="n">
        <v>45924</v>
      </c>
      <c r="D162" t="inlineStr">
        <is>
          <t>DALARNAS LÄN</t>
        </is>
      </c>
      <c r="E162" t="inlineStr">
        <is>
          <t>LEKSAND</t>
        </is>
      </c>
      <c r="G162" t="n">
        <v>6</v>
      </c>
      <c r="H162" t="n">
        <v>0</v>
      </c>
      <c r="I162" t="n">
        <v>0</v>
      </c>
      <c r="J162" t="n">
        <v>0</v>
      </c>
      <c r="K162" t="n">
        <v>0</v>
      </c>
      <c r="L162" t="n">
        <v>0</v>
      </c>
      <c r="M162" t="n">
        <v>0</v>
      </c>
      <c r="N162" t="n">
        <v>0</v>
      </c>
      <c r="O162" t="n">
        <v>0</v>
      </c>
      <c r="P162" t="n">
        <v>0</v>
      </c>
      <c r="Q162" t="n">
        <v>0</v>
      </c>
      <c r="R162" s="2" t="inlineStr"/>
    </row>
    <row r="163" ht="15" customHeight="1">
      <c r="A163" t="inlineStr">
        <is>
          <t>A 6030-2025</t>
        </is>
      </c>
      <c r="B163" s="1" t="n">
        <v>45695</v>
      </c>
      <c r="C163" s="1" t="n">
        <v>45924</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25096-2025</t>
        </is>
      </c>
      <c r="B164" s="1" t="n">
        <v>45800.33868055556</v>
      </c>
      <c r="C164" s="1" t="n">
        <v>45924</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41840-2024</t>
        </is>
      </c>
      <c r="B165" s="1" t="n">
        <v>45561.42170138889</v>
      </c>
      <c r="C165" s="1" t="n">
        <v>45924</v>
      </c>
      <c r="D165" t="inlineStr">
        <is>
          <t>DALARNAS LÄN</t>
        </is>
      </c>
      <c r="E165" t="inlineStr">
        <is>
          <t>LEKSAND</t>
        </is>
      </c>
      <c r="G165" t="n">
        <v>0.4</v>
      </c>
      <c r="H165" t="n">
        <v>0</v>
      </c>
      <c r="I165" t="n">
        <v>0</v>
      </c>
      <c r="J165" t="n">
        <v>0</v>
      </c>
      <c r="K165" t="n">
        <v>0</v>
      </c>
      <c r="L165" t="n">
        <v>0</v>
      </c>
      <c r="M165" t="n">
        <v>0</v>
      </c>
      <c r="N165" t="n">
        <v>0</v>
      </c>
      <c r="O165" t="n">
        <v>0</v>
      </c>
      <c r="P165" t="n">
        <v>0</v>
      </c>
      <c r="Q165" t="n">
        <v>0</v>
      </c>
      <c r="R165" s="2" t="inlineStr"/>
    </row>
    <row r="166" ht="15" customHeight="1">
      <c r="A166" t="inlineStr">
        <is>
          <t>A 31255-2023</t>
        </is>
      </c>
      <c r="B166" s="1" t="n">
        <v>45114.36729166667</v>
      </c>
      <c r="C166" s="1" t="n">
        <v>45924</v>
      </c>
      <c r="D166" t="inlineStr">
        <is>
          <t>DALARNAS LÄN</t>
        </is>
      </c>
      <c r="E166" t="inlineStr">
        <is>
          <t>LEKSAND</t>
        </is>
      </c>
      <c r="G166" t="n">
        <v>1.3</v>
      </c>
      <c r="H166" t="n">
        <v>0</v>
      </c>
      <c r="I166" t="n">
        <v>0</v>
      </c>
      <c r="J166" t="n">
        <v>0</v>
      </c>
      <c r="K166" t="n">
        <v>0</v>
      </c>
      <c r="L166" t="n">
        <v>0</v>
      </c>
      <c r="M166" t="n">
        <v>0</v>
      </c>
      <c r="N166" t="n">
        <v>0</v>
      </c>
      <c r="O166" t="n">
        <v>0</v>
      </c>
      <c r="P166" t="n">
        <v>0</v>
      </c>
      <c r="Q166" t="n">
        <v>0</v>
      </c>
      <c r="R166" s="2" t="inlineStr"/>
    </row>
    <row r="167" ht="15" customHeight="1">
      <c r="A167" t="inlineStr">
        <is>
          <t>A 42230-2023</t>
        </is>
      </c>
      <c r="B167" s="1" t="n">
        <v>45180</v>
      </c>
      <c r="C167" s="1" t="n">
        <v>45924</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1215-2024</t>
        </is>
      </c>
      <c r="B168" s="1" t="n">
        <v>45302</v>
      </c>
      <c r="C168" s="1" t="n">
        <v>45924</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61502-2023</t>
        </is>
      </c>
      <c r="B169" s="1" t="n">
        <v>45264</v>
      </c>
      <c r="C169" s="1" t="n">
        <v>45924</v>
      </c>
      <c r="D169" t="inlineStr">
        <is>
          <t>DALARNAS LÄN</t>
        </is>
      </c>
      <c r="E169" t="inlineStr">
        <is>
          <t>LEKSAND</t>
        </is>
      </c>
      <c r="G169" t="n">
        <v>5.2</v>
      </c>
      <c r="H169" t="n">
        <v>0</v>
      </c>
      <c r="I169" t="n">
        <v>0</v>
      </c>
      <c r="J169" t="n">
        <v>0</v>
      </c>
      <c r="K169" t="n">
        <v>0</v>
      </c>
      <c r="L169" t="n">
        <v>0</v>
      </c>
      <c r="M169" t="n">
        <v>0</v>
      </c>
      <c r="N169" t="n">
        <v>0</v>
      </c>
      <c r="O169" t="n">
        <v>0</v>
      </c>
      <c r="P169" t="n">
        <v>0</v>
      </c>
      <c r="Q169" t="n">
        <v>0</v>
      </c>
      <c r="R169" s="2" t="inlineStr"/>
    </row>
    <row r="170" ht="15" customHeight="1">
      <c r="A170" t="inlineStr">
        <is>
          <t>A 60040-2023</t>
        </is>
      </c>
      <c r="B170" s="1" t="n">
        <v>45256</v>
      </c>
      <c r="C170" s="1" t="n">
        <v>45924</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28592-2023</t>
        </is>
      </c>
      <c r="B171" s="1" t="n">
        <v>45103</v>
      </c>
      <c r="C171" s="1" t="n">
        <v>45924</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52059-2024</t>
        </is>
      </c>
      <c r="B172" s="1" t="n">
        <v>45608.35609953704</v>
      </c>
      <c r="C172" s="1" t="n">
        <v>45924</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21839-2022</t>
        </is>
      </c>
      <c r="B173" s="1" t="n">
        <v>44711</v>
      </c>
      <c r="C173" s="1" t="n">
        <v>45924</v>
      </c>
      <c r="D173" t="inlineStr">
        <is>
          <t>DALARNAS LÄN</t>
        </is>
      </c>
      <c r="E173" t="inlineStr">
        <is>
          <t>LEKSAND</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55643-2024</t>
        </is>
      </c>
      <c r="B174" s="1" t="n">
        <v>45621</v>
      </c>
      <c r="C174" s="1" t="n">
        <v>45924</v>
      </c>
      <c r="D174" t="inlineStr">
        <is>
          <t>DALARNAS LÄN</t>
        </is>
      </c>
      <c r="E174" t="inlineStr">
        <is>
          <t>LEKSAND</t>
        </is>
      </c>
      <c r="G174" t="n">
        <v>1.7</v>
      </c>
      <c r="H174" t="n">
        <v>0</v>
      </c>
      <c r="I174" t="n">
        <v>0</v>
      </c>
      <c r="J174" t="n">
        <v>0</v>
      </c>
      <c r="K174" t="n">
        <v>0</v>
      </c>
      <c r="L174" t="n">
        <v>0</v>
      </c>
      <c r="M174" t="n">
        <v>0</v>
      </c>
      <c r="N174" t="n">
        <v>0</v>
      </c>
      <c r="O174" t="n">
        <v>0</v>
      </c>
      <c r="P174" t="n">
        <v>0</v>
      </c>
      <c r="Q174" t="n">
        <v>0</v>
      </c>
      <c r="R174" s="2" t="inlineStr"/>
    </row>
    <row r="175" ht="15" customHeight="1">
      <c r="A175" t="inlineStr">
        <is>
          <t>A 18484-2024</t>
        </is>
      </c>
      <c r="B175" s="1" t="n">
        <v>45425.52559027778</v>
      </c>
      <c r="C175" s="1" t="n">
        <v>45924</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26423-2025</t>
        </is>
      </c>
      <c r="B176" s="1" t="n">
        <v>45807.37829861111</v>
      </c>
      <c r="C176" s="1" t="n">
        <v>45924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26386-2025</t>
        </is>
      </c>
      <c r="B177" s="1" t="n">
        <v>45806</v>
      </c>
      <c r="C177" s="1" t="n">
        <v>45924</v>
      </c>
      <c r="D177" t="inlineStr">
        <is>
          <t>DALARNAS LÄN</t>
        </is>
      </c>
      <c r="E177" t="inlineStr">
        <is>
          <t>LEKSAND</t>
        </is>
      </c>
      <c r="F177" t="inlineStr">
        <is>
          <t>Bergvik skog väst AB</t>
        </is>
      </c>
      <c r="G177" t="n">
        <v>26.3</v>
      </c>
      <c r="H177" t="n">
        <v>0</v>
      </c>
      <c r="I177" t="n">
        <v>0</v>
      </c>
      <c r="J177" t="n">
        <v>0</v>
      </c>
      <c r="K177" t="n">
        <v>0</v>
      </c>
      <c r="L177" t="n">
        <v>0</v>
      </c>
      <c r="M177" t="n">
        <v>0</v>
      </c>
      <c r="N177" t="n">
        <v>0</v>
      </c>
      <c r="O177" t="n">
        <v>0</v>
      </c>
      <c r="P177" t="n">
        <v>0</v>
      </c>
      <c r="Q177" t="n">
        <v>0</v>
      </c>
      <c r="R177" s="2" t="inlineStr"/>
    </row>
    <row r="178" ht="15" customHeight="1">
      <c r="A178" t="inlineStr">
        <is>
          <t>A 11418-2023</t>
        </is>
      </c>
      <c r="B178" s="1" t="n">
        <v>44993</v>
      </c>
      <c r="C178" s="1" t="n">
        <v>45924</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40407-2024</t>
        </is>
      </c>
      <c r="B179" s="1" t="n">
        <v>45555</v>
      </c>
      <c r="C179" s="1" t="n">
        <v>45924</v>
      </c>
      <c r="D179" t="inlineStr">
        <is>
          <t>DALARNAS LÄN</t>
        </is>
      </c>
      <c r="E179" t="inlineStr">
        <is>
          <t>LEKSAND</t>
        </is>
      </c>
      <c r="G179" t="n">
        <v>1.4</v>
      </c>
      <c r="H179" t="n">
        <v>0</v>
      </c>
      <c r="I179" t="n">
        <v>0</v>
      </c>
      <c r="J179" t="n">
        <v>0</v>
      </c>
      <c r="K179" t="n">
        <v>0</v>
      </c>
      <c r="L179" t="n">
        <v>0</v>
      </c>
      <c r="M179" t="n">
        <v>0</v>
      </c>
      <c r="N179" t="n">
        <v>0</v>
      </c>
      <c r="O179" t="n">
        <v>0</v>
      </c>
      <c r="P179" t="n">
        <v>0</v>
      </c>
      <c r="Q179" t="n">
        <v>0</v>
      </c>
      <c r="R179" s="2" t="inlineStr"/>
    </row>
    <row r="180" ht="15" customHeight="1">
      <c r="A180" t="inlineStr">
        <is>
          <t>A 55268-2024</t>
        </is>
      </c>
      <c r="B180" s="1" t="n">
        <v>45621.61266203703</v>
      </c>
      <c r="C180" s="1" t="n">
        <v>45924</v>
      </c>
      <c r="D180" t="inlineStr">
        <is>
          <t>DALARNAS LÄN</t>
        </is>
      </c>
      <c r="E180" t="inlineStr">
        <is>
          <t>LEKSAND</t>
        </is>
      </c>
      <c r="G180" t="n">
        <v>4.2</v>
      </c>
      <c r="H180" t="n">
        <v>0</v>
      </c>
      <c r="I180" t="n">
        <v>0</v>
      </c>
      <c r="J180" t="n">
        <v>0</v>
      </c>
      <c r="K180" t="n">
        <v>0</v>
      </c>
      <c r="L180" t="n">
        <v>0</v>
      </c>
      <c r="M180" t="n">
        <v>0</v>
      </c>
      <c r="N180" t="n">
        <v>0</v>
      </c>
      <c r="O180" t="n">
        <v>0</v>
      </c>
      <c r="P180" t="n">
        <v>0</v>
      </c>
      <c r="Q180" t="n">
        <v>0</v>
      </c>
      <c r="R180" s="2" t="inlineStr"/>
    </row>
    <row r="181" ht="15" customHeight="1">
      <c r="A181" t="inlineStr">
        <is>
          <t>A 8743-2023</t>
        </is>
      </c>
      <c r="B181" s="1" t="n">
        <v>44978</v>
      </c>
      <c r="C181" s="1" t="n">
        <v>45924</v>
      </c>
      <c r="D181" t="inlineStr">
        <is>
          <t>DALARNAS LÄN</t>
        </is>
      </c>
      <c r="E181" t="inlineStr">
        <is>
          <t>LEKSAND</t>
        </is>
      </c>
      <c r="G181" t="n">
        <v>3</v>
      </c>
      <c r="H181" t="n">
        <v>0</v>
      </c>
      <c r="I181" t="n">
        <v>0</v>
      </c>
      <c r="J181" t="n">
        <v>0</v>
      </c>
      <c r="K181" t="n">
        <v>0</v>
      </c>
      <c r="L181" t="n">
        <v>0</v>
      </c>
      <c r="M181" t="n">
        <v>0</v>
      </c>
      <c r="N181" t="n">
        <v>0</v>
      </c>
      <c r="O181" t="n">
        <v>0</v>
      </c>
      <c r="P181" t="n">
        <v>0</v>
      </c>
      <c r="Q181" t="n">
        <v>0</v>
      </c>
      <c r="R181" s="2" t="inlineStr"/>
    </row>
    <row r="182" ht="15" customHeight="1">
      <c r="A182" t="inlineStr">
        <is>
          <t>A 22281-2024</t>
        </is>
      </c>
      <c r="B182" s="1" t="n">
        <v>45446.54756944445</v>
      </c>
      <c r="C182" s="1" t="n">
        <v>45924</v>
      </c>
      <c r="D182" t="inlineStr">
        <is>
          <t>DALARNAS LÄN</t>
        </is>
      </c>
      <c r="E182" t="inlineStr">
        <is>
          <t>LEKSAND</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15020-2023</t>
        </is>
      </c>
      <c r="B183" s="1" t="n">
        <v>45015.6196412037</v>
      </c>
      <c r="C183" s="1" t="n">
        <v>45924</v>
      </c>
      <c r="D183" t="inlineStr">
        <is>
          <t>DALARNAS LÄN</t>
        </is>
      </c>
      <c r="E183" t="inlineStr">
        <is>
          <t>LEKSAND</t>
        </is>
      </c>
      <c r="G183" t="n">
        <v>2.6</v>
      </c>
      <c r="H183" t="n">
        <v>0</v>
      </c>
      <c r="I183" t="n">
        <v>0</v>
      </c>
      <c r="J183" t="n">
        <v>0</v>
      </c>
      <c r="K183" t="n">
        <v>0</v>
      </c>
      <c r="L183" t="n">
        <v>0</v>
      </c>
      <c r="M183" t="n">
        <v>0</v>
      </c>
      <c r="N183" t="n">
        <v>0</v>
      </c>
      <c r="O183" t="n">
        <v>0</v>
      </c>
      <c r="P183" t="n">
        <v>0</v>
      </c>
      <c r="Q183" t="n">
        <v>0</v>
      </c>
      <c r="R183" s="2" t="inlineStr"/>
    </row>
    <row r="184" ht="15" customHeight="1">
      <c r="A184" t="inlineStr">
        <is>
          <t>A 33180-2024</t>
        </is>
      </c>
      <c r="B184" s="1" t="n">
        <v>45518.44481481481</v>
      </c>
      <c r="C184" s="1" t="n">
        <v>45924</v>
      </c>
      <c r="D184" t="inlineStr">
        <is>
          <t>DALARNAS LÄN</t>
        </is>
      </c>
      <c r="E184" t="inlineStr">
        <is>
          <t>LEKSAND</t>
        </is>
      </c>
      <c r="G184" t="n">
        <v>7.6</v>
      </c>
      <c r="H184" t="n">
        <v>0</v>
      </c>
      <c r="I184" t="n">
        <v>0</v>
      </c>
      <c r="J184" t="n">
        <v>0</v>
      </c>
      <c r="K184" t="n">
        <v>0</v>
      </c>
      <c r="L184" t="n">
        <v>0</v>
      </c>
      <c r="M184" t="n">
        <v>0</v>
      </c>
      <c r="N184" t="n">
        <v>0</v>
      </c>
      <c r="O184" t="n">
        <v>0</v>
      </c>
      <c r="P184" t="n">
        <v>0</v>
      </c>
      <c r="Q184" t="n">
        <v>0</v>
      </c>
      <c r="R184" s="2" t="inlineStr"/>
    </row>
    <row r="185" ht="15" customHeight="1">
      <c r="A185" t="inlineStr">
        <is>
          <t>A 70099-2021</t>
        </is>
      </c>
      <c r="B185" s="1" t="n">
        <v>44533</v>
      </c>
      <c r="C185" s="1" t="n">
        <v>45924</v>
      </c>
      <c r="D185" t="inlineStr">
        <is>
          <t>DALARNAS LÄN</t>
        </is>
      </c>
      <c r="E185" t="inlineStr">
        <is>
          <t>LEKSAND</t>
        </is>
      </c>
      <c r="G185" t="n">
        <v>2.8</v>
      </c>
      <c r="H185" t="n">
        <v>0</v>
      </c>
      <c r="I185" t="n">
        <v>0</v>
      </c>
      <c r="J185" t="n">
        <v>0</v>
      </c>
      <c r="K185" t="n">
        <v>0</v>
      </c>
      <c r="L185" t="n">
        <v>0</v>
      </c>
      <c r="M185" t="n">
        <v>0</v>
      </c>
      <c r="N185" t="n">
        <v>0</v>
      </c>
      <c r="O185" t="n">
        <v>0</v>
      </c>
      <c r="P185" t="n">
        <v>0</v>
      </c>
      <c r="Q185" t="n">
        <v>0</v>
      </c>
      <c r="R185" s="2" t="inlineStr"/>
    </row>
    <row r="186" ht="15" customHeight="1">
      <c r="A186" t="inlineStr">
        <is>
          <t>A 47640-2024</t>
        </is>
      </c>
      <c r="B186" s="1" t="n">
        <v>45588.36508101852</v>
      </c>
      <c r="C186" s="1" t="n">
        <v>45924</v>
      </c>
      <c r="D186" t="inlineStr">
        <is>
          <t>DALARNAS LÄN</t>
        </is>
      </c>
      <c r="E186" t="inlineStr">
        <is>
          <t>LEKSAND</t>
        </is>
      </c>
      <c r="G186" t="n">
        <v>9.1</v>
      </c>
      <c r="H186" t="n">
        <v>0</v>
      </c>
      <c r="I186" t="n">
        <v>0</v>
      </c>
      <c r="J186" t="n">
        <v>0</v>
      </c>
      <c r="K186" t="n">
        <v>0</v>
      </c>
      <c r="L186" t="n">
        <v>0</v>
      </c>
      <c r="M186" t="n">
        <v>0</v>
      </c>
      <c r="N186" t="n">
        <v>0</v>
      </c>
      <c r="O186" t="n">
        <v>0</v>
      </c>
      <c r="P186" t="n">
        <v>0</v>
      </c>
      <c r="Q186" t="n">
        <v>0</v>
      </c>
      <c r="R186" s="2" t="inlineStr"/>
    </row>
    <row r="187" ht="15" customHeight="1">
      <c r="A187" t="inlineStr">
        <is>
          <t>A 27791-2023</t>
        </is>
      </c>
      <c r="B187" s="1" t="n">
        <v>45098</v>
      </c>
      <c r="C187" s="1" t="n">
        <v>45924</v>
      </c>
      <c r="D187" t="inlineStr">
        <is>
          <t>DALARNAS LÄN</t>
        </is>
      </c>
      <c r="E187" t="inlineStr">
        <is>
          <t>LEKSAND</t>
        </is>
      </c>
      <c r="G187" t="n">
        <v>1</v>
      </c>
      <c r="H187" t="n">
        <v>0</v>
      </c>
      <c r="I187" t="n">
        <v>0</v>
      </c>
      <c r="J187" t="n">
        <v>0</v>
      </c>
      <c r="K187" t="n">
        <v>0</v>
      </c>
      <c r="L187" t="n">
        <v>0</v>
      </c>
      <c r="M187" t="n">
        <v>0</v>
      </c>
      <c r="N187" t="n">
        <v>0</v>
      </c>
      <c r="O187" t="n">
        <v>0</v>
      </c>
      <c r="P187" t="n">
        <v>0</v>
      </c>
      <c r="Q187" t="n">
        <v>0</v>
      </c>
      <c r="R187" s="2" t="inlineStr"/>
    </row>
    <row r="188" ht="15" customHeight="1">
      <c r="A188" t="inlineStr">
        <is>
          <t>A 52801-2023</t>
        </is>
      </c>
      <c r="B188" s="1" t="n">
        <v>45219</v>
      </c>
      <c r="C188" s="1" t="n">
        <v>45924</v>
      </c>
      <c r="D188" t="inlineStr">
        <is>
          <t>DALARNAS LÄN</t>
        </is>
      </c>
      <c r="E188" t="inlineStr">
        <is>
          <t>LEKSAND</t>
        </is>
      </c>
      <c r="G188" t="n">
        <v>4.9</v>
      </c>
      <c r="H188" t="n">
        <v>0</v>
      </c>
      <c r="I188" t="n">
        <v>0</v>
      </c>
      <c r="J188" t="n">
        <v>0</v>
      </c>
      <c r="K188" t="n">
        <v>0</v>
      </c>
      <c r="L188" t="n">
        <v>0</v>
      </c>
      <c r="M188" t="n">
        <v>0</v>
      </c>
      <c r="N188" t="n">
        <v>0</v>
      </c>
      <c r="O188" t="n">
        <v>0</v>
      </c>
      <c r="P188" t="n">
        <v>0</v>
      </c>
      <c r="Q188" t="n">
        <v>0</v>
      </c>
      <c r="R188" s="2" t="inlineStr"/>
    </row>
    <row r="189" ht="15" customHeight="1">
      <c r="A189" t="inlineStr">
        <is>
          <t>A 9781-2024</t>
        </is>
      </c>
      <c r="B189" s="1" t="n">
        <v>45362.66299768518</v>
      </c>
      <c r="C189" s="1" t="n">
        <v>45924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71817-2021</t>
        </is>
      </c>
      <c r="B190" s="1" t="n">
        <v>44543.59780092593</v>
      </c>
      <c r="C190" s="1" t="n">
        <v>45924</v>
      </c>
      <c r="D190" t="inlineStr">
        <is>
          <t>DALARNAS LÄN</t>
        </is>
      </c>
      <c r="E190" t="inlineStr">
        <is>
          <t>LEKSAND</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30175-2023</t>
        </is>
      </c>
      <c r="B191" s="1" t="n">
        <v>45110</v>
      </c>
      <c r="C191" s="1" t="n">
        <v>45924</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59103-2024</t>
        </is>
      </c>
      <c r="B192" s="1" t="n">
        <v>45637.34184027778</v>
      </c>
      <c r="C192" s="1" t="n">
        <v>45924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17282-2025</t>
        </is>
      </c>
      <c r="B193" s="1" t="n">
        <v>45756.57114583333</v>
      </c>
      <c r="C193" s="1" t="n">
        <v>45924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56016-2024</t>
        </is>
      </c>
      <c r="B194" s="1" t="n">
        <v>45623.87737268519</v>
      </c>
      <c r="C194" s="1" t="n">
        <v>45924</v>
      </c>
      <c r="D194" t="inlineStr">
        <is>
          <t>DALARNAS LÄN</t>
        </is>
      </c>
      <c r="E194" t="inlineStr">
        <is>
          <t>LEKSAND</t>
        </is>
      </c>
      <c r="G194" t="n">
        <v>6.1</v>
      </c>
      <c r="H194" t="n">
        <v>0</v>
      </c>
      <c r="I194" t="n">
        <v>0</v>
      </c>
      <c r="J194" t="n">
        <v>0</v>
      </c>
      <c r="K194" t="n">
        <v>0</v>
      </c>
      <c r="L194" t="n">
        <v>0</v>
      </c>
      <c r="M194" t="n">
        <v>0</v>
      </c>
      <c r="N194" t="n">
        <v>0</v>
      </c>
      <c r="O194" t="n">
        <v>0</v>
      </c>
      <c r="P194" t="n">
        <v>0</v>
      </c>
      <c r="Q194" t="n">
        <v>0</v>
      </c>
      <c r="R194" s="2" t="inlineStr"/>
    </row>
    <row r="195" ht="15" customHeight="1">
      <c r="A195" t="inlineStr">
        <is>
          <t>A 2158-2024</t>
        </is>
      </c>
      <c r="B195" s="1" t="n">
        <v>45309</v>
      </c>
      <c r="C195" s="1" t="n">
        <v>45924</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11617-2024</t>
        </is>
      </c>
      <c r="B196" s="1" t="n">
        <v>45373.42898148148</v>
      </c>
      <c r="C196" s="1" t="n">
        <v>45924</v>
      </c>
      <c r="D196" t="inlineStr">
        <is>
          <t>DALARNAS LÄN</t>
        </is>
      </c>
      <c r="E196" t="inlineStr">
        <is>
          <t>LEKSAND</t>
        </is>
      </c>
      <c r="G196" t="n">
        <v>1.9</v>
      </c>
      <c r="H196" t="n">
        <v>0</v>
      </c>
      <c r="I196" t="n">
        <v>0</v>
      </c>
      <c r="J196" t="n">
        <v>0</v>
      </c>
      <c r="K196" t="n">
        <v>0</v>
      </c>
      <c r="L196" t="n">
        <v>0</v>
      </c>
      <c r="M196" t="n">
        <v>0</v>
      </c>
      <c r="N196" t="n">
        <v>0</v>
      </c>
      <c r="O196" t="n">
        <v>0</v>
      </c>
      <c r="P196" t="n">
        <v>0</v>
      </c>
      <c r="Q196" t="n">
        <v>0</v>
      </c>
      <c r="R196" s="2" t="inlineStr"/>
    </row>
    <row r="197" ht="15" customHeight="1">
      <c r="A197" t="inlineStr">
        <is>
          <t>A 9857-2025</t>
        </is>
      </c>
      <c r="B197" s="1" t="n">
        <v>45716.62609953704</v>
      </c>
      <c r="C197" s="1" t="n">
        <v>45924</v>
      </c>
      <c r="D197" t="inlineStr">
        <is>
          <t>DALARNAS LÄN</t>
        </is>
      </c>
      <c r="E197" t="inlineStr">
        <is>
          <t>LEKSAND</t>
        </is>
      </c>
      <c r="G197" t="n">
        <v>1.7</v>
      </c>
      <c r="H197" t="n">
        <v>0</v>
      </c>
      <c r="I197" t="n">
        <v>0</v>
      </c>
      <c r="J197" t="n">
        <v>0</v>
      </c>
      <c r="K197" t="n">
        <v>0</v>
      </c>
      <c r="L197" t="n">
        <v>0</v>
      </c>
      <c r="M197" t="n">
        <v>0</v>
      </c>
      <c r="N197" t="n">
        <v>0</v>
      </c>
      <c r="O197" t="n">
        <v>0</v>
      </c>
      <c r="P197" t="n">
        <v>0</v>
      </c>
      <c r="Q197" t="n">
        <v>0</v>
      </c>
      <c r="R197" s="2" t="inlineStr"/>
    </row>
    <row r="198" ht="15" customHeight="1">
      <c r="A198" t="inlineStr">
        <is>
          <t>A 17759-2023</t>
        </is>
      </c>
      <c r="B198" s="1" t="n">
        <v>45037.48765046296</v>
      </c>
      <c r="C198" s="1" t="n">
        <v>45924</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5873-2025</t>
        </is>
      </c>
      <c r="B199" s="1" t="n">
        <v>45695.36715277778</v>
      </c>
      <c r="C199" s="1" t="n">
        <v>45924</v>
      </c>
      <c r="D199" t="inlineStr">
        <is>
          <t>DALARNAS LÄN</t>
        </is>
      </c>
      <c r="E199" t="inlineStr">
        <is>
          <t>LEKSAND</t>
        </is>
      </c>
      <c r="G199" t="n">
        <v>1.4</v>
      </c>
      <c r="H199" t="n">
        <v>0</v>
      </c>
      <c r="I199" t="n">
        <v>0</v>
      </c>
      <c r="J199" t="n">
        <v>0</v>
      </c>
      <c r="K199" t="n">
        <v>0</v>
      </c>
      <c r="L199" t="n">
        <v>0</v>
      </c>
      <c r="M199" t="n">
        <v>0</v>
      </c>
      <c r="N199" t="n">
        <v>0</v>
      </c>
      <c r="O199" t="n">
        <v>0</v>
      </c>
      <c r="P199" t="n">
        <v>0</v>
      </c>
      <c r="Q199" t="n">
        <v>0</v>
      </c>
      <c r="R199" s="2" t="inlineStr"/>
    </row>
    <row r="200" ht="15" customHeight="1">
      <c r="A200" t="inlineStr">
        <is>
          <t>A 30994-2023</t>
        </is>
      </c>
      <c r="B200" s="1" t="n">
        <v>45113</v>
      </c>
      <c r="C200" s="1" t="n">
        <v>45924</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33306-2023</t>
        </is>
      </c>
      <c r="B201" s="1" t="n">
        <v>45127</v>
      </c>
      <c r="C201" s="1" t="n">
        <v>45924</v>
      </c>
      <c r="D201" t="inlineStr">
        <is>
          <t>DALARNAS LÄN</t>
        </is>
      </c>
      <c r="E201" t="inlineStr">
        <is>
          <t>LEKSAND</t>
        </is>
      </c>
      <c r="G201" t="n">
        <v>2.2</v>
      </c>
      <c r="H201" t="n">
        <v>0</v>
      </c>
      <c r="I201" t="n">
        <v>0</v>
      </c>
      <c r="J201" t="n">
        <v>0</v>
      </c>
      <c r="K201" t="n">
        <v>0</v>
      </c>
      <c r="L201" t="n">
        <v>0</v>
      </c>
      <c r="M201" t="n">
        <v>0</v>
      </c>
      <c r="N201" t="n">
        <v>0</v>
      </c>
      <c r="O201" t="n">
        <v>0</v>
      </c>
      <c r="P201" t="n">
        <v>0</v>
      </c>
      <c r="Q201" t="n">
        <v>0</v>
      </c>
      <c r="R201" s="2" t="inlineStr"/>
    </row>
    <row r="202" ht="15" customHeight="1">
      <c r="A202" t="inlineStr">
        <is>
          <t>A 33316-2023</t>
        </is>
      </c>
      <c r="B202" s="1" t="n">
        <v>45127</v>
      </c>
      <c r="C202" s="1" t="n">
        <v>45924</v>
      </c>
      <c r="D202" t="inlineStr">
        <is>
          <t>DALARNAS LÄN</t>
        </is>
      </c>
      <c r="E202" t="inlineStr">
        <is>
          <t>LEKSAND</t>
        </is>
      </c>
      <c r="G202" t="n">
        <v>8.9</v>
      </c>
      <c r="H202" t="n">
        <v>0</v>
      </c>
      <c r="I202" t="n">
        <v>0</v>
      </c>
      <c r="J202" t="n">
        <v>0</v>
      </c>
      <c r="K202" t="n">
        <v>0</v>
      </c>
      <c r="L202" t="n">
        <v>0</v>
      </c>
      <c r="M202" t="n">
        <v>0</v>
      </c>
      <c r="N202" t="n">
        <v>0</v>
      </c>
      <c r="O202" t="n">
        <v>0</v>
      </c>
      <c r="P202" t="n">
        <v>0</v>
      </c>
      <c r="Q202" t="n">
        <v>0</v>
      </c>
      <c r="R202" s="2" t="inlineStr"/>
    </row>
    <row r="203" ht="15" customHeight="1">
      <c r="A203" t="inlineStr">
        <is>
          <t>A 38117-2023</t>
        </is>
      </c>
      <c r="B203" s="1" t="n">
        <v>45161</v>
      </c>
      <c r="C203" s="1" t="n">
        <v>45924</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37832-2023</t>
        </is>
      </c>
      <c r="B204" s="1" t="n">
        <v>45160.3479050926</v>
      </c>
      <c r="C204" s="1" t="n">
        <v>45924</v>
      </c>
      <c r="D204" t="inlineStr">
        <is>
          <t>DALARNAS LÄN</t>
        </is>
      </c>
      <c r="E204" t="inlineStr">
        <is>
          <t>LEKSAND</t>
        </is>
      </c>
      <c r="G204" t="n">
        <v>2</v>
      </c>
      <c r="H204" t="n">
        <v>0</v>
      </c>
      <c r="I204" t="n">
        <v>0</v>
      </c>
      <c r="J204" t="n">
        <v>0</v>
      </c>
      <c r="K204" t="n">
        <v>0</v>
      </c>
      <c r="L204" t="n">
        <v>0</v>
      </c>
      <c r="M204" t="n">
        <v>0</v>
      </c>
      <c r="N204" t="n">
        <v>0</v>
      </c>
      <c r="O204" t="n">
        <v>0</v>
      </c>
      <c r="P204" t="n">
        <v>0</v>
      </c>
      <c r="Q204" t="n">
        <v>0</v>
      </c>
      <c r="R204" s="2" t="inlineStr"/>
    </row>
    <row r="205" ht="15" customHeight="1">
      <c r="A205" t="inlineStr">
        <is>
          <t>A 59763-2023</t>
        </is>
      </c>
      <c r="B205" s="1" t="n">
        <v>45257</v>
      </c>
      <c r="C205" s="1" t="n">
        <v>45924</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33674-2023</t>
        </is>
      </c>
      <c r="B206" s="1" t="n">
        <v>45132</v>
      </c>
      <c r="C206" s="1" t="n">
        <v>45924</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9143-2023</t>
        </is>
      </c>
      <c r="B207" s="1" t="n">
        <v>44974</v>
      </c>
      <c r="C207" s="1" t="n">
        <v>45924</v>
      </c>
      <c r="D207" t="inlineStr">
        <is>
          <t>DALARNAS LÄN</t>
        </is>
      </c>
      <c r="E207" t="inlineStr">
        <is>
          <t>LEKSAND</t>
        </is>
      </c>
      <c r="G207" t="n">
        <v>4.3</v>
      </c>
      <c r="H207" t="n">
        <v>0</v>
      </c>
      <c r="I207" t="n">
        <v>0</v>
      </c>
      <c r="J207" t="n">
        <v>0</v>
      </c>
      <c r="K207" t="n">
        <v>0</v>
      </c>
      <c r="L207" t="n">
        <v>0</v>
      </c>
      <c r="M207" t="n">
        <v>0</v>
      </c>
      <c r="N207" t="n">
        <v>0</v>
      </c>
      <c r="O207" t="n">
        <v>0</v>
      </c>
      <c r="P207" t="n">
        <v>0</v>
      </c>
      <c r="Q207" t="n">
        <v>0</v>
      </c>
      <c r="R207" s="2" t="inlineStr"/>
    </row>
    <row r="208" ht="15" customHeight="1">
      <c r="A208" t="inlineStr">
        <is>
          <t>A 72575-2021</t>
        </is>
      </c>
      <c r="B208" s="1" t="n">
        <v>44546</v>
      </c>
      <c r="C208" s="1" t="n">
        <v>45924</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72581-2021</t>
        </is>
      </c>
      <c r="B209" s="1" t="n">
        <v>44546.46354166666</v>
      </c>
      <c r="C209" s="1" t="n">
        <v>45924</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33143-2024</t>
        </is>
      </c>
      <c r="B210" s="1" t="n">
        <v>45518</v>
      </c>
      <c r="C210" s="1" t="n">
        <v>45924</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19415-2025</t>
        </is>
      </c>
      <c r="B211" s="1" t="n">
        <v>45769</v>
      </c>
      <c r="C211" s="1" t="n">
        <v>45924</v>
      </c>
      <c r="D211" t="inlineStr">
        <is>
          <t>DALARNAS LÄN</t>
        </is>
      </c>
      <c r="E211" t="inlineStr">
        <is>
          <t>LEKSAND</t>
        </is>
      </c>
      <c r="F211" t="inlineStr">
        <is>
          <t>Bergvik skog väst AB</t>
        </is>
      </c>
      <c r="G211" t="n">
        <v>11.5</v>
      </c>
      <c r="H211" t="n">
        <v>0</v>
      </c>
      <c r="I211" t="n">
        <v>0</v>
      </c>
      <c r="J211" t="n">
        <v>0</v>
      </c>
      <c r="K211" t="n">
        <v>0</v>
      </c>
      <c r="L211" t="n">
        <v>0</v>
      </c>
      <c r="M211" t="n">
        <v>0</v>
      </c>
      <c r="N211" t="n">
        <v>0</v>
      </c>
      <c r="O211" t="n">
        <v>0</v>
      </c>
      <c r="P211" t="n">
        <v>0</v>
      </c>
      <c r="Q211" t="n">
        <v>0</v>
      </c>
      <c r="R211" s="2" t="inlineStr"/>
    </row>
    <row r="212" ht="15" customHeight="1">
      <c r="A212" t="inlineStr">
        <is>
          <t>A 25329-2022</t>
        </is>
      </c>
      <c r="B212" s="1" t="n">
        <v>44731.8799537037</v>
      </c>
      <c r="C212" s="1" t="n">
        <v>45924</v>
      </c>
      <c r="D212" t="inlineStr">
        <is>
          <t>DALARNAS LÄN</t>
        </is>
      </c>
      <c r="E212" t="inlineStr">
        <is>
          <t>LEKSAND</t>
        </is>
      </c>
      <c r="G212" t="n">
        <v>1.4</v>
      </c>
      <c r="H212" t="n">
        <v>0</v>
      </c>
      <c r="I212" t="n">
        <v>0</v>
      </c>
      <c r="J212" t="n">
        <v>0</v>
      </c>
      <c r="K212" t="n">
        <v>0</v>
      </c>
      <c r="L212" t="n">
        <v>0</v>
      </c>
      <c r="M212" t="n">
        <v>0</v>
      </c>
      <c r="N212" t="n">
        <v>0</v>
      </c>
      <c r="O212" t="n">
        <v>0</v>
      </c>
      <c r="P212" t="n">
        <v>0</v>
      </c>
      <c r="Q212" t="n">
        <v>0</v>
      </c>
      <c r="R212" s="2" t="inlineStr"/>
    </row>
    <row r="213" ht="15" customHeight="1">
      <c r="A213" t="inlineStr">
        <is>
          <t>A 33310-2023</t>
        </is>
      </c>
      <c r="B213" s="1" t="n">
        <v>45127.82231481482</v>
      </c>
      <c r="C213" s="1" t="n">
        <v>45924</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54844-2021</t>
        </is>
      </c>
      <c r="B214" s="1" t="n">
        <v>44474.30614583333</v>
      </c>
      <c r="C214" s="1" t="n">
        <v>45924</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471-2025</t>
        </is>
      </c>
      <c r="B215" s="1" t="n">
        <v>45664.43394675926</v>
      </c>
      <c r="C215" s="1" t="n">
        <v>45924</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27323-2025</t>
        </is>
      </c>
      <c r="B216" s="1" t="n">
        <v>45812.60392361111</v>
      </c>
      <c r="C216" s="1" t="n">
        <v>45924</v>
      </c>
      <c r="D216" t="inlineStr">
        <is>
          <t>DALARNAS LÄN</t>
        </is>
      </c>
      <c r="E216" t="inlineStr">
        <is>
          <t>LEKSAND</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27262-2025</t>
        </is>
      </c>
      <c r="B217" s="1" t="n">
        <v>45812</v>
      </c>
      <c r="C217" s="1" t="n">
        <v>45924</v>
      </c>
      <c r="D217" t="inlineStr">
        <is>
          <t>DALARNAS LÄN</t>
        </is>
      </c>
      <c r="E217" t="inlineStr">
        <is>
          <t>LEKSAND</t>
        </is>
      </c>
      <c r="F217" t="inlineStr">
        <is>
          <t>Bergvik skog väst AB</t>
        </is>
      </c>
      <c r="G217" t="n">
        <v>7.7</v>
      </c>
      <c r="H217" t="n">
        <v>0</v>
      </c>
      <c r="I217" t="n">
        <v>0</v>
      </c>
      <c r="J217" t="n">
        <v>0</v>
      </c>
      <c r="K217" t="n">
        <v>0</v>
      </c>
      <c r="L217" t="n">
        <v>0</v>
      </c>
      <c r="M217" t="n">
        <v>0</v>
      </c>
      <c r="N217" t="n">
        <v>0</v>
      </c>
      <c r="O217" t="n">
        <v>0</v>
      </c>
      <c r="P217" t="n">
        <v>0</v>
      </c>
      <c r="Q217" t="n">
        <v>0</v>
      </c>
      <c r="R217" s="2" t="inlineStr"/>
    </row>
    <row r="218" ht="15" customHeight="1">
      <c r="A218" t="inlineStr">
        <is>
          <t>A 27332-2025</t>
        </is>
      </c>
      <c r="B218" s="1" t="n">
        <v>45812.61265046296</v>
      </c>
      <c r="C218" s="1" t="n">
        <v>45924</v>
      </c>
      <c r="D218" t="inlineStr">
        <is>
          <t>DALARNAS LÄN</t>
        </is>
      </c>
      <c r="E218" t="inlineStr">
        <is>
          <t>LEKSAND</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27183-2025</t>
        </is>
      </c>
      <c r="B219" s="1" t="n">
        <v>45812.36097222222</v>
      </c>
      <c r="C219" s="1" t="n">
        <v>45924</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27680-2025</t>
        </is>
      </c>
      <c r="B220" s="1" t="n">
        <v>45813.64618055556</v>
      </c>
      <c r="C220" s="1" t="n">
        <v>45924</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27682-2025</t>
        </is>
      </c>
      <c r="B221" s="1" t="n">
        <v>45813.64782407408</v>
      </c>
      <c r="C221" s="1" t="n">
        <v>45924</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27705-2025</t>
        </is>
      </c>
      <c r="B222" s="1" t="n">
        <v>45813</v>
      </c>
      <c r="C222" s="1" t="n">
        <v>45924</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27329-2025</t>
        </is>
      </c>
      <c r="B223" s="1" t="n">
        <v>45812.60864583333</v>
      </c>
      <c r="C223" s="1" t="n">
        <v>45924</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52293-2024</t>
        </is>
      </c>
      <c r="B224" s="1" t="n">
        <v>45608.71297453704</v>
      </c>
      <c r="C224" s="1" t="n">
        <v>45924</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47503-2024</t>
        </is>
      </c>
      <c r="B225" s="1" t="n">
        <v>45587.60262731482</v>
      </c>
      <c r="C225" s="1" t="n">
        <v>45924</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1182-2025</t>
        </is>
      </c>
      <c r="B226" s="1" t="n">
        <v>45667.35712962963</v>
      </c>
      <c r="C226" s="1" t="n">
        <v>45924</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402-2024</t>
        </is>
      </c>
      <c r="B227" s="1" t="n">
        <v>45296.45545138889</v>
      </c>
      <c r="C227" s="1" t="n">
        <v>45924</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2517-2024</t>
        </is>
      </c>
      <c r="B228" s="1" t="n">
        <v>45313</v>
      </c>
      <c r="C228" s="1" t="n">
        <v>45924</v>
      </c>
      <c r="D228" t="inlineStr">
        <is>
          <t>DALARNAS LÄN</t>
        </is>
      </c>
      <c r="E228" t="inlineStr">
        <is>
          <t>LEKSAND</t>
        </is>
      </c>
      <c r="F228" t="inlineStr">
        <is>
          <t>Bergvik skog väst AB</t>
        </is>
      </c>
      <c r="G228" t="n">
        <v>4</v>
      </c>
      <c r="H228" t="n">
        <v>0</v>
      </c>
      <c r="I228" t="n">
        <v>0</v>
      </c>
      <c r="J228" t="n">
        <v>0</v>
      </c>
      <c r="K228" t="n">
        <v>0</v>
      </c>
      <c r="L228" t="n">
        <v>0</v>
      </c>
      <c r="M228" t="n">
        <v>0</v>
      </c>
      <c r="N228" t="n">
        <v>0</v>
      </c>
      <c r="O228" t="n">
        <v>0</v>
      </c>
      <c r="P228" t="n">
        <v>0</v>
      </c>
      <c r="Q228" t="n">
        <v>0</v>
      </c>
      <c r="R228" s="2" t="inlineStr"/>
    </row>
    <row r="229" ht="15" customHeight="1">
      <c r="A229" t="inlineStr">
        <is>
          <t>A 46665-2023</t>
        </is>
      </c>
      <c r="B229" s="1" t="n">
        <v>45198.47399305556</v>
      </c>
      <c r="C229" s="1" t="n">
        <v>45924</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56943-2024</t>
        </is>
      </c>
      <c r="B230" s="1" t="n">
        <v>45625</v>
      </c>
      <c r="C230" s="1" t="n">
        <v>45924</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60715-2022</t>
        </is>
      </c>
      <c r="B231" s="1" t="n">
        <v>44912</v>
      </c>
      <c r="C231" s="1" t="n">
        <v>45924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27984-2025</t>
        </is>
      </c>
      <c r="B232" s="1" t="n">
        <v>45817.57710648148</v>
      </c>
      <c r="C232" s="1" t="n">
        <v>45924</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15619-2025</t>
        </is>
      </c>
      <c r="B233" s="1" t="n">
        <v>45747</v>
      </c>
      <c r="C233" s="1" t="n">
        <v>45924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59199-2024</t>
        </is>
      </c>
      <c r="B234" s="1" t="n">
        <v>45637</v>
      </c>
      <c r="C234" s="1" t="n">
        <v>45924</v>
      </c>
      <c r="D234" t="inlineStr">
        <is>
          <t>DALARNAS LÄN</t>
        </is>
      </c>
      <c r="E234" t="inlineStr">
        <is>
          <t>LEKSAND</t>
        </is>
      </c>
      <c r="G234" t="n">
        <v>5.4</v>
      </c>
      <c r="H234" t="n">
        <v>0</v>
      </c>
      <c r="I234" t="n">
        <v>0</v>
      </c>
      <c r="J234" t="n">
        <v>0</v>
      </c>
      <c r="K234" t="n">
        <v>0</v>
      </c>
      <c r="L234" t="n">
        <v>0</v>
      </c>
      <c r="M234" t="n">
        <v>0</v>
      </c>
      <c r="N234" t="n">
        <v>0</v>
      </c>
      <c r="O234" t="n">
        <v>0</v>
      </c>
      <c r="P234" t="n">
        <v>0</v>
      </c>
      <c r="Q234" t="n">
        <v>0</v>
      </c>
      <c r="R234" s="2" t="inlineStr"/>
    </row>
    <row r="235" ht="15" customHeight="1">
      <c r="A235" t="inlineStr">
        <is>
          <t>A 21954-2023</t>
        </is>
      </c>
      <c r="B235" s="1" t="n">
        <v>45068</v>
      </c>
      <c r="C235" s="1" t="n">
        <v>45924</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36932-2023</t>
        </is>
      </c>
      <c r="B236" s="1" t="n">
        <v>45154</v>
      </c>
      <c r="C236" s="1" t="n">
        <v>45924</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45924</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28499-2025</t>
        </is>
      </c>
      <c r="B238" s="1" t="n">
        <v>45818</v>
      </c>
      <c r="C238" s="1" t="n">
        <v>45924</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57013-2023</t>
        </is>
      </c>
      <c r="B239" s="1" t="n">
        <v>45244</v>
      </c>
      <c r="C239" s="1" t="n">
        <v>45924</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2140-2024</t>
        </is>
      </c>
      <c r="B240" s="1" t="n">
        <v>45309</v>
      </c>
      <c r="C240" s="1" t="n">
        <v>45924</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28483-2025</t>
        </is>
      </c>
      <c r="B241" s="1" t="n">
        <v>45818</v>
      </c>
      <c r="C241" s="1" t="n">
        <v>45924</v>
      </c>
      <c r="D241" t="inlineStr">
        <is>
          <t>DALARNAS LÄN</t>
        </is>
      </c>
      <c r="E241" t="inlineStr">
        <is>
          <t>LEKSAND</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23615-2024</t>
        </is>
      </c>
      <c r="B242" s="1" t="n">
        <v>45454.43050925926</v>
      </c>
      <c r="C242" s="1" t="n">
        <v>45924</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28458-2025</t>
        </is>
      </c>
      <c r="B243" s="1" t="n">
        <v>45819.413125</v>
      </c>
      <c r="C243" s="1" t="n">
        <v>45924</v>
      </c>
      <c r="D243" t="inlineStr">
        <is>
          <t>DALARNAS LÄN</t>
        </is>
      </c>
      <c r="E243" t="inlineStr">
        <is>
          <t>LEKSAND</t>
        </is>
      </c>
      <c r="G243" t="n">
        <v>3</v>
      </c>
      <c r="H243" t="n">
        <v>0</v>
      </c>
      <c r="I243" t="n">
        <v>0</v>
      </c>
      <c r="J243" t="n">
        <v>0</v>
      </c>
      <c r="K243" t="n">
        <v>0</v>
      </c>
      <c r="L243" t="n">
        <v>0</v>
      </c>
      <c r="M243" t="n">
        <v>0</v>
      </c>
      <c r="N243" t="n">
        <v>0</v>
      </c>
      <c r="O243" t="n">
        <v>0</v>
      </c>
      <c r="P243" t="n">
        <v>0</v>
      </c>
      <c r="Q243" t="n">
        <v>0</v>
      </c>
      <c r="R243" s="2" t="inlineStr"/>
    </row>
    <row r="244" ht="15" customHeight="1">
      <c r="A244" t="inlineStr">
        <is>
          <t>A 22349-2024</t>
        </is>
      </c>
      <c r="B244" s="1" t="n">
        <v>45446</v>
      </c>
      <c r="C244" s="1" t="n">
        <v>45924</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28505-2025</t>
        </is>
      </c>
      <c r="B245" s="1" t="n">
        <v>45818</v>
      </c>
      <c r="C245" s="1" t="n">
        <v>45924</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28488-2025</t>
        </is>
      </c>
      <c r="B246" s="1" t="n">
        <v>45818</v>
      </c>
      <c r="C246" s="1" t="n">
        <v>45924</v>
      </c>
      <c r="D246" t="inlineStr">
        <is>
          <t>DALARNAS LÄN</t>
        </is>
      </c>
      <c r="E246" t="inlineStr">
        <is>
          <t>LEKSAND</t>
        </is>
      </c>
      <c r="G246" t="n">
        <v>1.1</v>
      </c>
      <c r="H246" t="n">
        <v>0</v>
      </c>
      <c r="I246" t="n">
        <v>0</v>
      </c>
      <c r="J246" t="n">
        <v>0</v>
      </c>
      <c r="K246" t="n">
        <v>0</v>
      </c>
      <c r="L246" t="n">
        <v>0</v>
      </c>
      <c r="M246" t="n">
        <v>0</v>
      </c>
      <c r="N246" t="n">
        <v>0</v>
      </c>
      <c r="O246" t="n">
        <v>0</v>
      </c>
      <c r="P246" t="n">
        <v>0</v>
      </c>
      <c r="Q246" t="n">
        <v>0</v>
      </c>
      <c r="R246" s="2" t="inlineStr"/>
    </row>
    <row r="247" ht="15" customHeight="1">
      <c r="A247" t="inlineStr">
        <is>
          <t>A 53717-2023</t>
        </is>
      </c>
      <c r="B247" s="1" t="n">
        <v>45230</v>
      </c>
      <c r="C247" s="1" t="n">
        <v>45924</v>
      </c>
      <c r="D247" t="inlineStr">
        <is>
          <t>DALARNAS LÄN</t>
        </is>
      </c>
      <c r="E247" t="inlineStr">
        <is>
          <t>LEKSAND</t>
        </is>
      </c>
      <c r="G247" t="n">
        <v>2.4</v>
      </c>
      <c r="H247" t="n">
        <v>0</v>
      </c>
      <c r="I247" t="n">
        <v>0</v>
      </c>
      <c r="J247" t="n">
        <v>0</v>
      </c>
      <c r="K247" t="n">
        <v>0</v>
      </c>
      <c r="L247" t="n">
        <v>0</v>
      </c>
      <c r="M247" t="n">
        <v>0</v>
      </c>
      <c r="N247" t="n">
        <v>0</v>
      </c>
      <c r="O247" t="n">
        <v>0</v>
      </c>
      <c r="P247" t="n">
        <v>0</v>
      </c>
      <c r="Q247" t="n">
        <v>0</v>
      </c>
      <c r="R247" s="2" t="inlineStr"/>
    </row>
    <row r="248" ht="15" customHeight="1">
      <c r="A248" t="inlineStr">
        <is>
          <t>A 14797-2025</t>
        </is>
      </c>
      <c r="B248" s="1" t="n">
        <v>45742.90363425926</v>
      </c>
      <c r="C248" s="1" t="n">
        <v>45924</v>
      </c>
      <c r="D248" t="inlineStr">
        <is>
          <t>DALARNAS LÄN</t>
        </is>
      </c>
      <c r="E248" t="inlineStr">
        <is>
          <t>LEKSAND</t>
        </is>
      </c>
      <c r="G248" t="n">
        <v>1.4</v>
      </c>
      <c r="H248" t="n">
        <v>0</v>
      </c>
      <c r="I248" t="n">
        <v>0</v>
      </c>
      <c r="J248" t="n">
        <v>0</v>
      </c>
      <c r="K248" t="n">
        <v>0</v>
      </c>
      <c r="L248" t="n">
        <v>0</v>
      </c>
      <c r="M248" t="n">
        <v>0</v>
      </c>
      <c r="N248" t="n">
        <v>0</v>
      </c>
      <c r="O248" t="n">
        <v>0</v>
      </c>
      <c r="P248" t="n">
        <v>0</v>
      </c>
      <c r="Q248" t="n">
        <v>0</v>
      </c>
      <c r="R248" s="2" t="inlineStr"/>
    </row>
    <row r="249" ht="15" customHeight="1">
      <c r="A249" t="inlineStr">
        <is>
          <t>A 59751-2024</t>
        </is>
      </c>
      <c r="B249" s="1" t="n">
        <v>45638</v>
      </c>
      <c r="C249" s="1" t="n">
        <v>45924</v>
      </c>
      <c r="D249" t="inlineStr">
        <is>
          <t>DALARNAS LÄN</t>
        </is>
      </c>
      <c r="E249" t="inlineStr">
        <is>
          <t>LEKSAND</t>
        </is>
      </c>
      <c r="G249" t="n">
        <v>5.2</v>
      </c>
      <c r="H249" t="n">
        <v>0</v>
      </c>
      <c r="I249" t="n">
        <v>0</v>
      </c>
      <c r="J249" t="n">
        <v>0</v>
      </c>
      <c r="K249" t="n">
        <v>0</v>
      </c>
      <c r="L249" t="n">
        <v>0</v>
      </c>
      <c r="M249" t="n">
        <v>0</v>
      </c>
      <c r="N249" t="n">
        <v>0</v>
      </c>
      <c r="O249" t="n">
        <v>0</v>
      </c>
      <c r="P249" t="n">
        <v>0</v>
      </c>
      <c r="Q249" t="n">
        <v>0</v>
      </c>
      <c r="R249" s="2" t="inlineStr"/>
    </row>
    <row r="250" ht="15" customHeight="1">
      <c r="A250" t="inlineStr">
        <is>
          <t>A 57925-2024</t>
        </is>
      </c>
      <c r="B250" s="1" t="n">
        <v>45630</v>
      </c>
      <c r="C250" s="1" t="n">
        <v>45924</v>
      </c>
      <c r="D250" t="inlineStr">
        <is>
          <t>DALARNAS LÄN</t>
        </is>
      </c>
      <c r="E250" t="inlineStr">
        <is>
          <t>LEKSAND</t>
        </is>
      </c>
      <c r="G250" t="n">
        <v>1.1</v>
      </c>
      <c r="H250" t="n">
        <v>0</v>
      </c>
      <c r="I250" t="n">
        <v>0</v>
      </c>
      <c r="J250" t="n">
        <v>0</v>
      </c>
      <c r="K250" t="n">
        <v>0</v>
      </c>
      <c r="L250" t="n">
        <v>0</v>
      </c>
      <c r="M250" t="n">
        <v>0</v>
      </c>
      <c r="N250" t="n">
        <v>0</v>
      </c>
      <c r="O250" t="n">
        <v>0</v>
      </c>
      <c r="P250" t="n">
        <v>0</v>
      </c>
      <c r="Q250" t="n">
        <v>0</v>
      </c>
      <c r="R250" s="2" t="inlineStr"/>
    </row>
    <row r="251" ht="15" customHeight="1">
      <c r="A251" t="inlineStr">
        <is>
          <t>A 28128-2022</t>
        </is>
      </c>
      <c r="B251" s="1" t="n">
        <v>44746.50628472222</v>
      </c>
      <c r="C251" s="1" t="n">
        <v>45924</v>
      </c>
      <c r="D251" t="inlineStr">
        <is>
          <t>DALARNAS LÄN</t>
        </is>
      </c>
      <c r="E251" t="inlineStr">
        <is>
          <t>LEKSAND</t>
        </is>
      </c>
      <c r="G251" t="n">
        <v>3.5</v>
      </c>
      <c r="H251" t="n">
        <v>0</v>
      </c>
      <c r="I251" t="n">
        <v>0</v>
      </c>
      <c r="J251" t="n">
        <v>0</v>
      </c>
      <c r="K251" t="n">
        <v>0</v>
      </c>
      <c r="L251" t="n">
        <v>0</v>
      </c>
      <c r="M251" t="n">
        <v>0</v>
      </c>
      <c r="N251" t="n">
        <v>0</v>
      </c>
      <c r="O251" t="n">
        <v>0</v>
      </c>
      <c r="P251" t="n">
        <v>0</v>
      </c>
      <c r="Q251" t="n">
        <v>0</v>
      </c>
      <c r="R251" s="2" t="inlineStr"/>
    </row>
    <row r="252" ht="15" customHeight="1">
      <c r="A252" t="inlineStr">
        <is>
          <t>A 61787-2022</t>
        </is>
      </c>
      <c r="B252" s="1" t="n">
        <v>44917</v>
      </c>
      <c r="C252" s="1" t="n">
        <v>45924</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11004-2023</t>
        </is>
      </c>
      <c r="B253" s="1" t="n">
        <v>44986</v>
      </c>
      <c r="C253" s="1" t="n">
        <v>45924</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32688-2024</t>
        </is>
      </c>
      <c r="B254" s="1" t="n">
        <v>45515.83091435185</v>
      </c>
      <c r="C254" s="1" t="n">
        <v>45924</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28770-2025</t>
        </is>
      </c>
      <c r="B255" s="1" t="n">
        <v>45820</v>
      </c>
      <c r="C255" s="1" t="n">
        <v>45924</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43419-2024</t>
        </is>
      </c>
      <c r="B256" s="1" t="n">
        <v>45568</v>
      </c>
      <c r="C256" s="1" t="n">
        <v>45924</v>
      </c>
      <c r="D256" t="inlineStr">
        <is>
          <t>DALARNAS LÄN</t>
        </is>
      </c>
      <c r="E256" t="inlineStr">
        <is>
          <t>LEKSAND</t>
        </is>
      </c>
      <c r="G256" t="n">
        <v>0.4</v>
      </c>
      <c r="H256" t="n">
        <v>0</v>
      </c>
      <c r="I256" t="n">
        <v>0</v>
      </c>
      <c r="J256" t="n">
        <v>0</v>
      </c>
      <c r="K256" t="n">
        <v>0</v>
      </c>
      <c r="L256" t="n">
        <v>0</v>
      </c>
      <c r="M256" t="n">
        <v>0</v>
      </c>
      <c r="N256" t="n">
        <v>0</v>
      </c>
      <c r="O256" t="n">
        <v>0</v>
      </c>
      <c r="P256" t="n">
        <v>0</v>
      </c>
      <c r="Q256" t="n">
        <v>0</v>
      </c>
      <c r="R256" s="2" t="inlineStr"/>
    </row>
    <row r="257" ht="15" customHeight="1">
      <c r="A257" t="inlineStr">
        <is>
          <t>A 28985-2025</t>
        </is>
      </c>
      <c r="B257" s="1" t="n">
        <v>45821.36862268519</v>
      </c>
      <c r="C257" s="1" t="n">
        <v>45924</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47854-2023</t>
        </is>
      </c>
      <c r="B258" s="1" t="n">
        <v>45198</v>
      </c>
      <c r="C258" s="1" t="n">
        <v>45924</v>
      </c>
      <c r="D258" t="inlineStr">
        <is>
          <t>DALARNAS LÄN</t>
        </is>
      </c>
      <c r="E258" t="inlineStr">
        <is>
          <t>LEKSAND</t>
        </is>
      </c>
      <c r="G258" t="n">
        <v>1</v>
      </c>
      <c r="H258" t="n">
        <v>0</v>
      </c>
      <c r="I258" t="n">
        <v>0</v>
      </c>
      <c r="J258" t="n">
        <v>0</v>
      </c>
      <c r="K258" t="n">
        <v>0</v>
      </c>
      <c r="L258" t="n">
        <v>0</v>
      </c>
      <c r="M258" t="n">
        <v>0</v>
      </c>
      <c r="N258" t="n">
        <v>0</v>
      </c>
      <c r="O258" t="n">
        <v>0</v>
      </c>
      <c r="P258" t="n">
        <v>0</v>
      </c>
      <c r="Q258" t="n">
        <v>0</v>
      </c>
      <c r="R258" s="2" t="inlineStr"/>
    </row>
    <row r="259" ht="15" customHeight="1">
      <c r="A259" t="inlineStr">
        <is>
          <t>A 29553-2025</t>
        </is>
      </c>
      <c r="B259" s="1" t="n">
        <v>45825.35315972222</v>
      </c>
      <c r="C259" s="1" t="n">
        <v>45924</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28633-2023</t>
        </is>
      </c>
      <c r="B260" s="1" t="n">
        <v>45103.61575231481</v>
      </c>
      <c r="C260" s="1" t="n">
        <v>45924</v>
      </c>
      <c r="D260" t="inlineStr">
        <is>
          <t>DALARNAS LÄN</t>
        </is>
      </c>
      <c r="E260" t="inlineStr">
        <is>
          <t>LEKSAND</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61269-2022</t>
        </is>
      </c>
      <c r="B261" s="1" t="n">
        <v>44909</v>
      </c>
      <c r="C261" s="1" t="n">
        <v>45924</v>
      </c>
      <c r="D261" t="inlineStr">
        <is>
          <t>DALARNAS LÄN</t>
        </is>
      </c>
      <c r="E261" t="inlineStr">
        <is>
          <t>LEKSAND</t>
        </is>
      </c>
      <c r="G261" t="n">
        <v>4.2</v>
      </c>
      <c r="H261" t="n">
        <v>0</v>
      </c>
      <c r="I261" t="n">
        <v>0</v>
      </c>
      <c r="J261" t="n">
        <v>0</v>
      </c>
      <c r="K261" t="n">
        <v>0</v>
      </c>
      <c r="L261" t="n">
        <v>0</v>
      </c>
      <c r="M261" t="n">
        <v>0</v>
      </c>
      <c r="N261" t="n">
        <v>0</v>
      </c>
      <c r="O261" t="n">
        <v>0</v>
      </c>
      <c r="P261" t="n">
        <v>0</v>
      </c>
      <c r="Q261" t="n">
        <v>0</v>
      </c>
      <c r="R261" s="2" t="inlineStr"/>
    </row>
    <row r="262" ht="15" customHeight="1">
      <c r="A262" t="inlineStr">
        <is>
          <t>A 9459-2023</t>
        </is>
      </c>
      <c r="B262" s="1" t="n">
        <v>44977</v>
      </c>
      <c r="C262" s="1" t="n">
        <v>45924</v>
      </c>
      <c r="D262" t="inlineStr">
        <is>
          <t>DALARNAS LÄN</t>
        </is>
      </c>
      <c r="E262" t="inlineStr">
        <is>
          <t>LEKSAND</t>
        </is>
      </c>
      <c r="G262" t="n">
        <v>1.1</v>
      </c>
      <c r="H262" t="n">
        <v>0</v>
      </c>
      <c r="I262" t="n">
        <v>0</v>
      </c>
      <c r="J262" t="n">
        <v>0</v>
      </c>
      <c r="K262" t="n">
        <v>0</v>
      </c>
      <c r="L262" t="n">
        <v>0</v>
      </c>
      <c r="M262" t="n">
        <v>0</v>
      </c>
      <c r="N262" t="n">
        <v>0</v>
      </c>
      <c r="O262" t="n">
        <v>0</v>
      </c>
      <c r="P262" t="n">
        <v>0</v>
      </c>
      <c r="Q262" t="n">
        <v>0</v>
      </c>
      <c r="R262" s="2" t="inlineStr"/>
    </row>
    <row r="263" ht="15" customHeight="1">
      <c r="A263" t="inlineStr">
        <is>
          <t>A 29005-2025</t>
        </is>
      </c>
      <c r="B263" s="1" t="n">
        <v>45821.39326388889</v>
      </c>
      <c r="C263" s="1" t="n">
        <v>45924</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64933-2023</t>
        </is>
      </c>
      <c r="B264" s="1" t="n">
        <v>45282</v>
      </c>
      <c r="C264" s="1" t="n">
        <v>45924</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30198-2024</t>
        </is>
      </c>
      <c r="B265" s="1" t="n">
        <v>45490.34765046297</v>
      </c>
      <c r="C265" s="1" t="n">
        <v>45924</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59718-2023</t>
        </is>
      </c>
      <c r="B266" s="1" t="n">
        <v>45257</v>
      </c>
      <c r="C266" s="1" t="n">
        <v>45924</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7395-2025</t>
        </is>
      </c>
      <c r="B267" s="1" t="n">
        <v>45705.34516203704</v>
      </c>
      <c r="C267" s="1" t="n">
        <v>45924</v>
      </c>
      <c r="D267" t="inlineStr">
        <is>
          <t>DALARNAS LÄN</t>
        </is>
      </c>
      <c r="E267" t="inlineStr">
        <is>
          <t>LEKSAND</t>
        </is>
      </c>
      <c r="G267" t="n">
        <v>1.8</v>
      </c>
      <c r="H267" t="n">
        <v>0</v>
      </c>
      <c r="I267" t="n">
        <v>0</v>
      </c>
      <c r="J267" t="n">
        <v>0</v>
      </c>
      <c r="K267" t="n">
        <v>0</v>
      </c>
      <c r="L267" t="n">
        <v>0</v>
      </c>
      <c r="M267" t="n">
        <v>0</v>
      </c>
      <c r="N267" t="n">
        <v>0</v>
      </c>
      <c r="O267" t="n">
        <v>0</v>
      </c>
      <c r="P267" t="n">
        <v>0</v>
      </c>
      <c r="Q267" t="n">
        <v>0</v>
      </c>
      <c r="R267" s="2" t="inlineStr"/>
    </row>
    <row r="268" ht="15" customHeight="1">
      <c r="A268" t="inlineStr">
        <is>
          <t>A 16744-2025</t>
        </is>
      </c>
      <c r="B268" s="1" t="n">
        <v>45754</v>
      </c>
      <c r="C268" s="1" t="n">
        <v>45924</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29729-2025</t>
        </is>
      </c>
      <c r="B269" s="1" t="n">
        <v>45825.58077546296</v>
      </c>
      <c r="C269" s="1" t="n">
        <v>45924</v>
      </c>
      <c r="D269" t="inlineStr">
        <is>
          <t>DALARNAS LÄN</t>
        </is>
      </c>
      <c r="E269" t="inlineStr">
        <is>
          <t>LEKSAND</t>
        </is>
      </c>
      <c r="F269" t="inlineStr">
        <is>
          <t>Bergvik skog väst AB</t>
        </is>
      </c>
      <c r="G269" t="n">
        <v>4.3</v>
      </c>
      <c r="H269" t="n">
        <v>0</v>
      </c>
      <c r="I269" t="n">
        <v>0</v>
      </c>
      <c r="J269" t="n">
        <v>0</v>
      </c>
      <c r="K269" t="n">
        <v>0</v>
      </c>
      <c r="L269" t="n">
        <v>0</v>
      </c>
      <c r="M269" t="n">
        <v>0</v>
      </c>
      <c r="N269" t="n">
        <v>0</v>
      </c>
      <c r="O269" t="n">
        <v>0</v>
      </c>
      <c r="P269" t="n">
        <v>0</v>
      </c>
      <c r="Q269" t="n">
        <v>0</v>
      </c>
      <c r="R269" s="2" t="inlineStr"/>
    </row>
    <row r="270" ht="15" customHeight="1">
      <c r="A270" t="inlineStr">
        <is>
          <t>A 24003-2024</t>
        </is>
      </c>
      <c r="B270" s="1" t="n">
        <v>45456.39003472222</v>
      </c>
      <c r="C270" s="1" t="n">
        <v>45924</v>
      </c>
      <c r="D270" t="inlineStr">
        <is>
          <t>DALARNAS LÄN</t>
        </is>
      </c>
      <c r="E270" t="inlineStr">
        <is>
          <t>LEKSAND</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11859-2024</t>
        </is>
      </c>
      <c r="B271" s="1" t="n">
        <v>45376.44569444445</v>
      </c>
      <c r="C271" s="1" t="n">
        <v>45924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30254-2025</t>
        </is>
      </c>
      <c r="B272" s="1" t="n">
        <v>45827.42336805556</v>
      </c>
      <c r="C272" s="1" t="n">
        <v>45924</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51320-2023</t>
        </is>
      </c>
      <c r="B273" s="1" t="n">
        <v>45219.57456018519</v>
      </c>
      <c r="C273" s="1" t="n">
        <v>45924</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28630-2023</t>
        </is>
      </c>
      <c r="B274" s="1" t="n">
        <v>45103.61003472222</v>
      </c>
      <c r="C274" s="1" t="n">
        <v>45924</v>
      </c>
      <c r="D274" t="inlineStr">
        <is>
          <t>DALARNAS LÄN</t>
        </is>
      </c>
      <c r="E274" t="inlineStr">
        <is>
          <t>LEKSAND</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16829-2025</t>
        </is>
      </c>
      <c r="B275" s="1" t="n">
        <v>45754</v>
      </c>
      <c r="C275" s="1" t="n">
        <v>45924</v>
      </c>
      <c r="D275" t="inlineStr">
        <is>
          <t>DALARNAS LÄN</t>
        </is>
      </c>
      <c r="E275" t="inlineStr">
        <is>
          <t>LEKSAND</t>
        </is>
      </c>
      <c r="F275" t="inlineStr">
        <is>
          <t>Bergvik skog väst AB</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30860-2024</t>
        </is>
      </c>
      <c r="B276" s="1" t="n">
        <v>45497.69108796296</v>
      </c>
      <c r="C276" s="1" t="n">
        <v>45924</v>
      </c>
      <c r="D276" t="inlineStr">
        <is>
          <t>DALARNAS LÄN</t>
        </is>
      </c>
      <c r="E276" t="inlineStr">
        <is>
          <t>LEKSAND</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30864-2024</t>
        </is>
      </c>
      <c r="B277" s="1" t="n">
        <v>45497.71550925926</v>
      </c>
      <c r="C277" s="1" t="n">
        <v>45924</v>
      </c>
      <c r="D277" t="inlineStr">
        <is>
          <t>DALARNAS LÄN</t>
        </is>
      </c>
      <c r="E277" t="inlineStr">
        <is>
          <t>LEKSAND</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34585-2024</t>
        </is>
      </c>
      <c r="B278" s="1" t="n">
        <v>45526.37697916666</v>
      </c>
      <c r="C278" s="1" t="n">
        <v>45924</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10743-2024</t>
        </is>
      </c>
      <c r="B279" s="1" t="n">
        <v>45369.52167824074</v>
      </c>
      <c r="C279" s="1" t="n">
        <v>45924</v>
      </c>
      <c r="D279" t="inlineStr">
        <is>
          <t>DALARNAS LÄN</t>
        </is>
      </c>
      <c r="E279" t="inlineStr">
        <is>
          <t>LEKSAND</t>
        </is>
      </c>
      <c r="G279" t="n">
        <v>2.7</v>
      </c>
      <c r="H279" t="n">
        <v>0</v>
      </c>
      <c r="I279" t="n">
        <v>0</v>
      </c>
      <c r="J279" t="n">
        <v>0</v>
      </c>
      <c r="K279" t="n">
        <v>0</v>
      </c>
      <c r="L279" t="n">
        <v>0</v>
      </c>
      <c r="M279" t="n">
        <v>0</v>
      </c>
      <c r="N279" t="n">
        <v>0</v>
      </c>
      <c r="O279" t="n">
        <v>0</v>
      </c>
      <c r="P279" t="n">
        <v>0</v>
      </c>
      <c r="Q279" t="n">
        <v>0</v>
      </c>
      <c r="R279" s="2" t="inlineStr"/>
    </row>
    <row r="280" ht="15" customHeight="1">
      <c r="A280" t="inlineStr">
        <is>
          <t>A 10771-2024</t>
        </is>
      </c>
      <c r="B280" s="1" t="n">
        <v>45369.57342592593</v>
      </c>
      <c r="C280" s="1" t="n">
        <v>45924</v>
      </c>
      <c r="D280" t="inlineStr">
        <is>
          <t>DALARNAS LÄN</t>
        </is>
      </c>
      <c r="E280" t="inlineStr">
        <is>
          <t>LEKSAND</t>
        </is>
      </c>
      <c r="G280" t="n">
        <v>0.4</v>
      </c>
      <c r="H280" t="n">
        <v>0</v>
      </c>
      <c r="I280" t="n">
        <v>0</v>
      </c>
      <c r="J280" t="n">
        <v>0</v>
      </c>
      <c r="K280" t="n">
        <v>0</v>
      </c>
      <c r="L280" t="n">
        <v>0</v>
      </c>
      <c r="M280" t="n">
        <v>0</v>
      </c>
      <c r="N280" t="n">
        <v>0</v>
      </c>
      <c r="O280" t="n">
        <v>0</v>
      </c>
      <c r="P280" t="n">
        <v>0</v>
      </c>
      <c r="Q280" t="n">
        <v>0</v>
      </c>
      <c r="R280" s="2" t="inlineStr"/>
    </row>
    <row r="281" ht="15" customHeight="1">
      <c r="A281" t="inlineStr">
        <is>
          <t>A 61252-2023</t>
        </is>
      </c>
      <c r="B281" s="1" t="n">
        <v>45261</v>
      </c>
      <c r="C281" s="1" t="n">
        <v>45924</v>
      </c>
      <c r="D281" t="inlineStr">
        <is>
          <t>DALARNAS LÄN</t>
        </is>
      </c>
      <c r="E281" t="inlineStr">
        <is>
          <t>LEKSAND</t>
        </is>
      </c>
      <c r="G281" t="n">
        <v>1.9</v>
      </c>
      <c r="H281" t="n">
        <v>0</v>
      </c>
      <c r="I281" t="n">
        <v>0</v>
      </c>
      <c r="J281" t="n">
        <v>0</v>
      </c>
      <c r="K281" t="n">
        <v>0</v>
      </c>
      <c r="L281" t="n">
        <v>0</v>
      </c>
      <c r="M281" t="n">
        <v>0</v>
      </c>
      <c r="N281" t="n">
        <v>0</v>
      </c>
      <c r="O281" t="n">
        <v>0</v>
      </c>
      <c r="P281" t="n">
        <v>0</v>
      </c>
      <c r="Q281" t="n">
        <v>0</v>
      </c>
      <c r="R281" s="2" t="inlineStr"/>
    </row>
    <row r="282" ht="15" customHeight="1">
      <c r="A282" t="inlineStr">
        <is>
          <t>A 56941-2024</t>
        </is>
      </c>
      <c r="B282" s="1" t="n">
        <v>45625</v>
      </c>
      <c r="C282" s="1" t="n">
        <v>45924</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16051-2023</t>
        </is>
      </c>
      <c r="B283" s="1" t="n">
        <v>45027</v>
      </c>
      <c r="C283" s="1" t="n">
        <v>45924</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63514-2023</t>
        </is>
      </c>
      <c r="B284" s="1" t="n">
        <v>45274</v>
      </c>
      <c r="C284" s="1" t="n">
        <v>45924</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2311-2021</t>
        </is>
      </c>
      <c r="B285" s="1" t="n">
        <v>44213</v>
      </c>
      <c r="C285" s="1" t="n">
        <v>45924</v>
      </c>
      <c r="D285" t="inlineStr">
        <is>
          <t>DALARNAS LÄN</t>
        </is>
      </c>
      <c r="E285" t="inlineStr">
        <is>
          <t>LEKSAND</t>
        </is>
      </c>
      <c r="G285" t="n">
        <v>1.5</v>
      </c>
      <c r="H285" t="n">
        <v>0</v>
      </c>
      <c r="I285" t="n">
        <v>0</v>
      </c>
      <c r="J285" t="n">
        <v>0</v>
      </c>
      <c r="K285" t="n">
        <v>0</v>
      </c>
      <c r="L285" t="n">
        <v>0</v>
      </c>
      <c r="M285" t="n">
        <v>0</v>
      </c>
      <c r="N285" t="n">
        <v>0</v>
      </c>
      <c r="O285" t="n">
        <v>0</v>
      </c>
      <c r="P285" t="n">
        <v>0</v>
      </c>
      <c r="Q285" t="n">
        <v>0</v>
      </c>
      <c r="R285" s="2" t="inlineStr"/>
    </row>
    <row r="286" ht="15" customHeight="1">
      <c r="A286" t="inlineStr">
        <is>
          <t>A 30920-2025</t>
        </is>
      </c>
      <c r="B286" s="1" t="n">
        <v>45832.38484953704</v>
      </c>
      <c r="C286" s="1" t="n">
        <v>45924</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30969-2025</t>
        </is>
      </c>
      <c r="B287" s="1" t="n">
        <v>45832.45914351852</v>
      </c>
      <c r="C287" s="1" t="n">
        <v>45924</v>
      </c>
      <c r="D287" t="inlineStr">
        <is>
          <t>DALARNAS LÄN</t>
        </is>
      </c>
      <c r="E287" t="inlineStr">
        <is>
          <t>LEKSAND</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30917-2025</t>
        </is>
      </c>
      <c r="B288" s="1" t="n">
        <v>45832.37989583334</v>
      </c>
      <c r="C288" s="1" t="n">
        <v>45924</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31619-2025</t>
        </is>
      </c>
      <c r="B289" s="1" t="n">
        <v>45833</v>
      </c>
      <c r="C289" s="1" t="n">
        <v>45924</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30916-2025</t>
        </is>
      </c>
      <c r="B290" s="1" t="n">
        <v>45832.37885416667</v>
      </c>
      <c r="C290" s="1" t="n">
        <v>45924</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31446-2025</t>
        </is>
      </c>
      <c r="B291" s="1" t="n">
        <v>45833</v>
      </c>
      <c r="C291" s="1" t="n">
        <v>45924</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30911-2025</t>
        </is>
      </c>
      <c r="B292" s="1" t="n">
        <v>45832.37547453704</v>
      </c>
      <c r="C292" s="1" t="n">
        <v>45924</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45512-2023</t>
        </is>
      </c>
      <c r="B293" s="1" t="n">
        <v>45194.49178240741</v>
      </c>
      <c r="C293" s="1" t="n">
        <v>45924</v>
      </c>
      <c r="D293" t="inlineStr">
        <is>
          <t>DALARNAS LÄN</t>
        </is>
      </c>
      <c r="E293" t="inlineStr">
        <is>
          <t>LEKSAND</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46446-2023</t>
        </is>
      </c>
      <c r="B294" s="1" t="n">
        <v>45197.59344907408</v>
      </c>
      <c r="C294" s="1" t="n">
        <v>45924</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52100-2024</t>
        </is>
      </c>
      <c r="B295" s="1" t="n">
        <v>45608.41634259259</v>
      </c>
      <c r="C295" s="1" t="n">
        <v>45924</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31179-2025</t>
        </is>
      </c>
      <c r="B296" s="1" t="n">
        <v>45832.67648148148</v>
      </c>
      <c r="C296" s="1" t="n">
        <v>45924</v>
      </c>
      <c r="D296" t="inlineStr">
        <is>
          <t>DALARNAS LÄN</t>
        </is>
      </c>
      <c r="E296" t="inlineStr">
        <is>
          <t>LEKSAND</t>
        </is>
      </c>
      <c r="G296" t="n">
        <v>4.7</v>
      </c>
      <c r="H296" t="n">
        <v>0</v>
      </c>
      <c r="I296" t="n">
        <v>0</v>
      </c>
      <c r="J296" t="n">
        <v>0</v>
      </c>
      <c r="K296" t="n">
        <v>0</v>
      </c>
      <c r="L296" t="n">
        <v>0</v>
      </c>
      <c r="M296" t="n">
        <v>0</v>
      </c>
      <c r="N296" t="n">
        <v>0</v>
      </c>
      <c r="O296" t="n">
        <v>0</v>
      </c>
      <c r="P296" t="n">
        <v>0</v>
      </c>
      <c r="Q296" t="n">
        <v>0</v>
      </c>
      <c r="R296" s="2" t="inlineStr"/>
    </row>
    <row r="297" ht="15" customHeight="1">
      <c r="A297" t="inlineStr">
        <is>
          <t>A 31189-2025</t>
        </is>
      </c>
      <c r="B297" s="1" t="n">
        <v>45832.6799537037</v>
      </c>
      <c r="C297" s="1" t="n">
        <v>45924</v>
      </c>
      <c r="D297" t="inlineStr">
        <is>
          <t>DALARNAS LÄN</t>
        </is>
      </c>
      <c r="E297" t="inlineStr">
        <is>
          <t>LEKSAND</t>
        </is>
      </c>
      <c r="G297" t="n">
        <v>5</v>
      </c>
      <c r="H297" t="n">
        <v>0</v>
      </c>
      <c r="I297" t="n">
        <v>0</v>
      </c>
      <c r="J297" t="n">
        <v>0</v>
      </c>
      <c r="K297" t="n">
        <v>0</v>
      </c>
      <c r="L297" t="n">
        <v>0</v>
      </c>
      <c r="M297" t="n">
        <v>0</v>
      </c>
      <c r="N297" t="n">
        <v>0</v>
      </c>
      <c r="O297" t="n">
        <v>0</v>
      </c>
      <c r="P297" t="n">
        <v>0</v>
      </c>
      <c r="Q297" t="n">
        <v>0</v>
      </c>
      <c r="R297" s="2" t="inlineStr"/>
    </row>
    <row r="298" ht="15" customHeight="1">
      <c r="A298" t="inlineStr">
        <is>
          <t>A 30973-2025</t>
        </is>
      </c>
      <c r="B298" s="1" t="n">
        <v>45832.46300925926</v>
      </c>
      <c r="C298" s="1" t="n">
        <v>45924</v>
      </c>
      <c r="D298" t="inlineStr">
        <is>
          <t>DALARNAS LÄN</t>
        </is>
      </c>
      <c r="E298" t="inlineStr">
        <is>
          <t>LEKSAND</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53981-2024</t>
        </is>
      </c>
      <c r="B299" s="1" t="n">
        <v>45615</v>
      </c>
      <c r="C299" s="1" t="n">
        <v>45924</v>
      </c>
      <c r="D299" t="inlineStr">
        <is>
          <t>DALARNAS LÄN</t>
        </is>
      </c>
      <c r="E299" t="inlineStr">
        <is>
          <t>LEKSAND</t>
        </is>
      </c>
      <c r="G299" t="n">
        <v>5.4</v>
      </c>
      <c r="H299" t="n">
        <v>0</v>
      </c>
      <c r="I299" t="n">
        <v>0</v>
      </c>
      <c r="J299" t="n">
        <v>0</v>
      </c>
      <c r="K299" t="n">
        <v>0</v>
      </c>
      <c r="L299" t="n">
        <v>0</v>
      </c>
      <c r="M299" t="n">
        <v>0</v>
      </c>
      <c r="N299" t="n">
        <v>0</v>
      </c>
      <c r="O299" t="n">
        <v>0</v>
      </c>
      <c r="P299" t="n">
        <v>0</v>
      </c>
      <c r="Q299" t="n">
        <v>0</v>
      </c>
      <c r="R299" s="2" t="inlineStr"/>
    </row>
    <row r="300" ht="15" customHeight="1">
      <c r="A300" t="inlineStr">
        <is>
          <t>A 31493-2025</t>
        </is>
      </c>
      <c r="B300" s="1" t="n">
        <v>45833</v>
      </c>
      <c r="C300" s="1" t="n">
        <v>45924</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31945-2025</t>
        </is>
      </c>
      <c r="B301" s="1" t="n">
        <v>45835</v>
      </c>
      <c r="C301" s="1" t="n">
        <v>45924</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34033-2024</t>
        </is>
      </c>
      <c r="B302" s="1" t="n">
        <v>45523.59265046296</v>
      </c>
      <c r="C302" s="1" t="n">
        <v>45924</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60024-2023</t>
        </is>
      </c>
      <c r="B303" s="1" t="n">
        <v>45258</v>
      </c>
      <c r="C303" s="1" t="n">
        <v>45924</v>
      </c>
      <c r="D303" t="inlineStr">
        <is>
          <t>DALARNAS LÄN</t>
        </is>
      </c>
      <c r="E303" t="inlineStr">
        <is>
          <t>LEKSAND</t>
        </is>
      </c>
      <c r="G303" t="n">
        <v>4.2</v>
      </c>
      <c r="H303" t="n">
        <v>0</v>
      </c>
      <c r="I303" t="n">
        <v>0</v>
      </c>
      <c r="J303" t="n">
        <v>0</v>
      </c>
      <c r="K303" t="n">
        <v>0</v>
      </c>
      <c r="L303" t="n">
        <v>0</v>
      </c>
      <c r="M303" t="n">
        <v>0</v>
      </c>
      <c r="N303" t="n">
        <v>0</v>
      </c>
      <c r="O303" t="n">
        <v>0</v>
      </c>
      <c r="P303" t="n">
        <v>0</v>
      </c>
      <c r="Q303" t="n">
        <v>0</v>
      </c>
      <c r="R303" s="2" t="inlineStr"/>
    </row>
    <row r="304" ht="15" customHeight="1">
      <c r="A304" t="inlineStr">
        <is>
          <t>A 32104-2025</t>
        </is>
      </c>
      <c r="B304" s="1" t="n">
        <v>45835</v>
      </c>
      <c r="C304" s="1" t="n">
        <v>45924</v>
      </c>
      <c r="D304" t="inlineStr">
        <is>
          <t>DALARNAS LÄN</t>
        </is>
      </c>
      <c r="E304" t="inlineStr">
        <is>
          <t>LEKSAND</t>
        </is>
      </c>
      <c r="G304" t="n">
        <v>3.1</v>
      </c>
      <c r="H304" t="n">
        <v>0</v>
      </c>
      <c r="I304" t="n">
        <v>0</v>
      </c>
      <c r="J304" t="n">
        <v>0</v>
      </c>
      <c r="K304" t="n">
        <v>0</v>
      </c>
      <c r="L304" t="n">
        <v>0</v>
      </c>
      <c r="M304" t="n">
        <v>0</v>
      </c>
      <c r="N304" t="n">
        <v>0</v>
      </c>
      <c r="O304" t="n">
        <v>0</v>
      </c>
      <c r="P304" t="n">
        <v>0</v>
      </c>
      <c r="Q304" t="n">
        <v>0</v>
      </c>
      <c r="R304" s="2" t="inlineStr"/>
    </row>
    <row r="305" ht="15" customHeight="1">
      <c r="A305" t="inlineStr">
        <is>
          <t>A 19330-2025</t>
        </is>
      </c>
      <c r="B305" s="1" t="n">
        <v>45769</v>
      </c>
      <c r="C305" s="1" t="n">
        <v>45924</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59826-2023</t>
        </is>
      </c>
      <c r="B306" s="1" t="n">
        <v>45254</v>
      </c>
      <c r="C306" s="1" t="n">
        <v>45924</v>
      </c>
      <c r="D306" t="inlineStr">
        <is>
          <t>DALARNAS LÄN</t>
        </is>
      </c>
      <c r="E306" t="inlineStr">
        <is>
          <t>LEKSAND</t>
        </is>
      </c>
      <c r="G306" t="n">
        <v>1.1</v>
      </c>
      <c r="H306" t="n">
        <v>0</v>
      </c>
      <c r="I306" t="n">
        <v>0</v>
      </c>
      <c r="J306" t="n">
        <v>0</v>
      </c>
      <c r="K306" t="n">
        <v>0</v>
      </c>
      <c r="L306" t="n">
        <v>0</v>
      </c>
      <c r="M306" t="n">
        <v>0</v>
      </c>
      <c r="N306" t="n">
        <v>0</v>
      </c>
      <c r="O306" t="n">
        <v>0</v>
      </c>
      <c r="P306" t="n">
        <v>0</v>
      </c>
      <c r="Q306" t="n">
        <v>0</v>
      </c>
      <c r="R306" s="2" t="inlineStr"/>
    </row>
    <row r="307" ht="15" customHeight="1">
      <c r="A307" t="inlineStr">
        <is>
          <t>A 28913-2024</t>
        </is>
      </c>
      <c r="B307" s="1" t="n">
        <v>45480.75318287037</v>
      </c>
      <c r="C307" s="1" t="n">
        <v>45924</v>
      </c>
      <c r="D307" t="inlineStr">
        <is>
          <t>DALARNAS LÄN</t>
        </is>
      </c>
      <c r="E307" t="inlineStr">
        <is>
          <t>LEKSAND</t>
        </is>
      </c>
      <c r="G307" t="n">
        <v>1.5</v>
      </c>
      <c r="H307" t="n">
        <v>0</v>
      </c>
      <c r="I307" t="n">
        <v>0</v>
      </c>
      <c r="J307" t="n">
        <v>0</v>
      </c>
      <c r="K307" t="n">
        <v>0</v>
      </c>
      <c r="L307" t="n">
        <v>0</v>
      </c>
      <c r="M307" t="n">
        <v>0</v>
      </c>
      <c r="N307" t="n">
        <v>0</v>
      </c>
      <c r="O307" t="n">
        <v>0</v>
      </c>
      <c r="P307" t="n">
        <v>0</v>
      </c>
      <c r="Q307" t="n">
        <v>0</v>
      </c>
      <c r="R307" s="2" t="inlineStr"/>
    </row>
    <row r="308" ht="15" customHeight="1">
      <c r="A308" t="inlineStr">
        <is>
          <t>A 14617-2024</t>
        </is>
      </c>
      <c r="B308" s="1" t="n">
        <v>45397</v>
      </c>
      <c r="C308" s="1" t="n">
        <v>45924</v>
      </c>
      <c r="D308" t="inlineStr">
        <is>
          <t>DALARNAS LÄN</t>
        </is>
      </c>
      <c r="E308" t="inlineStr">
        <is>
          <t>LEKSAND</t>
        </is>
      </c>
      <c r="G308" t="n">
        <v>0.2</v>
      </c>
      <c r="H308" t="n">
        <v>0</v>
      </c>
      <c r="I308" t="n">
        <v>0</v>
      </c>
      <c r="J308" t="n">
        <v>0</v>
      </c>
      <c r="K308" t="n">
        <v>0</v>
      </c>
      <c r="L308" t="n">
        <v>0</v>
      </c>
      <c r="M308" t="n">
        <v>0</v>
      </c>
      <c r="N308" t="n">
        <v>0</v>
      </c>
      <c r="O308" t="n">
        <v>0</v>
      </c>
      <c r="P308" t="n">
        <v>0</v>
      </c>
      <c r="Q308" t="n">
        <v>0</v>
      </c>
      <c r="R308" s="2" t="inlineStr"/>
    </row>
    <row r="309" ht="15" customHeight="1">
      <c r="A309" t="inlineStr">
        <is>
          <t>A 31787-2025</t>
        </is>
      </c>
      <c r="B309" s="1" t="n">
        <v>45834</v>
      </c>
      <c r="C309" s="1" t="n">
        <v>45924</v>
      </c>
      <c r="D309" t="inlineStr">
        <is>
          <t>DALARNAS LÄN</t>
        </is>
      </c>
      <c r="E309" t="inlineStr">
        <is>
          <t>LEKSAND</t>
        </is>
      </c>
      <c r="F309" t="inlineStr">
        <is>
          <t>Bergvik skog väst AB</t>
        </is>
      </c>
      <c r="G309" t="n">
        <v>1.3</v>
      </c>
      <c r="H309" t="n">
        <v>0</v>
      </c>
      <c r="I309" t="n">
        <v>0</v>
      </c>
      <c r="J309" t="n">
        <v>0</v>
      </c>
      <c r="K309" t="n">
        <v>0</v>
      </c>
      <c r="L309" t="n">
        <v>0</v>
      </c>
      <c r="M309" t="n">
        <v>0</v>
      </c>
      <c r="N309" t="n">
        <v>0</v>
      </c>
      <c r="O309" t="n">
        <v>0</v>
      </c>
      <c r="P309" t="n">
        <v>0</v>
      </c>
      <c r="Q309" t="n">
        <v>0</v>
      </c>
      <c r="R309" s="2" t="inlineStr"/>
    </row>
    <row r="310" ht="15" customHeight="1">
      <c r="A310" t="inlineStr">
        <is>
          <t>A 60945-2024</t>
        </is>
      </c>
      <c r="B310" s="1" t="n">
        <v>45645.37893518519</v>
      </c>
      <c r="C310" s="1" t="n">
        <v>45924</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60692-2023</t>
        </is>
      </c>
      <c r="B311" s="1" t="n">
        <v>45260.50008101852</v>
      </c>
      <c r="C311" s="1" t="n">
        <v>45924</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7467-2023</t>
        </is>
      </c>
      <c r="B312" s="1" t="n">
        <v>44966</v>
      </c>
      <c r="C312" s="1" t="n">
        <v>45924</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44491-2023</t>
        </is>
      </c>
      <c r="B313" s="1" t="n">
        <v>45183</v>
      </c>
      <c r="C313" s="1" t="n">
        <v>45924</v>
      </c>
      <c r="D313" t="inlineStr">
        <is>
          <t>DALARNAS LÄN</t>
        </is>
      </c>
      <c r="E313" t="inlineStr">
        <is>
          <t>LEKSAND</t>
        </is>
      </c>
      <c r="G313" t="n">
        <v>2.6</v>
      </c>
      <c r="H313" t="n">
        <v>0</v>
      </c>
      <c r="I313" t="n">
        <v>0</v>
      </c>
      <c r="J313" t="n">
        <v>0</v>
      </c>
      <c r="K313" t="n">
        <v>0</v>
      </c>
      <c r="L313" t="n">
        <v>0</v>
      </c>
      <c r="M313" t="n">
        <v>0</v>
      </c>
      <c r="N313" t="n">
        <v>0</v>
      </c>
      <c r="O313" t="n">
        <v>0</v>
      </c>
      <c r="P313" t="n">
        <v>0</v>
      </c>
      <c r="Q313" t="n">
        <v>0</v>
      </c>
      <c r="R313" s="2" t="inlineStr"/>
    </row>
    <row r="314" ht="15" customHeight="1">
      <c r="A314" t="inlineStr">
        <is>
          <t>A 32301-2025</t>
        </is>
      </c>
      <c r="B314" s="1" t="n">
        <v>45835</v>
      </c>
      <c r="C314" s="1" t="n">
        <v>45924</v>
      </c>
      <c r="D314" t="inlineStr">
        <is>
          <t>DALARNAS LÄN</t>
        </is>
      </c>
      <c r="E314" t="inlineStr">
        <is>
          <t>LEKSAND</t>
        </is>
      </c>
      <c r="G314" t="n">
        <v>2.2</v>
      </c>
      <c r="H314" t="n">
        <v>0</v>
      </c>
      <c r="I314" t="n">
        <v>0</v>
      </c>
      <c r="J314" t="n">
        <v>0</v>
      </c>
      <c r="K314" t="n">
        <v>0</v>
      </c>
      <c r="L314" t="n">
        <v>0</v>
      </c>
      <c r="M314" t="n">
        <v>0</v>
      </c>
      <c r="N314" t="n">
        <v>0</v>
      </c>
      <c r="O314" t="n">
        <v>0</v>
      </c>
      <c r="P314" t="n">
        <v>0</v>
      </c>
      <c r="Q314" t="n">
        <v>0</v>
      </c>
      <c r="R314" s="2" t="inlineStr"/>
    </row>
    <row r="315" ht="15" customHeight="1">
      <c r="A315" t="inlineStr">
        <is>
          <t>A 32274-2025</t>
        </is>
      </c>
      <c r="B315" s="1" t="n">
        <v>45835</v>
      </c>
      <c r="C315" s="1" t="n">
        <v>45924</v>
      </c>
      <c r="D315" t="inlineStr">
        <is>
          <t>DALARNAS LÄN</t>
        </is>
      </c>
      <c r="E315" t="inlineStr">
        <is>
          <t>LEKSAND</t>
        </is>
      </c>
      <c r="G315" t="n">
        <v>4.5</v>
      </c>
      <c r="H315" t="n">
        <v>0</v>
      </c>
      <c r="I315" t="n">
        <v>0</v>
      </c>
      <c r="J315" t="n">
        <v>0</v>
      </c>
      <c r="K315" t="n">
        <v>0</v>
      </c>
      <c r="L315" t="n">
        <v>0</v>
      </c>
      <c r="M315" t="n">
        <v>0</v>
      </c>
      <c r="N315" t="n">
        <v>0</v>
      </c>
      <c r="O315" t="n">
        <v>0</v>
      </c>
      <c r="P315" t="n">
        <v>0</v>
      </c>
      <c r="Q315" t="n">
        <v>0</v>
      </c>
      <c r="R315" s="2" t="inlineStr"/>
    </row>
    <row r="316" ht="15" customHeight="1">
      <c r="A316" t="inlineStr">
        <is>
          <t>A 32653-2025</t>
        </is>
      </c>
      <c r="B316" s="1" t="n">
        <v>45838</v>
      </c>
      <c r="C316" s="1" t="n">
        <v>45924</v>
      </c>
      <c r="D316" t="inlineStr">
        <is>
          <t>DALARNAS LÄN</t>
        </is>
      </c>
      <c r="E316" t="inlineStr">
        <is>
          <t>LEKSAND</t>
        </is>
      </c>
      <c r="G316" t="n">
        <v>5.6</v>
      </c>
      <c r="H316" t="n">
        <v>0</v>
      </c>
      <c r="I316" t="n">
        <v>0</v>
      </c>
      <c r="J316" t="n">
        <v>0</v>
      </c>
      <c r="K316" t="n">
        <v>0</v>
      </c>
      <c r="L316" t="n">
        <v>0</v>
      </c>
      <c r="M316" t="n">
        <v>0</v>
      </c>
      <c r="N316" t="n">
        <v>0</v>
      </c>
      <c r="O316" t="n">
        <v>0</v>
      </c>
      <c r="P316" t="n">
        <v>0</v>
      </c>
      <c r="Q316" t="n">
        <v>0</v>
      </c>
      <c r="R316" s="2" t="inlineStr"/>
    </row>
    <row r="317" ht="15" customHeight="1">
      <c r="A317" t="inlineStr">
        <is>
          <t>A 32855-2025</t>
        </is>
      </c>
      <c r="B317" s="1" t="n">
        <v>45839.57643518518</v>
      </c>
      <c r="C317" s="1" t="n">
        <v>45924</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32661-2025</t>
        </is>
      </c>
      <c r="B318" s="1" t="n">
        <v>45838.67953703704</v>
      </c>
      <c r="C318" s="1" t="n">
        <v>45924</v>
      </c>
      <c r="D318" t="inlineStr">
        <is>
          <t>DALARNAS LÄN</t>
        </is>
      </c>
      <c r="E318" t="inlineStr">
        <is>
          <t>LEKSAND</t>
        </is>
      </c>
      <c r="G318" t="n">
        <v>0.8</v>
      </c>
      <c r="H318" t="n">
        <v>0</v>
      </c>
      <c r="I318" t="n">
        <v>0</v>
      </c>
      <c r="J318" t="n">
        <v>0</v>
      </c>
      <c r="K318" t="n">
        <v>0</v>
      </c>
      <c r="L318" t="n">
        <v>0</v>
      </c>
      <c r="M318" t="n">
        <v>0</v>
      </c>
      <c r="N318" t="n">
        <v>0</v>
      </c>
      <c r="O318" t="n">
        <v>0</v>
      </c>
      <c r="P318" t="n">
        <v>0</v>
      </c>
      <c r="Q318" t="n">
        <v>0</v>
      </c>
      <c r="R318" s="2" t="inlineStr"/>
    </row>
    <row r="319" ht="15" customHeight="1">
      <c r="A319" t="inlineStr">
        <is>
          <t>A 60920-2020</t>
        </is>
      </c>
      <c r="B319" s="1" t="n">
        <v>44153</v>
      </c>
      <c r="C319" s="1" t="n">
        <v>45924</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61614-2023</t>
        </is>
      </c>
      <c r="B320" s="1" t="n">
        <v>45261</v>
      </c>
      <c r="C320" s="1" t="n">
        <v>45924</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32593-2025</t>
        </is>
      </c>
      <c r="B321" s="1" t="n">
        <v>45838</v>
      </c>
      <c r="C321" s="1" t="n">
        <v>45924</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32726-2025</t>
        </is>
      </c>
      <c r="B322" s="1" t="n">
        <v>45839.3969212963</v>
      </c>
      <c r="C322" s="1" t="n">
        <v>45924</v>
      </c>
      <c r="D322" t="inlineStr">
        <is>
          <t>DALARNAS LÄN</t>
        </is>
      </c>
      <c r="E322" t="inlineStr">
        <is>
          <t>LEKSAND</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14504-2025</t>
        </is>
      </c>
      <c r="B323" s="1" t="n">
        <v>45741</v>
      </c>
      <c r="C323" s="1" t="n">
        <v>45924</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37996-2025</t>
        </is>
      </c>
      <c r="B324" s="1" t="n">
        <v>45881.8299537037</v>
      </c>
      <c r="C324" s="1" t="n">
        <v>45924</v>
      </c>
      <c r="D324" t="inlineStr">
        <is>
          <t>DALARNAS LÄN</t>
        </is>
      </c>
      <c r="E324" t="inlineStr">
        <is>
          <t>LEKSAND</t>
        </is>
      </c>
      <c r="G324" t="n">
        <v>4.2</v>
      </c>
      <c r="H324" t="n">
        <v>0</v>
      </c>
      <c r="I324" t="n">
        <v>0</v>
      </c>
      <c r="J324" t="n">
        <v>0</v>
      </c>
      <c r="K324" t="n">
        <v>0</v>
      </c>
      <c r="L324" t="n">
        <v>0</v>
      </c>
      <c r="M324" t="n">
        <v>0</v>
      </c>
      <c r="N324" t="n">
        <v>0</v>
      </c>
      <c r="O324" t="n">
        <v>0</v>
      </c>
      <c r="P324" t="n">
        <v>0</v>
      </c>
      <c r="Q324" t="n">
        <v>0</v>
      </c>
      <c r="R324" s="2" t="inlineStr"/>
    </row>
    <row r="325" ht="15" customHeight="1">
      <c r="A325" t="inlineStr">
        <is>
          <t>A 38090-2025</t>
        </is>
      </c>
      <c r="B325" s="1" t="n">
        <v>45882.48440972222</v>
      </c>
      <c r="C325" s="1" t="n">
        <v>45924</v>
      </c>
      <c r="D325" t="inlineStr">
        <is>
          <t>DALARNAS LÄN</t>
        </is>
      </c>
      <c r="E325" t="inlineStr">
        <is>
          <t>LEKSAND</t>
        </is>
      </c>
      <c r="G325" t="n">
        <v>1.6</v>
      </c>
      <c r="H325" t="n">
        <v>0</v>
      </c>
      <c r="I325" t="n">
        <v>0</v>
      </c>
      <c r="J325" t="n">
        <v>0</v>
      </c>
      <c r="K325" t="n">
        <v>0</v>
      </c>
      <c r="L325" t="n">
        <v>0</v>
      </c>
      <c r="M325" t="n">
        <v>0</v>
      </c>
      <c r="N325" t="n">
        <v>0</v>
      </c>
      <c r="O325" t="n">
        <v>0</v>
      </c>
      <c r="P325" t="n">
        <v>0</v>
      </c>
      <c r="Q325" t="n">
        <v>0</v>
      </c>
      <c r="R325" s="2" t="inlineStr"/>
    </row>
    <row r="326" ht="15" customHeight="1">
      <c r="A326" t="inlineStr">
        <is>
          <t>A 33160-2025</t>
        </is>
      </c>
      <c r="B326" s="1" t="n">
        <v>45840</v>
      </c>
      <c r="C326" s="1" t="n">
        <v>45924</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45924</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64516-2023</t>
        </is>
      </c>
      <c r="B328" s="1" t="n">
        <v>45280</v>
      </c>
      <c r="C328" s="1" t="n">
        <v>45924</v>
      </c>
      <c r="D328" t="inlineStr">
        <is>
          <t>DALARNAS LÄN</t>
        </is>
      </c>
      <c r="E328" t="inlineStr">
        <is>
          <t>LEKSAND</t>
        </is>
      </c>
      <c r="G328" t="n">
        <v>4.4</v>
      </c>
      <c r="H328" t="n">
        <v>0</v>
      </c>
      <c r="I328" t="n">
        <v>0</v>
      </c>
      <c r="J328" t="n">
        <v>0</v>
      </c>
      <c r="K328" t="n">
        <v>0</v>
      </c>
      <c r="L328" t="n">
        <v>0</v>
      </c>
      <c r="M328" t="n">
        <v>0</v>
      </c>
      <c r="N328" t="n">
        <v>0</v>
      </c>
      <c r="O328" t="n">
        <v>0</v>
      </c>
      <c r="P328" t="n">
        <v>0</v>
      </c>
      <c r="Q328" t="n">
        <v>0</v>
      </c>
      <c r="R328" s="2" t="inlineStr"/>
    </row>
    <row r="329" ht="15" customHeight="1">
      <c r="A329" t="inlineStr">
        <is>
          <t>A 45788-2021</t>
        </is>
      </c>
      <c r="B329" s="1" t="n">
        <v>44441</v>
      </c>
      <c r="C329" s="1" t="n">
        <v>45924</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1267-2025</t>
        </is>
      </c>
      <c r="B330" s="1" t="n">
        <v>45667</v>
      </c>
      <c r="C330" s="1" t="n">
        <v>45924</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38721-2025</t>
        </is>
      </c>
      <c r="B331" s="1" t="n">
        <v>45886.83605324074</v>
      </c>
      <c r="C331" s="1" t="n">
        <v>45924</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33804-2025</t>
        </is>
      </c>
      <c r="B332" s="1" t="n">
        <v>45842</v>
      </c>
      <c r="C332" s="1" t="n">
        <v>45924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45924</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38498-2025</t>
        </is>
      </c>
      <c r="B334" s="1" t="n">
        <v>45884.3706712963</v>
      </c>
      <c r="C334" s="1" t="n">
        <v>45924</v>
      </c>
      <c r="D334" t="inlineStr">
        <is>
          <t>DALARNAS LÄN</t>
        </is>
      </c>
      <c r="E334" t="inlineStr">
        <is>
          <t>LEKSAND</t>
        </is>
      </c>
      <c r="G334" t="n">
        <v>2.1</v>
      </c>
      <c r="H334" t="n">
        <v>0</v>
      </c>
      <c r="I334" t="n">
        <v>0</v>
      </c>
      <c r="J334" t="n">
        <v>0</v>
      </c>
      <c r="K334" t="n">
        <v>0</v>
      </c>
      <c r="L334" t="n">
        <v>0</v>
      </c>
      <c r="M334" t="n">
        <v>0</v>
      </c>
      <c r="N334" t="n">
        <v>0</v>
      </c>
      <c r="O334" t="n">
        <v>0</v>
      </c>
      <c r="P334" t="n">
        <v>0</v>
      </c>
      <c r="Q334" t="n">
        <v>0</v>
      </c>
      <c r="R334" s="2" t="inlineStr"/>
    </row>
    <row r="335" ht="15" customHeight="1">
      <c r="A335" t="inlineStr">
        <is>
          <t>A 43221-2024</t>
        </is>
      </c>
      <c r="B335" s="1" t="n">
        <v>45567.86695601852</v>
      </c>
      <c r="C335" s="1" t="n">
        <v>45924</v>
      </c>
      <c r="D335" t="inlineStr">
        <is>
          <t>DALARNAS LÄN</t>
        </is>
      </c>
      <c r="E335" t="inlineStr">
        <is>
          <t>LEKSAND</t>
        </is>
      </c>
      <c r="G335" t="n">
        <v>1.1</v>
      </c>
      <c r="H335" t="n">
        <v>0</v>
      </c>
      <c r="I335" t="n">
        <v>0</v>
      </c>
      <c r="J335" t="n">
        <v>0</v>
      </c>
      <c r="K335" t="n">
        <v>0</v>
      </c>
      <c r="L335" t="n">
        <v>0</v>
      </c>
      <c r="M335" t="n">
        <v>0</v>
      </c>
      <c r="N335" t="n">
        <v>0</v>
      </c>
      <c r="O335" t="n">
        <v>0</v>
      </c>
      <c r="P335" t="n">
        <v>0</v>
      </c>
      <c r="Q335" t="n">
        <v>0</v>
      </c>
      <c r="R335" s="2" t="inlineStr"/>
    </row>
    <row r="336" ht="15" customHeight="1">
      <c r="A336" t="inlineStr">
        <is>
          <t>A 19700-2025</t>
        </is>
      </c>
      <c r="B336" s="1" t="n">
        <v>45771.32445601852</v>
      </c>
      <c r="C336" s="1" t="n">
        <v>45924</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12582-2025</t>
        </is>
      </c>
      <c r="B337" s="1" t="n">
        <v>45732.62988425926</v>
      </c>
      <c r="C337" s="1" t="n">
        <v>45924</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17589-2025</t>
        </is>
      </c>
      <c r="B338" s="1" t="n">
        <v>45757.67844907408</v>
      </c>
      <c r="C338" s="1" t="n">
        <v>45924</v>
      </c>
      <c r="D338" t="inlineStr">
        <is>
          <t>DALARNAS LÄN</t>
        </is>
      </c>
      <c r="E338" t="inlineStr">
        <is>
          <t>LEKSAND</t>
        </is>
      </c>
      <c r="G338" t="n">
        <v>5.8</v>
      </c>
      <c r="H338" t="n">
        <v>0</v>
      </c>
      <c r="I338" t="n">
        <v>0</v>
      </c>
      <c r="J338" t="n">
        <v>0</v>
      </c>
      <c r="K338" t="n">
        <v>0</v>
      </c>
      <c r="L338" t="n">
        <v>0</v>
      </c>
      <c r="M338" t="n">
        <v>0</v>
      </c>
      <c r="N338" t="n">
        <v>0</v>
      </c>
      <c r="O338" t="n">
        <v>0</v>
      </c>
      <c r="P338" t="n">
        <v>0</v>
      </c>
      <c r="Q338" t="n">
        <v>0</v>
      </c>
      <c r="R338" s="2" t="inlineStr"/>
    </row>
    <row r="339" ht="15" customHeight="1">
      <c r="A339" t="inlineStr">
        <is>
          <t>A 62116-2024</t>
        </is>
      </c>
      <c r="B339" s="1" t="n">
        <v>45646</v>
      </c>
      <c r="C339" s="1" t="n">
        <v>45924</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29157-2022</t>
        </is>
      </c>
      <c r="B340" s="1" t="n">
        <v>44750.48355324074</v>
      </c>
      <c r="C340" s="1" t="n">
        <v>45924</v>
      </c>
      <c r="D340" t="inlineStr">
        <is>
          <t>DALARNAS LÄN</t>
        </is>
      </c>
      <c r="E340" t="inlineStr">
        <is>
          <t>LEKSAND</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11080-2023</t>
        </is>
      </c>
      <c r="B341" s="1" t="n">
        <v>44992</v>
      </c>
      <c r="C341" s="1" t="n">
        <v>45924</v>
      </c>
      <c r="D341" t="inlineStr">
        <is>
          <t>DALARNAS LÄN</t>
        </is>
      </c>
      <c r="E341" t="inlineStr">
        <is>
          <t>LEKSAND</t>
        </is>
      </c>
      <c r="G341" t="n">
        <v>6.9</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45924</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30169-2023</t>
        </is>
      </c>
      <c r="B343" s="1" t="n">
        <v>45110</v>
      </c>
      <c r="C343" s="1" t="n">
        <v>45924</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40181-2023</t>
        </is>
      </c>
      <c r="B344" s="1" t="n">
        <v>45169</v>
      </c>
      <c r="C344" s="1" t="n">
        <v>45924</v>
      </c>
      <c r="D344" t="inlineStr">
        <is>
          <t>DALARNAS LÄN</t>
        </is>
      </c>
      <c r="E344" t="inlineStr">
        <is>
          <t>LEKSAND</t>
        </is>
      </c>
      <c r="G344" t="n">
        <v>2.8</v>
      </c>
      <c r="H344" t="n">
        <v>0</v>
      </c>
      <c r="I344" t="n">
        <v>0</v>
      </c>
      <c r="J344" t="n">
        <v>0</v>
      </c>
      <c r="K344" t="n">
        <v>0</v>
      </c>
      <c r="L344" t="n">
        <v>0</v>
      </c>
      <c r="M344" t="n">
        <v>0</v>
      </c>
      <c r="N344" t="n">
        <v>0</v>
      </c>
      <c r="O344" t="n">
        <v>0</v>
      </c>
      <c r="P344" t="n">
        <v>0</v>
      </c>
      <c r="Q344" t="n">
        <v>0</v>
      </c>
      <c r="R344" s="2" t="inlineStr"/>
    </row>
    <row r="345" ht="15" customHeight="1">
      <c r="A345" t="inlineStr">
        <is>
          <t>A 13063-2023</t>
        </is>
      </c>
      <c r="B345" s="1" t="n">
        <v>45001</v>
      </c>
      <c r="C345" s="1" t="n">
        <v>45924</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14943-2023</t>
        </is>
      </c>
      <c r="B346" s="1" t="n">
        <v>45015</v>
      </c>
      <c r="C346" s="1" t="n">
        <v>45924</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63544-2023</t>
        </is>
      </c>
      <c r="B347" s="1" t="n">
        <v>45275</v>
      </c>
      <c r="C347" s="1" t="n">
        <v>45924</v>
      </c>
      <c r="D347" t="inlineStr">
        <is>
          <t>DALARNAS LÄN</t>
        </is>
      </c>
      <c r="E347" t="inlineStr">
        <is>
          <t>LEKSAND</t>
        </is>
      </c>
      <c r="G347" t="n">
        <v>0.3</v>
      </c>
      <c r="H347" t="n">
        <v>0</v>
      </c>
      <c r="I347" t="n">
        <v>0</v>
      </c>
      <c r="J347" t="n">
        <v>0</v>
      </c>
      <c r="K347" t="n">
        <v>0</v>
      </c>
      <c r="L347" t="n">
        <v>0</v>
      </c>
      <c r="M347" t="n">
        <v>0</v>
      </c>
      <c r="N347" t="n">
        <v>0</v>
      </c>
      <c r="O347" t="n">
        <v>0</v>
      </c>
      <c r="P347" t="n">
        <v>0</v>
      </c>
      <c r="Q347" t="n">
        <v>0</v>
      </c>
      <c r="R347" s="2" t="inlineStr"/>
    </row>
    <row r="348" ht="15" customHeight="1">
      <c r="A348" t="inlineStr">
        <is>
          <t>A 58877-2023</t>
        </is>
      </c>
      <c r="B348" s="1" t="n">
        <v>45252</v>
      </c>
      <c r="C348" s="1" t="n">
        <v>45924</v>
      </c>
      <c r="D348" t="inlineStr">
        <is>
          <t>DALARNAS LÄN</t>
        </is>
      </c>
      <c r="E348" t="inlineStr">
        <is>
          <t>LEKSAND</t>
        </is>
      </c>
      <c r="G348" t="n">
        <v>1.9</v>
      </c>
      <c r="H348" t="n">
        <v>0</v>
      </c>
      <c r="I348" t="n">
        <v>0</v>
      </c>
      <c r="J348" t="n">
        <v>0</v>
      </c>
      <c r="K348" t="n">
        <v>0</v>
      </c>
      <c r="L348" t="n">
        <v>0</v>
      </c>
      <c r="M348" t="n">
        <v>0</v>
      </c>
      <c r="N348" t="n">
        <v>0</v>
      </c>
      <c r="O348" t="n">
        <v>0</v>
      </c>
      <c r="P348" t="n">
        <v>0</v>
      </c>
      <c r="Q348" t="n">
        <v>0</v>
      </c>
      <c r="R348" s="2" t="inlineStr"/>
    </row>
    <row r="349" ht="15" customHeight="1">
      <c r="A349" t="inlineStr">
        <is>
          <t>A 54289-2023</t>
        </is>
      </c>
      <c r="B349" s="1" t="n">
        <v>45232.71193287037</v>
      </c>
      <c r="C349" s="1" t="n">
        <v>45924</v>
      </c>
      <c r="D349" t="inlineStr">
        <is>
          <t>DALARNAS LÄN</t>
        </is>
      </c>
      <c r="E349" t="inlineStr">
        <is>
          <t>LEKSAND</t>
        </is>
      </c>
      <c r="G349" t="n">
        <v>2</v>
      </c>
      <c r="H349" t="n">
        <v>0</v>
      </c>
      <c r="I349" t="n">
        <v>0</v>
      </c>
      <c r="J349" t="n">
        <v>0</v>
      </c>
      <c r="K349" t="n">
        <v>0</v>
      </c>
      <c r="L349" t="n">
        <v>0</v>
      </c>
      <c r="M349" t="n">
        <v>0</v>
      </c>
      <c r="N349" t="n">
        <v>0</v>
      </c>
      <c r="O349" t="n">
        <v>0</v>
      </c>
      <c r="P349" t="n">
        <v>0</v>
      </c>
      <c r="Q349" t="n">
        <v>0</v>
      </c>
      <c r="R349" s="2" t="inlineStr"/>
    </row>
    <row r="350" ht="15" customHeight="1">
      <c r="A350" t="inlineStr">
        <is>
          <t>A 34537-2025</t>
        </is>
      </c>
      <c r="B350" s="1" t="n">
        <v>45847</v>
      </c>
      <c r="C350" s="1" t="n">
        <v>45924</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51377-2023</t>
        </is>
      </c>
      <c r="B351" s="1" t="n">
        <v>45219</v>
      </c>
      <c r="C351" s="1" t="n">
        <v>45924</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39693-2025</t>
        </is>
      </c>
      <c r="B352" s="1" t="n">
        <v>45890.68304398148</v>
      </c>
      <c r="C352" s="1" t="n">
        <v>45924</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11869-2024</t>
        </is>
      </c>
      <c r="B353" s="1" t="n">
        <v>45376.45800925926</v>
      </c>
      <c r="C353" s="1" t="n">
        <v>45924</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32666-2023</t>
        </is>
      </c>
      <c r="B354" s="1" t="n">
        <v>45121</v>
      </c>
      <c r="C354" s="1" t="n">
        <v>45924</v>
      </c>
      <c r="D354" t="inlineStr">
        <is>
          <t>DALARNAS LÄN</t>
        </is>
      </c>
      <c r="E354" t="inlineStr">
        <is>
          <t>LEKSAND</t>
        </is>
      </c>
      <c r="G354" t="n">
        <v>9.9</v>
      </c>
      <c r="H354" t="n">
        <v>0</v>
      </c>
      <c r="I354" t="n">
        <v>0</v>
      </c>
      <c r="J354" t="n">
        <v>0</v>
      </c>
      <c r="K354" t="n">
        <v>0</v>
      </c>
      <c r="L354" t="n">
        <v>0</v>
      </c>
      <c r="M354" t="n">
        <v>0</v>
      </c>
      <c r="N354" t="n">
        <v>0</v>
      </c>
      <c r="O354" t="n">
        <v>0</v>
      </c>
      <c r="P354" t="n">
        <v>0</v>
      </c>
      <c r="Q354" t="n">
        <v>0</v>
      </c>
      <c r="R354" s="2" t="inlineStr"/>
    </row>
    <row r="355" ht="15" customHeight="1">
      <c r="A355" t="inlineStr">
        <is>
          <t>A 39569-2025</t>
        </is>
      </c>
      <c r="B355" s="1" t="n">
        <v>45890</v>
      </c>
      <c r="C355" s="1" t="n">
        <v>45924</v>
      </c>
      <c r="D355" t="inlineStr">
        <is>
          <t>DALARNAS LÄN</t>
        </is>
      </c>
      <c r="E355" t="inlineStr">
        <is>
          <t>LEKSAND</t>
        </is>
      </c>
      <c r="F355" t="inlineStr">
        <is>
          <t>Bergvik skog väst AB</t>
        </is>
      </c>
      <c r="G355" t="n">
        <v>1.6</v>
      </c>
      <c r="H355" t="n">
        <v>0</v>
      </c>
      <c r="I355" t="n">
        <v>0</v>
      </c>
      <c r="J355" t="n">
        <v>0</v>
      </c>
      <c r="K355" t="n">
        <v>0</v>
      </c>
      <c r="L355" t="n">
        <v>0</v>
      </c>
      <c r="M355" t="n">
        <v>0</v>
      </c>
      <c r="N355" t="n">
        <v>0</v>
      </c>
      <c r="O355" t="n">
        <v>0</v>
      </c>
      <c r="P355" t="n">
        <v>0</v>
      </c>
      <c r="Q355" t="n">
        <v>0</v>
      </c>
      <c r="R355" s="2" t="inlineStr"/>
    </row>
    <row r="356" ht="15" customHeight="1">
      <c r="A356" t="inlineStr">
        <is>
          <t>A 39516-2025</t>
        </is>
      </c>
      <c r="B356" s="1" t="n">
        <v>45890.42633101852</v>
      </c>
      <c r="C356" s="1" t="n">
        <v>45924</v>
      </c>
      <c r="D356" t="inlineStr">
        <is>
          <t>DALARNAS LÄN</t>
        </is>
      </c>
      <c r="E356" t="inlineStr">
        <is>
          <t>LEKSAND</t>
        </is>
      </c>
      <c r="G356" t="n">
        <v>3.6</v>
      </c>
      <c r="H356" t="n">
        <v>0</v>
      </c>
      <c r="I356" t="n">
        <v>0</v>
      </c>
      <c r="J356" t="n">
        <v>0</v>
      </c>
      <c r="K356" t="n">
        <v>0</v>
      </c>
      <c r="L356" t="n">
        <v>0</v>
      </c>
      <c r="M356" t="n">
        <v>0</v>
      </c>
      <c r="N356" t="n">
        <v>0</v>
      </c>
      <c r="O356" t="n">
        <v>0</v>
      </c>
      <c r="P356" t="n">
        <v>0</v>
      </c>
      <c r="Q356" t="n">
        <v>0</v>
      </c>
      <c r="R356" s="2" t="inlineStr"/>
    </row>
    <row r="357" ht="15" customHeight="1">
      <c r="A357" t="inlineStr">
        <is>
          <t>A 52572-2024</t>
        </is>
      </c>
      <c r="B357" s="1" t="n">
        <v>45609.66488425926</v>
      </c>
      <c r="C357" s="1" t="n">
        <v>45924</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39660-2025</t>
        </is>
      </c>
      <c r="B358" s="1" t="n">
        <v>45890.63006944444</v>
      </c>
      <c r="C358" s="1" t="n">
        <v>45924</v>
      </c>
      <c r="D358" t="inlineStr">
        <is>
          <t>DALARNAS LÄN</t>
        </is>
      </c>
      <c r="E358" t="inlineStr">
        <is>
          <t>LEKSAND</t>
        </is>
      </c>
      <c r="F358" t="inlineStr">
        <is>
          <t>Bergvik skog väst AB</t>
        </is>
      </c>
      <c r="G358" t="n">
        <v>5.8</v>
      </c>
      <c r="H358" t="n">
        <v>0</v>
      </c>
      <c r="I358" t="n">
        <v>0</v>
      </c>
      <c r="J358" t="n">
        <v>0</v>
      </c>
      <c r="K358" t="n">
        <v>0</v>
      </c>
      <c r="L358" t="n">
        <v>0</v>
      </c>
      <c r="M358" t="n">
        <v>0</v>
      </c>
      <c r="N358" t="n">
        <v>0</v>
      </c>
      <c r="O358" t="n">
        <v>0</v>
      </c>
      <c r="P358" t="n">
        <v>0</v>
      </c>
      <c r="Q358" t="n">
        <v>0</v>
      </c>
      <c r="R358" s="2" t="inlineStr"/>
    </row>
    <row r="359" ht="15" customHeight="1">
      <c r="A359" t="inlineStr">
        <is>
          <t>A 41853-2023</t>
        </is>
      </c>
      <c r="B359" s="1" t="n">
        <v>45176.62483796296</v>
      </c>
      <c r="C359" s="1" t="n">
        <v>45924</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5231-2024</t>
        </is>
      </c>
      <c r="B360" s="1" t="n">
        <v>45330</v>
      </c>
      <c r="C360" s="1" t="n">
        <v>45924</v>
      </c>
      <c r="D360" t="inlineStr">
        <is>
          <t>DALARNAS LÄN</t>
        </is>
      </c>
      <c r="E360" t="inlineStr">
        <is>
          <t>LEKSAND</t>
        </is>
      </c>
      <c r="F360" t="inlineStr">
        <is>
          <t>Bergvik skog väst AB</t>
        </is>
      </c>
      <c r="G360" t="n">
        <v>11.2</v>
      </c>
      <c r="H360" t="n">
        <v>0</v>
      </c>
      <c r="I360" t="n">
        <v>0</v>
      </c>
      <c r="J360" t="n">
        <v>0</v>
      </c>
      <c r="K360" t="n">
        <v>0</v>
      </c>
      <c r="L360" t="n">
        <v>0</v>
      </c>
      <c r="M360" t="n">
        <v>0</v>
      </c>
      <c r="N360" t="n">
        <v>0</v>
      </c>
      <c r="O360" t="n">
        <v>0</v>
      </c>
      <c r="P360" t="n">
        <v>0</v>
      </c>
      <c r="Q360" t="n">
        <v>0</v>
      </c>
      <c r="R360" s="2" t="inlineStr"/>
    </row>
    <row r="361" ht="15" customHeight="1">
      <c r="A361" t="inlineStr">
        <is>
          <t>A 16137-2023</t>
        </is>
      </c>
      <c r="B361" s="1" t="n">
        <v>45027</v>
      </c>
      <c r="C361" s="1" t="n">
        <v>45924</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27520-2023</t>
        </is>
      </c>
      <c r="B362" s="1" t="n">
        <v>45097</v>
      </c>
      <c r="C362" s="1" t="n">
        <v>45924</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55926-2024</t>
        </is>
      </c>
      <c r="B363" s="1" t="n">
        <v>45623.601875</v>
      </c>
      <c r="C363" s="1" t="n">
        <v>45924</v>
      </c>
      <c r="D363" t="inlineStr">
        <is>
          <t>DALARNAS LÄN</t>
        </is>
      </c>
      <c r="E363" t="inlineStr">
        <is>
          <t>LEKSAND</t>
        </is>
      </c>
      <c r="G363" t="n">
        <v>0.6</v>
      </c>
      <c r="H363" t="n">
        <v>0</v>
      </c>
      <c r="I363" t="n">
        <v>0</v>
      </c>
      <c r="J363" t="n">
        <v>0</v>
      </c>
      <c r="K363" t="n">
        <v>0</v>
      </c>
      <c r="L363" t="n">
        <v>0</v>
      </c>
      <c r="M363" t="n">
        <v>0</v>
      </c>
      <c r="N363" t="n">
        <v>0</v>
      </c>
      <c r="O363" t="n">
        <v>0</v>
      </c>
      <c r="P363" t="n">
        <v>0</v>
      </c>
      <c r="Q363" t="n">
        <v>0</v>
      </c>
      <c r="R363" s="2" t="inlineStr"/>
    </row>
    <row r="364" ht="15" customHeight="1">
      <c r="A364" t="inlineStr">
        <is>
          <t>A 34965-2025</t>
        </is>
      </c>
      <c r="B364" s="1" t="n">
        <v>45849</v>
      </c>
      <c r="C364" s="1" t="n">
        <v>45924</v>
      </c>
      <c r="D364" t="inlineStr">
        <is>
          <t>DALARNAS LÄN</t>
        </is>
      </c>
      <c r="E364" t="inlineStr">
        <is>
          <t>LEKSAND</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41896-2024</t>
        </is>
      </c>
      <c r="B365" s="1" t="n">
        <v>45561.51310185185</v>
      </c>
      <c r="C365" s="1" t="n">
        <v>45924</v>
      </c>
      <c r="D365" t="inlineStr">
        <is>
          <t>DALARNAS LÄN</t>
        </is>
      </c>
      <c r="E365" t="inlineStr">
        <is>
          <t>LEKSAND</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49405-2024</t>
        </is>
      </c>
      <c r="B366" s="1" t="n">
        <v>45595</v>
      </c>
      <c r="C366" s="1" t="n">
        <v>45924</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39546-2025</t>
        </is>
      </c>
      <c r="B367" s="1" t="n">
        <v>45890.45706018519</v>
      </c>
      <c r="C367" s="1" t="n">
        <v>45924</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39572-2025</t>
        </is>
      </c>
      <c r="B368" s="1" t="n">
        <v>45890</v>
      </c>
      <c r="C368" s="1" t="n">
        <v>45924</v>
      </c>
      <c r="D368" t="inlineStr">
        <is>
          <t>DALARNAS LÄN</t>
        </is>
      </c>
      <c r="E368" t="inlineStr">
        <is>
          <t>LEKSAND</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17078-2023</t>
        </is>
      </c>
      <c r="B369" s="1" t="n">
        <v>45034</v>
      </c>
      <c r="C369" s="1" t="n">
        <v>45924</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34789-2025</t>
        </is>
      </c>
      <c r="B370" s="1" t="n">
        <v>45848</v>
      </c>
      <c r="C370" s="1" t="n">
        <v>45924</v>
      </c>
      <c r="D370" t="inlineStr">
        <is>
          <t>DALARNAS LÄN</t>
        </is>
      </c>
      <c r="E370" t="inlineStr">
        <is>
          <t>LEKSAND</t>
        </is>
      </c>
      <c r="F370" t="inlineStr">
        <is>
          <t>Bergvik skog väst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19618-2024</t>
        </is>
      </c>
      <c r="B371" s="1" t="n">
        <v>45432.32896990741</v>
      </c>
      <c r="C371" s="1" t="n">
        <v>45924</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11110-2023</t>
        </is>
      </c>
      <c r="B372" s="1" t="n">
        <v>44992</v>
      </c>
      <c r="C372" s="1" t="n">
        <v>45924</v>
      </c>
      <c r="D372" t="inlineStr">
        <is>
          <t>DALARNAS LÄN</t>
        </is>
      </c>
      <c r="E372" t="inlineStr">
        <is>
          <t>LEKSAND</t>
        </is>
      </c>
      <c r="G372" t="n">
        <v>11.2</v>
      </c>
      <c r="H372" t="n">
        <v>0</v>
      </c>
      <c r="I372" t="n">
        <v>0</v>
      </c>
      <c r="J372" t="n">
        <v>0</v>
      </c>
      <c r="K372" t="n">
        <v>0</v>
      </c>
      <c r="L372" t="n">
        <v>0</v>
      </c>
      <c r="M372" t="n">
        <v>0</v>
      </c>
      <c r="N372" t="n">
        <v>0</v>
      </c>
      <c r="O372" t="n">
        <v>0</v>
      </c>
      <c r="P372" t="n">
        <v>0</v>
      </c>
      <c r="Q372" t="n">
        <v>0</v>
      </c>
      <c r="R372" s="2" t="inlineStr"/>
    </row>
    <row r="373" ht="15" customHeight="1">
      <c r="A373" t="inlineStr">
        <is>
          <t>A 54682-2023</t>
        </is>
      </c>
      <c r="B373" s="1" t="n">
        <v>45235.90439814814</v>
      </c>
      <c r="C373" s="1" t="n">
        <v>45924</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34966-2025</t>
        </is>
      </c>
      <c r="B374" s="1" t="n">
        <v>45849</v>
      </c>
      <c r="C374" s="1" t="n">
        <v>45924</v>
      </c>
      <c r="D374" t="inlineStr">
        <is>
          <t>DALARNAS LÄN</t>
        </is>
      </c>
      <c r="E374" t="inlineStr">
        <is>
          <t>LEKSAND</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12646-2025</t>
        </is>
      </c>
      <c r="B375" s="1" t="n">
        <v>45733.39496527778</v>
      </c>
      <c r="C375" s="1" t="n">
        <v>45924</v>
      </c>
      <c r="D375" t="inlineStr">
        <is>
          <t>DALARNAS LÄN</t>
        </is>
      </c>
      <c r="E375" t="inlineStr">
        <is>
          <t>LEKSAND</t>
        </is>
      </c>
      <c r="G375" t="n">
        <v>2.3</v>
      </c>
      <c r="H375" t="n">
        <v>0</v>
      </c>
      <c r="I375" t="n">
        <v>0</v>
      </c>
      <c r="J375" t="n">
        <v>0</v>
      </c>
      <c r="K375" t="n">
        <v>0</v>
      </c>
      <c r="L375" t="n">
        <v>0</v>
      </c>
      <c r="M375" t="n">
        <v>0</v>
      </c>
      <c r="N375" t="n">
        <v>0</v>
      </c>
      <c r="O375" t="n">
        <v>0</v>
      </c>
      <c r="P375" t="n">
        <v>0</v>
      </c>
      <c r="Q375" t="n">
        <v>0</v>
      </c>
      <c r="R375" s="2" t="inlineStr"/>
    </row>
    <row r="376" ht="15" customHeight="1">
      <c r="A376" t="inlineStr">
        <is>
          <t>A 56059-2024</t>
        </is>
      </c>
      <c r="B376" s="1" t="n">
        <v>45624.36729166667</v>
      </c>
      <c r="C376" s="1" t="n">
        <v>45924</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45943-2022</t>
        </is>
      </c>
      <c r="B377" s="1" t="n">
        <v>44846.64418981481</v>
      </c>
      <c r="C377" s="1" t="n">
        <v>45924</v>
      </c>
      <c r="D377" t="inlineStr">
        <is>
          <t>DALARNAS LÄN</t>
        </is>
      </c>
      <c r="E377" t="inlineStr">
        <is>
          <t>LEKSAND</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5847-2025</t>
        </is>
      </c>
      <c r="B378" s="1" t="n">
        <v>45695.30824074074</v>
      </c>
      <c r="C378" s="1" t="n">
        <v>45924</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35094-2025</t>
        </is>
      </c>
      <c r="B379" s="1" t="n">
        <v>45852</v>
      </c>
      <c r="C379" s="1" t="n">
        <v>45924</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60878-2023</t>
        </is>
      </c>
      <c r="B380" s="1" t="n">
        <v>45259</v>
      </c>
      <c r="C380" s="1" t="n">
        <v>45924</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36262-2023</t>
        </is>
      </c>
      <c r="B381" s="1" t="n">
        <v>45151.9096875</v>
      </c>
      <c r="C381" s="1" t="n">
        <v>45924</v>
      </c>
      <c r="D381" t="inlineStr">
        <is>
          <t>DALARNAS LÄN</t>
        </is>
      </c>
      <c r="E381" t="inlineStr">
        <is>
          <t>LEKSAND</t>
        </is>
      </c>
      <c r="G381" t="n">
        <v>1.2</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45924</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45924</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40513-2025</t>
        </is>
      </c>
      <c r="B384" s="1" t="n">
        <v>45896.35100694445</v>
      </c>
      <c r="C384" s="1" t="n">
        <v>45924</v>
      </c>
      <c r="D384" t="inlineStr">
        <is>
          <t>DALARNAS LÄN</t>
        </is>
      </c>
      <c r="E384" t="inlineStr">
        <is>
          <t>LEKSAND</t>
        </is>
      </c>
      <c r="G384" t="n">
        <v>7.1</v>
      </c>
      <c r="H384" t="n">
        <v>0</v>
      </c>
      <c r="I384" t="n">
        <v>0</v>
      </c>
      <c r="J384" t="n">
        <v>0</v>
      </c>
      <c r="K384" t="n">
        <v>0</v>
      </c>
      <c r="L384" t="n">
        <v>0</v>
      </c>
      <c r="M384" t="n">
        <v>0</v>
      </c>
      <c r="N384" t="n">
        <v>0</v>
      </c>
      <c r="O384" t="n">
        <v>0</v>
      </c>
      <c r="P384" t="n">
        <v>0</v>
      </c>
      <c r="Q384" t="n">
        <v>0</v>
      </c>
      <c r="R384" s="2" t="inlineStr"/>
    </row>
    <row r="385" ht="15" customHeight="1">
      <c r="A385" t="inlineStr">
        <is>
          <t>A 60113-2022</t>
        </is>
      </c>
      <c r="B385" s="1" t="n">
        <v>44909</v>
      </c>
      <c r="C385" s="1" t="n">
        <v>45924</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19550-2023</t>
        </is>
      </c>
      <c r="B386" s="1" t="n">
        <v>45049</v>
      </c>
      <c r="C386" s="1" t="n">
        <v>45924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31915-2024</t>
        </is>
      </c>
      <c r="B387" s="1" t="n">
        <v>45510.38956018518</v>
      </c>
      <c r="C387" s="1" t="n">
        <v>45924</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40517-2025</t>
        </is>
      </c>
      <c r="B388" s="1" t="n">
        <v>45896.36368055556</v>
      </c>
      <c r="C388" s="1" t="n">
        <v>45924</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51480-2022</t>
        </is>
      </c>
      <c r="B389" s="1" t="n">
        <v>44869.57961805556</v>
      </c>
      <c r="C389" s="1" t="n">
        <v>45924</v>
      </c>
      <c r="D389" t="inlineStr">
        <is>
          <t>DALARNAS LÄN</t>
        </is>
      </c>
      <c r="E389" t="inlineStr">
        <is>
          <t>LEKSAND</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30863-2024</t>
        </is>
      </c>
      <c r="B390" s="1" t="n">
        <v>45497.71074074074</v>
      </c>
      <c r="C390" s="1" t="n">
        <v>45924</v>
      </c>
      <c r="D390" t="inlineStr">
        <is>
          <t>DALARNAS LÄN</t>
        </is>
      </c>
      <c r="E390" t="inlineStr">
        <is>
          <t>LEKSAND</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14792-2024</t>
        </is>
      </c>
      <c r="B391" s="1" t="n">
        <v>45397.8344212963</v>
      </c>
      <c r="C391" s="1" t="n">
        <v>45924</v>
      </c>
      <c r="D391" t="inlineStr">
        <is>
          <t>DALARNAS LÄN</t>
        </is>
      </c>
      <c r="E391" t="inlineStr">
        <is>
          <t>LEKSAND</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24481-2024</t>
        </is>
      </c>
      <c r="B392" s="1" t="n">
        <v>45459.36460648148</v>
      </c>
      <c r="C392" s="1" t="n">
        <v>45924</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41487-2025</t>
        </is>
      </c>
      <c r="B393" s="1" t="n">
        <v>45901.4815625</v>
      </c>
      <c r="C393" s="1" t="n">
        <v>45924</v>
      </c>
      <c r="D393" t="inlineStr">
        <is>
          <t>DALARNAS LÄN</t>
        </is>
      </c>
      <c r="E393" t="inlineStr">
        <is>
          <t>LEKSAND</t>
        </is>
      </c>
      <c r="F393" t="inlineStr">
        <is>
          <t>Bergvik skog väst AB</t>
        </is>
      </c>
      <c r="G393" t="n">
        <v>7.3</v>
      </c>
      <c r="H393" t="n">
        <v>0</v>
      </c>
      <c r="I393" t="n">
        <v>0</v>
      </c>
      <c r="J393" t="n">
        <v>0</v>
      </c>
      <c r="K393" t="n">
        <v>0</v>
      </c>
      <c r="L393" t="n">
        <v>0</v>
      </c>
      <c r="M393" t="n">
        <v>0</v>
      </c>
      <c r="N393" t="n">
        <v>0</v>
      </c>
      <c r="O393" t="n">
        <v>0</v>
      </c>
      <c r="P393" t="n">
        <v>0</v>
      </c>
      <c r="Q393" t="n">
        <v>0</v>
      </c>
      <c r="R393" s="2" t="inlineStr"/>
    </row>
    <row r="394" ht="15" customHeight="1">
      <c r="A394" t="inlineStr">
        <is>
          <t>A 41380-2025</t>
        </is>
      </c>
      <c r="B394" s="1" t="n">
        <v>45900.92826388889</v>
      </c>
      <c r="C394" s="1" t="n">
        <v>45924</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58495-2023</t>
        </is>
      </c>
      <c r="B395" s="1" t="n">
        <v>45251</v>
      </c>
      <c r="C395" s="1" t="n">
        <v>45924</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41335-2025</t>
        </is>
      </c>
      <c r="B396" s="1" t="n">
        <v>45899.36747685185</v>
      </c>
      <c r="C396" s="1" t="n">
        <v>45924</v>
      </c>
      <c r="D396" t="inlineStr">
        <is>
          <t>DALARNAS LÄN</t>
        </is>
      </c>
      <c r="E396" t="inlineStr">
        <is>
          <t>LEKSAND</t>
        </is>
      </c>
      <c r="G396" t="n">
        <v>5.9</v>
      </c>
      <c r="H396" t="n">
        <v>0</v>
      </c>
      <c r="I396" t="n">
        <v>0</v>
      </c>
      <c r="J396" t="n">
        <v>0</v>
      </c>
      <c r="K396" t="n">
        <v>0</v>
      </c>
      <c r="L396" t="n">
        <v>0</v>
      </c>
      <c r="M396" t="n">
        <v>0</v>
      </c>
      <c r="N396" t="n">
        <v>0</v>
      </c>
      <c r="O396" t="n">
        <v>0</v>
      </c>
      <c r="P396" t="n">
        <v>0</v>
      </c>
      <c r="Q396" t="n">
        <v>0</v>
      </c>
      <c r="R396" s="2" t="inlineStr"/>
    </row>
    <row r="397" ht="15" customHeight="1">
      <c r="A397" t="inlineStr">
        <is>
          <t>A 43220-2024</t>
        </is>
      </c>
      <c r="B397" s="1" t="n">
        <v>45567.86112268519</v>
      </c>
      <c r="C397" s="1" t="n">
        <v>45924</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13705-2021</t>
        </is>
      </c>
      <c r="B398" s="1" t="n">
        <v>44274</v>
      </c>
      <c r="C398" s="1" t="n">
        <v>45924</v>
      </c>
      <c r="D398" t="inlineStr">
        <is>
          <t>DALARNAS LÄN</t>
        </is>
      </c>
      <c r="E398" t="inlineStr">
        <is>
          <t>LEKSAND</t>
        </is>
      </c>
      <c r="G398" t="n">
        <v>3.8</v>
      </c>
      <c r="H398" t="n">
        <v>0</v>
      </c>
      <c r="I398" t="n">
        <v>0</v>
      </c>
      <c r="J398" t="n">
        <v>0</v>
      </c>
      <c r="K398" t="n">
        <v>0</v>
      </c>
      <c r="L398" t="n">
        <v>0</v>
      </c>
      <c r="M398" t="n">
        <v>0</v>
      </c>
      <c r="N398" t="n">
        <v>0</v>
      </c>
      <c r="O398" t="n">
        <v>0</v>
      </c>
      <c r="P398" t="n">
        <v>0</v>
      </c>
      <c r="Q398" t="n">
        <v>0</v>
      </c>
      <c r="R398" s="2" t="inlineStr"/>
    </row>
    <row r="399" ht="15" customHeight="1">
      <c r="A399" t="inlineStr">
        <is>
          <t>A 41248-2025</t>
        </is>
      </c>
      <c r="B399" s="1" t="n">
        <v>45898.60199074074</v>
      </c>
      <c r="C399" s="1" t="n">
        <v>45924</v>
      </c>
      <c r="D399" t="inlineStr">
        <is>
          <t>DALARNAS LÄN</t>
        </is>
      </c>
      <c r="E399" t="inlineStr">
        <is>
          <t>LEKSAND</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41237-2025</t>
        </is>
      </c>
      <c r="B400" s="1" t="n">
        <v>45898.59570601852</v>
      </c>
      <c r="C400" s="1" t="n">
        <v>45924</v>
      </c>
      <c r="D400" t="inlineStr">
        <is>
          <t>DALARNAS LÄN</t>
        </is>
      </c>
      <c r="E400" t="inlineStr">
        <is>
          <t>LEKSAND</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35866-2025</t>
        </is>
      </c>
      <c r="B401" s="1" t="n">
        <v>45861</v>
      </c>
      <c r="C401" s="1" t="n">
        <v>45924</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35746-2025</t>
        </is>
      </c>
      <c r="B402" s="1" t="n">
        <v>45860</v>
      </c>
      <c r="C402" s="1" t="n">
        <v>45924</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1519-2024</t>
        </is>
      </c>
      <c r="B403" s="1" t="n">
        <v>45306</v>
      </c>
      <c r="C403" s="1" t="n">
        <v>45924</v>
      </c>
      <c r="D403" t="inlineStr">
        <is>
          <t>DALARNAS LÄN</t>
        </is>
      </c>
      <c r="E403" t="inlineStr">
        <is>
          <t>LEKSAND</t>
        </is>
      </c>
      <c r="G403" t="n">
        <v>3.3</v>
      </c>
      <c r="H403" t="n">
        <v>0</v>
      </c>
      <c r="I403" t="n">
        <v>0</v>
      </c>
      <c r="J403" t="n">
        <v>0</v>
      </c>
      <c r="K403" t="n">
        <v>0</v>
      </c>
      <c r="L403" t="n">
        <v>0</v>
      </c>
      <c r="M403" t="n">
        <v>0</v>
      </c>
      <c r="N403" t="n">
        <v>0</v>
      </c>
      <c r="O403" t="n">
        <v>0</v>
      </c>
      <c r="P403" t="n">
        <v>0</v>
      </c>
      <c r="Q403" t="n">
        <v>0</v>
      </c>
      <c r="R403" s="2" t="inlineStr"/>
    </row>
    <row r="404" ht="15" customHeight="1">
      <c r="A404" t="inlineStr">
        <is>
          <t>A 49397-2024</t>
        </is>
      </c>
      <c r="B404" s="1" t="n">
        <v>45595</v>
      </c>
      <c r="C404" s="1" t="n">
        <v>45924</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41934-2025</t>
        </is>
      </c>
      <c r="B405" s="1" t="n">
        <v>45903.43556712963</v>
      </c>
      <c r="C405" s="1" t="n">
        <v>45924</v>
      </c>
      <c r="D405" t="inlineStr">
        <is>
          <t>DALARNAS LÄN</t>
        </is>
      </c>
      <c r="E405" t="inlineStr">
        <is>
          <t>LEKSAND</t>
        </is>
      </c>
      <c r="F405" t="inlineStr">
        <is>
          <t>Bergvik skog väst AB</t>
        </is>
      </c>
      <c r="G405" t="n">
        <v>3</v>
      </c>
      <c r="H405" t="n">
        <v>0</v>
      </c>
      <c r="I405" t="n">
        <v>0</v>
      </c>
      <c r="J405" t="n">
        <v>0</v>
      </c>
      <c r="K405" t="n">
        <v>0</v>
      </c>
      <c r="L405" t="n">
        <v>0</v>
      </c>
      <c r="M405" t="n">
        <v>0</v>
      </c>
      <c r="N405" t="n">
        <v>0</v>
      </c>
      <c r="O405" t="n">
        <v>0</v>
      </c>
      <c r="P405" t="n">
        <v>0</v>
      </c>
      <c r="Q405" t="n">
        <v>0</v>
      </c>
      <c r="R405" s="2" t="inlineStr"/>
    </row>
    <row r="406" ht="15" customHeight="1">
      <c r="A406" t="inlineStr">
        <is>
          <t>A 57907-2024</t>
        </is>
      </c>
      <c r="B406" s="1" t="n">
        <v>45630</v>
      </c>
      <c r="C406" s="1" t="n">
        <v>45924</v>
      </c>
      <c r="D406" t="inlineStr">
        <is>
          <t>DALARNAS LÄN</t>
        </is>
      </c>
      <c r="E406" t="inlineStr">
        <is>
          <t>LEKSAND</t>
        </is>
      </c>
      <c r="G406" t="n">
        <v>1.4</v>
      </c>
      <c r="H406" t="n">
        <v>0</v>
      </c>
      <c r="I406" t="n">
        <v>0</v>
      </c>
      <c r="J406" t="n">
        <v>0</v>
      </c>
      <c r="K406" t="n">
        <v>0</v>
      </c>
      <c r="L406" t="n">
        <v>0</v>
      </c>
      <c r="M406" t="n">
        <v>0</v>
      </c>
      <c r="N406" t="n">
        <v>0</v>
      </c>
      <c r="O406" t="n">
        <v>0</v>
      </c>
      <c r="P406" t="n">
        <v>0</v>
      </c>
      <c r="Q406" t="n">
        <v>0</v>
      </c>
      <c r="R406" s="2" t="inlineStr"/>
    </row>
    <row r="407" ht="15" customHeight="1">
      <c r="A407" t="inlineStr">
        <is>
          <t>A 42402-2025</t>
        </is>
      </c>
      <c r="B407" s="1" t="n">
        <v>45905.3753125</v>
      </c>
      <c r="C407" s="1" t="n">
        <v>45924</v>
      </c>
      <c r="D407" t="inlineStr">
        <is>
          <t>DALARNAS LÄN</t>
        </is>
      </c>
      <c r="E407" t="inlineStr">
        <is>
          <t>LEKSAND</t>
        </is>
      </c>
      <c r="G407" t="n">
        <v>0.6</v>
      </c>
      <c r="H407" t="n">
        <v>0</v>
      </c>
      <c r="I407" t="n">
        <v>0</v>
      </c>
      <c r="J407" t="n">
        <v>0</v>
      </c>
      <c r="K407" t="n">
        <v>0</v>
      </c>
      <c r="L407" t="n">
        <v>0</v>
      </c>
      <c r="M407" t="n">
        <v>0</v>
      </c>
      <c r="N407" t="n">
        <v>0</v>
      </c>
      <c r="O407" t="n">
        <v>0</v>
      </c>
      <c r="P407" t="n">
        <v>0</v>
      </c>
      <c r="Q407" t="n">
        <v>0</v>
      </c>
      <c r="R407" s="2" t="inlineStr"/>
    </row>
    <row r="408" ht="15" customHeight="1">
      <c r="A408" t="inlineStr">
        <is>
          <t>A 2694-2025</t>
        </is>
      </c>
      <c r="B408" s="1" t="n">
        <v>45677.38246527778</v>
      </c>
      <c r="C408" s="1" t="n">
        <v>45924</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28892-2022</t>
        </is>
      </c>
      <c r="B409" s="1" t="n">
        <v>44749</v>
      </c>
      <c r="C409" s="1" t="n">
        <v>45924</v>
      </c>
      <c r="D409" t="inlineStr">
        <is>
          <t>DALARNAS LÄN</t>
        </is>
      </c>
      <c r="E409" t="inlineStr">
        <is>
          <t>LEKSAND</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36020-2025</t>
        </is>
      </c>
      <c r="B410" s="1" t="n">
        <v>45863</v>
      </c>
      <c r="C410" s="1" t="n">
        <v>45924</v>
      </c>
      <c r="D410" t="inlineStr">
        <is>
          <t>DALARNAS LÄN</t>
        </is>
      </c>
      <c r="E410" t="inlineStr">
        <is>
          <t>LEKSAND</t>
        </is>
      </c>
      <c r="F410" t="inlineStr">
        <is>
          <t>Bergvik skog väst AB</t>
        </is>
      </c>
      <c r="G410" t="n">
        <v>2.8</v>
      </c>
      <c r="H410" t="n">
        <v>0</v>
      </c>
      <c r="I410" t="n">
        <v>0</v>
      </c>
      <c r="J410" t="n">
        <v>0</v>
      </c>
      <c r="K410" t="n">
        <v>0</v>
      </c>
      <c r="L410" t="n">
        <v>0</v>
      </c>
      <c r="M410" t="n">
        <v>0</v>
      </c>
      <c r="N410" t="n">
        <v>0</v>
      </c>
      <c r="O410" t="n">
        <v>0</v>
      </c>
      <c r="P410" t="n">
        <v>0</v>
      </c>
      <c r="Q410" t="n">
        <v>0</v>
      </c>
      <c r="R410" s="2" t="inlineStr"/>
    </row>
    <row r="411" ht="15" customHeight="1">
      <c r="A411" t="inlineStr">
        <is>
          <t>A 42284-2025</t>
        </is>
      </c>
      <c r="B411" s="1" t="n">
        <v>45903</v>
      </c>
      <c r="C411" s="1" t="n">
        <v>45924</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33593-2024</t>
        </is>
      </c>
      <c r="B412" s="1" t="n">
        <v>45520.36055555556</v>
      </c>
      <c r="C412" s="1" t="n">
        <v>45924</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36017-2025</t>
        </is>
      </c>
      <c r="B413" s="1" t="n">
        <v>45863</v>
      </c>
      <c r="C413" s="1" t="n">
        <v>45924</v>
      </c>
      <c r="D413" t="inlineStr">
        <is>
          <t>DALARNAS LÄN</t>
        </is>
      </c>
      <c r="E413" t="inlineStr">
        <is>
          <t>LEKSAND</t>
        </is>
      </c>
      <c r="F413" t="inlineStr">
        <is>
          <t>Bergvik skog väst AB</t>
        </is>
      </c>
      <c r="G413" t="n">
        <v>17.9</v>
      </c>
      <c r="H413" t="n">
        <v>0</v>
      </c>
      <c r="I413" t="n">
        <v>0</v>
      </c>
      <c r="J413" t="n">
        <v>0</v>
      </c>
      <c r="K413" t="n">
        <v>0</v>
      </c>
      <c r="L413" t="n">
        <v>0</v>
      </c>
      <c r="M413" t="n">
        <v>0</v>
      </c>
      <c r="N413" t="n">
        <v>0</v>
      </c>
      <c r="O413" t="n">
        <v>0</v>
      </c>
      <c r="P413" t="n">
        <v>0</v>
      </c>
      <c r="Q413" t="n">
        <v>0</v>
      </c>
      <c r="R413" s="2" t="inlineStr"/>
    </row>
    <row r="414" ht="15" customHeight="1">
      <c r="A414" t="inlineStr">
        <is>
          <t>A 7778-2025</t>
        </is>
      </c>
      <c r="B414" s="1" t="n">
        <v>45706</v>
      </c>
      <c r="C414" s="1" t="n">
        <v>45924</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35998-2025</t>
        </is>
      </c>
      <c r="B415" s="1" t="n">
        <v>45863.51550925926</v>
      </c>
      <c r="C415" s="1" t="n">
        <v>45924</v>
      </c>
      <c r="D415" t="inlineStr">
        <is>
          <t>DALARNAS LÄN</t>
        </is>
      </c>
      <c r="E415" t="inlineStr">
        <is>
          <t>LEKSAND</t>
        </is>
      </c>
      <c r="G415" t="n">
        <v>2</v>
      </c>
      <c r="H415" t="n">
        <v>0</v>
      </c>
      <c r="I415" t="n">
        <v>0</v>
      </c>
      <c r="J415" t="n">
        <v>0</v>
      </c>
      <c r="K415" t="n">
        <v>0</v>
      </c>
      <c r="L415" t="n">
        <v>0</v>
      </c>
      <c r="M415" t="n">
        <v>0</v>
      </c>
      <c r="N415" t="n">
        <v>0</v>
      </c>
      <c r="O415" t="n">
        <v>0</v>
      </c>
      <c r="P415" t="n">
        <v>0</v>
      </c>
      <c r="Q415" t="n">
        <v>0</v>
      </c>
      <c r="R415" s="2" t="inlineStr"/>
    </row>
    <row r="416" ht="15" customHeight="1">
      <c r="A416" t="inlineStr">
        <is>
          <t>A 36021-2025</t>
        </is>
      </c>
      <c r="B416" s="1" t="n">
        <v>45863.72346064815</v>
      </c>
      <c r="C416" s="1" t="n">
        <v>45924</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23892-2025</t>
        </is>
      </c>
      <c r="B417" s="1" t="n">
        <v>45793</v>
      </c>
      <c r="C417" s="1" t="n">
        <v>45924</v>
      </c>
      <c r="D417" t="inlineStr">
        <is>
          <t>DALARNAS LÄN</t>
        </is>
      </c>
      <c r="E417" t="inlineStr">
        <is>
          <t>LEKSAND</t>
        </is>
      </c>
      <c r="F417" t="inlineStr">
        <is>
          <t>Kommuner</t>
        </is>
      </c>
      <c r="G417" t="n">
        <v>1.5</v>
      </c>
      <c r="H417" t="n">
        <v>0</v>
      </c>
      <c r="I417" t="n">
        <v>0</v>
      </c>
      <c r="J417" t="n">
        <v>0</v>
      </c>
      <c r="K417" t="n">
        <v>0</v>
      </c>
      <c r="L417" t="n">
        <v>0</v>
      </c>
      <c r="M417" t="n">
        <v>0</v>
      </c>
      <c r="N417" t="n">
        <v>0</v>
      </c>
      <c r="O417" t="n">
        <v>0</v>
      </c>
      <c r="P417" t="n">
        <v>0</v>
      </c>
      <c r="Q417" t="n">
        <v>0</v>
      </c>
      <c r="R417" s="2" t="inlineStr"/>
    </row>
    <row r="418" ht="15" customHeight="1">
      <c r="A418" t="inlineStr">
        <is>
          <t>A 12857-2023</t>
        </is>
      </c>
      <c r="B418" s="1" t="n">
        <v>45001.5000462963</v>
      </c>
      <c r="C418" s="1" t="n">
        <v>45924</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36190-2025</t>
        </is>
      </c>
      <c r="B419" s="1" t="n">
        <v>45867</v>
      </c>
      <c r="C419" s="1" t="n">
        <v>45924</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32072-2024</t>
        </is>
      </c>
      <c r="B420" s="1" t="n">
        <v>45510.98405092592</v>
      </c>
      <c r="C420" s="1" t="n">
        <v>45924</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9105-2024</t>
        </is>
      </c>
      <c r="B421" s="1" t="n">
        <v>45357</v>
      </c>
      <c r="C421" s="1" t="n">
        <v>45924</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56299-2024</t>
        </is>
      </c>
      <c r="B422" s="1" t="n">
        <v>45624.68607638889</v>
      </c>
      <c r="C422" s="1" t="n">
        <v>45924</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17483-2025</t>
        </is>
      </c>
      <c r="B423" s="1" t="n">
        <v>45757.49408564815</v>
      </c>
      <c r="C423" s="1" t="n">
        <v>45924</v>
      </c>
      <c r="D423" t="inlineStr">
        <is>
          <t>DALARNAS LÄN</t>
        </is>
      </c>
      <c r="E423" t="inlineStr">
        <is>
          <t>LEKSAND</t>
        </is>
      </c>
      <c r="G423" t="n">
        <v>4.1</v>
      </c>
      <c r="H423" t="n">
        <v>0</v>
      </c>
      <c r="I423" t="n">
        <v>0</v>
      </c>
      <c r="J423" t="n">
        <v>0</v>
      </c>
      <c r="K423" t="n">
        <v>0</v>
      </c>
      <c r="L423" t="n">
        <v>0</v>
      </c>
      <c r="M423" t="n">
        <v>0</v>
      </c>
      <c r="N423" t="n">
        <v>0</v>
      </c>
      <c r="O423" t="n">
        <v>0</v>
      </c>
      <c r="P423" t="n">
        <v>0</v>
      </c>
      <c r="Q423" t="n">
        <v>0</v>
      </c>
      <c r="R423" s="2" t="inlineStr"/>
    </row>
    <row r="424" ht="15" customHeight="1">
      <c r="A424" t="inlineStr">
        <is>
          <t>A 24005-2024</t>
        </is>
      </c>
      <c r="B424" s="1" t="n">
        <v>45456.39239583333</v>
      </c>
      <c r="C424" s="1" t="n">
        <v>45924</v>
      </c>
      <c r="D424" t="inlineStr">
        <is>
          <t>DALARNAS LÄN</t>
        </is>
      </c>
      <c r="E424" t="inlineStr">
        <is>
          <t>LEKSAND</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61225-2023</t>
        </is>
      </c>
      <c r="B425" s="1" t="n">
        <v>45264</v>
      </c>
      <c r="C425" s="1" t="n">
        <v>45924</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43629-2025</t>
        </is>
      </c>
      <c r="B426" s="1" t="n">
        <v>45911.70180555555</v>
      </c>
      <c r="C426" s="1" t="n">
        <v>45924</v>
      </c>
      <c r="D426" t="inlineStr">
        <is>
          <t>DALARNAS LÄN</t>
        </is>
      </c>
      <c r="E426" t="inlineStr">
        <is>
          <t>LEKSAND</t>
        </is>
      </c>
      <c r="G426" t="n">
        <v>2.1</v>
      </c>
      <c r="H426" t="n">
        <v>0</v>
      </c>
      <c r="I426" t="n">
        <v>0</v>
      </c>
      <c r="J426" t="n">
        <v>0</v>
      </c>
      <c r="K426" t="n">
        <v>0</v>
      </c>
      <c r="L426" t="n">
        <v>0</v>
      </c>
      <c r="M426" t="n">
        <v>0</v>
      </c>
      <c r="N426" t="n">
        <v>0</v>
      </c>
      <c r="O426" t="n">
        <v>0</v>
      </c>
      <c r="P426" t="n">
        <v>0</v>
      </c>
      <c r="Q426" t="n">
        <v>0</v>
      </c>
      <c r="R426" s="2" t="inlineStr"/>
    </row>
    <row r="427" ht="15" customHeight="1">
      <c r="A427" t="inlineStr">
        <is>
          <t>A 15968-2025</t>
        </is>
      </c>
      <c r="B427" s="1" t="n">
        <v>45749.54818287037</v>
      </c>
      <c r="C427" s="1" t="n">
        <v>45924</v>
      </c>
      <c r="D427" t="inlineStr">
        <is>
          <t>DALARNAS LÄN</t>
        </is>
      </c>
      <c r="E427" t="inlineStr">
        <is>
          <t>LEKSAND</t>
        </is>
      </c>
      <c r="G427" t="n">
        <v>3.2</v>
      </c>
      <c r="H427" t="n">
        <v>0</v>
      </c>
      <c r="I427" t="n">
        <v>0</v>
      </c>
      <c r="J427" t="n">
        <v>0</v>
      </c>
      <c r="K427" t="n">
        <v>0</v>
      </c>
      <c r="L427" t="n">
        <v>0</v>
      </c>
      <c r="M427" t="n">
        <v>0</v>
      </c>
      <c r="N427" t="n">
        <v>0</v>
      </c>
      <c r="O427" t="n">
        <v>0</v>
      </c>
      <c r="P427" t="n">
        <v>0</v>
      </c>
      <c r="Q427" t="n">
        <v>0</v>
      </c>
      <c r="R427" s="2" t="inlineStr"/>
    </row>
    <row r="428" ht="15" customHeight="1">
      <c r="A428" t="inlineStr">
        <is>
          <t>A 43607-2025</t>
        </is>
      </c>
      <c r="B428" s="1" t="n">
        <v>45911.66873842593</v>
      </c>
      <c r="C428" s="1" t="n">
        <v>45924</v>
      </c>
      <c r="D428" t="inlineStr">
        <is>
          <t>DALARNAS LÄN</t>
        </is>
      </c>
      <c r="E428" t="inlineStr">
        <is>
          <t>LEKSAND</t>
        </is>
      </c>
      <c r="G428" t="n">
        <v>7.3</v>
      </c>
      <c r="H428" t="n">
        <v>0</v>
      </c>
      <c r="I428" t="n">
        <v>0</v>
      </c>
      <c r="J428" t="n">
        <v>0</v>
      </c>
      <c r="K428" t="n">
        <v>0</v>
      </c>
      <c r="L428" t="n">
        <v>0</v>
      </c>
      <c r="M428" t="n">
        <v>0</v>
      </c>
      <c r="N428" t="n">
        <v>0</v>
      </c>
      <c r="O428" t="n">
        <v>0</v>
      </c>
      <c r="P428" t="n">
        <v>0</v>
      </c>
      <c r="Q428" t="n">
        <v>0</v>
      </c>
      <c r="R428" s="2" t="inlineStr"/>
    </row>
    <row r="429" ht="15" customHeight="1">
      <c r="A429" t="inlineStr">
        <is>
          <t>A 43158-2025</t>
        </is>
      </c>
      <c r="B429" s="1" t="n">
        <v>45910.35496527778</v>
      </c>
      <c r="C429" s="1" t="n">
        <v>45924</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18481-2024</t>
        </is>
      </c>
      <c r="B430" s="1" t="n">
        <v>45425.52193287037</v>
      </c>
      <c r="C430" s="1" t="n">
        <v>45924</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43628-2025</t>
        </is>
      </c>
      <c r="B431" s="1" t="n">
        <v>45911.70060185185</v>
      </c>
      <c r="C431" s="1" t="n">
        <v>45924</v>
      </c>
      <c r="D431" t="inlineStr">
        <is>
          <t>DALARNAS LÄN</t>
        </is>
      </c>
      <c r="E431" t="inlineStr">
        <is>
          <t>LEKSAND</t>
        </is>
      </c>
      <c r="G431" t="n">
        <v>1.4</v>
      </c>
      <c r="H431" t="n">
        <v>0</v>
      </c>
      <c r="I431" t="n">
        <v>0</v>
      </c>
      <c r="J431" t="n">
        <v>0</v>
      </c>
      <c r="K431" t="n">
        <v>0</v>
      </c>
      <c r="L431" t="n">
        <v>0</v>
      </c>
      <c r="M431" t="n">
        <v>0</v>
      </c>
      <c r="N431" t="n">
        <v>0</v>
      </c>
      <c r="O431" t="n">
        <v>0</v>
      </c>
      <c r="P431" t="n">
        <v>0</v>
      </c>
      <c r="Q431" t="n">
        <v>0</v>
      </c>
      <c r="R431" s="2" t="inlineStr"/>
    </row>
    <row r="432" ht="15" customHeight="1">
      <c r="A432" t="inlineStr">
        <is>
          <t>A 8046-2024</t>
        </is>
      </c>
      <c r="B432" s="1" t="n">
        <v>45351.31555555556</v>
      </c>
      <c r="C432" s="1" t="n">
        <v>45924</v>
      </c>
      <c r="D432" t="inlineStr">
        <is>
          <t>DALARNAS LÄN</t>
        </is>
      </c>
      <c r="E432" t="inlineStr">
        <is>
          <t>LEKSAND</t>
        </is>
      </c>
      <c r="G432" t="n">
        <v>2.9</v>
      </c>
      <c r="H432" t="n">
        <v>0</v>
      </c>
      <c r="I432" t="n">
        <v>0</v>
      </c>
      <c r="J432" t="n">
        <v>0</v>
      </c>
      <c r="K432" t="n">
        <v>0</v>
      </c>
      <c r="L432" t="n">
        <v>0</v>
      </c>
      <c r="M432" t="n">
        <v>0</v>
      </c>
      <c r="N432" t="n">
        <v>0</v>
      </c>
      <c r="O432" t="n">
        <v>0</v>
      </c>
      <c r="P432" t="n">
        <v>0</v>
      </c>
      <c r="Q432" t="n">
        <v>0</v>
      </c>
      <c r="R432" s="2" t="inlineStr"/>
    </row>
    <row r="433" ht="15" customHeight="1">
      <c r="A433" t="inlineStr">
        <is>
          <t>A 30196-2023</t>
        </is>
      </c>
      <c r="B433" s="1" t="n">
        <v>45110</v>
      </c>
      <c r="C433" s="1" t="n">
        <v>45924</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43630-2025</t>
        </is>
      </c>
      <c r="B434" s="1" t="n">
        <v>45911.70278935185</v>
      </c>
      <c r="C434" s="1" t="n">
        <v>45924</v>
      </c>
      <c r="D434" t="inlineStr">
        <is>
          <t>DALARNAS LÄN</t>
        </is>
      </c>
      <c r="E434" t="inlineStr">
        <is>
          <t>LEKSAND</t>
        </is>
      </c>
      <c r="G434" t="n">
        <v>4.7</v>
      </c>
      <c r="H434" t="n">
        <v>0</v>
      </c>
      <c r="I434" t="n">
        <v>0</v>
      </c>
      <c r="J434" t="n">
        <v>0</v>
      </c>
      <c r="K434" t="n">
        <v>0</v>
      </c>
      <c r="L434" t="n">
        <v>0</v>
      </c>
      <c r="M434" t="n">
        <v>0</v>
      </c>
      <c r="N434" t="n">
        <v>0</v>
      </c>
      <c r="O434" t="n">
        <v>0</v>
      </c>
      <c r="P434" t="n">
        <v>0</v>
      </c>
      <c r="Q434" t="n">
        <v>0</v>
      </c>
      <c r="R434" s="2" t="inlineStr"/>
    </row>
    <row r="435" ht="15" customHeight="1">
      <c r="A435" t="inlineStr">
        <is>
          <t>A 36540-2025</t>
        </is>
      </c>
      <c r="B435" s="1" t="n">
        <v>45869.63885416667</v>
      </c>
      <c r="C435" s="1" t="n">
        <v>45924</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7827-2024</t>
        </is>
      </c>
      <c r="B436" s="1" t="n">
        <v>45349.7467824074</v>
      </c>
      <c r="C436" s="1" t="n">
        <v>45924</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43195-2025</t>
        </is>
      </c>
      <c r="B437" s="1" t="n">
        <v>45910.4294212963</v>
      </c>
      <c r="C437" s="1" t="n">
        <v>45924</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10833-2023</t>
        </is>
      </c>
      <c r="B438" s="1" t="n">
        <v>44990</v>
      </c>
      <c r="C438" s="1" t="n">
        <v>45924</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47121-2021</t>
        </is>
      </c>
      <c r="B439" s="1" t="n">
        <v>44446</v>
      </c>
      <c r="C439" s="1" t="n">
        <v>45924</v>
      </c>
      <c r="D439" t="inlineStr">
        <is>
          <t>DALARNAS LÄN</t>
        </is>
      </c>
      <c r="E439" t="inlineStr">
        <is>
          <t>LEKSAND</t>
        </is>
      </c>
      <c r="G439" t="n">
        <v>3.5</v>
      </c>
      <c r="H439" t="n">
        <v>0</v>
      </c>
      <c r="I439" t="n">
        <v>0</v>
      </c>
      <c r="J439" t="n">
        <v>0</v>
      </c>
      <c r="K439" t="n">
        <v>0</v>
      </c>
      <c r="L439" t="n">
        <v>0</v>
      </c>
      <c r="M439" t="n">
        <v>0</v>
      </c>
      <c r="N439" t="n">
        <v>0</v>
      </c>
      <c r="O439" t="n">
        <v>0</v>
      </c>
      <c r="P439" t="n">
        <v>0</v>
      </c>
      <c r="Q439" t="n">
        <v>0</v>
      </c>
      <c r="R439" s="2" t="inlineStr"/>
    </row>
    <row r="440" ht="15" customHeight="1">
      <c r="A440" t="inlineStr">
        <is>
          <t>A 36444-2023</t>
        </is>
      </c>
      <c r="B440" s="1" t="n">
        <v>45152.63138888889</v>
      </c>
      <c r="C440" s="1" t="n">
        <v>45924</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41308-2025</t>
        </is>
      </c>
      <c r="B441" s="1" t="n">
        <v>45898</v>
      </c>
      <c r="C441" s="1" t="n">
        <v>45924</v>
      </c>
      <c r="D441" t="inlineStr">
        <is>
          <t>DALARNAS LÄN</t>
        </is>
      </c>
      <c r="E441" t="inlineStr">
        <is>
          <t>LEKSAND</t>
        </is>
      </c>
      <c r="F441" t="inlineStr">
        <is>
          <t>Bergvik skog väst AB</t>
        </is>
      </c>
      <c r="G441" t="n">
        <v>6.7</v>
      </c>
      <c r="H441" t="n">
        <v>0</v>
      </c>
      <c r="I441" t="n">
        <v>0</v>
      </c>
      <c r="J441" t="n">
        <v>0</v>
      </c>
      <c r="K441" t="n">
        <v>0</v>
      </c>
      <c r="L441" t="n">
        <v>0</v>
      </c>
      <c r="M441" t="n">
        <v>0</v>
      </c>
      <c r="N441" t="n">
        <v>0</v>
      </c>
      <c r="O441" t="n">
        <v>0</v>
      </c>
      <c r="P441" t="n">
        <v>0</v>
      </c>
      <c r="Q441" t="n">
        <v>0</v>
      </c>
      <c r="R441" s="2" t="inlineStr"/>
    </row>
    <row r="442" ht="15" customHeight="1">
      <c r="A442" t="inlineStr">
        <is>
          <t>A 21402-2023</t>
        </is>
      </c>
      <c r="B442" s="1" t="n">
        <v>45061</v>
      </c>
      <c r="C442" s="1" t="n">
        <v>45924</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31391-2024</t>
        </is>
      </c>
      <c r="B443" s="1" t="n">
        <v>45505.46616898148</v>
      </c>
      <c r="C443" s="1" t="n">
        <v>45924</v>
      </c>
      <c r="D443" t="inlineStr">
        <is>
          <t>DALARNAS LÄN</t>
        </is>
      </c>
      <c r="E443" t="inlineStr">
        <is>
          <t>LEKSAND</t>
        </is>
      </c>
      <c r="F443" t="inlineStr">
        <is>
          <t>Bergvik skog väst AB</t>
        </is>
      </c>
      <c r="G443" t="n">
        <v>2.7</v>
      </c>
      <c r="H443" t="n">
        <v>0</v>
      </c>
      <c r="I443" t="n">
        <v>0</v>
      </c>
      <c r="J443" t="n">
        <v>0</v>
      </c>
      <c r="K443" t="n">
        <v>0</v>
      </c>
      <c r="L443" t="n">
        <v>0</v>
      </c>
      <c r="M443" t="n">
        <v>0</v>
      </c>
      <c r="N443" t="n">
        <v>0</v>
      </c>
      <c r="O443" t="n">
        <v>0</v>
      </c>
      <c r="P443" t="n">
        <v>0</v>
      </c>
      <c r="Q443" t="n">
        <v>0</v>
      </c>
      <c r="R443" s="2" t="inlineStr"/>
    </row>
    <row r="444" ht="15" customHeight="1">
      <c r="A444" t="inlineStr">
        <is>
          <t>A 167-2023</t>
        </is>
      </c>
      <c r="B444" s="1" t="n">
        <v>44918</v>
      </c>
      <c r="C444" s="1" t="n">
        <v>45924</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43875-2025</t>
        </is>
      </c>
      <c r="B445" s="1" t="n">
        <v>45912.67685185185</v>
      </c>
      <c r="C445" s="1" t="n">
        <v>45924</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31850-2024</t>
        </is>
      </c>
      <c r="B446" s="1" t="n">
        <v>45509.67334490741</v>
      </c>
      <c r="C446" s="1" t="n">
        <v>45924</v>
      </c>
      <c r="D446" t="inlineStr">
        <is>
          <t>DALARNAS LÄN</t>
        </is>
      </c>
      <c r="E446" t="inlineStr">
        <is>
          <t>LEKSAND</t>
        </is>
      </c>
      <c r="G446" t="n">
        <v>0.5</v>
      </c>
      <c r="H446" t="n">
        <v>0</v>
      </c>
      <c r="I446" t="n">
        <v>0</v>
      </c>
      <c r="J446" t="n">
        <v>0</v>
      </c>
      <c r="K446" t="n">
        <v>0</v>
      </c>
      <c r="L446" t="n">
        <v>0</v>
      </c>
      <c r="M446" t="n">
        <v>0</v>
      </c>
      <c r="N446" t="n">
        <v>0</v>
      </c>
      <c r="O446" t="n">
        <v>0</v>
      </c>
      <c r="P446" t="n">
        <v>0</v>
      </c>
      <c r="Q446" t="n">
        <v>0</v>
      </c>
      <c r="R446" s="2" t="inlineStr"/>
    </row>
    <row r="447" ht="15" customHeight="1">
      <c r="A447" t="inlineStr">
        <is>
          <t>A 44237-2025</t>
        </is>
      </c>
      <c r="B447" s="1" t="n">
        <v>45915.6677199074</v>
      </c>
      <c r="C447" s="1" t="n">
        <v>45924</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43781-2025</t>
        </is>
      </c>
      <c r="B448" s="1" t="n">
        <v>45912.52229166667</v>
      </c>
      <c r="C448" s="1" t="n">
        <v>45924</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51677-2024</t>
        </is>
      </c>
      <c r="B449" s="1" t="n">
        <v>45607.30265046296</v>
      </c>
      <c r="C449" s="1" t="n">
        <v>45924</v>
      </c>
      <c r="D449" t="inlineStr">
        <is>
          <t>DALARNAS LÄN</t>
        </is>
      </c>
      <c r="E449" t="inlineStr">
        <is>
          <t>LEKSAND</t>
        </is>
      </c>
      <c r="G449" t="n">
        <v>3.4</v>
      </c>
      <c r="H449" t="n">
        <v>0</v>
      </c>
      <c r="I449" t="n">
        <v>0</v>
      </c>
      <c r="J449" t="n">
        <v>0</v>
      </c>
      <c r="K449" t="n">
        <v>0</v>
      </c>
      <c r="L449" t="n">
        <v>0</v>
      </c>
      <c r="M449" t="n">
        <v>0</v>
      </c>
      <c r="N449" t="n">
        <v>0</v>
      </c>
      <c r="O449" t="n">
        <v>0</v>
      </c>
      <c r="P449" t="n">
        <v>0</v>
      </c>
      <c r="Q449" t="n">
        <v>0</v>
      </c>
      <c r="R449" s="2" t="inlineStr"/>
    </row>
    <row r="450" ht="15" customHeight="1">
      <c r="A450" t="inlineStr">
        <is>
          <t>A 43735-2022</t>
        </is>
      </c>
      <c r="B450" s="1" t="n">
        <v>44837.70210648148</v>
      </c>
      <c r="C450" s="1" t="n">
        <v>45924</v>
      </c>
      <c r="D450" t="inlineStr">
        <is>
          <t>DALARNAS LÄN</t>
        </is>
      </c>
      <c r="E450" t="inlineStr">
        <is>
          <t>LEKSAND</t>
        </is>
      </c>
      <c r="G450" t="n">
        <v>2.9</v>
      </c>
      <c r="H450" t="n">
        <v>0</v>
      </c>
      <c r="I450" t="n">
        <v>0</v>
      </c>
      <c r="J450" t="n">
        <v>0</v>
      </c>
      <c r="K450" t="n">
        <v>0</v>
      </c>
      <c r="L450" t="n">
        <v>0</v>
      </c>
      <c r="M450" t="n">
        <v>0</v>
      </c>
      <c r="N450" t="n">
        <v>0</v>
      </c>
      <c r="O450" t="n">
        <v>0</v>
      </c>
      <c r="P450" t="n">
        <v>0</v>
      </c>
      <c r="Q450" t="n">
        <v>0</v>
      </c>
      <c r="R450" s="2" t="inlineStr"/>
    </row>
    <row r="451" ht="15" customHeight="1">
      <c r="A451" t="inlineStr">
        <is>
          <t>A 20936-2023</t>
        </is>
      </c>
      <c r="B451" s="1" t="n">
        <v>45061</v>
      </c>
      <c r="C451" s="1" t="n">
        <v>45924</v>
      </c>
      <c r="D451" t="inlineStr">
        <is>
          <t>DALARNAS LÄN</t>
        </is>
      </c>
      <c r="E451" t="inlineStr">
        <is>
          <t>LEKSAND</t>
        </is>
      </c>
      <c r="G451" t="n">
        <v>0.3</v>
      </c>
      <c r="H451" t="n">
        <v>0</v>
      </c>
      <c r="I451" t="n">
        <v>0</v>
      </c>
      <c r="J451" t="n">
        <v>0</v>
      </c>
      <c r="K451" t="n">
        <v>0</v>
      </c>
      <c r="L451" t="n">
        <v>0</v>
      </c>
      <c r="M451" t="n">
        <v>0</v>
      </c>
      <c r="N451" t="n">
        <v>0</v>
      </c>
      <c r="O451" t="n">
        <v>0</v>
      </c>
      <c r="P451" t="n">
        <v>0</v>
      </c>
      <c r="Q451" t="n">
        <v>0</v>
      </c>
      <c r="R451" s="2" t="inlineStr"/>
    </row>
    <row r="452" ht="15" customHeight="1">
      <c r="A452" t="inlineStr">
        <is>
          <t>A 27244-2023</t>
        </is>
      </c>
      <c r="B452" s="1" t="n">
        <v>45096</v>
      </c>
      <c r="C452" s="1" t="n">
        <v>45924</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44469-2024</t>
        </is>
      </c>
      <c r="B453" s="1" t="n">
        <v>45574</v>
      </c>
      <c r="C453" s="1" t="n">
        <v>45924</v>
      </c>
      <c r="D453" t="inlineStr">
        <is>
          <t>DALARNAS LÄN</t>
        </is>
      </c>
      <c r="E453" t="inlineStr">
        <is>
          <t>LEKSAND</t>
        </is>
      </c>
      <c r="G453" t="n">
        <v>2</v>
      </c>
      <c r="H453" t="n">
        <v>0</v>
      </c>
      <c r="I453" t="n">
        <v>0</v>
      </c>
      <c r="J453" t="n">
        <v>0</v>
      </c>
      <c r="K453" t="n">
        <v>0</v>
      </c>
      <c r="L453" t="n">
        <v>0</v>
      </c>
      <c r="M453" t="n">
        <v>0</v>
      </c>
      <c r="N453" t="n">
        <v>0</v>
      </c>
      <c r="O453" t="n">
        <v>0</v>
      </c>
      <c r="P453" t="n">
        <v>0</v>
      </c>
      <c r="Q453" t="n">
        <v>0</v>
      </c>
      <c r="R453" s="2" t="inlineStr"/>
    </row>
    <row r="454" ht="15" customHeight="1">
      <c r="A454" t="inlineStr">
        <is>
          <t>A 3183-2025</t>
        </is>
      </c>
      <c r="B454" s="1" t="n">
        <v>45679.40298611111</v>
      </c>
      <c r="C454" s="1" t="n">
        <v>45924</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53464-2024</t>
        </is>
      </c>
      <c r="B455" s="1" t="n">
        <v>45611</v>
      </c>
      <c r="C455" s="1" t="n">
        <v>45924</v>
      </c>
      <c r="D455" t="inlineStr">
        <is>
          <t>DALARNAS LÄN</t>
        </is>
      </c>
      <c r="E455" t="inlineStr">
        <is>
          <t>LEKSAND</t>
        </is>
      </c>
      <c r="G455" t="n">
        <v>1.7</v>
      </c>
      <c r="H455" t="n">
        <v>0</v>
      </c>
      <c r="I455" t="n">
        <v>0</v>
      </c>
      <c r="J455" t="n">
        <v>0</v>
      </c>
      <c r="K455" t="n">
        <v>0</v>
      </c>
      <c r="L455" t="n">
        <v>0</v>
      </c>
      <c r="M455" t="n">
        <v>0</v>
      </c>
      <c r="N455" t="n">
        <v>0</v>
      </c>
      <c r="O455" t="n">
        <v>0</v>
      </c>
      <c r="P455" t="n">
        <v>0</v>
      </c>
      <c r="Q455" t="n">
        <v>0</v>
      </c>
      <c r="R455" s="2" t="inlineStr"/>
    </row>
    <row r="456" ht="15" customHeight="1">
      <c r="A456" t="inlineStr">
        <is>
          <t>A 16592-2023</t>
        </is>
      </c>
      <c r="B456" s="1" t="n">
        <v>45030</v>
      </c>
      <c r="C456" s="1" t="n">
        <v>45924</v>
      </c>
      <c r="D456" t="inlineStr">
        <is>
          <t>DALARNAS LÄN</t>
        </is>
      </c>
      <c r="E456" t="inlineStr">
        <is>
          <t>LEKSAND</t>
        </is>
      </c>
      <c r="G456" t="n">
        <v>11.5</v>
      </c>
      <c r="H456" t="n">
        <v>0</v>
      </c>
      <c r="I456" t="n">
        <v>0</v>
      </c>
      <c r="J456" t="n">
        <v>0</v>
      </c>
      <c r="K456" t="n">
        <v>0</v>
      </c>
      <c r="L456" t="n">
        <v>0</v>
      </c>
      <c r="M456" t="n">
        <v>0</v>
      </c>
      <c r="N456" t="n">
        <v>0</v>
      </c>
      <c r="O456" t="n">
        <v>0</v>
      </c>
      <c r="P456" t="n">
        <v>0</v>
      </c>
      <c r="Q456" t="n">
        <v>0</v>
      </c>
      <c r="R456" s="2" t="inlineStr"/>
    </row>
    <row r="457" ht="15" customHeight="1">
      <c r="A457" t="inlineStr">
        <is>
          <t>A 12290-2024</t>
        </is>
      </c>
      <c r="B457" s="1" t="n">
        <v>45378.57877314815</v>
      </c>
      <c r="C457" s="1" t="n">
        <v>45924</v>
      </c>
      <c r="D457" t="inlineStr">
        <is>
          <t>DALARNAS LÄN</t>
        </is>
      </c>
      <c r="E457" t="inlineStr">
        <is>
          <t>LEKSAND</t>
        </is>
      </c>
      <c r="G457" t="n">
        <v>2.5</v>
      </c>
      <c r="H457" t="n">
        <v>0</v>
      </c>
      <c r="I457" t="n">
        <v>0</v>
      </c>
      <c r="J457" t="n">
        <v>0</v>
      </c>
      <c r="K457" t="n">
        <v>0</v>
      </c>
      <c r="L457" t="n">
        <v>0</v>
      </c>
      <c r="M457" t="n">
        <v>0</v>
      </c>
      <c r="N457" t="n">
        <v>0</v>
      </c>
      <c r="O457" t="n">
        <v>0</v>
      </c>
      <c r="P457" t="n">
        <v>0</v>
      </c>
      <c r="Q457" t="n">
        <v>0</v>
      </c>
      <c r="R457" s="2" t="inlineStr"/>
    </row>
    <row r="458" ht="15" customHeight="1">
      <c r="A458" t="inlineStr">
        <is>
          <t>A 46628-2024</t>
        </is>
      </c>
      <c r="B458" s="1" t="n">
        <v>45583.33195601852</v>
      </c>
      <c r="C458" s="1" t="n">
        <v>45924</v>
      </c>
      <c r="D458" t="inlineStr">
        <is>
          <t>DALARNAS LÄN</t>
        </is>
      </c>
      <c r="E458" t="inlineStr">
        <is>
          <t>LEKSAND</t>
        </is>
      </c>
      <c r="G458" t="n">
        <v>0.2</v>
      </c>
      <c r="H458" t="n">
        <v>0</v>
      </c>
      <c r="I458" t="n">
        <v>0</v>
      </c>
      <c r="J458" t="n">
        <v>0</v>
      </c>
      <c r="K458" t="n">
        <v>0</v>
      </c>
      <c r="L458" t="n">
        <v>0</v>
      </c>
      <c r="M458" t="n">
        <v>0</v>
      </c>
      <c r="N458" t="n">
        <v>0</v>
      </c>
      <c r="O458" t="n">
        <v>0</v>
      </c>
      <c r="P458" t="n">
        <v>0</v>
      </c>
      <c r="Q458" t="n">
        <v>0</v>
      </c>
      <c r="R458" s="2" t="inlineStr"/>
    </row>
    <row r="459" ht="15" customHeight="1">
      <c r="A459" t="inlineStr">
        <is>
          <t>A 17606-2024</t>
        </is>
      </c>
      <c r="B459" s="1" t="n">
        <v>45415</v>
      </c>
      <c r="C459" s="1" t="n">
        <v>45924</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39819-2024</t>
        </is>
      </c>
      <c r="B460" s="1" t="n">
        <v>45553.38774305556</v>
      </c>
      <c r="C460" s="1" t="n">
        <v>45924</v>
      </c>
      <c r="D460" t="inlineStr">
        <is>
          <t>DALARNAS LÄN</t>
        </is>
      </c>
      <c r="E460" t="inlineStr">
        <is>
          <t>LEKSAND</t>
        </is>
      </c>
      <c r="F460" t="inlineStr">
        <is>
          <t>Bergvik skog väst AB</t>
        </is>
      </c>
      <c r="G460" t="n">
        <v>3.7</v>
      </c>
      <c r="H460" t="n">
        <v>0</v>
      </c>
      <c r="I460" t="n">
        <v>0</v>
      </c>
      <c r="J460" t="n">
        <v>0</v>
      </c>
      <c r="K460" t="n">
        <v>0</v>
      </c>
      <c r="L460" t="n">
        <v>0</v>
      </c>
      <c r="M460" t="n">
        <v>0</v>
      </c>
      <c r="N460" t="n">
        <v>0</v>
      </c>
      <c r="O460" t="n">
        <v>0</v>
      </c>
      <c r="P460" t="n">
        <v>0</v>
      </c>
      <c r="Q460" t="n">
        <v>0</v>
      </c>
      <c r="R460" s="2" t="inlineStr"/>
    </row>
    <row r="461" ht="15" customHeight="1">
      <c r="A461" t="inlineStr">
        <is>
          <t>A 43222-2024</t>
        </is>
      </c>
      <c r="B461" s="1" t="n">
        <v>45567.87177083334</v>
      </c>
      <c r="C461" s="1" t="n">
        <v>45924</v>
      </c>
      <c r="D461" t="inlineStr">
        <is>
          <t>DALARNAS LÄN</t>
        </is>
      </c>
      <c r="E461" t="inlineStr">
        <is>
          <t>LEKSAND</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36450-2023</t>
        </is>
      </c>
      <c r="B462" s="1" t="n">
        <v>45152.64842592592</v>
      </c>
      <c r="C462" s="1" t="n">
        <v>45924</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164-2023</t>
        </is>
      </c>
      <c r="B463" s="1" t="n">
        <v>44918</v>
      </c>
      <c r="C463" s="1" t="n">
        <v>45924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43231-2024</t>
        </is>
      </c>
      <c r="B464" s="1" t="n">
        <v>45567.89709490741</v>
      </c>
      <c r="C464" s="1" t="n">
        <v>45924</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17533-2023</t>
        </is>
      </c>
      <c r="B465" s="1" t="n">
        <v>45036</v>
      </c>
      <c r="C465" s="1" t="n">
        <v>45924</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44672-2025</t>
        </is>
      </c>
      <c r="B466" s="1" t="n">
        <v>45917.56780092593</v>
      </c>
      <c r="C466" s="1" t="n">
        <v>45924</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19559-2023</t>
        </is>
      </c>
      <c r="B467" s="1" t="n">
        <v>45050</v>
      </c>
      <c r="C467" s="1" t="n">
        <v>45924</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48721-2023</t>
        </is>
      </c>
      <c r="B468" s="1" t="n">
        <v>45203</v>
      </c>
      <c r="C468" s="1" t="n">
        <v>45924</v>
      </c>
      <c r="D468" t="inlineStr">
        <is>
          <t>DALARNAS LÄN</t>
        </is>
      </c>
      <c r="E468" t="inlineStr">
        <is>
          <t>LEKSAND</t>
        </is>
      </c>
      <c r="G468" t="n">
        <v>2.9</v>
      </c>
      <c r="H468" t="n">
        <v>0</v>
      </c>
      <c r="I468" t="n">
        <v>0</v>
      </c>
      <c r="J468" t="n">
        <v>0</v>
      </c>
      <c r="K468" t="n">
        <v>0</v>
      </c>
      <c r="L468" t="n">
        <v>0</v>
      </c>
      <c r="M468" t="n">
        <v>0</v>
      </c>
      <c r="N468" t="n">
        <v>0</v>
      </c>
      <c r="O468" t="n">
        <v>0</v>
      </c>
      <c r="P468" t="n">
        <v>0</v>
      </c>
      <c r="Q468" t="n">
        <v>0</v>
      </c>
      <c r="R468" s="2" t="inlineStr"/>
    </row>
    <row r="469" ht="15" customHeight="1">
      <c r="A469" t="inlineStr">
        <is>
          <t>A 43142-2024</t>
        </is>
      </c>
      <c r="B469" s="1" t="n">
        <v>45567.62144675926</v>
      </c>
      <c r="C469" s="1" t="n">
        <v>45924</v>
      </c>
      <c r="D469" t="inlineStr">
        <is>
          <t>DALARNAS LÄN</t>
        </is>
      </c>
      <c r="E469" t="inlineStr">
        <is>
          <t>LEKSAND</t>
        </is>
      </c>
      <c r="F469" t="inlineStr">
        <is>
          <t>Bergvik skog väst AB</t>
        </is>
      </c>
      <c r="G469" t="n">
        <v>2.9</v>
      </c>
      <c r="H469" t="n">
        <v>0</v>
      </c>
      <c r="I469" t="n">
        <v>0</v>
      </c>
      <c r="J469" t="n">
        <v>0</v>
      </c>
      <c r="K469" t="n">
        <v>0</v>
      </c>
      <c r="L469" t="n">
        <v>0</v>
      </c>
      <c r="M469" t="n">
        <v>0</v>
      </c>
      <c r="N469" t="n">
        <v>0</v>
      </c>
      <c r="O469" t="n">
        <v>0</v>
      </c>
      <c r="P469" t="n">
        <v>0</v>
      </c>
      <c r="Q469" t="n">
        <v>0</v>
      </c>
      <c r="R469" s="2" t="inlineStr"/>
    </row>
    <row r="470" ht="15" customHeight="1">
      <c r="A470" t="inlineStr">
        <is>
          <t>A 54914-2024</t>
        </is>
      </c>
      <c r="B470" s="1" t="n">
        <v>45618.69380787037</v>
      </c>
      <c r="C470" s="1" t="n">
        <v>45924</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44516-2025</t>
        </is>
      </c>
      <c r="B471" s="1" t="n">
        <v>45916.70982638889</v>
      </c>
      <c r="C471" s="1" t="n">
        <v>45924</v>
      </c>
      <c r="D471" t="inlineStr">
        <is>
          <t>DALARNAS LÄN</t>
        </is>
      </c>
      <c r="E471" t="inlineStr">
        <is>
          <t>LEKSAND</t>
        </is>
      </c>
      <c r="G471" t="n">
        <v>1.8</v>
      </c>
      <c r="H471" t="n">
        <v>0</v>
      </c>
      <c r="I471" t="n">
        <v>0</v>
      </c>
      <c r="J471" t="n">
        <v>0</v>
      </c>
      <c r="K471" t="n">
        <v>0</v>
      </c>
      <c r="L471" t="n">
        <v>0</v>
      </c>
      <c r="M471" t="n">
        <v>0</v>
      </c>
      <c r="N471" t="n">
        <v>0</v>
      </c>
      <c r="O471" t="n">
        <v>0</v>
      </c>
      <c r="P471" t="n">
        <v>0</v>
      </c>
      <c r="Q471" t="n">
        <v>0</v>
      </c>
      <c r="R471" s="2" t="inlineStr"/>
    </row>
    <row r="472" ht="15" customHeight="1">
      <c r="A472" t="inlineStr">
        <is>
          <t>A 44519-2025</t>
        </is>
      </c>
      <c r="B472" s="1" t="n">
        <v>45916.71483796297</v>
      </c>
      <c r="C472" s="1" t="n">
        <v>45924</v>
      </c>
      <c r="D472" t="inlineStr">
        <is>
          <t>DALARNAS LÄN</t>
        </is>
      </c>
      <c r="E472" t="inlineStr">
        <is>
          <t>LEKSAND</t>
        </is>
      </c>
      <c r="G472" t="n">
        <v>3.6</v>
      </c>
      <c r="H472" t="n">
        <v>0</v>
      </c>
      <c r="I472" t="n">
        <v>0</v>
      </c>
      <c r="J472" t="n">
        <v>0</v>
      </c>
      <c r="K472" t="n">
        <v>0</v>
      </c>
      <c r="L472" t="n">
        <v>0</v>
      </c>
      <c r="M472" t="n">
        <v>0</v>
      </c>
      <c r="N472" t="n">
        <v>0</v>
      </c>
      <c r="O472" t="n">
        <v>0</v>
      </c>
      <c r="P472" t="n">
        <v>0</v>
      </c>
      <c r="Q472" t="n">
        <v>0</v>
      </c>
      <c r="R472" s="2" t="inlineStr"/>
    </row>
    <row r="473" ht="15" customHeight="1">
      <c r="A473" t="inlineStr">
        <is>
          <t>A 1984-2025</t>
        </is>
      </c>
      <c r="B473" s="1" t="n">
        <v>45670</v>
      </c>
      <c r="C473" s="1" t="n">
        <v>45924</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39921-2024</t>
        </is>
      </c>
      <c r="B474" s="1" t="n">
        <v>45553</v>
      </c>
      <c r="C474" s="1" t="n">
        <v>45924</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1443-2024</t>
        </is>
      </c>
      <c r="B475" s="1" t="n">
        <v>45303</v>
      </c>
      <c r="C475" s="1" t="n">
        <v>45924</v>
      </c>
      <c r="D475" t="inlineStr">
        <is>
          <t>DALARNAS LÄN</t>
        </is>
      </c>
      <c r="E475" t="inlineStr">
        <is>
          <t>LEKSAND</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58244-2024</t>
        </is>
      </c>
      <c r="B476" s="1" t="n">
        <v>45631</v>
      </c>
      <c r="C476" s="1" t="n">
        <v>45924</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61546-2021</t>
        </is>
      </c>
      <c r="B477" s="1" t="n">
        <v>44501</v>
      </c>
      <c r="C477" s="1" t="n">
        <v>45924</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37508-2025</t>
        </is>
      </c>
      <c r="B478" s="1" t="n">
        <v>45877.66282407408</v>
      </c>
      <c r="C478" s="1" t="n">
        <v>45924</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41046-2024</t>
        </is>
      </c>
      <c r="B479" s="1" t="n">
        <v>45559.36677083333</v>
      </c>
      <c r="C479" s="1" t="n">
        <v>45924</v>
      </c>
      <c r="D479" t="inlineStr">
        <is>
          <t>DALARNAS LÄN</t>
        </is>
      </c>
      <c r="E479" t="inlineStr">
        <is>
          <t>LEKSAND</t>
        </is>
      </c>
      <c r="G479" t="n">
        <v>1.9</v>
      </c>
      <c r="H479" t="n">
        <v>0</v>
      </c>
      <c r="I479" t="n">
        <v>0</v>
      </c>
      <c r="J479" t="n">
        <v>0</v>
      </c>
      <c r="K479" t="n">
        <v>0</v>
      </c>
      <c r="L479" t="n">
        <v>0</v>
      </c>
      <c r="M479" t="n">
        <v>0</v>
      </c>
      <c r="N479" t="n">
        <v>0</v>
      </c>
      <c r="O479" t="n">
        <v>0</v>
      </c>
      <c r="P479" t="n">
        <v>0</v>
      </c>
      <c r="Q479" t="n">
        <v>0</v>
      </c>
      <c r="R479" s="2" t="inlineStr"/>
    </row>
    <row r="480" ht="15" customHeight="1">
      <c r="A480" t="inlineStr">
        <is>
          <t>A 27317-2021</t>
        </is>
      </c>
      <c r="B480" s="1" t="n">
        <v>44351</v>
      </c>
      <c r="C480" s="1" t="n">
        <v>45924</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16005-2025</t>
        </is>
      </c>
      <c r="B481" s="1" t="n">
        <v>45749.59765046297</v>
      </c>
      <c r="C481" s="1" t="n">
        <v>45924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27446-2024</t>
        </is>
      </c>
      <c r="B482" s="1" t="n">
        <v>45474.42671296297</v>
      </c>
      <c r="C482" s="1" t="n">
        <v>45924</v>
      </c>
      <c r="D482" t="inlineStr">
        <is>
          <t>DALARNAS LÄN</t>
        </is>
      </c>
      <c r="E482" t="inlineStr">
        <is>
          <t>LEKSAND</t>
        </is>
      </c>
      <c r="G482" t="n">
        <v>2.9</v>
      </c>
      <c r="H482" t="n">
        <v>0</v>
      </c>
      <c r="I482" t="n">
        <v>0</v>
      </c>
      <c r="J482" t="n">
        <v>0</v>
      </c>
      <c r="K482" t="n">
        <v>0</v>
      </c>
      <c r="L482" t="n">
        <v>0</v>
      </c>
      <c r="M482" t="n">
        <v>0</v>
      </c>
      <c r="N482" t="n">
        <v>0</v>
      </c>
      <c r="O482" t="n">
        <v>0</v>
      </c>
      <c r="P482" t="n">
        <v>0</v>
      </c>
      <c r="Q482" t="n">
        <v>0</v>
      </c>
      <c r="R482" s="2" t="inlineStr"/>
    </row>
    <row r="483" ht="15" customHeight="1">
      <c r="A483" t="inlineStr">
        <is>
          <t>A 12923-2025</t>
        </is>
      </c>
      <c r="B483" s="1" t="n">
        <v>45734.29193287037</v>
      </c>
      <c r="C483" s="1" t="n">
        <v>45924</v>
      </c>
      <c r="D483" t="inlineStr">
        <is>
          <t>DALARNAS LÄN</t>
        </is>
      </c>
      <c r="E483" t="inlineStr">
        <is>
          <t>LEKSAND</t>
        </is>
      </c>
      <c r="G483" t="n">
        <v>7.2</v>
      </c>
      <c r="H483" t="n">
        <v>0</v>
      </c>
      <c r="I483" t="n">
        <v>0</v>
      </c>
      <c r="J483" t="n">
        <v>0</v>
      </c>
      <c r="K483" t="n">
        <v>0</v>
      </c>
      <c r="L483" t="n">
        <v>0</v>
      </c>
      <c r="M483" t="n">
        <v>0</v>
      </c>
      <c r="N483" t="n">
        <v>0</v>
      </c>
      <c r="O483" t="n">
        <v>0</v>
      </c>
      <c r="P483" t="n">
        <v>0</v>
      </c>
      <c r="Q483" t="n">
        <v>0</v>
      </c>
      <c r="R483" s="2" t="inlineStr"/>
    </row>
    <row r="484" ht="15" customHeight="1">
      <c r="A484" t="inlineStr">
        <is>
          <t>A 5738-2023</t>
        </is>
      </c>
      <c r="B484" s="1" t="n">
        <v>44962</v>
      </c>
      <c r="C484" s="1" t="n">
        <v>45924</v>
      </c>
      <c r="D484" t="inlineStr">
        <is>
          <t>DALARNAS LÄN</t>
        </is>
      </c>
      <c r="E484" t="inlineStr">
        <is>
          <t>LEKSAND</t>
        </is>
      </c>
      <c r="G484" t="n">
        <v>0.2</v>
      </c>
      <c r="H484" t="n">
        <v>0</v>
      </c>
      <c r="I484" t="n">
        <v>0</v>
      </c>
      <c r="J484" t="n">
        <v>0</v>
      </c>
      <c r="K484" t="n">
        <v>0</v>
      </c>
      <c r="L484" t="n">
        <v>0</v>
      </c>
      <c r="M484" t="n">
        <v>0</v>
      </c>
      <c r="N484" t="n">
        <v>0</v>
      </c>
      <c r="O484" t="n">
        <v>0</v>
      </c>
      <c r="P484" t="n">
        <v>0</v>
      </c>
      <c r="Q484" t="n">
        <v>0</v>
      </c>
      <c r="R484" s="2" t="inlineStr"/>
    </row>
    <row r="485" ht="15" customHeight="1">
      <c r="A485" t="inlineStr">
        <is>
          <t>A 44948-2025</t>
        </is>
      </c>
      <c r="B485" s="1" t="n">
        <v>45918.60555555556</v>
      </c>
      <c r="C485" s="1" t="n">
        <v>45924</v>
      </c>
      <c r="D485" t="inlineStr">
        <is>
          <t>DALARNAS LÄN</t>
        </is>
      </c>
      <c r="E485" t="inlineStr">
        <is>
          <t>LEKSAND</t>
        </is>
      </c>
      <c r="G485" t="n">
        <v>5.1</v>
      </c>
      <c r="H485" t="n">
        <v>0</v>
      </c>
      <c r="I485" t="n">
        <v>0</v>
      </c>
      <c r="J485" t="n">
        <v>0</v>
      </c>
      <c r="K485" t="n">
        <v>0</v>
      </c>
      <c r="L485" t="n">
        <v>0</v>
      </c>
      <c r="M485" t="n">
        <v>0</v>
      </c>
      <c r="N485" t="n">
        <v>0</v>
      </c>
      <c r="O485" t="n">
        <v>0</v>
      </c>
      <c r="P485" t="n">
        <v>0</v>
      </c>
      <c r="Q485" t="n">
        <v>0</v>
      </c>
      <c r="R485" s="2" t="inlineStr"/>
    </row>
    <row r="486" ht="15" customHeight="1">
      <c r="A486" t="inlineStr">
        <is>
          <t>A 8940-2023</t>
        </is>
      </c>
      <c r="B486" s="1" t="n">
        <v>44974</v>
      </c>
      <c r="C486" s="1" t="n">
        <v>45924</v>
      </c>
      <c r="D486" t="inlineStr">
        <is>
          <t>DALARNAS LÄN</t>
        </is>
      </c>
      <c r="E486" t="inlineStr">
        <is>
          <t>LEKSAND</t>
        </is>
      </c>
      <c r="G486" t="n">
        <v>1.5</v>
      </c>
      <c r="H486" t="n">
        <v>0</v>
      </c>
      <c r="I486" t="n">
        <v>0</v>
      </c>
      <c r="J486" t="n">
        <v>0</v>
      </c>
      <c r="K486" t="n">
        <v>0</v>
      </c>
      <c r="L486" t="n">
        <v>0</v>
      </c>
      <c r="M486" t="n">
        <v>0</v>
      </c>
      <c r="N486" t="n">
        <v>0</v>
      </c>
      <c r="O486" t="n">
        <v>0</v>
      </c>
      <c r="P486" t="n">
        <v>0</v>
      </c>
      <c r="Q486" t="n">
        <v>0</v>
      </c>
      <c r="R486" s="2" t="inlineStr"/>
    </row>
    <row r="487" ht="15" customHeight="1">
      <c r="A487" t="inlineStr">
        <is>
          <t>A 53817-2023</t>
        </is>
      </c>
      <c r="B487" s="1" t="n">
        <v>45231.40488425926</v>
      </c>
      <c r="C487" s="1" t="n">
        <v>45924</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11128-2023</t>
        </is>
      </c>
      <c r="B488" s="1" t="n">
        <v>44992</v>
      </c>
      <c r="C488" s="1" t="n">
        <v>45924</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45101-2025</t>
        </is>
      </c>
      <c r="B489" s="1" t="n">
        <v>45919.39679398148</v>
      </c>
      <c r="C489" s="1" t="n">
        <v>45924</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1458-2024</t>
        </is>
      </c>
      <c r="B490" s="1" t="n">
        <v>45303</v>
      </c>
      <c r="C490" s="1" t="n">
        <v>45924</v>
      </c>
      <c r="D490" t="inlineStr">
        <is>
          <t>DALARNAS LÄN</t>
        </is>
      </c>
      <c r="E490" t="inlineStr">
        <is>
          <t>LEKSAND</t>
        </is>
      </c>
      <c r="G490" t="n">
        <v>2</v>
      </c>
      <c r="H490" t="n">
        <v>0</v>
      </c>
      <c r="I490" t="n">
        <v>0</v>
      </c>
      <c r="J490" t="n">
        <v>0</v>
      </c>
      <c r="K490" t="n">
        <v>0</v>
      </c>
      <c r="L490" t="n">
        <v>0</v>
      </c>
      <c r="M490" t="n">
        <v>0</v>
      </c>
      <c r="N490" t="n">
        <v>0</v>
      </c>
      <c r="O490" t="n">
        <v>0</v>
      </c>
      <c r="P490" t="n">
        <v>0</v>
      </c>
      <c r="Q490" t="n">
        <v>0</v>
      </c>
      <c r="R490" s="2" t="inlineStr"/>
    </row>
    <row r="491" ht="15" customHeight="1">
      <c r="A491" t="inlineStr">
        <is>
          <t>A 1461-2024</t>
        </is>
      </c>
      <c r="B491" s="1" t="n">
        <v>45303</v>
      </c>
      <c r="C491" s="1" t="n">
        <v>45924</v>
      </c>
      <c r="D491" t="inlineStr">
        <is>
          <t>DALARNAS LÄN</t>
        </is>
      </c>
      <c r="E491" t="inlineStr">
        <is>
          <t>LEKSAND</t>
        </is>
      </c>
      <c r="G491" t="n">
        <v>2.4</v>
      </c>
      <c r="H491" t="n">
        <v>0</v>
      </c>
      <c r="I491" t="n">
        <v>0</v>
      </c>
      <c r="J491" t="n">
        <v>0</v>
      </c>
      <c r="K491" t="n">
        <v>0</v>
      </c>
      <c r="L491" t="n">
        <v>0</v>
      </c>
      <c r="M491" t="n">
        <v>0</v>
      </c>
      <c r="N491" t="n">
        <v>0</v>
      </c>
      <c r="O491" t="n">
        <v>0</v>
      </c>
      <c r="P491" t="n">
        <v>0</v>
      </c>
      <c r="Q491" t="n">
        <v>0</v>
      </c>
      <c r="R491" s="2" t="inlineStr"/>
    </row>
    <row r="492" ht="15" customHeight="1">
      <c r="A492" t="inlineStr">
        <is>
          <t>A 62993-2023</t>
        </is>
      </c>
      <c r="B492" s="1" t="n">
        <v>45272</v>
      </c>
      <c r="C492" s="1" t="n">
        <v>45924</v>
      </c>
      <c r="D492" t="inlineStr">
        <is>
          <t>DALARNAS LÄN</t>
        </is>
      </c>
      <c r="E492" t="inlineStr">
        <is>
          <t>LEKSAND</t>
        </is>
      </c>
      <c r="G492" t="n">
        <v>0.6</v>
      </c>
      <c r="H492" t="n">
        <v>0</v>
      </c>
      <c r="I492" t="n">
        <v>0</v>
      </c>
      <c r="J492" t="n">
        <v>0</v>
      </c>
      <c r="K492" t="n">
        <v>0</v>
      </c>
      <c r="L492" t="n">
        <v>0</v>
      </c>
      <c r="M492" t="n">
        <v>0</v>
      </c>
      <c r="N492" t="n">
        <v>0</v>
      </c>
      <c r="O492" t="n">
        <v>0</v>
      </c>
      <c r="P492" t="n">
        <v>0</v>
      </c>
      <c r="Q492" t="n">
        <v>0</v>
      </c>
      <c r="R492" s="2" t="inlineStr"/>
    </row>
    <row r="493" ht="15" customHeight="1">
      <c r="A493" t="inlineStr">
        <is>
          <t>A 45318-2025</t>
        </is>
      </c>
      <c r="B493" s="1" t="n">
        <v>45921.85230324074</v>
      </c>
      <c r="C493" s="1" t="n">
        <v>45924</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38001-2023</t>
        </is>
      </c>
      <c r="B494" s="1" t="n">
        <v>45160</v>
      </c>
      <c r="C494" s="1" t="n">
        <v>45924</v>
      </c>
      <c r="D494" t="inlineStr">
        <is>
          <t>DALARNAS LÄN</t>
        </is>
      </c>
      <c r="E494" t="inlineStr">
        <is>
          <t>LEKSAND</t>
        </is>
      </c>
      <c r="G494" t="n">
        <v>3.6</v>
      </c>
      <c r="H494" t="n">
        <v>0</v>
      </c>
      <c r="I494" t="n">
        <v>0</v>
      </c>
      <c r="J494" t="n">
        <v>0</v>
      </c>
      <c r="K494" t="n">
        <v>0</v>
      </c>
      <c r="L494" t="n">
        <v>0</v>
      </c>
      <c r="M494" t="n">
        <v>0</v>
      </c>
      <c r="N494" t="n">
        <v>0</v>
      </c>
      <c r="O494" t="n">
        <v>0</v>
      </c>
      <c r="P494" t="n">
        <v>0</v>
      </c>
      <c r="Q494" t="n">
        <v>0</v>
      </c>
      <c r="R494" s="2" t="inlineStr"/>
    </row>
    <row r="495" ht="15" customHeight="1">
      <c r="A495" t="inlineStr">
        <is>
          <t>A 47673-2023</t>
        </is>
      </c>
      <c r="B495" s="1" t="n">
        <v>45203</v>
      </c>
      <c r="C495" s="1" t="n">
        <v>45924</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19820-2024</t>
        </is>
      </c>
      <c r="B496" s="1" t="n">
        <v>45433.33907407407</v>
      </c>
      <c r="C496" s="1" t="n">
        <v>45924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19823-2024</t>
        </is>
      </c>
      <c r="B497" s="1" t="n">
        <v>45433.34469907408</v>
      </c>
      <c r="C497" s="1" t="n">
        <v>45924</v>
      </c>
      <c r="D497" t="inlineStr">
        <is>
          <t>DALARNAS LÄN</t>
        </is>
      </c>
      <c r="E497" t="inlineStr">
        <is>
          <t>LEKSAND</t>
        </is>
      </c>
      <c r="G497" t="n">
        <v>0.3</v>
      </c>
      <c r="H497" t="n">
        <v>0</v>
      </c>
      <c r="I497" t="n">
        <v>0</v>
      </c>
      <c r="J497" t="n">
        <v>0</v>
      </c>
      <c r="K497" t="n">
        <v>0</v>
      </c>
      <c r="L497" t="n">
        <v>0</v>
      </c>
      <c r="M497" t="n">
        <v>0</v>
      </c>
      <c r="N497" t="n">
        <v>0</v>
      </c>
      <c r="O497" t="n">
        <v>0</v>
      </c>
      <c r="P497" t="n">
        <v>0</v>
      </c>
      <c r="Q497" t="n">
        <v>0</v>
      </c>
      <c r="R497" s="2" t="inlineStr"/>
    </row>
    <row r="498" ht="15" customHeight="1">
      <c r="A498" t="inlineStr">
        <is>
          <t>A 17455-2022</t>
        </is>
      </c>
      <c r="B498" s="1" t="n">
        <v>44679.3775</v>
      </c>
      <c r="C498" s="1" t="n">
        <v>45924</v>
      </c>
      <c r="D498" t="inlineStr">
        <is>
          <t>DALARNAS LÄN</t>
        </is>
      </c>
      <c r="E498" t="inlineStr">
        <is>
          <t>LEKSAND</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45381-2025</t>
        </is>
      </c>
      <c r="B499" s="1" t="n">
        <v>45922.39989583333</v>
      </c>
      <c r="C499" s="1" t="n">
        <v>45924</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45300-2025</t>
        </is>
      </c>
      <c r="B500" s="1" t="n">
        <v>45921.30490740741</v>
      </c>
      <c r="C500" s="1" t="n">
        <v>45924</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7653-2025</t>
        </is>
      </c>
      <c r="B501" s="1" t="n">
        <v>45705.95238425926</v>
      </c>
      <c r="C501" s="1" t="n">
        <v>45924</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6039-2023</t>
        </is>
      </c>
      <c r="B502" s="1" t="n">
        <v>44959</v>
      </c>
      <c r="C502" s="1" t="n">
        <v>45924</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6758-2024</t>
        </is>
      </c>
      <c r="B503" s="1" t="n">
        <v>45342.46857638889</v>
      </c>
      <c r="C503" s="1" t="n">
        <v>45924</v>
      </c>
      <c r="D503" t="inlineStr">
        <is>
          <t>DALARNAS LÄN</t>
        </is>
      </c>
      <c r="E503" t="inlineStr">
        <is>
          <t>LEKSAND</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4257-2022</t>
        </is>
      </c>
      <c r="B504" s="1" t="n">
        <v>44588</v>
      </c>
      <c r="C504" s="1" t="n">
        <v>45924</v>
      </c>
      <c r="D504" t="inlineStr">
        <is>
          <t>DALARNAS LÄN</t>
        </is>
      </c>
      <c r="E504" t="inlineStr">
        <is>
          <t>LEKSAND</t>
        </is>
      </c>
      <c r="G504" t="n">
        <v>6.8</v>
      </c>
      <c r="H504" t="n">
        <v>0</v>
      </c>
      <c r="I504" t="n">
        <v>0</v>
      </c>
      <c r="J504" t="n">
        <v>0</v>
      </c>
      <c r="K504" t="n">
        <v>0</v>
      </c>
      <c r="L504" t="n">
        <v>0</v>
      </c>
      <c r="M504" t="n">
        <v>0</v>
      </c>
      <c r="N504" t="n">
        <v>0</v>
      </c>
      <c r="O504" t="n">
        <v>0</v>
      </c>
      <c r="P504" t="n">
        <v>0</v>
      </c>
      <c r="Q504" t="n">
        <v>0</v>
      </c>
      <c r="R504" s="2" t="inlineStr"/>
    </row>
    <row r="505" ht="15" customHeight="1">
      <c r="A505" t="inlineStr">
        <is>
          <t>A 28921-2023</t>
        </is>
      </c>
      <c r="B505" s="1" t="n">
        <v>45104</v>
      </c>
      <c r="C505" s="1" t="n">
        <v>45924</v>
      </c>
      <c r="D505" t="inlineStr">
        <is>
          <t>DALARNAS LÄN</t>
        </is>
      </c>
      <c r="E505" t="inlineStr">
        <is>
          <t>LEKSAND</t>
        </is>
      </c>
      <c r="G505" t="n">
        <v>4.4</v>
      </c>
      <c r="H505" t="n">
        <v>0</v>
      </c>
      <c r="I505" t="n">
        <v>0</v>
      </c>
      <c r="J505" t="n">
        <v>0</v>
      </c>
      <c r="K505" t="n">
        <v>0</v>
      </c>
      <c r="L505" t="n">
        <v>0</v>
      </c>
      <c r="M505" t="n">
        <v>0</v>
      </c>
      <c r="N505" t="n">
        <v>0</v>
      </c>
      <c r="O505" t="n">
        <v>0</v>
      </c>
      <c r="P505" t="n">
        <v>0</v>
      </c>
      <c r="Q505" t="n">
        <v>0</v>
      </c>
      <c r="R505" s="2" t="inlineStr"/>
    </row>
    <row r="506" ht="15" customHeight="1">
      <c r="A506" t="inlineStr">
        <is>
          <t>A 30998-2023</t>
        </is>
      </c>
      <c r="B506" s="1" t="n">
        <v>45113.54193287037</v>
      </c>
      <c r="C506" s="1" t="n">
        <v>45924</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7417-2024</t>
        </is>
      </c>
      <c r="B507" s="1" t="n">
        <v>45345.62378472222</v>
      </c>
      <c r="C507" s="1" t="n">
        <v>45924</v>
      </c>
      <c r="D507" t="inlineStr">
        <is>
          <t>DALARNAS LÄN</t>
        </is>
      </c>
      <c r="E507" t="inlineStr">
        <is>
          <t>LEKSAND</t>
        </is>
      </c>
      <c r="G507" t="n">
        <v>2.8</v>
      </c>
      <c r="H507" t="n">
        <v>0</v>
      </c>
      <c r="I507" t="n">
        <v>0</v>
      </c>
      <c r="J507" t="n">
        <v>0</v>
      </c>
      <c r="K507" t="n">
        <v>0</v>
      </c>
      <c r="L507" t="n">
        <v>0</v>
      </c>
      <c r="M507" t="n">
        <v>0</v>
      </c>
      <c r="N507" t="n">
        <v>0</v>
      </c>
      <c r="O507" t="n">
        <v>0</v>
      </c>
      <c r="P507" t="n">
        <v>0</v>
      </c>
      <c r="Q507" t="n">
        <v>0</v>
      </c>
      <c r="R507" s="2" t="inlineStr"/>
    </row>
    <row r="508" ht="15" customHeight="1">
      <c r="A508" t="inlineStr">
        <is>
          <t>A 31254-2023</t>
        </is>
      </c>
      <c r="B508" s="1" t="n">
        <v>45114</v>
      </c>
      <c r="C508" s="1" t="n">
        <v>45924</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41169-2024</t>
        </is>
      </c>
      <c r="B509" s="1" t="n">
        <v>45559.48637731482</v>
      </c>
      <c r="C509" s="1" t="n">
        <v>45924</v>
      </c>
      <c r="D509" t="inlineStr">
        <is>
          <t>DALARNAS LÄN</t>
        </is>
      </c>
      <c r="E509" t="inlineStr">
        <is>
          <t>LEKSAND</t>
        </is>
      </c>
      <c r="G509" t="n">
        <v>8.9</v>
      </c>
      <c r="H509" t="n">
        <v>0</v>
      </c>
      <c r="I509" t="n">
        <v>0</v>
      </c>
      <c r="J509" t="n">
        <v>0</v>
      </c>
      <c r="K509" t="n">
        <v>0</v>
      </c>
      <c r="L509" t="n">
        <v>0</v>
      </c>
      <c r="M509" t="n">
        <v>0</v>
      </c>
      <c r="N509" t="n">
        <v>0</v>
      </c>
      <c r="O509" t="n">
        <v>0</v>
      </c>
      <c r="P509" t="n">
        <v>0</v>
      </c>
      <c r="Q509" t="n">
        <v>0</v>
      </c>
      <c r="R509" s="2" t="inlineStr"/>
    </row>
    <row r="510" ht="15" customHeight="1">
      <c r="A510" t="inlineStr">
        <is>
          <t>A 5574-2024</t>
        </is>
      </c>
      <c r="B510" s="1" t="n">
        <v>45334</v>
      </c>
      <c r="C510" s="1" t="n">
        <v>45924</v>
      </c>
      <c r="D510" t="inlineStr">
        <is>
          <t>DALARNAS LÄN</t>
        </is>
      </c>
      <c r="E510" t="inlineStr">
        <is>
          <t>LEKSAND</t>
        </is>
      </c>
      <c r="G510" t="n">
        <v>0.4</v>
      </c>
      <c r="H510" t="n">
        <v>0</v>
      </c>
      <c r="I510" t="n">
        <v>0</v>
      </c>
      <c r="J510" t="n">
        <v>0</v>
      </c>
      <c r="K510" t="n">
        <v>0</v>
      </c>
      <c r="L510" t="n">
        <v>0</v>
      </c>
      <c r="M510" t="n">
        <v>0</v>
      </c>
      <c r="N510" t="n">
        <v>0</v>
      </c>
      <c r="O510" t="n">
        <v>0</v>
      </c>
      <c r="P510" t="n">
        <v>0</v>
      </c>
      <c r="Q510" t="n">
        <v>0</v>
      </c>
      <c r="R510" s="2" t="inlineStr"/>
    </row>
    <row r="511" ht="15" customHeight="1">
      <c r="A511" t="inlineStr">
        <is>
          <t>A 4121-2024</t>
        </is>
      </c>
      <c r="B511" s="1" t="n">
        <v>45323</v>
      </c>
      <c r="C511" s="1" t="n">
        <v>45924</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23283-2024</t>
        </is>
      </c>
      <c r="B512" s="1" t="n">
        <v>45453</v>
      </c>
      <c r="C512" s="1" t="n">
        <v>45924</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57665-2023</t>
        </is>
      </c>
      <c r="B513" s="1" t="n">
        <v>45246</v>
      </c>
      <c r="C513" s="1" t="n">
        <v>45924</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30858-2024</t>
        </is>
      </c>
      <c r="B514" s="1" t="n">
        <v>45497.67601851852</v>
      </c>
      <c r="C514" s="1" t="n">
        <v>45924</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39807-2024</t>
        </is>
      </c>
      <c r="B515" s="1" t="n">
        <v>45553.35763888889</v>
      </c>
      <c r="C515" s="1" t="n">
        <v>45924</v>
      </c>
      <c r="D515" t="inlineStr">
        <is>
          <t>DALARNAS LÄN</t>
        </is>
      </c>
      <c r="E515" t="inlineStr">
        <is>
          <t>LEKSAND</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25921-2024</t>
        </is>
      </c>
      <c r="B516" s="1" t="n">
        <v>45467.6053587963</v>
      </c>
      <c r="C516" s="1" t="n">
        <v>45924</v>
      </c>
      <c r="D516" t="inlineStr">
        <is>
          <t>DALARNAS LÄN</t>
        </is>
      </c>
      <c r="E516" t="inlineStr">
        <is>
          <t>LEKSAND</t>
        </is>
      </c>
      <c r="G516" t="n">
        <v>2.8</v>
      </c>
      <c r="H516" t="n">
        <v>0</v>
      </c>
      <c r="I516" t="n">
        <v>0</v>
      </c>
      <c r="J516" t="n">
        <v>0</v>
      </c>
      <c r="K516" t="n">
        <v>0</v>
      </c>
      <c r="L516" t="n">
        <v>0</v>
      </c>
      <c r="M516" t="n">
        <v>0</v>
      </c>
      <c r="N516" t="n">
        <v>0</v>
      </c>
      <c r="O516" t="n">
        <v>0</v>
      </c>
      <c r="P516" t="n">
        <v>0</v>
      </c>
      <c r="Q516" t="n">
        <v>0</v>
      </c>
      <c r="R516" s="2" t="inlineStr"/>
    </row>
    <row r="517" ht="15" customHeight="1">
      <c r="A517" t="inlineStr">
        <is>
          <t>A 41306-2024</t>
        </is>
      </c>
      <c r="B517" s="1" t="n">
        <v>45559.62550925926</v>
      </c>
      <c r="C517" s="1" t="n">
        <v>45924</v>
      </c>
      <c r="D517" t="inlineStr">
        <is>
          <t>DALARNAS LÄN</t>
        </is>
      </c>
      <c r="E517" t="inlineStr">
        <is>
          <t>LEKSAND</t>
        </is>
      </c>
      <c r="G517" t="n">
        <v>0.5</v>
      </c>
      <c r="H517" t="n">
        <v>0</v>
      </c>
      <c r="I517" t="n">
        <v>0</v>
      </c>
      <c r="J517" t="n">
        <v>0</v>
      </c>
      <c r="K517" t="n">
        <v>0</v>
      </c>
      <c r="L517" t="n">
        <v>0</v>
      </c>
      <c r="M517" t="n">
        <v>0</v>
      </c>
      <c r="N517" t="n">
        <v>0</v>
      </c>
      <c r="O517" t="n">
        <v>0</v>
      </c>
      <c r="P517" t="n">
        <v>0</v>
      </c>
      <c r="Q517" t="n">
        <v>0</v>
      </c>
      <c r="R517" s="2" t="inlineStr"/>
    </row>
    <row r="518" ht="15" customHeight="1">
      <c r="A518" t="inlineStr">
        <is>
          <t>A 1463-2024</t>
        </is>
      </c>
      <c r="B518" s="1" t="n">
        <v>45303</v>
      </c>
      <c r="C518" s="1" t="n">
        <v>45924</v>
      </c>
      <c r="D518" t="inlineStr">
        <is>
          <t>DALARNAS LÄN</t>
        </is>
      </c>
      <c r="E518" t="inlineStr">
        <is>
          <t>LEKSAND</t>
        </is>
      </c>
      <c r="G518" t="n">
        <v>1.5</v>
      </c>
      <c r="H518" t="n">
        <v>0</v>
      </c>
      <c r="I518" t="n">
        <v>0</v>
      </c>
      <c r="J518" t="n">
        <v>0</v>
      </c>
      <c r="K518" t="n">
        <v>0</v>
      </c>
      <c r="L518" t="n">
        <v>0</v>
      </c>
      <c r="M518" t="n">
        <v>0</v>
      </c>
      <c r="N518" t="n">
        <v>0</v>
      </c>
      <c r="O518" t="n">
        <v>0</v>
      </c>
      <c r="P518" t="n">
        <v>0</v>
      </c>
      <c r="Q518" t="n">
        <v>0</v>
      </c>
      <c r="R518" s="2" t="inlineStr"/>
    </row>
    <row r="519" ht="15" customHeight="1">
      <c r="A519" t="inlineStr">
        <is>
          <t>A 16611-2024</t>
        </is>
      </c>
      <c r="B519" s="1" t="n">
        <v>45408.55504629629</v>
      </c>
      <c r="C519" s="1" t="n">
        <v>45924</v>
      </c>
      <c r="D519" t="inlineStr">
        <is>
          <t>DALARNAS LÄN</t>
        </is>
      </c>
      <c r="E519" t="inlineStr">
        <is>
          <t>LEKSAND</t>
        </is>
      </c>
      <c r="G519" t="n">
        <v>5.9</v>
      </c>
      <c r="H519" t="n">
        <v>0</v>
      </c>
      <c r="I519" t="n">
        <v>0</v>
      </c>
      <c r="J519" t="n">
        <v>0</v>
      </c>
      <c r="K519" t="n">
        <v>0</v>
      </c>
      <c r="L519" t="n">
        <v>0</v>
      </c>
      <c r="M519" t="n">
        <v>0</v>
      </c>
      <c r="N519" t="n">
        <v>0</v>
      </c>
      <c r="O519" t="n">
        <v>0</v>
      </c>
      <c r="P519" t="n">
        <v>0</v>
      </c>
      <c r="Q519" t="n">
        <v>0</v>
      </c>
      <c r="R519" s="2" t="inlineStr"/>
    </row>
    <row r="520" ht="15" customHeight="1">
      <c r="A520" t="inlineStr">
        <is>
          <t>A 17377-2025</t>
        </is>
      </c>
      <c r="B520" s="1" t="n">
        <v>45756.983125</v>
      </c>
      <c r="C520" s="1" t="n">
        <v>45924</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45768-2023</t>
        </is>
      </c>
      <c r="B521" s="1" t="n">
        <v>45195</v>
      </c>
      <c r="C521" s="1" t="n">
        <v>45924</v>
      </c>
      <c r="D521" t="inlineStr">
        <is>
          <t>DALARNAS LÄN</t>
        </is>
      </c>
      <c r="E521" t="inlineStr">
        <is>
          <t>LEKSAND</t>
        </is>
      </c>
      <c r="G521" t="n">
        <v>0.4</v>
      </c>
      <c r="H521" t="n">
        <v>0</v>
      </c>
      <c r="I521" t="n">
        <v>0</v>
      </c>
      <c r="J521" t="n">
        <v>0</v>
      </c>
      <c r="K521" t="n">
        <v>0</v>
      </c>
      <c r="L521" t="n">
        <v>0</v>
      </c>
      <c r="M521" t="n">
        <v>0</v>
      </c>
      <c r="N521" t="n">
        <v>0</v>
      </c>
      <c r="O521" t="n">
        <v>0</v>
      </c>
      <c r="P521" t="n">
        <v>0</v>
      </c>
      <c r="Q521" t="n">
        <v>0</v>
      </c>
      <c r="R521" s="2" t="inlineStr"/>
    </row>
    <row r="522" ht="15" customHeight="1">
      <c r="A522" t="inlineStr">
        <is>
          <t>A 13288-2023</t>
        </is>
      </c>
      <c r="B522" s="1" t="n">
        <v>45004.8160300926</v>
      </c>
      <c r="C522" s="1" t="n">
        <v>45924</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17233-2023</t>
        </is>
      </c>
      <c r="B523" s="1" t="n">
        <v>45035</v>
      </c>
      <c r="C523" s="1" t="n">
        <v>45924</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46931-2023</t>
        </is>
      </c>
      <c r="B524" s="1" t="n">
        <v>45201</v>
      </c>
      <c r="C524" s="1" t="n">
        <v>45924</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45085.92146990741</v>
      </c>
      <c r="C525" s="1" t="n">
        <v>45924</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45924</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11740-2025</t>
        </is>
      </c>
      <c r="B527" s="1" t="n">
        <v>45727.62582175926</v>
      </c>
      <c r="C527" s="1" t="n">
        <v>45924</v>
      </c>
      <c r="D527" t="inlineStr">
        <is>
          <t>DALARNAS LÄN</t>
        </is>
      </c>
      <c r="E527" t="inlineStr">
        <is>
          <t>LEKSAND</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11277-2025</t>
        </is>
      </c>
      <c r="B528" s="1" t="n">
        <v>45726.41565972222</v>
      </c>
      <c r="C528" s="1" t="n">
        <v>45924</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10373-2023</t>
        </is>
      </c>
      <c r="B529" s="1" t="n">
        <v>44987</v>
      </c>
      <c r="C529" s="1" t="n">
        <v>45924</v>
      </c>
      <c r="D529" t="inlineStr">
        <is>
          <t>DALARNAS LÄN</t>
        </is>
      </c>
      <c r="E529" t="inlineStr">
        <is>
          <t>LEKSAND</t>
        </is>
      </c>
      <c r="G529" t="n">
        <v>0.3</v>
      </c>
      <c r="H529" t="n">
        <v>0</v>
      </c>
      <c r="I529" t="n">
        <v>0</v>
      </c>
      <c r="J529" t="n">
        <v>0</v>
      </c>
      <c r="K529" t="n">
        <v>0</v>
      </c>
      <c r="L529" t="n">
        <v>0</v>
      </c>
      <c r="M529" t="n">
        <v>0</v>
      </c>
      <c r="N529" t="n">
        <v>0</v>
      </c>
      <c r="O529" t="n">
        <v>0</v>
      </c>
      <c r="P529" t="n">
        <v>0</v>
      </c>
      <c r="Q529" t="n">
        <v>0</v>
      </c>
      <c r="R529" s="2" t="inlineStr"/>
    </row>
    <row r="530" ht="15" customHeight="1">
      <c r="A530" t="inlineStr">
        <is>
          <t>A 5570-2024</t>
        </is>
      </c>
      <c r="B530" s="1" t="n">
        <v>45334</v>
      </c>
      <c r="C530" s="1" t="n">
        <v>45924</v>
      </c>
      <c r="D530" t="inlineStr">
        <is>
          <t>DALARNAS LÄN</t>
        </is>
      </c>
      <c r="E530" t="inlineStr">
        <is>
          <t>LEKSAND</t>
        </is>
      </c>
      <c r="G530" t="n">
        <v>0.3</v>
      </c>
      <c r="H530" t="n">
        <v>0</v>
      </c>
      <c r="I530" t="n">
        <v>0</v>
      </c>
      <c r="J530" t="n">
        <v>0</v>
      </c>
      <c r="K530" t="n">
        <v>0</v>
      </c>
      <c r="L530" t="n">
        <v>0</v>
      </c>
      <c r="M530" t="n">
        <v>0</v>
      </c>
      <c r="N530" t="n">
        <v>0</v>
      </c>
      <c r="O530" t="n">
        <v>0</v>
      </c>
      <c r="P530" t="n">
        <v>0</v>
      </c>
      <c r="Q530" t="n">
        <v>0</v>
      </c>
      <c r="R530" s="2" t="inlineStr"/>
    </row>
    <row r="531" ht="15" customHeight="1">
      <c r="A531" t="inlineStr">
        <is>
          <t>A 54917-2024</t>
        </is>
      </c>
      <c r="B531" s="1" t="n">
        <v>45618.69581018519</v>
      </c>
      <c r="C531" s="1" t="n">
        <v>45924</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11403-2023</t>
        </is>
      </c>
      <c r="B532" s="1" t="n">
        <v>44993</v>
      </c>
      <c r="C532" s="1" t="n">
        <v>45924</v>
      </c>
      <c r="D532" t="inlineStr">
        <is>
          <t>DALARNAS LÄN</t>
        </is>
      </c>
      <c r="E532" t="inlineStr">
        <is>
          <t>LEKSAND</t>
        </is>
      </c>
      <c r="G532" t="n">
        <v>0.1</v>
      </c>
      <c r="H532" t="n">
        <v>0</v>
      </c>
      <c r="I532" t="n">
        <v>0</v>
      </c>
      <c r="J532" t="n">
        <v>0</v>
      </c>
      <c r="K532" t="n">
        <v>0</v>
      </c>
      <c r="L532" t="n">
        <v>0</v>
      </c>
      <c r="M532" t="n">
        <v>0</v>
      </c>
      <c r="N532" t="n">
        <v>0</v>
      </c>
      <c r="O532" t="n">
        <v>0</v>
      </c>
      <c r="P532" t="n">
        <v>0</v>
      </c>
      <c r="Q532" t="n">
        <v>0</v>
      </c>
      <c r="R532" s="2" t="inlineStr"/>
    </row>
    <row r="533" ht="15" customHeight="1">
      <c r="A533" t="inlineStr">
        <is>
          <t>A 2820-2024</t>
        </is>
      </c>
      <c r="B533" s="1" t="n">
        <v>45314.76287037037</v>
      </c>
      <c r="C533" s="1" t="n">
        <v>45924</v>
      </c>
      <c r="D533" t="inlineStr">
        <is>
          <t>DALARNAS LÄN</t>
        </is>
      </c>
      <c r="E533" t="inlineStr">
        <is>
          <t>LEKSAND</t>
        </is>
      </c>
      <c r="G533" t="n">
        <v>1.7</v>
      </c>
      <c r="H533" t="n">
        <v>0</v>
      </c>
      <c r="I533" t="n">
        <v>0</v>
      </c>
      <c r="J533" t="n">
        <v>0</v>
      </c>
      <c r="K533" t="n">
        <v>0</v>
      </c>
      <c r="L533" t="n">
        <v>0</v>
      </c>
      <c r="M533" t="n">
        <v>0</v>
      </c>
      <c r="N533" t="n">
        <v>0</v>
      </c>
      <c r="O533" t="n">
        <v>0</v>
      </c>
      <c r="P533" t="n">
        <v>0</v>
      </c>
      <c r="Q533" t="n">
        <v>0</v>
      </c>
      <c r="R533" s="2" t="inlineStr"/>
    </row>
    <row r="534" ht="15" customHeight="1">
      <c r="A534" t="inlineStr">
        <is>
          <t>A 2822-2024</t>
        </is>
      </c>
      <c r="B534" s="1" t="n">
        <v>45314.76622685185</v>
      </c>
      <c r="C534" s="1" t="n">
        <v>45924</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37952-2024</t>
        </is>
      </c>
      <c r="B535" s="1" t="n">
        <v>45544.5200462963</v>
      </c>
      <c r="C535" s="1" t="n">
        <v>45924</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60129-2023</t>
        </is>
      </c>
      <c r="B536" s="1" t="n">
        <v>45258.49056712963</v>
      </c>
      <c r="C536" s="1" t="n">
        <v>45924</v>
      </c>
      <c r="D536" t="inlineStr">
        <is>
          <t>DALARNAS LÄN</t>
        </is>
      </c>
      <c r="E536" t="inlineStr">
        <is>
          <t>LEKSAND</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3737-2023</t>
        </is>
      </c>
      <c r="B537" s="1" t="n">
        <v>44951.42983796296</v>
      </c>
      <c r="C537" s="1" t="n">
        <v>45924</v>
      </c>
      <c r="D537" t="inlineStr">
        <is>
          <t>DALARNAS LÄN</t>
        </is>
      </c>
      <c r="E537" t="inlineStr">
        <is>
          <t>LEKSAND</t>
        </is>
      </c>
      <c r="G537" t="n">
        <v>3.1</v>
      </c>
      <c r="H537" t="n">
        <v>0</v>
      </c>
      <c r="I537" t="n">
        <v>0</v>
      </c>
      <c r="J537" t="n">
        <v>0</v>
      </c>
      <c r="K537" t="n">
        <v>0</v>
      </c>
      <c r="L537" t="n">
        <v>0</v>
      </c>
      <c r="M537" t="n">
        <v>0</v>
      </c>
      <c r="N537" t="n">
        <v>0</v>
      </c>
      <c r="O537" t="n">
        <v>0</v>
      </c>
      <c r="P537" t="n">
        <v>0</v>
      </c>
      <c r="Q537" t="n">
        <v>0</v>
      </c>
      <c r="R537" s="2" t="inlineStr"/>
    </row>
    <row r="538" ht="15" customHeight="1">
      <c r="A538" t="inlineStr">
        <is>
          <t>A 43237-2024</t>
        </is>
      </c>
      <c r="B538" s="1" t="n">
        <v>45567</v>
      </c>
      <c r="C538" s="1" t="n">
        <v>45924</v>
      </c>
      <c r="D538" t="inlineStr">
        <is>
          <t>DALARNAS LÄN</t>
        </is>
      </c>
      <c r="E538" t="inlineStr">
        <is>
          <t>LEKSAND</t>
        </is>
      </c>
      <c r="G538" t="n">
        <v>0.8</v>
      </c>
      <c r="H538" t="n">
        <v>0</v>
      </c>
      <c r="I538" t="n">
        <v>0</v>
      </c>
      <c r="J538" t="n">
        <v>0</v>
      </c>
      <c r="K538" t="n">
        <v>0</v>
      </c>
      <c r="L538" t="n">
        <v>0</v>
      </c>
      <c r="M538" t="n">
        <v>0</v>
      </c>
      <c r="N538" t="n">
        <v>0</v>
      </c>
      <c r="O538" t="n">
        <v>0</v>
      </c>
      <c r="P538" t="n">
        <v>0</v>
      </c>
      <c r="Q538" t="n">
        <v>0</v>
      </c>
      <c r="R538" s="2" t="inlineStr"/>
    </row>
    <row r="539" ht="15" customHeight="1">
      <c r="A539" t="inlineStr">
        <is>
          <t>A 23068-2024</t>
        </is>
      </c>
      <c r="B539" s="1" t="n">
        <v>45450.45521990741</v>
      </c>
      <c r="C539" s="1" t="n">
        <v>45924</v>
      </c>
      <c r="D539" t="inlineStr">
        <is>
          <t>DALARNAS LÄN</t>
        </is>
      </c>
      <c r="E539" t="inlineStr">
        <is>
          <t>LEKSAND</t>
        </is>
      </c>
      <c r="G539" t="n">
        <v>2.4</v>
      </c>
      <c r="H539" t="n">
        <v>0</v>
      </c>
      <c r="I539" t="n">
        <v>0</v>
      </c>
      <c r="J539" t="n">
        <v>0</v>
      </c>
      <c r="K539" t="n">
        <v>0</v>
      </c>
      <c r="L539" t="n">
        <v>0</v>
      </c>
      <c r="M539" t="n">
        <v>0</v>
      </c>
      <c r="N539" t="n">
        <v>0</v>
      </c>
      <c r="O539" t="n">
        <v>0</v>
      </c>
      <c r="P539" t="n">
        <v>0</v>
      </c>
      <c r="Q539" t="n">
        <v>0</v>
      </c>
      <c r="R539" s="2" t="inlineStr"/>
    </row>
    <row r="540" ht="15" customHeight="1">
      <c r="A540" t="inlineStr">
        <is>
          <t>A 7894-2025</t>
        </is>
      </c>
      <c r="B540" s="1" t="n">
        <v>45707.30268518518</v>
      </c>
      <c r="C540" s="1" t="n">
        <v>45924</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15257-2025</t>
        </is>
      </c>
      <c r="B541" s="1" t="n">
        <v>45744</v>
      </c>
      <c r="C541" s="1" t="n">
        <v>45924</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28965-2023</t>
        </is>
      </c>
      <c r="B542" s="1" t="n">
        <v>45104</v>
      </c>
      <c r="C542" s="1" t="n">
        <v>45924</v>
      </c>
      <c r="D542" t="inlineStr">
        <is>
          <t>DALARNAS LÄN</t>
        </is>
      </c>
      <c r="E542" t="inlineStr">
        <is>
          <t>LEKSAND</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16293-2025</t>
        </is>
      </c>
      <c r="B543" s="1" t="n">
        <v>45751.33447916667</v>
      </c>
      <c r="C543" s="1" t="n">
        <v>45924</v>
      </c>
      <c r="D543" t="inlineStr">
        <is>
          <t>DALARNAS LÄN</t>
        </is>
      </c>
      <c r="E543" t="inlineStr">
        <is>
          <t>LEKSAND</t>
        </is>
      </c>
      <c r="G543" t="n">
        <v>1.2</v>
      </c>
      <c r="H543" t="n">
        <v>0</v>
      </c>
      <c r="I543" t="n">
        <v>0</v>
      </c>
      <c r="J543" t="n">
        <v>0</v>
      </c>
      <c r="K543" t="n">
        <v>0</v>
      </c>
      <c r="L543" t="n">
        <v>0</v>
      </c>
      <c r="M543" t="n">
        <v>0</v>
      </c>
      <c r="N543" t="n">
        <v>0</v>
      </c>
      <c r="O543" t="n">
        <v>0</v>
      </c>
      <c r="P543" t="n">
        <v>0</v>
      </c>
      <c r="Q543" t="n">
        <v>0</v>
      </c>
      <c r="R543" s="2" t="inlineStr"/>
    </row>
    <row r="544" ht="15" customHeight="1">
      <c r="A544" t="inlineStr">
        <is>
          <t>A 46834-2023</t>
        </is>
      </c>
      <c r="B544" s="1" t="n">
        <v>45199.35668981481</v>
      </c>
      <c r="C544" s="1" t="n">
        <v>45924</v>
      </c>
      <c r="D544" t="inlineStr">
        <is>
          <t>DALARNAS LÄN</t>
        </is>
      </c>
      <c r="E544" t="inlineStr">
        <is>
          <t>LEKSAND</t>
        </is>
      </c>
      <c r="G544" t="n">
        <v>16.3</v>
      </c>
      <c r="H544" t="n">
        <v>0</v>
      </c>
      <c r="I544" t="n">
        <v>0</v>
      </c>
      <c r="J544" t="n">
        <v>0</v>
      </c>
      <c r="K544" t="n">
        <v>0</v>
      </c>
      <c r="L544" t="n">
        <v>0</v>
      </c>
      <c r="M544" t="n">
        <v>0</v>
      </c>
      <c r="N544" t="n">
        <v>0</v>
      </c>
      <c r="O544" t="n">
        <v>0</v>
      </c>
      <c r="P544" t="n">
        <v>0</v>
      </c>
      <c r="Q544" t="n">
        <v>0</v>
      </c>
      <c r="R544" s="2" t="inlineStr"/>
    </row>
    <row r="545" ht="15" customHeight="1">
      <c r="A545" t="inlineStr">
        <is>
          <t>A 6027-2025</t>
        </is>
      </c>
      <c r="B545" s="1" t="n">
        <v>45695</v>
      </c>
      <c r="C545" s="1" t="n">
        <v>45924</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12851-2023</t>
        </is>
      </c>
      <c r="B546" s="1" t="n">
        <v>45001.49347222222</v>
      </c>
      <c r="C546" s="1" t="n">
        <v>45924</v>
      </c>
      <c r="D546" t="inlineStr">
        <is>
          <t>DALARNAS LÄN</t>
        </is>
      </c>
      <c r="E546" t="inlineStr">
        <is>
          <t>LEKSAND</t>
        </is>
      </c>
      <c r="G546" t="n">
        <v>1.9</v>
      </c>
      <c r="H546" t="n">
        <v>0</v>
      </c>
      <c r="I546" t="n">
        <v>0</v>
      </c>
      <c r="J546" t="n">
        <v>0</v>
      </c>
      <c r="K546" t="n">
        <v>0</v>
      </c>
      <c r="L546" t="n">
        <v>0</v>
      </c>
      <c r="M546" t="n">
        <v>0</v>
      </c>
      <c r="N546" t="n">
        <v>0</v>
      </c>
      <c r="O546" t="n">
        <v>0</v>
      </c>
      <c r="P546" t="n">
        <v>0</v>
      </c>
      <c r="Q546" t="n">
        <v>0</v>
      </c>
      <c r="R546" s="2" t="inlineStr"/>
    </row>
    <row r="547" ht="15" customHeight="1">
      <c r="A547" t="inlineStr">
        <is>
          <t>A 11678-2023</t>
        </is>
      </c>
      <c r="B547" s="1" t="n">
        <v>44994</v>
      </c>
      <c r="C547" s="1" t="n">
        <v>45924</v>
      </c>
      <c r="D547" t="inlineStr">
        <is>
          <t>DALARNAS LÄN</t>
        </is>
      </c>
      <c r="E547" t="inlineStr">
        <is>
          <t>LEKSAND</t>
        </is>
      </c>
      <c r="G547" t="n">
        <v>0.9</v>
      </c>
      <c r="H547" t="n">
        <v>0</v>
      </c>
      <c r="I547" t="n">
        <v>0</v>
      </c>
      <c r="J547" t="n">
        <v>0</v>
      </c>
      <c r="K547" t="n">
        <v>0</v>
      </c>
      <c r="L547" t="n">
        <v>0</v>
      </c>
      <c r="M547" t="n">
        <v>0</v>
      </c>
      <c r="N547" t="n">
        <v>0</v>
      </c>
      <c r="O547" t="n">
        <v>0</v>
      </c>
      <c r="P547" t="n">
        <v>0</v>
      </c>
      <c r="Q547" t="n">
        <v>0</v>
      </c>
      <c r="R547" s="2" t="inlineStr"/>
    </row>
    <row r="548" ht="15" customHeight="1">
      <c r="A548" t="inlineStr">
        <is>
          <t>A 8755-2023</t>
        </is>
      </c>
      <c r="B548" s="1" t="n">
        <v>44978</v>
      </c>
      <c r="C548" s="1" t="n">
        <v>45924</v>
      </c>
      <c r="D548" t="inlineStr">
        <is>
          <t>DALARNAS LÄN</t>
        </is>
      </c>
      <c r="E548" t="inlineStr">
        <is>
          <t>LEKSAND</t>
        </is>
      </c>
      <c r="G548" t="n">
        <v>2.3</v>
      </c>
      <c r="H548" t="n">
        <v>0</v>
      </c>
      <c r="I548" t="n">
        <v>0</v>
      </c>
      <c r="J548" t="n">
        <v>0</v>
      </c>
      <c r="K548" t="n">
        <v>0</v>
      </c>
      <c r="L548" t="n">
        <v>0</v>
      </c>
      <c r="M548" t="n">
        <v>0</v>
      </c>
      <c r="N548" t="n">
        <v>0</v>
      </c>
      <c r="O548" t="n">
        <v>0</v>
      </c>
      <c r="P548" t="n">
        <v>0</v>
      </c>
      <c r="Q548" t="n">
        <v>0</v>
      </c>
      <c r="R548" s="2" t="inlineStr"/>
    </row>
    <row r="549" ht="15" customHeight="1">
      <c r="A549" t="inlineStr">
        <is>
          <t>A 5582-2024</t>
        </is>
      </c>
      <c r="B549" s="1" t="n">
        <v>45334</v>
      </c>
      <c r="C549" s="1" t="n">
        <v>45924</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34482-2022</t>
        </is>
      </c>
      <c r="B550" s="1" t="n">
        <v>44792</v>
      </c>
      <c r="C550" s="1" t="n">
        <v>45924</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5584-2024</t>
        </is>
      </c>
      <c r="B551" s="1" t="n">
        <v>45334</v>
      </c>
      <c r="C551" s="1" t="n">
        <v>45924</v>
      </c>
      <c r="D551" t="inlineStr">
        <is>
          <t>DALARNAS LÄN</t>
        </is>
      </c>
      <c r="E551" t="inlineStr">
        <is>
          <t>LEKSAND</t>
        </is>
      </c>
      <c r="F551" t="inlineStr">
        <is>
          <t>Kyrkan</t>
        </is>
      </c>
      <c r="G551" t="n">
        <v>0.4</v>
      </c>
      <c r="H551" t="n">
        <v>0</v>
      </c>
      <c r="I551" t="n">
        <v>0</v>
      </c>
      <c r="J551" t="n">
        <v>0</v>
      </c>
      <c r="K551" t="n">
        <v>0</v>
      </c>
      <c r="L551" t="n">
        <v>0</v>
      </c>
      <c r="M551" t="n">
        <v>0</v>
      </c>
      <c r="N551" t="n">
        <v>0</v>
      </c>
      <c r="O551" t="n">
        <v>0</v>
      </c>
      <c r="P551" t="n">
        <v>0</v>
      </c>
      <c r="Q551" t="n">
        <v>0</v>
      </c>
      <c r="R551" s="2" t="inlineStr"/>
    </row>
    <row r="552" ht="15" customHeight="1">
      <c r="A552" t="inlineStr">
        <is>
          <t>A 51860-2024</t>
        </is>
      </c>
      <c r="B552" s="1" t="n">
        <v>45607.54511574074</v>
      </c>
      <c r="C552" s="1" t="n">
        <v>45924</v>
      </c>
      <c r="D552" t="inlineStr">
        <is>
          <t>DALARNAS LÄN</t>
        </is>
      </c>
      <c r="E552" t="inlineStr">
        <is>
          <t>LEKSAND</t>
        </is>
      </c>
      <c r="F552" t="inlineStr">
        <is>
          <t>Bergvik skog väst AB</t>
        </is>
      </c>
      <c r="G552" t="n">
        <v>3.4</v>
      </c>
      <c r="H552" t="n">
        <v>0</v>
      </c>
      <c r="I552" t="n">
        <v>0</v>
      </c>
      <c r="J552" t="n">
        <v>0</v>
      </c>
      <c r="K552" t="n">
        <v>0</v>
      </c>
      <c r="L552" t="n">
        <v>0</v>
      </c>
      <c r="M552" t="n">
        <v>0</v>
      </c>
      <c r="N552" t="n">
        <v>0</v>
      </c>
      <c r="O552" t="n">
        <v>0</v>
      </c>
      <c r="P552" t="n">
        <v>0</v>
      </c>
      <c r="Q552" t="n">
        <v>0</v>
      </c>
      <c r="R552" s="2" t="inlineStr"/>
    </row>
    <row r="553" ht="15" customHeight="1">
      <c r="A553" t="inlineStr">
        <is>
          <t>A 46505-2023</t>
        </is>
      </c>
      <c r="B553" s="1" t="n">
        <v>45197</v>
      </c>
      <c r="C553" s="1" t="n">
        <v>45924</v>
      </c>
      <c r="D553" t="inlineStr">
        <is>
          <t>DALARNAS LÄN</t>
        </is>
      </c>
      <c r="E553" t="inlineStr">
        <is>
          <t>LEKSAND</t>
        </is>
      </c>
      <c r="G553" t="n">
        <v>2.3</v>
      </c>
      <c r="H553" t="n">
        <v>0</v>
      </c>
      <c r="I553" t="n">
        <v>0</v>
      </c>
      <c r="J553" t="n">
        <v>0</v>
      </c>
      <c r="K553" t="n">
        <v>0</v>
      </c>
      <c r="L553" t="n">
        <v>0</v>
      </c>
      <c r="M553" t="n">
        <v>0</v>
      </c>
      <c r="N553" t="n">
        <v>0</v>
      </c>
      <c r="O553" t="n">
        <v>0</v>
      </c>
      <c r="P553" t="n">
        <v>0</v>
      </c>
      <c r="Q553" t="n">
        <v>0</v>
      </c>
      <c r="R553" s="2" t="inlineStr"/>
    </row>
    <row r="554" ht="15" customHeight="1">
      <c r="A554" t="inlineStr">
        <is>
          <t>A 22681-2022</t>
        </is>
      </c>
      <c r="B554" s="1" t="n">
        <v>44714.50961805556</v>
      </c>
      <c r="C554" s="1" t="n">
        <v>45924</v>
      </c>
      <c r="D554" t="inlineStr">
        <is>
          <t>DALARNAS LÄN</t>
        </is>
      </c>
      <c r="E554" t="inlineStr">
        <is>
          <t>LEKSAND</t>
        </is>
      </c>
      <c r="F554" t="inlineStr">
        <is>
          <t>Bergvik skog väst AB</t>
        </is>
      </c>
      <c r="G554" t="n">
        <v>2.8</v>
      </c>
      <c r="H554" t="n">
        <v>0</v>
      </c>
      <c r="I554" t="n">
        <v>0</v>
      </c>
      <c r="J554" t="n">
        <v>0</v>
      </c>
      <c r="K554" t="n">
        <v>0</v>
      </c>
      <c r="L554" t="n">
        <v>0</v>
      </c>
      <c r="M554" t="n">
        <v>0</v>
      </c>
      <c r="N554" t="n">
        <v>0</v>
      </c>
      <c r="O554" t="n">
        <v>0</v>
      </c>
      <c r="P554" t="n">
        <v>0</v>
      </c>
      <c r="Q554" t="n">
        <v>0</v>
      </c>
      <c r="R554" s="2" t="inlineStr"/>
    </row>
    <row r="555" ht="15" customHeight="1">
      <c r="A555" t="inlineStr">
        <is>
          <t>A 58619-2022</t>
        </is>
      </c>
      <c r="B555" s="1" t="n">
        <v>44902.59579861111</v>
      </c>
      <c r="C555" s="1" t="n">
        <v>45924</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1457-2024</t>
        </is>
      </c>
      <c r="B556" s="1" t="n">
        <v>45303</v>
      </c>
      <c r="C556" s="1" t="n">
        <v>45924</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776-2021</t>
        </is>
      </c>
      <c r="B557" s="1" t="n">
        <v>44203</v>
      </c>
      <c r="C557" s="1" t="n">
        <v>45924</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8045-2024</t>
        </is>
      </c>
      <c r="B558" s="1" t="n">
        <v>45351.31371527778</v>
      </c>
      <c r="C558" s="1" t="n">
        <v>45924</v>
      </c>
      <c r="D558" t="inlineStr">
        <is>
          <t>DALARNAS LÄN</t>
        </is>
      </c>
      <c r="E558" t="inlineStr">
        <is>
          <t>LEKSAND</t>
        </is>
      </c>
      <c r="G558" t="n">
        <v>6.7</v>
      </c>
      <c r="H558" t="n">
        <v>0</v>
      </c>
      <c r="I558" t="n">
        <v>0</v>
      </c>
      <c r="J558" t="n">
        <v>0</v>
      </c>
      <c r="K558" t="n">
        <v>0</v>
      </c>
      <c r="L558" t="n">
        <v>0</v>
      </c>
      <c r="M558" t="n">
        <v>0</v>
      </c>
      <c r="N558" t="n">
        <v>0</v>
      </c>
      <c r="O558" t="n">
        <v>0</v>
      </c>
      <c r="P558" t="n">
        <v>0</v>
      </c>
      <c r="Q558" t="n">
        <v>0</v>
      </c>
      <c r="R558" s="2" t="inlineStr"/>
    </row>
    <row r="559" ht="15" customHeight="1">
      <c r="A559" t="inlineStr">
        <is>
          <t>A 33001-2023</t>
        </is>
      </c>
      <c r="B559" s="1" t="n">
        <v>45125</v>
      </c>
      <c r="C559" s="1" t="n">
        <v>45924</v>
      </c>
      <c r="D559" t="inlineStr">
        <is>
          <t>DALARNAS LÄN</t>
        </is>
      </c>
      <c r="E559" t="inlineStr">
        <is>
          <t>LEKSAND</t>
        </is>
      </c>
      <c r="F559" t="inlineStr">
        <is>
          <t>Bergvik skog väst AB</t>
        </is>
      </c>
      <c r="G559" t="n">
        <v>3</v>
      </c>
      <c r="H559" t="n">
        <v>0</v>
      </c>
      <c r="I559" t="n">
        <v>0</v>
      </c>
      <c r="J559" t="n">
        <v>0</v>
      </c>
      <c r="K559" t="n">
        <v>0</v>
      </c>
      <c r="L559" t="n">
        <v>0</v>
      </c>
      <c r="M559" t="n">
        <v>0</v>
      </c>
      <c r="N559" t="n">
        <v>0</v>
      </c>
      <c r="O559" t="n">
        <v>0</v>
      </c>
      <c r="P559" t="n">
        <v>0</v>
      </c>
      <c r="Q559" t="n">
        <v>0</v>
      </c>
      <c r="R559" s="2" t="inlineStr"/>
    </row>
    <row r="560" ht="15" customHeight="1">
      <c r="A560" t="inlineStr">
        <is>
          <t>A 1946-2024</t>
        </is>
      </c>
      <c r="B560" s="1" t="n">
        <v>45308</v>
      </c>
      <c r="C560" s="1" t="n">
        <v>45924</v>
      </c>
      <c r="D560" t="inlineStr">
        <is>
          <t>DALARNAS LÄN</t>
        </is>
      </c>
      <c r="E560" t="inlineStr">
        <is>
          <t>LEKSAND</t>
        </is>
      </c>
      <c r="G560" t="n">
        <v>2.3</v>
      </c>
      <c r="H560" t="n">
        <v>0</v>
      </c>
      <c r="I560" t="n">
        <v>0</v>
      </c>
      <c r="J560" t="n">
        <v>0</v>
      </c>
      <c r="K560" t="n">
        <v>0</v>
      </c>
      <c r="L560" t="n">
        <v>0</v>
      </c>
      <c r="M560" t="n">
        <v>0</v>
      </c>
      <c r="N560" t="n">
        <v>0</v>
      </c>
      <c r="O560" t="n">
        <v>0</v>
      </c>
      <c r="P560" t="n">
        <v>0</v>
      </c>
      <c r="Q560" t="n">
        <v>0</v>
      </c>
      <c r="R560" s="2" t="inlineStr"/>
    </row>
    <row r="561" ht="15" customHeight="1">
      <c r="A561" t="inlineStr">
        <is>
          <t>A 40007-2024</t>
        </is>
      </c>
      <c r="B561" s="1" t="n">
        <v>45553.6516550926</v>
      </c>
      <c r="C561" s="1" t="n">
        <v>45924</v>
      </c>
      <c r="D561" t="inlineStr">
        <is>
          <t>DALARNAS LÄN</t>
        </is>
      </c>
      <c r="E561" t="inlineStr">
        <is>
          <t>LEKSAND</t>
        </is>
      </c>
      <c r="F561" t="inlineStr">
        <is>
          <t>Bergvik skog väst AB</t>
        </is>
      </c>
      <c r="G561" t="n">
        <v>3.2</v>
      </c>
      <c r="H561" t="n">
        <v>0</v>
      </c>
      <c r="I561" t="n">
        <v>0</v>
      </c>
      <c r="J561" t="n">
        <v>0</v>
      </c>
      <c r="K561" t="n">
        <v>0</v>
      </c>
      <c r="L561" t="n">
        <v>0</v>
      </c>
      <c r="M561" t="n">
        <v>0</v>
      </c>
      <c r="N561" t="n">
        <v>0</v>
      </c>
      <c r="O561" t="n">
        <v>0</v>
      </c>
      <c r="P561" t="n">
        <v>0</v>
      </c>
      <c r="Q561" t="n">
        <v>0</v>
      </c>
      <c r="R561" s="2" t="inlineStr"/>
    </row>
    <row r="562" ht="15" customHeight="1">
      <c r="A562" t="inlineStr">
        <is>
          <t>A 33198-2022</t>
        </is>
      </c>
      <c r="B562" s="1" t="n">
        <v>44785.68597222222</v>
      </c>
      <c r="C562" s="1" t="n">
        <v>45924</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32394-2024</t>
        </is>
      </c>
      <c r="B563" s="1" t="n">
        <v>45512.64349537037</v>
      </c>
      <c r="C563" s="1" t="n">
        <v>45924</v>
      </c>
      <c r="D563" t="inlineStr">
        <is>
          <t>DALARNAS LÄN</t>
        </is>
      </c>
      <c r="E563" t="inlineStr">
        <is>
          <t>LEKSAND</t>
        </is>
      </c>
      <c r="F563" t="inlineStr">
        <is>
          <t>Bergvik skog väst AB</t>
        </is>
      </c>
      <c r="G563" t="n">
        <v>6</v>
      </c>
      <c r="H563" t="n">
        <v>0</v>
      </c>
      <c r="I563" t="n">
        <v>0</v>
      </c>
      <c r="J563" t="n">
        <v>0</v>
      </c>
      <c r="K563" t="n">
        <v>0</v>
      </c>
      <c r="L563" t="n">
        <v>0</v>
      </c>
      <c r="M563" t="n">
        <v>0</v>
      </c>
      <c r="N563" t="n">
        <v>0</v>
      </c>
      <c r="O563" t="n">
        <v>0</v>
      </c>
      <c r="P563" t="n">
        <v>0</v>
      </c>
      <c r="Q563" t="n">
        <v>0</v>
      </c>
      <c r="R563" s="2" t="inlineStr"/>
    </row>
    <row r="564" ht="15" customHeight="1">
      <c r="A564" t="inlineStr">
        <is>
          <t>A 9938-2023</t>
        </is>
      </c>
      <c r="B564" s="1" t="n">
        <v>44985</v>
      </c>
      <c r="C564" s="1" t="n">
        <v>45924</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11015-2022</t>
        </is>
      </c>
      <c r="B565" s="1" t="n">
        <v>44628.52340277778</v>
      </c>
      <c r="C565" s="1" t="n">
        <v>45924</v>
      </c>
      <c r="D565" t="inlineStr">
        <is>
          <t>DALARNAS LÄN</t>
        </is>
      </c>
      <c r="E565" t="inlineStr">
        <is>
          <t>LEKSAND</t>
        </is>
      </c>
      <c r="G565" t="n">
        <v>1.4</v>
      </c>
      <c r="H565" t="n">
        <v>0</v>
      </c>
      <c r="I565" t="n">
        <v>0</v>
      </c>
      <c r="J565" t="n">
        <v>0</v>
      </c>
      <c r="K565" t="n">
        <v>0</v>
      </c>
      <c r="L565" t="n">
        <v>0</v>
      </c>
      <c r="M565" t="n">
        <v>0</v>
      </c>
      <c r="N565" t="n">
        <v>0</v>
      </c>
      <c r="O565" t="n">
        <v>0</v>
      </c>
      <c r="P565" t="n">
        <v>0</v>
      </c>
      <c r="Q565" t="n">
        <v>0</v>
      </c>
      <c r="R565" s="2" t="inlineStr"/>
    </row>
    <row r="566" ht="15" customHeight="1">
      <c r="A566" t="inlineStr">
        <is>
          <t>A 40752-2024</t>
        </is>
      </c>
      <c r="B566" s="1" t="n">
        <v>45558.45638888889</v>
      </c>
      <c r="C566" s="1" t="n">
        <v>45924</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31726-2024</t>
        </is>
      </c>
      <c r="B567" s="1" t="n">
        <v>45509.33908564815</v>
      </c>
      <c r="C567" s="1" t="n">
        <v>45924</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26957-2023</t>
        </is>
      </c>
      <c r="B568" s="1" t="n">
        <v>45093</v>
      </c>
      <c r="C568" s="1" t="n">
        <v>45924</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39595-2023</t>
        </is>
      </c>
      <c r="B569" s="1" t="n">
        <v>45167</v>
      </c>
      <c r="C569" s="1" t="n">
        <v>45924</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15882-2023</t>
        </is>
      </c>
      <c r="B570" s="1" t="n">
        <v>45022</v>
      </c>
      <c r="C570" s="1" t="n">
        <v>45924</v>
      </c>
      <c r="D570" t="inlineStr">
        <is>
          <t>DALARNAS LÄN</t>
        </is>
      </c>
      <c r="E570" t="inlineStr">
        <is>
          <t>LEKSAND</t>
        </is>
      </c>
      <c r="G570" t="n">
        <v>0.1</v>
      </c>
      <c r="H570" t="n">
        <v>0</v>
      </c>
      <c r="I570" t="n">
        <v>0</v>
      </c>
      <c r="J570" t="n">
        <v>0</v>
      </c>
      <c r="K570" t="n">
        <v>0</v>
      </c>
      <c r="L570" t="n">
        <v>0</v>
      </c>
      <c r="M570" t="n">
        <v>0</v>
      </c>
      <c r="N570" t="n">
        <v>0</v>
      </c>
      <c r="O570" t="n">
        <v>0</v>
      </c>
      <c r="P570" t="n">
        <v>0</v>
      </c>
      <c r="Q570" t="n">
        <v>0</v>
      </c>
      <c r="R570" s="2" t="inlineStr"/>
    </row>
    <row r="571" ht="15" customHeight="1">
      <c r="A571" t="inlineStr">
        <is>
          <t>A 40642-2023</t>
        </is>
      </c>
      <c r="B571" s="1" t="n">
        <v>45169</v>
      </c>
      <c r="C571" s="1" t="n">
        <v>45924</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5583-2024</t>
        </is>
      </c>
      <c r="B572" s="1" t="n">
        <v>45334</v>
      </c>
      <c r="C572" s="1" t="n">
        <v>45924</v>
      </c>
      <c r="D572" t="inlineStr">
        <is>
          <t>DALARNAS LÄN</t>
        </is>
      </c>
      <c r="E572" t="inlineStr">
        <is>
          <t>LEKSAND</t>
        </is>
      </c>
      <c r="F572" t="inlineStr">
        <is>
          <t>Kyrkan</t>
        </is>
      </c>
      <c r="G572" t="n">
        <v>0.4</v>
      </c>
      <c r="H572" t="n">
        <v>0</v>
      </c>
      <c r="I572" t="n">
        <v>0</v>
      </c>
      <c r="J572" t="n">
        <v>0</v>
      </c>
      <c r="K572" t="n">
        <v>0</v>
      </c>
      <c r="L572" t="n">
        <v>0</v>
      </c>
      <c r="M572" t="n">
        <v>0</v>
      </c>
      <c r="N572" t="n">
        <v>0</v>
      </c>
      <c r="O572" t="n">
        <v>0</v>
      </c>
      <c r="P572" t="n">
        <v>0</v>
      </c>
      <c r="Q572" t="n">
        <v>0</v>
      </c>
      <c r="R572" s="2" t="inlineStr"/>
    </row>
    <row r="573" ht="15" customHeight="1">
      <c r="A573" t="inlineStr">
        <is>
          <t>A 56950-2024</t>
        </is>
      </c>
      <c r="B573" s="1" t="n">
        <v>45625</v>
      </c>
      <c r="C573" s="1" t="n">
        <v>45924</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15120-2023</t>
        </is>
      </c>
      <c r="B574" s="1" t="n">
        <v>45016.46484953703</v>
      </c>
      <c r="C574" s="1" t="n">
        <v>45924</v>
      </c>
      <c r="D574" t="inlineStr">
        <is>
          <t>DALARNAS LÄN</t>
        </is>
      </c>
      <c r="E574" t="inlineStr">
        <is>
          <t>LEKSAND</t>
        </is>
      </c>
      <c r="G574" t="n">
        <v>2.7</v>
      </c>
      <c r="H574" t="n">
        <v>0</v>
      </c>
      <c r="I574" t="n">
        <v>0</v>
      </c>
      <c r="J574" t="n">
        <v>0</v>
      </c>
      <c r="K574" t="n">
        <v>0</v>
      </c>
      <c r="L574" t="n">
        <v>0</v>
      </c>
      <c r="M574" t="n">
        <v>0</v>
      </c>
      <c r="N574" t="n">
        <v>0</v>
      </c>
      <c r="O574" t="n">
        <v>0</v>
      </c>
      <c r="P574" t="n">
        <v>0</v>
      </c>
      <c r="Q574" t="n">
        <v>0</v>
      </c>
      <c r="R574" s="2" t="inlineStr"/>
    </row>
    <row r="575" ht="15" customHeight="1">
      <c r="A575" t="inlineStr">
        <is>
          <t>A 57933-2024</t>
        </is>
      </c>
      <c r="B575" s="1" t="n">
        <v>45630</v>
      </c>
      <c r="C575" s="1" t="n">
        <v>45924</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43693-2022</t>
        </is>
      </c>
      <c r="B576" s="1" t="n">
        <v>44837.6369212963</v>
      </c>
      <c r="C576" s="1" t="n">
        <v>45924</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60095-2022</t>
        </is>
      </c>
      <c r="B577" s="1" t="n">
        <v>44909</v>
      </c>
      <c r="C577" s="1" t="n">
        <v>45924</v>
      </c>
      <c r="D577" t="inlineStr">
        <is>
          <t>DALARNAS LÄN</t>
        </is>
      </c>
      <c r="E577" t="inlineStr">
        <is>
          <t>LEKSAND</t>
        </is>
      </c>
      <c r="G577" t="n">
        <v>2.4</v>
      </c>
      <c r="H577" t="n">
        <v>0</v>
      </c>
      <c r="I577" t="n">
        <v>0</v>
      </c>
      <c r="J577" t="n">
        <v>0</v>
      </c>
      <c r="K577" t="n">
        <v>0</v>
      </c>
      <c r="L577" t="n">
        <v>0</v>
      </c>
      <c r="M577" t="n">
        <v>0</v>
      </c>
      <c r="N577" t="n">
        <v>0</v>
      </c>
      <c r="O577" t="n">
        <v>0</v>
      </c>
      <c r="P577" t="n">
        <v>0</v>
      </c>
      <c r="Q577" t="n">
        <v>0</v>
      </c>
      <c r="R577" s="2" t="inlineStr"/>
    </row>
    <row r="578" ht="15" customHeight="1">
      <c r="A578" t="inlineStr">
        <is>
          <t>A 30595-2023</t>
        </is>
      </c>
      <c r="B578" s="1" t="n">
        <v>45112</v>
      </c>
      <c r="C578" s="1" t="n">
        <v>45924</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5453-2025</t>
        </is>
      </c>
      <c r="B579" s="1" t="n">
        <v>45692.95231481481</v>
      </c>
      <c r="C579" s="1" t="n">
        <v>45924</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3352-2024</t>
        </is>
      </c>
      <c r="B580" s="1" t="n">
        <v>45317</v>
      </c>
      <c r="C580" s="1" t="n">
        <v>45924</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52755-2024</t>
        </is>
      </c>
      <c r="B581" s="1" t="n">
        <v>45610.50217592593</v>
      </c>
      <c r="C581" s="1" t="n">
        <v>45924</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6519-2025</t>
        </is>
      </c>
      <c r="B582" s="1" t="n">
        <v>45699</v>
      </c>
      <c r="C582" s="1" t="n">
        <v>45924</v>
      </c>
      <c r="D582" t="inlineStr">
        <is>
          <t>DALARNAS LÄN</t>
        </is>
      </c>
      <c r="E582" t="inlineStr">
        <is>
          <t>LEKSAND</t>
        </is>
      </c>
      <c r="G582" t="n">
        <v>0.8</v>
      </c>
      <c r="H582" t="n">
        <v>0</v>
      </c>
      <c r="I582" t="n">
        <v>0</v>
      </c>
      <c r="J582" t="n">
        <v>0</v>
      </c>
      <c r="K582" t="n">
        <v>0</v>
      </c>
      <c r="L582" t="n">
        <v>0</v>
      </c>
      <c r="M582" t="n">
        <v>0</v>
      </c>
      <c r="N582" t="n">
        <v>0</v>
      </c>
      <c r="O582" t="n">
        <v>0</v>
      </c>
      <c r="P582" t="n">
        <v>0</v>
      </c>
      <c r="Q582" t="n">
        <v>0</v>
      </c>
      <c r="R582" s="2" t="inlineStr"/>
    </row>
    <row r="583" ht="15" customHeight="1">
      <c r="A583" t="inlineStr">
        <is>
          <t>A 40755-2024</t>
        </is>
      </c>
      <c r="B583" s="1" t="n">
        <v>45558.45815972222</v>
      </c>
      <c r="C583" s="1" t="n">
        <v>45924</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13165-2023</t>
        </is>
      </c>
      <c r="B584" s="1" t="n">
        <v>45002.57731481481</v>
      </c>
      <c r="C584" s="1" t="n">
        <v>45924</v>
      </c>
      <c r="D584" t="inlineStr">
        <is>
          <t>DALARNAS LÄN</t>
        </is>
      </c>
      <c r="E584" t="inlineStr">
        <is>
          <t>LEKSAND</t>
        </is>
      </c>
      <c r="G584" t="n">
        <v>2.4</v>
      </c>
      <c r="H584" t="n">
        <v>0</v>
      </c>
      <c r="I584" t="n">
        <v>0</v>
      </c>
      <c r="J584" t="n">
        <v>0</v>
      </c>
      <c r="K584" t="n">
        <v>0</v>
      </c>
      <c r="L584" t="n">
        <v>0</v>
      </c>
      <c r="M584" t="n">
        <v>0</v>
      </c>
      <c r="N584" t="n">
        <v>0</v>
      </c>
      <c r="O584" t="n">
        <v>0</v>
      </c>
      <c r="P584" t="n">
        <v>0</v>
      </c>
      <c r="Q584" t="n">
        <v>0</v>
      </c>
      <c r="R584" s="2" t="inlineStr"/>
    </row>
    <row r="585" ht="15" customHeight="1">
      <c r="A585" t="inlineStr">
        <is>
          <t>A 39620-2024</t>
        </is>
      </c>
      <c r="B585" s="1" t="n">
        <v>45552.43163194445</v>
      </c>
      <c r="C585" s="1" t="n">
        <v>45924</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11218-2023</t>
        </is>
      </c>
      <c r="B586" s="1" t="n">
        <v>44992.62401620371</v>
      </c>
      <c r="C586" s="1" t="n">
        <v>45924</v>
      </c>
      <c r="D586" t="inlineStr">
        <is>
          <t>DALARNAS LÄN</t>
        </is>
      </c>
      <c r="E586" t="inlineStr">
        <is>
          <t>LEKSAND</t>
        </is>
      </c>
      <c r="G586" t="n">
        <v>2.6</v>
      </c>
      <c r="H586" t="n">
        <v>0</v>
      </c>
      <c r="I586" t="n">
        <v>0</v>
      </c>
      <c r="J586" t="n">
        <v>0</v>
      </c>
      <c r="K586" t="n">
        <v>0</v>
      </c>
      <c r="L586" t="n">
        <v>0</v>
      </c>
      <c r="M586" t="n">
        <v>0</v>
      </c>
      <c r="N586" t="n">
        <v>0</v>
      </c>
      <c r="O586" t="n">
        <v>0</v>
      </c>
      <c r="P586" t="n">
        <v>0</v>
      </c>
      <c r="Q586" t="n">
        <v>0</v>
      </c>
      <c r="R586" s="2" t="inlineStr"/>
    </row>
    <row r="587" ht="15" customHeight="1">
      <c r="A587" t="inlineStr">
        <is>
          <t>A 30204-2024</t>
        </is>
      </c>
      <c r="B587" s="1" t="n">
        <v>45490.35402777778</v>
      </c>
      <c r="C587" s="1" t="n">
        <v>45924</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61680-2024</t>
        </is>
      </c>
      <c r="B588" s="1" t="n">
        <v>45647.42890046296</v>
      </c>
      <c r="C588" s="1" t="n">
        <v>45924</v>
      </c>
      <c r="D588" t="inlineStr">
        <is>
          <t>DALARNAS LÄN</t>
        </is>
      </c>
      <c r="E588" t="inlineStr">
        <is>
          <t>LEKSAND</t>
        </is>
      </c>
      <c r="G588" t="n">
        <v>3.6</v>
      </c>
      <c r="H588" t="n">
        <v>0</v>
      </c>
      <c r="I588" t="n">
        <v>0</v>
      </c>
      <c r="J588" t="n">
        <v>0</v>
      </c>
      <c r="K588" t="n">
        <v>0</v>
      </c>
      <c r="L588" t="n">
        <v>0</v>
      </c>
      <c r="M588" t="n">
        <v>0</v>
      </c>
      <c r="N588" t="n">
        <v>0</v>
      </c>
      <c r="O588" t="n">
        <v>0</v>
      </c>
      <c r="P588" t="n">
        <v>0</v>
      </c>
      <c r="Q588" t="n">
        <v>0</v>
      </c>
      <c r="R588" s="2" t="inlineStr"/>
    </row>
    <row r="589" ht="15" customHeight="1">
      <c r="A589" t="inlineStr">
        <is>
          <t>A 6050-2023</t>
        </is>
      </c>
      <c r="B589" s="1" t="n">
        <v>44959</v>
      </c>
      <c r="C589" s="1" t="n">
        <v>45924</v>
      </c>
      <c r="D589" t="inlineStr">
        <is>
          <t>DALARNAS LÄN</t>
        </is>
      </c>
      <c r="E589" t="inlineStr">
        <is>
          <t>LEKSAND</t>
        </is>
      </c>
      <c r="G589" t="n">
        <v>6.2</v>
      </c>
      <c r="H589" t="n">
        <v>0</v>
      </c>
      <c r="I589" t="n">
        <v>0</v>
      </c>
      <c r="J589" t="n">
        <v>0</v>
      </c>
      <c r="K589" t="n">
        <v>0</v>
      </c>
      <c r="L589" t="n">
        <v>0</v>
      </c>
      <c r="M589" t="n">
        <v>0</v>
      </c>
      <c r="N589" t="n">
        <v>0</v>
      </c>
      <c r="O589" t="n">
        <v>0</v>
      </c>
      <c r="P589" t="n">
        <v>0</v>
      </c>
      <c r="Q589" t="n">
        <v>0</v>
      </c>
      <c r="R589" s="2" t="inlineStr"/>
    </row>
    <row r="590" ht="15" customHeight="1">
      <c r="A590" t="inlineStr">
        <is>
          <t>A 17730-2024</t>
        </is>
      </c>
      <c r="B590" s="1" t="n">
        <v>45418</v>
      </c>
      <c r="C590" s="1" t="n">
        <v>45924</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62295-2023</t>
        </is>
      </c>
      <c r="B591" s="1" t="n">
        <v>45267</v>
      </c>
      <c r="C591" s="1" t="n">
        <v>45924</v>
      </c>
      <c r="D591" t="inlineStr">
        <is>
          <t>DALARNAS LÄN</t>
        </is>
      </c>
      <c r="E591" t="inlineStr">
        <is>
          <t>LEKSAND</t>
        </is>
      </c>
      <c r="G591" t="n">
        <v>2.5</v>
      </c>
      <c r="H591" t="n">
        <v>0</v>
      </c>
      <c r="I591" t="n">
        <v>0</v>
      </c>
      <c r="J591" t="n">
        <v>0</v>
      </c>
      <c r="K591" t="n">
        <v>0</v>
      </c>
      <c r="L591" t="n">
        <v>0</v>
      </c>
      <c r="M591" t="n">
        <v>0</v>
      </c>
      <c r="N591" t="n">
        <v>0</v>
      </c>
      <c r="O591" t="n">
        <v>0</v>
      </c>
      <c r="P591" t="n">
        <v>0</v>
      </c>
      <c r="Q591" t="n">
        <v>0</v>
      </c>
      <c r="R591" s="2" t="inlineStr"/>
    </row>
    <row r="592" ht="15" customHeight="1">
      <c r="A592" t="inlineStr">
        <is>
          <t>A 15173-2025</t>
        </is>
      </c>
      <c r="B592" s="1" t="n">
        <v>45744.50858796296</v>
      </c>
      <c r="C592" s="1" t="n">
        <v>45924</v>
      </c>
      <c r="D592" t="inlineStr">
        <is>
          <t>DALARNAS LÄN</t>
        </is>
      </c>
      <c r="E592" t="inlineStr">
        <is>
          <t>LEKSAND</t>
        </is>
      </c>
      <c r="G592" t="n">
        <v>0.3</v>
      </c>
      <c r="H592" t="n">
        <v>0</v>
      </c>
      <c r="I592" t="n">
        <v>0</v>
      </c>
      <c r="J592" t="n">
        <v>0</v>
      </c>
      <c r="K592" t="n">
        <v>0</v>
      </c>
      <c r="L592" t="n">
        <v>0</v>
      </c>
      <c r="M592" t="n">
        <v>0</v>
      </c>
      <c r="N592" t="n">
        <v>0</v>
      </c>
      <c r="O592" t="n">
        <v>0</v>
      </c>
      <c r="P592" t="n">
        <v>0</v>
      </c>
      <c r="Q592" t="n">
        <v>0</v>
      </c>
      <c r="R592" s="2" t="inlineStr"/>
    </row>
    <row r="593" ht="15" customHeight="1">
      <c r="A593" t="inlineStr">
        <is>
          <t>A 61054-2023</t>
        </is>
      </c>
      <c r="B593" s="1" t="n">
        <v>45261</v>
      </c>
      <c r="C593" s="1" t="n">
        <v>45924</v>
      </c>
      <c r="D593" t="inlineStr">
        <is>
          <t>DALARNAS LÄN</t>
        </is>
      </c>
      <c r="E593" t="inlineStr">
        <is>
          <t>LEKSAND</t>
        </is>
      </c>
      <c r="G593" t="n">
        <v>0.4</v>
      </c>
      <c r="H593" t="n">
        <v>0</v>
      </c>
      <c r="I593" t="n">
        <v>0</v>
      </c>
      <c r="J593" t="n">
        <v>0</v>
      </c>
      <c r="K593" t="n">
        <v>0</v>
      </c>
      <c r="L593" t="n">
        <v>0</v>
      </c>
      <c r="M593" t="n">
        <v>0</v>
      </c>
      <c r="N593" t="n">
        <v>0</v>
      </c>
      <c r="O593" t="n">
        <v>0</v>
      </c>
      <c r="P593" t="n">
        <v>0</v>
      </c>
      <c r="Q593" t="n">
        <v>0</v>
      </c>
      <c r="R593" s="2" t="inlineStr"/>
    </row>
    <row r="594" ht="15" customHeight="1">
      <c r="A594" t="inlineStr">
        <is>
          <t>A 61056-2023</t>
        </is>
      </c>
      <c r="B594" s="1" t="n">
        <v>45261</v>
      </c>
      <c r="C594" s="1" t="n">
        <v>45924</v>
      </c>
      <c r="D594" t="inlineStr">
        <is>
          <t>DALARNAS LÄN</t>
        </is>
      </c>
      <c r="E594" t="inlineStr">
        <is>
          <t>LEKSAND</t>
        </is>
      </c>
      <c r="G594" t="n">
        <v>0.3</v>
      </c>
      <c r="H594" t="n">
        <v>0</v>
      </c>
      <c r="I594" t="n">
        <v>0</v>
      </c>
      <c r="J594" t="n">
        <v>0</v>
      </c>
      <c r="K594" t="n">
        <v>0</v>
      </c>
      <c r="L594" t="n">
        <v>0</v>
      </c>
      <c r="M594" t="n">
        <v>0</v>
      </c>
      <c r="N594" t="n">
        <v>0</v>
      </c>
      <c r="O594" t="n">
        <v>0</v>
      </c>
      <c r="P594" t="n">
        <v>0</v>
      </c>
      <c r="Q594" t="n">
        <v>0</v>
      </c>
      <c r="R594" s="2" t="inlineStr"/>
    </row>
    <row r="595" ht="15" customHeight="1">
      <c r="A595" t="inlineStr">
        <is>
          <t>A 20946-2023</t>
        </is>
      </c>
      <c r="B595" s="1" t="n">
        <v>45061</v>
      </c>
      <c r="C595" s="1" t="n">
        <v>45924</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16748-2025</t>
        </is>
      </c>
      <c r="B596" s="1" t="n">
        <v>45754</v>
      </c>
      <c r="C596" s="1" t="n">
        <v>45924</v>
      </c>
      <c r="D596" t="inlineStr">
        <is>
          <t>DALARNAS LÄN</t>
        </is>
      </c>
      <c r="E596" t="inlineStr">
        <is>
          <t>LEKSAND</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34039-2024</t>
        </is>
      </c>
      <c r="B597" s="1" t="n">
        <v>45523.5974537037</v>
      </c>
      <c r="C597" s="1" t="n">
        <v>45924</v>
      </c>
      <c r="D597" t="inlineStr">
        <is>
          <t>DALARNAS LÄN</t>
        </is>
      </c>
      <c r="E597" t="inlineStr">
        <is>
          <t>LEKSAND</t>
        </is>
      </c>
      <c r="G597" t="n">
        <v>7.1</v>
      </c>
      <c r="H597" t="n">
        <v>0</v>
      </c>
      <c r="I597" t="n">
        <v>0</v>
      </c>
      <c r="J597" t="n">
        <v>0</v>
      </c>
      <c r="K597" t="n">
        <v>0</v>
      </c>
      <c r="L597" t="n">
        <v>0</v>
      </c>
      <c r="M597" t="n">
        <v>0</v>
      </c>
      <c r="N597" t="n">
        <v>0</v>
      </c>
      <c r="O597" t="n">
        <v>0</v>
      </c>
      <c r="P597" t="n">
        <v>0</v>
      </c>
      <c r="Q597" t="n">
        <v>0</v>
      </c>
      <c r="R597" s="2" t="inlineStr"/>
    </row>
    <row r="598" ht="15" customHeight="1">
      <c r="A598" t="inlineStr">
        <is>
          <t>A 7759-2025</t>
        </is>
      </c>
      <c r="B598" s="1" t="n">
        <v>45706.53827546296</v>
      </c>
      <c r="C598" s="1" t="n">
        <v>45924</v>
      </c>
      <c r="D598" t="inlineStr">
        <is>
          <t>DALARNAS LÄN</t>
        </is>
      </c>
      <c r="E598" t="inlineStr">
        <is>
          <t>LEKSAND</t>
        </is>
      </c>
      <c r="G598" t="n">
        <v>3.3</v>
      </c>
      <c r="H598" t="n">
        <v>0</v>
      </c>
      <c r="I598" t="n">
        <v>0</v>
      </c>
      <c r="J598" t="n">
        <v>0</v>
      </c>
      <c r="K598" t="n">
        <v>0</v>
      </c>
      <c r="L598" t="n">
        <v>0</v>
      </c>
      <c r="M598" t="n">
        <v>0</v>
      </c>
      <c r="N598" t="n">
        <v>0</v>
      </c>
      <c r="O598" t="n">
        <v>0</v>
      </c>
      <c r="P598" t="n">
        <v>0</v>
      </c>
      <c r="Q598" t="n">
        <v>0</v>
      </c>
      <c r="R598" s="2" t="inlineStr"/>
    </row>
    <row r="599" ht="15" customHeight="1">
      <c r="A599" t="inlineStr">
        <is>
          <t>A 12356-2023</t>
        </is>
      </c>
      <c r="B599" s="1" t="n">
        <v>44998</v>
      </c>
      <c r="C599" s="1" t="n">
        <v>45924</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12363-2023</t>
        </is>
      </c>
      <c r="B600" s="1" t="n">
        <v>44998</v>
      </c>
      <c r="C600" s="1" t="n">
        <v>45924</v>
      </c>
      <c r="D600" t="inlineStr">
        <is>
          <t>DALARNAS LÄN</t>
        </is>
      </c>
      <c r="E600" t="inlineStr">
        <is>
          <t>LEKSAND</t>
        </is>
      </c>
      <c r="G600" t="n">
        <v>10</v>
      </c>
      <c r="H600" t="n">
        <v>0</v>
      </c>
      <c r="I600" t="n">
        <v>0</v>
      </c>
      <c r="J600" t="n">
        <v>0</v>
      </c>
      <c r="K600" t="n">
        <v>0</v>
      </c>
      <c r="L600" t="n">
        <v>0</v>
      </c>
      <c r="M600" t="n">
        <v>0</v>
      </c>
      <c r="N600" t="n">
        <v>0</v>
      </c>
      <c r="O600" t="n">
        <v>0</v>
      </c>
      <c r="P600" t="n">
        <v>0</v>
      </c>
      <c r="Q600" t="n">
        <v>0</v>
      </c>
      <c r="R600" s="2" t="inlineStr"/>
    </row>
    <row r="601" ht="15" customHeight="1">
      <c r="A601" t="inlineStr">
        <is>
          <t>A 6846-2023</t>
        </is>
      </c>
      <c r="B601" s="1" t="n">
        <v>44967.43953703704</v>
      </c>
      <c r="C601" s="1" t="n">
        <v>45924</v>
      </c>
      <c r="D601" t="inlineStr">
        <is>
          <t>DALARNAS LÄN</t>
        </is>
      </c>
      <c r="E601" t="inlineStr">
        <is>
          <t>LEKSAND</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17413-2023</t>
        </is>
      </c>
      <c r="B602" s="1" t="n">
        <v>45035</v>
      </c>
      <c r="C602" s="1" t="n">
        <v>45924</v>
      </c>
      <c r="D602" t="inlineStr">
        <is>
          <t>DALARNAS LÄN</t>
        </is>
      </c>
      <c r="E602" t="inlineStr">
        <is>
          <t>LEKSAND</t>
        </is>
      </c>
      <c r="G602" t="n">
        <v>1.7</v>
      </c>
      <c r="H602" t="n">
        <v>0</v>
      </c>
      <c r="I602" t="n">
        <v>0</v>
      </c>
      <c r="J602" t="n">
        <v>0</v>
      </c>
      <c r="K602" t="n">
        <v>0</v>
      </c>
      <c r="L602" t="n">
        <v>0</v>
      </c>
      <c r="M602" t="n">
        <v>0</v>
      </c>
      <c r="N602" t="n">
        <v>0</v>
      </c>
      <c r="O602" t="n">
        <v>0</v>
      </c>
      <c r="P602" t="n">
        <v>0</v>
      </c>
      <c r="Q602" t="n">
        <v>0</v>
      </c>
      <c r="R602" s="2" t="inlineStr"/>
    </row>
    <row r="603" ht="15" customHeight="1">
      <c r="A603" t="inlineStr">
        <is>
          <t>A 55015-2024</t>
        </is>
      </c>
      <c r="B603" s="1" t="n">
        <v>45621.35554398148</v>
      </c>
      <c r="C603" s="1" t="n">
        <v>45924</v>
      </c>
      <c r="D603" t="inlineStr">
        <is>
          <t>DALARNAS LÄN</t>
        </is>
      </c>
      <c r="E603" t="inlineStr">
        <is>
          <t>LEKSAND</t>
        </is>
      </c>
      <c r="G603" t="n">
        <v>0.6</v>
      </c>
      <c r="H603" t="n">
        <v>0</v>
      </c>
      <c r="I603" t="n">
        <v>0</v>
      </c>
      <c r="J603" t="n">
        <v>0</v>
      </c>
      <c r="K603" t="n">
        <v>0</v>
      </c>
      <c r="L603" t="n">
        <v>0</v>
      </c>
      <c r="M603" t="n">
        <v>0</v>
      </c>
      <c r="N603" t="n">
        <v>0</v>
      </c>
      <c r="O603" t="n">
        <v>0</v>
      </c>
      <c r="P603" t="n">
        <v>0</v>
      </c>
      <c r="Q603" t="n">
        <v>0</v>
      </c>
      <c r="R603" s="2" t="inlineStr"/>
    </row>
    <row r="604" ht="15" customHeight="1">
      <c r="A604" t="inlineStr">
        <is>
          <t>A 1775-2022</t>
        </is>
      </c>
      <c r="B604" s="1" t="n">
        <v>44574</v>
      </c>
      <c r="C604" s="1" t="n">
        <v>45924</v>
      </c>
      <c r="D604" t="inlineStr">
        <is>
          <t>DALARNAS LÄN</t>
        </is>
      </c>
      <c r="E604" t="inlineStr">
        <is>
          <t>LEKSAND</t>
        </is>
      </c>
      <c r="G604" t="n">
        <v>2</v>
      </c>
      <c r="H604" t="n">
        <v>0</v>
      </c>
      <c r="I604" t="n">
        <v>0</v>
      </c>
      <c r="J604" t="n">
        <v>0</v>
      </c>
      <c r="K604" t="n">
        <v>0</v>
      </c>
      <c r="L604" t="n">
        <v>0</v>
      </c>
      <c r="M604" t="n">
        <v>0</v>
      </c>
      <c r="N604" t="n">
        <v>0</v>
      </c>
      <c r="O604" t="n">
        <v>0</v>
      </c>
      <c r="P604" t="n">
        <v>0</v>
      </c>
      <c r="Q604" t="n">
        <v>0</v>
      </c>
      <c r="R604" s="2" t="inlineStr"/>
    </row>
    <row r="605" ht="15" customHeight="1">
      <c r="A605" t="inlineStr">
        <is>
          <t>A 28674-2024</t>
        </is>
      </c>
      <c r="B605" s="1" t="n">
        <v>45478.47863425926</v>
      </c>
      <c r="C605" s="1" t="n">
        <v>45924</v>
      </c>
      <c r="D605" t="inlineStr">
        <is>
          <t>DALARNAS LÄN</t>
        </is>
      </c>
      <c r="E605" t="inlineStr">
        <is>
          <t>LEKSAND</t>
        </is>
      </c>
      <c r="G605" t="n">
        <v>4.9</v>
      </c>
      <c r="H605" t="n">
        <v>0</v>
      </c>
      <c r="I605" t="n">
        <v>0</v>
      </c>
      <c r="J605" t="n">
        <v>0</v>
      </c>
      <c r="K605" t="n">
        <v>0</v>
      </c>
      <c r="L605" t="n">
        <v>0</v>
      </c>
      <c r="M605" t="n">
        <v>0</v>
      </c>
      <c r="N605" t="n">
        <v>0</v>
      </c>
      <c r="O605" t="n">
        <v>0</v>
      </c>
      <c r="P605" t="n">
        <v>0</v>
      </c>
      <c r="Q605" t="n">
        <v>0</v>
      </c>
      <c r="R605" s="2" t="inlineStr"/>
    </row>
    <row r="606" ht="15" customHeight="1">
      <c r="A606" t="inlineStr">
        <is>
          <t>A 56753-2023</t>
        </is>
      </c>
      <c r="B606" s="1" t="n">
        <v>45244.37094907407</v>
      </c>
      <c r="C606" s="1" t="n">
        <v>45924</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16231-2021</t>
        </is>
      </c>
      <c r="B607" s="1" t="n">
        <v>44292</v>
      </c>
      <c r="C607" s="1" t="n">
        <v>45924</v>
      </c>
      <c r="D607" t="inlineStr">
        <is>
          <t>DALARNAS LÄN</t>
        </is>
      </c>
      <c r="E607" t="inlineStr">
        <is>
          <t>LEKSAND</t>
        </is>
      </c>
      <c r="G607" t="n">
        <v>1.1</v>
      </c>
      <c r="H607" t="n">
        <v>0</v>
      </c>
      <c r="I607" t="n">
        <v>0</v>
      </c>
      <c r="J607" t="n">
        <v>0</v>
      </c>
      <c r="K607" t="n">
        <v>0</v>
      </c>
      <c r="L607" t="n">
        <v>0</v>
      </c>
      <c r="M607" t="n">
        <v>0</v>
      </c>
      <c r="N607" t="n">
        <v>0</v>
      </c>
      <c r="O607" t="n">
        <v>0</v>
      </c>
      <c r="P607" t="n">
        <v>0</v>
      </c>
      <c r="Q607" t="n">
        <v>0</v>
      </c>
      <c r="R607" s="2" t="inlineStr"/>
    </row>
    <row r="608" ht="15" customHeight="1">
      <c r="A608" t="inlineStr">
        <is>
          <t>A 18049-2025</t>
        </is>
      </c>
      <c r="B608" s="1" t="n">
        <v>45761.46743055555</v>
      </c>
      <c r="C608" s="1" t="n">
        <v>45924</v>
      </c>
      <c r="D608" t="inlineStr">
        <is>
          <t>DALARNAS LÄN</t>
        </is>
      </c>
      <c r="E608" t="inlineStr">
        <is>
          <t>LEKSAND</t>
        </is>
      </c>
      <c r="G608" t="n">
        <v>1.4</v>
      </c>
      <c r="H608" t="n">
        <v>0</v>
      </c>
      <c r="I608" t="n">
        <v>0</v>
      </c>
      <c r="J608" t="n">
        <v>0</v>
      </c>
      <c r="K608" t="n">
        <v>0</v>
      </c>
      <c r="L608" t="n">
        <v>0</v>
      </c>
      <c r="M608" t="n">
        <v>0</v>
      </c>
      <c r="N608" t="n">
        <v>0</v>
      </c>
      <c r="O608" t="n">
        <v>0</v>
      </c>
      <c r="P608" t="n">
        <v>0</v>
      </c>
      <c r="Q608" t="n">
        <v>0</v>
      </c>
      <c r="R608" s="2" t="inlineStr"/>
    </row>
    <row r="609" ht="15" customHeight="1">
      <c r="A609" t="inlineStr">
        <is>
          <t>A 56283-2024</t>
        </is>
      </c>
      <c r="B609" s="1" t="n">
        <v>45624.67864583333</v>
      </c>
      <c r="C609" s="1" t="n">
        <v>45924</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43077-2024</t>
        </is>
      </c>
      <c r="B610" s="1" t="n">
        <v>45567.50030092592</v>
      </c>
      <c r="C610" s="1" t="n">
        <v>45924</v>
      </c>
      <c r="D610" t="inlineStr">
        <is>
          <t>DALARNAS LÄN</t>
        </is>
      </c>
      <c r="E610" t="inlineStr">
        <is>
          <t>LEKSAND</t>
        </is>
      </c>
      <c r="G610" t="n">
        <v>1.6</v>
      </c>
      <c r="H610" t="n">
        <v>0</v>
      </c>
      <c r="I610" t="n">
        <v>0</v>
      </c>
      <c r="J610" t="n">
        <v>0</v>
      </c>
      <c r="K610" t="n">
        <v>0</v>
      </c>
      <c r="L610" t="n">
        <v>0</v>
      </c>
      <c r="M610" t="n">
        <v>0</v>
      </c>
      <c r="N610" t="n">
        <v>0</v>
      </c>
      <c r="O610" t="n">
        <v>0</v>
      </c>
      <c r="P610" t="n">
        <v>0</v>
      </c>
      <c r="Q610" t="n">
        <v>0</v>
      </c>
      <c r="R610" s="2" t="inlineStr"/>
    </row>
    <row r="611" ht="15" customHeight="1">
      <c r="A611" t="inlineStr">
        <is>
          <t>A 57899-2024</t>
        </is>
      </c>
      <c r="B611" s="1" t="n">
        <v>45630</v>
      </c>
      <c r="C611" s="1" t="n">
        <v>45924</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60873-2023</t>
        </is>
      </c>
      <c r="B612" s="1" t="n">
        <v>45261.03266203704</v>
      </c>
      <c r="C612" s="1" t="n">
        <v>45924</v>
      </c>
      <c r="D612" t="inlineStr">
        <is>
          <t>DALARNAS LÄN</t>
        </is>
      </c>
      <c r="E612" t="inlineStr">
        <is>
          <t>LEKSAND</t>
        </is>
      </c>
      <c r="G612" t="n">
        <v>5.2</v>
      </c>
      <c r="H612" t="n">
        <v>0</v>
      </c>
      <c r="I612" t="n">
        <v>0</v>
      </c>
      <c r="J612" t="n">
        <v>0</v>
      </c>
      <c r="K612" t="n">
        <v>0</v>
      </c>
      <c r="L612" t="n">
        <v>0</v>
      </c>
      <c r="M612" t="n">
        <v>0</v>
      </c>
      <c r="N612" t="n">
        <v>0</v>
      </c>
      <c r="O612" t="n">
        <v>0</v>
      </c>
      <c r="P612" t="n">
        <v>0</v>
      </c>
      <c r="Q612" t="n">
        <v>0</v>
      </c>
      <c r="R612" s="2" t="inlineStr"/>
    </row>
    <row r="613" ht="15" customHeight="1">
      <c r="A613" t="inlineStr">
        <is>
          <t>A 53122-2023</t>
        </is>
      </c>
      <c r="B613" s="1" t="n">
        <v>45228</v>
      </c>
      <c r="C613" s="1" t="n">
        <v>45924</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12581-2025</t>
        </is>
      </c>
      <c r="B614" s="1" t="n">
        <v>45732.62201388889</v>
      </c>
      <c r="C614" s="1" t="n">
        <v>45924</v>
      </c>
      <c r="D614" t="inlineStr">
        <is>
          <t>DALARNAS LÄN</t>
        </is>
      </c>
      <c r="E614" t="inlineStr">
        <is>
          <t>LEKSAND</t>
        </is>
      </c>
      <c r="G614" t="n">
        <v>5.1</v>
      </c>
      <c r="H614" t="n">
        <v>0</v>
      </c>
      <c r="I614" t="n">
        <v>0</v>
      </c>
      <c r="J614" t="n">
        <v>0</v>
      </c>
      <c r="K614" t="n">
        <v>0</v>
      </c>
      <c r="L614" t="n">
        <v>0</v>
      </c>
      <c r="M614" t="n">
        <v>0</v>
      </c>
      <c r="N614" t="n">
        <v>0</v>
      </c>
      <c r="O614" t="n">
        <v>0</v>
      </c>
      <c r="P614" t="n">
        <v>0</v>
      </c>
      <c r="Q614" t="n">
        <v>0</v>
      </c>
      <c r="R614" s="2" t="inlineStr"/>
    </row>
    <row r="615" ht="15" customHeight="1">
      <c r="A615" t="inlineStr">
        <is>
          <t>A 12620-2025</t>
        </is>
      </c>
      <c r="B615" s="1" t="n">
        <v>45733.35498842593</v>
      </c>
      <c r="C615" s="1" t="n">
        <v>45924</v>
      </c>
      <c r="D615" t="inlineStr">
        <is>
          <t>DALARNAS LÄN</t>
        </is>
      </c>
      <c r="E615" t="inlineStr">
        <is>
          <t>LEKSAND</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12623-2025</t>
        </is>
      </c>
      <c r="B616" s="1" t="n">
        <v>45733.36079861111</v>
      </c>
      <c r="C616" s="1" t="n">
        <v>45924</v>
      </c>
      <c r="D616" t="inlineStr">
        <is>
          <t>DALARNAS LÄN</t>
        </is>
      </c>
      <c r="E616" t="inlineStr">
        <is>
          <t>LEKSAND</t>
        </is>
      </c>
      <c r="F616" t="inlineStr">
        <is>
          <t>Bergvik skog väst AB</t>
        </is>
      </c>
      <c r="G616" t="n">
        <v>13</v>
      </c>
      <c r="H616" t="n">
        <v>0</v>
      </c>
      <c r="I616" t="n">
        <v>0</v>
      </c>
      <c r="J616" t="n">
        <v>0</v>
      </c>
      <c r="K616" t="n">
        <v>0</v>
      </c>
      <c r="L616" t="n">
        <v>0</v>
      </c>
      <c r="M616" t="n">
        <v>0</v>
      </c>
      <c r="N616" t="n">
        <v>0</v>
      </c>
      <c r="O616" t="n">
        <v>0</v>
      </c>
      <c r="P616" t="n">
        <v>0</v>
      </c>
      <c r="Q616" t="n">
        <v>0</v>
      </c>
      <c r="R616" s="2" t="inlineStr"/>
    </row>
    <row r="617" ht="15" customHeight="1">
      <c r="A617" t="inlineStr">
        <is>
          <t>A 27445-2024</t>
        </is>
      </c>
      <c r="B617" s="1" t="n">
        <v>45474.42474537037</v>
      </c>
      <c r="C617" s="1" t="n">
        <v>45924</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11092-2023</t>
        </is>
      </c>
      <c r="B618" s="1" t="n">
        <v>44992</v>
      </c>
      <c r="C618" s="1" t="n">
        <v>45924</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28578-2023</t>
        </is>
      </c>
      <c r="B619" s="1" t="n">
        <v>45103</v>
      </c>
      <c r="C619" s="1" t="n">
        <v>45924</v>
      </c>
      <c r="D619" t="inlineStr">
        <is>
          <t>DALARNAS LÄN</t>
        </is>
      </c>
      <c r="E619" t="inlineStr">
        <is>
          <t>LEKSAND</t>
        </is>
      </c>
      <c r="G619" t="n">
        <v>4.4</v>
      </c>
      <c r="H619" t="n">
        <v>0</v>
      </c>
      <c r="I619" t="n">
        <v>0</v>
      </c>
      <c r="J619" t="n">
        <v>0</v>
      </c>
      <c r="K619" t="n">
        <v>0</v>
      </c>
      <c r="L619" t="n">
        <v>0</v>
      </c>
      <c r="M619" t="n">
        <v>0</v>
      </c>
      <c r="N619" t="n">
        <v>0</v>
      </c>
      <c r="O619" t="n">
        <v>0</v>
      </c>
      <c r="P619" t="n">
        <v>0</v>
      </c>
      <c r="Q619" t="n">
        <v>0</v>
      </c>
      <c r="R619" s="2" t="inlineStr"/>
    </row>
    <row r="620" ht="15" customHeight="1">
      <c r="A620" t="inlineStr">
        <is>
          <t>A 19371-2024</t>
        </is>
      </c>
      <c r="B620" s="1" t="n">
        <v>45429.34969907408</v>
      </c>
      <c r="C620" s="1" t="n">
        <v>45924</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54911-2024</t>
        </is>
      </c>
      <c r="B621" s="1" t="n">
        <v>45618.68929398148</v>
      </c>
      <c r="C621" s="1" t="n">
        <v>45924</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40193-2024</t>
        </is>
      </c>
      <c r="B622" s="1" t="n">
        <v>45554.5734375</v>
      </c>
      <c r="C622" s="1" t="n">
        <v>45924</v>
      </c>
      <c r="D622" t="inlineStr">
        <is>
          <t>DALARNAS LÄN</t>
        </is>
      </c>
      <c r="E622" t="inlineStr">
        <is>
          <t>LEKSAND</t>
        </is>
      </c>
      <c r="F622" t="inlineStr">
        <is>
          <t>Övriga statliga verk och myndigheter</t>
        </is>
      </c>
      <c r="G622" t="n">
        <v>1</v>
      </c>
      <c r="H622" t="n">
        <v>0</v>
      </c>
      <c r="I622" t="n">
        <v>0</v>
      </c>
      <c r="J622" t="n">
        <v>0</v>
      </c>
      <c r="K622" t="n">
        <v>0</v>
      </c>
      <c r="L622" t="n">
        <v>0</v>
      </c>
      <c r="M622" t="n">
        <v>0</v>
      </c>
      <c r="N622" t="n">
        <v>0</v>
      </c>
      <c r="O622" t="n">
        <v>0</v>
      </c>
      <c r="P622" t="n">
        <v>0</v>
      </c>
      <c r="Q622" t="n">
        <v>0</v>
      </c>
      <c r="R622" s="2" t="inlineStr"/>
    </row>
    <row r="623" ht="15" customHeight="1">
      <c r="A623" t="inlineStr">
        <is>
          <t>A 39558-2023</t>
        </is>
      </c>
      <c r="B623" s="1" t="n">
        <v>45167.38664351852</v>
      </c>
      <c r="C623" s="1" t="n">
        <v>45924</v>
      </c>
      <c r="D623" t="inlineStr">
        <is>
          <t>DALARNAS LÄN</t>
        </is>
      </c>
      <c r="E623" t="inlineStr">
        <is>
          <t>LEKSAND</t>
        </is>
      </c>
      <c r="G623" t="n">
        <v>39.9</v>
      </c>
      <c r="H623" t="n">
        <v>0</v>
      </c>
      <c r="I623" t="n">
        <v>0</v>
      </c>
      <c r="J623" t="n">
        <v>0</v>
      </c>
      <c r="K623" t="n">
        <v>0</v>
      </c>
      <c r="L623" t="n">
        <v>0</v>
      </c>
      <c r="M623" t="n">
        <v>0</v>
      </c>
      <c r="N623" t="n">
        <v>0</v>
      </c>
      <c r="O623" t="n">
        <v>0</v>
      </c>
      <c r="P623" t="n">
        <v>0</v>
      </c>
      <c r="Q623" t="n">
        <v>0</v>
      </c>
      <c r="R623" s="2" t="inlineStr"/>
    </row>
    <row r="624" ht="15" customHeight="1">
      <c r="A624" t="inlineStr">
        <is>
          <t>A 53799-2023</t>
        </is>
      </c>
      <c r="B624" s="1" t="n">
        <v>45231.35564814815</v>
      </c>
      <c r="C624" s="1" t="n">
        <v>45924</v>
      </c>
      <c r="D624" t="inlineStr">
        <is>
          <t>DALARNAS LÄN</t>
        </is>
      </c>
      <c r="E624" t="inlineStr">
        <is>
          <t>LEKSAND</t>
        </is>
      </c>
      <c r="F624" t="inlineStr">
        <is>
          <t>Bergvik skog väst AB</t>
        </is>
      </c>
      <c r="G624" t="n">
        <v>0.9</v>
      </c>
      <c r="H624" t="n">
        <v>0</v>
      </c>
      <c r="I624" t="n">
        <v>0</v>
      </c>
      <c r="J624" t="n">
        <v>0</v>
      </c>
      <c r="K624" t="n">
        <v>0</v>
      </c>
      <c r="L624" t="n">
        <v>0</v>
      </c>
      <c r="M624" t="n">
        <v>0</v>
      </c>
      <c r="N624" t="n">
        <v>0</v>
      </c>
      <c r="O624" t="n">
        <v>0</v>
      </c>
      <c r="P624" t="n">
        <v>0</v>
      </c>
      <c r="Q624" t="n">
        <v>0</v>
      </c>
      <c r="R624" s="2" t="inlineStr"/>
    </row>
    <row r="625" ht="15" customHeight="1">
      <c r="A625" t="inlineStr">
        <is>
          <t>A 9138-2023</t>
        </is>
      </c>
      <c r="B625" s="1" t="n">
        <v>44974</v>
      </c>
      <c r="C625" s="1" t="n">
        <v>45924</v>
      </c>
      <c r="D625" t="inlineStr">
        <is>
          <t>DALARNAS LÄN</t>
        </is>
      </c>
      <c r="E625" t="inlineStr">
        <is>
          <t>LEKSAND</t>
        </is>
      </c>
      <c r="G625" t="n">
        <v>4.6</v>
      </c>
      <c r="H625" t="n">
        <v>0</v>
      </c>
      <c r="I625" t="n">
        <v>0</v>
      </c>
      <c r="J625" t="n">
        <v>0</v>
      </c>
      <c r="K625" t="n">
        <v>0</v>
      </c>
      <c r="L625" t="n">
        <v>0</v>
      </c>
      <c r="M625" t="n">
        <v>0</v>
      </c>
      <c r="N625" t="n">
        <v>0</v>
      </c>
      <c r="O625" t="n">
        <v>0</v>
      </c>
      <c r="P625" t="n">
        <v>0</v>
      </c>
      <c r="Q625" t="n">
        <v>0</v>
      </c>
      <c r="R625" s="2" t="inlineStr"/>
    </row>
    <row r="626" ht="15" customHeight="1">
      <c r="A626" t="inlineStr">
        <is>
          <t>A 9141-2023</t>
        </is>
      </c>
      <c r="B626" s="1" t="n">
        <v>44974</v>
      </c>
      <c r="C626" s="1" t="n">
        <v>45924</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2630-2025</t>
        </is>
      </c>
      <c r="B627" s="1" t="n">
        <v>45675.85865740741</v>
      </c>
      <c r="C627" s="1" t="n">
        <v>45924</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15986-2025</t>
        </is>
      </c>
      <c r="B628" s="1" t="n">
        <v>45749.57331018519</v>
      </c>
      <c r="C628" s="1" t="n">
        <v>45924</v>
      </c>
      <c r="D628" t="inlineStr">
        <is>
          <t>DALARNAS LÄN</t>
        </is>
      </c>
      <c r="E628" t="inlineStr">
        <is>
          <t>LEKSAND</t>
        </is>
      </c>
      <c r="G628" t="n">
        <v>2.7</v>
      </c>
      <c r="H628" t="n">
        <v>0</v>
      </c>
      <c r="I628" t="n">
        <v>0</v>
      </c>
      <c r="J628" t="n">
        <v>0</v>
      </c>
      <c r="K628" t="n">
        <v>0</v>
      </c>
      <c r="L628" t="n">
        <v>0</v>
      </c>
      <c r="M628" t="n">
        <v>0</v>
      </c>
      <c r="N628" t="n">
        <v>0</v>
      </c>
      <c r="O628" t="n">
        <v>0</v>
      </c>
      <c r="P628" t="n">
        <v>0</v>
      </c>
      <c r="Q628" t="n">
        <v>0</v>
      </c>
      <c r="R628" s="2" t="inlineStr"/>
    </row>
    <row r="629" ht="15" customHeight="1">
      <c r="A629" t="inlineStr">
        <is>
          <t>A 11678-2025</t>
        </is>
      </c>
      <c r="B629" s="1" t="n">
        <v>45726</v>
      </c>
      <c r="C629" s="1" t="n">
        <v>45924</v>
      </c>
      <c r="D629" t="inlineStr">
        <is>
          <t>DALARNAS LÄN</t>
        </is>
      </c>
      <c r="E629" t="inlineStr">
        <is>
          <t>LEKSAND</t>
        </is>
      </c>
      <c r="G629" t="n">
        <v>9.4</v>
      </c>
      <c r="H629" t="n">
        <v>0</v>
      </c>
      <c r="I629" t="n">
        <v>0</v>
      </c>
      <c r="J629" t="n">
        <v>0</v>
      </c>
      <c r="K629" t="n">
        <v>0</v>
      </c>
      <c r="L629" t="n">
        <v>0</v>
      </c>
      <c r="M629" t="n">
        <v>0</v>
      </c>
      <c r="N629" t="n">
        <v>0</v>
      </c>
      <c r="O629" t="n">
        <v>0</v>
      </c>
      <c r="P629" t="n">
        <v>0</v>
      </c>
      <c r="Q629" t="n">
        <v>0</v>
      </c>
      <c r="R629" s="2" t="inlineStr"/>
    </row>
    <row r="630" ht="15" customHeight="1">
      <c r="A630" t="inlineStr">
        <is>
          <t>A 62130-2024</t>
        </is>
      </c>
      <c r="B630" s="1" t="n">
        <v>45656.61827546296</v>
      </c>
      <c r="C630" s="1" t="n">
        <v>45924</v>
      </c>
      <c r="D630" t="inlineStr">
        <is>
          <t>DALARNAS LÄN</t>
        </is>
      </c>
      <c r="E630" t="inlineStr">
        <is>
          <t>LEKSAND</t>
        </is>
      </c>
      <c r="G630" t="n">
        <v>11.4</v>
      </c>
      <c r="H630" t="n">
        <v>0</v>
      </c>
      <c r="I630" t="n">
        <v>0</v>
      </c>
      <c r="J630" t="n">
        <v>0</v>
      </c>
      <c r="K630" t="n">
        <v>0</v>
      </c>
      <c r="L630" t="n">
        <v>0</v>
      </c>
      <c r="M630" t="n">
        <v>0</v>
      </c>
      <c r="N630" t="n">
        <v>0</v>
      </c>
      <c r="O630" t="n">
        <v>0</v>
      </c>
      <c r="P630" t="n">
        <v>0</v>
      </c>
      <c r="Q630" t="n">
        <v>0</v>
      </c>
      <c r="R630" s="2" t="inlineStr"/>
    </row>
    <row r="631" ht="15" customHeight="1">
      <c r="A631" t="inlineStr">
        <is>
          <t>A 63513-2023</t>
        </is>
      </c>
      <c r="B631" s="1" t="n">
        <v>45274</v>
      </c>
      <c r="C631" s="1" t="n">
        <v>45924</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62161-2024</t>
        </is>
      </c>
      <c r="B632" s="1" t="n">
        <v>45656.86009259259</v>
      </c>
      <c r="C632" s="1" t="n">
        <v>45924</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19590-2023</t>
        </is>
      </c>
      <c r="B633" s="1" t="n">
        <v>45049</v>
      </c>
      <c r="C633" s="1" t="n">
        <v>45924</v>
      </c>
      <c r="D633" t="inlineStr">
        <is>
          <t>DALARNAS LÄN</t>
        </is>
      </c>
      <c r="E633" t="inlineStr">
        <is>
          <t>LEKSAND</t>
        </is>
      </c>
      <c r="G633" t="n">
        <v>0.7</v>
      </c>
      <c r="H633" t="n">
        <v>0</v>
      </c>
      <c r="I633" t="n">
        <v>0</v>
      </c>
      <c r="J633" t="n">
        <v>0</v>
      </c>
      <c r="K633" t="n">
        <v>0</v>
      </c>
      <c r="L633" t="n">
        <v>0</v>
      </c>
      <c r="M633" t="n">
        <v>0</v>
      </c>
      <c r="N633" t="n">
        <v>0</v>
      </c>
      <c r="O633" t="n">
        <v>0</v>
      </c>
      <c r="P633" t="n">
        <v>0</v>
      </c>
      <c r="Q633" t="n">
        <v>0</v>
      </c>
      <c r="R633" s="2" t="inlineStr"/>
    </row>
    <row r="634" ht="15" customHeight="1">
      <c r="A634" t="inlineStr">
        <is>
          <t>A 1983-2025</t>
        </is>
      </c>
      <c r="B634" s="1" t="n">
        <v>45670</v>
      </c>
      <c r="C634" s="1" t="n">
        <v>45924</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30000-2023</t>
        </is>
      </c>
      <c r="B635" s="1" t="n">
        <v>45109.71128472222</v>
      </c>
      <c r="C635" s="1" t="n">
        <v>45924</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61933-2023</t>
        </is>
      </c>
      <c r="B636" s="1" t="n">
        <v>45266</v>
      </c>
      <c r="C636" s="1" t="n">
        <v>45924</v>
      </c>
      <c r="D636" t="inlineStr">
        <is>
          <t>DALARNAS LÄN</t>
        </is>
      </c>
      <c r="E636" t="inlineStr">
        <is>
          <t>LEKSAND</t>
        </is>
      </c>
      <c r="G636" t="n">
        <v>0.2</v>
      </c>
      <c r="H636" t="n">
        <v>0</v>
      </c>
      <c r="I636" t="n">
        <v>0</v>
      </c>
      <c r="J636" t="n">
        <v>0</v>
      </c>
      <c r="K636" t="n">
        <v>0</v>
      </c>
      <c r="L636" t="n">
        <v>0</v>
      </c>
      <c r="M636" t="n">
        <v>0</v>
      </c>
      <c r="N636" t="n">
        <v>0</v>
      </c>
      <c r="O636" t="n">
        <v>0</v>
      </c>
      <c r="P636" t="n">
        <v>0</v>
      </c>
      <c r="Q636" t="n">
        <v>0</v>
      </c>
      <c r="R636" s="2" t="inlineStr"/>
    </row>
    <row r="637" ht="15" customHeight="1">
      <c r="A637" t="inlineStr">
        <is>
          <t>A 41015-2024</t>
        </is>
      </c>
      <c r="B637" s="1" t="n">
        <v>45559.32537037037</v>
      </c>
      <c r="C637" s="1" t="n">
        <v>45924</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18107-2025</t>
        </is>
      </c>
      <c r="B638" s="1" t="n">
        <v>45761.55939814815</v>
      </c>
      <c r="C638" s="1" t="n">
        <v>45924</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49395-2024</t>
        </is>
      </c>
      <c r="B639" s="1" t="n">
        <v>45595</v>
      </c>
      <c r="C639" s="1" t="n">
        <v>45924</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59840-2024</t>
        </is>
      </c>
      <c r="B640" s="1" t="n">
        <v>45638</v>
      </c>
      <c r="C640" s="1" t="n">
        <v>45924</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33566-2023</t>
        </is>
      </c>
      <c r="B641" s="1" t="n">
        <v>45131.64390046296</v>
      </c>
      <c r="C641" s="1" t="n">
        <v>45924</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481-2024</t>
        </is>
      </c>
      <c r="B642" s="1" t="n">
        <v>45298</v>
      </c>
      <c r="C642" s="1" t="n">
        <v>45924</v>
      </c>
      <c r="D642" t="inlineStr">
        <is>
          <t>DALARNAS LÄN</t>
        </is>
      </c>
      <c r="E642" t="inlineStr">
        <is>
          <t>LEKSAND</t>
        </is>
      </c>
      <c r="G642" t="n">
        <v>7</v>
      </c>
      <c r="H642" t="n">
        <v>0</v>
      </c>
      <c r="I642" t="n">
        <v>0</v>
      </c>
      <c r="J642" t="n">
        <v>0</v>
      </c>
      <c r="K642" t="n">
        <v>0</v>
      </c>
      <c r="L642" t="n">
        <v>0</v>
      </c>
      <c r="M642" t="n">
        <v>0</v>
      </c>
      <c r="N642" t="n">
        <v>0</v>
      </c>
      <c r="O642" t="n">
        <v>0</v>
      </c>
      <c r="P642" t="n">
        <v>0</v>
      </c>
      <c r="Q642" t="n">
        <v>0</v>
      </c>
      <c r="R642" s="2" t="inlineStr"/>
    </row>
    <row r="643" ht="15" customHeight="1">
      <c r="A643" t="inlineStr">
        <is>
          <t>A 6778-2025</t>
        </is>
      </c>
      <c r="B643" s="1" t="n">
        <v>45700.64615740741</v>
      </c>
      <c r="C643" s="1" t="n">
        <v>45924</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50278-2023</t>
        </is>
      </c>
      <c r="B644" s="1" t="n">
        <v>45216.43444444444</v>
      </c>
      <c r="C644" s="1" t="n">
        <v>45924</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13401-2023</t>
        </is>
      </c>
      <c r="B645" s="1" t="n">
        <v>45005</v>
      </c>
      <c r="C645" s="1" t="n">
        <v>45924</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23323-2023</t>
        </is>
      </c>
      <c r="B646" s="1" t="n">
        <v>45076</v>
      </c>
      <c r="C646" s="1" t="n">
        <v>45924</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17485-2025</t>
        </is>
      </c>
      <c r="B647" s="1" t="n">
        <v>45757.49976851852</v>
      </c>
      <c r="C647" s="1" t="n">
        <v>45924</v>
      </c>
      <c r="D647" t="inlineStr">
        <is>
          <t>DALARNAS LÄN</t>
        </is>
      </c>
      <c r="E647" t="inlineStr">
        <is>
          <t>LEKSAND</t>
        </is>
      </c>
      <c r="G647" t="n">
        <v>3.7</v>
      </c>
      <c r="H647" t="n">
        <v>0</v>
      </c>
      <c r="I647" t="n">
        <v>0</v>
      </c>
      <c r="J647" t="n">
        <v>0</v>
      </c>
      <c r="K647" t="n">
        <v>0</v>
      </c>
      <c r="L647" t="n">
        <v>0</v>
      </c>
      <c r="M647" t="n">
        <v>0</v>
      </c>
      <c r="N647" t="n">
        <v>0</v>
      </c>
      <c r="O647" t="n">
        <v>0</v>
      </c>
      <c r="P647" t="n">
        <v>0</v>
      </c>
      <c r="Q647" t="n">
        <v>0</v>
      </c>
      <c r="R647" s="2" t="inlineStr"/>
    </row>
    <row r="648" ht="15" customHeight="1">
      <c r="A648" t="inlineStr">
        <is>
          <t>A 18176-2024</t>
        </is>
      </c>
      <c r="B648" s="1" t="n">
        <v>45420.63901620371</v>
      </c>
      <c r="C648" s="1" t="n">
        <v>45924</v>
      </c>
      <c r="D648" t="inlineStr">
        <is>
          <t>DALARNAS LÄN</t>
        </is>
      </c>
      <c r="E648" t="inlineStr">
        <is>
          <t>LEKSAND</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33072-2021</t>
        </is>
      </c>
      <c r="B649" s="1" t="n">
        <v>44375</v>
      </c>
      <c r="C649" s="1" t="n">
        <v>45924</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412-2024</t>
        </is>
      </c>
      <c r="B650" s="1" t="n">
        <v>45296</v>
      </c>
      <c r="C650" s="1" t="n">
        <v>45924</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56330-2022</t>
        </is>
      </c>
      <c r="B651" s="1" t="n">
        <v>44890.62630787037</v>
      </c>
      <c r="C651" s="1" t="n">
        <v>45924</v>
      </c>
      <c r="D651" t="inlineStr">
        <is>
          <t>DALARNAS LÄN</t>
        </is>
      </c>
      <c r="E651" t="inlineStr">
        <is>
          <t>LEKSAND</t>
        </is>
      </c>
      <c r="G651" t="n">
        <v>4.9</v>
      </c>
      <c r="H651" t="n">
        <v>0</v>
      </c>
      <c r="I651" t="n">
        <v>0</v>
      </c>
      <c r="J651" t="n">
        <v>0</v>
      </c>
      <c r="K651" t="n">
        <v>0</v>
      </c>
      <c r="L651" t="n">
        <v>0</v>
      </c>
      <c r="M651" t="n">
        <v>0</v>
      </c>
      <c r="N651" t="n">
        <v>0</v>
      </c>
      <c r="O651" t="n">
        <v>0</v>
      </c>
      <c r="P651" t="n">
        <v>0</v>
      </c>
      <c r="Q651" t="n">
        <v>0</v>
      </c>
      <c r="R651" s="2" t="inlineStr"/>
    </row>
    <row r="652" ht="15" customHeight="1">
      <c r="A652" t="inlineStr">
        <is>
          <t>A 59673-2023</t>
        </is>
      </c>
      <c r="B652" s="1" t="n">
        <v>45255.44603009259</v>
      </c>
      <c r="C652" s="1" t="n">
        <v>45924</v>
      </c>
      <c r="D652" t="inlineStr">
        <is>
          <t>DALARNAS LÄN</t>
        </is>
      </c>
      <c r="E652" t="inlineStr">
        <is>
          <t>LEKSAND</t>
        </is>
      </c>
      <c r="G652" t="n">
        <v>12.2</v>
      </c>
      <c r="H652" t="n">
        <v>0</v>
      </c>
      <c r="I652" t="n">
        <v>0</v>
      </c>
      <c r="J652" t="n">
        <v>0</v>
      </c>
      <c r="K652" t="n">
        <v>0</v>
      </c>
      <c r="L652" t="n">
        <v>0</v>
      </c>
      <c r="M652" t="n">
        <v>0</v>
      </c>
      <c r="N652" t="n">
        <v>0</v>
      </c>
      <c r="O652" t="n">
        <v>0</v>
      </c>
      <c r="P652" t="n">
        <v>0</v>
      </c>
      <c r="Q652" t="n">
        <v>0</v>
      </c>
      <c r="R652" s="2" t="inlineStr"/>
    </row>
    <row r="653" ht="15" customHeight="1">
      <c r="A653" t="inlineStr">
        <is>
          <t>A 17726-2024</t>
        </is>
      </c>
      <c r="B653" s="1" t="n">
        <v>45418.55609953704</v>
      </c>
      <c r="C653" s="1" t="n">
        <v>45924</v>
      </c>
      <c r="D653" t="inlineStr">
        <is>
          <t>DALARNAS LÄN</t>
        </is>
      </c>
      <c r="E653" t="inlineStr">
        <is>
          <t>LEKSAND</t>
        </is>
      </c>
      <c r="G653" t="n">
        <v>5.2</v>
      </c>
      <c r="H653" t="n">
        <v>0</v>
      </c>
      <c r="I653" t="n">
        <v>0</v>
      </c>
      <c r="J653" t="n">
        <v>0</v>
      </c>
      <c r="K653" t="n">
        <v>0</v>
      </c>
      <c r="L653" t="n">
        <v>0</v>
      </c>
      <c r="M653" t="n">
        <v>0</v>
      </c>
      <c r="N653" t="n">
        <v>0</v>
      </c>
      <c r="O653" t="n">
        <v>0</v>
      </c>
      <c r="P653" t="n">
        <v>0</v>
      </c>
      <c r="Q653" t="n">
        <v>0</v>
      </c>
      <c r="R653" s="2" t="inlineStr"/>
    </row>
    <row r="654" ht="15" customHeight="1">
      <c r="A654" t="inlineStr">
        <is>
          <t>A 32-2024</t>
        </is>
      </c>
      <c r="B654" s="1" t="n">
        <v>45293</v>
      </c>
      <c r="C654" s="1" t="n">
        <v>45924</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1719-2024</t>
        </is>
      </c>
      <c r="B655" s="1" t="n">
        <v>45307</v>
      </c>
      <c r="C655" s="1" t="n">
        <v>45924</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33463-2023</t>
        </is>
      </c>
      <c r="B656" s="1" t="n">
        <v>45131</v>
      </c>
      <c r="C656" s="1" t="n">
        <v>45924</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55516-2024</t>
        </is>
      </c>
      <c r="B657" s="1" t="n">
        <v>45621</v>
      </c>
      <c r="C657" s="1" t="n">
        <v>45924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12992-2022</t>
        </is>
      </c>
      <c r="B658" s="1" t="n">
        <v>44643</v>
      </c>
      <c r="C658" s="1" t="n">
        <v>45924</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8211-2023</t>
        </is>
      </c>
      <c r="B659" s="1" t="n">
        <v>44974</v>
      </c>
      <c r="C659" s="1" t="n">
        <v>45924</v>
      </c>
      <c r="D659" t="inlineStr">
        <is>
          <t>DALARNAS LÄN</t>
        </is>
      </c>
      <c r="E659" t="inlineStr">
        <is>
          <t>LEKSAND</t>
        </is>
      </c>
      <c r="G659" t="n">
        <v>5.2</v>
      </c>
      <c r="H659" t="n">
        <v>0</v>
      </c>
      <c r="I659" t="n">
        <v>0</v>
      </c>
      <c r="J659" t="n">
        <v>0</v>
      </c>
      <c r="K659" t="n">
        <v>0</v>
      </c>
      <c r="L659" t="n">
        <v>0</v>
      </c>
      <c r="M659" t="n">
        <v>0</v>
      </c>
      <c r="N659" t="n">
        <v>0</v>
      </c>
      <c r="O659" t="n">
        <v>0</v>
      </c>
      <c r="P659" t="n">
        <v>0</v>
      </c>
      <c r="Q659" t="n">
        <v>0</v>
      </c>
      <c r="R659" s="2" t="inlineStr"/>
    </row>
    <row r="660" ht="15" customHeight="1">
      <c r="A660" t="inlineStr">
        <is>
          <t>A 7897-2025</t>
        </is>
      </c>
      <c r="B660" s="1" t="n">
        <v>45707.30969907407</v>
      </c>
      <c r="C660" s="1" t="n">
        <v>45924</v>
      </c>
      <c r="D660" t="inlineStr">
        <is>
          <t>DALARNAS LÄN</t>
        </is>
      </c>
      <c r="E660" t="inlineStr">
        <is>
          <t>LEKSAND</t>
        </is>
      </c>
      <c r="G660" t="n">
        <v>3.1</v>
      </c>
      <c r="H660" t="n">
        <v>0</v>
      </c>
      <c r="I660" t="n">
        <v>0</v>
      </c>
      <c r="J660" t="n">
        <v>0</v>
      </c>
      <c r="K660" t="n">
        <v>0</v>
      </c>
      <c r="L660" t="n">
        <v>0</v>
      </c>
      <c r="M660" t="n">
        <v>0</v>
      </c>
      <c r="N660" t="n">
        <v>0</v>
      </c>
      <c r="O660" t="n">
        <v>0</v>
      </c>
      <c r="P660" t="n">
        <v>0</v>
      </c>
      <c r="Q660" t="n">
        <v>0</v>
      </c>
      <c r="R660" s="2" t="inlineStr"/>
    </row>
    <row r="661" ht="15" customHeight="1">
      <c r="A661" t="inlineStr">
        <is>
          <t>A 50447-2023</t>
        </is>
      </c>
      <c r="B661" s="1" t="n">
        <v>45216.72185185185</v>
      </c>
      <c r="C661" s="1" t="n">
        <v>45924</v>
      </c>
      <c r="D661" t="inlineStr">
        <is>
          <t>DALARNAS LÄN</t>
        </is>
      </c>
      <c r="E661" t="inlineStr">
        <is>
          <t>LEKSAND</t>
        </is>
      </c>
      <c r="G661" t="n">
        <v>1.1</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45924</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55512-2024</t>
        </is>
      </c>
      <c r="B663" s="1" t="n">
        <v>45621</v>
      </c>
      <c r="C663" s="1" t="n">
        <v>45924</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43470-2024</t>
        </is>
      </c>
      <c r="B664" s="1" t="n">
        <v>45568</v>
      </c>
      <c r="C664" s="1" t="n">
        <v>45924</v>
      </c>
      <c r="D664" t="inlineStr">
        <is>
          <t>DALARNAS LÄN</t>
        </is>
      </c>
      <c r="E664" t="inlineStr">
        <is>
          <t>LEKSAND</t>
        </is>
      </c>
      <c r="G664" t="n">
        <v>3.1</v>
      </c>
      <c r="H664" t="n">
        <v>0</v>
      </c>
      <c r="I664" t="n">
        <v>0</v>
      </c>
      <c r="J664" t="n">
        <v>0</v>
      </c>
      <c r="K664" t="n">
        <v>0</v>
      </c>
      <c r="L664" t="n">
        <v>0</v>
      </c>
      <c r="M664" t="n">
        <v>0</v>
      </c>
      <c r="N664" t="n">
        <v>0</v>
      </c>
      <c r="O664" t="n">
        <v>0</v>
      </c>
      <c r="P664" t="n">
        <v>0</v>
      </c>
      <c r="Q664" t="n">
        <v>0</v>
      </c>
      <c r="R664" s="2" t="inlineStr"/>
    </row>
    <row r="665" ht="15" customHeight="1">
      <c r="A665" t="inlineStr">
        <is>
          <t>A 11606-2025</t>
        </is>
      </c>
      <c r="B665" s="1" t="n">
        <v>45727</v>
      </c>
      <c r="C665" s="1" t="n">
        <v>45924</v>
      </c>
      <c r="D665" t="inlineStr">
        <is>
          <t>DALARNAS LÄN</t>
        </is>
      </c>
      <c r="E665" t="inlineStr">
        <is>
          <t>LEKSAND</t>
        </is>
      </c>
      <c r="G665" t="n">
        <v>2.3</v>
      </c>
      <c r="H665" t="n">
        <v>0</v>
      </c>
      <c r="I665" t="n">
        <v>0</v>
      </c>
      <c r="J665" t="n">
        <v>0</v>
      </c>
      <c r="K665" t="n">
        <v>0</v>
      </c>
      <c r="L665" t="n">
        <v>0</v>
      </c>
      <c r="M665" t="n">
        <v>0</v>
      </c>
      <c r="N665" t="n">
        <v>0</v>
      </c>
      <c r="O665" t="n">
        <v>0</v>
      </c>
      <c r="P665" t="n">
        <v>0</v>
      </c>
      <c r="Q665" t="n">
        <v>0</v>
      </c>
      <c r="R665" s="2" t="inlineStr"/>
    </row>
    <row r="666" ht="15" customHeight="1">
      <c r="A666" t="inlineStr">
        <is>
          <t>A 56749-2024</t>
        </is>
      </c>
      <c r="B666" s="1" t="n">
        <v>45628.37487268518</v>
      </c>
      <c r="C666" s="1" t="n">
        <v>45924</v>
      </c>
      <c r="D666" t="inlineStr">
        <is>
          <t>DALARNAS LÄN</t>
        </is>
      </c>
      <c r="E666" t="inlineStr">
        <is>
          <t>LEKSAND</t>
        </is>
      </c>
      <c r="G666" t="n">
        <v>5</v>
      </c>
      <c r="H666" t="n">
        <v>0</v>
      </c>
      <c r="I666" t="n">
        <v>0</v>
      </c>
      <c r="J666" t="n">
        <v>0</v>
      </c>
      <c r="K666" t="n">
        <v>0</v>
      </c>
      <c r="L666" t="n">
        <v>0</v>
      </c>
      <c r="M666" t="n">
        <v>0</v>
      </c>
      <c r="N666" t="n">
        <v>0</v>
      </c>
      <c r="O666" t="n">
        <v>0</v>
      </c>
      <c r="P666" t="n">
        <v>0</v>
      </c>
      <c r="Q666" t="n">
        <v>0</v>
      </c>
      <c r="R666" s="2" t="inlineStr"/>
    </row>
    <row r="667" ht="15" customHeight="1">
      <c r="A667" t="inlineStr">
        <is>
          <t>A 22683-2022</t>
        </is>
      </c>
      <c r="B667" s="1" t="n">
        <v>44714</v>
      </c>
      <c r="C667" s="1" t="n">
        <v>45924</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13161-2024</t>
        </is>
      </c>
      <c r="B668" s="1" t="n">
        <v>45386.38972222222</v>
      </c>
      <c r="C668" s="1" t="n">
        <v>45924</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61208-2023</t>
        </is>
      </c>
      <c r="B669" s="1" t="n">
        <v>45260</v>
      </c>
      <c r="C669" s="1" t="n">
        <v>45924</v>
      </c>
      <c r="D669" t="inlineStr">
        <is>
          <t>DALARNAS LÄN</t>
        </is>
      </c>
      <c r="E669" t="inlineStr">
        <is>
          <t>LEKSAND</t>
        </is>
      </c>
      <c r="G669" t="n">
        <v>1.7</v>
      </c>
      <c r="H669" t="n">
        <v>0</v>
      </c>
      <c r="I669" t="n">
        <v>0</v>
      </c>
      <c r="J669" t="n">
        <v>0</v>
      </c>
      <c r="K669" t="n">
        <v>0</v>
      </c>
      <c r="L669" t="n">
        <v>0</v>
      </c>
      <c r="M669" t="n">
        <v>0</v>
      </c>
      <c r="N669" t="n">
        <v>0</v>
      </c>
      <c r="O669" t="n">
        <v>0</v>
      </c>
      <c r="P669" t="n">
        <v>0</v>
      </c>
      <c r="Q669" t="n">
        <v>0</v>
      </c>
      <c r="R669" s="2" t="inlineStr"/>
    </row>
    <row r="670" ht="15" customHeight="1">
      <c r="A670" t="inlineStr">
        <is>
          <t>A 26062-2024</t>
        </is>
      </c>
      <c r="B670" s="1" t="n">
        <v>45468.3509375</v>
      </c>
      <c r="C670" s="1" t="n">
        <v>45924</v>
      </c>
      <c r="D670" t="inlineStr">
        <is>
          <t>DALARNAS LÄN</t>
        </is>
      </c>
      <c r="E670" t="inlineStr">
        <is>
          <t>LEKSAND</t>
        </is>
      </c>
      <c r="F670" t="inlineStr">
        <is>
          <t>Övriga statliga verk och myndigheter</t>
        </is>
      </c>
      <c r="G670" t="n">
        <v>6.4</v>
      </c>
      <c r="H670" t="n">
        <v>0</v>
      </c>
      <c r="I670" t="n">
        <v>0</v>
      </c>
      <c r="J670" t="n">
        <v>0</v>
      </c>
      <c r="K670" t="n">
        <v>0</v>
      </c>
      <c r="L670" t="n">
        <v>0</v>
      </c>
      <c r="M670" t="n">
        <v>0</v>
      </c>
      <c r="N670" t="n">
        <v>0</v>
      </c>
      <c r="O670" t="n">
        <v>0</v>
      </c>
      <c r="P670" t="n">
        <v>0</v>
      </c>
      <c r="Q670" t="n">
        <v>0</v>
      </c>
      <c r="R670" s="2" t="inlineStr"/>
    </row>
    <row r="671" ht="15" customHeight="1">
      <c r="A671" t="inlineStr">
        <is>
          <t>A 22517-2024</t>
        </is>
      </c>
      <c r="B671" s="1" t="n">
        <v>45447.40143518519</v>
      </c>
      <c r="C671" s="1" t="n">
        <v>45924</v>
      </c>
      <c r="D671" t="inlineStr">
        <is>
          <t>DALARNAS LÄN</t>
        </is>
      </c>
      <c r="E671" t="inlineStr">
        <is>
          <t>LEKSAND</t>
        </is>
      </c>
      <c r="G671" t="n">
        <v>0.4</v>
      </c>
      <c r="H671" t="n">
        <v>0</v>
      </c>
      <c r="I671" t="n">
        <v>0</v>
      </c>
      <c r="J671" t="n">
        <v>0</v>
      </c>
      <c r="K671" t="n">
        <v>0</v>
      </c>
      <c r="L671" t="n">
        <v>0</v>
      </c>
      <c r="M671" t="n">
        <v>0</v>
      </c>
      <c r="N671" t="n">
        <v>0</v>
      </c>
      <c r="O671" t="n">
        <v>0</v>
      </c>
      <c r="P671" t="n">
        <v>0</v>
      </c>
      <c r="Q671" t="n">
        <v>0</v>
      </c>
      <c r="R671" s="2" t="inlineStr"/>
    </row>
    <row r="672" ht="15" customHeight="1">
      <c r="A672" t="inlineStr">
        <is>
          <t>A 61953-2023</t>
        </is>
      </c>
      <c r="B672" s="1" t="n">
        <v>45266</v>
      </c>
      <c r="C672" s="1" t="n">
        <v>45924</v>
      </c>
      <c r="D672" t="inlineStr">
        <is>
          <t>DALARNAS LÄN</t>
        </is>
      </c>
      <c r="E672" t="inlineStr">
        <is>
          <t>LEKSAND</t>
        </is>
      </c>
      <c r="G672" t="n">
        <v>0.1</v>
      </c>
      <c r="H672" t="n">
        <v>0</v>
      </c>
      <c r="I672" t="n">
        <v>0</v>
      </c>
      <c r="J672" t="n">
        <v>0</v>
      </c>
      <c r="K672" t="n">
        <v>0</v>
      </c>
      <c r="L672" t="n">
        <v>0</v>
      </c>
      <c r="M672" t="n">
        <v>0</v>
      </c>
      <c r="N672" t="n">
        <v>0</v>
      </c>
      <c r="O672" t="n">
        <v>0</v>
      </c>
      <c r="P672" t="n">
        <v>0</v>
      </c>
      <c r="Q672" t="n">
        <v>0</v>
      </c>
      <c r="R672" s="2" t="inlineStr"/>
    </row>
    <row r="673" ht="15" customHeight="1">
      <c r="A673" t="inlineStr">
        <is>
          <t>A 16815-2025</t>
        </is>
      </c>
      <c r="B673" s="1" t="n">
        <v>45754</v>
      </c>
      <c r="C673" s="1" t="n">
        <v>45924</v>
      </c>
      <c r="D673" t="inlineStr">
        <is>
          <t>DALARNAS LÄN</t>
        </is>
      </c>
      <c r="E673" t="inlineStr">
        <is>
          <t>LEKSAND</t>
        </is>
      </c>
      <c r="G673" t="n">
        <v>2.8</v>
      </c>
      <c r="H673" t="n">
        <v>0</v>
      </c>
      <c r="I673" t="n">
        <v>0</v>
      </c>
      <c r="J673" t="n">
        <v>0</v>
      </c>
      <c r="K673" t="n">
        <v>0</v>
      </c>
      <c r="L673" t="n">
        <v>0</v>
      </c>
      <c r="M673" t="n">
        <v>0</v>
      </c>
      <c r="N673" t="n">
        <v>0</v>
      </c>
      <c r="O673" t="n">
        <v>0</v>
      </c>
      <c r="P673" t="n">
        <v>0</v>
      </c>
      <c r="Q673" t="n">
        <v>0</v>
      </c>
      <c r="R673" s="2" t="inlineStr"/>
    </row>
    <row r="674" ht="15" customHeight="1">
      <c r="A674" t="inlineStr">
        <is>
          <t>A 16854-2025</t>
        </is>
      </c>
      <c r="B674" s="1" t="n">
        <v>45754.72883101852</v>
      </c>
      <c r="C674" s="1" t="n">
        <v>45924</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62133-2023</t>
        </is>
      </c>
      <c r="B675" s="1" t="n">
        <v>45267.35582175926</v>
      </c>
      <c r="C675" s="1" t="n">
        <v>45924</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40009-2024</t>
        </is>
      </c>
      <c r="B676" s="1" t="n">
        <v>45553.65361111111</v>
      </c>
      <c r="C676" s="1" t="n">
        <v>45924</v>
      </c>
      <c r="D676" t="inlineStr">
        <is>
          <t>DALARNAS LÄN</t>
        </is>
      </c>
      <c r="E676" t="inlineStr">
        <is>
          <t>LEKSAND</t>
        </is>
      </c>
      <c r="F676" t="inlineStr">
        <is>
          <t>Bergvik skog väst AB</t>
        </is>
      </c>
      <c r="G676" t="n">
        <v>3</v>
      </c>
      <c r="H676" t="n">
        <v>0</v>
      </c>
      <c r="I676" t="n">
        <v>0</v>
      </c>
      <c r="J676" t="n">
        <v>0</v>
      </c>
      <c r="K676" t="n">
        <v>0</v>
      </c>
      <c r="L676" t="n">
        <v>0</v>
      </c>
      <c r="M676" t="n">
        <v>0</v>
      </c>
      <c r="N676" t="n">
        <v>0</v>
      </c>
      <c r="O676" t="n">
        <v>0</v>
      </c>
      <c r="P676" t="n">
        <v>0</v>
      </c>
      <c r="Q676" t="n">
        <v>0</v>
      </c>
      <c r="R676" s="2" t="inlineStr"/>
    </row>
    <row r="677" ht="15" customHeight="1">
      <c r="A677" t="inlineStr">
        <is>
          <t>A 10967-2023</t>
        </is>
      </c>
      <c r="B677" s="1" t="n">
        <v>44991.58001157407</v>
      </c>
      <c r="C677" s="1" t="n">
        <v>45924</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10974-2023</t>
        </is>
      </c>
      <c r="B678" s="1" t="n">
        <v>44991.59049768518</v>
      </c>
      <c r="C678" s="1" t="n">
        <v>45924</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47203-2023</t>
        </is>
      </c>
      <c r="B679" s="1" t="n">
        <v>45202</v>
      </c>
      <c r="C679" s="1" t="n">
        <v>45924</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42727-2024</t>
        </is>
      </c>
      <c r="B680" s="1" t="n">
        <v>45566</v>
      </c>
      <c r="C680" s="1" t="n">
        <v>45924</v>
      </c>
      <c r="D680" t="inlineStr">
        <is>
          <t>DALARNAS LÄN</t>
        </is>
      </c>
      <c r="E680" t="inlineStr">
        <is>
          <t>LEKSAND</t>
        </is>
      </c>
      <c r="G680" t="n">
        <v>0.8</v>
      </c>
      <c r="H680" t="n">
        <v>0</v>
      </c>
      <c r="I680" t="n">
        <v>0</v>
      </c>
      <c r="J680" t="n">
        <v>0</v>
      </c>
      <c r="K680" t="n">
        <v>0</v>
      </c>
      <c r="L680" t="n">
        <v>0</v>
      </c>
      <c r="M680" t="n">
        <v>0</v>
      </c>
      <c r="N680" t="n">
        <v>0</v>
      </c>
      <c r="O680" t="n">
        <v>0</v>
      </c>
      <c r="P680" t="n">
        <v>0</v>
      </c>
      <c r="Q680" t="n">
        <v>0</v>
      </c>
      <c r="R680" s="2" t="inlineStr"/>
    </row>
    <row r="681" ht="15" customHeight="1">
      <c r="A681" t="inlineStr">
        <is>
          <t>A 19295-2024</t>
        </is>
      </c>
      <c r="B681" s="1" t="n">
        <v>45428.69106481481</v>
      </c>
      <c r="C681" s="1" t="n">
        <v>45924</v>
      </c>
      <c r="D681" t="inlineStr">
        <is>
          <t>DALARNAS LÄN</t>
        </is>
      </c>
      <c r="E681" t="inlineStr">
        <is>
          <t>LEKSAND</t>
        </is>
      </c>
      <c r="G681" t="n">
        <v>1.6</v>
      </c>
      <c r="H681" t="n">
        <v>0</v>
      </c>
      <c r="I681" t="n">
        <v>0</v>
      </c>
      <c r="J681" t="n">
        <v>0</v>
      </c>
      <c r="K681" t="n">
        <v>0</v>
      </c>
      <c r="L681" t="n">
        <v>0</v>
      </c>
      <c r="M681" t="n">
        <v>0</v>
      </c>
      <c r="N681" t="n">
        <v>0</v>
      </c>
      <c r="O681" t="n">
        <v>0</v>
      </c>
      <c r="P681" t="n">
        <v>0</v>
      </c>
      <c r="Q681" t="n">
        <v>0</v>
      </c>
      <c r="R681" s="2" t="inlineStr"/>
    </row>
    <row r="682" ht="15" customHeight="1">
      <c r="A682" t="inlineStr">
        <is>
          <t>A 19296-2024</t>
        </is>
      </c>
      <c r="B682" s="1" t="n">
        <v>45428.69438657408</v>
      </c>
      <c r="C682" s="1" t="n">
        <v>45924</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16197-2024</t>
        </is>
      </c>
      <c r="B683" s="1" t="n">
        <v>45406.70356481482</v>
      </c>
      <c r="C683" s="1" t="n">
        <v>45924</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20937-2025</t>
        </is>
      </c>
      <c r="B684" s="1" t="n">
        <v>45777.42769675926</v>
      </c>
      <c r="C684" s="1" t="n">
        <v>45924</v>
      </c>
      <c r="D684" t="inlineStr">
        <is>
          <t>DALARNAS LÄN</t>
        </is>
      </c>
      <c r="E684" t="inlineStr">
        <is>
          <t>LEKSAND</t>
        </is>
      </c>
      <c r="G684" t="n">
        <v>2.2</v>
      </c>
      <c r="H684" t="n">
        <v>0</v>
      </c>
      <c r="I684" t="n">
        <v>0</v>
      </c>
      <c r="J684" t="n">
        <v>0</v>
      </c>
      <c r="K684" t="n">
        <v>0</v>
      </c>
      <c r="L684" t="n">
        <v>0</v>
      </c>
      <c r="M684" t="n">
        <v>0</v>
      </c>
      <c r="N684" t="n">
        <v>0</v>
      </c>
      <c r="O684" t="n">
        <v>0</v>
      </c>
      <c r="P684" t="n">
        <v>0</v>
      </c>
      <c r="Q684" t="n">
        <v>0</v>
      </c>
      <c r="R684" s="2" t="inlineStr"/>
    </row>
    <row r="685" ht="15" customHeight="1">
      <c r="A685" t="inlineStr">
        <is>
          <t>A 20683-2025</t>
        </is>
      </c>
      <c r="B685" s="1" t="n">
        <v>45776</v>
      </c>
      <c r="C685" s="1" t="n">
        <v>45924</v>
      </c>
      <c r="D685" t="inlineStr">
        <is>
          <t>DALARNAS LÄN</t>
        </is>
      </c>
      <c r="E685" t="inlineStr">
        <is>
          <t>LEKSAND</t>
        </is>
      </c>
      <c r="F685" t="inlineStr">
        <is>
          <t>Bergvik skog väst AB</t>
        </is>
      </c>
      <c r="G685" t="n">
        <v>4.1</v>
      </c>
      <c r="H685" t="n">
        <v>0</v>
      </c>
      <c r="I685" t="n">
        <v>0</v>
      </c>
      <c r="J685" t="n">
        <v>0</v>
      </c>
      <c r="K685" t="n">
        <v>0</v>
      </c>
      <c r="L685" t="n">
        <v>0</v>
      </c>
      <c r="M685" t="n">
        <v>0</v>
      </c>
      <c r="N685" t="n">
        <v>0</v>
      </c>
      <c r="O685" t="n">
        <v>0</v>
      </c>
      <c r="P685" t="n">
        <v>0</v>
      </c>
      <c r="Q685" t="n">
        <v>0</v>
      </c>
      <c r="R685" s="2" t="inlineStr"/>
    </row>
    <row r="686" ht="15" customHeight="1">
      <c r="A686" t="inlineStr">
        <is>
          <t>A 21230-2025</t>
        </is>
      </c>
      <c r="B686" s="1" t="n">
        <v>45779.54589120371</v>
      </c>
      <c r="C686" s="1" t="n">
        <v>45924</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21193-2025</t>
        </is>
      </c>
      <c r="B687" s="1" t="n">
        <v>45779.46675925926</v>
      </c>
      <c r="C687" s="1" t="n">
        <v>45924</v>
      </c>
      <c r="D687" t="inlineStr">
        <is>
          <t>DALARNAS LÄN</t>
        </is>
      </c>
      <c r="E687" t="inlineStr">
        <is>
          <t>LEKSAND</t>
        </is>
      </c>
      <c r="G687" t="n">
        <v>3.7</v>
      </c>
      <c r="H687" t="n">
        <v>0</v>
      </c>
      <c r="I687" t="n">
        <v>0</v>
      </c>
      <c r="J687" t="n">
        <v>0</v>
      </c>
      <c r="K687" t="n">
        <v>0</v>
      </c>
      <c r="L687" t="n">
        <v>0</v>
      </c>
      <c r="M687" t="n">
        <v>0</v>
      </c>
      <c r="N687" t="n">
        <v>0</v>
      </c>
      <c r="O687" t="n">
        <v>0</v>
      </c>
      <c r="P687" t="n">
        <v>0</v>
      </c>
      <c r="Q687" t="n">
        <v>0</v>
      </c>
      <c r="R687" s="2" t="inlineStr"/>
    </row>
    <row r="688" ht="15" customHeight="1">
      <c r="A688" t="inlineStr">
        <is>
          <t>A 40627-2023</t>
        </is>
      </c>
      <c r="B688" s="1" t="n">
        <v>45170</v>
      </c>
      <c r="C688" s="1" t="n">
        <v>45924</v>
      </c>
      <c r="D688" t="inlineStr">
        <is>
          <t>DALARNAS LÄN</t>
        </is>
      </c>
      <c r="E688" t="inlineStr">
        <is>
          <t>LEKSAND</t>
        </is>
      </c>
      <c r="F688" t="inlineStr">
        <is>
          <t>Bergvik skog väst AB</t>
        </is>
      </c>
      <c r="G688" t="n">
        <v>3.3</v>
      </c>
      <c r="H688" t="n">
        <v>0</v>
      </c>
      <c r="I688" t="n">
        <v>0</v>
      </c>
      <c r="J688" t="n">
        <v>0</v>
      </c>
      <c r="K688" t="n">
        <v>0</v>
      </c>
      <c r="L688" t="n">
        <v>0</v>
      </c>
      <c r="M688" t="n">
        <v>0</v>
      </c>
      <c r="N688" t="n">
        <v>0</v>
      </c>
      <c r="O688" t="n">
        <v>0</v>
      </c>
      <c r="P688" t="n">
        <v>0</v>
      </c>
      <c r="Q688" t="n">
        <v>0</v>
      </c>
      <c r="R688" s="2" t="inlineStr"/>
    </row>
    <row r="689" ht="15" customHeight="1">
      <c r="A689" t="inlineStr">
        <is>
          <t>A 21600-2025</t>
        </is>
      </c>
      <c r="B689" s="1" t="n">
        <v>45783.3521875</v>
      </c>
      <c r="C689" s="1" t="n">
        <v>45924</v>
      </c>
      <c r="D689" t="inlineStr">
        <is>
          <t>DALARNAS LÄN</t>
        </is>
      </c>
      <c r="E689" t="inlineStr">
        <is>
          <t>LEKSAND</t>
        </is>
      </c>
      <c r="G689" t="n">
        <v>7.7</v>
      </c>
      <c r="H689" t="n">
        <v>0</v>
      </c>
      <c r="I689" t="n">
        <v>0</v>
      </c>
      <c r="J689" t="n">
        <v>0</v>
      </c>
      <c r="K689" t="n">
        <v>0</v>
      </c>
      <c r="L689" t="n">
        <v>0</v>
      </c>
      <c r="M689" t="n">
        <v>0</v>
      </c>
      <c r="N689" t="n">
        <v>0</v>
      </c>
      <c r="O689" t="n">
        <v>0</v>
      </c>
      <c r="P689" t="n">
        <v>0</v>
      </c>
      <c r="Q689" t="n">
        <v>0</v>
      </c>
      <c r="R689" s="2" t="inlineStr"/>
    </row>
    <row r="690" ht="15" customHeight="1">
      <c r="A690" t="inlineStr">
        <is>
          <t>A 11872-2024</t>
        </is>
      </c>
      <c r="B690" s="1" t="n">
        <v>45376.46833333333</v>
      </c>
      <c r="C690" s="1" t="n">
        <v>45924</v>
      </c>
      <c r="D690" t="inlineStr">
        <is>
          <t>DALARNAS LÄN</t>
        </is>
      </c>
      <c r="E690" t="inlineStr">
        <is>
          <t>LEKSAND</t>
        </is>
      </c>
      <c r="G690" t="n">
        <v>3.1</v>
      </c>
      <c r="H690" t="n">
        <v>0</v>
      </c>
      <c r="I690" t="n">
        <v>0</v>
      </c>
      <c r="J690" t="n">
        <v>0</v>
      </c>
      <c r="K690" t="n">
        <v>0</v>
      </c>
      <c r="L690" t="n">
        <v>0</v>
      </c>
      <c r="M690" t="n">
        <v>0</v>
      </c>
      <c r="N690" t="n">
        <v>0</v>
      </c>
      <c r="O690" t="n">
        <v>0</v>
      </c>
      <c r="P690" t="n">
        <v>0</v>
      </c>
      <c r="Q690" t="n">
        <v>0</v>
      </c>
      <c r="R690" s="2" t="inlineStr"/>
    </row>
    <row r="691" ht="15" customHeight="1">
      <c r="A691" t="inlineStr">
        <is>
          <t>A 21457-2025</t>
        </is>
      </c>
      <c r="B691" s="1" t="n">
        <v>45782.55451388889</v>
      </c>
      <c r="C691" s="1" t="n">
        <v>45924</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21366-2025</t>
        </is>
      </c>
      <c r="B692" s="1" t="n">
        <v>45782.44667824074</v>
      </c>
      <c r="C692" s="1" t="n">
        <v>45924</v>
      </c>
      <c r="D692" t="inlineStr">
        <is>
          <t>DALARNAS LÄN</t>
        </is>
      </c>
      <c r="E692" t="inlineStr">
        <is>
          <t>LEKSAND</t>
        </is>
      </c>
      <c r="G692" t="n">
        <v>4.1</v>
      </c>
      <c r="H692" t="n">
        <v>0</v>
      </c>
      <c r="I692" t="n">
        <v>0</v>
      </c>
      <c r="J692" t="n">
        <v>0</v>
      </c>
      <c r="K692" t="n">
        <v>0</v>
      </c>
      <c r="L692" t="n">
        <v>0</v>
      </c>
      <c r="M692" t="n">
        <v>0</v>
      </c>
      <c r="N692" t="n">
        <v>0</v>
      </c>
      <c r="O692" t="n">
        <v>0</v>
      </c>
      <c r="P692" t="n">
        <v>0</v>
      </c>
      <c r="Q692" t="n">
        <v>0</v>
      </c>
      <c r="R692" s="2" t="inlineStr"/>
    </row>
    <row r="693" ht="15" customHeight="1">
      <c r="A693" t="inlineStr">
        <is>
          <t>A 61554-2024</t>
        </is>
      </c>
      <c r="B693" s="1" t="n">
        <v>45646.60748842593</v>
      </c>
      <c r="C693" s="1" t="n">
        <v>45924</v>
      </c>
      <c r="D693" t="inlineStr">
        <is>
          <t>DALARNAS LÄN</t>
        </is>
      </c>
      <c r="E693" t="inlineStr">
        <is>
          <t>LEKSAND</t>
        </is>
      </c>
      <c r="G693" t="n">
        <v>2.6</v>
      </c>
      <c r="H693" t="n">
        <v>0</v>
      </c>
      <c r="I693" t="n">
        <v>0</v>
      </c>
      <c r="J693" t="n">
        <v>0</v>
      </c>
      <c r="K693" t="n">
        <v>0</v>
      </c>
      <c r="L693" t="n">
        <v>0</v>
      </c>
      <c r="M693" t="n">
        <v>0</v>
      </c>
      <c r="N693" t="n">
        <v>0</v>
      </c>
      <c r="O693" t="n">
        <v>0</v>
      </c>
      <c r="P693" t="n">
        <v>0</v>
      </c>
      <c r="Q693" t="n">
        <v>0</v>
      </c>
      <c r="R693" s="2" t="inlineStr"/>
    </row>
    <row r="694" ht="15" customHeight="1">
      <c r="A694" t="inlineStr">
        <is>
          <t>A 22080-2025</t>
        </is>
      </c>
      <c r="B694" s="1" t="n">
        <v>45785</v>
      </c>
      <c r="C694" s="1" t="n">
        <v>45924</v>
      </c>
      <c r="D694" t="inlineStr">
        <is>
          <t>DALARNAS LÄN</t>
        </is>
      </c>
      <c r="E694" t="inlineStr">
        <is>
          <t>LEKSAND</t>
        </is>
      </c>
      <c r="G694" t="n">
        <v>7</v>
      </c>
      <c r="H694" t="n">
        <v>0</v>
      </c>
      <c r="I694" t="n">
        <v>0</v>
      </c>
      <c r="J694" t="n">
        <v>0</v>
      </c>
      <c r="K694" t="n">
        <v>0</v>
      </c>
      <c r="L694" t="n">
        <v>0</v>
      </c>
      <c r="M694" t="n">
        <v>0</v>
      </c>
      <c r="N694" t="n">
        <v>0</v>
      </c>
      <c r="O694" t="n">
        <v>0</v>
      </c>
      <c r="P694" t="n">
        <v>0</v>
      </c>
      <c r="Q694" t="n">
        <v>0</v>
      </c>
      <c r="R694" s="2" t="inlineStr"/>
    </row>
    <row r="695" ht="15" customHeight="1">
      <c r="A695" t="inlineStr">
        <is>
          <t>A 21916-2025</t>
        </is>
      </c>
      <c r="B695" s="1" t="n">
        <v>45784.50115740741</v>
      </c>
      <c r="C695" s="1" t="n">
        <v>45924</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62307-2023</t>
        </is>
      </c>
      <c r="B696" s="1" t="n">
        <v>45266</v>
      </c>
      <c r="C696" s="1" t="n">
        <v>45924</v>
      </c>
      <c r="D696" t="inlineStr">
        <is>
          <t>DALARNAS LÄN</t>
        </is>
      </c>
      <c r="E696" t="inlineStr">
        <is>
          <t>LEKSAND</t>
        </is>
      </c>
      <c r="G696" t="n">
        <v>3.9</v>
      </c>
      <c r="H696" t="n">
        <v>0</v>
      </c>
      <c r="I696" t="n">
        <v>0</v>
      </c>
      <c r="J696" t="n">
        <v>0</v>
      </c>
      <c r="K696" t="n">
        <v>0</v>
      </c>
      <c r="L696" t="n">
        <v>0</v>
      </c>
      <c r="M696" t="n">
        <v>0</v>
      </c>
      <c r="N696" t="n">
        <v>0</v>
      </c>
      <c r="O696" t="n">
        <v>0</v>
      </c>
      <c r="P696" t="n">
        <v>0</v>
      </c>
      <c r="Q696" t="n">
        <v>0</v>
      </c>
      <c r="R696" s="2" t="inlineStr"/>
    </row>
    <row r="697" ht="15" customHeight="1">
      <c r="A697" t="inlineStr">
        <is>
          <t>A 14967-2023</t>
        </is>
      </c>
      <c r="B697" s="1" t="n">
        <v>45015</v>
      </c>
      <c r="C697" s="1" t="n">
        <v>45924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21881-2025</t>
        </is>
      </c>
      <c r="B698" s="1" t="n">
        <v>45784</v>
      </c>
      <c r="C698" s="1" t="n">
        <v>45924</v>
      </c>
      <c r="D698" t="inlineStr">
        <is>
          <t>DALARNAS LÄN</t>
        </is>
      </c>
      <c r="E698" t="inlineStr">
        <is>
          <t>LEKSAND</t>
        </is>
      </c>
      <c r="G698" t="n">
        <v>2</v>
      </c>
      <c r="H698" t="n">
        <v>0</v>
      </c>
      <c r="I698" t="n">
        <v>0</v>
      </c>
      <c r="J698" t="n">
        <v>0</v>
      </c>
      <c r="K698" t="n">
        <v>0</v>
      </c>
      <c r="L698" t="n">
        <v>0</v>
      </c>
      <c r="M698" t="n">
        <v>0</v>
      </c>
      <c r="N698" t="n">
        <v>0</v>
      </c>
      <c r="O698" t="n">
        <v>0</v>
      </c>
      <c r="P698" t="n">
        <v>0</v>
      </c>
      <c r="Q698" t="n">
        <v>0</v>
      </c>
      <c r="R698" s="2" t="inlineStr"/>
    </row>
    <row r="699" ht="15" customHeight="1">
      <c r="A699" t="inlineStr">
        <is>
          <t>A 7861-2024</t>
        </is>
      </c>
      <c r="B699" s="1" t="n">
        <v>45350.30831018519</v>
      </c>
      <c r="C699" s="1" t="n">
        <v>45924</v>
      </c>
      <c r="D699" t="inlineStr">
        <is>
          <t>DALARNAS LÄN</t>
        </is>
      </c>
      <c r="E699" t="inlineStr">
        <is>
          <t>LEKSAND</t>
        </is>
      </c>
      <c r="G699" t="n">
        <v>1.8</v>
      </c>
      <c r="H699" t="n">
        <v>0</v>
      </c>
      <c r="I699" t="n">
        <v>0</v>
      </c>
      <c r="J699" t="n">
        <v>0</v>
      </c>
      <c r="K699" t="n">
        <v>0</v>
      </c>
      <c r="L699" t="n">
        <v>0</v>
      </c>
      <c r="M699" t="n">
        <v>0</v>
      </c>
      <c r="N699" t="n">
        <v>0</v>
      </c>
      <c r="O699" t="n">
        <v>0</v>
      </c>
      <c r="P699" t="n">
        <v>0</v>
      </c>
      <c r="Q699" t="n">
        <v>0</v>
      </c>
      <c r="R699" s="2" t="inlineStr"/>
    </row>
    <row r="700" ht="15" customHeight="1">
      <c r="A700" t="inlineStr">
        <is>
          <t>A 36534-2024</t>
        </is>
      </c>
      <c r="B700" s="1" t="n">
        <v>45537.45143518518</v>
      </c>
      <c r="C700" s="1" t="n">
        <v>45924</v>
      </c>
      <c r="D700" t="inlineStr">
        <is>
          <t>DALARNAS LÄN</t>
        </is>
      </c>
      <c r="E700" t="inlineStr">
        <is>
          <t>LEKSAND</t>
        </is>
      </c>
      <c r="G700" t="n">
        <v>4</v>
      </c>
      <c r="H700" t="n">
        <v>0</v>
      </c>
      <c r="I700" t="n">
        <v>0</v>
      </c>
      <c r="J700" t="n">
        <v>0</v>
      </c>
      <c r="K700" t="n">
        <v>0</v>
      </c>
      <c r="L700" t="n">
        <v>0</v>
      </c>
      <c r="M700" t="n">
        <v>0</v>
      </c>
      <c r="N700" t="n">
        <v>0</v>
      </c>
      <c r="O700" t="n">
        <v>0</v>
      </c>
      <c r="P700" t="n">
        <v>0</v>
      </c>
      <c r="Q700" t="n">
        <v>0</v>
      </c>
      <c r="R700" s="2" t="inlineStr"/>
    </row>
    <row r="701" ht="15" customHeight="1">
      <c r="A701" t="inlineStr">
        <is>
          <t>A 22536-2025</t>
        </is>
      </c>
      <c r="B701" s="1" t="n">
        <v>45787.33037037037</v>
      </c>
      <c r="C701" s="1" t="n">
        <v>45924</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60042-2023</t>
        </is>
      </c>
      <c r="B702" s="1" t="n">
        <v>45256</v>
      </c>
      <c r="C702" s="1" t="n">
        <v>45924</v>
      </c>
      <c r="D702" t="inlineStr">
        <is>
          <t>DALARNAS LÄN</t>
        </is>
      </c>
      <c r="E702" t="inlineStr">
        <is>
          <t>LEKSAND</t>
        </is>
      </c>
      <c r="G702" t="n">
        <v>2</v>
      </c>
      <c r="H702" t="n">
        <v>0</v>
      </c>
      <c r="I702" t="n">
        <v>0</v>
      </c>
      <c r="J702" t="n">
        <v>0</v>
      </c>
      <c r="K702" t="n">
        <v>0</v>
      </c>
      <c r="L702" t="n">
        <v>0</v>
      </c>
      <c r="M702" t="n">
        <v>0</v>
      </c>
      <c r="N702" t="n">
        <v>0</v>
      </c>
      <c r="O702" t="n">
        <v>0</v>
      </c>
      <c r="P702" t="n">
        <v>0</v>
      </c>
      <c r="Q702" t="n">
        <v>0</v>
      </c>
      <c r="R702" s="2" t="inlineStr"/>
    </row>
    <row r="703" ht="15" customHeight="1">
      <c r="A703" t="inlineStr">
        <is>
          <t>A 34244-2024</t>
        </is>
      </c>
      <c r="B703" s="1" t="n">
        <v>45524.58349537037</v>
      </c>
      <c r="C703" s="1" t="n">
        <v>45924</v>
      </c>
      <c r="D703" t="inlineStr">
        <is>
          <t>DALARNAS LÄN</t>
        </is>
      </c>
      <c r="E703" t="inlineStr">
        <is>
          <t>LEKSAND</t>
        </is>
      </c>
      <c r="G703" t="n">
        <v>1.5</v>
      </c>
      <c r="H703" t="n">
        <v>0</v>
      </c>
      <c r="I703" t="n">
        <v>0</v>
      </c>
      <c r="J703" t="n">
        <v>0</v>
      </c>
      <c r="K703" t="n">
        <v>0</v>
      </c>
      <c r="L703" t="n">
        <v>0</v>
      </c>
      <c r="M703" t="n">
        <v>0</v>
      </c>
      <c r="N703" t="n">
        <v>0</v>
      </c>
      <c r="O703" t="n">
        <v>0</v>
      </c>
      <c r="P703" t="n">
        <v>0</v>
      </c>
      <c r="Q703" t="n">
        <v>0</v>
      </c>
      <c r="R703" s="2" t="inlineStr"/>
    </row>
    <row r="704" ht="15" customHeight="1">
      <c r="A704" t="inlineStr">
        <is>
          <t>A 57468-2023</t>
        </is>
      </c>
      <c r="B704" s="1" t="n">
        <v>45246</v>
      </c>
      <c r="C704" s="1" t="n">
        <v>45924</v>
      </c>
      <c r="D704" t="inlineStr">
        <is>
          <t>DALARNAS LÄN</t>
        </is>
      </c>
      <c r="E704" t="inlineStr">
        <is>
          <t>LEKSAND</t>
        </is>
      </c>
      <c r="G704" t="n">
        <v>4.6</v>
      </c>
      <c r="H704" t="n">
        <v>0</v>
      </c>
      <c r="I704" t="n">
        <v>0</v>
      </c>
      <c r="J704" t="n">
        <v>0</v>
      </c>
      <c r="K704" t="n">
        <v>0</v>
      </c>
      <c r="L704" t="n">
        <v>0</v>
      </c>
      <c r="M704" t="n">
        <v>0</v>
      </c>
      <c r="N704" t="n">
        <v>0</v>
      </c>
      <c r="O704" t="n">
        <v>0</v>
      </c>
      <c r="P704" t="n">
        <v>0</v>
      </c>
      <c r="Q704" t="n">
        <v>0</v>
      </c>
      <c r="R704" s="2" t="inlineStr"/>
    </row>
    <row r="705" ht="15" customHeight="1">
      <c r="A705" t="inlineStr">
        <is>
          <t>A 22876-2025</t>
        </is>
      </c>
      <c r="B705" s="1" t="n">
        <v>45790.3728587963</v>
      </c>
      <c r="C705" s="1" t="n">
        <v>45924</v>
      </c>
      <c r="D705" t="inlineStr">
        <is>
          <t>DALARNAS LÄN</t>
        </is>
      </c>
      <c r="E705" t="inlineStr">
        <is>
          <t>LEKSAND</t>
        </is>
      </c>
      <c r="G705" t="n">
        <v>5.9</v>
      </c>
      <c r="H705" t="n">
        <v>0</v>
      </c>
      <c r="I705" t="n">
        <v>0</v>
      </c>
      <c r="J705" t="n">
        <v>0</v>
      </c>
      <c r="K705" t="n">
        <v>0</v>
      </c>
      <c r="L705" t="n">
        <v>0</v>
      </c>
      <c r="M705" t="n">
        <v>0</v>
      </c>
      <c r="N705" t="n">
        <v>0</v>
      </c>
      <c r="O705" t="n">
        <v>0</v>
      </c>
      <c r="P705" t="n">
        <v>0</v>
      </c>
      <c r="Q705" t="n">
        <v>0</v>
      </c>
      <c r="R705" s="2" t="inlineStr"/>
    </row>
    <row r="706" ht="15" customHeight="1">
      <c r="A706" t="inlineStr">
        <is>
          <t>A 49499-2024</t>
        </is>
      </c>
      <c r="B706" s="1" t="n">
        <v>45596</v>
      </c>
      <c r="C706" s="1" t="n">
        <v>45924</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44822-2024</t>
        </is>
      </c>
      <c r="B707" s="1" t="n">
        <v>45574.6646412037</v>
      </c>
      <c r="C707" s="1" t="n">
        <v>45924</v>
      </c>
      <c r="D707" t="inlineStr">
        <is>
          <t>DALARNAS LÄN</t>
        </is>
      </c>
      <c r="E707" t="inlineStr">
        <is>
          <t>LEKSAND</t>
        </is>
      </c>
      <c r="G707" t="n">
        <v>1</v>
      </c>
      <c r="H707" t="n">
        <v>0</v>
      </c>
      <c r="I707" t="n">
        <v>0</v>
      </c>
      <c r="J707" t="n">
        <v>0</v>
      </c>
      <c r="K707" t="n">
        <v>0</v>
      </c>
      <c r="L707" t="n">
        <v>0</v>
      </c>
      <c r="M707" t="n">
        <v>0</v>
      </c>
      <c r="N707" t="n">
        <v>0</v>
      </c>
      <c r="O707" t="n">
        <v>0</v>
      </c>
      <c r="P707" t="n">
        <v>0</v>
      </c>
      <c r="Q707" t="n">
        <v>0</v>
      </c>
      <c r="R707" s="2" t="inlineStr"/>
    </row>
    <row r="708" ht="15" customHeight="1">
      <c r="A708" t="inlineStr">
        <is>
          <t>A 23058-2025</t>
        </is>
      </c>
      <c r="B708" s="1" t="n">
        <v>45790.78076388889</v>
      </c>
      <c r="C708" s="1" t="n">
        <v>45924</v>
      </c>
      <c r="D708" t="inlineStr">
        <is>
          <t>DALARNAS LÄN</t>
        </is>
      </c>
      <c r="E708" t="inlineStr">
        <is>
          <t>LEKSAND</t>
        </is>
      </c>
      <c r="G708" t="n">
        <v>6.7</v>
      </c>
      <c r="H708" t="n">
        <v>0</v>
      </c>
      <c r="I708" t="n">
        <v>0</v>
      </c>
      <c r="J708" t="n">
        <v>0</v>
      </c>
      <c r="K708" t="n">
        <v>0</v>
      </c>
      <c r="L708" t="n">
        <v>0</v>
      </c>
      <c r="M708" t="n">
        <v>0</v>
      </c>
      <c r="N708" t="n">
        <v>0</v>
      </c>
      <c r="O708" t="n">
        <v>0</v>
      </c>
      <c r="P708" t="n">
        <v>0</v>
      </c>
      <c r="Q708" t="n">
        <v>0</v>
      </c>
      <c r="R708" s="2" t="inlineStr"/>
    </row>
    <row r="709" ht="15" customHeight="1">
      <c r="A709" t="inlineStr">
        <is>
          <t>A 23076-2025</t>
        </is>
      </c>
      <c r="B709" s="1" t="n">
        <v>45790.90960648148</v>
      </c>
      <c r="C709" s="1" t="n">
        <v>45924</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23855-2025</t>
        </is>
      </c>
      <c r="B710" s="1" t="n">
        <v>45793.65900462963</v>
      </c>
      <c r="C710" s="1" t="n">
        <v>45924</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23891-2025</t>
        </is>
      </c>
      <c r="B711" s="1" t="n">
        <v>45793</v>
      </c>
      <c r="C711" s="1" t="n">
        <v>45924</v>
      </c>
      <c r="D711" t="inlineStr">
        <is>
          <t>DALARNAS LÄN</t>
        </is>
      </c>
      <c r="E711" t="inlineStr">
        <is>
          <t>LEKSAND</t>
        </is>
      </c>
      <c r="F711" t="inlineStr">
        <is>
          <t>Kommuner</t>
        </is>
      </c>
      <c r="G711" t="n">
        <v>1.5</v>
      </c>
      <c r="H711" t="n">
        <v>0</v>
      </c>
      <c r="I711" t="n">
        <v>0</v>
      </c>
      <c r="J711" t="n">
        <v>0</v>
      </c>
      <c r="K711" t="n">
        <v>0</v>
      </c>
      <c r="L711" t="n">
        <v>0</v>
      </c>
      <c r="M711" t="n">
        <v>0</v>
      </c>
      <c r="N711" t="n">
        <v>0</v>
      </c>
      <c r="O711" t="n">
        <v>0</v>
      </c>
      <c r="P711" t="n">
        <v>0</v>
      </c>
      <c r="Q711" t="n">
        <v>0</v>
      </c>
      <c r="R711" s="2" t="inlineStr"/>
    </row>
    <row r="712">
      <c r="A712" t="inlineStr">
        <is>
          <t>A 23517-2025</t>
        </is>
      </c>
      <c r="B712" s="1" t="n">
        <v>45792</v>
      </c>
      <c r="C712" s="1" t="n">
        <v>45924</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2025-09-24T10:16:27Z</dcterms:created>
  <dcterms:modified xmlns:dcterms="http://purl.org/dc/terms/" xmlns:xsi="http://www.w3.org/2001/XMLSchema-instance" xsi:type="dcterms:W3CDTF">2025-09-24T10:16:27Z</dcterms:modified>
</cp:coreProperties>
</file>