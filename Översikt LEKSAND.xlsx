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45930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45930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45930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45930</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40636-2025</t>
        </is>
      </c>
      <c r="B17" s="1" t="n">
        <v>45896.60490740741</v>
      </c>
      <c r="C17" s="1" t="n">
        <v>45930</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45930</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15377-2025</t>
        </is>
      </c>
      <c r="B19" s="1" t="n">
        <v>45747.40665509259</v>
      </c>
      <c r="C19" s="1" t="n">
        <v>45930</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45930</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45930</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59111-2024</t>
        </is>
      </c>
      <c r="B23" s="1" t="n">
        <v>45637.36484953704</v>
      </c>
      <c r="C23" s="1" t="n">
        <v>45930</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45930</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45930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45930</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45930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45930</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45930</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34996-2025</t>
        </is>
      </c>
      <c r="B30" s="1" t="n">
        <v>45849.82798611111</v>
      </c>
      <c r="C30" s="1" t="n">
        <v>45930</v>
      </c>
      <c r="D30" t="inlineStr">
        <is>
          <t>DALARNAS LÄN</t>
        </is>
      </c>
      <c r="E30" t="inlineStr">
        <is>
          <t>LEKSAND</t>
        </is>
      </c>
      <c r="G30" t="n">
        <v>1.1</v>
      </c>
      <c r="H30" t="n">
        <v>0</v>
      </c>
      <c r="I30" t="n">
        <v>0</v>
      </c>
      <c r="J30" t="n">
        <v>1</v>
      </c>
      <c r="K30" t="n">
        <v>0</v>
      </c>
      <c r="L30" t="n">
        <v>0</v>
      </c>
      <c r="M30" t="n">
        <v>0</v>
      </c>
      <c r="N30" t="n">
        <v>0</v>
      </c>
      <c r="O30" t="n">
        <v>1</v>
      </c>
      <c r="P30" t="n">
        <v>0</v>
      </c>
      <c r="Q30" t="n">
        <v>1</v>
      </c>
      <c r="R30" s="2" t="inlineStr">
        <is>
          <t>Garnlav</t>
        </is>
      </c>
      <c r="S30">
        <f>HYPERLINK("https://klasma.github.io/Logging_2029/artfynd/A 34996-2025 artfynd.xlsx", "A 34996-2025")</f>
        <v/>
      </c>
      <c r="T30">
        <f>HYPERLINK("https://klasma.github.io/Logging_2029/kartor/A 34996-2025 karta.png", "A 34996-2025")</f>
        <v/>
      </c>
      <c r="V30">
        <f>HYPERLINK("https://klasma.github.io/Logging_2029/klagomål/A 34996-2025 FSC-klagomål.docx", "A 34996-2025")</f>
        <v/>
      </c>
      <c r="W30">
        <f>HYPERLINK("https://klasma.github.io/Logging_2029/klagomålsmail/A 34996-2025 FSC-klagomål mail.docx", "A 34996-2025")</f>
        <v/>
      </c>
      <c r="X30">
        <f>HYPERLINK("https://klasma.github.io/Logging_2029/tillsyn/A 34996-2025 tillsynsbegäran.docx", "A 34996-2025")</f>
        <v/>
      </c>
      <c r="Y30">
        <f>HYPERLINK("https://klasma.github.io/Logging_2029/tillsynsmail/A 34996-2025 tillsynsbegäran mail.docx", "A 34996-2025")</f>
        <v/>
      </c>
    </row>
    <row r="31" ht="15" customHeight="1">
      <c r="A31" t="inlineStr">
        <is>
          <t>A 164-2024</t>
        </is>
      </c>
      <c r="B31" s="1" t="n">
        <v>45294.49954861111</v>
      </c>
      <c r="C31" s="1" t="n">
        <v>45930</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6029-2025</t>
        </is>
      </c>
      <c r="B32" s="1" t="n">
        <v>45695</v>
      </c>
      <c r="C32" s="1" t="n">
        <v>45930</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45375-2025</t>
        </is>
      </c>
      <c r="B33" s="1" t="n">
        <v>45922.39347222223</v>
      </c>
      <c r="C33" s="1" t="n">
        <v>45930</v>
      </c>
      <c r="D33" t="inlineStr">
        <is>
          <t>DALARNAS LÄN</t>
        </is>
      </c>
      <c r="E33" t="inlineStr">
        <is>
          <t>LEKSAND</t>
        </is>
      </c>
      <c r="G33" t="n">
        <v>4.3</v>
      </c>
      <c r="H33" t="n">
        <v>1</v>
      </c>
      <c r="I33" t="n">
        <v>0</v>
      </c>
      <c r="J33" t="n">
        <v>0</v>
      </c>
      <c r="K33" t="n">
        <v>0</v>
      </c>
      <c r="L33" t="n">
        <v>1</v>
      </c>
      <c r="M33" t="n">
        <v>0</v>
      </c>
      <c r="N33" t="n">
        <v>0</v>
      </c>
      <c r="O33" t="n">
        <v>1</v>
      </c>
      <c r="P33" t="n">
        <v>1</v>
      </c>
      <c r="Q33" t="n">
        <v>1</v>
      </c>
      <c r="R33" s="2" t="inlineStr">
        <is>
          <t>Mosippa</t>
        </is>
      </c>
      <c r="S33">
        <f>HYPERLINK("https://klasma.github.io/Logging_2029/artfynd/A 45375-2025 artfynd.xlsx", "A 45375-2025")</f>
        <v/>
      </c>
      <c r="T33">
        <f>HYPERLINK("https://klasma.github.io/Logging_2029/kartor/A 45375-2025 karta.png", "A 45375-2025")</f>
        <v/>
      </c>
      <c r="V33">
        <f>HYPERLINK("https://klasma.github.io/Logging_2029/klagomål/A 45375-2025 FSC-klagomål.docx", "A 45375-2025")</f>
        <v/>
      </c>
      <c r="W33">
        <f>HYPERLINK("https://klasma.github.io/Logging_2029/klagomålsmail/A 45375-2025 FSC-klagomål mail.docx", "A 45375-2025")</f>
        <v/>
      </c>
      <c r="X33">
        <f>HYPERLINK("https://klasma.github.io/Logging_2029/tillsyn/A 45375-2025 tillsynsbegäran.docx", "A 45375-2025")</f>
        <v/>
      </c>
      <c r="Y33">
        <f>HYPERLINK("https://klasma.github.io/Logging_2029/tillsynsmail/A 45375-2025 tillsynsbegäran mail.docx", "A 45375-2025")</f>
        <v/>
      </c>
    </row>
    <row r="34" ht="15" customHeight="1">
      <c r="A34" t="inlineStr">
        <is>
          <t>A 53633-2024</t>
        </is>
      </c>
      <c r="B34" s="1" t="n">
        <v>45614.83726851852</v>
      </c>
      <c r="C34" s="1" t="n">
        <v>45930</v>
      </c>
      <c r="D34" t="inlineStr">
        <is>
          <t>DALARNAS LÄN</t>
        </is>
      </c>
      <c r="E34" t="inlineStr">
        <is>
          <t>LEKSAND</t>
        </is>
      </c>
      <c r="G34" t="n">
        <v>1.6</v>
      </c>
      <c r="H34" t="n">
        <v>1</v>
      </c>
      <c r="I34" t="n">
        <v>0</v>
      </c>
      <c r="J34" t="n">
        <v>1</v>
      </c>
      <c r="K34" t="n">
        <v>0</v>
      </c>
      <c r="L34" t="n">
        <v>0</v>
      </c>
      <c r="M34" t="n">
        <v>0</v>
      </c>
      <c r="N34" t="n">
        <v>0</v>
      </c>
      <c r="O34" t="n">
        <v>1</v>
      </c>
      <c r="P34" t="n">
        <v>0</v>
      </c>
      <c r="Q34" t="n">
        <v>1</v>
      </c>
      <c r="R34" s="2" t="inlineStr">
        <is>
          <t>Tretåig hackspett</t>
        </is>
      </c>
      <c r="S34">
        <f>HYPERLINK("https://klasma.github.io/Logging_2029/artfynd/A 53633-2024 artfynd.xlsx", "A 53633-2024")</f>
        <v/>
      </c>
      <c r="T34">
        <f>HYPERLINK("https://klasma.github.io/Logging_2029/kartor/A 53633-2024 karta.png", "A 53633-2024")</f>
        <v/>
      </c>
      <c r="V34">
        <f>HYPERLINK("https://klasma.github.io/Logging_2029/klagomål/A 53633-2024 FSC-klagomål.docx", "A 53633-2024")</f>
        <v/>
      </c>
      <c r="W34">
        <f>HYPERLINK("https://klasma.github.io/Logging_2029/klagomålsmail/A 53633-2024 FSC-klagomål mail.docx", "A 53633-2024")</f>
        <v/>
      </c>
      <c r="X34">
        <f>HYPERLINK("https://klasma.github.io/Logging_2029/tillsyn/A 53633-2024 tillsynsbegäran.docx", "A 53633-2024")</f>
        <v/>
      </c>
      <c r="Y34">
        <f>HYPERLINK("https://klasma.github.io/Logging_2029/tillsynsmail/A 53633-2024 tillsynsbegäran mail.docx", "A 53633-2024")</f>
        <v/>
      </c>
      <c r="Z34">
        <f>HYPERLINK("https://klasma.github.io/Logging_2029/fåglar/A 53633-2024 prioriterade fågelarter.docx", "A 53633-2024")</f>
        <v/>
      </c>
    </row>
    <row r="35" ht="15" customHeight="1">
      <c r="A35" t="inlineStr">
        <is>
          <t>A 41873-2022</t>
        </is>
      </c>
      <c r="B35" s="1" t="n">
        <v>44829</v>
      </c>
      <c r="C35" s="1" t="n">
        <v>45930</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45930</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16333-2023</t>
        </is>
      </c>
      <c r="B37" s="1" t="n">
        <v>45028</v>
      </c>
      <c r="C37" s="1" t="n">
        <v>45930</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26287-2023</t>
        </is>
      </c>
      <c r="B38" s="1" t="n">
        <v>45091</v>
      </c>
      <c r="C38" s="1" t="n">
        <v>45930</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16735-2025</t>
        </is>
      </c>
      <c r="B39" s="1" t="n">
        <v>45754.54314814815</v>
      </c>
      <c r="C39" s="1" t="n">
        <v>45930</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23137-2022</t>
        </is>
      </c>
      <c r="B40" s="1" t="n">
        <v>44719</v>
      </c>
      <c r="C40" s="1" t="n">
        <v>45930</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31124-2024</t>
        </is>
      </c>
      <c r="B41" s="1" t="n">
        <v>45502.62886574074</v>
      </c>
      <c r="C41" s="1" t="n">
        <v>45930</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36778-2025</t>
        </is>
      </c>
      <c r="B42" s="1" t="n">
        <v>45873</v>
      </c>
      <c r="C42" s="1" t="n">
        <v>45930</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31951-2025</t>
        </is>
      </c>
      <c r="B43" s="1" t="n">
        <v>45835.33481481481</v>
      </c>
      <c r="C43" s="1" t="n">
        <v>45930</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55633-2024</t>
        </is>
      </c>
      <c r="B44" s="1" t="n">
        <v>45621</v>
      </c>
      <c r="C44" s="1" t="n">
        <v>45930</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45930</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34993-2025</t>
        </is>
      </c>
      <c r="B46" s="1" t="n">
        <v>45849.82383101852</v>
      </c>
      <c r="C46" s="1" t="n">
        <v>45930</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59205-2023</t>
        </is>
      </c>
      <c r="B47" s="1" t="n">
        <v>45251</v>
      </c>
      <c r="C47" s="1" t="n">
        <v>45930</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1078-2021</t>
        </is>
      </c>
      <c r="B48" s="1" t="n">
        <v>44207</v>
      </c>
      <c r="C48" s="1" t="n">
        <v>45930</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45930</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45930</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45930</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45930</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45930</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45930</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45930</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45930</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45930</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45930</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45930</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45930</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45930</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45930</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45930</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45930</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45930</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45930</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45930</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45930</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45930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45930</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45930</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45930</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45930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45930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45930</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45930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45930</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45930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45930</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45930</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45930</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45930</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45930</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45930</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45930</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45930</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45930</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45930</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45930</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45930</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45930</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32635-2021</t>
        </is>
      </c>
      <c r="B92" s="1" t="n">
        <v>44374</v>
      </c>
      <c r="C92" s="1" t="n">
        <v>45930</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45930</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38619-2021</t>
        </is>
      </c>
      <c r="B94" s="1" t="n">
        <v>44409</v>
      </c>
      <c r="C94" s="1" t="n">
        <v>45930</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8501-2022</t>
        </is>
      </c>
      <c r="B95" s="1" t="n">
        <v>44613.40672453704</v>
      </c>
      <c r="C95" s="1" t="n">
        <v>45930</v>
      </c>
      <c r="D95" t="inlineStr">
        <is>
          <t>DALARNAS LÄN</t>
        </is>
      </c>
      <c r="E95" t="inlineStr">
        <is>
          <t>LEKSAND</t>
        </is>
      </c>
      <c r="G95" t="n">
        <v>3</v>
      </c>
      <c r="H95" t="n">
        <v>0</v>
      </c>
      <c r="I95" t="n">
        <v>0</v>
      </c>
      <c r="J95" t="n">
        <v>0</v>
      </c>
      <c r="K95" t="n">
        <v>0</v>
      </c>
      <c r="L95" t="n">
        <v>0</v>
      </c>
      <c r="M95" t="n">
        <v>0</v>
      </c>
      <c r="N95" t="n">
        <v>0</v>
      </c>
      <c r="O95" t="n">
        <v>0</v>
      </c>
      <c r="P95" t="n">
        <v>0</v>
      </c>
      <c r="Q95" t="n">
        <v>0</v>
      </c>
      <c r="R95" s="2" t="inlineStr"/>
    </row>
    <row r="96" ht="15" customHeight="1">
      <c r="A96" t="inlineStr">
        <is>
          <t>A 45040-2021</t>
        </is>
      </c>
      <c r="B96" s="1" t="n">
        <v>44438</v>
      </c>
      <c r="C96" s="1" t="n">
        <v>45930</v>
      </c>
      <c r="D96" t="inlineStr">
        <is>
          <t>DALARNAS LÄN</t>
        </is>
      </c>
      <c r="E96" t="inlineStr">
        <is>
          <t>LEKSAND</t>
        </is>
      </c>
      <c r="G96" t="n">
        <v>2.7</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45930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45930</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18866-2022</t>
        </is>
      </c>
      <c r="B99" s="1" t="n">
        <v>44690</v>
      </c>
      <c r="C99" s="1" t="n">
        <v>45930</v>
      </c>
      <c r="D99" t="inlineStr">
        <is>
          <t>DALARNAS LÄN</t>
        </is>
      </c>
      <c r="E99" t="inlineStr">
        <is>
          <t>LEKSAND</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45930</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62279-2021</t>
        </is>
      </c>
      <c r="B101" s="1" t="n">
        <v>44503</v>
      </c>
      <c r="C101" s="1" t="n">
        <v>45930</v>
      </c>
      <c r="D101" t="inlineStr">
        <is>
          <t>DALARNAS LÄN</t>
        </is>
      </c>
      <c r="E101" t="inlineStr">
        <is>
          <t>LEKSAND</t>
        </is>
      </c>
      <c r="G101" t="n">
        <v>1.8</v>
      </c>
      <c r="H101" t="n">
        <v>0</v>
      </c>
      <c r="I101" t="n">
        <v>0</v>
      </c>
      <c r="J101" t="n">
        <v>0</v>
      </c>
      <c r="K101" t="n">
        <v>0</v>
      </c>
      <c r="L101" t="n">
        <v>0</v>
      </c>
      <c r="M101" t="n">
        <v>0</v>
      </c>
      <c r="N101" t="n">
        <v>0</v>
      </c>
      <c r="O101" t="n">
        <v>0</v>
      </c>
      <c r="P101" t="n">
        <v>0</v>
      </c>
      <c r="Q101" t="n">
        <v>0</v>
      </c>
      <c r="R101" s="2" t="inlineStr"/>
    </row>
    <row r="102" ht="15" customHeight="1">
      <c r="A102" t="inlineStr">
        <is>
          <t>A 70026-2021</t>
        </is>
      </c>
      <c r="B102" s="1" t="n">
        <v>44533</v>
      </c>
      <c r="C102" s="1" t="n">
        <v>45930</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45930</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19559-2023</t>
        </is>
      </c>
      <c r="B104" s="1" t="n">
        <v>45050</v>
      </c>
      <c r="C104" s="1" t="n">
        <v>45930</v>
      </c>
      <c r="D104" t="inlineStr">
        <is>
          <t>DALARNAS LÄN</t>
        </is>
      </c>
      <c r="E104" t="inlineStr">
        <is>
          <t>LEKSAND</t>
        </is>
      </c>
      <c r="G104" t="n">
        <v>0.1</v>
      </c>
      <c r="H104" t="n">
        <v>0</v>
      </c>
      <c r="I104" t="n">
        <v>0</v>
      </c>
      <c r="J104" t="n">
        <v>0</v>
      </c>
      <c r="K104" t="n">
        <v>0</v>
      </c>
      <c r="L104" t="n">
        <v>0</v>
      </c>
      <c r="M104" t="n">
        <v>0</v>
      </c>
      <c r="N104" t="n">
        <v>0</v>
      </c>
      <c r="O104" t="n">
        <v>0</v>
      </c>
      <c r="P104" t="n">
        <v>0</v>
      </c>
      <c r="Q104" t="n">
        <v>0</v>
      </c>
      <c r="R104" s="2" t="inlineStr"/>
    </row>
    <row r="105" ht="15" customHeight="1">
      <c r="A105" t="inlineStr">
        <is>
          <t>A 8046-2024</t>
        </is>
      </c>
      <c r="B105" s="1" t="n">
        <v>45351.31555555556</v>
      </c>
      <c r="C105" s="1" t="n">
        <v>45930</v>
      </c>
      <c r="D105" t="inlineStr">
        <is>
          <t>DALARNAS LÄN</t>
        </is>
      </c>
      <c r="E105" t="inlineStr">
        <is>
          <t>LEKSAND</t>
        </is>
      </c>
      <c r="G105" t="n">
        <v>2.9</v>
      </c>
      <c r="H105" t="n">
        <v>0</v>
      </c>
      <c r="I105" t="n">
        <v>0</v>
      </c>
      <c r="J105" t="n">
        <v>0</v>
      </c>
      <c r="K105" t="n">
        <v>0</v>
      </c>
      <c r="L105" t="n">
        <v>0</v>
      </c>
      <c r="M105" t="n">
        <v>0</v>
      </c>
      <c r="N105" t="n">
        <v>0</v>
      </c>
      <c r="O105" t="n">
        <v>0</v>
      </c>
      <c r="P105" t="n">
        <v>0</v>
      </c>
      <c r="Q105" t="n">
        <v>0</v>
      </c>
      <c r="R105" s="2" t="inlineStr"/>
    </row>
    <row r="106" ht="15" customHeight="1">
      <c r="A106" t="inlineStr">
        <is>
          <t>A 14797-2025</t>
        </is>
      </c>
      <c r="B106" s="1" t="n">
        <v>45742.90363425926</v>
      </c>
      <c r="C106" s="1" t="n">
        <v>45930</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28128-2022</t>
        </is>
      </c>
      <c r="B107" s="1" t="n">
        <v>44746.50628472222</v>
      </c>
      <c r="C107" s="1" t="n">
        <v>45930</v>
      </c>
      <c r="D107" t="inlineStr">
        <is>
          <t>DALARNAS LÄN</t>
        </is>
      </c>
      <c r="E107" t="inlineStr">
        <is>
          <t>LEKSAND</t>
        </is>
      </c>
      <c r="G107" t="n">
        <v>3.5</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45930</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38001-2023</t>
        </is>
      </c>
      <c r="B109" s="1" t="n">
        <v>45160</v>
      </c>
      <c r="C109" s="1" t="n">
        <v>45930</v>
      </c>
      <c r="D109" t="inlineStr">
        <is>
          <t>DALARNAS LÄN</t>
        </is>
      </c>
      <c r="E109" t="inlineStr">
        <is>
          <t>LEKSAND</t>
        </is>
      </c>
      <c r="G109" t="n">
        <v>3.6</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45930</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45930</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5583-2024</t>
        </is>
      </c>
      <c r="B112" s="1" t="n">
        <v>45334</v>
      </c>
      <c r="C112" s="1" t="n">
        <v>45930</v>
      </c>
      <c r="D112" t="inlineStr">
        <is>
          <t>DALARNAS LÄN</t>
        </is>
      </c>
      <c r="E112" t="inlineStr">
        <is>
          <t>LEKSAND</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45930</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31915-2024</t>
        </is>
      </c>
      <c r="B114" s="1" t="n">
        <v>45510.38956018518</v>
      </c>
      <c r="C114" s="1" t="n">
        <v>45930</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59826-2023</t>
        </is>
      </c>
      <c r="B115" s="1" t="n">
        <v>45254</v>
      </c>
      <c r="C115" s="1" t="n">
        <v>45930</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7417-2024</t>
        </is>
      </c>
      <c r="B116" s="1" t="n">
        <v>45345.62378472222</v>
      </c>
      <c r="C116" s="1" t="n">
        <v>45930</v>
      </c>
      <c r="D116" t="inlineStr">
        <is>
          <t>DALARNAS LÄN</t>
        </is>
      </c>
      <c r="E116" t="inlineStr">
        <is>
          <t>LEKSAND</t>
        </is>
      </c>
      <c r="G116" t="n">
        <v>2.8</v>
      </c>
      <c r="H116" t="n">
        <v>0</v>
      </c>
      <c r="I116" t="n">
        <v>0</v>
      </c>
      <c r="J116" t="n">
        <v>0</v>
      </c>
      <c r="K116" t="n">
        <v>0</v>
      </c>
      <c r="L116" t="n">
        <v>0</v>
      </c>
      <c r="M116" t="n">
        <v>0</v>
      </c>
      <c r="N116" t="n">
        <v>0</v>
      </c>
      <c r="O116" t="n">
        <v>0</v>
      </c>
      <c r="P116" t="n">
        <v>0</v>
      </c>
      <c r="Q116" t="n">
        <v>0</v>
      </c>
      <c r="R116" s="2" t="inlineStr"/>
    </row>
    <row r="117" ht="15" customHeight="1">
      <c r="A117" t="inlineStr">
        <is>
          <t>A 45155-2021</t>
        </is>
      </c>
      <c r="B117" s="1" t="n">
        <v>44439</v>
      </c>
      <c r="C117" s="1" t="n">
        <v>45930</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13161-2024</t>
        </is>
      </c>
      <c r="B118" s="1" t="n">
        <v>45386.38972222222</v>
      </c>
      <c r="C118" s="1" t="n">
        <v>45930</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46672-2022</t>
        </is>
      </c>
      <c r="B119" s="1" t="n">
        <v>44851</v>
      </c>
      <c r="C119" s="1" t="n">
        <v>45930</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12290-2024</t>
        </is>
      </c>
      <c r="B120" s="1" t="n">
        <v>45378.57877314815</v>
      </c>
      <c r="C120" s="1" t="n">
        <v>45930</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6758-2024</t>
        </is>
      </c>
      <c r="B121" s="1" t="n">
        <v>45342.46857638889</v>
      </c>
      <c r="C121" s="1" t="n">
        <v>45930</v>
      </c>
      <c r="D121" t="inlineStr">
        <is>
          <t>DALARNAS LÄN</t>
        </is>
      </c>
      <c r="E121" t="inlineStr">
        <is>
          <t>LEKSAND</t>
        </is>
      </c>
      <c r="F121" t="inlineStr">
        <is>
          <t>Bergvik skog väst AB</t>
        </is>
      </c>
      <c r="G121" t="n">
        <v>6.2</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45930</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48644-2023</t>
        </is>
      </c>
      <c r="B123" s="1" t="n">
        <v>45208.58997685185</v>
      </c>
      <c r="C123" s="1" t="n">
        <v>45930</v>
      </c>
      <c r="D123" t="inlineStr">
        <is>
          <t>DALARNAS LÄN</t>
        </is>
      </c>
      <c r="E123" t="inlineStr">
        <is>
          <t>LEKSAND</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25025-2023</t>
        </is>
      </c>
      <c r="B124" s="1" t="n">
        <v>45085.92146990741</v>
      </c>
      <c r="C124" s="1" t="n">
        <v>45930</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25038-2023</t>
        </is>
      </c>
      <c r="B125" s="1" t="n">
        <v>45085</v>
      </c>
      <c r="C125" s="1" t="n">
        <v>45930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49581-2022</t>
        </is>
      </c>
      <c r="B126" s="1" t="n">
        <v>44862.36287037037</v>
      </c>
      <c r="C126" s="1" t="n">
        <v>45930</v>
      </c>
      <c r="D126" t="inlineStr">
        <is>
          <t>DALARNAS LÄN</t>
        </is>
      </c>
      <c r="E126" t="inlineStr">
        <is>
          <t>LEKSAND</t>
        </is>
      </c>
      <c r="G126" t="n">
        <v>1.8</v>
      </c>
      <c r="H126" t="n">
        <v>0</v>
      </c>
      <c r="I126" t="n">
        <v>0</v>
      </c>
      <c r="J126" t="n">
        <v>0</v>
      </c>
      <c r="K126" t="n">
        <v>0</v>
      </c>
      <c r="L126" t="n">
        <v>0</v>
      </c>
      <c r="M126" t="n">
        <v>0</v>
      </c>
      <c r="N126" t="n">
        <v>0</v>
      </c>
      <c r="O126" t="n">
        <v>0</v>
      </c>
      <c r="P126" t="n">
        <v>0</v>
      </c>
      <c r="Q126" t="n">
        <v>0</v>
      </c>
      <c r="R126" s="2" t="inlineStr"/>
    </row>
    <row r="127" ht="15" customHeight="1">
      <c r="A127" t="inlineStr">
        <is>
          <t>A 56153-2021</t>
        </is>
      </c>
      <c r="B127" s="1" t="n">
        <v>44477</v>
      </c>
      <c r="C127" s="1" t="n">
        <v>45930</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35080-2022</t>
        </is>
      </c>
      <c r="B128" s="1" t="n">
        <v>44797</v>
      </c>
      <c r="C128" s="1" t="n">
        <v>45930</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70098-2021</t>
        </is>
      </c>
      <c r="B129" s="1" t="n">
        <v>44533</v>
      </c>
      <c r="C129" s="1" t="n">
        <v>45930</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51857-2022</t>
        </is>
      </c>
      <c r="B130" s="1" t="n">
        <v>44867</v>
      </c>
      <c r="C130" s="1" t="n">
        <v>45930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43410-2021</t>
        </is>
      </c>
      <c r="B131" s="1" t="n">
        <v>44432.60814814815</v>
      </c>
      <c r="C131" s="1" t="n">
        <v>45930</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45930</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72155-2021</t>
        </is>
      </c>
      <c r="B133" s="1" t="n">
        <v>44543</v>
      </c>
      <c r="C133" s="1" t="n">
        <v>45930</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45930</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45930</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45930</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45930</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50278-2023</t>
        </is>
      </c>
      <c r="B138" s="1" t="n">
        <v>45216.43444444444</v>
      </c>
      <c r="C138" s="1" t="n">
        <v>45930</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412-2024</t>
        </is>
      </c>
      <c r="B139" s="1" t="n">
        <v>45296</v>
      </c>
      <c r="C139" s="1" t="n">
        <v>45930</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59673-2023</t>
        </is>
      </c>
      <c r="B140" s="1" t="n">
        <v>45255.44603009259</v>
      </c>
      <c r="C140" s="1" t="n">
        <v>45930</v>
      </c>
      <c r="D140" t="inlineStr">
        <is>
          <t>DALARNAS LÄN</t>
        </is>
      </c>
      <c r="E140" t="inlineStr">
        <is>
          <t>LEKSAND</t>
        </is>
      </c>
      <c r="G140" t="n">
        <v>12.2</v>
      </c>
      <c r="H140" t="n">
        <v>0</v>
      </c>
      <c r="I140" t="n">
        <v>0</v>
      </c>
      <c r="J140" t="n">
        <v>0</v>
      </c>
      <c r="K140" t="n">
        <v>0</v>
      </c>
      <c r="L140" t="n">
        <v>0</v>
      </c>
      <c r="M140" t="n">
        <v>0</v>
      </c>
      <c r="N140" t="n">
        <v>0</v>
      </c>
      <c r="O140" t="n">
        <v>0</v>
      </c>
      <c r="P140" t="n">
        <v>0</v>
      </c>
      <c r="Q140" t="n">
        <v>0</v>
      </c>
      <c r="R140" s="2" t="inlineStr"/>
    </row>
    <row r="141" ht="15" customHeight="1">
      <c r="A141" t="inlineStr">
        <is>
          <t>A 16197-2024</t>
        </is>
      </c>
      <c r="B141" s="1" t="n">
        <v>45406.70356481482</v>
      </c>
      <c r="C141" s="1" t="n">
        <v>45930</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23068-2024</t>
        </is>
      </c>
      <c r="B142" s="1" t="n">
        <v>45450.45521990741</v>
      </c>
      <c r="C142" s="1" t="n">
        <v>45930</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22281-2024</t>
        </is>
      </c>
      <c r="B143" s="1" t="n">
        <v>45446.54756944445</v>
      </c>
      <c r="C143" s="1" t="n">
        <v>45930</v>
      </c>
      <c r="D143" t="inlineStr">
        <is>
          <t>DALARNAS LÄN</t>
        </is>
      </c>
      <c r="E143" t="inlineStr">
        <is>
          <t>LEKSAND</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14792-2024</t>
        </is>
      </c>
      <c r="B144" s="1" t="n">
        <v>45397.8344212963</v>
      </c>
      <c r="C144" s="1" t="n">
        <v>45930</v>
      </c>
      <c r="D144" t="inlineStr">
        <is>
          <t>DALARNAS LÄN</t>
        </is>
      </c>
      <c r="E144" t="inlineStr">
        <is>
          <t>LEKSAND</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60920-2020</t>
        </is>
      </c>
      <c r="B145" s="1" t="n">
        <v>44153</v>
      </c>
      <c r="C145" s="1" t="n">
        <v>45930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40755-2024</t>
        </is>
      </c>
      <c r="B146" s="1" t="n">
        <v>45558.45815972222</v>
      </c>
      <c r="C146" s="1" t="n">
        <v>45930</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5453-2025</t>
        </is>
      </c>
      <c r="B147" s="1" t="n">
        <v>45692.95231481481</v>
      </c>
      <c r="C147" s="1" t="n">
        <v>45930</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57925-2024</t>
        </is>
      </c>
      <c r="B148" s="1" t="n">
        <v>45630</v>
      </c>
      <c r="C148" s="1" t="n">
        <v>45930</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23615-2024</t>
        </is>
      </c>
      <c r="B149" s="1" t="n">
        <v>45454.43050925926</v>
      </c>
      <c r="C149" s="1" t="n">
        <v>45930</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40513-2025</t>
        </is>
      </c>
      <c r="B150" s="1" t="n">
        <v>45896.35100694445</v>
      </c>
      <c r="C150" s="1" t="n">
        <v>45930</v>
      </c>
      <c r="D150" t="inlineStr">
        <is>
          <t>DALARNAS LÄN</t>
        </is>
      </c>
      <c r="E150" t="inlineStr">
        <is>
          <t>LEKSAND</t>
        </is>
      </c>
      <c r="G150" t="n">
        <v>7.1</v>
      </c>
      <c r="H150" t="n">
        <v>0</v>
      </c>
      <c r="I150" t="n">
        <v>0</v>
      </c>
      <c r="J150" t="n">
        <v>0</v>
      </c>
      <c r="K150" t="n">
        <v>0</v>
      </c>
      <c r="L150" t="n">
        <v>0</v>
      </c>
      <c r="M150" t="n">
        <v>0</v>
      </c>
      <c r="N150" t="n">
        <v>0</v>
      </c>
      <c r="O150" t="n">
        <v>0</v>
      </c>
      <c r="P150" t="n">
        <v>0</v>
      </c>
      <c r="Q150" t="n">
        <v>0</v>
      </c>
      <c r="R150" s="2" t="inlineStr"/>
    </row>
    <row r="151" ht="15" customHeight="1">
      <c r="A151" t="inlineStr">
        <is>
          <t>A 46628-2024</t>
        </is>
      </c>
      <c r="B151" s="1" t="n">
        <v>45583.33195601852</v>
      </c>
      <c r="C151" s="1" t="n">
        <v>45930</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27445-2024</t>
        </is>
      </c>
      <c r="B152" s="1" t="n">
        <v>45474.42474537037</v>
      </c>
      <c r="C152" s="1" t="n">
        <v>45930</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27446-2024</t>
        </is>
      </c>
      <c r="B153" s="1" t="n">
        <v>45474.42671296297</v>
      </c>
      <c r="C153" s="1" t="n">
        <v>45930</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9141-2023</t>
        </is>
      </c>
      <c r="B154" s="1" t="n">
        <v>44974</v>
      </c>
      <c r="C154" s="1" t="n">
        <v>45930</v>
      </c>
      <c r="D154" t="inlineStr">
        <is>
          <t>DALARNAS LÄN</t>
        </is>
      </c>
      <c r="E154" t="inlineStr">
        <is>
          <t>LEKSAND</t>
        </is>
      </c>
      <c r="G154" t="n">
        <v>1.9</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45930</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12646-2025</t>
        </is>
      </c>
      <c r="B156" s="1" t="n">
        <v>45733.39496527778</v>
      </c>
      <c r="C156" s="1" t="n">
        <v>45930</v>
      </c>
      <c r="D156" t="inlineStr">
        <is>
          <t>DALARNAS LÄN</t>
        </is>
      </c>
      <c r="E156" t="inlineStr">
        <is>
          <t>LEKSAND</t>
        </is>
      </c>
      <c r="G156" t="n">
        <v>2.3</v>
      </c>
      <c r="H156" t="n">
        <v>0</v>
      </c>
      <c r="I156" t="n">
        <v>0</v>
      </c>
      <c r="J156" t="n">
        <v>0</v>
      </c>
      <c r="K156" t="n">
        <v>0</v>
      </c>
      <c r="L156" t="n">
        <v>0</v>
      </c>
      <c r="M156" t="n">
        <v>0</v>
      </c>
      <c r="N156" t="n">
        <v>0</v>
      </c>
      <c r="O156" t="n">
        <v>0</v>
      </c>
      <c r="P156" t="n">
        <v>0</v>
      </c>
      <c r="Q156" t="n">
        <v>0</v>
      </c>
      <c r="R156" s="2" t="inlineStr"/>
    </row>
    <row r="157" ht="15" customHeight="1">
      <c r="A157" t="inlineStr">
        <is>
          <t>A 40517-2025</t>
        </is>
      </c>
      <c r="B157" s="1" t="n">
        <v>45896.36368055556</v>
      </c>
      <c r="C157" s="1" t="n">
        <v>45930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17730-2024</t>
        </is>
      </c>
      <c r="B158" s="1" t="n">
        <v>45418</v>
      </c>
      <c r="C158" s="1" t="n">
        <v>45930</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64933-2023</t>
        </is>
      </c>
      <c r="B159" s="1" t="n">
        <v>45282</v>
      </c>
      <c r="C159" s="1" t="n">
        <v>45930</v>
      </c>
      <c r="D159" t="inlineStr">
        <is>
          <t>DALARNAS LÄN</t>
        </is>
      </c>
      <c r="E159" t="inlineStr">
        <is>
          <t>LEKSAND</t>
        </is>
      </c>
      <c r="G159" t="n">
        <v>2.3</v>
      </c>
      <c r="H159" t="n">
        <v>0</v>
      </c>
      <c r="I159" t="n">
        <v>0</v>
      </c>
      <c r="J159" t="n">
        <v>0</v>
      </c>
      <c r="K159" t="n">
        <v>0</v>
      </c>
      <c r="L159" t="n">
        <v>0</v>
      </c>
      <c r="M159" t="n">
        <v>0</v>
      </c>
      <c r="N159" t="n">
        <v>0</v>
      </c>
      <c r="O159" t="n">
        <v>0</v>
      </c>
      <c r="P159" t="n">
        <v>0</v>
      </c>
      <c r="Q159" t="n">
        <v>0</v>
      </c>
      <c r="R159" s="2" t="inlineStr"/>
    </row>
    <row r="160" ht="15" customHeight="1">
      <c r="A160" t="inlineStr">
        <is>
          <t>A 54844-2021</t>
        </is>
      </c>
      <c r="B160" s="1" t="n">
        <v>44474.30614583333</v>
      </c>
      <c r="C160" s="1" t="n">
        <v>45930</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8211-2023</t>
        </is>
      </c>
      <c r="B161" s="1" t="n">
        <v>44974</v>
      </c>
      <c r="C161" s="1" t="n">
        <v>45930</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39620-2024</t>
        </is>
      </c>
      <c r="B162" s="1" t="n">
        <v>45552.43163194445</v>
      </c>
      <c r="C162" s="1" t="n">
        <v>45930</v>
      </c>
      <c r="D162" t="inlineStr">
        <is>
          <t>DALARNAS LÄN</t>
        </is>
      </c>
      <c r="E162" t="inlineStr">
        <is>
          <t>LEKSAND</t>
        </is>
      </c>
      <c r="G162" t="n">
        <v>2.3</v>
      </c>
      <c r="H162" t="n">
        <v>0</v>
      </c>
      <c r="I162" t="n">
        <v>0</v>
      </c>
      <c r="J162" t="n">
        <v>0</v>
      </c>
      <c r="K162" t="n">
        <v>0</v>
      </c>
      <c r="L162" t="n">
        <v>0</v>
      </c>
      <c r="M162" t="n">
        <v>0</v>
      </c>
      <c r="N162" t="n">
        <v>0</v>
      </c>
      <c r="O162" t="n">
        <v>0</v>
      </c>
      <c r="P162" t="n">
        <v>0</v>
      </c>
      <c r="Q162" t="n">
        <v>0</v>
      </c>
      <c r="R162" s="2" t="inlineStr"/>
    </row>
    <row r="163" ht="15" customHeight="1">
      <c r="A163" t="inlineStr">
        <is>
          <t>A 57907-2024</t>
        </is>
      </c>
      <c r="B163" s="1" t="n">
        <v>45630</v>
      </c>
      <c r="C163" s="1" t="n">
        <v>45930</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59236-2024</t>
        </is>
      </c>
      <c r="B164" s="1" t="n">
        <v>45637.58795138889</v>
      </c>
      <c r="C164" s="1" t="n">
        <v>45930</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56749-2024</t>
        </is>
      </c>
      <c r="B165" s="1" t="n">
        <v>45628.37487268518</v>
      </c>
      <c r="C165" s="1" t="n">
        <v>45930</v>
      </c>
      <c r="D165" t="inlineStr">
        <is>
          <t>DALARNAS LÄN</t>
        </is>
      </c>
      <c r="E165" t="inlineStr">
        <is>
          <t>LEKSAND</t>
        </is>
      </c>
      <c r="G165" t="n">
        <v>5</v>
      </c>
      <c r="H165" t="n">
        <v>0</v>
      </c>
      <c r="I165" t="n">
        <v>0</v>
      </c>
      <c r="J165" t="n">
        <v>0</v>
      </c>
      <c r="K165" t="n">
        <v>0</v>
      </c>
      <c r="L165" t="n">
        <v>0</v>
      </c>
      <c r="M165" t="n">
        <v>0</v>
      </c>
      <c r="N165" t="n">
        <v>0</v>
      </c>
      <c r="O165" t="n">
        <v>0</v>
      </c>
      <c r="P165" t="n">
        <v>0</v>
      </c>
      <c r="Q165" t="n">
        <v>0</v>
      </c>
      <c r="R165" s="2" t="inlineStr"/>
    </row>
    <row r="166" ht="15" customHeight="1">
      <c r="A166" t="inlineStr">
        <is>
          <t>A 5738-2023</t>
        </is>
      </c>
      <c r="B166" s="1" t="n">
        <v>44962</v>
      </c>
      <c r="C166" s="1" t="n">
        <v>45930</v>
      </c>
      <c r="D166" t="inlineStr">
        <is>
          <t>DALARNAS LÄN</t>
        </is>
      </c>
      <c r="E166" t="inlineStr">
        <is>
          <t>LEKSAND</t>
        </is>
      </c>
      <c r="G166" t="n">
        <v>0.2</v>
      </c>
      <c r="H166" t="n">
        <v>0</v>
      </c>
      <c r="I166" t="n">
        <v>0</v>
      </c>
      <c r="J166" t="n">
        <v>0</v>
      </c>
      <c r="K166" t="n">
        <v>0</v>
      </c>
      <c r="L166" t="n">
        <v>0</v>
      </c>
      <c r="M166" t="n">
        <v>0</v>
      </c>
      <c r="N166" t="n">
        <v>0</v>
      </c>
      <c r="O166" t="n">
        <v>0</v>
      </c>
      <c r="P166" t="n">
        <v>0</v>
      </c>
      <c r="Q166" t="n">
        <v>0</v>
      </c>
      <c r="R166" s="2" t="inlineStr"/>
    </row>
    <row r="167" ht="15" customHeight="1">
      <c r="A167" t="inlineStr">
        <is>
          <t>A 34038-2024</t>
        </is>
      </c>
      <c r="B167" s="1" t="n">
        <v>45523.59578703704</v>
      </c>
      <c r="C167" s="1" t="n">
        <v>45930</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34041-2024</t>
        </is>
      </c>
      <c r="B168" s="1" t="n">
        <v>45523.59895833334</v>
      </c>
      <c r="C168" s="1" t="n">
        <v>45930</v>
      </c>
      <c r="D168" t="inlineStr">
        <is>
          <t>DALARNAS LÄN</t>
        </is>
      </c>
      <c r="E168" t="inlineStr">
        <is>
          <t>LEKSAND</t>
        </is>
      </c>
      <c r="G168" t="n">
        <v>4</v>
      </c>
      <c r="H168" t="n">
        <v>0</v>
      </c>
      <c r="I168" t="n">
        <v>0</v>
      </c>
      <c r="J168" t="n">
        <v>0</v>
      </c>
      <c r="K168" t="n">
        <v>0</v>
      </c>
      <c r="L168" t="n">
        <v>0</v>
      </c>
      <c r="M168" t="n">
        <v>0</v>
      </c>
      <c r="N168" t="n">
        <v>0</v>
      </c>
      <c r="O168" t="n">
        <v>0</v>
      </c>
      <c r="P168" t="n">
        <v>0</v>
      </c>
      <c r="Q168" t="n">
        <v>0</v>
      </c>
      <c r="R168" s="2" t="inlineStr"/>
    </row>
    <row r="169" ht="15" customHeight="1">
      <c r="A169" t="inlineStr">
        <is>
          <t>A 5570-2024</t>
        </is>
      </c>
      <c r="B169" s="1" t="n">
        <v>45334</v>
      </c>
      <c r="C169" s="1" t="n">
        <v>45930</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46665-2023</t>
        </is>
      </c>
      <c r="B170" s="1" t="n">
        <v>45198.47399305556</v>
      </c>
      <c r="C170" s="1" t="n">
        <v>45930</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41248-2025</t>
        </is>
      </c>
      <c r="B171" s="1" t="n">
        <v>45898.60199074074</v>
      </c>
      <c r="C171" s="1" t="n">
        <v>45930</v>
      </c>
      <c r="D171" t="inlineStr">
        <is>
          <t>DALARNAS LÄN</t>
        </is>
      </c>
      <c r="E171" t="inlineStr">
        <is>
          <t>LEKSAND</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45930</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45930</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45930</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41237-2025</t>
        </is>
      </c>
      <c r="B175" s="1" t="n">
        <v>45898.59570601852</v>
      </c>
      <c r="C175" s="1" t="n">
        <v>45930</v>
      </c>
      <c r="D175" t="inlineStr">
        <is>
          <t>DALARNAS LÄN</t>
        </is>
      </c>
      <c r="E175" t="inlineStr">
        <is>
          <t>LEKSAND</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13705-2021</t>
        </is>
      </c>
      <c r="B176" s="1" t="n">
        <v>44274</v>
      </c>
      <c r="C176" s="1" t="n">
        <v>45930</v>
      </c>
      <c r="D176" t="inlineStr">
        <is>
          <t>DALARNAS LÄN</t>
        </is>
      </c>
      <c r="E176" t="inlineStr">
        <is>
          <t>LEKSAND</t>
        </is>
      </c>
      <c r="G176" t="n">
        <v>3.8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45930</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41487-2025</t>
        </is>
      </c>
      <c r="B178" s="1" t="n">
        <v>45901.4815625</v>
      </c>
      <c r="C178" s="1" t="n">
        <v>45930</v>
      </c>
      <c r="D178" t="inlineStr">
        <is>
          <t>DALARNAS LÄN</t>
        </is>
      </c>
      <c r="E178" t="inlineStr">
        <is>
          <t>LEKSAND</t>
        </is>
      </c>
      <c r="F178" t="inlineStr">
        <is>
          <t>Bergvik skog väst AB</t>
        </is>
      </c>
      <c r="G178" t="n">
        <v>7.3</v>
      </c>
      <c r="H178" t="n">
        <v>0</v>
      </c>
      <c r="I178" t="n">
        <v>0</v>
      </c>
      <c r="J178" t="n">
        <v>0</v>
      </c>
      <c r="K178" t="n">
        <v>0</v>
      </c>
      <c r="L178" t="n">
        <v>0</v>
      </c>
      <c r="M178" t="n">
        <v>0</v>
      </c>
      <c r="N178" t="n">
        <v>0</v>
      </c>
      <c r="O178" t="n">
        <v>0</v>
      </c>
      <c r="P178" t="n">
        <v>0</v>
      </c>
      <c r="Q178" t="n">
        <v>0</v>
      </c>
      <c r="R178" s="2" t="inlineStr"/>
    </row>
    <row r="179" ht="15" customHeight="1">
      <c r="A179" t="inlineStr">
        <is>
          <t>A 60692-2023</t>
        </is>
      </c>
      <c r="B179" s="1" t="n">
        <v>45260.50008101852</v>
      </c>
      <c r="C179" s="1" t="n">
        <v>45930</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35746-2025</t>
        </is>
      </c>
      <c r="B180" s="1" t="n">
        <v>45860</v>
      </c>
      <c r="C180" s="1" t="n">
        <v>45930</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41380-2025</t>
        </is>
      </c>
      <c r="B181" s="1" t="n">
        <v>45900.92826388889</v>
      </c>
      <c r="C181" s="1" t="n">
        <v>45930</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14615-2024</t>
        </is>
      </c>
      <c r="B182" s="1" t="n">
        <v>45397.26047453703</v>
      </c>
      <c r="C182" s="1" t="n">
        <v>45930</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41335-2025</t>
        </is>
      </c>
      <c r="B183" s="1" t="n">
        <v>45899.36747685185</v>
      </c>
      <c r="C183" s="1" t="n">
        <v>45930</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10833-2023</t>
        </is>
      </c>
      <c r="B184" s="1" t="n">
        <v>44990</v>
      </c>
      <c r="C184" s="1" t="n">
        <v>45930</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30863-2024</t>
        </is>
      </c>
      <c r="B185" s="1" t="n">
        <v>45497.71074074074</v>
      </c>
      <c r="C185" s="1" t="n">
        <v>45930</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54289-2023</t>
        </is>
      </c>
      <c r="B186" s="1" t="n">
        <v>45232.71193287037</v>
      </c>
      <c r="C186" s="1" t="n">
        <v>45930</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45930</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45930</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35866-2025</t>
        </is>
      </c>
      <c r="B189" s="1" t="n">
        <v>45861</v>
      </c>
      <c r="C189" s="1" t="n">
        <v>45930</v>
      </c>
      <c r="D189" t="inlineStr">
        <is>
          <t>DALARNAS LÄN</t>
        </is>
      </c>
      <c r="E189" t="inlineStr">
        <is>
          <t>LEKSAND</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17233-2023</t>
        </is>
      </c>
      <c r="B190" s="1" t="n">
        <v>45035</v>
      </c>
      <c r="C190" s="1" t="n">
        <v>45930</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45930</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42284-2025</t>
        </is>
      </c>
      <c r="B192" s="1" t="n">
        <v>45903</v>
      </c>
      <c r="C192" s="1" t="n">
        <v>45930</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23283-2024</t>
        </is>
      </c>
      <c r="B193" s="1" t="n">
        <v>45453</v>
      </c>
      <c r="C193" s="1" t="n">
        <v>45930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29157-2022</t>
        </is>
      </c>
      <c r="B194" s="1" t="n">
        <v>44750.48355324074</v>
      </c>
      <c r="C194" s="1" t="n">
        <v>45930</v>
      </c>
      <c r="D194" t="inlineStr">
        <is>
          <t>DALARNAS LÄN</t>
        </is>
      </c>
      <c r="E194" t="inlineStr">
        <is>
          <t>LEKSAND</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12857-2023</t>
        </is>
      </c>
      <c r="B195" s="1" t="n">
        <v>45001.5000462963</v>
      </c>
      <c r="C195" s="1" t="n">
        <v>45930</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47121-2021</t>
        </is>
      </c>
      <c r="B196" s="1" t="n">
        <v>44446</v>
      </c>
      <c r="C196" s="1" t="n">
        <v>45930</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32688-2024</t>
        </is>
      </c>
      <c r="B197" s="1" t="n">
        <v>45515.83091435185</v>
      </c>
      <c r="C197" s="1" t="n">
        <v>45930</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28674-2024</t>
        </is>
      </c>
      <c r="B198" s="1" t="n">
        <v>45478.47863425926</v>
      </c>
      <c r="C198" s="1" t="n">
        <v>45930</v>
      </c>
      <c r="D198" t="inlineStr">
        <is>
          <t>DALARNAS LÄN</t>
        </is>
      </c>
      <c r="E198" t="inlineStr">
        <is>
          <t>LEKSAND</t>
        </is>
      </c>
      <c r="G198" t="n">
        <v>4.9</v>
      </c>
      <c r="H198" t="n">
        <v>0</v>
      </c>
      <c r="I198" t="n">
        <v>0</v>
      </c>
      <c r="J198" t="n">
        <v>0</v>
      </c>
      <c r="K198" t="n">
        <v>0</v>
      </c>
      <c r="L198" t="n">
        <v>0</v>
      </c>
      <c r="M198" t="n">
        <v>0</v>
      </c>
      <c r="N198" t="n">
        <v>0</v>
      </c>
      <c r="O198" t="n">
        <v>0</v>
      </c>
      <c r="P198" t="n">
        <v>0</v>
      </c>
      <c r="Q198" t="n">
        <v>0</v>
      </c>
      <c r="R198" s="2" t="inlineStr"/>
    </row>
    <row r="199" ht="15" customHeight="1">
      <c r="A199" t="inlineStr">
        <is>
          <t>A 41934-2025</t>
        </is>
      </c>
      <c r="B199" s="1" t="n">
        <v>45903.43556712963</v>
      </c>
      <c r="C199" s="1" t="n">
        <v>45930</v>
      </c>
      <c r="D199" t="inlineStr">
        <is>
          <t>DALARNAS LÄN</t>
        </is>
      </c>
      <c r="E199" t="inlineStr">
        <is>
          <t>LEKSAND</t>
        </is>
      </c>
      <c r="F199" t="inlineStr">
        <is>
          <t>Bergvik skog väst AB</t>
        </is>
      </c>
      <c r="G199" t="n">
        <v>3</v>
      </c>
      <c r="H199" t="n">
        <v>0</v>
      </c>
      <c r="I199" t="n">
        <v>0</v>
      </c>
      <c r="J199" t="n">
        <v>0</v>
      </c>
      <c r="K199" t="n">
        <v>0</v>
      </c>
      <c r="L199" t="n">
        <v>0</v>
      </c>
      <c r="M199" t="n">
        <v>0</v>
      </c>
      <c r="N199" t="n">
        <v>0</v>
      </c>
      <c r="O199" t="n">
        <v>0</v>
      </c>
      <c r="P199" t="n">
        <v>0</v>
      </c>
      <c r="Q199" t="n">
        <v>0</v>
      </c>
      <c r="R199" s="2" t="inlineStr"/>
    </row>
    <row r="200" ht="15" customHeight="1">
      <c r="A200" t="inlineStr">
        <is>
          <t>A 4121-2024</t>
        </is>
      </c>
      <c r="B200" s="1" t="n">
        <v>45323</v>
      </c>
      <c r="C200" s="1" t="n">
        <v>45930</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47640-2024</t>
        </is>
      </c>
      <c r="B201" s="1" t="n">
        <v>45588.36508101852</v>
      </c>
      <c r="C201" s="1" t="n">
        <v>45930</v>
      </c>
      <c r="D201" t="inlineStr">
        <is>
          <t>DALARNAS LÄN</t>
        </is>
      </c>
      <c r="E201" t="inlineStr">
        <is>
          <t>LEKSAND</t>
        </is>
      </c>
      <c r="G201" t="n">
        <v>9.1</v>
      </c>
      <c r="H201" t="n">
        <v>0</v>
      </c>
      <c r="I201" t="n">
        <v>0</v>
      </c>
      <c r="J201" t="n">
        <v>0</v>
      </c>
      <c r="K201" t="n">
        <v>0</v>
      </c>
      <c r="L201" t="n">
        <v>0</v>
      </c>
      <c r="M201" t="n">
        <v>0</v>
      </c>
      <c r="N201" t="n">
        <v>0</v>
      </c>
      <c r="O201" t="n">
        <v>0</v>
      </c>
      <c r="P201" t="n">
        <v>0</v>
      </c>
      <c r="Q201" t="n">
        <v>0</v>
      </c>
      <c r="R201" s="2" t="inlineStr"/>
    </row>
    <row r="202" ht="15" customHeight="1">
      <c r="A202" t="inlineStr">
        <is>
          <t>A 19622-2024</t>
        </is>
      </c>
      <c r="B202" s="1" t="n">
        <v>45432.33592592592</v>
      </c>
      <c r="C202" s="1" t="n">
        <v>45930</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72575-2021</t>
        </is>
      </c>
      <c r="B203" s="1" t="n">
        <v>44546</v>
      </c>
      <c r="C203" s="1" t="n">
        <v>45930</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72581-2021</t>
        </is>
      </c>
      <c r="B204" s="1" t="n">
        <v>44546.46354166666</v>
      </c>
      <c r="C204" s="1" t="n">
        <v>45930</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12356-2023</t>
        </is>
      </c>
      <c r="B205" s="1" t="n">
        <v>44998</v>
      </c>
      <c r="C205" s="1" t="n">
        <v>45930</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35998-2025</t>
        </is>
      </c>
      <c r="B206" s="1" t="n">
        <v>45863.51550925926</v>
      </c>
      <c r="C206" s="1" t="n">
        <v>45930</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36021-2025</t>
        </is>
      </c>
      <c r="B207" s="1" t="n">
        <v>45863.72346064815</v>
      </c>
      <c r="C207" s="1" t="n">
        <v>45930</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42402-2025</t>
        </is>
      </c>
      <c r="B208" s="1" t="n">
        <v>45905.3753125</v>
      </c>
      <c r="C208" s="1" t="n">
        <v>45930</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61614-2023</t>
        </is>
      </c>
      <c r="B209" s="1" t="n">
        <v>45261</v>
      </c>
      <c r="C209" s="1" t="n">
        <v>45930</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26062-2024</t>
        </is>
      </c>
      <c r="B210" s="1" t="n">
        <v>45468.3509375</v>
      </c>
      <c r="C210" s="1" t="n">
        <v>45930</v>
      </c>
      <c r="D210" t="inlineStr">
        <is>
          <t>DALARNAS LÄN</t>
        </is>
      </c>
      <c r="E210" t="inlineStr">
        <is>
          <t>LEKSAND</t>
        </is>
      </c>
      <c r="F210" t="inlineStr">
        <is>
          <t>Övriga statliga verk och myndigheter</t>
        </is>
      </c>
      <c r="G210" t="n">
        <v>6.4</v>
      </c>
      <c r="H210" t="n">
        <v>0</v>
      </c>
      <c r="I210" t="n">
        <v>0</v>
      </c>
      <c r="J210" t="n">
        <v>0</v>
      </c>
      <c r="K210" t="n">
        <v>0</v>
      </c>
      <c r="L210" t="n">
        <v>0</v>
      </c>
      <c r="M210" t="n">
        <v>0</v>
      </c>
      <c r="N210" t="n">
        <v>0</v>
      </c>
      <c r="O210" t="n">
        <v>0</v>
      </c>
      <c r="P210" t="n">
        <v>0</v>
      </c>
      <c r="Q210" t="n">
        <v>0</v>
      </c>
      <c r="R210" s="2" t="inlineStr"/>
    </row>
    <row r="211" ht="15" customHeight="1">
      <c r="A211" t="inlineStr">
        <is>
          <t>A 34585-2024</t>
        </is>
      </c>
      <c r="B211" s="1" t="n">
        <v>45526.37697916666</v>
      </c>
      <c r="C211" s="1" t="n">
        <v>45930</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41046-2024</t>
        </is>
      </c>
      <c r="B212" s="1" t="n">
        <v>45559.36677083333</v>
      </c>
      <c r="C212" s="1" t="n">
        <v>45930</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27317-2021</t>
        </is>
      </c>
      <c r="B213" s="1" t="n">
        <v>44351</v>
      </c>
      <c r="C213" s="1" t="n">
        <v>45930</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36020-2025</t>
        </is>
      </c>
      <c r="B214" s="1" t="n">
        <v>45863</v>
      </c>
      <c r="C214" s="1" t="n">
        <v>45930</v>
      </c>
      <c r="D214" t="inlineStr">
        <is>
          <t>DALARNAS LÄN</t>
        </is>
      </c>
      <c r="E214" t="inlineStr">
        <is>
          <t>LEKSAND</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56016-2024</t>
        </is>
      </c>
      <c r="B215" s="1" t="n">
        <v>45623.87737268519</v>
      </c>
      <c r="C215" s="1" t="n">
        <v>45930</v>
      </c>
      <c r="D215" t="inlineStr">
        <is>
          <t>DALARNAS LÄN</t>
        </is>
      </c>
      <c r="E215" t="inlineStr">
        <is>
          <t>LEKSAND</t>
        </is>
      </c>
      <c r="G215" t="n">
        <v>6.1</v>
      </c>
      <c r="H215" t="n">
        <v>0</v>
      </c>
      <c r="I215" t="n">
        <v>0</v>
      </c>
      <c r="J215" t="n">
        <v>0</v>
      </c>
      <c r="K215" t="n">
        <v>0</v>
      </c>
      <c r="L215" t="n">
        <v>0</v>
      </c>
      <c r="M215" t="n">
        <v>0</v>
      </c>
      <c r="N215" t="n">
        <v>0</v>
      </c>
      <c r="O215" t="n">
        <v>0</v>
      </c>
      <c r="P215" t="n">
        <v>0</v>
      </c>
      <c r="Q215" t="n">
        <v>0</v>
      </c>
      <c r="R215" s="2" t="inlineStr"/>
    </row>
    <row r="216" ht="15" customHeight="1">
      <c r="A216" t="inlineStr">
        <is>
          <t>A 63514-2023</t>
        </is>
      </c>
      <c r="B216" s="1" t="n">
        <v>45274</v>
      </c>
      <c r="C216" s="1" t="n">
        <v>45930</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36017-2025</t>
        </is>
      </c>
      <c r="B217" s="1" t="n">
        <v>45863</v>
      </c>
      <c r="C217" s="1" t="n">
        <v>45930</v>
      </c>
      <c r="D217" t="inlineStr">
        <is>
          <t>DALARNAS LÄN</t>
        </is>
      </c>
      <c r="E217" t="inlineStr">
        <is>
          <t>LEKSAND</t>
        </is>
      </c>
      <c r="F217" t="inlineStr">
        <is>
          <t>Bergvik skog väst AB</t>
        </is>
      </c>
      <c r="G217" t="n">
        <v>17.9</v>
      </c>
      <c r="H217" t="n">
        <v>0</v>
      </c>
      <c r="I217" t="n">
        <v>0</v>
      </c>
      <c r="J217" t="n">
        <v>0</v>
      </c>
      <c r="K217" t="n">
        <v>0</v>
      </c>
      <c r="L217" t="n">
        <v>0</v>
      </c>
      <c r="M217" t="n">
        <v>0</v>
      </c>
      <c r="N217" t="n">
        <v>0</v>
      </c>
      <c r="O217" t="n">
        <v>0</v>
      </c>
      <c r="P217" t="n">
        <v>0</v>
      </c>
      <c r="Q217" t="n">
        <v>0</v>
      </c>
      <c r="R217" s="2" t="inlineStr"/>
    </row>
    <row r="218" ht="15" customHeight="1">
      <c r="A218" t="inlineStr">
        <is>
          <t>A 61055-2023</t>
        </is>
      </c>
      <c r="B218" s="1" t="n">
        <v>45261</v>
      </c>
      <c r="C218" s="1" t="n">
        <v>45930</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10743-2024</t>
        </is>
      </c>
      <c r="B219" s="1" t="n">
        <v>45369.52167824074</v>
      </c>
      <c r="C219" s="1" t="n">
        <v>45930</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36190-2025</t>
        </is>
      </c>
      <c r="B220" s="1" t="n">
        <v>45867</v>
      </c>
      <c r="C220" s="1" t="n">
        <v>45930</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43158-2025</t>
        </is>
      </c>
      <c r="B221" s="1" t="n">
        <v>45910.35496527778</v>
      </c>
      <c r="C221" s="1" t="n">
        <v>45930</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55926-2024</t>
        </is>
      </c>
      <c r="B222" s="1" t="n">
        <v>45623.601875</v>
      </c>
      <c r="C222" s="1" t="n">
        <v>45930</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16293-2025</t>
        </is>
      </c>
      <c r="B223" s="1" t="n">
        <v>45751.33447916667</v>
      </c>
      <c r="C223" s="1" t="n">
        <v>45930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51860-2024</t>
        </is>
      </c>
      <c r="B224" s="1" t="n">
        <v>45607.54511574074</v>
      </c>
      <c r="C224" s="1" t="n">
        <v>45930</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43195-2025</t>
        </is>
      </c>
      <c r="B225" s="1" t="n">
        <v>45910.4294212963</v>
      </c>
      <c r="C225" s="1" t="n">
        <v>45930</v>
      </c>
      <c r="D225" t="inlineStr">
        <is>
          <t>DALARNAS LÄN</t>
        </is>
      </c>
      <c r="E225" t="inlineStr">
        <is>
          <t>LEKSAND</t>
        </is>
      </c>
      <c r="G225" t="n">
        <v>2.5</v>
      </c>
      <c r="H225" t="n">
        <v>0</v>
      </c>
      <c r="I225" t="n">
        <v>0</v>
      </c>
      <c r="J225" t="n">
        <v>0</v>
      </c>
      <c r="K225" t="n">
        <v>0</v>
      </c>
      <c r="L225" t="n">
        <v>0</v>
      </c>
      <c r="M225" t="n">
        <v>0</v>
      </c>
      <c r="N225" t="n">
        <v>0</v>
      </c>
      <c r="O225" t="n">
        <v>0</v>
      </c>
      <c r="P225" t="n">
        <v>0</v>
      </c>
      <c r="Q225" t="n">
        <v>0</v>
      </c>
      <c r="R225" s="2" t="inlineStr"/>
    </row>
    <row r="226" ht="15" customHeight="1">
      <c r="A226" t="inlineStr">
        <is>
          <t>A 12363-2023</t>
        </is>
      </c>
      <c r="B226" s="1" t="n">
        <v>44998</v>
      </c>
      <c r="C226" s="1" t="n">
        <v>45930</v>
      </c>
      <c r="D226" t="inlineStr">
        <is>
          <t>DALARNAS LÄN</t>
        </is>
      </c>
      <c r="E226" t="inlineStr">
        <is>
          <t>LEKSAND</t>
        </is>
      </c>
      <c r="G226" t="n">
        <v>10</v>
      </c>
      <c r="H226" t="n">
        <v>0</v>
      </c>
      <c r="I226" t="n">
        <v>0</v>
      </c>
      <c r="J226" t="n">
        <v>0</v>
      </c>
      <c r="K226" t="n">
        <v>0</v>
      </c>
      <c r="L226" t="n">
        <v>0</v>
      </c>
      <c r="M226" t="n">
        <v>0</v>
      </c>
      <c r="N226" t="n">
        <v>0</v>
      </c>
      <c r="O226" t="n">
        <v>0</v>
      </c>
      <c r="P226" t="n">
        <v>0</v>
      </c>
      <c r="Q226" t="n">
        <v>0</v>
      </c>
      <c r="R226" s="2" t="inlineStr"/>
    </row>
    <row r="227" ht="15" customHeight="1">
      <c r="A227" t="inlineStr">
        <is>
          <t>A 7928-2023</t>
        </is>
      </c>
      <c r="B227" s="1" t="n">
        <v>44973</v>
      </c>
      <c r="C227" s="1" t="n">
        <v>45930</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10367-2023</t>
        </is>
      </c>
      <c r="B228" s="1" t="n">
        <v>44987</v>
      </c>
      <c r="C228" s="1" t="n">
        <v>45930</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30860-2024</t>
        </is>
      </c>
      <c r="B229" s="1" t="n">
        <v>45497.69108796296</v>
      </c>
      <c r="C229" s="1" t="n">
        <v>45930</v>
      </c>
      <c r="D229" t="inlineStr">
        <is>
          <t>DALARNAS LÄN</t>
        </is>
      </c>
      <c r="E229" t="inlineStr">
        <is>
          <t>LEKSAND</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30864-2024</t>
        </is>
      </c>
      <c r="B230" s="1" t="n">
        <v>45497.71550925926</v>
      </c>
      <c r="C230" s="1" t="n">
        <v>45930</v>
      </c>
      <c r="D230" t="inlineStr">
        <is>
          <t>DALARNAS LÄN</t>
        </is>
      </c>
      <c r="E230" t="inlineStr">
        <is>
          <t>LEKSAND</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36540-2025</t>
        </is>
      </c>
      <c r="B231" s="1" t="n">
        <v>45869.63885416667</v>
      </c>
      <c r="C231" s="1" t="n">
        <v>45930</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43781-2025</t>
        </is>
      </c>
      <c r="B232" s="1" t="n">
        <v>45912.52229166667</v>
      </c>
      <c r="C232" s="1" t="n">
        <v>45930</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1946-2024</t>
        </is>
      </c>
      <c r="B233" s="1" t="n">
        <v>45308</v>
      </c>
      <c r="C233" s="1" t="n">
        <v>45930</v>
      </c>
      <c r="D233" t="inlineStr">
        <is>
          <t>DALARNAS LÄN</t>
        </is>
      </c>
      <c r="E233" t="inlineStr">
        <is>
          <t>LEKSAND</t>
        </is>
      </c>
      <c r="G233" t="n">
        <v>2.3</v>
      </c>
      <c r="H233" t="n">
        <v>0</v>
      </c>
      <c r="I233" t="n">
        <v>0</v>
      </c>
      <c r="J233" t="n">
        <v>0</v>
      </c>
      <c r="K233" t="n">
        <v>0</v>
      </c>
      <c r="L233" t="n">
        <v>0</v>
      </c>
      <c r="M233" t="n">
        <v>0</v>
      </c>
      <c r="N233" t="n">
        <v>0</v>
      </c>
      <c r="O233" t="n">
        <v>0</v>
      </c>
      <c r="P233" t="n">
        <v>0</v>
      </c>
      <c r="Q233" t="n">
        <v>0</v>
      </c>
      <c r="R233" s="2" t="inlineStr"/>
    </row>
    <row r="234" ht="15" customHeight="1">
      <c r="A234" t="inlineStr">
        <is>
          <t>A 43607-2025</t>
        </is>
      </c>
      <c r="B234" s="1" t="n">
        <v>45911.66873842593</v>
      </c>
      <c r="C234" s="1" t="n">
        <v>45930</v>
      </c>
      <c r="D234" t="inlineStr">
        <is>
          <t>DALARNAS LÄN</t>
        </is>
      </c>
      <c r="E234" t="inlineStr">
        <is>
          <t>LEKSAND</t>
        </is>
      </c>
      <c r="G234" t="n">
        <v>7.3</v>
      </c>
      <c r="H234" t="n">
        <v>0</v>
      </c>
      <c r="I234" t="n">
        <v>0</v>
      </c>
      <c r="J234" t="n">
        <v>0</v>
      </c>
      <c r="K234" t="n">
        <v>0</v>
      </c>
      <c r="L234" t="n">
        <v>0</v>
      </c>
      <c r="M234" t="n">
        <v>0</v>
      </c>
      <c r="N234" t="n">
        <v>0</v>
      </c>
      <c r="O234" t="n">
        <v>0</v>
      </c>
      <c r="P234" t="n">
        <v>0</v>
      </c>
      <c r="Q234" t="n">
        <v>0</v>
      </c>
      <c r="R234" s="2" t="inlineStr"/>
    </row>
    <row r="235" ht="15" customHeight="1">
      <c r="A235" t="inlineStr">
        <is>
          <t>A 43628-2025</t>
        </is>
      </c>
      <c r="B235" s="1" t="n">
        <v>45911.70060185185</v>
      </c>
      <c r="C235" s="1" t="n">
        <v>45930</v>
      </c>
      <c r="D235" t="inlineStr">
        <is>
          <t>DALARNAS LÄN</t>
        </is>
      </c>
      <c r="E235" t="inlineStr">
        <is>
          <t>LEKSAND</t>
        </is>
      </c>
      <c r="G235" t="n">
        <v>1.4</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45015.6196412037</v>
      </c>
      <c r="C236" s="1" t="n">
        <v>45930</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43875-2025</t>
        </is>
      </c>
      <c r="B237" s="1" t="n">
        <v>45912.67685185185</v>
      </c>
      <c r="C237" s="1" t="n">
        <v>45930</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5582-2024</t>
        </is>
      </c>
      <c r="B238" s="1" t="n">
        <v>45334</v>
      </c>
      <c r="C238" s="1" t="n">
        <v>45930</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5584-2024</t>
        </is>
      </c>
      <c r="B239" s="1" t="n">
        <v>45334</v>
      </c>
      <c r="C239" s="1" t="n">
        <v>45930</v>
      </c>
      <c r="D239" t="inlineStr">
        <is>
          <t>DALARNAS LÄN</t>
        </is>
      </c>
      <c r="E239" t="inlineStr">
        <is>
          <t>LEKSAND</t>
        </is>
      </c>
      <c r="F239" t="inlineStr">
        <is>
          <t>Kyrkan</t>
        </is>
      </c>
      <c r="G239" t="n">
        <v>0.4</v>
      </c>
      <c r="H239" t="n">
        <v>0</v>
      </c>
      <c r="I239" t="n">
        <v>0</v>
      </c>
      <c r="J239" t="n">
        <v>0</v>
      </c>
      <c r="K239" t="n">
        <v>0</v>
      </c>
      <c r="L239" t="n">
        <v>0</v>
      </c>
      <c r="M239" t="n">
        <v>0</v>
      </c>
      <c r="N239" t="n">
        <v>0</v>
      </c>
      <c r="O239" t="n">
        <v>0</v>
      </c>
      <c r="P239" t="n">
        <v>0</v>
      </c>
      <c r="Q239" t="n">
        <v>0</v>
      </c>
      <c r="R239" s="2" t="inlineStr"/>
    </row>
    <row r="240" ht="15" customHeight="1">
      <c r="A240" t="inlineStr">
        <is>
          <t>A 59763-2023</t>
        </is>
      </c>
      <c r="B240" s="1" t="n">
        <v>45257</v>
      </c>
      <c r="C240" s="1" t="n">
        <v>45930</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40752-2024</t>
        </is>
      </c>
      <c r="B241" s="1" t="n">
        <v>45558.45638888889</v>
      </c>
      <c r="C241" s="1" t="n">
        <v>45930</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23323-2023</t>
        </is>
      </c>
      <c r="B242" s="1" t="n">
        <v>45076</v>
      </c>
      <c r="C242" s="1" t="n">
        <v>45930</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10299-2024</t>
        </is>
      </c>
      <c r="B243" s="1" t="n">
        <v>45365.50425925926</v>
      </c>
      <c r="C243" s="1" t="n">
        <v>45930</v>
      </c>
      <c r="D243" t="inlineStr">
        <is>
          <t>DALARNAS LÄN</t>
        </is>
      </c>
      <c r="E243" t="inlineStr">
        <is>
          <t>LEKSAND</t>
        </is>
      </c>
      <c r="G243" t="n">
        <v>3.6</v>
      </c>
      <c r="H243" t="n">
        <v>0</v>
      </c>
      <c r="I243" t="n">
        <v>0</v>
      </c>
      <c r="J243" t="n">
        <v>0</v>
      </c>
      <c r="K243" t="n">
        <v>0</v>
      </c>
      <c r="L243" t="n">
        <v>0</v>
      </c>
      <c r="M243" t="n">
        <v>0</v>
      </c>
      <c r="N243" t="n">
        <v>0</v>
      </c>
      <c r="O243" t="n">
        <v>0</v>
      </c>
      <c r="P243" t="n">
        <v>0</v>
      </c>
      <c r="Q243" t="n">
        <v>0</v>
      </c>
      <c r="R243" s="2" t="inlineStr"/>
    </row>
    <row r="244" ht="15" customHeight="1">
      <c r="A244" t="inlineStr">
        <is>
          <t>A 58244-2024</t>
        </is>
      </c>
      <c r="B244" s="1" t="n">
        <v>45631</v>
      </c>
      <c r="C244" s="1" t="n">
        <v>45930</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62161-2024</t>
        </is>
      </c>
      <c r="B245" s="1" t="n">
        <v>45656.86009259259</v>
      </c>
      <c r="C245" s="1" t="n">
        <v>45930</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55643-2024</t>
        </is>
      </c>
      <c r="B246" s="1" t="n">
        <v>45621</v>
      </c>
      <c r="C246" s="1" t="n">
        <v>45930</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43630-2025</t>
        </is>
      </c>
      <c r="B247" s="1" t="n">
        <v>45911.70278935185</v>
      </c>
      <c r="C247" s="1" t="n">
        <v>45930</v>
      </c>
      <c r="D247" t="inlineStr">
        <is>
          <t>DALARNAS LÄN</t>
        </is>
      </c>
      <c r="E247" t="inlineStr">
        <is>
          <t>LEKSAND</t>
        </is>
      </c>
      <c r="G247" t="n">
        <v>4.7</v>
      </c>
      <c r="H247" t="n">
        <v>0</v>
      </c>
      <c r="I247" t="n">
        <v>0</v>
      </c>
      <c r="J247" t="n">
        <v>0</v>
      </c>
      <c r="K247" t="n">
        <v>0</v>
      </c>
      <c r="L247" t="n">
        <v>0</v>
      </c>
      <c r="M247" t="n">
        <v>0</v>
      </c>
      <c r="N247" t="n">
        <v>0</v>
      </c>
      <c r="O247" t="n">
        <v>0</v>
      </c>
      <c r="P247" t="n">
        <v>0</v>
      </c>
      <c r="Q247" t="n">
        <v>0</v>
      </c>
      <c r="R247" s="2" t="inlineStr"/>
    </row>
    <row r="248" ht="15" customHeight="1">
      <c r="A248" t="inlineStr">
        <is>
          <t>A 41308-2025</t>
        </is>
      </c>
      <c r="B248" s="1" t="n">
        <v>45898</v>
      </c>
      <c r="C248" s="1" t="n">
        <v>45930</v>
      </c>
      <c r="D248" t="inlineStr">
        <is>
          <t>DALARNAS LÄN</t>
        </is>
      </c>
      <c r="E248" t="inlineStr">
        <is>
          <t>LEKSAND</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43629-2025</t>
        </is>
      </c>
      <c r="B249" s="1" t="n">
        <v>45911.70180555555</v>
      </c>
      <c r="C249" s="1" t="n">
        <v>45930</v>
      </c>
      <c r="D249" t="inlineStr">
        <is>
          <t>DALARNAS LÄN</t>
        </is>
      </c>
      <c r="E249" t="inlineStr">
        <is>
          <t>LEKSAND</t>
        </is>
      </c>
      <c r="G249" t="n">
        <v>2.1</v>
      </c>
      <c r="H249" t="n">
        <v>0</v>
      </c>
      <c r="I249" t="n">
        <v>0</v>
      </c>
      <c r="J249" t="n">
        <v>0</v>
      </c>
      <c r="K249" t="n">
        <v>0</v>
      </c>
      <c r="L249" t="n">
        <v>0</v>
      </c>
      <c r="M249" t="n">
        <v>0</v>
      </c>
      <c r="N249" t="n">
        <v>0</v>
      </c>
      <c r="O249" t="n">
        <v>0</v>
      </c>
      <c r="P249" t="n">
        <v>0</v>
      </c>
      <c r="Q249" t="n">
        <v>0</v>
      </c>
      <c r="R249" s="2" t="inlineStr"/>
    </row>
    <row r="250" ht="15" customHeight="1">
      <c r="A250" t="inlineStr">
        <is>
          <t>A 11606-2025</t>
        </is>
      </c>
      <c r="B250" s="1" t="n">
        <v>45727</v>
      </c>
      <c r="C250" s="1" t="n">
        <v>45930</v>
      </c>
      <c r="D250" t="inlineStr">
        <is>
          <t>DALARNAS LÄN</t>
        </is>
      </c>
      <c r="E250" t="inlineStr">
        <is>
          <t>LEKSAND</t>
        </is>
      </c>
      <c r="G250" t="n">
        <v>2.3</v>
      </c>
      <c r="H250" t="n">
        <v>0</v>
      </c>
      <c r="I250" t="n">
        <v>0</v>
      </c>
      <c r="J250" t="n">
        <v>0</v>
      </c>
      <c r="K250" t="n">
        <v>0</v>
      </c>
      <c r="L250" t="n">
        <v>0</v>
      </c>
      <c r="M250" t="n">
        <v>0</v>
      </c>
      <c r="N250" t="n">
        <v>0</v>
      </c>
      <c r="O250" t="n">
        <v>0</v>
      </c>
      <c r="P250" t="n">
        <v>0</v>
      </c>
      <c r="Q250" t="n">
        <v>0</v>
      </c>
      <c r="R250" s="2" t="inlineStr"/>
    </row>
    <row r="251" ht="15" customHeight="1">
      <c r="A251" t="inlineStr">
        <is>
          <t>A 17533-2023</t>
        </is>
      </c>
      <c r="B251" s="1" t="n">
        <v>45036</v>
      </c>
      <c r="C251" s="1" t="n">
        <v>45930</v>
      </c>
      <c r="D251" t="inlineStr">
        <is>
          <t>DALARNAS LÄN</t>
        </is>
      </c>
      <c r="E251" t="inlineStr">
        <is>
          <t>LEKSAND</t>
        </is>
      </c>
      <c r="G251" t="n">
        <v>3</v>
      </c>
      <c r="H251" t="n">
        <v>0</v>
      </c>
      <c r="I251" t="n">
        <v>0</v>
      </c>
      <c r="J251" t="n">
        <v>0</v>
      </c>
      <c r="K251" t="n">
        <v>0</v>
      </c>
      <c r="L251" t="n">
        <v>0</v>
      </c>
      <c r="M251" t="n">
        <v>0</v>
      </c>
      <c r="N251" t="n">
        <v>0</v>
      </c>
      <c r="O251" t="n">
        <v>0</v>
      </c>
      <c r="P251" t="n">
        <v>0</v>
      </c>
      <c r="Q251" t="n">
        <v>0</v>
      </c>
      <c r="R251" s="2" t="inlineStr"/>
    </row>
    <row r="252" ht="15" customHeight="1">
      <c r="A252" t="inlineStr">
        <is>
          <t>A 60129-2023</t>
        </is>
      </c>
      <c r="B252" s="1" t="n">
        <v>45258.49056712963</v>
      </c>
      <c r="C252" s="1" t="n">
        <v>45930</v>
      </c>
      <c r="D252" t="inlineStr">
        <is>
          <t>DALARNAS LÄN</t>
        </is>
      </c>
      <c r="E252" t="inlineStr">
        <is>
          <t>LEKSAND</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21954-2023</t>
        </is>
      </c>
      <c r="B253" s="1" t="n">
        <v>45068</v>
      </c>
      <c r="C253" s="1" t="n">
        <v>45930</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164-2023</t>
        </is>
      </c>
      <c r="B254" s="1" t="n">
        <v>44918</v>
      </c>
      <c r="C254" s="1" t="n">
        <v>45930</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49397-2024</t>
        </is>
      </c>
      <c r="B255" s="1" t="n">
        <v>45595</v>
      </c>
      <c r="C255" s="1" t="n">
        <v>45930</v>
      </c>
      <c r="D255" t="inlineStr">
        <is>
          <t>DALARNAS LÄN</t>
        </is>
      </c>
      <c r="E255" t="inlineStr">
        <is>
          <t>LEKSAND</t>
        </is>
      </c>
      <c r="G255" t="n">
        <v>4.3</v>
      </c>
      <c r="H255" t="n">
        <v>0</v>
      </c>
      <c r="I255" t="n">
        <v>0</v>
      </c>
      <c r="J255" t="n">
        <v>0</v>
      </c>
      <c r="K255" t="n">
        <v>0</v>
      </c>
      <c r="L255" t="n">
        <v>0</v>
      </c>
      <c r="M255" t="n">
        <v>0</v>
      </c>
      <c r="N255" t="n">
        <v>0</v>
      </c>
      <c r="O255" t="n">
        <v>0</v>
      </c>
      <c r="P255" t="n">
        <v>0</v>
      </c>
      <c r="Q255" t="n">
        <v>0</v>
      </c>
      <c r="R255" s="2" t="inlineStr"/>
    </row>
    <row r="256" ht="15" customHeight="1">
      <c r="A256" t="inlineStr">
        <is>
          <t>A 16137-2023</t>
        </is>
      </c>
      <c r="B256" s="1" t="n">
        <v>45027</v>
      </c>
      <c r="C256" s="1" t="n">
        <v>45930</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44516-2025</t>
        </is>
      </c>
      <c r="B257" s="1" t="n">
        <v>45916.70982638889</v>
      </c>
      <c r="C257" s="1" t="n">
        <v>45930</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8743-2023</t>
        </is>
      </c>
      <c r="B258" s="1" t="n">
        <v>44978</v>
      </c>
      <c r="C258" s="1" t="n">
        <v>45930</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56283-2024</t>
        </is>
      </c>
      <c r="B259" s="1" t="n">
        <v>45624.67864583333</v>
      </c>
      <c r="C259" s="1" t="n">
        <v>45930</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56299-2024</t>
        </is>
      </c>
      <c r="B260" s="1" t="n">
        <v>45624.68607638889</v>
      </c>
      <c r="C260" s="1" t="n">
        <v>45930</v>
      </c>
      <c r="D260" t="inlineStr">
        <is>
          <t>DALARNAS LÄN</t>
        </is>
      </c>
      <c r="E260" t="inlineStr">
        <is>
          <t>LEKSAND</t>
        </is>
      </c>
      <c r="G260" t="n">
        <v>1.6</v>
      </c>
      <c r="H260" t="n">
        <v>0</v>
      </c>
      <c r="I260" t="n">
        <v>0</v>
      </c>
      <c r="J260" t="n">
        <v>0</v>
      </c>
      <c r="K260" t="n">
        <v>0</v>
      </c>
      <c r="L260" t="n">
        <v>0</v>
      </c>
      <c r="M260" t="n">
        <v>0</v>
      </c>
      <c r="N260" t="n">
        <v>0</v>
      </c>
      <c r="O260" t="n">
        <v>0</v>
      </c>
      <c r="P260" t="n">
        <v>0</v>
      </c>
      <c r="Q260" t="n">
        <v>0</v>
      </c>
      <c r="R260" s="2" t="inlineStr"/>
    </row>
    <row r="261" ht="15" customHeight="1">
      <c r="A261" t="inlineStr">
        <is>
          <t>A 51677-2024</t>
        </is>
      </c>
      <c r="B261" s="1" t="n">
        <v>45607.30265046296</v>
      </c>
      <c r="C261" s="1" t="n">
        <v>45930</v>
      </c>
      <c r="D261" t="inlineStr">
        <is>
          <t>DALARNAS LÄN</t>
        </is>
      </c>
      <c r="E261" t="inlineStr">
        <is>
          <t>LEKSAND</t>
        </is>
      </c>
      <c r="G261" t="n">
        <v>3.4</v>
      </c>
      <c r="H261" t="n">
        <v>0</v>
      </c>
      <c r="I261" t="n">
        <v>0</v>
      </c>
      <c r="J261" t="n">
        <v>0</v>
      </c>
      <c r="K261" t="n">
        <v>0</v>
      </c>
      <c r="L261" t="n">
        <v>0</v>
      </c>
      <c r="M261" t="n">
        <v>0</v>
      </c>
      <c r="N261" t="n">
        <v>0</v>
      </c>
      <c r="O261" t="n">
        <v>0</v>
      </c>
      <c r="P261" t="n">
        <v>0</v>
      </c>
      <c r="Q261" t="n">
        <v>0</v>
      </c>
      <c r="R261" s="2" t="inlineStr"/>
    </row>
    <row r="262" ht="15" customHeight="1">
      <c r="A262" t="inlineStr">
        <is>
          <t>A 44519-2025</t>
        </is>
      </c>
      <c r="B262" s="1" t="n">
        <v>45916.71483796297</v>
      </c>
      <c r="C262" s="1" t="n">
        <v>45930</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63544-2023</t>
        </is>
      </c>
      <c r="B263" s="1" t="n">
        <v>45275</v>
      </c>
      <c r="C263" s="1" t="n">
        <v>45930</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6027-2025</t>
        </is>
      </c>
      <c r="B264" s="1" t="n">
        <v>45695</v>
      </c>
      <c r="C264" s="1" t="n">
        <v>45930</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44237-2025</t>
        </is>
      </c>
      <c r="B265" s="1" t="n">
        <v>45915.6677199074</v>
      </c>
      <c r="C265" s="1" t="n">
        <v>45930</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53717-2023</t>
        </is>
      </c>
      <c r="B266" s="1" t="n">
        <v>45230</v>
      </c>
      <c r="C266" s="1" t="n">
        <v>45930</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43470-2024</t>
        </is>
      </c>
      <c r="B267" s="1" t="n">
        <v>45568</v>
      </c>
      <c r="C267" s="1" t="n">
        <v>45930</v>
      </c>
      <c r="D267" t="inlineStr">
        <is>
          <t>DALARNAS LÄN</t>
        </is>
      </c>
      <c r="E267" t="inlineStr">
        <is>
          <t>LEKSAND</t>
        </is>
      </c>
      <c r="G267" t="n">
        <v>3.1</v>
      </c>
      <c r="H267" t="n">
        <v>0</v>
      </c>
      <c r="I267" t="n">
        <v>0</v>
      </c>
      <c r="J267" t="n">
        <v>0</v>
      </c>
      <c r="K267" t="n">
        <v>0</v>
      </c>
      <c r="L267" t="n">
        <v>0</v>
      </c>
      <c r="M267" t="n">
        <v>0</v>
      </c>
      <c r="N267" t="n">
        <v>0</v>
      </c>
      <c r="O267" t="n">
        <v>0</v>
      </c>
      <c r="P267" t="n">
        <v>0</v>
      </c>
      <c r="Q267" t="n">
        <v>0</v>
      </c>
      <c r="R267" s="2" t="inlineStr"/>
    </row>
    <row r="268" ht="15" customHeight="1">
      <c r="A268" t="inlineStr">
        <is>
          <t>A 43077-2024</t>
        </is>
      </c>
      <c r="B268" s="1" t="n">
        <v>45567.50030092592</v>
      </c>
      <c r="C268" s="1" t="n">
        <v>45930</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60873-2023</t>
        </is>
      </c>
      <c r="B269" s="1" t="n">
        <v>45261.03266203704</v>
      </c>
      <c r="C269" s="1" t="n">
        <v>45930</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54914-2024</t>
        </is>
      </c>
      <c r="B270" s="1" t="n">
        <v>45618.69380787037</v>
      </c>
      <c r="C270" s="1" t="n">
        <v>45930</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167-2023</t>
        </is>
      </c>
      <c r="B271" s="1" t="n">
        <v>44918</v>
      </c>
      <c r="C271" s="1" t="n">
        <v>45930</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56950-2024</t>
        </is>
      </c>
      <c r="B272" s="1" t="n">
        <v>45625</v>
      </c>
      <c r="C272" s="1" t="n">
        <v>45930</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44672-2025</t>
        </is>
      </c>
      <c r="B273" s="1" t="n">
        <v>45917.56780092593</v>
      </c>
      <c r="C273" s="1" t="n">
        <v>45930</v>
      </c>
      <c r="D273" t="inlineStr">
        <is>
          <t>DALARNAS LÄN</t>
        </is>
      </c>
      <c r="E273" t="inlineStr">
        <is>
          <t>LEKSAND</t>
        </is>
      </c>
      <c r="G273" t="n">
        <v>0.5</v>
      </c>
      <c r="H273" t="n">
        <v>0</v>
      </c>
      <c r="I273" t="n">
        <v>0</v>
      </c>
      <c r="J273" t="n">
        <v>0</v>
      </c>
      <c r="K273" t="n">
        <v>0</v>
      </c>
      <c r="L273" t="n">
        <v>0</v>
      </c>
      <c r="M273" t="n">
        <v>0</v>
      </c>
      <c r="N273" t="n">
        <v>0</v>
      </c>
      <c r="O273" t="n">
        <v>0</v>
      </c>
      <c r="P273" t="n">
        <v>0</v>
      </c>
      <c r="Q273" t="n">
        <v>0</v>
      </c>
      <c r="R273" s="2" t="inlineStr"/>
    </row>
    <row r="274" ht="15" customHeight="1">
      <c r="A274" t="inlineStr">
        <is>
          <t>A 24005-2024</t>
        </is>
      </c>
      <c r="B274" s="1" t="n">
        <v>45456.39239583333</v>
      </c>
      <c r="C274" s="1" t="n">
        <v>45930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1984-2025</t>
        </is>
      </c>
      <c r="B275" s="1" t="n">
        <v>45670</v>
      </c>
      <c r="C275" s="1" t="n">
        <v>45930</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59199-2024</t>
        </is>
      </c>
      <c r="B276" s="1" t="n">
        <v>45637</v>
      </c>
      <c r="C276" s="1" t="n">
        <v>45930</v>
      </c>
      <c r="D276" t="inlineStr">
        <is>
          <t>DALARNAS LÄN</t>
        </is>
      </c>
      <c r="E276" t="inlineStr">
        <is>
          <t>LEKSAND</t>
        </is>
      </c>
      <c r="G276" t="n">
        <v>5.4</v>
      </c>
      <c r="H276" t="n">
        <v>0</v>
      </c>
      <c r="I276" t="n">
        <v>0</v>
      </c>
      <c r="J276" t="n">
        <v>0</v>
      </c>
      <c r="K276" t="n">
        <v>0</v>
      </c>
      <c r="L276" t="n">
        <v>0</v>
      </c>
      <c r="M276" t="n">
        <v>0</v>
      </c>
      <c r="N276" t="n">
        <v>0</v>
      </c>
      <c r="O276" t="n">
        <v>0</v>
      </c>
      <c r="P276" t="n">
        <v>0</v>
      </c>
      <c r="Q276" t="n">
        <v>0</v>
      </c>
      <c r="R276" s="2" t="inlineStr"/>
    </row>
    <row r="277" ht="15" customHeight="1">
      <c r="A277" t="inlineStr">
        <is>
          <t>A 9938-2023</t>
        </is>
      </c>
      <c r="B277" s="1" t="n">
        <v>44985</v>
      </c>
      <c r="C277" s="1" t="n">
        <v>45930</v>
      </c>
      <c r="D277" t="inlineStr">
        <is>
          <t>DALARNAS LÄN</t>
        </is>
      </c>
      <c r="E277" t="inlineStr">
        <is>
          <t>LEKSAND</t>
        </is>
      </c>
      <c r="G277" t="n">
        <v>3.1</v>
      </c>
      <c r="H277" t="n">
        <v>0</v>
      </c>
      <c r="I277" t="n">
        <v>0</v>
      </c>
      <c r="J277" t="n">
        <v>0</v>
      </c>
      <c r="K277" t="n">
        <v>0</v>
      </c>
      <c r="L277" t="n">
        <v>0</v>
      </c>
      <c r="M277" t="n">
        <v>0</v>
      </c>
      <c r="N277" t="n">
        <v>0</v>
      </c>
      <c r="O277" t="n">
        <v>0</v>
      </c>
      <c r="P277" t="n">
        <v>0</v>
      </c>
      <c r="Q277" t="n">
        <v>0</v>
      </c>
      <c r="R277" s="2" t="inlineStr"/>
    </row>
    <row r="278" ht="15" customHeight="1">
      <c r="A278" t="inlineStr">
        <is>
          <t>A 28032-2024</t>
        </is>
      </c>
      <c r="B278" s="1" t="n">
        <v>45476.49346064815</v>
      </c>
      <c r="C278" s="1" t="n">
        <v>45930</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33310-2023</t>
        </is>
      </c>
      <c r="B279" s="1" t="n">
        <v>45127.82231481482</v>
      </c>
      <c r="C279" s="1" t="n">
        <v>45930</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19550-2023</t>
        </is>
      </c>
      <c r="B280" s="1" t="n">
        <v>45049</v>
      </c>
      <c r="C280" s="1" t="n">
        <v>45930</v>
      </c>
      <c r="D280" t="inlineStr">
        <is>
          <t>DALARNAS LÄN</t>
        </is>
      </c>
      <c r="E280" t="inlineStr">
        <is>
          <t>LEKSAND</t>
        </is>
      </c>
      <c r="G280" t="n">
        <v>1.1</v>
      </c>
      <c r="H280" t="n">
        <v>0</v>
      </c>
      <c r="I280" t="n">
        <v>0</v>
      </c>
      <c r="J280" t="n">
        <v>0</v>
      </c>
      <c r="K280" t="n">
        <v>0</v>
      </c>
      <c r="L280" t="n">
        <v>0</v>
      </c>
      <c r="M280" t="n">
        <v>0</v>
      </c>
      <c r="N280" t="n">
        <v>0</v>
      </c>
      <c r="O280" t="n">
        <v>0</v>
      </c>
      <c r="P280" t="n">
        <v>0</v>
      </c>
      <c r="Q280" t="n">
        <v>0</v>
      </c>
      <c r="R280" s="2" t="inlineStr"/>
    </row>
    <row r="281" ht="15" customHeight="1">
      <c r="A281" t="inlineStr">
        <is>
          <t>A 57899-2024</t>
        </is>
      </c>
      <c r="B281" s="1" t="n">
        <v>45630</v>
      </c>
      <c r="C281" s="1" t="n">
        <v>45930</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33593-2024</t>
        </is>
      </c>
      <c r="B282" s="1" t="n">
        <v>45520.36055555556</v>
      </c>
      <c r="C282" s="1" t="n">
        <v>45930</v>
      </c>
      <c r="D282" t="inlineStr">
        <is>
          <t>DALARNAS LÄN</t>
        </is>
      </c>
      <c r="E282" t="inlineStr">
        <is>
          <t>LEKSAND</t>
        </is>
      </c>
      <c r="G282" t="n">
        <v>0.3</v>
      </c>
      <c r="H282" t="n">
        <v>0</v>
      </c>
      <c r="I282" t="n">
        <v>0</v>
      </c>
      <c r="J282" t="n">
        <v>0</v>
      </c>
      <c r="K282" t="n">
        <v>0</v>
      </c>
      <c r="L282" t="n">
        <v>0</v>
      </c>
      <c r="M282" t="n">
        <v>0</v>
      </c>
      <c r="N282" t="n">
        <v>0</v>
      </c>
      <c r="O282" t="n">
        <v>0</v>
      </c>
      <c r="P282" t="n">
        <v>0</v>
      </c>
      <c r="Q282" t="n">
        <v>0</v>
      </c>
      <c r="R282" s="2" t="inlineStr"/>
    </row>
    <row r="283" ht="15" customHeight="1">
      <c r="A283" t="inlineStr">
        <is>
          <t>A 59103-2024</t>
        </is>
      </c>
      <c r="B283" s="1" t="n">
        <v>45637.34184027778</v>
      </c>
      <c r="C283" s="1" t="n">
        <v>45930</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11110-2023</t>
        </is>
      </c>
      <c r="B284" s="1" t="n">
        <v>44992</v>
      </c>
      <c r="C284" s="1" t="n">
        <v>45930</v>
      </c>
      <c r="D284" t="inlineStr">
        <is>
          <t>DALARNAS LÄN</t>
        </is>
      </c>
      <c r="E284" t="inlineStr">
        <is>
          <t>LEKSAND</t>
        </is>
      </c>
      <c r="G284" t="n">
        <v>11.2</v>
      </c>
      <c r="H284" t="n">
        <v>0</v>
      </c>
      <c r="I284" t="n">
        <v>0</v>
      </c>
      <c r="J284" t="n">
        <v>0</v>
      </c>
      <c r="K284" t="n">
        <v>0</v>
      </c>
      <c r="L284" t="n">
        <v>0</v>
      </c>
      <c r="M284" t="n">
        <v>0</v>
      </c>
      <c r="N284" t="n">
        <v>0</v>
      </c>
      <c r="O284" t="n">
        <v>0</v>
      </c>
      <c r="P284" t="n">
        <v>0</v>
      </c>
      <c r="Q284" t="n">
        <v>0</v>
      </c>
      <c r="R284" s="2" t="inlineStr"/>
    </row>
    <row r="285" ht="15" customHeight="1">
      <c r="A285" t="inlineStr">
        <is>
          <t>A 56753-2023</t>
        </is>
      </c>
      <c r="B285" s="1" t="n">
        <v>45244.37094907407</v>
      </c>
      <c r="C285" s="1" t="n">
        <v>45930</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45930</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70099-2021</t>
        </is>
      </c>
      <c r="B287" s="1" t="n">
        <v>44533</v>
      </c>
      <c r="C287" s="1" t="n">
        <v>45930</v>
      </c>
      <c r="D287" t="inlineStr">
        <is>
          <t>DALARNAS LÄN</t>
        </is>
      </c>
      <c r="E287" t="inlineStr">
        <is>
          <t>LEKSAND</t>
        </is>
      </c>
      <c r="G287" t="n">
        <v>2.8</v>
      </c>
      <c r="H287" t="n">
        <v>0</v>
      </c>
      <c r="I287" t="n">
        <v>0</v>
      </c>
      <c r="J287" t="n">
        <v>0</v>
      </c>
      <c r="K287" t="n">
        <v>0</v>
      </c>
      <c r="L287" t="n">
        <v>0</v>
      </c>
      <c r="M287" t="n">
        <v>0</v>
      </c>
      <c r="N287" t="n">
        <v>0</v>
      </c>
      <c r="O287" t="n">
        <v>0</v>
      </c>
      <c r="P287" t="n">
        <v>0</v>
      </c>
      <c r="Q287" t="n">
        <v>0</v>
      </c>
      <c r="R287" s="2" t="inlineStr"/>
    </row>
    <row r="288" ht="15" customHeight="1">
      <c r="A288" t="inlineStr">
        <is>
          <t>A 13401-2023</t>
        </is>
      </c>
      <c r="B288" s="1" t="n">
        <v>45005</v>
      </c>
      <c r="C288" s="1" t="n">
        <v>45930</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57933-2024</t>
        </is>
      </c>
      <c r="B289" s="1" t="n">
        <v>45630</v>
      </c>
      <c r="C289" s="1" t="n">
        <v>45930</v>
      </c>
      <c r="D289" t="inlineStr">
        <is>
          <t>DALARNAS LÄN</t>
        </is>
      </c>
      <c r="E289" t="inlineStr">
        <is>
          <t>LEKSAND</t>
        </is>
      </c>
      <c r="G289" t="n">
        <v>1.1</v>
      </c>
      <c r="H289" t="n">
        <v>0</v>
      </c>
      <c r="I289" t="n">
        <v>0</v>
      </c>
      <c r="J289" t="n">
        <v>0</v>
      </c>
      <c r="K289" t="n">
        <v>0</v>
      </c>
      <c r="L289" t="n">
        <v>0</v>
      </c>
      <c r="M289" t="n">
        <v>0</v>
      </c>
      <c r="N289" t="n">
        <v>0</v>
      </c>
      <c r="O289" t="n">
        <v>0</v>
      </c>
      <c r="P289" t="n">
        <v>0</v>
      </c>
      <c r="Q289" t="n">
        <v>0</v>
      </c>
      <c r="R289" s="2" t="inlineStr"/>
    </row>
    <row r="290" ht="15" customHeight="1">
      <c r="A290" t="inlineStr">
        <is>
          <t>A 60113-2022</t>
        </is>
      </c>
      <c r="B290" s="1" t="n">
        <v>44909</v>
      </c>
      <c r="C290" s="1" t="n">
        <v>45930</v>
      </c>
      <c r="D290" t="inlineStr">
        <is>
          <t>DALARNAS LÄN</t>
        </is>
      </c>
      <c r="E290" t="inlineStr">
        <is>
          <t>LEKSAND</t>
        </is>
      </c>
      <c r="G290" t="n">
        <v>3.7</v>
      </c>
      <c r="H290" t="n">
        <v>0</v>
      </c>
      <c r="I290" t="n">
        <v>0</v>
      </c>
      <c r="J290" t="n">
        <v>0</v>
      </c>
      <c r="K290" t="n">
        <v>0</v>
      </c>
      <c r="L290" t="n">
        <v>0</v>
      </c>
      <c r="M290" t="n">
        <v>0</v>
      </c>
      <c r="N290" t="n">
        <v>0</v>
      </c>
      <c r="O290" t="n">
        <v>0</v>
      </c>
      <c r="P290" t="n">
        <v>0</v>
      </c>
      <c r="Q290" t="n">
        <v>0</v>
      </c>
      <c r="R290" s="2" t="inlineStr"/>
    </row>
    <row r="291" ht="15" customHeight="1">
      <c r="A291" t="inlineStr">
        <is>
          <t>A 37508-2025</t>
        </is>
      </c>
      <c r="B291" s="1" t="n">
        <v>45877.66282407408</v>
      </c>
      <c r="C291" s="1" t="n">
        <v>45930</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15173-2025</t>
        </is>
      </c>
      <c r="B292" s="1" t="n">
        <v>45744.50858796296</v>
      </c>
      <c r="C292" s="1" t="n">
        <v>45930</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47203-2023</t>
        </is>
      </c>
      <c r="B293" s="1" t="n">
        <v>45202</v>
      </c>
      <c r="C293" s="1" t="n">
        <v>45930</v>
      </c>
      <c r="D293" t="inlineStr">
        <is>
          <t>DALARNAS LÄN</t>
        </is>
      </c>
      <c r="E293" t="inlineStr">
        <is>
          <t>LEKSAND</t>
        </is>
      </c>
      <c r="G293" t="n">
        <v>2.1</v>
      </c>
      <c r="H293" t="n">
        <v>0</v>
      </c>
      <c r="I293" t="n">
        <v>0</v>
      </c>
      <c r="J293" t="n">
        <v>0</v>
      </c>
      <c r="K293" t="n">
        <v>0</v>
      </c>
      <c r="L293" t="n">
        <v>0</v>
      </c>
      <c r="M293" t="n">
        <v>0</v>
      </c>
      <c r="N293" t="n">
        <v>0</v>
      </c>
      <c r="O293" t="n">
        <v>0</v>
      </c>
      <c r="P293" t="n">
        <v>0</v>
      </c>
      <c r="Q293" t="n">
        <v>0</v>
      </c>
      <c r="R293" s="2" t="inlineStr"/>
    </row>
    <row r="294" ht="15" customHeight="1">
      <c r="A294" t="inlineStr">
        <is>
          <t>A 30611-2023</t>
        </is>
      </c>
      <c r="B294" s="1" t="n">
        <v>45112</v>
      </c>
      <c r="C294" s="1" t="n">
        <v>45930</v>
      </c>
      <c r="D294" t="inlineStr">
        <is>
          <t>DALARNAS LÄN</t>
        </is>
      </c>
      <c r="E294" t="inlineStr">
        <is>
          <t>LEKSAND</t>
        </is>
      </c>
      <c r="G294" t="n">
        <v>3.1</v>
      </c>
      <c r="H294" t="n">
        <v>0</v>
      </c>
      <c r="I294" t="n">
        <v>0</v>
      </c>
      <c r="J294" t="n">
        <v>0</v>
      </c>
      <c r="K294" t="n">
        <v>0</v>
      </c>
      <c r="L294" t="n">
        <v>0</v>
      </c>
      <c r="M294" t="n">
        <v>0</v>
      </c>
      <c r="N294" t="n">
        <v>0</v>
      </c>
      <c r="O294" t="n">
        <v>0</v>
      </c>
      <c r="P294" t="n">
        <v>0</v>
      </c>
      <c r="Q294" t="n">
        <v>0</v>
      </c>
      <c r="R294" s="2" t="inlineStr"/>
    </row>
    <row r="295" ht="15" customHeight="1">
      <c r="A295" t="inlineStr">
        <is>
          <t>A 31254-2023</t>
        </is>
      </c>
      <c r="B295" s="1" t="n">
        <v>45114</v>
      </c>
      <c r="C295" s="1" t="n">
        <v>45930</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11403-2023</t>
        </is>
      </c>
      <c r="B296" s="1" t="n">
        <v>44993</v>
      </c>
      <c r="C296" s="1" t="n">
        <v>45930</v>
      </c>
      <c r="D296" t="inlineStr">
        <is>
          <t>DALARNAS LÄN</t>
        </is>
      </c>
      <c r="E296" t="inlineStr">
        <is>
          <t>LEKSAND</t>
        </is>
      </c>
      <c r="G296" t="n">
        <v>0.1</v>
      </c>
      <c r="H296" t="n">
        <v>0</v>
      </c>
      <c r="I296" t="n">
        <v>0</v>
      </c>
      <c r="J296" t="n">
        <v>0</v>
      </c>
      <c r="K296" t="n">
        <v>0</v>
      </c>
      <c r="L296" t="n">
        <v>0</v>
      </c>
      <c r="M296" t="n">
        <v>0</v>
      </c>
      <c r="N296" t="n">
        <v>0</v>
      </c>
      <c r="O296" t="n">
        <v>0</v>
      </c>
      <c r="P296" t="n">
        <v>0</v>
      </c>
      <c r="Q296" t="n">
        <v>0</v>
      </c>
      <c r="R296" s="2" t="inlineStr"/>
    </row>
    <row r="297" ht="15" customHeight="1">
      <c r="A297" t="inlineStr">
        <is>
          <t>A 62306-2023</t>
        </is>
      </c>
      <c r="B297" s="1" t="n">
        <v>45266</v>
      </c>
      <c r="C297" s="1" t="n">
        <v>45930</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9105-2024</t>
        </is>
      </c>
      <c r="B298" s="1" t="n">
        <v>45357</v>
      </c>
      <c r="C298" s="1" t="n">
        <v>45930</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22683-2022</t>
        </is>
      </c>
      <c r="B299" s="1" t="n">
        <v>44714</v>
      </c>
      <c r="C299" s="1" t="n">
        <v>45930</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52755-2024</t>
        </is>
      </c>
      <c r="B300" s="1" t="n">
        <v>45610.50217592593</v>
      </c>
      <c r="C300" s="1" t="n">
        <v>45930</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45930</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45930</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6846-2023</t>
        </is>
      </c>
      <c r="B303" s="1" t="n">
        <v>44967.43953703704</v>
      </c>
      <c r="C303" s="1" t="n">
        <v>45930</v>
      </c>
      <c r="D303" t="inlineStr">
        <is>
          <t>DALARNAS LÄN</t>
        </is>
      </c>
      <c r="E303" t="inlineStr">
        <is>
          <t>LEKSAND</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30175-2023</t>
        </is>
      </c>
      <c r="B304" s="1" t="n">
        <v>45110</v>
      </c>
      <c r="C304" s="1" t="n">
        <v>45930</v>
      </c>
      <c r="D304" t="inlineStr">
        <is>
          <t>DALARNAS LÄN</t>
        </is>
      </c>
      <c r="E304" t="inlineStr">
        <is>
          <t>LEKSAND</t>
        </is>
      </c>
      <c r="G304" t="n">
        <v>0.5</v>
      </c>
      <c r="H304" t="n">
        <v>0</v>
      </c>
      <c r="I304" t="n">
        <v>0</v>
      </c>
      <c r="J304" t="n">
        <v>0</v>
      </c>
      <c r="K304" t="n">
        <v>0</v>
      </c>
      <c r="L304" t="n">
        <v>0</v>
      </c>
      <c r="M304" t="n">
        <v>0</v>
      </c>
      <c r="N304" t="n">
        <v>0</v>
      </c>
      <c r="O304" t="n">
        <v>0</v>
      </c>
      <c r="P304" t="n">
        <v>0</v>
      </c>
      <c r="Q304" t="n">
        <v>0</v>
      </c>
      <c r="R304" s="2" t="inlineStr"/>
    </row>
    <row r="305" ht="15" customHeight="1">
      <c r="A305" t="inlineStr">
        <is>
          <t>A 28921-2023</t>
        </is>
      </c>
      <c r="B305" s="1" t="n">
        <v>45104</v>
      </c>
      <c r="C305" s="1" t="n">
        <v>45930</v>
      </c>
      <c r="D305" t="inlineStr">
        <is>
          <t>DALARNAS LÄN</t>
        </is>
      </c>
      <c r="E305" t="inlineStr">
        <is>
          <t>LEKSAND</t>
        </is>
      </c>
      <c r="G305" t="n">
        <v>4.4</v>
      </c>
      <c r="H305" t="n">
        <v>0</v>
      </c>
      <c r="I305" t="n">
        <v>0</v>
      </c>
      <c r="J305" t="n">
        <v>0</v>
      </c>
      <c r="K305" t="n">
        <v>0</v>
      </c>
      <c r="L305" t="n">
        <v>0</v>
      </c>
      <c r="M305" t="n">
        <v>0</v>
      </c>
      <c r="N305" t="n">
        <v>0</v>
      </c>
      <c r="O305" t="n">
        <v>0</v>
      </c>
      <c r="P305" t="n">
        <v>0</v>
      </c>
      <c r="Q305" t="n">
        <v>0</v>
      </c>
      <c r="R305" s="2" t="inlineStr"/>
    </row>
    <row r="306" ht="15" customHeight="1">
      <c r="A306" t="inlineStr">
        <is>
          <t>A 45101-2025</t>
        </is>
      </c>
      <c r="B306" s="1" t="n">
        <v>45919.39679398148</v>
      </c>
      <c r="C306" s="1" t="n">
        <v>45930</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61787-2022</t>
        </is>
      </c>
      <c r="B307" s="1" t="n">
        <v>44917</v>
      </c>
      <c r="C307" s="1" t="n">
        <v>45930</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45300-2025</t>
        </is>
      </c>
      <c r="B308" s="1" t="n">
        <v>45921.30490740741</v>
      </c>
      <c r="C308" s="1" t="n">
        <v>45930</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45318-2025</t>
        </is>
      </c>
      <c r="B309" s="1" t="n">
        <v>45921.85230324074</v>
      </c>
      <c r="C309" s="1" t="n">
        <v>45930</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45381-2025</t>
        </is>
      </c>
      <c r="B310" s="1" t="n">
        <v>45922.39989583333</v>
      </c>
      <c r="C310" s="1" t="n">
        <v>45930</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45930</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39921-2024</t>
        </is>
      </c>
      <c r="B312" s="1" t="n">
        <v>45553</v>
      </c>
      <c r="C312" s="1" t="n">
        <v>45930</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8940-2023</t>
        </is>
      </c>
      <c r="B313" s="1" t="n">
        <v>44974</v>
      </c>
      <c r="C313" s="1" t="n">
        <v>45930</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41015-2024</t>
        </is>
      </c>
      <c r="B314" s="1" t="n">
        <v>45559.32537037037</v>
      </c>
      <c r="C314" s="1" t="n">
        <v>45930</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9459-2023</t>
        </is>
      </c>
      <c r="B315" s="1" t="n">
        <v>44977</v>
      </c>
      <c r="C315" s="1" t="n">
        <v>45930</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6050-2023</t>
        </is>
      </c>
      <c r="B316" s="1" t="n">
        <v>44959</v>
      </c>
      <c r="C316" s="1" t="n">
        <v>45930</v>
      </c>
      <c r="D316" t="inlineStr">
        <is>
          <t>DALARNAS LÄN</t>
        </is>
      </c>
      <c r="E316" t="inlineStr">
        <is>
          <t>LEKSAND</t>
        </is>
      </c>
      <c r="G316" t="n">
        <v>6.2</v>
      </c>
      <c r="H316" t="n">
        <v>0</v>
      </c>
      <c r="I316" t="n">
        <v>0</v>
      </c>
      <c r="J316" t="n">
        <v>0</v>
      </c>
      <c r="K316" t="n">
        <v>0</v>
      </c>
      <c r="L316" t="n">
        <v>0</v>
      </c>
      <c r="M316" t="n">
        <v>0</v>
      </c>
      <c r="N316" t="n">
        <v>0</v>
      </c>
      <c r="O316" t="n">
        <v>0</v>
      </c>
      <c r="P316" t="n">
        <v>0</v>
      </c>
      <c r="Q316" t="n">
        <v>0</v>
      </c>
      <c r="R316" s="2" t="inlineStr"/>
    </row>
    <row r="317" ht="15" customHeight="1">
      <c r="A317" t="inlineStr">
        <is>
          <t>A 56941-2024</t>
        </is>
      </c>
      <c r="B317" s="1" t="n">
        <v>45625</v>
      </c>
      <c r="C317" s="1" t="n">
        <v>45930</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6030-2025</t>
        </is>
      </c>
      <c r="B318" s="1" t="n">
        <v>45695</v>
      </c>
      <c r="C318" s="1" t="n">
        <v>45930</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47503-2024</t>
        </is>
      </c>
      <c r="B319" s="1" t="n">
        <v>45587.60262731482</v>
      </c>
      <c r="C319" s="1" t="n">
        <v>45930</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37996-2025</t>
        </is>
      </c>
      <c r="B320" s="1" t="n">
        <v>45881.8299537037</v>
      </c>
      <c r="C320" s="1" t="n">
        <v>45930</v>
      </c>
      <c r="D320" t="inlineStr">
        <is>
          <t>DALARNAS LÄN</t>
        </is>
      </c>
      <c r="E320" t="inlineStr">
        <is>
          <t>LEKSAND</t>
        </is>
      </c>
      <c r="G320" t="n">
        <v>4.2</v>
      </c>
      <c r="H320" t="n">
        <v>0</v>
      </c>
      <c r="I320" t="n">
        <v>0</v>
      </c>
      <c r="J320" t="n">
        <v>0</v>
      </c>
      <c r="K320" t="n">
        <v>0</v>
      </c>
      <c r="L320" t="n">
        <v>0</v>
      </c>
      <c r="M320" t="n">
        <v>0</v>
      </c>
      <c r="N320" t="n">
        <v>0</v>
      </c>
      <c r="O320" t="n">
        <v>0</v>
      </c>
      <c r="P320" t="n">
        <v>0</v>
      </c>
      <c r="Q320" t="n">
        <v>0</v>
      </c>
      <c r="R320" s="2" t="inlineStr"/>
    </row>
    <row r="321" ht="15" customHeight="1">
      <c r="A321" t="inlineStr">
        <is>
          <t>A 48721-2023</t>
        </is>
      </c>
      <c r="B321" s="1" t="n">
        <v>45203</v>
      </c>
      <c r="C321" s="1" t="n">
        <v>45930</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27791-2023</t>
        </is>
      </c>
      <c r="B322" s="1" t="n">
        <v>45098</v>
      </c>
      <c r="C322" s="1" t="n">
        <v>45930</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53981-2024</t>
        </is>
      </c>
      <c r="B323" s="1" t="n">
        <v>45615</v>
      </c>
      <c r="C323" s="1" t="n">
        <v>45930</v>
      </c>
      <c r="D323" t="inlineStr">
        <is>
          <t>DALARNAS LÄN</t>
        </is>
      </c>
      <c r="E323" t="inlineStr">
        <is>
          <t>LEKSAND</t>
        </is>
      </c>
      <c r="G323" t="n">
        <v>5.4</v>
      </c>
      <c r="H323" t="n">
        <v>0</v>
      </c>
      <c r="I323" t="n">
        <v>0</v>
      </c>
      <c r="J323" t="n">
        <v>0</v>
      </c>
      <c r="K323" t="n">
        <v>0</v>
      </c>
      <c r="L323" t="n">
        <v>0</v>
      </c>
      <c r="M323" t="n">
        <v>0</v>
      </c>
      <c r="N323" t="n">
        <v>0</v>
      </c>
      <c r="O323" t="n">
        <v>0</v>
      </c>
      <c r="P323" t="n">
        <v>0</v>
      </c>
      <c r="Q323" t="n">
        <v>0</v>
      </c>
      <c r="R323" s="2" t="inlineStr"/>
    </row>
    <row r="324" ht="15" customHeight="1">
      <c r="A324" t="inlineStr">
        <is>
          <t>A 33463-2023</t>
        </is>
      </c>
      <c r="B324" s="1" t="n">
        <v>45131</v>
      </c>
      <c r="C324" s="1" t="n">
        <v>45930</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45930</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8755-2023</t>
        </is>
      </c>
      <c r="B326" s="1" t="n">
        <v>44978</v>
      </c>
      <c r="C326" s="1" t="n">
        <v>45930</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59840-2024</t>
        </is>
      </c>
      <c r="B327" s="1" t="n">
        <v>45638</v>
      </c>
      <c r="C327" s="1" t="n">
        <v>45930</v>
      </c>
      <c r="D327" t="inlineStr">
        <is>
          <t>DALARNAS LÄN</t>
        </is>
      </c>
      <c r="E327" t="inlineStr">
        <is>
          <t>LEKSAND</t>
        </is>
      </c>
      <c r="G327" t="n">
        <v>0.6</v>
      </c>
      <c r="H327" t="n">
        <v>0</v>
      </c>
      <c r="I327" t="n">
        <v>0</v>
      </c>
      <c r="J327" t="n">
        <v>0</v>
      </c>
      <c r="K327" t="n">
        <v>0</v>
      </c>
      <c r="L327" t="n">
        <v>0</v>
      </c>
      <c r="M327" t="n">
        <v>0</v>
      </c>
      <c r="N327" t="n">
        <v>0</v>
      </c>
      <c r="O327" t="n">
        <v>0</v>
      </c>
      <c r="P327" t="n">
        <v>0</v>
      </c>
      <c r="Q327" t="n">
        <v>0</v>
      </c>
      <c r="R327" s="2" t="inlineStr"/>
    </row>
    <row r="328" ht="15" customHeight="1">
      <c r="A328" t="inlineStr">
        <is>
          <t>A 14504-2025</t>
        </is>
      </c>
      <c r="B328" s="1" t="n">
        <v>45741</v>
      </c>
      <c r="C328" s="1" t="n">
        <v>45930</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43888-2025</t>
        </is>
      </c>
      <c r="B329" s="1" t="n">
        <v>45912</v>
      </c>
      <c r="C329" s="1" t="n">
        <v>45930</v>
      </c>
      <c r="D329" t="inlineStr">
        <is>
          <t>DALARNAS LÄN</t>
        </is>
      </c>
      <c r="E329" t="inlineStr">
        <is>
          <t>LEKSAND</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38090-2025</t>
        </is>
      </c>
      <c r="B330" s="1" t="n">
        <v>45882.48440972222</v>
      </c>
      <c r="C330" s="1" t="n">
        <v>45930</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23892-2025</t>
        </is>
      </c>
      <c r="B331" s="1" t="n">
        <v>45793</v>
      </c>
      <c r="C331" s="1" t="n">
        <v>45930</v>
      </c>
      <c r="D331" t="inlineStr">
        <is>
          <t>DALARNAS LÄN</t>
        </is>
      </c>
      <c r="E331" t="inlineStr">
        <is>
          <t>LEKSAND</t>
        </is>
      </c>
      <c r="F331" t="inlineStr">
        <is>
          <t>Kommuner</t>
        </is>
      </c>
      <c r="G331" t="n">
        <v>1.5</v>
      </c>
      <c r="H331" t="n">
        <v>0</v>
      </c>
      <c r="I331" t="n">
        <v>0</v>
      </c>
      <c r="J331" t="n">
        <v>0</v>
      </c>
      <c r="K331" t="n">
        <v>0</v>
      </c>
      <c r="L331" t="n">
        <v>0</v>
      </c>
      <c r="M331" t="n">
        <v>0</v>
      </c>
      <c r="N331" t="n">
        <v>0</v>
      </c>
      <c r="O331" t="n">
        <v>0</v>
      </c>
      <c r="P331" t="n">
        <v>0</v>
      </c>
      <c r="Q331" t="n">
        <v>0</v>
      </c>
      <c r="R331" s="2" t="inlineStr"/>
    </row>
    <row r="332" ht="15" customHeight="1">
      <c r="A332" t="inlineStr">
        <is>
          <t>A 10967-2023</t>
        </is>
      </c>
      <c r="B332" s="1" t="n">
        <v>44991.58001157407</v>
      </c>
      <c r="C332" s="1" t="n">
        <v>45930</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10974-2023</t>
        </is>
      </c>
      <c r="B333" s="1" t="n">
        <v>44991.59049768518</v>
      </c>
      <c r="C333" s="1" t="n">
        <v>45930</v>
      </c>
      <c r="D333" t="inlineStr">
        <is>
          <t>DALARNAS LÄN</t>
        </is>
      </c>
      <c r="E333" t="inlineStr">
        <is>
          <t>LEKSAND</t>
        </is>
      </c>
      <c r="G333" t="n">
        <v>0.3</v>
      </c>
      <c r="H333" t="n">
        <v>0</v>
      </c>
      <c r="I333" t="n">
        <v>0</v>
      </c>
      <c r="J333" t="n">
        <v>0</v>
      </c>
      <c r="K333" t="n">
        <v>0</v>
      </c>
      <c r="L333" t="n">
        <v>0</v>
      </c>
      <c r="M333" t="n">
        <v>0</v>
      </c>
      <c r="N333" t="n">
        <v>0</v>
      </c>
      <c r="O333" t="n">
        <v>0</v>
      </c>
      <c r="P333" t="n">
        <v>0</v>
      </c>
      <c r="Q333" t="n">
        <v>0</v>
      </c>
      <c r="R333" s="2" t="inlineStr"/>
    </row>
    <row r="334" ht="15" customHeight="1">
      <c r="A334" t="inlineStr">
        <is>
          <t>A 55516-2024</t>
        </is>
      </c>
      <c r="B334" s="1" t="n">
        <v>45621</v>
      </c>
      <c r="C334" s="1" t="n">
        <v>45930</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43830-2025</t>
        </is>
      </c>
      <c r="B335" s="1" t="n">
        <v>45912</v>
      </c>
      <c r="C335" s="1" t="n">
        <v>45930</v>
      </c>
      <c r="D335" t="inlineStr">
        <is>
          <t>DALARNAS LÄN</t>
        </is>
      </c>
      <c r="E335" t="inlineStr">
        <is>
          <t>LEKSAND</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30858-2024</t>
        </is>
      </c>
      <c r="B336" s="1" t="n">
        <v>45497.67601851852</v>
      </c>
      <c r="C336" s="1" t="n">
        <v>45930</v>
      </c>
      <c r="D336" t="inlineStr">
        <is>
          <t>DALARNAS LÄN</t>
        </is>
      </c>
      <c r="E336" t="inlineStr">
        <is>
          <t>LEKSAND</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40007-2024</t>
        </is>
      </c>
      <c r="B337" s="1" t="n">
        <v>45553.6516550926</v>
      </c>
      <c r="C337" s="1" t="n">
        <v>45930</v>
      </c>
      <c r="D337" t="inlineStr">
        <is>
          <t>DALARNAS LÄN</t>
        </is>
      </c>
      <c r="E337" t="inlineStr">
        <is>
          <t>LEKSAND</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2311-2021</t>
        </is>
      </c>
      <c r="B338" s="1" t="n">
        <v>44213</v>
      </c>
      <c r="C338" s="1" t="n">
        <v>45930</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32072-2024</t>
        </is>
      </c>
      <c r="B339" s="1" t="n">
        <v>45510.98405092592</v>
      </c>
      <c r="C339" s="1" t="n">
        <v>45930</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17589-2025</t>
        </is>
      </c>
      <c r="B340" s="1" t="n">
        <v>45757.67844907408</v>
      </c>
      <c r="C340" s="1" t="n">
        <v>45930</v>
      </c>
      <c r="D340" t="inlineStr">
        <is>
          <t>DALARNAS LÄN</t>
        </is>
      </c>
      <c r="E340" t="inlineStr">
        <is>
          <t>LEKSAND</t>
        </is>
      </c>
      <c r="G340" t="n">
        <v>5.8</v>
      </c>
      <c r="H340" t="n">
        <v>0</v>
      </c>
      <c r="I340" t="n">
        <v>0</v>
      </c>
      <c r="J340" t="n">
        <v>0</v>
      </c>
      <c r="K340" t="n">
        <v>0</v>
      </c>
      <c r="L340" t="n">
        <v>0</v>
      </c>
      <c r="M340" t="n">
        <v>0</v>
      </c>
      <c r="N340" t="n">
        <v>0</v>
      </c>
      <c r="O340" t="n">
        <v>0</v>
      </c>
      <c r="P340" t="n">
        <v>0</v>
      </c>
      <c r="Q340" t="n">
        <v>0</v>
      </c>
      <c r="R340" s="2" t="inlineStr"/>
    </row>
    <row r="341" ht="15" customHeight="1">
      <c r="A341" t="inlineStr">
        <is>
          <t>A 11015-2022</t>
        </is>
      </c>
      <c r="B341" s="1" t="n">
        <v>44628.52340277778</v>
      </c>
      <c r="C341" s="1" t="n">
        <v>45930</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13165-2023</t>
        </is>
      </c>
      <c r="B342" s="1" t="n">
        <v>45002.57731481481</v>
      </c>
      <c r="C342" s="1" t="n">
        <v>45930</v>
      </c>
      <c r="D342" t="inlineStr">
        <is>
          <t>DALARNAS LÄN</t>
        </is>
      </c>
      <c r="E342" t="inlineStr">
        <is>
          <t>LEKSAND</t>
        </is>
      </c>
      <c r="G342" t="n">
        <v>2.4</v>
      </c>
      <c r="H342" t="n">
        <v>0</v>
      </c>
      <c r="I342" t="n">
        <v>0</v>
      </c>
      <c r="J342" t="n">
        <v>0</v>
      </c>
      <c r="K342" t="n">
        <v>0</v>
      </c>
      <c r="L342" t="n">
        <v>0</v>
      </c>
      <c r="M342" t="n">
        <v>0</v>
      </c>
      <c r="N342" t="n">
        <v>0</v>
      </c>
      <c r="O342" t="n">
        <v>0</v>
      </c>
      <c r="P342" t="n">
        <v>0</v>
      </c>
      <c r="Q342" t="n">
        <v>0</v>
      </c>
      <c r="R342" s="2" t="inlineStr"/>
    </row>
    <row r="343" ht="15" customHeight="1">
      <c r="A343" t="inlineStr">
        <is>
          <t>A 12582-2025</t>
        </is>
      </c>
      <c r="B343" s="1" t="n">
        <v>45732.62988425926</v>
      </c>
      <c r="C343" s="1" t="n">
        <v>45930</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1182-2025</t>
        </is>
      </c>
      <c r="B344" s="1" t="n">
        <v>45667.35712962963</v>
      </c>
      <c r="C344" s="1" t="n">
        <v>45930</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1519-2024</t>
        </is>
      </c>
      <c r="B345" s="1" t="n">
        <v>45306</v>
      </c>
      <c r="C345" s="1" t="n">
        <v>45930</v>
      </c>
      <c r="D345" t="inlineStr">
        <is>
          <t>DALARNAS LÄN</t>
        </is>
      </c>
      <c r="E345" t="inlineStr">
        <is>
          <t>LEKSAND</t>
        </is>
      </c>
      <c r="G345" t="n">
        <v>3.3</v>
      </c>
      <c r="H345" t="n">
        <v>0</v>
      </c>
      <c r="I345" t="n">
        <v>0</v>
      </c>
      <c r="J345" t="n">
        <v>0</v>
      </c>
      <c r="K345" t="n">
        <v>0</v>
      </c>
      <c r="L345" t="n">
        <v>0</v>
      </c>
      <c r="M345" t="n">
        <v>0</v>
      </c>
      <c r="N345" t="n">
        <v>0</v>
      </c>
      <c r="O345" t="n">
        <v>0</v>
      </c>
      <c r="P345" t="n">
        <v>0</v>
      </c>
      <c r="Q345" t="n">
        <v>0</v>
      </c>
      <c r="R345" s="2" t="inlineStr"/>
    </row>
    <row r="346" ht="15" customHeight="1">
      <c r="A346" t="inlineStr">
        <is>
          <t>A 7897-2025</t>
        </is>
      </c>
      <c r="B346" s="1" t="n">
        <v>45707.30969907407</v>
      </c>
      <c r="C346" s="1" t="n">
        <v>45930</v>
      </c>
      <c r="D346" t="inlineStr">
        <is>
          <t>DALARNAS LÄN</t>
        </is>
      </c>
      <c r="E346" t="inlineStr">
        <is>
          <t>LEKSAND</t>
        </is>
      </c>
      <c r="G346" t="n">
        <v>3.1</v>
      </c>
      <c r="H346" t="n">
        <v>0</v>
      </c>
      <c r="I346" t="n">
        <v>0</v>
      </c>
      <c r="J346" t="n">
        <v>0</v>
      </c>
      <c r="K346" t="n">
        <v>0</v>
      </c>
      <c r="L346" t="n">
        <v>0</v>
      </c>
      <c r="M346" t="n">
        <v>0</v>
      </c>
      <c r="N346" t="n">
        <v>0</v>
      </c>
      <c r="O346" t="n">
        <v>0</v>
      </c>
      <c r="P346" t="n">
        <v>0</v>
      </c>
      <c r="Q346" t="n">
        <v>0</v>
      </c>
      <c r="R346" s="2" t="inlineStr"/>
    </row>
    <row r="347" ht="15" customHeight="1">
      <c r="A347" t="inlineStr">
        <is>
          <t>A 7467-2023</t>
        </is>
      </c>
      <c r="B347" s="1" t="n">
        <v>44966</v>
      </c>
      <c r="C347" s="1" t="n">
        <v>45930</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45788-2021</t>
        </is>
      </c>
      <c r="B348" s="1" t="n">
        <v>44441</v>
      </c>
      <c r="C348" s="1" t="n">
        <v>45930</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11740-2025</t>
        </is>
      </c>
      <c r="B349" s="1" t="n">
        <v>45727.62582175926</v>
      </c>
      <c r="C349" s="1" t="n">
        <v>45930</v>
      </c>
      <c r="D349" t="inlineStr">
        <is>
          <t>DALARNAS LÄN</t>
        </is>
      </c>
      <c r="E349" t="inlineStr">
        <is>
          <t>LEKSAND</t>
        </is>
      </c>
      <c r="F349" t="inlineStr">
        <is>
          <t>Övriga Aktiebolag</t>
        </is>
      </c>
      <c r="G349" t="n">
        <v>1.3</v>
      </c>
      <c r="H349" t="n">
        <v>0</v>
      </c>
      <c r="I349" t="n">
        <v>0</v>
      </c>
      <c r="J349" t="n">
        <v>0</v>
      </c>
      <c r="K349" t="n">
        <v>0</v>
      </c>
      <c r="L349" t="n">
        <v>0</v>
      </c>
      <c r="M349" t="n">
        <v>0</v>
      </c>
      <c r="N349" t="n">
        <v>0</v>
      </c>
      <c r="O349" t="n">
        <v>0</v>
      </c>
      <c r="P349" t="n">
        <v>0</v>
      </c>
      <c r="Q349" t="n">
        <v>0</v>
      </c>
      <c r="R349" s="2" t="inlineStr"/>
    </row>
    <row r="350" ht="15" customHeight="1">
      <c r="A350" t="inlineStr">
        <is>
          <t>A 71817-2021</t>
        </is>
      </c>
      <c r="B350" s="1" t="n">
        <v>44543.59780092593</v>
      </c>
      <c r="C350" s="1" t="n">
        <v>45930</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32-2024</t>
        </is>
      </c>
      <c r="B351" s="1" t="n">
        <v>45293</v>
      </c>
      <c r="C351" s="1" t="n">
        <v>45930</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28592-2023</t>
        </is>
      </c>
      <c r="B352" s="1" t="n">
        <v>45103</v>
      </c>
      <c r="C352" s="1" t="n">
        <v>45930</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36932-2023</t>
        </is>
      </c>
      <c r="B353" s="1" t="n">
        <v>45154</v>
      </c>
      <c r="C353" s="1" t="n">
        <v>45930</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23663-2024</t>
        </is>
      </c>
      <c r="B354" s="1" t="n">
        <v>45454.57049768518</v>
      </c>
      <c r="C354" s="1" t="n">
        <v>45930</v>
      </c>
      <c r="D354" t="inlineStr">
        <is>
          <t>DALARNAS LÄN</t>
        </is>
      </c>
      <c r="E354" t="inlineStr">
        <is>
          <t>LEKSAND</t>
        </is>
      </c>
      <c r="G354" t="n">
        <v>2.5</v>
      </c>
      <c r="H354" t="n">
        <v>0</v>
      </c>
      <c r="I354" t="n">
        <v>0</v>
      </c>
      <c r="J354" t="n">
        <v>0</v>
      </c>
      <c r="K354" t="n">
        <v>0</v>
      </c>
      <c r="L354" t="n">
        <v>0</v>
      </c>
      <c r="M354" t="n">
        <v>0</v>
      </c>
      <c r="N354" t="n">
        <v>0</v>
      </c>
      <c r="O354" t="n">
        <v>0</v>
      </c>
      <c r="P354" t="n">
        <v>0</v>
      </c>
      <c r="Q354" t="n">
        <v>0</v>
      </c>
      <c r="R354" s="2" t="inlineStr"/>
    </row>
    <row r="355" ht="15" customHeight="1">
      <c r="A355" t="inlineStr">
        <is>
          <t>A 33180-2024</t>
        </is>
      </c>
      <c r="B355" s="1" t="n">
        <v>45518.44481481481</v>
      </c>
      <c r="C355" s="1" t="n">
        <v>45930</v>
      </c>
      <c r="D355" t="inlineStr">
        <is>
          <t>DALARNAS LÄN</t>
        </is>
      </c>
      <c r="E355" t="inlineStr">
        <is>
          <t>LEKSAND</t>
        </is>
      </c>
      <c r="G355" t="n">
        <v>7.6</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45930</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11092-2023</t>
        </is>
      </c>
      <c r="B357" s="1" t="n">
        <v>44992</v>
      </c>
      <c r="C357" s="1" t="n">
        <v>45930</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15882-2023</t>
        </is>
      </c>
      <c r="B358" s="1" t="n">
        <v>45022</v>
      </c>
      <c r="C358" s="1" t="n">
        <v>45930</v>
      </c>
      <c r="D358" t="inlineStr">
        <is>
          <t>DALARNAS LÄN</t>
        </is>
      </c>
      <c r="E358" t="inlineStr">
        <is>
          <t>LEKSAND</t>
        </is>
      </c>
      <c r="G358" t="n">
        <v>0.1</v>
      </c>
      <c r="H358" t="n">
        <v>0</v>
      </c>
      <c r="I358" t="n">
        <v>0</v>
      </c>
      <c r="J358" t="n">
        <v>0</v>
      </c>
      <c r="K358" t="n">
        <v>0</v>
      </c>
      <c r="L358" t="n">
        <v>0</v>
      </c>
      <c r="M358" t="n">
        <v>0</v>
      </c>
      <c r="N358" t="n">
        <v>0</v>
      </c>
      <c r="O358" t="n">
        <v>0</v>
      </c>
      <c r="P358" t="n">
        <v>0</v>
      </c>
      <c r="Q358" t="n">
        <v>0</v>
      </c>
      <c r="R358" s="2" t="inlineStr"/>
    </row>
    <row r="359" ht="15" customHeight="1">
      <c r="A359" t="inlineStr">
        <is>
          <t>A 1443-2024</t>
        </is>
      </c>
      <c r="B359" s="1" t="n">
        <v>45303</v>
      </c>
      <c r="C359" s="1" t="n">
        <v>45930</v>
      </c>
      <c r="D359" t="inlineStr">
        <is>
          <t>DALARNAS LÄN</t>
        </is>
      </c>
      <c r="E359" t="inlineStr">
        <is>
          <t>LEKSAND</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1457-2024</t>
        </is>
      </c>
      <c r="B360" s="1" t="n">
        <v>45303</v>
      </c>
      <c r="C360" s="1" t="n">
        <v>45930</v>
      </c>
      <c r="D360" t="inlineStr">
        <is>
          <t>DALARNAS LÄN</t>
        </is>
      </c>
      <c r="E360" t="inlineStr">
        <is>
          <t>LEKSAND</t>
        </is>
      </c>
      <c r="G360" t="n">
        <v>4.4</v>
      </c>
      <c r="H360" t="n">
        <v>0</v>
      </c>
      <c r="I360" t="n">
        <v>0</v>
      </c>
      <c r="J360" t="n">
        <v>0</v>
      </c>
      <c r="K360" t="n">
        <v>0</v>
      </c>
      <c r="L360" t="n">
        <v>0</v>
      </c>
      <c r="M360" t="n">
        <v>0</v>
      </c>
      <c r="N360" t="n">
        <v>0</v>
      </c>
      <c r="O360" t="n">
        <v>0</v>
      </c>
      <c r="P360" t="n">
        <v>0</v>
      </c>
      <c r="Q360" t="n">
        <v>0</v>
      </c>
      <c r="R360" s="2" t="inlineStr"/>
    </row>
    <row r="361" ht="15" customHeight="1">
      <c r="A361" t="inlineStr">
        <is>
          <t>A 1215-2024</t>
        </is>
      </c>
      <c r="B361" s="1" t="n">
        <v>45302</v>
      </c>
      <c r="C361" s="1" t="n">
        <v>45930</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44491-2023</t>
        </is>
      </c>
      <c r="B362" s="1" t="n">
        <v>45183</v>
      </c>
      <c r="C362" s="1" t="n">
        <v>45930</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53464-2024</t>
        </is>
      </c>
      <c r="B363" s="1" t="n">
        <v>45611</v>
      </c>
      <c r="C363" s="1" t="n">
        <v>45930</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2630-2025</t>
        </is>
      </c>
      <c r="B364" s="1" t="n">
        <v>45675.85865740741</v>
      </c>
      <c r="C364" s="1" t="n">
        <v>45930</v>
      </c>
      <c r="D364" t="inlineStr">
        <is>
          <t>DALARNAS LÄN</t>
        </is>
      </c>
      <c r="E364" t="inlineStr">
        <is>
          <t>LEKSAND</t>
        </is>
      </c>
      <c r="G364" t="n">
        <v>1.6</v>
      </c>
      <c r="H364" t="n">
        <v>0</v>
      </c>
      <c r="I364" t="n">
        <v>0</v>
      </c>
      <c r="J364" t="n">
        <v>0</v>
      </c>
      <c r="K364" t="n">
        <v>0</v>
      </c>
      <c r="L364" t="n">
        <v>0</v>
      </c>
      <c r="M364" t="n">
        <v>0</v>
      </c>
      <c r="N364" t="n">
        <v>0</v>
      </c>
      <c r="O364" t="n">
        <v>0</v>
      </c>
      <c r="P364" t="n">
        <v>0</v>
      </c>
      <c r="Q364" t="n">
        <v>0</v>
      </c>
      <c r="R364" s="2" t="inlineStr"/>
    </row>
    <row r="365" ht="15" customHeight="1">
      <c r="A365" t="inlineStr">
        <is>
          <t>A 56330-2022</t>
        </is>
      </c>
      <c r="B365" s="1" t="n">
        <v>44890.62630787037</v>
      </c>
      <c r="C365" s="1" t="n">
        <v>45930</v>
      </c>
      <c r="D365" t="inlineStr">
        <is>
          <t>DALARNAS LÄN</t>
        </is>
      </c>
      <c r="E365" t="inlineStr">
        <is>
          <t>LEKSAND</t>
        </is>
      </c>
      <c r="G365" t="n">
        <v>4.9</v>
      </c>
      <c r="H365" t="n">
        <v>0</v>
      </c>
      <c r="I365" t="n">
        <v>0</v>
      </c>
      <c r="J365" t="n">
        <v>0</v>
      </c>
      <c r="K365" t="n">
        <v>0</v>
      </c>
      <c r="L365" t="n">
        <v>0</v>
      </c>
      <c r="M365" t="n">
        <v>0</v>
      </c>
      <c r="N365" t="n">
        <v>0</v>
      </c>
      <c r="O365" t="n">
        <v>0</v>
      </c>
      <c r="P365" t="n">
        <v>0</v>
      </c>
      <c r="Q365" t="n">
        <v>0</v>
      </c>
      <c r="R365" s="2" t="inlineStr"/>
    </row>
    <row r="366" ht="15" customHeight="1">
      <c r="A366" t="inlineStr">
        <is>
          <t>A 2140-2024</t>
        </is>
      </c>
      <c r="B366" s="1" t="n">
        <v>45309</v>
      </c>
      <c r="C366" s="1" t="n">
        <v>45930</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33001-2023</t>
        </is>
      </c>
      <c r="B367" s="1" t="n">
        <v>45125</v>
      </c>
      <c r="C367" s="1" t="n">
        <v>45930</v>
      </c>
      <c r="D367" t="inlineStr">
        <is>
          <t>DALARNAS LÄN</t>
        </is>
      </c>
      <c r="E367" t="inlineStr">
        <is>
          <t>LEKSAND</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33674-2023</t>
        </is>
      </c>
      <c r="B368" s="1" t="n">
        <v>45132</v>
      </c>
      <c r="C368" s="1" t="n">
        <v>45930</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2694-2025</t>
        </is>
      </c>
      <c r="B369" s="1" t="n">
        <v>45677.38246527778</v>
      </c>
      <c r="C369" s="1" t="n">
        <v>45930</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13063-2023</t>
        </is>
      </c>
      <c r="B370" s="1" t="n">
        <v>45001</v>
      </c>
      <c r="C370" s="1" t="n">
        <v>45930</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18176-2024</t>
        </is>
      </c>
      <c r="B371" s="1" t="n">
        <v>45420.63901620371</v>
      </c>
      <c r="C371" s="1" t="n">
        <v>45930</v>
      </c>
      <c r="D371" t="inlineStr">
        <is>
          <t>DALARNAS LÄN</t>
        </is>
      </c>
      <c r="E371" t="inlineStr">
        <is>
          <t>LEKSAND</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55268-2024</t>
        </is>
      </c>
      <c r="B372" s="1" t="n">
        <v>45621.61266203703</v>
      </c>
      <c r="C372" s="1" t="n">
        <v>45930</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62130-2024</t>
        </is>
      </c>
      <c r="B373" s="1" t="n">
        <v>45656.61827546296</v>
      </c>
      <c r="C373" s="1" t="n">
        <v>45930</v>
      </c>
      <c r="D373" t="inlineStr">
        <is>
          <t>DALARNAS LÄN</t>
        </is>
      </c>
      <c r="E373" t="inlineStr">
        <is>
          <t>LEKSAND</t>
        </is>
      </c>
      <c r="G373" t="n">
        <v>11.4</v>
      </c>
      <c r="H373" t="n">
        <v>0</v>
      </c>
      <c r="I373" t="n">
        <v>0</v>
      </c>
      <c r="J373" t="n">
        <v>0</v>
      </c>
      <c r="K373" t="n">
        <v>0</v>
      </c>
      <c r="L373" t="n">
        <v>0</v>
      </c>
      <c r="M373" t="n">
        <v>0</v>
      </c>
      <c r="N373" t="n">
        <v>0</v>
      </c>
      <c r="O373" t="n">
        <v>0</v>
      </c>
      <c r="P373" t="n">
        <v>0</v>
      </c>
      <c r="Q373" t="n">
        <v>0</v>
      </c>
      <c r="R373" s="2" t="inlineStr"/>
    </row>
    <row r="374" ht="15" customHeight="1">
      <c r="A374" t="inlineStr">
        <is>
          <t>A 42727-2024</t>
        </is>
      </c>
      <c r="B374" s="1" t="n">
        <v>45566</v>
      </c>
      <c r="C374" s="1" t="n">
        <v>45930</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16135-2023</t>
        </is>
      </c>
      <c r="B375" s="1" t="n">
        <v>45027.63717592593</v>
      </c>
      <c r="C375" s="1" t="n">
        <v>45930</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30198-2024</t>
        </is>
      </c>
      <c r="B376" s="1" t="n">
        <v>45490.34765046297</v>
      </c>
      <c r="C376" s="1" t="n">
        <v>45930</v>
      </c>
      <c r="D376" t="inlineStr">
        <is>
          <t>DALARNAS LÄN</t>
        </is>
      </c>
      <c r="E376" t="inlineStr">
        <is>
          <t>LEKSAND</t>
        </is>
      </c>
      <c r="G376" t="n">
        <v>0.8</v>
      </c>
      <c r="H376" t="n">
        <v>0</v>
      </c>
      <c r="I376" t="n">
        <v>0</v>
      </c>
      <c r="J376" t="n">
        <v>0</v>
      </c>
      <c r="K376" t="n">
        <v>0</v>
      </c>
      <c r="L376" t="n">
        <v>0</v>
      </c>
      <c r="M376" t="n">
        <v>0</v>
      </c>
      <c r="N376" t="n">
        <v>0</v>
      </c>
      <c r="O376" t="n">
        <v>0</v>
      </c>
      <c r="P376" t="n">
        <v>0</v>
      </c>
      <c r="Q376" t="n">
        <v>0</v>
      </c>
      <c r="R376" s="2" t="inlineStr"/>
    </row>
    <row r="377" ht="15" customHeight="1">
      <c r="A377" t="inlineStr">
        <is>
          <t>A 10373-2023</t>
        </is>
      </c>
      <c r="B377" s="1" t="n">
        <v>44987</v>
      </c>
      <c r="C377" s="1" t="n">
        <v>45930</v>
      </c>
      <c r="D377" t="inlineStr">
        <is>
          <t>DALARNAS LÄN</t>
        </is>
      </c>
      <c r="E377" t="inlineStr">
        <is>
          <t>LEKSAND</t>
        </is>
      </c>
      <c r="G377" t="n">
        <v>0.3</v>
      </c>
      <c r="H377" t="n">
        <v>0</v>
      </c>
      <c r="I377" t="n">
        <v>0</v>
      </c>
      <c r="J377" t="n">
        <v>0</v>
      </c>
      <c r="K377" t="n">
        <v>0</v>
      </c>
      <c r="L377" t="n">
        <v>0</v>
      </c>
      <c r="M377" t="n">
        <v>0</v>
      </c>
      <c r="N377" t="n">
        <v>0</v>
      </c>
      <c r="O377" t="n">
        <v>0</v>
      </c>
      <c r="P377" t="n">
        <v>0</v>
      </c>
      <c r="Q377" t="n">
        <v>0</v>
      </c>
      <c r="R377" s="2" t="inlineStr"/>
    </row>
    <row r="378" ht="15" customHeight="1">
      <c r="A378" t="inlineStr">
        <is>
          <t>A 36444-2023</t>
        </is>
      </c>
      <c r="B378" s="1" t="n">
        <v>45152.63138888889</v>
      </c>
      <c r="C378" s="1" t="n">
        <v>45930</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40407-2024</t>
        </is>
      </c>
      <c r="B379" s="1" t="n">
        <v>45555</v>
      </c>
      <c r="C379" s="1" t="n">
        <v>45930</v>
      </c>
      <c r="D379" t="inlineStr">
        <is>
          <t>DALARNAS LÄN</t>
        </is>
      </c>
      <c r="E379" t="inlineStr">
        <is>
          <t>LEKSAND</t>
        </is>
      </c>
      <c r="G379" t="n">
        <v>1.4</v>
      </c>
      <c r="H379" t="n">
        <v>0</v>
      </c>
      <c r="I379" t="n">
        <v>0</v>
      </c>
      <c r="J379" t="n">
        <v>0</v>
      </c>
      <c r="K379" t="n">
        <v>0</v>
      </c>
      <c r="L379" t="n">
        <v>0</v>
      </c>
      <c r="M379" t="n">
        <v>0</v>
      </c>
      <c r="N379" t="n">
        <v>0</v>
      </c>
      <c r="O379" t="n">
        <v>0</v>
      </c>
      <c r="P379" t="n">
        <v>0</v>
      </c>
      <c r="Q379" t="n">
        <v>0</v>
      </c>
      <c r="R379" s="2" t="inlineStr"/>
    </row>
    <row r="380" ht="15" customHeight="1">
      <c r="A380" t="inlineStr">
        <is>
          <t>A 30998-2023</t>
        </is>
      </c>
      <c r="B380" s="1" t="n">
        <v>45113.54193287037</v>
      </c>
      <c r="C380" s="1" t="n">
        <v>45930</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6519-2025</t>
        </is>
      </c>
      <c r="B381" s="1" t="n">
        <v>45699</v>
      </c>
      <c r="C381" s="1" t="n">
        <v>45930</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45930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36262-2023</t>
        </is>
      </c>
      <c r="B383" s="1" t="n">
        <v>45151.9096875</v>
      </c>
      <c r="C383" s="1" t="n">
        <v>45930</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33566-2023</t>
        </is>
      </c>
      <c r="B384" s="1" t="n">
        <v>45131.64390046296</v>
      </c>
      <c r="C384" s="1" t="n">
        <v>45930</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16592-2023</t>
        </is>
      </c>
      <c r="B385" s="1" t="n">
        <v>45030</v>
      </c>
      <c r="C385" s="1" t="n">
        <v>45930</v>
      </c>
      <c r="D385" t="inlineStr">
        <is>
          <t>DALARNAS LÄN</t>
        </is>
      </c>
      <c r="E385" t="inlineStr">
        <is>
          <t>LEKSAND</t>
        </is>
      </c>
      <c r="G385" t="n">
        <v>11.5</v>
      </c>
      <c r="H385" t="n">
        <v>0</v>
      </c>
      <c r="I385" t="n">
        <v>0</v>
      </c>
      <c r="J385" t="n">
        <v>0</v>
      </c>
      <c r="K385" t="n">
        <v>0</v>
      </c>
      <c r="L385" t="n">
        <v>0</v>
      </c>
      <c r="M385" t="n">
        <v>0</v>
      </c>
      <c r="N385" t="n">
        <v>0</v>
      </c>
      <c r="O385" t="n">
        <v>0</v>
      </c>
      <c r="P385" t="n">
        <v>0</v>
      </c>
      <c r="Q385" t="n">
        <v>0</v>
      </c>
      <c r="R385" s="2" t="inlineStr"/>
    </row>
    <row r="386" ht="15" customHeight="1">
      <c r="A386" t="inlineStr">
        <is>
          <t>A 60095-2022</t>
        </is>
      </c>
      <c r="B386" s="1" t="n">
        <v>44909</v>
      </c>
      <c r="C386" s="1" t="n">
        <v>45930</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38117-2023</t>
        </is>
      </c>
      <c r="B387" s="1" t="n">
        <v>45161</v>
      </c>
      <c r="C387" s="1" t="n">
        <v>45930</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11418-2023</t>
        </is>
      </c>
      <c r="B388" s="1" t="n">
        <v>44993</v>
      </c>
      <c r="C388" s="1" t="n">
        <v>45930</v>
      </c>
      <c r="D388" t="inlineStr">
        <is>
          <t>DALARNAS LÄN</t>
        </is>
      </c>
      <c r="E388" t="inlineStr">
        <is>
          <t>LEKSAND</t>
        </is>
      </c>
      <c r="G388" t="n">
        <v>2.7</v>
      </c>
      <c r="H388" t="n">
        <v>0</v>
      </c>
      <c r="I388" t="n">
        <v>0</v>
      </c>
      <c r="J388" t="n">
        <v>0</v>
      </c>
      <c r="K388" t="n">
        <v>0</v>
      </c>
      <c r="L388" t="n">
        <v>0</v>
      </c>
      <c r="M388" t="n">
        <v>0</v>
      </c>
      <c r="N388" t="n">
        <v>0</v>
      </c>
      <c r="O388" t="n">
        <v>0</v>
      </c>
      <c r="P388" t="n">
        <v>0</v>
      </c>
      <c r="Q388" t="n">
        <v>0</v>
      </c>
      <c r="R388" s="2" t="inlineStr"/>
    </row>
    <row r="389" ht="15" customHeight="1">
      <c r="A389" t="inlineStr">
        <is>
          <t>A 7395-2025</t>
        </is>
      </c>
      <c r="B389" s="1" t="n">
        <v>45705.34516203704</v>
      </c>
      <c r="C389" s="1" t="n">
        <v>45930</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31971-2024</t>
        </is>
      </c>
      <c r="B390" s="1" t="n">
        <v>45510.55171296297</v>
      </c>
      <c r="C390" s="1" t="n">
        <v>45930</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39558-2023</t>
        </is>
      </c>
      <c r="B391" s="1" t="n">
        <v>45167.38664351852</v>
      </c>
      <c r="C391" s="1" t="n">
        <v>45930</v>
      </c>
      <c r="D391" t="inlineStr">
        <is>
          <t>DALARNAS LÄN</t>
        </is>
      </c>
      <c r="E391" t="inlineStr">
        <is>
          <t>LEKSAND</t>
        </is>
      </c>
      <c r="G391" t="n">
        <v>39.9</v>
      </c>
      <c r="H391" t="n">
        <v>0</v>
      </c>
      <c r="I391" t="n">
        <v>0</v>
      </c>
      <c r="J391" t="n">
        <v>0</v>
      </c>
      <c r="K391" t="n">
        <v>0</v>
      </c>
      <c r="L391" t="n">
        <v>0</v>
      </c>
      <c r="M391" t="n">
        <v>0</v>
      </c>
      <c r="N391" t="n">
        <v>0</v>
      </c>
      <c r="O391" t="n">
        <v>0</v>
      </c>
      <c r="P391" t="n">
        <v>0</v>
      </c>
      <c r="Q391" t="n">
        <v>0</v>
      </c>
      <c r="R391" s="2" t="inlineStr"/>
    </row>
    <row r="392" ht="15" customHeight="1">
      <c r="A392" t="inlineStr">
        <is>
          <t>A 43222-2024</t>
        </is>
      </c>
      <c r="B392" s="1" t="n">
        <v>45567.87177083334</v>
      </c>
      <c r="C392" s="1" t="n">
        <v>45930</v>
      </c>
      <c r="D392" t="inlineStr">
        <is>
          <t>DALARNAS LÄN</t>
        </is>
      </c>
      <c r="E392" t="inlineStr">
        <is>
          <t>LEKSAND</t>
        </is>
      </c>
      <c r="F392" t="inlineStr">
        <is>
          <t>Bergvik skog väst AB</t>
        </is>
      </c>
      <c r="G392" t="n">
        <v>8.6</v>
      </c>
      <c r="H392" t="n">
        <v>0</v>
      </c>
      <c r="I392" t="n">
        <v>0</v>
      </c>
      <c r="J392" t="n">
        <v>0</v>
      </c>
      <c r="K392" t="n">
        <v>0</v>
      </c>
      <c r="L392" t="n">
        <v>0</v>
      </c>
      <c r="M392" t="n">
        <v>0</v>
      </c>
      <c r="N392" t="n">
        <v>0</v>
      </c>
      <c r="O392" t="n">
        <v>0</v>
      </c>
      <c r="P392" t="n">
        <v>0</v>
      </c>
      <c r="Q392" t="n">
        <v>0</v>
      </c>
      <c r="R392" s="2" t="inlineStr"/>
    </row>
    <row r="393" ht="15" customHeight="1">
      <c r="A393" t="inlineStr">
        <is>
          <t>A 43231-2024</t>
        </is>
      </c>
      <c r="B393" s="1" t="n">
        <v>45567.89709490741</v>
      </c>
      <c r="C393" s="1" t="n">
        <v>45930</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53122-2023</t>
        </is>
      </c>
      <c r="B394" s="1" t="n">
        <v>45228</v>
      </c>
      <c r="C394" s="1" t="n">
        <v>45930</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19296-2024</t>
        </is>
      </c>
      <c r="B395" s="1" t="n">
        <v>45428.69438657408</v>
      </c>
      <c r="C395" s="1" t="n">
        <v>45930</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46405-2025</t>
        </is>
      </c>
      <c r="B396" s="1" t="n">
        <v>45925.56306712963</v>
      </c>
      <c r="C396" s="1" t="n">
        <v>45930</v>
      </c>
      <c r="D396" t="inlineStr">
        <is>
          <t>DALARNAS LÄN</t>
        </is>
      </c>
      <c r="E396" t="inlineStr">
        <is>
          <t>LEKSAND</t>
        </is>
      </c>
      <c r="G396" t="n">
        <v>5.7</v>
      </c>
      <c r="H396" t="n">
        <v>0</v>
      </c>
      <c r="I396" t="n">
        <v>0</v>
      </c>
      <c r="J396" t="n">
        <v>0</v>
      </c>
      <c r="K396" t="n">
        <v>0</v>
      </c>
      <c r="L396" t="n">
        <v>0</v>
      </c>
      <c r="M396" t="n">
        <v>0</v>
      </c>
      <c r="N396" t="n">
        <v>0</v>
      </c>
      <c r="O396" t="n">
        <v>0</v>
      </c>
      <c r="P396" t="n">
        <v>0</v>
      </c>
      <c r="Q396" t="n">
        <v>0</v>
      </c>
      <c r="R396" s="2" t="inlineStr"/>
    </row>
    <row r="397" ht="15" customHeight="1">
      <c r="A397" t="inlineStr">
        <is>
          <t>A 46483-2025</t>
        </is>
      </c>
      <c r="B397" s="1" t="n">
        <v>45925.70248842592</v>
      </c>
      <c r="C397" s="1" t="n">
        <v>45930</v>
      </c>
      <c r="D397" t="inlineStr">
        <is>
          <t>DALARNAS LÄN</t>
        </is>
      </c>
      <c r="E397" t="inlineStr">
        <is>
          <t>LEKSAND</t>
        </is>
      </c>
      <c r="G397" t="n">
        <v>3.6</v>
      </c>
      <c r="H397" t="n">
        <v>0</v>
      </c>
      <c r="I397" t="n">
        <v>0</v>
      </c>
      <c r="J397" t="n">
        <v>0</v>
      </c>
      <c r="K397" t="n">
        <v>0</v>
      </c>
      <c r="L397" t="n">
        <v>0</v>
      </c>
      <c r="M397" t="n">
        <v>0</v>
      </c>
      <c r="N397" t="n">
        <v>0</v>
      </c>
      <c r="O397" t="n">
        <v>0</v>
      </c>
      <c r="P397" t="n">
        <v>0</v>
      </c>
      <c r="Q397" t="n">
        <v>0</v>
      </c>
      <c r="R397" s="2" t="inlineStr"/>
    </row>
    <row r="398" ht="15" customHeight="1">
      <c r="A398" t="inlineStr">
        <is>
          <t>A 38498-2025</t>
        </is>
      </c>
      <c r="B398" s="1" t="n">
        <v>45884.3706712963</v>
      </c>
      <c r="C398" s="1" t="n">
        <v>45930</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61546-2021</t>
        </is>
      </c>
      <c r="B399" s="1" t="n">
        <v>44501</v>
      </c>
      <c r="C399" s="1" t="n">
        <v>45930</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7653-2025</t>
        </is>
      </c>
      <c r="B400" s="1" t="n">
        <v>45705.95238425926</v>
      </c>
      <c r="C400" s="1" t="n">
        <v>45930</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64516-2023</t>
        </is>
      </c>
      <c r="B401" s="1" t="n">
        <v>45280</v>
      </c>
      <c r="C401" s="1" t="n">
        <v>45930</v>
      </c>
      <c r="D401" t="inlineStr">
        <is>
          <t>DALARNAS LÄN</t>
        </is>
      </c>
      <c r="E401" t="inlineStr">
        <is>
          <t>LEKSAND</t>
        </is>
      </c>
      <c r="G401" t="n">
        <v>4.4</v>
      </c>
      <c r="H401" t="n">
        <v>0</v>
      </c>
      <c r="I401" t="n">
        <v>0</v>
      </c>
      <c r="J401" t="n">
        <v>0</v>
      </c>
      <c r="K401" t="n">
        <v>0</v>
      </c>
      <c r="L401" t="n">
        <v>0</v>
      </c>
      <c r="M401" t="n">
        <v>0</v>
      </c>
      <c r="N401" t="n">
        <v>0</v>
      </c>
      <c r="O401" t="n">
        <v>0</v>
      </c>
      <c r="P401" t="n">
        <v>0</v>
      </c>
      <c r="Q401" t="n">
        <v>0</v>
      </c>
      <c r="R401" s="2" t="inlineStr"/>
    </row>
    <row r="402" ht="15" customHeight="1">
      <c r="A402" t="inlineStr">
        <is>
          <t>A 41853-2023</t>
        </is>
      </c>
      <c r="B402" s="1" t="n">
        <v>45176.62483796296</v>
      </c>
      <c r="C402" s="1" t="n">
        <v>45930</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62116-2024</t>
        </is>
      </c>
      <c r="B403" s="1" t="n">
        <v>45646</v>
      </c>
      <c r="C403" s="1" t="n">
        <v>45930</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15986-2025</t>
        </is>
      </c>
      <c r="B404" s="1" t="n">
        <v>45749.57331018519</v>
      </c>
      <c r="C404" s="1" t="n">
        <v>45930</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62295-2023</t>
        </is>
      </c>
      <c r="B405" s="1" t="n">
        <v>45267</v>
      </c>
      <c r="C405" s="1" t="n">
        <v>45930</v>
      </c>
      <c r="D405" t="inlineStr">
        <is>
          <t>DALARNAS LÄN</t>
        </is>
      </c>
      <c r="E405" t="inlineStr">
        <is>
          <t>LEKSAND</t>
        </is>
      </c>
      <c r="G405" t="n">
        <v>2.5</v>
      </c>
      <c r="H405" t="n">
        <v>0</v>
      </c>
      <c r="I405" t="n">
        <v>0</v>
      </c>
      <c r="J405" t="n">
        <v>0</v>
      </c>
      <c r="K405" t="n">
        <v>0</v>
      </c>
      <c r="L405" t="n">
        <v>0</v>
      </c>
      <c r="M405" t="n">
        <v>0</v>
      </c>
      <c r="N405" t="n">
        <v>0</v>
      </c>
      <c r="O405" t="n">
        <v>0</v>
      </c>
      <c r="P405" t="n">
        <v>0</v>
      </c>
      <c r="Q405" t="n">
        <v>0</v>
      </c>
      <c r="R405" s="2" t="inlineStr"/>
    </row>
    <row r="406" ht="15" customHeight="1">
      <c r="A406" t="inlineStr">
        <is>
          <t>A 53799-2023</t>
        </is>
      </c>
      <c r="B406" s="1" t="n">
        <v>45231.35564814815</v>
      </c>
      <c r="C406" s="1" t="n">
        <v>45930</v>
      </c>
      <c r="D406" t="inlineStr">
        <is>
          <t>DALARNAS LÄN</t>
        </is>
      </c>
      <c r="E406" t="inlineStr">
        <is>
          <t>LEKSAND</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40193-2024</t>
        </is>
      </c>
      <c r="B407" s="1" t="n">
        <v>45554.5734375</v>
      </c>
      <c r="C407" s="1" t="n">
        <v>45930</v>
      </c>
      <c r="D407" t="inlineStr">
        <is>
          <t>DALARNAS LÄN</t>
        </is>
      </c>
      <c r="E407" t="inlineStr">
        <is>
          <t>LEKSAND</t>
        </is>
      </c>
      <c r="F407" t="inlineStr">
        <is>
          <t>Övriga statliga verk och myndigheter</t>
        </is>
      </c>
      <c r="G407" t="n">
        <v>1</v>
      </c>
      <c r="H407" t="n">
        <v>0</v>
      </c>
      <c r="I407" t="n">
        <v>0</v>
      </c>
      <c r="J407" t="n">
        <v>0</v>
      </c>
      <c r="K407" t="n">
        <v>0</v>
      </c>
      <c r="L407" t="n">
        <v>0</v>
      </c>
      <c r="M407" t="n">
        <v>0</v>
      </c>
      <c r="N407" t="n">
        <v>0</v>
      </c>
      <c r="O407" t="n">
        <v>0</v>
      </c>
      <c r="P407" t="n">
        <v>0</v>
      </c>
      <c r="Q407" t="n">
        <v>0</v>
      </c>
      <c r="R407" s="2" t="inlineStr"/>
    </row>
    <row r="408" ht="15" customHeight="1">
      <c r="A408" t="inlineStr">
        <is>
          <t>A 31728-2024</t>
        </is>
      </c>
      <c r="B408" s="1" t="n">
        <v>45509.34517361111</v>
      </c>
      <c r="C408" s="1" t="n">
        <v>45930</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32394-2024</t>
        </is>
      </c>
      <c r="B409" s="1" t="n">
        <v>45512.64349537037</v>
      </c>
      <c r="C409" s="1" t="n">
        <v>45930</v>
      </c>
      <c r="D409" t="inlineStr">
        <is>
          <t>DALARNAS LÄN</t>
        </is>
      </c>
      <c r="E409" t="inlineStr">
        <is>
          <t>LEKSAND</t>
        </is>
      </c>
      <c r="F409" t="inlineStr">
        <is>
          <t>Bergvik skog väst AB</t>
        </is>
      </c>
      <c r="G409" t="n">
        <v>6</v>
      </c>
      <c r="H409" t="n">
        <v>0</v>
      </c>
      <c r="I409" t="n">
        <v>0</v>
      </c>
      <c r="J409" t="n">
        <v>0</v>
      </c>
      <c r="K409" t="n">
        <v>0</v>
      </c>
      <c r="L409" t="n">
        <v>0</v>
      </c>
      <c r="M409" t="n">
        <v>0</v>
      </c>
      <c r="N409" t="n">
        <v>0</v>
      </c>
      <c r="O409" t="n">
        <v>0</v>
      </c>
      <c r="P409" t="n">
        <v>0</v>
      </c>
      <c r="Q409" t="n">
        <v>0</v>
      </c>
      <c r="R409" s="2" t="inlineStr"/>
    </row>
    <row r="410" ht="15" customHeight="1">
      <c r="A410" t="inlineStr">
        <is>
          <t>A 10771-2024</t>
        </is>
      </c>
      <c r="B410" s="1" t="n">
        <v>45369.57342592593</v>
      </c>
      <c r="C410" s="1" t="n">
        <v>45930</v>
      </c>
      <c r="D410" t="inlineStr">
        <is>
          <t>DALARNAS LÄN</t>
        </is>
      </c>
      <c r="E410" t="inlineStr">
        <is>
          <t>LEKSAND</t>
        </is>
      </c>
      <c r="G410" t="n">
        <v>0.4</v>
      </c>
      <c r="H410" t="n">
        <v>0</v>
      </c>
      <c r="I410" t="n">
        <v>0</v>
      </c>
      <c r="J410" t="n">
        <v>0</v>
      </c>
      <c r="K410" t="n">
        <v>0</v>
      </c>
      <c r="L410" t="n">
        <v>0</v>
      </c>
      <c r="M410" t="n">
        <v>0</v>
      </c>
      <c r="N410" t="n">
        <v>0</v>
      </c>
      <c r="O410" t="n">
        <v>0</v>
      </c>
      <c r="P410" t="n">
        <v>0</v>
      </c>
      <c r="Q410" t="n">
        <v>0</v>
      </c>
      <c r="R410" s="2" t="inlineStr"/>
    </row>
    <row r="411" ht="15" customHeight="1">
      <c r="A411" t="inlineStr">
        <is>
          <t>A 43221-2024</t>
        </is>
      </c>
      <c r="B411" s="1" t="n">
        <v>45567.86695601852</v>
      </c>
      <c r="C411" s="1" t="n">
        <v>45930</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21839-2022</t>
        </is>
      </c>
      <c r="B412" s="1" t="n">
        <v>44711</v>
      </c>
      <c r="C412" s="1" t="n">
        <v>45930</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22388-2024</t>
        </is>
      </c>
      <c r="B413" s="1" t="n">
        <v>45446</v>
      </c>
      <c r="C413" s="1" t="n">
        <v>45930</v>
      </c>
      <c r="D413" t="inlineStr">
        <is>
          <t>DALARNAS LÄN</t>
        </is>
      </c>
      <c r="E413" t="inlineStr">
        <is>
          <t>LEKSAND</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46834-2023</t>
        </is>
      </c>
      <c r="B414" s="1" t="n">
        <v>45199.35668981481</v>
      </c>
      <c r="C414" s="1" t="n">
        <v>45930</v>
      </c>
      <c r="D414" t="inlineStr">
        <is>
          <t>DALARNAS LÄN</t>
        </is>
      </c>
      <c r="E414" t="inlineStr">
        <is>
          <t>LEKSAND</t>
        </is>
      </c>
      <c r="G414" t="n">
        <v>16.3</v>
      </c>
      <c r="H414" t="n">
        <v>0</v>
      </c>
      <c r="I414" t="n">
        <v>0</v>
      </c>
      <c r="J414" t="n">
        <v>0</v>
      </c>
      <c r="K414" t="n">
        <v>0</v>
      </c>
      <c r="L414" t="n">
        <v>0</v>
      </c>
      <c r="M414" t="n">
        <v>0</v>
      </c>
      <c r="N414" t="n">
        <v>0</v>
      </c>
      <c r="O414" t="n">
        <v>0</v>
      </c>
      <c r="P414" t="n">
        <v>0</v>
      </c>
      <c r="Q414" t="n">
        <v>0</v>
      </c>
      <c r="R414" s="2" t="inlineStr"/>
    </row>
    <row r="415" ht="15" customHeight="1">
      <c r="A415" t="inlineStr">
        <is>
          <t>A 1983-2025</t>
        </is>
      </c>
      <c r="B415" s="1" t="n">
        <v>45670</v>
      </c>
      <c r="C415" s="1" t="n">
        <v>45930</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21402-2023</t>
        </is>
      </c>
      <c r="B416" s="1" t="n">
        <v>45061</v>
      </c>
      <c r="C416" s="1" t="n">
        <v>45930</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15120-2023</t>
        </is>
      </c>
      <c r="B417" s="1" t="n">
        <v>45016.46484953703</v>
      </c>
      <c r="C417" s="1" t="n">
        <v>45930</v>
      </c>
      <c r="D417" t="inlineStr">
        <is>
          <t>DALARNAS LÄN</t>
        </is>
      </c>
      <c r="E417" t="inlineStr">
        <is>
          <t>LEKSAND</t>
        </is>
      </c>
      <c r="G417" t="n">
        <v>2.7</v>
      </c>
      <c r="H417" t="n">
        <v>0</v>
      </c>
      <c r="I417" t="n">
        <v>0</v>
      </c>
      <c r="J417" t="n">
        <v>0</v>
      </c>
      <c r="K417" t="n">
        <v>0</v>
      </c>
      <c r="L417" t="n">
        <v>0</v>
      </c>
      <c r="M417" t="n">
        <v>0</v>
      </c>
      <c r="N417" t="n">
        <v>0</v>
      </c>
      <c r="O417" t="n">
        <v>0</v>
      </c>
      <c r="P417" t="n">
        <v>0</v>
      </c>
      <c r="Q417" t="n">
        <v>0</v>
      </c>
      <c r="R417" s="2" t="inlineStr"/>
    </row>
    <row r="418" ht="15" customHeight="1">
      <c r="A418" t="inlineStr">
        <is>
          <t>A 17413-2023</t>
        </is>
      </c>
      <c r="B418" s="1" t="n">
        <v>45035</v>
      </c>
      <c r="C418" s="1" t="n">
        <v>45930</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9138-2023</t>
        </is>
      </c>
      <c r="B419" s="1" t="n">
        <v>44974</v>
      </c>
      <c r="C419" s="1" t="n">
        <v>45930</v>
      </c>
      <c r="D419" t="inlineStr">
        <is>
          <t>DALARNAS LÄN</t>
        </is>
      </c>
      <c r="E419" t="inlineStr">
        <is>
          <t>LEKSAND</t>
        </is>
      </c>
      <c r="G419" t="n">
        <v>4.6</v>
      </c>
      <c r="H419" t="n">
        <v>0</v>
      </c>
      <c r="I419" t="n">
        <v>0</v>
      </c>
      <c r="J419" t="n">
        <v>0</v>
      </c>
      <c r="K419" t="n">
        <v>0</v>
      </c>
      <c r="L419" t="n">
        <v>0</v>
      </c>
      <c r="M419" t="n">
        <v>0</v>
      </c>
      <c r="N419" t="n">
        <v>0</v>
      </c>
      <c r="O419" t="n">
        <v>0</v>
      </c>
      <c r="P419" t="n">
        <v>0</v>
      </c>
      <c r="Q419" t="n">
        <v>0</v>
      </c>
      <c r="R419" s="2" t="inlineStr"/>
    </row>
    <row r="420" ht="15" customHeight="1">
      <c r="A420" t="inlineStr">
        <is>
          <t>A 43142-2024</t>
        </is>
      </c>
      <c r="B420" s="1" t="n">
        <v>45567.62144675926</v>
      </c>
      <c r="C420" s="1" t="n">
        <v>45930</v>
      </c>
      <c r="D420" t="inlineStr">
        <is>
          <t>DALARNAS LÄN</t>
        </is>
      </c>
      <c r="E420" t="inlineStr">
        <is>
          <t>LEKSAND</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61680-2024</t>
        </is>
      </c>
      <c r="B421" s="1" t="n">
        <v>45647.42890046296</v>
      </c>
      <c r="C421" s="1" t="n">
        <v>45930</v>
      </c>
      <c r="D421" t="inlineStr">
        <is>
          <t>DALARNAS LÄN</t>
        </is>
      </c>
      <c r="E421" t="inlineStr">
        <is>
          <t>LEKSAND</t>
        </is>
      </c>
      <c r="G421" t="n">
        <v>3.6</v>
      </c>
      <c r="H421" t="n">
        <v>0</v>
      </c>
      <c r="I421" t="n">
        <v>0</v>
      </c>
      <c r="J421" t="n">
        <v>0</v>
      </c>
      <c r="K421" t="n">
        <v>0</v>
      </c>
      <c r="L421" t="n">
        <v>0</v>
      </c>
      <c r="M421" t="n">
        <v>0</v>
      </c>
      <c r="N421" t="n">
        <v>0</v>
      </c>
      <c r="O421" t="n">
        <v>0</v>
      </c>
      <c r="P421" t="n">
        <v>0</v>
      </c>
      <c r="Q421" t="n">
        <v>0</v>
      </c>
      <c r="R421" s="2" t="inlineStr"/>
    </row>
    <row r="422" ht="15" customHeight="1">
      <c r="A422" t="inlineStr">
        <is>
          <t>A 54911-2024</t>
        </is>
      </c>
      <c r="B422" s="1" t="n">
        <v>45618.68929398148</v>
      </c>
      <c r="C422" s="1" t="n">
        <v>45930</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47673-2023</t>
        </is>
      </c>
      <c r="B423" s="1" t="n">
        <v>45203</v>
      </c>
      <c r="C423" s="1" t="n">
        <v>45930</v>
      </c>
      <c r="D423" t="inlineStr">
        <is>
          <t>DALARNAS LÄN</t>
        </is>
      </c>
      <c r="E423" t="inlineStr">
        <is>
          <t>LEKSAND</t>
        </is>
      </c>
      <c r="G423" t="n">
        <v>2</v>
      </c>
      <c r="H423" t="n">
        <v>0</v>
      </c>
      <c r="I423" t="n">
        <v>0</v>
      </c>
      <c r="J423" t="n">
        <v>0</v>
      </c>
      <c r="K423" t="n">
        <v>0</v>
      </c>
      <c r="L423" t="n">
        <v>0</v>
      </c>
      <c r="M423" t="n">
        <v>0</v>
      </c>
      <c r="N423" t="n">
        <v>0</v>
      </c>
      <c r="O423" t="n">
        <v>0</v>
      </c>
      <c r="P423" t="n">
        <v>0</v>
      </c>
      <c r="Q423" t="n">
        <v>0</v>
      </c>
      <c r="R423" s="2" t="inlineStr"/>
    </row>
    <row r="424" ht="15" customHeight="1">
      <c r="A424" t="inlineStr">
        <is>
          <t>A 16611-2024</t>
        </is>
      </c>
      <c r="B424" s="1" t="n">
        <v>45408.55504629629</v>
      </c>
      <c r="C424" s="1" t="n">
        <v>45930</v>
      </c>
      <c r="D424" t="inlineStr">
        <is>
          <t>DALARNAS LÄN</t>
        </is>
      </c>
      <c r="E424" t="inlineStr">
        <is>
          <t>LEKSAND</t>
        </is>
      </c>
      <c r="G424" t="n">
        <v>5.9</v>
      </c>
      <c r="H424" t="n">
        <v>0</v>
      </c>
      <c r="I424" t="n">
        <v>0</v>
      </c>
      <c r="J424" t="n">
        <v>0</v>
      </c>
      <c r="K424" t="n">
        <v>0</v>
      </c>
      <c r="L424" t="n">
        <v>0</v>
      </c>
      <c r="M424" t="n">
        <v>0</v>
      </c>
      <c r="N424" t="n">
        <v>0</v>
      </c>
      <c r="O424" t="n">
        <v>0</v>
      </c>
      <c r="P424" t="n">
        <v>0</v>
      </c>
      <c r="Q424" t="n">
        <v>0</v>
      </c>
      <c r="R424" s="2" t="inlineStr"/>
    </row>
    <row r="425" ht="15" customHeight="1">
      <c r="A425" t="inlineStr">
        <is>
          <t>A 59718-2023</t>
        </is>
      </c>
      <c r="B425" s="1" t="n">
        <v>45257</v>
      </c>
      <c r="C425" s="1" t="n">
        <v>45930</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5574-2024</t>
        </is>
      </c>
      <c r="B426" s="1" t="n">
        <v>45334</v>
      </c>
      <c r="C426" s="1" t="n">
        <v>45930</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1775-2022</t>
        </is>
      </c>
      <c r="B427" s="1" t="n">
        <v>44574</v>
      </c>
      <c r="C427" s="1" t="n">
        <v>45930</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30994-2023</t>
        </is>
      </c>
      <c r="B428" s="1" t="n">
        <v>45113</v>
      </c>
      <c r="C428" s="1" t="n">
        <v>45930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45512-2023</t>
        </is>
      </c>
      <c r="B429" s="1" t="n">
        <v>45194.49178240741</v>
      </c>
      <c r="C429" s="1" t="n">
        <v>45930</v>
      </c>
      <c r="D429" t="inlineStr">
        <is>
          <t>DALARNAS LÄN</t>
        </is>
      </c>
      <c r="E429" t="inlineStr">
        <is>
          <t>LEKSAND</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57665-2023</t>
        </is>
      </c>
      <c r="B430" s="1" t="n">
        <v>45246</v>
      </c>
      <c r="C430" s="1" t="n">
        <v>45930</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402-2024</t>
        </is>
      </c>
      <c r="B431" s="1" t="n">
        <v>45296.45545138889</v>
      </c>
      <c r="C431" s="1" t="n">
        <v>45930</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51480-2022</t>
        </is>
      </c>
      <c r="B432" s="1" t="n">
        <v>44869.57961805556</v>
      </c>
      <c r="C432" s="1" t="n">
        <v>45930</v>
      </c>
      <c r="D432" t="inlineStr">
        <is>
          <t>DALARNAS LÄN</t>
        </is>
      </c>
      <c r="E432" t="inlineStr">
        <is>
          <t>LEKSAND</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45930</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43237-2024</t>
        </is>
      </c>
      <c r="B434" s="1" t="n">
        <v>45567</v>
      </c>
      <c r="C434" s="1" t="n">
        <v>45930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19590-2023</t>
        </is>
      </c>
      <c r="B435" s="1" t="n">
        <v>45049</v>
      </c>
      <c r="C435" s="1" t="n">
        <v>45930</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39807-2024</t>
        </is>
      </c>
      <c r="B436" s="1" t="n">
        <v>45553.35763888889</v>
      </c>
      <c r="C436" s="1" t="n">
        <v>45930</v>
      </c>
      <c r="D436" t="inlineStr">
        <is>
          <t>DALARNAS LÄN</t>
        </is>
      </c>
      <c r="E436" t="inlineStr">
        <is>
          <t>LEKSAND</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34482-2022</t>
        </is>
      </c>
      <c r="B437" s="1" t="n">
        <v>44792</v>
      </c>
      <c r="C437" s="1" t="n">
        <v>45930</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17485-2025</t>
        </is>
      </c>
      <c r="B438" s="1" t="n">
        <v>45757.49976851852</v>
      </c>
      <c r="C438" s="1" t="n">
        <v>45930</v>
      </c>
      <c r="D438" t="inlineStr">
        <is>
          <t>DALARNAS LÄN</t>
        </is>
      </c>
      <c r="E438" t="inlineStr">
        <is>
          <t>LEKSAND</t>
        </is>
      </c>
      <c r="G438" t="n">
        <v>3.7</v>
      </c>
      <c r="H438" t="n">
        <v>0</v>
      </c>
      <c r="I438" t="n">
        <v>0</v>
      </c>
      <c r="J438" t="n">
        <v>0</v>
      </c>
      <c r="K438" t="n">
        <v>0</v>
      </c>
      <c r="L438" t="n">
        <v>0</v>
      </c>
      <c r="M438" t="n">
        <v>0</v>
      </c>
      <c r="N438" t="n">
        <v>0</v>
      </c>
      <c r="O438" t="n">
        <v>0</v>
      </c>
      <c r="P438" t="n">
        <v>0</v>
      </c>
      <c r="Q438" t="n">
        <v>0</v>
      </c>
      <c r="R438" s="2" t="inlineStr"/>
    </row>
    <row r="439" ht="15" customHeight="1">
      <c r="A439" t="inlineStr">
        <is>
          <t>A 30595-2023</t>
        </is>
      </c>
      <c r="B439" s="1" t="n">
        <v>45112</v>
      </c>
      <c r="C439" s="1" t="n">
        <v>45930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31850-2024</t>
        </is>
      </c>
      <c r="B440" s="1" t="n">
        <v>45509.67334490741</v>
      </c>
      <c r="C440" s="1" t="n">
        <v>45930</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11277-2025</t>
        </is>
      </c>
      <c r="B441" s="1" t="n">
        <v>45726.41565972222</v>
      </c>
      <c r="C441" s="1" t="n">
        <v>45930</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56943-2024</t>
        </is>
      </c>
      <c r="B442" s="1" t="n">
        <v>45625</v>
      </c>
      <c r="C442" s="1" t="n">
        <v>45930</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325-2023</t>
        </is>
      </c>
      <c r="B443" s="1" t="n">
        <v>44929</v>
      </c>
      <c r="C443" s="1" t="n">
        <v>45930</v>
      </c>
      <c r="D443" t="inlineStr">
        <is>
          <t>DALARNAS LÄN</t>
        </is>
      </c>
      <c r="E443" t="inlineStr">
        <is>
          <t>LEKSAND</t>
        </is>
      </c>
      <c r="F443" t="inlineStr">
        <is>
          <t>Övriga Aktiebolag</t>
        </is>
      </c>
      <c r="G443" t="n">
        <v>7.1</v>
      </c>
      <c r="H443" t="n">
        <v>0</v>
      </c>
      <c r="I443" t="n">
        <v>0</v>
      </c>
      <c r="J443" t="n">
        <v>0</v>
      </c>
      <c r="K443" t="n">
        <v>0</v>
      </c>
      <c r="L443" t="n">
        <v>0</v>
      </c>
      <c r="M443" t="n">
        <v>0</v>
      </c>
      <c r="N443" t="n">
        <v>0</v>
      </c>
      <c r="O443" t="n">
        <v>0</v>
      </c>
      <c r="P443" t="n">
        <v>0</v>
      </c>
      <c r="Q443" t="n">
        <v>0</v>
      </c>
      <c r="R443" s="2" t="inlineStr"/>
    </row>
    <row r="444" ht="15" customHeight="1">
      <c r="A444" t="inlineStr">
        <is>
          <t>A 16748-2025</t>
        </is>
      </c>
      <c r="B444" s="1" t="n">
        <v>45754</v>
      </c>
      <c r="C444" s="1" t="n">
        <v>45930</v>
      </c>
      <c r="D444" t="inlineStr">
        <is>
          <t>DALARNAS LÄN</t>
        </is>
      </c>
      <c r="E444" t="inlineStr">
        <is>
          <t>LEKSAND</t>
        </is>
      </c>
      <c r="F444" t="inlineStr">
        <is>
          <t>Bergvik skog väst AB</t>
        </is>
      </c>
      <c r="G444" t="n">
        <v>2.9</v>
      </c>
      <c r="H444" t="n">
        <v>0</v>
      </c>
      <c r="I444" t="n">
        <v>0</v>
      </c>
      <c r="J444" t="n">
        <v>0</v>
      </c>
      <c r="K444" t="n">
        <v>0</v>
      </c>
      <c r="L444" t="n">
        <v>0</v>
      </c>
      <c r="M444" t="n">
        <v>0</v>
      </c>
      <c r="N444" t="n">
        <v>0</v>
      </c>
      <c r="O444" t="n">
        <v>0</v>
      </c>
      <c r="P444" t="n">
        <v>0</v>
      </c>
      <c r="Q444" t="n">
        <v>0</v>
      </c>
      <c r="R444" s="2" t="inlineStr"/>
    </row>
    <row r="445" ht="15" customHeight="1">
      <c r="A445" t="inlineStr">
        <is>
          <t>A 15257-2025</t>
        </is>
      </c>
      <c r="B445" s="1" t="n">
        <v>45744</v>
      </c>
      <c r="C445" s="1" t="n">
        <v>45930</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11678-2025</t>
        </is>
      </c>
      <c r="B446" s="1" t="n">
        <v>45726</v>
      </c>
      <c r="C446" s="1" t="n">
        <v>45930</v>
      </c>
      <c r="D446" t="inlineStr">
        <is>
          <t>DALARNAS LÄN</t>
        </is>
      </c>
      <c r="E446" t="inlineStr">
        <is>
          <t>LEKSAND</t>
        </is>
      </c>
      <c r="G446" t="n">
        <v>9.4</v>
      </c>
      <c r="H446" t="n">
        <v>0</v>
      </c>
      <c r="I446" t="n">
        <v>0</v>
      </c>
      <c r="J446" t="n">
        <v>0</v>
      </c>
      <c r="K446" t="n">
        <v>0</v>
      </c>
      <c r="L446" t="n">
        <v>0</v>
      </c>
      <c r="M446" t="n">
        <v>0</v>
      </c>
      <c r="N446" t="n">
        <v>0</v>
      </c>
      <c r="O446" t="n">
        <v>0</v>
      </c>
      <c r="P446" t="n">
        <v>0</v>
      </c>
      <c r="Q446" t="n">
        <v>0</v>
      </c>
      <c r="R446" s="2" t="inlineStr"/>
    </row>
    <row r="447" ht="15" customHeight="1">
      <c r="A447" t="inlineStr">
        <is>
          <t>A 24142-2021</t>
        </is>
      </c>
      <c r="B447" s="1" t="n">
        <v>44336</v>
      </c>
      <c r="C447" s="1" t="n">
        <v>45930</v>
      </c>
      <c r="D447" t="inlineStr">
        <is>
          <t>DALARNAS LÄN</t>
        </is>
      </c>
      <c r="E447" t="inlineStr">
        <is>
          <t>LEKSAND</t>
        </is>
      </c>
      <c r="F447" t="inlineStr">
        <is>
          <t>Bergvik skog väst AB</t>
        </is>
      </c>
      <c r="G447" t="n">
        <v>18.9</v>
      </c>
      <c r="H447" t="n">
        <v>0</v>
      </c>
      <c r="I447" t="n">
        <v>0</v>
      </c>
      <c r="J447" t="n">
        <v>0</v>
      </c>
      <c r="K447" t="n">
        <v>0</v>
      </c>
      <c r="L447" t="n">
        <v>0</v>
      </c>
      <c r="M447" t="n">
        <v>0</v>
      </c>
      <c r="N447" t="n">
        <v>0</v>
      </c>
      <c r="O447" t="n">
        <v>0</v>
      </c>
      <c r="P447" t="n">
        <v>0</v>
      </c>
      <c r="Q447" t="n">
        <v>0</v>
      </c>
      <c r="R447" s="2" t="inlineStr"/>
    </row>
    <row r="448" ht="15" customHeight="1">
      <c r="A448" t="inlineStr">
        <is>
          <t>A 16815-2025</t>
        </is>
      </c>
      <c r="B448" s="1" t="n">
        <v>45754</v>
      </c>
      <c r="C448" s="1" t="n">
        <v>45930</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28630-2023</t>
        </is>
      </c>
      <c r="B449" s="1" t="n">
        <v>45103.61003472222</v>
      </c>
      <c r="C449" s="1" t="n">
        <v>45930</v>
      </c>
      <c r="D449" t="inlineStr">
        <is>
          <t>DALARNAS LÄN</t>
        </is>
      </c>
      <c r="E449" t="inlineStr">
        <is>
          <t>LEKSAND</t>
        </is>
      </c>
      <c r="F449" t="inlineStr">
        <is>
          <t>Bergvik skog väst AB</t>
        </is>
      </c>
      <c r="G449" t="n">
        <v>0.3</v>
      </c>
      <c r="H449" t="n">
        <v>0</v>
      </c>
      <c r="I449" t="n">
        <v>0</v>
      </c>
      <c r="J449" t="n">
        <v>0</v>
      </c>
      <c r="K449" t="n">
        <v>0</v>
      </c>
      <c r="L449" t="n">
        <v>0</v>
      </c>
      <c r="M449" t="n">
        <v>0</v>
      </c>
      <c r="N449" t="n">
        <v>0</v>
      </c>
      <c r="O449" t="n">
        <v>0</v>
      </c>
      <c r="P449" t="n">
        <v>0</v>
      </c>
      <c r="Q449" t="n">
        <v>0</v>
      </c>
      <c r="R449" s="2" t="inlineStr"/>
    </row>
    <row r="450" ht="15" customHeight="1">
      <c r="A450" t="inlineStr">
        <is>
          <t>A 7759-2025</t>
        </is>
      </c>
      <c r="B450" s="1" t="n">
        <v>45706.53827546296</v>
      </c>
      <c r="C450" s="1" t="n">
        <v>45930</v>
      </c>
      <c r="D450" t="inlineStr">
        <is>
          <t>DALARNAS LÄN</t>
        </is>
      </c>
      <c r="E450" t="inlineStr">
        <is>
          <t>LEKSAND</t>
        </is>
      </c>
      <c r="G450" t="n">
        <v>3.3</v>
      </c>
      <c r="H450" t="n">
        <v>0</v>
      </c>
      <c r="I450" t="n">
        <v>0</v>
      </c>
      <c r="J450" t="n">
        <v>0</v>
      </c>
      <c r="K450" t="n">
        <v>0</v>
      </c>
      <c r="L450" t="n">
        <v>0</v>
      </c>
      <c r="M450" t="n">
        <v>0</v>
      </c>
      <c r="N450" t="n">
        <v>0</v>
      </c>
      <c r="O450" t="n">
        <v>0</v>
      </c>
      <c r="P450" t="n">
        <v>0</v>
      </c>
      <c r="Q450" t="n">
        <v>0</v>
      </c>
      <c r="R450" s="2" t="inlineStr"/>
    </row>
    <row r="451" ht="15" customHeight="1">
      <c r="A451" t="inlineStr">
        <is>
          <t>A 61208-2023</t>
        </is>
      </c>
      <c r="B451" s="1" t="n">
        <v>45260</v>
      </c>
      <c r="C451" s="1" t="n">
        <v>45930</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52977-2022</t>
        </is>
      </c>
      <c r="B452" s="1" t="n">
        <v>44875</v>
      </c>
      <c r="C452" s="1" t="n">
        <v>45930</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25921-2024</t>
        </is>
      </c>
      <c r="B453" s="1" t="n">
        <v>45467.6053587963</v>
      </c>
      <c r="C453" s="1" t="n">
        <v>45930</v>
      </c>
      <c r="D453" t="inlineStr">
        <is>
          <t>DALARNAS LÄN</t>
        </is>
      </c>
      <c r="E453" t="inlineStr">
        <is>
          <t>LEKSAND</t>
        </is>
      </c>
      <c r="G453" t="n">
        <v>2.8</v>
      </c>
      <c r="H453" t="n">
        <v>0</v>
      </c>
      <c r="I453" t="n">
        <v>0</v>
      </c>
      <c r="J453" t="n">
        <v>0</v>
      </c>
      <c r="K453" t="n">
        <v>0</v>
      </c>
      <c r="L453" t="n">
        <v>0</v>
      </c>
      <c r="M453" t="n">
        <v>0</v>
      </c>
      <c r="N453" t="n">
        <v>0</v>
      </c>
      <c r="O453" t="n">
        <v>0</v>
      </c>
      <c r="P453" t="n">
        <v>0</v>
      </c>
      <c r="Q453" t="n">
        <v>0</v>
      </c>
      <c r="R453" s="2" t="inlineStr"/>
    </row>
    <row r="454" ht="15" customHeight="1">
      <c r="A454" t="inlineStr">
        <is>
          <t>A 28892-2022</t>
        </is>
      </c>
      <c r="B454" s="1" t="n">
        <v>44749</v>
      </c>
      <c r="C454" s="1" t="n">
        <v>45930</v>
      </c>
      <c r="D454" t="inlineStr">
        <is>
          <t>DALARNAS LÄN</t>
        </is>
      </c>
      <c r="E454" t="inlineStr">
        <is>
          <t>LEKSAND</t>
        </is>
      </c>
      <c r="F454" t="inlineStr">
        <is>
          <t>Bergvik skog väst AB</t>
        </is>
      </c>
      <c r="G454" t="n">
        <v>9.1</v>
      </c>
      <c r="H454" t="n">
        <v>0</v>
      </c>
      <c r="I454" t="n">
        <v>0</v>
      </c>
      <c r="J454" t="n">
        <v>0</v>
      </c>
      <c r="K454" t="n">
        <v>0</v>
      </c>
      <c r="L454" t="n">
        <v>0</v>
      </c>
      <c r="M454" t="n">
        <v>0</v>
      </c>
      <c r="N454" t="n">
        <v>0</v>
      </c>
      <c r="O454" t="n">
        <v>0</v>
      </c>
      <c r="P454" t="n">
        <v>0</v>
      </c>
      <c r="Q454" t="n">
        <v>0</v>
      </c>
      <c r="R454" s="2" t="inlineStr"/>
    </row>
    <row r="455" ht="15" customHeight="1">
      <c r="A455" t="inlineStr">
        <is>
          <t>A 17078-2023</t>
        </is>
      </c>
      <c r="B455" s="1" t="n">
        <v>45034</v>
      </c>
      <c r="C455" s="1" t="n">
        <v>45930</v>
      </c>
      <c r="D455" t="inlineStr">
        <is>
          <t>DALARNAS LÄN</t>
        </is>
      </c>
      <c r="E455" t="inlineStr">
        <is>
          <t>LEKSAND</t>
        </is>
      </c>
      <c r="G455" t="n">
        <v>0.5</v>
      </c>
      <c r="H455" t="n">
        <v>0</v>
      </c>
      <c r="I455" t="n">
        <v>0</v>
      </c>
      <c r="J455" t="n">
        <v>0</v>
      </c>
      <c r="K455" t="n">
        <v>0</v>
      </c>
      <c r="L455" t="n">
        <v>0</v>
      </c>
      <c r="M455" t="n">
        <v>0</v>
      </c>
      <c r="N455" t="n">
        <v>0</v>
      </c>
      <c r="O455" t="n">
        <v>0</v>
      </c>
      <c r="P455" t="n">
        <v>0</v>
      </c>
      <c r="Q455" t="n">
        <v>0</v>
      </c>
      <c r="R455" s="2" t="inlineStr"/>
    </row>
    <row r="456" ht="15" customHeight="1">
      <c r="A456" t="inlineStr">
        <is>
          <t>A 14865-2025</t>
        </is>
      </c>
      <c r="B456" s="1" t="n">
        <v>45743.43929398148</v>
      </c>
      <c r="C456" s="1" t="n">
        <v>45930</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16854-2025</t>
        </is>
      </c>
      <c r="B457" s="1" t="n">
        <v>45754.72883101852</v>
      </c>
      <c r="C457" s="1" t="n">
        <v>45930</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320-2023</t>
        </is>
      </c>
      <c r="B458" s="1" t="n">
        <v>44929</v>
      </c>
      <c r="C458" s="1" t="n">
        <v>45930</v>
      </c>
      <c r="D458" t="inlineStr">
        <is>
          <t>DALARNAS LÄN</t>
        </is>
      </c>
      <c r="E458" t="inlineStr">
        <is>
          <t>LEKSAND</t>
        </is>
      </c>
      <c r="F458" t="inlineStr">
        <is>
          <t>Övriga Aktiebolag</t>
        </is>
      </c>
      <c r="G458" t="n">
        <v>5.4</v>
      </c>
      <c r="H458" t="n">
        <v>0</v>
      </c>
      <c r="I458" t="n">
        <v>0</v>
      </c>
      <c r="J458" t="n">
        <v>0</v>
      </c>
      <c r="K458" t="n">
        <v>0</v>
      </c>
      <c r="L458" t="n">
        <v>0</v>
      </c>
      <c r="M458" t="n">
        <v>0</v>
      </c>
      <c r="N458" t="n">
        <v>0</v>
      </c>
      <c r="O458" t="n">
        <v>0</v>
      </c>
      <c r="P458" t="n">
        <v>0</v>
      </c>
      <c r="Q458" t="n">
        <v>0</v>
      </c>
      <c r="R458" s="2" t="inlineStr"/>
    </row>
    <row r="459" ht="15" customHeight="1">
      <c r="A459" t="inlineStr">
        <is>
          <t>A 5847-2025</t>
        </is>
      </c>
      <c r="B459" s="1" t="n">
        <v>45695.30824074074</v>
      </c>
      <c r="C459" s="1" t="n">
        <v>45930</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5873-2025</t>
        </is>
      </c>
      <c r="B460" s="1" t="n">
        <v>45695.36715277778</v>
      </c>
      <c r="C460" s="1" t="n">
        <v>45930</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18481-2024</t>
        </is>
      </c>
      <c r="B461" s="1" t="n">
        <v>45425.52193287037</v>
      </c>
      <c r="C461" s="1" t="n">
        <v>45930</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18484-2024</t>
        </is>
      </c>
      <c r="B462" s="1" t="n">
        <v>45425.52559027778</v>
      </c>
      <c r="C462" s="1" t="n">
        <v>45930</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45930</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45930</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45930</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53193-2024</t>
        </is>
      </c>
      <c r="B466" s="1" t="n">
        <v>45610</v>
      </c>
      <c r="C466" s="1" t="n">
        <v>45930</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11080-2023</t>
        </is>
      </c>
      <c r="B467" s="1" t="n">
        <v>44992</v>
      </c>
      <c r="C467" s="1" t="n">
        <v>45930</v>
      </c>
      <c r="D467" t="inlineStr">
        <is>
          <t>DALARNAS LÄN</t>
        </is>
      </c>
      <c r="E467" t="inlineStr">
        <is>
          <t>LEKSAND</t>
        </is>
      </c>
      <c r="G467" t="n">
        <v>6.9</v>
      </c>
      <c r="H467" t="n">
        <v>0</v>
      </c>
      <c r="I467" t="n">
        <v>0</v>
      </c>
      <c r="J467" t="n">
        <v>0</v>
      </c>
      <c r="K467" t="n">
        <v>0</v>
      </c>
      <c r="L467" t="n">
        <v>0</v>
      </c>
      <c r="M467" t="n">
        <v>0</v>
      </c>
      <c r="N467" t="n">
        <v>0</v>
      </c>
      <c r="O467" t="n">
        <v>0</v>
      </c>
      <c r="P467" t="n">
        <v>0</v>
      </c>
      <c r="Q467" t="n">
        <v>0</v>
      </c>
      <c r="R467" s="2" t="inlineStr"/>
    </row>
    <row r="468" ht="15" customHeight="1">
      <c r="A468" t="inlineStr">
        <is>
          <t>A 32666-2023</t>
        </is>
      </c>
      <c r="B468" s="1" t="n">
        <v>45121</v>
      </c>
      <c r="C468" s="1" t="n">
        <v>45930</v>
      </c>
      <c r="D468" t="inlineStr">
        <is>
          <t>DALARNAS LÄN</t>
        </is>
      </c>
      <c r="E468" t="inlineStr">
        <is>
          <t>LEKSAND</t>
        </is>
      </c>
      <c r="G468" t="n">
        <v>9.9</v>
      </c>
      <c r="H468" t="n">
        <v>0</v>
      </c>
      <c r="I468" t="n">
        <v>0</v>
      </c>
      <c r="J468" t="n">
        <v>0</v>
      </c>
      <c r="K468" t="n">
        <v>0</v>
      </c>
      <c r="L468" t="n">
        <v>0</v>
      </c>
      <c r="M468" t="n">
        <v>0</v>
      </c>
      <c r="N468" t="n">
        <v>0</v>
      </c>
      <c r="O468" t="n">
        <v>0</v>
      </c>
      <c r="P468" t="n">
        <v>0</v>
      </c>
      <c r="Q468" t="n">
        <v>0</v>
      </c>
      <c r="R468" s="2" t="inlineStr"/>
    </row>
    <row r="469" ht="15" customHeight="1">
      <c r="A469" t="inlineStr">
        <is>
          <t>A 5231-2024</t>
        </is>
      </c>
      <c r="B469" s="1" t="n">
        <v>45330</v>
      </c>
      <c r="C469" s="1" t="n">
        <v>45930</v>
      </c>
      <c r="D469" t="inlineStr">
        <is>
          <t>DALARNAS LÄN</t>
        </is>
      </c>
      <c r="E469" t="inlineStr">
        <is>
          <t>LEKSAND</t>
        </is>
      </c>
      <c r="F469" t="inlineStr">
        <is>
          <t>Bergvik skog väst AB</t>
        </is>
      </c>
      <c r="G469" t="n">
        <v>11.2</v>
      </c>
      <c r="H469" t="n">
        <v>0</v>
      </c>
      <c r="I469" t="n">
        <v>0</v>
      </c>
      <c r="J469" t="n">
        <v>0</v>
      </c>
      <c r="K469" t="n">
        <v>0</v>
      </c>
      <c r="L469" t="n">
        <v>0</v>
      </c>
      <c r="M469" t="n">
        <v>0</v>
      </c>
      <c r="N469" t="n">
        <v>0</v>
      </c>
      <c r="O469" t="n">
        <v>0</v>
      </c>
      <c r="P469" t="n">
        <v>0</v>
      </c>
      <c r="Q469" t="n">
        <v>0</v>
      </c>
      <c r="R469" s="2" t="inlineStr"/>
    </row>
    <row r="470" ht="15" customHeight="1">
      <c r="A470" t="inlineStr">
        <is>
          <t>A 26957-2023</t>
        </is>
      </c>
      <c r="B470" s="1" t="n">
        <v>45093</v>
      </c>
      <c r="C470" s="1" t="n">
        <v>45930</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19371-2024</t>
        </is>
      </c>
      <c r="B471" s="1" t="n">
        <v>45429.34969907408</v>
      </c>
      <c r="C471" s="1" t="n">
        <v>45930</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7827-2024</t>
        </is>
      </c>
      <c r="B472" s="1" t="n">
        <v>45349.7467824074</v>
      </c>
      <c r="C472" s="1" t="n">
        <v>45930</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49405-2024</t>
        </is>
      </c>
      <c r="B473" s="1" t="n">
        <v>45595</v>
      </c>
      <c r="C473" s="1" t="n">
        <v>45930</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20683-2025</t>
        </is>
      </c>
      <c r="B474" s="1" t="n">
        <v>45776</v>
      </c>
      <c r="C474" s="1" t="n">
        <v>45930</v>
      </c>
      <c r="D474" t="inlineStr">
        <is>
          <t>DALARNAS LÄN</t>
        </is>
      </c>
      <c r="E474" t="inlineStr">
        <is>
          <t>LEKSAND</t>
        </is>
      </c>
      <c r="F474" t="inlineStr">
        <is>
          <t>Bergvik skog väst AB</t>
        </is>
      </c>
      <c r="G474" t="n">
        <v>4.1</v>
      </c>
      <c r="H474" t="n">
        <v>0</v>
      </c>
      <c r="I474" t="n">
        <v>0</v>
      </c>
      <c r="J474" t="n">
        <v>0</v>
      </c>
      <c r="K474" t="n">
        <v>0</v>
      </c>
      <c r="L474" t="n">
        <v>0</v>
      </c>
      <c r="M474" t="n">
        <v>0</v>
      </c>
      <c r="N474" t="n">
        <v>0</v>
      </c>
      <c r="O474" t="n">
        <v>0</v>
      </c>
      <c r="P474" t="n">
        <v>0</v>
      </c>
      <c r="Q474" t="n">
        <v>0</v>
      </c>
      <c r="R474" s="2" t="inlineStr"/>
    </row>
    <row r="475" ht="15" customHeight="1">
      <c r="A475" t="inlineStr">
        <is>
          <t>A 20937-2025</t>
        </is>
      </c>
      <c r="B475" s="1" t="n">
        <v>45777.42769675926</v>
      </c>
      <c r="C475" s="1" t="n">
        <v>45930</v>
      </c>
      <c r="D475" t="inlineStr">
        <is>
          <t>DALARNAS LÄN</t>
        </is>
      </c>
      <c r="E475" t="inlineStr">
        <is>
          <t>LEKSAND</t>
        </is>
      </c>
      <c r="G475" t="n">
        <v>2.2</v>
      </c>
      <c r="H475" t="n">
        <v>0</v>
      </c>
      <c r="I475" t="n">
        <v>0</v>
      </c>
      <c r="J475" t="n">
        <v>0</v>
      </c>
      <c r="K475" t="n">
        <v>0</v>
      </c>
      <c r="L475" t="n">
        <v>0</v>
      </c>
      <c r="M475" t="n">
        <v>0</v>
      </c>
      <c r="N475" t="n">
        <v>0</v>
      </c>
      <c r="O475" t="n">
        <v>0</v>
      </c>
      <c r="P475" t="n">
        <v>0</v>
      </c>
      <c r="Q475" t="n">
        <v>0</v>
      </c>
      <c r="R475" s="2" t="inlineStr"/>
    </row>
    <row r="476" ht="15" customHeight="1">
      <c r="A476" t="inlineStr">
        <is>
          <t>A 21457-2025</t>
        </is>
      </c>
      <c r="B476" s="1" t="n">
        <v>45782.55451388889</v>
      </c>
      <c r="C476" s="1" t="n">
        <v>45930</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21230-2025</t>
        </is>
      </c>
      <c r="B477" s="1" t="n">
        <v>45779.54589120371</v>
      </c>
      <c r="C477" s="1" t="n">
        <v>45930</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21193-2025</t>
        </is>
      </c>
      <c r="B478" s="1" t="n">
        <v>45779.46675925926</v>
      </c>
      <c r="C478" s="1" t="n">
        <v>45930</v>
      </c>
      <c r="D478" t="inlineStr">
        <is>
          <t>DALARNAS LÄN</t>
        </is>
      </c>
      <c r="E478" t="inlineStr">
        <is>
          <t>LEKSAND</t>
        </is>
      </c>
      <c r="G478" t="n">
        <v>3.7</v>
      </c>
      <c r="H478" t="n">
        <v>0</v>
      </c>
      <c r="I478" t="n">
        <v>0</v>
      </c>
      <c r="J478" t="n">
        <v>0</v>
      </c>
      <c r="K478" t="n">
        <v>0</v>
      </c>
      <c r="L478" t="n">
        <v>0</v>
      </c>
      <c r="M478" t="n">
        <v>0</v>
      </c>
      <c r="N478" t="n">
        <v>0</v>
      </c>
      <c r="O478" t="n">
        <v>0</v>
      </c>
      <c r="P478" t="n">
        <v>0</v>
      </c>
      <c r="Q478" t="n">
        <v>0</v>
      </c>
      <c r="R478" s="2" t="inlineStr"/>
    </row>
    <row r="479" ht="15" customHeight="1">
      <c r="A479" t="inlineStr">
        <is>
          <t>A 23896-2024</t>
        </is>
      </c>
      <c r="B479" s="1" t="n">
        <v>45455.6758449074</v>
      </c>
      <c r="C479" s="1" t="n">
        <v>45930</v>
      </c>
      <c r="D479" t="inlineStr">
        <is>
          <t>DALARNAS LÄN</t>
        </is>
      </c>
      <c r="E479" t="inlineStr">
        <is>
          <t>LEKSAND</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28578-2023</t>
        </is>
      </c>
      <c r="B480" s="1" t="n">
        <v>45103</v>
      </c>
      <c r="C480" s="1" t="n">
        <v>45930</v>
      </c>
      <c r="D480" t="inlineStr">
        <is>
          <t>DALARNAS LÄN</t>
        </is>
      </c>
      <c r="E480" t="inlineStr">
        <is>
          <t>LEKSAND</t>
        </is>
      </c>
      <c r="G480" t="n">
        <v>4.4</v>
      </c>
      <c r="H480" t="n">
        <v>0</v>
      </c>
      <c r="I480" t="n">
        <v>0</v>
      </c>
      <c r="J480" t="n">
        <v>0</v>
      </c>
      <c r="K480" t="n">
        <v>0</v>
      </c>
      <c r="L480" t="n">
        <v>0</v>
      </c>
      <c r="M480" t="n">
        <v>0</v>
      </c>
      <c r="N480" t="n">
        <v>0</v>
      </c>
      <c r="O480" t="n">
        <v>0</v>
      </c>
      <c r="P480" t="n">
        <v>0</v>
      </c>
      <c r="Q480" t="n">
        <v>0</v>
      </c>
      <c r="R480" s="2" t="inlineStr"/>
    </row>
    <row r="481" ht="15" customHeight="1">
      <c r="A481" t="inlineStr">
        <is>
          <t>A 11872-2024</t>
        </is>
      </c>
      <c r="B481" s="1" t="n">
        <v>45376.46833333333</v>
      </c>
      <c r="C481" s="1" t="n">
        <v>45930</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21600-2025</t>
        </is>
      </c>
      <c r="B482" s="1" t="n">
        <v>45783.3521875</v>
      </c>
      <c r="C482" s="1" t="n">
        <v>45930</v>
      </c>
      <c r="D482" t="inlineStr">
        <is>
          <t>DALARNAS LÄN</t>
        </is>
      </c>
      <c r="E482" t="inlineStr">
        <is>
          <t>LEKSAND</t>
        </is>
      </c>
      <c r="G482" t="n">
        <v>7.7</v>
      </c>
      <c r="H482" t="n">
        <v>0</v>
      </c>
      <c r="I482" t="n">
        <v>0</v>
      </c>
      <c r="J482" t="n">
        <v>0</v>
      </c>
      <c r="K482" t="n">
        <v>0</v>
      </c>
      <c r="L482" t="n">
        <v>0</v>
      </c>
      <c r="M482" t="n">
        <v>0</v>
      </c>
      <c r="N482" t="n">
        <v>0</v>
      </c>
      <c r="O482" t="n">
        <v>0</v>
      </c>
      <c r="P482" t="n">
        <v>0</v>
      </c>
      <c r="Q482" t="n">
        <v>0</v>
      </c>
      <c r="R482" s="2" t="inlineStr"/>
    </row>
    <row r="483" ht="15" customHeight="1">
      <c r="A483" t="inlineStr">
        <is>
          <t>A 61288-2022</t>
        </is>
      </c>
      <c r="B483" s="1" t="n">
        <v>44915</v>
      </c>
      <c r="C483" s="1" t="n">
        <v>45930</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20936-2023</t>
        </is>
      </c>
      <c r="B484" s="1" t="n">
        <v>45061</v>
      </c>
      <c r="C484" s="1" t="n">
        <v>45930</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40627-2023</t>
        </is>
      </c>
      <c r="B485" s="1" t="n">
        <v>45170</v>
      </c>
      <c r="C485" s="1" t="n">
        <v>45930</v>
      </c>
      <c r="D485" t="inlineStr">
        <is>
          <t>DALARNAS LÄN</t>
        </is>
      </c>
      <c r="E485" t="inlineStr">
        <is>
          <t>LEKSAND</t>
        </is>
      </c>
      <c r="F485" t="inlineStr">
        <is>
          <t>Bergvik skog väst AB</t>
        </is>
      </c>
      <c r="G485" t="n">
        <v>3.3</v>
      </c>
      <c r="H485" t="n">
        <v>0</v>
      </c>
      <c r="I485" t="n">
        <v>0</v>
      </c>
      <c r="J485" t="n">
        <v>0</v>
      </c>
      <c r="K485" t="n">
        <v>0</v>
      </c>
      <c r="L485" t="n">
        <v>0</v>
      </c>
      <c r="M485" t="n">
        <v>0</v>
      </c>
      <c r="N485" t="n">
        <v>0</v>
      </c>
      <c r="O485" t="n">
        <v>0</v>
      </c>
      <c r="P485" t="n">
        <v>0</v>
      </c>
      <c r="Q485" t="n">
        <v>0</v>
      </c>
      <c r="R485" s="2" t="inlineStr"/>
    </row>
    <row r="486" ht="15" customHeight="1">
      <c r="A486" t="inlineStr">
        <is>
          <t>A 41169-2024</t>
        </is>
      </c>
      <c r="B486" s="1" t="n">
        <v>45559.48637731482</v>
      </c>
      <c r="C486" s="1" t="n">
        <v>45930</v>
      </c>
      <c r="D486" t="inlineStr">
        <is>
          <t>DALARNAS LÄN</t>
        </is>
      </c>
      <c r="E486" t="inlineStr">
        <is>
          <t>LEKSAND</t>
        </is>
      </c>
      <c r="G486" t="n">
        <v>8.9</v>
      </c>
      <c r="H486" t="n">
        <v>0</v>
      </c>
      <c r="I486" t="n">
        <v>0</v>
      </c>
      <c r="J486" t="n">
        <v>0</v>
      </c>
      <c r="K486" t="n">
        <v>0</v>
      </c>
      <c r="L486" t="n">
        <v>0</v>
      </c>
      <c r="M486" t="n">
        <v>0</v>
      </c>
      <c r="N486" t="n">
        <v>0</v>
      </c>
      <c r="O486" t="n">
        <v>0</v>
      </c>
      <c r="P486" t="n">
        <v>0</v>
      </c>
      <c r="Q486" t="n">
        <v>0</v>
      </c>
      <c r="R486" s="2" t="inlineStr"/>
    </row>
    <row r="487" ht="15" customHeight="1">
      <c r="A487" t="inlineStr">
        <is>
          <t>A 21916-2025</t>
        </is>
      </c>
      <c r="B487" s="1" t="n">
        <v>45784.50115740741</v>
      </c>
      <c r="C487" s="1" t="n">
        <v>45930</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14967-2023</t>
        </is>
      </c>
      <c r="B488" s="1" t="n">
        <v>45015</v>
      </c>
      <c r="C488" s="1" t="n">
        <v>45930</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62307-2023</t>
        </is>
      </c>
      <c r="B489" s="1" t="n">
        <v>45266</v>
      </c>
      <c r="C489" s="1" t="n">
        <v>45930</v>
      </c>
      <c r="D489" t="inlineStr">
        <is>
          <t>DALARNAS LÄN</t>
        </is>
      </c>
      <c r="E489" t="inlineStr">
        <is>
          <t>LEKSAND</t>
        </is>
      </c>
      <c r="G489" t="n">
        <v>3.9</v>
      </c>
      <c r="H489" t="n">
        <v>0</v>
      </c>
      <c r="I489" t="n">
        <v>0</v>
      </c>
      <c r="J489" t="n">
        <v>0</v>
      </c>
      <c r="K489" t="n">
        <v>0</v>
      </c>
      <c r="L489" t="n">
        <v>0</v>
      </c>
      <c r="M489" t="n">
        <v>0</v>
      </c>
      <c r="N489" t="n">
        <v>0</v>
      </c>
      <c r="O489" t="n">
        <v>0</v>
      </c>
      <c r="P489" t="n">
        <v>0</v>
      </c>
      <c r="Q489" t="n">
        <v>0</v>
      </c>
      <c r="R489" s="2" t="inlineStr"/>
    </row>
    <row r="490" ht="15" customHeight="1">
      <c r="A490" t="inlineStr">
        <is>
          <t>A 61554-2024</t>
        </is>
      </c>
      <c r="B490" s="1" t="n">
        <v>45646.60748842593</v>
      </c>
      <c r="C490" s="1" t="n">
        <v>45930</v>
      </c>
      <c r="D490" t="inlineStr">
        <is>
          <t>DALARNAS LÄN</t>
        </is>
      </c>
      <c r="E490" t="inlineStr">
        <is>
          <t>LEKSAND</t>
        </is>
      </c>
      <c r="G490" t="n">
        <v>2.6</v>
      </c>
      <c r="H490" t="n">
        <v>0</v>
      </c>
      <c r="I490" t="n">
        <v>0</v>
      </c>
      <c r="J490" t="n">
        <v>0</v>
      </c>
      <c r="K490" t="n">
        <v>0</v>
      </c>
      <c r="L490" t="n">
        <v>0</v>
      </c>
      <c r="M490" t="n">
        <v>0</v>
      </c>
      <c r="N490" t="n">
        <v>0</v>
      </c>
      <c r="O490" t="n">
        <v>0</v>
      </c>
      <c r="P490" t="n">
        <v>0</v>
      </c>
      <c r="Q490" t="n">
        <v>0</v>
      </c>
      <c r="R490" s="2" t="inlineStr"/>
    </row>
    <row r="491" ht="15" customHeight="1">
      <c r="A491" t="inlineStr">
        <is>
          <t>A 36534-2024</t>
        </is>
      </c>
      <c r="B491" s="1" t="n">
        <v>45537.45143518518</v>
      </c>
      <c r="C491" s="1" t="n">
        <v>45930</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17377-2025</t>
        </is>
      </c>
      <c r="B492" s="1" t="n">
        <v>45756.983125</v>
      </c>
      <c r="C492" s="1" t="n">
        <v>45930</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61269-2022</t>
        </is>
      </c>
      <c r="B493" s="1" t="n">
        <v>44909</v>
      </c>
      <c r="C493" s="1" t="n">
        <v>45930</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53817-2023</t>
        </is>
      </c>
      <c r="B494" s="1" t="n">
        <v>45231.40488425926</v>
      </c>
      <c r="C494" s="1" t="n">
        <v>45930</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28633-2023</t>
        </is>
      </c>
      <c r="B495" s="1" t="n">
        <v>45103.61575231481</v>
      </c>
      <c r="C495" s="1" t="n">
        <v>45930</v>
      </c>
      <c r="D495" t="inlineStr">
        <is>
          <t>DALARNAS LÄN</t>
        </is>
      </c>
      <c r="E495" t="inlineStr">
        <is>
          <t>LEKSAND</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34244-2024</t>
        </is>
      </c>
      <c r="B496" s="1" t="n">
        <v>45524.58349537037</v>
      </c>
      <c r="C496" s="1" t="n">
        <v>45930</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14943-2023</t>
        </is>
      </c>
      <c r="B497" s="1" t="n">
        <v>45015</v>
      </c>
      <c r="C497" s="1" t="n">
        <v>45930</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41840-2024</t>
        </is>
      </c>
      <c r="B498" s="1" t="n">
        <v>45561.42170138889</v>
      </c>
      <c r="C498" s="1" t="n">
        <v>45930</v>
      </c>
      <c r="D498" t="inlineStr">
        <is>
          <t>DALARNAS LÄN</t>
        </is>
      </c>
      <c r="E498" t="inlineStr">
        <is>
          <t>LEKSAND</t>
        </is>
      </c>
      <c r="G498" t="n">
        <v>0.4</v>
      </c>
      <c r="H498" t="n">
        <v>0</v>
      </c>
      <c r="I498" t="n">
        <v>0</v>
      </c>
      <c r="J498" t="n">
        <v>0</v>
      </c>
      <c r="K498" t="n">
        <v>0</v>
      </c>
      <c r="L498" t="n">
        <v>0</v>
      </c>
      <c r="M498" t="n">
        <v>0</v>
      </c>
      <c r="N498" t="n">
        <v>0</v>
      </c>
      <c r="O498" t="n">
        <v>0</v>
      </c>
      <c r="P498" t="n">
        <v>0</v>
      </c>
      <c r="Q498" t="n">
        <v>0</v>
      </c>
      <c r="R498" s="2" t="inlineStr"/>
    </row>
    <row r="499" ht="15" customHeight="1">
      <c r="A499" t="inlineStr">
        <is>
          <t>A 33143-2024</t>
        </is>
      </c>
      <c r="B499" s="1" t="n">
        <v>45518</v>
      </c>
      <c r="C499" s="1" t="n">
        <v>45930</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7861-2024</t>
        </is>
      </c>
      <c r="B500" s="1" t="n">
        <v>45350.30831018519</v>
      </c>
      <c r="C500" s="1" t="n">
        <v>45930</v>
      </c>
      <c r="D500" t="inlineStr">
        <is>
          <t>DALARNAS LÄN</t>
        </is>
      </c>
      <c r="E500" t="inlineStr">
        <is>
          <t>LEKSAND</t>
        </is>
      </c>
      <c r="G500" t="n">
        <v>1.8</v>
      </c>
      <c r="H500" t="n">
        <v>0</v>
      </c>
      <c r="I500" t="n">
        <v>0</v>
      </c>
      <c r="J500" t="n">
        <v>0</v>
      </c>
      <c r="K500" t="n">
        <v>0</v>
      </c>
      <c r="L500" t="n">
        <v>0</v>
      </c>
      <c r="M500" t="n">
        <v>0</v>
      </c>
      <c r="N500" t="n">
        <v>0</v>
      </c>
      <c r="O500" t="n">
        <v>0</v>
      </c>
      <c r="P500" t="n">
        <v>0</v>
      </c>
      <c r="Q500" t="n">
        <v>0</v>
      </c>
      <c r="R500" s="2" t="inlineStr"/>
    </row>
    <row r="501" ht="15" customHeight="1">
      <c r="A501" t="inlineStr">
        <is>
          <t>A 22080-2025</t>
        </is>
      </c>
      <c r="B501" s="1" t="n">
        <v>45785</v>
      </c>
      <c r="C501" s="1" t="n">
        <v>45930</v>
      </c>
      <c r="D501" t="inlineStr">
        <is>
          <t>DALARNAS LÄN</t>
        </is>
      </c>
      <c r="E501" t="inlineStr">
        <is>
          <t>LEKSAND</t>
        </is>
      </c>
      <c r="G501" t="n">
        <v>7</v>
      </c>
      <c r="H501" t="n">
        <v>0</v>
      </c>
      <c r="I501" t="n">
        <v>0</v>
      </c>
      <c r="J501" t="n">
        <v>0</v>
      </c>
      <c r="K501" t="n">
        <v>0</v>
      </c>
      <c r="L501" t="n">
        <v>0</v>
      </c>
      <c r="M501" t="n">
        <v>0</v>
      </c>
      <c r="N501" t="n">
        <v>0</v>
      </c>
      <c r="O501" t="n">
        <v>0</v>
      </c>
      <c r="P501" t="n">
        <v>0</v>
      </c>
      <c r="Q501" t="n">
        <v>0</v>
      </c>
      <c r="R501" s="2" t="inlineStr"/>
    </row>
    <row r="502" ht="15" customHeight="1">
      <c r="A502" t="inlineStr">
        <is>
          <t>A 22536-2025</t>
        </is>
      </c>
      <c r="B502" s="1" t="n">
        <v>45787.33037037037</v>
      </c>
      <c r="C502" s="1" t="n">
        <v>45930</v>
      </c>
      <c r="D502" t="inlineStr">
        <is>
          <t>DALARNAS LÄN</t>
        </is>
      </c>
      <c r="E502" t="inlineStr">
        <is>
          <t>LEKSAND</t>
        </is>
      </c>
      <c r="G502" t="n">
        <v>1.8</v>
      </c>
      <c r="H502" t="n">
        <v>0</v>
      </c>
      <c r="I502" t="n">
        <v>0</v>
      </c>
      <c r="J502" t="n">
        <v>0</v>
      </c>
      <c r="K502" t="n">
        <v>0</v>
      </c>
      <c r="L502" t="n">
        <v>0</v>
      </c>
      <c r="M502" t="n">
        <v>0</v>
      </c>
      <c r="N502" t="n">
        <v>0</v>
      </c>
      <c r="O502" t="n">
        <v>0</v>
      </c>
      <c r="P502" t="n">
        <v>0</v>
      </c>
      <c r="Q502" t="n">
        <v>0</v>
      </c>
      <c r="R502" s="2" t="inlineStr"/>
    </row>
    <row r="503" ht="15" customHeight="1">
      <c r="A503" t="inlineStr">
        <is>
          <t>A 60042-2023</t>
        </is>
      </c>
      <c r="B503" s="1" t="n">
        <v>45256</v>
      </c>
      <c r="C503" s="1" t="n">
        <v>45930</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45930</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45930</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23517-2025</t>
        </is>
      </c>
      <c r="B506" s="1" t="n">
        <v>45792</v>
      </c>
      <c r="C506" s="1" t="n">
        <v>45930</v>
      </c>
      <c r="D506" t="inlineStr">
        <is>
          <t>DALARNAS LÄN</t>
        </is>
      </c>
      <c r="E506" t="inlineStr">
        <is>
          <t>LEKSAND</t>
        </is>
      </c>
      <c r="G506" t="n">
        <v>2.2</v>
      </c>
      <c r="H506" t="n">
        <v>0</v>
      </c>
      <c r="I506" t="n">
        <v>0</v>
      </c>
      <c r="J506" t="n">
        <v>0</v>
      </c>
      <c r="K506" t="n">
        <v>0</v>
      </c>
      <c r="L506" t="n">
        <v>0</v>
      </c>
      <c r="M506" t="n">
        <v>0</v>
      </c>
      <c r="N506" t="n">
        <v>0</v>
      </c>
      <c r="O506" t="n">
        <v>0</v>
      </c>
      <c r="P506" t="n">
        <v>0</v>
      </c>
      <c r="Q506" t="n">
        <v>0</v>
      </c>
      <c r="R506" s="2" t="inlineStr"/>
    </row>
    <row r="507" ht="15" customHeight="1">
      <c r="A507" t="inlineStr">
        <is>
          <t>A 23058-2025</t>
        </is>
      </c>
      <c r="B507" s="1" t="n">
        <v>45790.78076388889</v>
      </c>
      <c r="C507" s="1" t="n">
        <v>45930</v>
      </c>
      <c r="D507" t="inlineStr">
        <is>
          <t>DALARNAS LÄN</t>
        </is>
      </c>
      <c r="E507" t="inlineStr">
        <is>
          <t>LEKSAND</t>
        </is>
      </c>
      <c r="G507" t="n">
        <v>6.7</v>
      </c>
      <c r="H507" t="n">
        <v>0</v>
      </c>
      <c r="I507" t="n">
        <v>0</v>
      </c>
      <c r="J507" t="n">
        <v>0</v>
      </c>
      <c r="K507" t="n">
        <v>0</v>
      </c>
      <c r="L507" t="n">
        <v>0</v>
      </c>
      <c r="M507" t="n">
        <v>0</v>
      </c>
      <c r="N507" t="n">
        <v>0</v>
      </c>
      <c r="O507" t="n">
        <v>0</v>
      </c>
      <c r="P507" t="n">
        <v>0</v>
      </c>
      <c r="Q507" t="n">
        <v>0</v>
      </c>
      <c r="R507" s="2" t="inlineStr"/>
    </row>
    <row r="508" ht="15" customHeight="1">
      <c r="A508" t="inlineStr">
        <is>
          <t>A 23076-2025</t>
        </is>
      </c>
      <c r="B508" s="1" t="n">
        <v>45790.90960648148</v>
      </c>
      <c r="C508" s="1" t="n">
        <v>45930</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11128-2023</t>
        </is>
      </c>
      <c r="B509" s="1" t="n">
        <v>44992</v>
      </c>
      <c r="C509" s="1" t="n">
        <v>45930</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11218-2023</t>
        </is>
      </c>
      <c r="B510" s="1" t="n">
        <v>44992.62401620371</v>
      </c>
      <c r="C510" s="1" t="n">
        <v>45930</v>
      </c>
      <c r="D510" t="inlineStr">
        <is>
          <t>DALARNAS LÄN</t>
        </is>
      </c>
      <c r="E510" t="inlineStr">
        <is>
          <t>LEKSAND</t>
        </is>
      </c>
      <c r="G510" t="n">
        <v>2.6</v>
      </c>
      <c r="H510" t="n">
        <v>0</v>
      </c>
      <c r="I510" t="n">
        <v>0</v>
      </c>
      <c r="J510" t="n">
        <v>0</v>
      </c>
      <c r="K510" t="n">
        <v>0</v>
      </c>
      <c r="L510" t="n">
        <v>0</v>
      </c>
      <c r="M510" t="n">
        <v>0</v>
      </c>
      <c r="N510" t="n">
        <v>0</v>
      </c>
      <c r="O510" t="n">
        <v>0</v>
      </c>
      <c r="P510" t="n">
        <v>0</v>
      </c>
      <c r="Q510" t="n">
        <v>0</v>
      </c>
      <c r="R510" s="2" t="inlineStr"/>
    </row>
    <row r="511" ht="15" customHeight="1">
      <c r="A511" t="inlineStr">
        <is>
          <t>A 60024-2023</t>
        </is>
      </c>
      <c r="B511" s="1" t="n">
        <v>45258</v>
      </c>
      <c r="C511" s="1" t="n">
        <v>45930</v>
      </c>
      <c r="D511" t="inlineStr">
        <is>
          <t>DALARNAS LÄN</t>
        </is>
      </c>
      <c r="E511" t="inlineStr">
        <is>
          <t>LEKSAND</t>
        </is>
      </c>
      <c r="G511" t="n">
        <v>4.2</v>
      </c>
      <c r="H511" t="n">
        <v>0</v>
      </c>
      <c r="I511" t="n">
        <v>0</v>
      </c>
      <c r="J511" t="n">
        <v>0</v>
      </c>
      <c r="K511" t="n">
        <v>0</v>
      </c>
      <c r="L511" t="n">
        <v>0</v>
      </c>
      <c r="M511" t="n">
        <v>0</v>
      </c>
      <c r="N511" t="n">
        <v>0</v>
      </c>
      <c r="O511" t="n">
        <v>0</v>
      </c>
      <c r="P511" t="n">
        <v>0</v>
      </c>
      <c r="Q511" t="n">
        <v>0</v>
      </c>
      <c r="R511" s="2" t="inlineStr"/>
    </row>
    <row r="512" ht="15" customHeight="1">
      <c r="A512" t="inlineStr">
        <is>
          <t>A 11859-2024</t>
        </is>
      </c>
      <c r="B512" s="1" t="n">
        <v>45376.44569444445</v>
      </c>
      <c r="C512" s="1" t="n">
        <v>45930</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57468-2023</t>
        </is>
      </c>
      <c r="B513" s="1" t="n">
        <v>45246</v>
      </c>
      <c r="C513" s="1" t="n">
        <v>45930</v>
      </c>
      <c r="D513" t="inlineStr">
        <is>
          <t>DALARNAS LÄN</t>
        </is>
      </c>
      <c r="E513" t="inlineStr">
        <is>
          <t>LEKSAND</t>
        </is>
      </c>
      <c r="G513" t="n">
        <v>4.6</v>
      </c>
      <c r="H513" t="n">
        <v>0</v>
      </c>
      <c r="I513" t="n">
        <v>0</v>
      </c>
      <c r="J513" t="n">
        <v>0</v>
      </c>
      <c r="K513" t="n">
        <v>0</v>
      </c>
      <c r="L513" t="n">
        <v>0</v>
      </c>
      <c r="M513" t="n">
        <v>0</v>
      </c>
      <c r="N513" t="n">
        <v>0</v>
      </c>
      <c r="O513" t="n">
        <v>0</v>
      </c>
      <c r="P513" t="n">
        <v>0</v>
      </c>
      <c r="Q513" t="n">
        <v>0</v>
      </c>
      <c r="R513" s="2" t="inlineStr"/>
    </row>
    <row r="514" ht="15" customHeight="1">
      <c r="A514" t="inlineStr">
        <is>
          <t>A 62133-2023</t>
        </is>
      </c>
      <c r="B514" s="1" t="n">
        <v>45267.35582175926</v>
      </c>
      <c r="C514" s="1" t="n">
        <v>45930</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44822-2024</t>
        </is>
      </c>
      <c r="B515" s="1" t="n">
        <v>45574.6646412037</v>
      </c>
      <c r="C515" s="1" t="n">
        <v>45930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58495-2023</t>
        </is>
      </c>
      <c r="B516" s="1" t="n">
        <v>45251</v>
      </c>
      <c r="C516" s="1" t="n">
        <v>45930</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49499-2024</t>
        </is>
      </c>
      <c r="B517" s="1" t="n">
        <v>45596</v>
      </c>
      <c r="C517" s="1" t="n">
        <v>45930</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6039-2023</t>
        </is>
      </c>
      <c r="B518" s="1" t="n">
        <v>44959</v>
      </c>
      <c r="C518" s="1" t="n">
        <v>45930</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22517-2024</t>
        </is>
      </c>
      <c r="B519" s="1" t="n">
        <v>45447.40143518519</v>
      </c>
      <c r="C519" s="1" t="n">
        <v>45930</v>
      </c>
      <c r="D519" t="inlineStr">
        <is>
          <t>DALARNAS LÄN</t>
        </is>
      </c>
      <c r="E519" t="inlineStr">
        <is>
          <t>LEKSAND</t>
        </is>
      </c>
      <c r="G519" t="n">
        <v>0.4</v>
      </c>
      <c r="H519" t="n">
        <v>0</v>
      </c>
      <c r="I519" t="n">
        <v>0</v>
      </c>
      <c r="J519" t="n">
        <v>0</v>
      </c>
      <c r="K519" t="n">
        <v>0</v>
      </c>
      <c r="L519" t="n">
        <v>0</v>
      </c>
      <c r="M519" t="n">
        <v>0</v>
      </c>
      <c r="N519" t="n">
        <v>0</v>
      </c>
      <c r="O519" t="n">
        <v>0</v>
      </c>
      <c r="P519" t="n">
        <v>0</v>
      </c>
      <c r="Q519" t="n">
        <v>0</v>
      </c>
      <c r="R519" s="2" t="inlineStr"/>
    </row>
    <row r="520" ht="15" customHeight="1">
      <c r="A520" t="inlineStr">
        <is>
          <t>A 23855-2025</t>
        </is>
      </c>
      <c r="B520" s="1" t="n">
        <v>45793.65900462963</v>
      </c>
      <c r="C520" s="1" t="n">
        <v>45930</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52801-2023</t>
        </is>
      </c>
      <c r="B521" s="1" t="n">
        <v>45219</v>
      </c>
      <c r="C521" s="1" t="n">
        <v>45930</v>
      </c>
      <c r="D521" t="inlineStr">
        <is>
          <t>DALARNAS LÄN</t>
        </is>
      </c>
      <c r="E521" t="inlineStr">
        <is>
          <t>LEKSAND</t>
        </is>
      </c>
      <c r="G521" t="n">
        <v>4.9</v>
      </c>
      <c r="H521" t="n">
        <v>0</v>
      </c>
      <c r="I521" t="n">
        <v>0</v>
      </c>
      <c r="J521" t="n">
        <v>0</v>
      </c>
      <c r="K521" t="n">
        <v>0</v>
      </c>
      <c r="L521" t="n">
        <v>0</v>
      </c>
      <c r="M521" t="n">
        <v>0</v>
      </c>
      <c r="N521" t="n">
        <v>0</v>
      </c>
      <c r="O521" t="n">
        <v>0</v>
      </c>
      <c r="P521" t="n">
        <v>0</v>
      </c>
      <c r="Q521" t="n">
        <v>0</v>
      </c>
      <c r="R521" s="2" t="inlineStr"/>
    </row>
    <row r="522" ht="15" customHeight="1">
      <c r="A522" t="inlineStr">
        <is>
          <t>A 45768-2023</t>
        </is>
      </c>
      <c r="B522" s="1" t="n">
        <v>45195</v>
      </c>
      <c r="C522" s="1" t="n">
        <v>45930</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16829-2025</t>
        </is>
      </c>
      <c r="B523" s="1" t="n">
        <v>45754</v>
      </c>
      <c r="C523" s="1" t="n">
        <v>45930</v>
      </c>
      <c r="D523" t="inlineStr">
        <is>
          <t>DALARNAS LÄN</t>
        </is>
      </c>
      <c r="E523" t="inlineStr">
        <is>
          <t>LEKSAND</t>
        </is>
      </c>
      <c r="F523" t="inlineStr">
        <is>
          <t>Bergvik skog väst AB</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45930</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7450-2023</t>
        </is>
      </c>
      <c r="B525" s="1" t="n">
        <v>44971</v>
      </c>
      <c r="C525" s="1" t="n">
        <v>45930</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41306-2024</t>
        </is>
      </c>
      <c r="B526" s="1" t="n">
        <v>45559.62550925926</v>
      </c>
      <c r="C526" s="1" t="n">
        <v>45930</v>
      </c>
      <c r="D526" t="inlineStr">
        <is>
          <t>DALARNAS LÄN</t>
        </is>
      </c>
      <c r="E526" t="inlineStr">
        <is>
          <t>LEKSAND</t>
        </is>
      </c>
      <c r="G526" t="n">
        <v>0.5</v>
      </c>
      <c r="H526" t="n">
        <v>0</v>
      </c>
      <c r="I526" t="n">
        <v>0</v>
      </c>
      <c r="J526" t="n">
        <v>0</v>
      </c>
      <c r="K526" t="n">
        <v>0</v>
      </c>
      <c r="L526" t="n">
        <v>0</v>
      </c>
      <c r="M526" t="n">
        <v>0</v>
      </c>
      <c r="N526" t="n">
        <v>0</v>
      </c>
      <c r="O526" t="n">
        <v>0</v>
      </c>
      <c r="P526" t="n">
        <v>0</v>
      </c>
      <c r="Q526" t="n">
        <v>0</v>
      </c>
      <c r="R526" s="2" t="inlineStr"/>
    </row>
    <row r="527" ht="15" customHeight="1">
      <c r="A527" t="inlineStr">
        <is>
          <t>A 36450-2023</t>
        </is>
      </c>
      <c r="B527" s="1" t="n">
        <v>45152.64842592592</v>
      </c>
      <c r="C527" s="1" t="n">
        <v>45930</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1458-2024</t>
        </is>
      </c>
      <c r="B528" s="1" t="n">
        <v>45303</v>
      </c>
      <c r="C528" s="1" t="n">
        <v>45930</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1461-2024</t>
        </is>
      </c>
      <c r="B529" s="1" t="n">
        <v>45303</v>
      </c>
      <c r="C529" s="1" t="n">
        <v>45930</v>
      </c>
      <c r="D529" t="inlineStr">
        <is>
          <t>DALARNAS LÄN</t>
        </is>
      </c>
      <c r="E529" t="inlineStr">
        <is>
          <t>LEKSAND</t>
        </is>
      </c>
      <c r="G529" t="n">
        <v>2.4</v>
      </c>
      <c r="H529" t="n">
        <v>0</v>
      </c>
      <c r="I529" t="n">
        <v>0</v>
      </c>
      <c r="J529" t="n">
        <v>0</v>
      </c>
      <c r="K529" t="n">
        <v>0</v>
      </c>
      <c r="L529" t="n">
        <v>0</v>
      </c>
      <c r="M529" t="n">
        <v>0</v>
      </c>
      <c r="N529" t="n">
        <v>0</v>
      </c>
      <c r="O529" t="n">
        <v>0</v>
      </c>
      <c r="P529" t="n">
        <v>0</v>
      </c>
      <c r="Q529" t="n">
        <v>0</v>
      </c>
      <c r="R529" s="2" t="inlineStr"/>
    </row>
    <row r="530" ht="15" customHeight="1">
      <c r="A530" t="inlineStr">
        <is>
          <t>A 3737-2023</t>
        </is>
      </c>
      <c r="B530" s="1" t="n">
        <v>44951.42983796296</v>
      </c>
      <c r="C530" s="1" t="n">
        <v>45930</v>
      </c>
      <c r="D530" t="inlineStr">
        <is>
          <t>DALARNAS LÄN</t>
        </is>
      </c>
      <c r="E530" t="inlineStr">
        <is>
          <t>LEKSAND</t>
        </is>
      </c>
      <c r="G530" t="n">
        <v>3.1</v>
      </c>
      <c r="H530" t="n">
        <v>0</v>
      </c>
      <c r="I530" t="n">
        <v>0</v>
      </c>
      <c r="J530" t="n">
        <v>0</v>
      </c>
      <c r="K530" t="n">
        <v>0</v>
      </c>
      <c r="L530" t="n">
        <v>0</v>
      </c>
      <c r="M530" t="n">
        <v>0</v>
      </c>
      <c r="N530" t="n">
        <v>0</v>
      </c>
      <c r="O530" t="n">
        <v>0</v>
      </c>
      <c r="P530" t="n">
        <v>0</v>
      </c>
      <c r="Q530" t="n">
        <v>0</v>
      </c>
      <c r="R530" s="2" t="inlineStr"/>
    </row>
    <row r="531" ht="15" customHeight="1">
      <c r="A531" t="inlineStr">
        <is>
          <t>A 23891-2025</t>
        </is>
      </c>
      <c r="B531" s="1" t="n">
        <v>45793</v>
      </c>
      <c r="C531" s="1" t="n">
        <v>45930</v>
      </c>
      <c r="D531" t="inlineStr">
        <is>
          <t>DALARNAS LÄN</t>
        </is>
      </c>
      <c r="E531" t="inlineStr">
        <is>
          <t>LEKSAND</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45930</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45930</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24187-2025</t>
        </is>
      </c>
      <c r="B534" s="1" t="n">
        <v>45796</v>
      </c>
      <c r="C534" s="1" t="n">
        <v>45930</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24188-2025</t>
        </is>
      </c>
      <c r="B535" s="1" t="n">
        <v>45796</v>
      </c>
      <c r="C535" s="1" t="n">
        <v>45930</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56211-2023</t>
        </is>
      </c>
      <c r="B536" s="1" t="n">
        <v>45240</v>
      </c>
      <c r="C536" s="1" t="n">
        <v>45930</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11869-2024</t>
        </is>
      </c>
      <c r="B537" s="1" t="n">
        <v>45376.45800925926</v>
      </c>
      <c r="C537" s="1" t="n">
        <v>45930</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27520-2023</t>
        </is>
      </c>
      <c r="B538" s="1" t="n">
        <v>45097</v>
      </c>
      <c r="C538" s="1" t="n">
        <v>45930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30169-2023</t>
        </is>
      </c>
      <c r="B539" s="1" t="n">
        <v>45110</v>
      </c>
      <c r="C539" s="1" t="n">
        <v>45930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37952-2024</t>
        </is>
      </c>
      <c r="B540" s="1" t="n">
        <v>45544.5200462963</v>
      </c>
      <c r="C540" s="1" t="n">
        <v>45930</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3352-2024</t>
        </is>
      </c>
      <c r="B541" s="1" t="n">
        <v>45317</v>
      </c>
      <c r="C541" s="1" t="n">
        <v>45930</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24373-2025</t>
        </is>
      </c>
      <c r="B542" s="1" t="n">
        <v>45797.61113425926</v>
      </c>
      <c r="C542" s="1" t="n">
        <v>45930</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24317-2025</t>
        </is>
      </c>
      <c r="B543" s="1" t="n">
        <v>45797.53577546297</v>
      </c>
      <c r="C543" s="1" t="n">
        <v>45930</v>
      </c>
      <c r="D543" t="inlineStr">
        <is>
          <t>DALARNAS LÄN</t>
        </is>
      </c>
      <c r="E543" t="inlineStr">
        <is>
          <t>LEKSAND</t>
        </is>
      </c>
      <c r="G543" t="n">
        <v>3.4</v>
      </c>
      <c r="H543" t="n">
        <v>0</v>
      </c>
      <c r="I543" t="n">
        <v>0</v>
      </c>
      <c r="J543" t="n">
        <v>0</v>
      </c>
      <c r="K543" t="n">
        <v>0</v>
      </c>
      <c r="L543" t="n">
        <v>0</v>
      </c>
      <c r="M543" t="n">
        <v>0</v>
      </c>
      <c r="N543" t="n">
        <v>0</v>
      </c>
      <c r="O543" t="n">
        <v>0</v>
      </c>
      <c r="P543" t="n">
        <v>0</v>
      </c>
      <c r="Q543" t="n">
        <v>0</v>
      </c>
      <c r="R543" s="2" t="inlineStr"/>
    </row>
    <row r="544" ht="15" customHeight="1">
      <c r="A544" t="inlineStr">
        <is>
          <t>A 31391-2024</t>
        </is>
      </c>
      <c r="B544" s="1" t="n">
        <v>45505.46616898148</v>
      </c>
      <c r="C544" s="1" t="n">
        <v>45930</v>
      </c>
      <c r="D544" t="inlineStr">
        <is>
          <t>DALARNAS LÄN</t>
        </is>
      </c>
      <c r="E544" t="inlineStr">
        <is>
          <t>LEKSAND</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40868-2024</t>
        </is>
      </c>
      <c r="B545" s="1" t="n">
        <v>45558</v>
      </c>
      <c r="C545" s="1" t="n">
        <v>45930</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22646-2025</t>
        </is>
      </c>
      <c r="B546" s="1" t="n">
        <v>45786</v>
      </c>
      <c r="C546" s="1" t="n">
        <v>45930</v>
      </c>
      <c r="D546" t="inlineStr">
        <is>
          <t>DALARNAS LÄN</t>
        </is>
      </c>
      <c r="E546" t="inlineStr">
        <is>
          <t>LEKSAND</t>
        </is>
      </c>
      <c r="F546" t="inlineStr">
        <is>
          <t>Kommuner</t>
        </is>
      </c>
      <c r="G546" t="n">
        <v>1.6</v>
      </c>
      <c r="H546" t="n">
        <v>0</v>
      </c>
      <c r="I546" t="n">
        <v>0</v>
      </c>
      <c r="J546" t="n">
        <v>0</v>
      </c>
      <c r="K546" t="n">
        <v>0</v>
      </c>
      <c r="L546" t="n">
        <v>0</v>
      </c>
      <c r="M546" t="n">
        <v>0</v>
      </c>
      <c r="N546" t="n">
        <v>0</v>
      </c>
      <c r="O546" t="n">
        <v>0</v>
      </c>
      <c r="P546" t="n">
        <v>0</v>
      </c>
      <c r="Q546" t="n">
        <v>0</v>
      </c>
      <c r="R546" s="2" t="inlineStr"/>
    </row>
    <row r="547" ht="15" customHeight="1">
      <c r="A547" t="inlineStr">
        <is>
          <t>A 24369-2025</t>
        </is>
      </c>
      <c r="B547" s="1" t="n">
        <v>45797.60731481481</v>
      </c>
      <c r="C547" s="1" t="n">
        <v>45930</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24715-2025</t>
        </is>
      </c>
      <c r="B548" s="1" t="n">
        <v>45798.97899305556</v>
      </c>
      <c r="C548" s="1" t="n">
        <v>45930</v>
      </c>
      <c r="D548" t="inlineStr">
        <is>
          <t>DALARNAS LÄN</t>
        </is>
      </c>
      <c r="E548" t="inlineStr">
        <is>
          <t>LEKSAND</t>
        </is>
      </c>
      <c r="G548" t="n">
        <v>8.4</v>
      </c>
      <c r="H548" t="n">
        <v>0</v>
      </c>
      <c r="I548" t="n">
        <v>0</v>
      </c>
      <c r="J548" t="n">
        <v>0</v>
      </c>
      <c r="K548" t="n">
        <v>0</v>
      </c>
      <c r="L548" t="n">
        <v>0</v>
      </c>
      <c r="M548" t="n">
        <v>0</v>
      </c>
      <c r="N548" t="n">
        <v>0</v>
      </c>
      <c r="O548" t="n">
        <v>0</v>
      </c>
      <c r="P548" t="n">
        <v>0</v>
      </c>
      <c r="Q548" t="n">
        <v>0</v>
      </c>
      <c r="R548" s="2" t="inlineStr"/>
    </row>
    <row r="549" ht="15" customHeight="1">
      <c r="A549" t="inlineStr">
        <is>
          <t>A 25096-2025</t>
        </is>
      </c>
      <c r="B549" s="1" t="n">
        <v>45800.33868055556</v>
      </c>
      <c r="C549" s="1" t="n">
        <v>45930</v>
      </c>
      <c r="D549" t="inlineStr">
        <is>
          <t>DALARNAS LÄN</t>
        </is>
      </c>
      <c r="E549" t="inlineStr">
        <is>
          <t>LEKSAND</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45930</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24714-2025</t>
        </is>
      </c>
      <c r="B551" s="1" t="n">
        <v>45798.96927083333</v>
      </c>
      <c r="C551" s="1" t="n">
        <v>45930</v>
      </c>
      <c r="D551" t="inlineStr">
        <is>
          <t>DALARNAS LÄN</t>
        </is>
      </c>
      <c r="E551" t="inlineStr">
        <is>
          <t>LEKSAND</t>
        </is>
      </c>
      <c r="F551" t="inlineStr">
        <is>
          <t>Bergvik skog väst AB</t>
        </is>
      </c>
      <c r="G551" t="n">
        <v>6.2</v>
      </c>
      <c r="H551" t="n">
        <v>0</v>
      </c>
      <c r="I551" t="n">
        <v>0</v>
      </c>
      <c r="J551" t="n">
        <v>0</v>
      </c>
      <c r="K551" t="n">
        <v>0</v>
      </c>
      <c r="L551" t="n">
        <v>0</v>
      </c>
      <c r="M551" t="n">
        <v>0</v>
      </c>
      <c r="N551" t="n">
        <v>0</v>
      </c>
      <c r="O551" t="n">
        <v>0</v>
      </c>
      <c r="P551" t="n">
        <v>0</v>
      </c>
      <c r="Q551" t="n">
        <v>0</v>
      </c>
      <c r="R551" s="2" t="inlineStr"/>
    </row>
    <row r="552" ht="15" customHeight="1">
      <c r="A552" t="inlineStr">
        <is>
          <t>A 31255-2023</t>
        </is>
      </c>
      <c r="B552" s="1" t="n">
        <v>45114.36729166667</v>
      </c>
      <c r="C552" s="1" t="n">
        <v>45930</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25610-2025</t>
        </is>
      </c>
      <c r="B553" s="1" t="n">
        <v>45803.56033564815</v>
      </c>
      <c r="C553" s="1" t="n">
        <v>45930</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11004-2023</t>
        </is>
      </c>
      <c r="B554" s="1" t="n">
        <v>44986</v>
      </c>
      <c r="C554" s="1" t="n">
        <v>45930</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45930</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26386-2025</t>
        </is>
      </c>
      <c r="B556" s="1" t="n">
        <v>45806</v>
      </c>
      <c r="C556" s="1" t="n">
        <v>45930</v>
      </c>
      <c r="D556" t="inlineStr">
        <is>
          <t>DALARNAS LÄN</t>
        </is>
      </c>
      <c r="E556" t="inlineStr">
        <is>
          <t>LEKSAND</t>
        </is>
      </c>
      <c r="F556" t="inlineStr">
        <is>
          <t>Bergvik skog väst AB</t>
        </is>
      </c>
      <c r="G556" t="n">
        <v>26.3</v>
      </c>
      <c r="H556" t="n">
        <v>0</v>
      </c>
      <c r="I556" t="n">
        <v>0</v>
      </c>
      <c r="J556" t="n">
        <v>0</v>
      </c>
      <c r="K556" t="n">
        <v>0</v>
      </c>
      <c r="L556" t="n">
        <v>0</v>
      </c>
      <c r="M556" t="n">
        <v>0</v>
      </c>
      <c r="N556" t="n">
        <v>0</v>
      </c>
      <c r="O556" t="n">
        <v>0</v>
      </c>
      <c r="P556" t="n">
        <v>0</v>
      </c>
      <c r="Q556" t="n">
        <v>0</v>
      </c>
      <c r="R556" s="2" t="inlineStr"/>
    </row>
    <row r="557" ht="15" customHeight="1">
      <c r="A557" t="inlineStr">
        <is>
          <t>A 18107-2025</t>
        </is>
      </c>
      <c r="B557" s="1" t="n">
        <v>45761.55939814815</v>
      </c>
      <c r="C557" s="1" t="n">
        <v>45930</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25329-2022</t>
        </is>
      </c>
      <c r="B558" s="1" t="n">
        <v>44731.8799537037</v>
      </c>
      <c r="C558" s="1" t="n">
        <v>45930</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16051-2023</t>
        </is>
      </c>
      <c r="B559" s="1" t="n">
        <v>45027</v>
      </c>
      <c r="C559" s="1" t="n">
        <v>45930</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56059-2024</t>
        </is>
      </c>
      <c r="B560" s="1" t="n">
        <v>45624.36729166667</v>
      </c>
      <c r="C560" s="1" t="n">
        <v>45930</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45930</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27323-2025</t>
        </is>
      </c>
      <c r="B562" s="1" t="n">
        <v>45812.60392361111</v>
      </c>
      <c r="C562" s="1" t="n">
        <v>45930</v>
      </c>
      <c r="D562" t="inlineStr">
        <is>
          <t>DALARNAS LÄN</t>
        </is>
      </c>
      <c r="E562" t="inlineStr">
        <is>
          <t>LEKSAND</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2579-2022</t>
        </is>
      </c>
      <c r="B563" s="1" t="n">
        <v>44580</v>
      </c>
      <c r="C563" s="1" t="n">
        <v>45930</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49395-2024</t>
        </is>
      </c>
      <c r="B564" s="1" t="n">
        <v>45595</v>
      </c>
      <c r="C564" s="1" t="n">
        <v>45930</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27183-2025</t>
        </is>
      </c>
      <c r="B565" s="1" t="n">
        <v>45812.36097222222</v>
      </c>
      <c r="C565" s="1" t="n">
        <v>45930</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27262-2025</t>
        </is>
      </c>
      <c r="B566" s="1" t="n">
        <v>45812</v>
      </c>
      <c r="C566" s="1" t="n">
        <v>45930</v>
      </c>
      <c r="D566" t="inlineStr">
        <is>
          <t>DALARNAS LÄN</t>
        </is>
      </c>
      <c r="E566" t="inlineStr">
        <is>
          <t>LEKSAND</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27329-2025</t>
        </is>
      </c>
      <c r="B567" s="1" t="n">
        <v>45812.60864583333</v>
      </c>
      <c r="C567" s="1" t="n">
        <v>45930</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27332-2025</t>
        </is>
      </c>
      <c r="B568" s="1" t="n">
        <v>45812.61265046296</v>
      </c>
      <c r="C568" s="1" t="n">
        <v>45930</v>
      </c>
      <c r="D568" t="inlineStr">
        <is>
          <t>DALARNAS LÄN</t>
        </is>
      </c>
      <c r="E568" t="inlineStr">
        <is>
          <t>LEKSAND</t>
        </is>
      </c>
      <c r="F568" t="inlineStr">
        <is>
          <t>Bergvik skog väst AB</t>
        </is>
      </c>
      <c r="G568" t="n">
        <v>2.9</v>
      </c>
      <c r="H568" t="n">
        <v>0</v>
      </c>
      <c r="I568" t="n">
        <v>0</v>
      </c>
      <c r="J568" t="n">
        <v>0</v>
      </c>
      <c r="K568" t="n">
        <v>0</v>
      </c>
      <c r="L568" t="n">
        <v>0</v>
      </c>
      <c r="M568" t="n">
        <v>0</v>
      </c>
      <c r="N568" t="n">
        <v>0</v>
      </c>
      <c r="O568" t="n">
        <v>0</v>
      </c>
      <c r="P568" t="n">
        <v>0</v>
      </c>
      <c r="Q568" t="n">
        <v>0</v>
      </c>
      <c r="R568" s="2" t="inlineStr"/>
    </row>
    <row r="569" ht="15" customHeight="1">
      <c r="A569" t="inlineStr">
        <is>
          <t>A 27682-2025</t>
        </is>
      </c>
      <c r="B569" s="1" t="n">
        <v>45813.64782407408</v>
      </c>
      <c r="C569" s="1" t="n">
        <v>45930</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27705-2025</t>
        </is>
      </c>
      <c r="B570" s="1" t="n">
        <v>45813</v>
      </c>
      <c r="C570" s="1" t="n">
        <v>45930</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27680-2025</t>
        </is>
      </c>
      <c r="B571" s="1" t="n">
        <v>45813.64618055556</v>
      </c>
      <c r="C571" s="1" t="n">
        <v>45930</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28483-2025</t>
        </is>
      </c>
      <c r="B572" s="1" t="n">
        <v>45818</v>
      </c>
      <c r="C572" s="1" t="n">
        <v>45930</v>
      </c>
      <c r="D572" t="inlineStr">
        <is>
          <t>DALARNAS LÄN</t>
        </is>
      </c>
      <c r="E572" t="inlineStr">
        <is>
          <t>LEKSAND</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28505-2025</t>
        </is>
      </c>
      <c r="B573" s="1" t="n">
        <v>45818</v>
      </c>
      <c r="C573" s="1" t="n">
        <v>45930</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28499-2025</t>
        </is>
      </c>
      <c r="B574" s="1" t="n">
        <v>45818</v>
      </c>
      <c r="C574" s="1" t="n">
        <v>45930</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27984-2025</t>
        </is>
      </c>
      <c r="B575" s="1" t="n">
        <v>45817.57710648148</v>
      </c>
      <c r="C575" s="1" t="n">
        <v>45930</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33317-2023</t>
        </is>
      </c>
      <c r="B576" s="1" t="n">
        <v>45127.84586805556</v>
      </c>
      <c r="C576" s="1" t="n">
        <v>45930</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33318-2023</t>
        </is>
      </c>
      <c r="B577" s="1" t="n">
        <v>45127</v>
      </c>
      <c r="C577" s="1" t="n">
        <v>45930</v>
      </c>
      <c r="D577" t="inlineStr">
        <is>
          <t>DALARNAS LÄN</t>
        </is>
      </c>
      <c r="E577" t="inlineStr">
        <is>
          <t>LEKSAND</t>
        </is>
      </c>
      <c r="G577" t="n">
        <v>5.5</v>
      </c>
      <c r="H577" t="n">
        <v>0</v>
      </c>
      <c r="I577" t="n">
        <v>0</v>
      </c>
      <c r="J577" t="n">
        <v>0</v>
      </c>
      <c r="K577" t="n">
        <v>0</v>
      </c>
      <c r="L577" t="n">
        <v>0</v>
      </c>
      <c r="M577" t="n">
        <v>0</v>
      </c>
      <c r="N577" t="n">
        <v>0</v>
      </c>
      <c r="O577" t="n">
        <v>0</v>
      </c>
      <c r="P577" t="n">
        <v>0</v>
      </c>
      <c r="Q577" t="n">
        <v>0</v>
      </c>
      <c r="R577" s="2" t="inlineStr"/>
    </row>
    <row r="578" ht="15" customHeight="1">
      <c r="A578" t="inlineStr">
        <is>
          <t>A 28488-2025</t>
        </is>
      </c>
      <c r="B578" s="1" t="n">
        <v>45818</v>
      </c>
      <c r="C578" s="1" t="n">
        <v>45930</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28770-2025</t>
        </is>
      </c>
      <c r="B579" s="1" t="n">
        <v>45820</v>
      </c>
      <c r="C579" s="1" t="n">
        <v>45930</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28458-2025</t>
        </is>
      </c>
      <c r="B580" s="1" t="n">
        <v>45819.413125</v>
      </c>
      <c r="C580" s="1" t="n">
        <v>45930</v>
      </c>
      <c r="D580" t="inlineStr">
        <is>
          <t>DALARNAS LÄN</t>
        </is>
      </c>
      <c r="E580" t="inlineStr">
        <is>
          <t>LEKSAND</t>
        </is>
      </c>
      <c r="G580" t="n">
        <v>3</v>
      </c>
      <c r="H580" t="n">
        <v>0</v>
      </c>
      <c r="I580" t="n">
        <v>0</v>
      </c>
      <c r="J580" t="n">
        <v>0</v>
      </c>
      <c r="K580" t="n">
        <v>0</v>
      </c>
      <c r="L580" t="n">
        <v>0</v>
      </c>
      <c r="M580" t="n">
        <v>0</v>
      </c>
      <c r="N580" t="n">
        <v>0</v>
      </c>
      <c r="O580" t="n">
        <v>0</v>
      </c>
      <c r="P580" t="n">
        <v>0</v>
      </c>
      <c r="Q580" t="n">
        <v>0</v>
      </c>
      <c r="R580" s="2" t="inlineStr"/>
    </row>
    <row r="581" ht="15" customHeight="1">
      <c r="A581" t="inlineStr">
        <is>
          <t>A 29005-2025</t>
        </is>
      </c>
      <c r="B581" s="1" t="n">
        <v>45821.39326388889</v>
      </c>
      <c r="C581" s="1" t="n">
        <v>45930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28985-2025</t>
        </is>
      </c>
      <c r="B582" s="1" t="n">
        <v>45821.36862268519</v>
      </c>
      <c r="C582" s="1" t="n">
        <v>45930</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29729-2025</t>
        </is>
      </c>
      <c r="B583" s="1" t="n">
        <v>45825.58077546296</v>
      </c>
      <c r="C583" s="1" t="n">
        <v>45930</v>
      </c>
      <c r="D583" t="inlineStr">
        <is>
          <t>DALARNAS LÄN</t>
        </is>
      </c>
      <c r="E583" t="inlineStr">
        <is>
          <t>LEKSAND</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29553-2025</t>
        </is>
      </c>
      <c r="B584" s="1" t="n">
        <v>45825.35315972222</v>
      </c>
      <c r="C584" s="1" t="n">
        <v>45930</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30254-2025</t>
        </is>
      </c>
      <c r="B585" s="1" t="n">
        <v>45827.42336805556</v>
      </c>
      <c r="C585" s="1" t="n">
        <v>45930</v>
      </c>
      <c r="D585" t="inlineStr">
        <is>
          <t>DALARNAS LÄN</t>
        </is>
      </c>
      <c r="E585" t="inlineStr">
        <is>
          <t>LEKSAND</t>
        </is>
      </c>
      <c r="G585" t="n">
        <v>3.5</v>
      </c>
      <c r="H585" t="n">
        <v>0</v>
      </c>
      <c r="I585" t="n">
        <v>0</v>
      </c>
      <c r="J585" t="n">
        <v>0</v>
      </c>
      <c r="K585" t="n">
        <v>0</v>
      </c>
      <c r="L585" t="n">
        <v>0</v>
      </c>
      <c r="M585" t="n">
        <v>0</v>
      </c>
      <c r="N585" t="n">
        <v>0</v>
      </c>
      <c r="O585" t="n">
        <v>0</v>
      </c>
      <c r="P585" t="n">
        <v>0</v>
      </c>
      <c r="Q585" t="n">
        <v>0</v>
      </c>
      <c r="R585" s="2" t="inlineStr"/>
    </row>
    <row r="586" ht="15" customHeight="1">
      <c r="A586" t="inlineStr">
        <is>
          <t>A 40009-2024</t>
        </is>
      </c>
      <c r="B586" s="1" t="n">
        <v>45553.65361111111</v>
      </c>
      <c r="C586" s="1" t="n">
        <v>45930</v>
      </c>
      <c r="D586" t="inlineStr">
        <is>
          <t>DALARNAS LÄN</t>
        </is>
      </c>
      <c r="E586" t="inlineStr">
        <is>
          <t>LEKSAND</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52572-2024</t>
        </is>
      </c>
      <c r="B587" s="1" t="n">
        <v>45609.66488425926</v>
      </c>
      <c r="C587" s="1" t="n">
        <v>45930</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12851-2023</t>
        </is>
      </c>
      <c r="B588" s="1" t="n">
        <v>45001.49347222222</v>
      </c>
      <c r="C588" s="1" t="n">
        <v>45930</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19295-2024</t>
        </is>
      </c>
      <c r="B589" s="1" t="n">
        <v>45428.69106481481</v>
      </c>
      <c r="C589" s="1" t="n">
        <v>45930</v>
      </c>
      <c r="D589" t="inlineStr">
        <is>
          <t>DALARNAS LÄN</t>
        </is>
      </c>
      <c r="E589" t="inlineStr">
        <is>
          <t>LEKSAND</t>
        </is>
      </c>
      <c r="G589" t="n">
        <v>1.6</v>
      </c>
      <c r="H589" t="n">
        <v>0</v>
      </c>
      <c r="I589" t="n">
        <v>0</v>
      </c>
      <c r="J589" t="n">
        <v>0</v>
      </c>
      <c r="K589" t="n">
        <v>0</v>
      </c>
      <c r="L589" t="n">
        <v>0</v>
      </c>
      <c r="M589" t="n">
        <v>0</v>
      </c>
      <c r="N589" t="n">
        <v>0</v>
      </c>
      <c r="O589" t="n">
        <v>0</v>
      </c>
      <c r="P589" t="n">
        <v>0</v>
      </c>
      <c r="Q589" t="n">
        <v>0</v>
      </c>
      <c r="R589" s="2" t="inlineStr"/>
    </row>
    <row r="590" ht="15" customHeight="1">
      <c r="A590" t="inlineStr">
        <is>
          <t>A 30917-2025</t>
        </is>
      </c>
      <c r="B590" s="1" t="n">
        <v>45832.37989583334</v>
      </c>
      <c r="C590" s="1" t="n">
        <v>45930</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31179-2025</t>
        </is>
      </c>
      <c r="B591" s="1" t="n">
        <v>45832.67648148148</v>
      </c>
      <c r="C591" s="1" t="n">
        <v>45930</v>
      </c>
      <c r="D591" t="inlineStr">
        <is>
          <t>DALARNAS LÄN</t>
        </is>
      </c>
      <c r="E591" t="inlineStr">
        <is>
          <t>LEKSAND</t>
        </is>
      </c>
      <c r="G591" t="n">
        <v>4.7</v>
      </c>
      <c r="H591" t="n">
        <v>0</v>
      </c>
      <c r="I591" t="n">
        <v>0</v>
      </c>
      <c r="J591" t="n">
        <v>0</v>
      </c>
      <c r="K591" t="n">
        <v>0</v>
      </c>
      <c r="L591" t="n">
        <v>0</v>
      </c>
      <c r="M591" t="n">
        <v>0</v>
      </c>
      <c r="N591" t="n">
        <v>0</v>
      </c>
      <c r="O591" t="n">
        <v>0</v>
      </c>
      <c r="P591" t="n">
        <v>0</v>
      </c>
      <c r="Q591" t="n">
        <v>0</v>
      </c>
      <c r="R591" s="2" t="inlineStr"/>
    </row>
    <row r="592" ht="15" customHeight="1">
      <c r="A592" t="inlineStr">
        <is>
          <t>A 30969-2025</t>
        </is>
      </c>
      <c r="B592" s="1" t="n">
        <v>45832.45914351852</v>
      </c>
      <c r="C592" s="1" t="n">
        <v>45930</v>
      </c>
      <c r="D592" t="inlineStr">
        <is>
          <t>DALARNAS LÄN</t>
        </is>
      </c>
      <c r="E592" t="inlineStr">
        <is>
          <t>LEKSAND</t>
        </is>
      </c>
      <c r="F592" t="inlineStr">
        <is>
          <t>Bergvik skog väst AB</t>
        </is>
      </c>
      <c r="G592" t="n">
        <v>1.5</v>
      </c>
      <c r="H592" t="n">
        <v>0</v>
      </c>
      <c r="I592" t="n">
        <v>0</v>
      </c>
      <c r="J592" t="n">
        <v>0</v>
      </c>
      <c r="K592" t="n">
        <v>0</v>
      </c>
      <c r="L592" t="n">
        <v>0</v>
      </c>
      <c r="M592" t="n">
        <v>0</v>
      </c>
      <c r="N592" t="n">
        <v>0</v>
      </c>
      <c r="O592" t="n">
        <v>0</v>
      </c>
      <c r="P592" t="n">
        <v>0</v>
      </c>
      <c r="Q592" t="n">
        <v>0</v>
      </c>
      <c r="R592" s="2" t="inlineStr"/>
    </row>
    <row r="593" ht="15" customHeight="1">
      <c r="A593" t="inlineStr">
        <is>
          <t>A 30911-2025</t>
        </is>
      </c>
      <c r="B593" s="1" t="n">
        <v>45832.37547453704</v>
      </c>
      <c r="C593" s="1" t="n">
        <v>45930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30920-2025</t>
        </is>
      </c>
      <c r="B594" s="1" t="n">
        <v>45832.38484953704</v>
      </c>
      <c r="C594" s="1" t="n">
        <v>45930</v>
      </c>
      <c r="D594" t="inlineStr">
        <is>
          <t>DALARNAS LÄN</t>
        </is>
      </c>
      <c r="E594" t="inlineStr">
        <is>
          <t>LEKSAND</t>
        </is>
      </c>
      <c r="G594" t="n">
        <v>1.9</v>
      </c>
      <c r="H594" t="n">
        <v>0</v>
      </c>
      <c r="I594" t="n">
        <v>0</v>
      </c>
      <c r="J594" t="n">
        <v>0</v>
      </c>
      <c r="K594" t="n">
        <v>0</v>
      </c>
      <c r="L594" t="n">
        <v>0</v>
      </c>
      <c r="M594" t="n">
        <v>0</v>
      </c>
      <c r="N594" t="n">
        <v>0</v>
      </c>
      <c r="O594" t="n">
        <v>0</v>
      </c>
      <c r="P594" t="n">
        <v>0</v>
      </c>
      <c r="Q594" t="n">
        <v>0</v>
      </c>
      <c r="R594" s="2" t="inlineStr"/>
    </row>
    <row r="595" ht="15" customHeight="1">
      <c r="A595" t="inlineStr">
        <is>
          <t>A 9781-2024</t>
        </is>
      </c>
      <c r="B595" s="1" t="n">
        <v>45362.66299768518</v>
      </c>
      <c r="C595" s="1" t="n">
        <v>45930</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30916-2025</t>
        </is>
      </c>
      <c r="B596" s="1" t="n">
        <v>45832.37885416667</v>
      </c>
      <c r="C596" s="1" t="n">
        <v>45930</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30973-2025</t>
        </is>
      </c>
      <c r="B597" s="1" t="n">
        <v>45832.46300925926</v>
      </c>
      <c r="C597" s="1" t="n">
        <v>45930</v>
      </c>
      <c r="D597" t="inlineStr">
        <is>
          <t>DALARNAS LÄN</t>
        </is>
      </c>
      <c r="E597" t="inlineStr">
        <is>
          <t>LEKSAND</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31189-2025</t>
        </is>
      </c>
      <c r="B598" s="1" t="n">
        <v>45832.6799537037</v>
      </c>
      <c r="C598" s="1" t="n">
        <v>45930</v>
      </c>
      <c r="D598" t="inlineStr">
        <is>
          <t>DALARNAS LÄN</t>
        </is>
      </c>
      <c r="E598" t="inlineStr">
        <is>
          <t>LEKSAND</t>
        </is>
      </c>
      <c r="G598" t="n">
        <v>5</v>
      </c>
      <c r="H598" t="n">
        <v>0</v>
      </c>
      <c r="I598" t="n">
        <v>0</v>
      </c>
      <c r="J598" t="n">
        <v>0</v>
      </c>
      <c r="K598" t="n">
        <v>0</v>
      </c>
      <c r="L598" t="n">
        <v>0</v>
      </c>
      <c r="M598" t="n">
        <v>0</v>
      </c>
      <c r="N598" t="n">
        <v>0</v>
      </c>
      <c r="O598" t="n">
        <v>0</v>
      </c>
      <c r="P598" t="n">
        <v>0</v>
      </c>
      <c r="Q598" t="n">
        <v>0</v>
      </c>
      <c r="R598" s="2" t="inlineStr"/>
    </row>
    <row r="599" ht="15" customHeight="1">
      <c r="A599" t="inlineStr">
        <is>
          <t>A 63513-2023</t>
        </is>
      </c>
      <c r="B599" s="1" t="n">
        <v>45274</v>
      </c>
      <c r="C599" s="1" t="n">
        <v>45930</v>
      </c>
      <c r="D599" t="inlineStr">
        <is>
          <t>DALARNAS LÄN</t>
        </is>
      </c>
      <c r="E599" t="inlineStr">
        <is>
          <t>LEKSAND</t>
        </is>
      </c>
      <c r="G599" t="n">
        <v>2.3</v>
      </c>
      <c r="H599" t="n">
        <v>0</v>
      </c>
      <c r="I599" t="n">
        <v>0</v>
      </c>
      <c r="J599" t="n">
        <v>0</v>
      </c>
      <c r="K599" t="n">
        <v>0</v>
      </c>
      <c r="L599" t="n">
        <v>0</v>
      </c>
      <c r="M599" t="n">
        <v>0</v>
      </c>
      <c r="N599" t="n">
        <v>0</v>
      </c>
      <c r="O599" t="n">
        <v>0</v>
      </c>
      <c r="P599" t="n">
        <v>0</v>
      </c>
      <c r="Q599" t="n">
        <v>0</v>
      </c>
      <c r="R599" s="2" t="inlineStr"/>
    </row>
    <row r="600" ht="15" customHeight="1">
      <c r="A600" t="inlineStr">
        <is>
          <t>A 40230-2023</t>
        </is>
      </c>
      <c r="B600" s="1" t="n">
        <v>45169.46887731482</v>
      </c>
      <c r="C600" s="1" t="n">
        <v>45930</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31619-2025</t>
        </is>
      </c>
      <c r="B601" s="1" t="n">
        <v>45833</v>
      </c>
      <c r="C601" s="1" t="n">
        <v>45930</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31446-2025</t>
        </is>
      </c>
      <c r="B602" s="1" t="n">
        <v>45833</v>
      </c>
      <c r="C602" s="1" t="n">
        <v>45930</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39819-2024</t>
        </is>
      </c>
      <c r="B603" s="1" t="n">
        <v>45553.38774305556</v>
      </c>
      <c r="C603" s="1" t="n">
        <v>45930</v>
      </c>
      <c r="D603" t="inlineStr">
        <is>
          <t>DALARNAS LÄN</t>
        </is>
      </c>
      <c r="E603" t="inlineStr">
        <is>
          <t>LEKSAND</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31787-2025</t>
        </is>
      </c>
      <c r="B604" s="1" t="n">
        <v>45834</v>
      </c>
      <c r="C604" s="1" t="n">
        <v>45930</v>
      </c>
      <c r="D604" t="inlineStr">
        <is>
          <t>DALARNAS LÄN</t>
        </is>
      </c>
      <c r="E604" t="inlineStr">
        <is>
          <t>LEKSAND</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31493-2025</t>
        </is>
      </c>
      <c r="B605" s="1" t="n">
        <v>45833</v>
      </c>
      <c r="C605" s="1" t="n">
        <v>45930</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52100-2024</t>
        </is>
      </c>
      <c r="B606" s="1" t="n">
        <v>45608.41634259259</v>
      </c>
      <c r="C606" s="1" t="n">
        <v>45930</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4257-2022</t>
        </is>
      </c>
      <c r="B607" s="1" t="n">
        <v>44588</v>
      </c>
      <c r="C607" s="1" t="n">
        <v>45930</v>
      </c>
      <c r="D607" t="inlineStr">
        <is>
          <t>DALARNAS LÄN</t>
        </is>
      </c>
      <c r="E607" t="inlineStr">
        <is>
          <t>LEKSAND</t>
        </is>
      </c>
      <c r="G607" t="n">
        <v>6.8</v>
      </c>
      <c r="H607" t="n">
        <v>0</v>
      </c>
      <c r="I607" t="n">
        <v>0</v>
      </c>
      <c r="J607" t="n">
        <v>0</v>
      </c>
      <c r="K607" t="n">
        <v>0</v>
      </c>
      <c r="L607" t="n">
        <v>0</v>
      </c>
      <c r="M607" t="n">
        <v>0</v>
      </c>
      <c r="N607" t="n">
        <v>0</v>
      </c>
      <c r="O607" t="n">
        <v>0</v>
      </c>
      <c r="P607" t="n">
        <v>0</v>
      </c>
      <c r="Q607" t="n">
        <v>0</v>
      </c>
      <c r="R607" s="2" t="inlineStr"/>
    </row>
    <row r="608" ht="15" customHeight="1">
      <c r="A608" t="inlineStr">
        <is>
          <t>A 31726-2024</t>
        </is>
      </c>
      <c r="B608" s="1" t="n">
        <v>45509.33908564815</v>
      </c>
      <c r="C608" s="1" t="n">
        <v>45930</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32104-2025</t>
        </is>
      </c>
      <c r="B609" s="1" t="n">
        <v>45835</v>
      </c>
      <c r="C609" s="1" t="n">
        <v>45930</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32593-2025</t>
        </is>
      </c>
      <c r="B610" s="1" t="n">
        <v>45838</v>
      </c>
      <c r="C610" s="1" t="n">
        <v>45930</v>
      </c>
      <c r="D610" t="inlineStr">
        <is>
          <t>DALARNAS LÄN</t>
        </is>
      </c>
      <c r="E610" t="inlineStr">
        <is>
          <t>LEKSAND</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55512-2024</t>
        </is>
      </c>
      <c r="B611" s="1" t="n">
        <v>45621</v>
      </c>
      <c r="C611" s="1" t="n">
        <v>45930</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32661-2025</t>
        </is>
      </c>
      <c r="B612" s="1" t="n">
        <v>45838.67953703704</v>
      </c>
      <c r="C612" s="1" t="n">
        <v>45930</v>
      </c>
      <c r="D612" t="inlineStr">
        <is>
          <t>DALARNAS LÄN</t>
        </is>
      </c>
      <c r="E612" t="inlineStr">
        <is>
          <t>LEKSAND</t>
        </is>
      </c>
      <c r="G612" t="n">
        <v>0.8</v>
      </c>
      <c r="H612" t="n">
        <v>0</v>
      </c>
      <c r="I612" t="n">
        <v>0</v>
      </c>
      <c r="J612" t="n">
        <v>0</v>
      </c>
      <c r="K612" t="n">
        <v>0</v>
      </c>
      <c r="L612" t="n">
        <v>0</v>
      </c>
      <c r="M612" t="n">
        <v>0</v>
      </c>
      <c r="N612" t="n">
        <v>0</v>
      </c>
      <c r="O612" t="n">
        <v>0</v>
      </c>
      <c r="P612" t="n">
        <v>0</v>
      </c>
      <c r="Q612" t="n">
        <v>0</v>
      </c>
      <c r="R612" s="2" t="inlineStr"/>
    </row>
    <row r="613" ht="15" customHeight="1">
      <c r="A613" t="inlineStr">
        <is>
          <t>A 52059-2024</t>
        </is>
      </c>
      <c r="B613" s="1" t="n">
        <v>45608.35609953704</v>
      </c>
      <c r="C613" s="1" t="n">
        <v>45930</v>
      </c>
      <c r="D613" t="inlineStr">
        <is>
          <t>DALARNAS LÄN</t>
        </is>
      </c>
      <c r="E613" t="inlineStr">
        <is>
          <t>LEKSAND</t>
        </is>
      </c>
      <c r="G613" t="n">
        <v>0.8</v>
      </c>
      <c r="H613" t="n">
        <v>0</v>
      </c>
      <c r="I613" t="n">
        <v>0</v>
      </c>
      <c r="J613" t="n">
        <v>0</v>
      </c>
      <c r="K613" t="n">
        <v>0</v>
      </c>
      <c r="L613" t="n">
        <v>0</v>
      </c>
      <c r="M613" t="n">
        <v>0</v>
      </c>
      <c r="N613" t="n">
        <v>0</v>
      </c>
      <c r="O613" t="n">
        <v>0</v>
      </c>
      <c r="P613" t="n">
        <v>0</v>
      </c>
      <c r="Q613" t="n">
        <v>0</v>
      </c>
      <c r="R613" s="2" t="inlineStr"/>
    </row>
    <row r="614" ht="15" customHeight="1">
      <c r="A614" t="inlineStr">
        <is>
          <t>A 12992-2022</t>
        </is>
      </c>
      <c r="B614" s="1" t="n">
        <v>44643</v>
      </c>
      <c r="C614" s="1" t="n">
        <v>45930</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32274-2025</t>
        </is>
      </c>
      <c r="B615" s="1" t="n">
        <v>45835</v>
      </c>
      <c r="C615" s="1" t="n">
        <v>45930</v>
      </c>
      <c r="D615" t="inlineStr">
        <is>
          <t>DALARNAS LÄN</t>
        </is>
      </c>
      <c r="E615" t="inlineStr">
        <is>
          <t>LEKSAND</t>
        </is>
      </c>
      <c r="G615" t="n">
        <v>4.5</v>
      </c>
      <c r="H615" t="n">
        <v>0</v>
      </c>
      <c r="I615" t="n">
        <v>0</v>
      </c>
      <c r="J615" t="n">
        <v>0</v>
      </c>
      <c r="K615" t="n">
        <v>0</v>
      </c>
      <c r="L615" t="n">
        <v>0</v>
      </c>
      <c r="M615" t="n">
        <v>0</v>
      </c>
      <c r="N615" t="n">
        <v>0</v>
      </c>
      <c r="O615" t="n">
        <v>0</v>
      </c>
      <c r="P615" t="n">
        <v>0</v>
      </c>
      <c r="Q615" t="n">
        <v>0</v>
      </c>
      <c r="R615" s="2" t="inlineStr"/>
    </row>
    <row r="616" ht="15" customHeight="1">
      <c r="A616" t="inlineStr">
        <is>
          <t>A 32301-2025</t>
        </is>
      </c>
      <c r="B616" s="1" t="n">
        <v>45835</v>
      </c>
      <c r="C616" s="1" t="n">
        <v>45930</v>
      </c>
      <c r="D616" t="inlineStr">
        <is>
          <t>DALARNAS LÄN</t>
        </is>
      </c>
      <c r="E616" t="inlineStr">
        <is>
          <t>LEKSAND</t>
        </is>
      </c>
      <c r="G616" t="n">
        <v>2.2</v>
      </c>
      <c r="H616" t="n">
        <v>0</v>
      </c>
      <c r="I616" t="n">
        <v>0</v>
      </c>
      <c r="J616" t="n">
        <v>0</v>
      </c>
      <c r="K616" t="n">
        <v>0</v>
      </c>
      <c r="L616" t="n">
        <v>0</v>
      </c>
      <c r="M616" t="n">
        <v>0</v>
      </c>
      <c r="N616" t="n">
        <v>0</v>
      </c>
      <c r="O616" t="n">
        <v>0</v>
      </c>
      <c r="P616" t="n">
        <v>0</v>
      </c>
      <c r="Q616" t="n">
        <v>0</v>
      </c>
      <c r="R616" s="2" t="inlineStr"/>
    </row>
    <row r="617" ht="15" customHeight="1">
      <c r="A617" t="inlineStr">
        <is>
          <t>A 32653-2025</t>
        </is>
      </c>
      <c r="B617" s="1" t="n">
        <v>45838</v>
      </c>
      <c r="C617" s="1" t="n">
        <v>45930</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31945-2025</t>
        </is>
      </c>
      <c r="B618" s="1" t="n">
        <v>45835</v>
      </c>
      <c r="C618" s="1" t="n">
        <v>45930</v>
      </c>
      <c r="D618" t="inlineStr">
        <is>
          <t>DALARNAS LÄN</t>
        </is>
      </c>
      <c r="E618" t="inlineStr">
        <is>
          <t>LEKSAND</t>
        </is>
      </c>
      <c r="G618" t="n">
        <v>0.8</v>
      </c>
      <c r="H618" t="n">
        <v>0</v>
      </c>
      <c r="I618" t="n">
        <v>0</v>
      </c>
      <c r="J618" t="n">
        <v>0</v>
      </c>
      <c r="K618" t="n">
        <v>0</v>
      </c>
      <c r="L618" t="n">
        <v>0</v>
      </c>
      <c r="M618" t="n">
        <v>0</v>
      </c>
      <c r="N618" t="n">
        <v>0</v>
      </c>
      <c r="O618" t="n">
        <v>0</v>
      </c>
      <c r="P618" t="n">
        <v>0</v>
      </c>
      <c r="Q618" t="n">
        <v>0</v>
      </c>
      <c r="R618" s="2" t="inlineStr"/>
    </row>
    <row r="619" ht="15" customHeight="1">
      <c r="A619" t="inlineStr">
        <is>
          <t>A 32726-2025</t>
        </is>
      </c>
      <c r="B619" s="1" t="n">
        <v>45839.3969212963</v>
      </c>
      <c r="C619" s="1" t="n">
        <v>45930</v>
      </c>
      <c r="D619" t="inlineStr">
        <is>
          <t>DALARNAS LÄN</t>
        </is>
      </c>
      <c r="E619" t="inlineStr">
        <is>
          <t>LEKSAND</t>
        </is>
      </c>
      <c r="F619" t="inlineStr">
        <is>
          <t>Bergvik skog väst AB</t>
        </is>
      </c>
      <c r="G619" t="n">
        <v>2.5</v>
      </c>
      <c r="H619" t="n">
        <v>0</v>
      </c>
      <c r="I619" t="n">
        <v>0</v>
      </c>
      <c r="J619" t="n">
        <v>0</v>
      </c>
      <c r="K619" t="n">
        <v>0</v>
      </c>
      <c r="L619" t="n">
        <v>0</v>
      </c>
      <c r="M619" t="n">
        <v>0</v>
      </c>
      <c r="N619" t="n">
        <v>0</v>
      </c>
      <c r="O619" t="n">
        <v>0</v>
      </c>
      <c r="P619" t="n">
        <v>0</v>
      </c>
      <c r="Q619" t="n">
        <v>0</v>
      </c>
      <c r="R619" s="2" t="inlineStr"/>
    </row>
    <row r="620" ht="15" customHeight="1">
      <c r="A620" t="inlineStr">
        <is>
          <t>A 33160-2025</t>
        </is>
      </c>
      <c r="B620" s="1" t="n">
        <v>45840</v>
      </c>
      <c r="C620" s="1" t="n">
        <v>45930</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32855-2025</t>
        </is>
      </c>
      <c r="B621" s="1" t="n">
        <v>45839.57643518518</v>
      </c>
      <c r="C621" s="1" t="n">
        <v>45930</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11712-2025</t>
        </is>
      </c>
      <c r="B622" s="1" t="n">
        <v>45727</v>
      </c>
      <c r="C622" s="1" t="n">
        <v>45930</v>
      </c>
      <c r="D622" t="inlineStr">
        <is>
          <t>DALARNAS LÄN</t>
        </is>
      </c>
      <c r="E622" t="inlineStr">
        <is>
          <t>LEKSAND</t>
        </is>
      </c>
      <c r="G622" t="n">
        <v>6</v>
      </c>
      <c r="H622" t="n">
        <v>0</v>
      </c>
      <c r="I622" t="n">
        <v>0</v>
      </c>
      <c r="J622" t="n">
        <v>0</v>
      </c>
      <c r="K622" t="n">
        <v>0</v>
      </c>
      <c r="L622" t="n">
        <v>0</v>
      </c>
      <c r="M622" t="n">
        <v>0</v>
      </c>
      <c r="N622" t="n">
        <v>0</v>
      </c>
      <c r="O622" t="n">
        <v>0</v>
      </c>
      <c r="P622" t="n">
        <v>0</v>
      </c>
      <c r="Q622" t="n">
        <v>0</v>
      </c>
      <c r="R622" s="2" t="inlineStr"/>
    </row>
    <row r="623" ht="15" customHeight="1">
      <c r="A623" t="inlineStr">
        <is>
          <t>A 33804-2025</t>
        </is>
      </c>
      <c r="B623" s="1" t="n">
        <v>45842</v>
      </c>
      <c r="C623" s="1" t="n">
        <v>45930</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24003-2024</t>
        </is>
      </c>
      <c r="B624" s="1" t="n">
        <v>45456.39003472222</v>
      </c>
      <c r="C624" s="1" t="n">
        <v>45930</v>
      </c>
      <c r="D624" t="inlineStr">
        <is>
          <t>DALARNAS LÄN</t>
        </is>
      </c>
      <c r="E624" t="inlineStr">
        <is>
          <t>LEKSAND</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45930</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47854-2023</t>
        </is>
      </c>
      <c r="B626" s="1" t="n">
        <v>45198</v>
      </c>
      <c r="C626" s="1" t="n">
        <v>45930</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38721-2025</t>
        </is>
      </c>
      <c r="B627" s="1" t="n">
        <v>45886.83605324074</v>
      </c>
      <c r="C627" s="1" t="n">
        <v>45930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45930</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44469-2024</t>
        </is>
      </c>
      <c r="B629" s="1" t="n">
        <v>45574</v>
      </c>
      <c r="C629" s="1" t="n">
        <v>45930</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52293-2024</t>
        </is>
      </c>
      <c r="B630" s="1" t="n">
        <v>45608.71297453704</v>
      </c>
      <c r="C630" s="1" t="n">
        <v>45930</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46876-2023</t>
        </is>
      </c>
      <c r="B631" s="1" t="n">
        <v>45200</v>
      </c>
      <c r="C631" s="1" t="n">
        <v>45930</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9857-2025</t>
        </is>
      </c>
      <c r="B632" s="1" t="n">
        <v>45716.62609953704</v>
      </c>
      <c r="C632" s="1" t="n">
        <v>45930</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34789-2025</t>
        </is>
      </c>
      <c r="B633" s="1" t="n">
        <v>45848</v>
      </c>
      <c r="C633" s="1" t="n">
        <v>45930</v>
      </c>
      <c r="D633" t="inlineStr">
        <is>
          <t>DALARNAS LÄN</t>
        </is>
      </c>
      <c r="E633" t="inlineStr">
        <is>
          <t>LEKSAND</t>
        </is>
      </c>
      <c r="F633" t="inlineStr">
        <is>
          <t>Bergvik skog väst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40181-2023</t>
        </is>
      </c>
      <c r="B634" s="1" t="n">
        <v>45169</v>
      </c>
      <c r="C634" s="1" t="n">
        <v>45930</v>
      </c>
      <c r="D634" t="inlineStr">
        <is>
          <t>DALARNAS LÄN</t>
        </is>
      </c>
      <c r="E634" t="inlineStr">
        <is>
          <t>LEKSAND</t>
        </is>
      </c>
      <c r="G634" t="n">
        <v>2.8</v>
      </c>
      <c r="H634" t="n">
        <v>0</v>
      </c>
      <c r="I634" t="n">
        <v>0</v>
      </c>
      <c r="J634" t="n">
        <v>0</v>
      </c>
      <c r="K634" t="n">
        <v>0</v>
      </c>
      <c r="L634" t="n">
        <v>0</v>
      </c>
      <c r="M634" t="n">
        <v>0</v>
      </c>
      <c r="N634" t="n">
        <v>0</v>
      </c>
      <c r="O634" t="n">
        <v>0</v>
      </c>
      <c r="P634" t="n">
        <v>0</v>
      </c>
      <c r="Q634" t="n">
        <v>0</v>
      </c>
      <c r="R634" s="2" t="inlineStr"/>
    </row>
    <row r="635" ht="15" customHeight="1">
      <c r="A635" t="inlineStr">
        <is>
          <t>A 39516-2025</t>
        </is>
      </c>
      <c r="B635" s="1" t="n">
        <v>45890.42633101852</v>
      </c>
      <c r="C635" s="1" t="n">
        <v>45930</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41896-2024</t>
        </is>
      </c>
      <c r="B636" s="1" t="n">
        <v>45561.51310185185</v>
      </c>
      <c r="C636" s="1" t="n">
        <v>45930</v>
      </c>
      <c r="D636" t="inlineStr">
        <is>
          <t>DALARNAS LÄN</t>
        </is>
      </c>
      <c r="E636" t="inlineStr">
        <is>
          <t>LEKSAND</t>
        </is>
      </c>
      <c r="F636" t="inlineStr">
        <is>
          <t>Bergvik skog väst AB</t>
        </is>
      </c>
      <c r="G636" t="n">
        <v>2.8</v>
      </c>
      <c r="H636" t="n">
        <v>0</v>
      </c>
      <c r="I636" t="n">
        <v>0</v>
      </c>
      <c r="J636" t="n">
        <v>0</v>
      </c>
      <c r="K636" t="n">
        <v>0</v>
      </c>
      <c r="L636" t="n">
        <v>0</v>
      </c>
      <c r="M636" t="n">
        <v>0</v>
      </c>
      <c r="N636" t="n">
        <v>0</v>
      </c>
      <c r="O636" t="n">
        <v>0</v>
      </c>
      <c r="P636" t="n">
        <v>0</v>
      </c>
      <c r="Q636" t="n">
        <v>0</v>
      </c>
      <c r="R636" s="2" t="inlineStr"/>
    </row>
    <row r="637" ht="15" customHeight="1">
      <c r="A637" t="inlineStr">
        <is>
          <t>A 39660-2025</t>
        </is>
      </c>
      <c r="B637" s="1" t="n">
        <v>45890.63006944444</v>
      </c>
      <c r="C637" s="1" t="n">
        <v>45930</v>
      </c>
      <c r="D637" t="inlineStr">
        <is>
          <t>DALARNAS LÄN</t>
        </is>
      </c>
      <c r="E637" t="inlineStr">
        <is>
          <t>LEKSAND</t>
        </is>
      </c>
      <c r="F637" t="inlineStr">
        <is>
          <t>Bergvik skog väst AB</t>
        </is>
      </c>
      <c r="G637" t="n">
        <v>5.8</v>
      </c>
      <c r="H637" t="n">
        <v>0</v>
      </c>
      <c r="I637" t="n">
        <v>0</v>
      </c>
      <c r="J637" t="n">
        <v>0</v>
      </c>
      <c r="K637" t="n">
        <v>0</v>
      </c>
      <c r="L637" t="n">
        <v>0</v>
      </c>
      <c r="M637" t="n">
        <v>0</v>
      </c>
      <c r="N637" t="n">
        <v>0</v>
      </c>
      <c r="O637" t="n">
        <v>0</v>
      </c>
      <c r="P637" t="n">
        <v>0</v>
      </c>
      <c r="Q637" t="n">
        <v>0</v>
      </c>
      <c r="R637" s="2" t="inlineStr"/>
    </row>
    <row r="638" ht="15" customHeight="1">
      <c r="A638" t="inlineStr">
        <is>
          <t>A 34537-2025</t>
        </is>
      </c>
      <c r="B638" s="1" t="n">
        <v>45847</v>
      </c>
      <c r="C638" s="1" t="n">
        <v>45930</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1267-2025</t>
        </is>
      </c>
      <c r="B639" s="1" t="n">
        <v>45667</v>
      </c>
      <c r="C639" s="1" t="n">
        <v>45930</v>
      </c>
      <c r="D639" t="inlineStr">
        <is>
          <t>DALARNAS LÄN</t>
        </is>
      </c>
      <c r="E639" t="inlineStr">
        <is>
          <t>LEKSAND</t>
        </is>
      </c>
      <c r="G639" t="n">
        <v>0.8</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45930</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3183-2025</t>
        </is>
      </c>
      <c r="B641" s="1" t="n">
        <v>45679.40298611111</v>
      </c>
      <c r="C641" s="1" t="n">
        <v>45930</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39546-2025</t>
        </is>
      </c>
      <c r="B642" s="1" t="n">
        <v>45890.45706018519</v>
      </c>
      <c r="C642" s="1" t="n">
        <v>45930</v>
      </c>
      <c r="D642" t="inlineStr">
        <is>
          <t>DALARNAS LÄN</t>
        </is>
      </c>
      <c r="E642" t="inlineStr">
        <is>
          <t>LEKSAND</t>
        </is>
      </c>
      <c r="G642" t="n">
        <v>4.6</v>
      </c>
      <c r="H642" t="n">
        <v>0</v>
      </c>
      <c r="I642" t="n">
        <v>0</v>
      </c>
      <c r="J642" t="n">
        <v>0</v>
      </c>
      <c r="K642" t="n">
        <v>0</v>
      </c>
      <c r="L642" t="n">
        <v>0</v>
      </c>
      <c r="M642" t="n">
        <v>0</v>
      </c>
      <c r="N642" t="n">
        <v>0</v>
      </c>
      <c r="O642" t="n">
        <v>0</v>
      </c>
      <c r="P642" t="n">
        <v>0</v>
      </c>
      <c r="Q642" t="n">
        <v>0</v>
      </c>
      <c r="R642" s="2" t="inlineStr"/>
    </row>
    <row r="643" ht="15" customHeight="1">
      <c r="A643" t="inlineStr">
        <is>
          <t>A 59751-2024</t>
        </is>
      </c>
      <c r="B643" s="1" t="n">
        <v>45638</v>
      </c>
      <c r="C643" s="1" t="n">
        <v>45930</v>
      </c>
      <c r="D643" t="inlineStr">
        <is>
          <t>DALARNAS LÄN</t>
        </is>
      </c>
      <c r="E643" t="inlineStr">
        <is>
          <t>LEKSAND</t>
        </is>
      </c>
      <c r="G643" t="n">
        <v>5.2</v>
      </c>
      <c r="H643" t="n">
        <v>0</v>
      </c>
      <c r="I643" t="n">
        <v>0</v>
      </c>
      <c r="J643" t="n">
        <v>0</v>
      </c>
      <c r="K643" t="n">
        <v>0</v>
      </c>
      <c r="L643" t="n">
        <v>0</v>
      </c>
      <c r="M643" t="n">
        <v>0</v>
      </c>
      <c r="N643" t="n">
        <v>0</v>
      </c>
      <c r="O643" t="n">
        <v>0</v>
      </c>
      <c r="P643" t="n">
        <v>0</v>
      </c>
      <c r="Q643" t="n">
        <v>0</v>
      </c>
      <c r="R643" s="2" t="inlineStr"/>
    </row>
    <row r="644" ht="15" customHeight="1">
      <c r="A644" t="inlineStr">
        <is>
          <t>A 39693-2025</t>
        </is>
      </c>
      <c r="B644" s="1" t="n">
        <v>45890.68304398148</v>
      </c>
      <c r="C644" s="1" t="n">
        <v>45930</v>
      </c>
      <c r="D644" t="inlineStr">
        <is>
          <t>DALARNAS LÄN</t>
        </is>
      </c>
      <c r="E644" t="inlineStr">
        <is>
          <t>LEKSAND</t>
        </is>
      </c>
      <c r="G644" t="n">
        <v>3.1</v>
      </c>
      <c r="H644" t="n">
        <v>0</v>
      </c>
      <c r="I644" t="n">
        <v>0</v>
      </c>
      <c r="J644" t="n">
        <v>0</v>
      </c>
      <c r="K644" t="n">
        <v>0</v>
      </c>
      <c r="L644" t="n">
        <v>0</v>
      </c>
      <c r="M644" t="n">
        <v>0</v>
      </c>
      <c r="N644" t="n">
        <v>0</v>
      </c>
      <c r="O644" t="n">
        <v>0</v>
      </c>
      <c r="P644" t="n">
        <v>0</v>
      </c>
      <c r="Q644" t="n">
        <v>0</v>
      </c>
      <c r="R644" s="2" t="inlineStr"/>
    </row>
    <row r="645" ht="15" customHeight="1">
      <c r="A645" t="inlineStr">
        <is>
          <t>A 54917-2024</t>
        </is>
      </c>
      <c r="B645" s="1" t="n">
        <v>45618.69581018519</v>
      </c>
      <c r="C645" s="1" t="n">
        <v>45930</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19700-2025</t>
        </is>
      </c>
      <c r="B646" s="1" t="n">
        <v>45771.32445601852</v>
      </c>
      <c r="C646" s="1" t="n">
        <v>45930</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39572-2025</t>
        </is>
      </c>
      <c r="B647" s="1" t="n">
        <v>45890</v>
      </c>
      <c r="C647" s="1" t="n">
        <v>45930</v>
      </c>
      <c r="D647" t="inlineStr">
        <is>
          <t>DALARNAS LÄN</t>
        </is>
      </c>
      <c r="E647" t="inlineStr">
        <is>
          <t>LEKSAND</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35094-2025</t>
        </is>
      </c>
      <c r="B648" s="1" t="n">
        <v>45852</v>
      </c>
      <c r="C648" s="1" t="n">
        <v>45930</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39569-2025</t>
        </is>
      </c>
      <c r="B649" s="1" t="n">
        <v>45890</v>
      </c>
      <c r="C649" s="1" t="n">
        <v>45930</v>
      </c>
      <c r="D649" t="inlineStr">
        <is>
          <t>DALARNAS LÄN</t>
        </is>
      </c>
      <c r="E649" t="inlineStr">
        <is>
          <t>LEKSAND</t>
        </is>
      </c>
      <c r="F649" t="inlineStr">
        <is>
          <t>Bergvik skog väst AB</t>
        </is>
      </c>
      <c r="G649" t="n">
        <v>1.6</v>
      </c>
      <c r="H649" t="n">
        <v>0</v>
      </c>
      <c r="I649" t="n">
        <v>0</v>
      </c>
      <c r="J649" t="n">
        <v>0</v>
      </c>
      <c r="K649" t="n">
        <v>0</v>
      </c>
      <c r="L649" t="n">
        <v>0</v>
      </c>
      <c r="M649" t="n">
        <v>0</v>
      </c>
      <c r="N649" t="n">
        <v>0</v>
      </c>
      <c r="O649" t="n">
        <v>0</v>
      </c>
      <c r="P649" t="n">
        <v>0</v>
      </c>
      <c r="Q649" t="n">
        <v>0</v>
      </c>
      <c r="R649" s="2" t="inlineStr"/>
    </row>
    <row r="650" ht="15" customHeight="1">
      <c r="A650" t="inlineStr">
        <is>
          <t>A 34965-2025</t>
        </is>
      </c>
      <c r="B650" s="1" t="n">
        <v>45849</v>
      </c>
      <c r="C650" s="1" t="n">
        <v>45930</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34966-2025</t>
        </is>
      </c>
      <c r="B651" s="1" t="n">
        <v>45849</v>
      </c>
      <c r="C651" s="1" t="n">
        <v>45930</v>
      </c>
      <c r="D651" t="inlineStr">
        <is>
          <t>DALARNAS LÄN</t>
        </is>
      </c>
      <c r="E651" t="inlineStr">
        <is>
          <t>LEKSAND</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8045-2024</t>
        </is>
      </c>
      <c r="B652" s="1" t="n">
        <v>45351.31371527778</v>
      </c>
      <c r="C652" s="1" t="n">
        <v>45930</v>
      </c>
      <c r="D652" t="inlineStr">
        <is>
          <t>DALARNAS LÄN</t>
        </is>
      </c>
      <c r="E652" t="inlineStr">
        <is>
          <t>LEKSAND</t>
        </is>
      </c>
      <c r="G652" t="n">
        <v>6.7</v>
      </c>
      <c r="H652" t="n">
        <v>0</v>
      </c>
      <c r="I652" t="n">
        <v>0</v>
      </c>
      <c r="J652" t="n">
        <v>0</v>
      </c>
      <c r="K652" t="n">
        <v>0</v>
      </c>
      <c r="L652" t="n">
        <v>0</v>
      </c>
      <c r="M652" t="n">
        <v>0</v>
      </c>
      <c r="N652" t="n">
        <v>0</v>
      </c>
      <c r="O652" t="n">
        <v>0</v>
      </c>
      <c r="P652" t="n">
        <v>0</v>
      </c>
      <c r="Q652" t="n">
        <v>0</v>
      </c>
      <c r="R652" s="2" t="inlineStr"/>
    </row>
    <row r="653" ht="15" customHeight="1">
      <c r="A653" t="inlineStr">
        <is>
          <t>A 776-2021</t>
        </is>
      </c>
      <c r="B653" s="1" t="n">
        <v>44203</v>
      </c>
      <c r="C653" s="1" t="n">
        <v>45930</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57013-2023</t>
        </is>
      </c>
      <c r="B654" s="1" t="n">
        <v>45244</v>
      </c>
      <c r="C654" s="1" t="n">
        <v>45930</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37832-2023</t>
        </is>
      </c>
      <c r="B655" s="1" t="n">
        <v>45160.3479050926</v>
      </c>
      <c r="C655" s="1" t="n">
        <v>45930</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18040-2024</t>
        </is>
      </c>
      <c r="B656" s="1" t="n">
        <v>45420.36664351852</v>
      </c>
      <c r="C656" s="1" t="n">
        <v>45930</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6778-2025</t>
        </is>
      </c>
      <c r="B657" s="1" t="n">
        <v>45700.64615740741</v>
      </c>
      <c r="C657" s="1" t="n">
        <v>45930</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43419-2024</t>
        </is>
      </c>
      <c r="B658" s="1" t="n">
        <v>45568</v>
      </c>
      <c r="C658" s="1" t="n">
        <v>45930</v>
      </c>
      <c r="D658" t="inlineStr">
        <is>
          <t>DALARNAS LÄN</t>
        </is>
      </c>
      <c r="E658" t="inlineStr">
        <is>
          <t>LEKSAND</t>
        </is>
      </c>
      <c r="G658" t="n">
        <v>0.4</v>
      </c>
      <c r="H658" t="n">
        <v>0</v>
      </c>
      <c r="I658" t="n">
        <v>0</v>
      </c>
      <c r="J658" t="n">
        <v>0</v>
      </c>
      <c r="K658" t="n">
        <v>0</v>
      </c>
      <c r="L658" t="n">
        <v>0</v>
      </c>
      <c r="M658" t="n">
        <v>0</v>
      </c>
      <c r="N658" t="n">
        <v>0</v>
      </c>
      <c r="O658" t="n">
        <v>0</v>
      </c>
      <c r="P658" t="n">
        <v>0</v>
      </c>
      <c r="Q658" t="n">
        <v>0</v>
      </c>
      <c r="R658" s="2" t="inlineStr"/>
    </row>
    <row r="659" ht="15" customHeight="1">
      <c r="A659" t="inlineStr">
        <is>
          <t>A 39595-2023</t>
        </is>
      </c>
      <c r="B659" s="1" t="n">
        <v>45167</v>
      </c>
      <c r="C659" s="1" t="n">
        <v>45930</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24481-2024</t>
        </is>
      </c>
      <c r="B660" s="1" t="n">
        <v>45459.36460648148</v>
      </c>
      <c r="C660" s="1" t="n">
        <v>45930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17606-2024</t>
        </is>
      </c>
      <c r="B661" s="1" t="n">
        <v>45415</v>
      </c>
      <c r="C661" s="1" t="n">
        <v>45930</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45930</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61054-2023</t>
        </is>
      </c>
      <c r="B663" s="1" t="n">
        <v>45261</v>
      </c>
      <c r="C663" s="1" t="n">
        <v>45930</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61056-2023</t>
        </is>
      </c>
      <c r="B664" s="1" t="n">
        <v>45261</v>
      </c>
      <c r="C664" s="1" t="n">
        <v>45930</v>
      </c>
      <c r="D664" t="inlineStr">
        <is>
          <t>DALARNAS LÄN</t>
        </is>
      </c>
      <c r="E664" t="inlineStr">
        <is>
          <t>LEKSAND</t>
        </is>
      </c>
      <c r="G664" t="n">
        <v>0.3</v>
      </c>
      <c r="H664" t="n">
        <v>0</v>
      </c>
      <c r="I664" t="n">
        <v>0</v>
      </c>
      <c r="J664" t="n">
        <v>0</v>
      </c>
      <c r="K664" t="n">
        <v>0</v>
      </c>
      <c r="L664" t="n">
        <v>0</v>
      </c>
      <c r="M664" t="n">
        <v>0</v>
      </c>
      <c r="N664" t="n">
        <v>0</v>
      </c>
      <c r="O664" t="n">
        <v>0</v>
      </c>
      <c r="P664" t="n">
        <v>0</v>
      </c>
      <c r="Q664" t="n">
        <v>0</v>
      </c>
      <c r="R664" s="2" t="inlineStr"/>
    </row>
    <row r="665" ht="15" customHeight="1">
      <c r="A665" t="inlineStr">
        <is>
          <t>A 7894-2025</t>
        </is>
      </c>
      <c r="B665" s="1" t="n">
        <v>45707.30268518518</v>
      </c>
      <c r="C665" s="1" t="n">
        <v>45930</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58877-2023</t>
        </is>
      </c>
      <c r="B666" s="1" t="n">
        <v>45252</v>
      </c>
      <c r="C666" s="1" t="n">
        <v>45930</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17455-2022</t>
        </is>
      </c>
      <c r="B667" s="1" t="n">
        <v>44679.3775</v>
      </c>
      <c r="C667" s="1" t="n">
        <v>45930</v>
      </c>
      <c r="D667" t="inlineStr">
        <is>
          <t>DALARNAS LÄN</t>
        </is>
      </c>
      <c r="E667" t="inlineStr">
        <is>
          <t>LEKSAND</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60040-2023</t>
        </is>
      </c>
      <c r="B668" s="1" t="n">
        <v>45256</v>
      </c>
      <c r="C668" s="1" t="n">
        <v>45930</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33306-2023</t>
        </is>
      </c>
      <c r="B669" s="1" t="n">
        <v>45127</v>
      </c>
      <c r="C669" s="1" t="n">
        <v>45930</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33316-2023</t>
        </is>
      </c>
      <c r="B670" s="1" t="n">
        <v>45127</v>
      </c>
      <c r="C670" s="1" t="n">
        <v>45930</v>
      </c>
      <c r="D670" t="inlineStr">
        <is>
          <t>DALARNAS LÄN</t>
        </is>
      </c>
      <c r="E670" t="inlineStr">
        <is>
          <t>LEKSAND</t>
        </is>
      </c>
      <c r="G670" t="n">
        <v>8.9</v>
      </c>
      <c r="H670" t="n">
        <v>0</v>
      </c>
      <c r="I670" t="n">
        <v>0</v>
      </c>
      <c r="J670" t="n">
        <v>0</v>
      </c>
      <c r="K670" t="n">
        <v>0</v>
      </c>
      <c r="L670" t="n">
        <v>0</v>
      </c>
      <c r="M670" t="n">
        <v>0</v>
      </c>
      <c r="N670" t="n">
        <v>0</v>
      </c>
      <c r="O670" t="n">
        <v>0</v>
      </c>
      <c r="P670" t="n">
        <v>0</v>
      </c>
      <c r="Q670" t="n">
        <v>0</v>
      </c>
      <c r="R670" s="2" t="inlineStr"/>
    </row>
    <row r="671" ht="15" customHeight="1">
      <c r="A671" t="inlineStr">
        <is>
          <t>A 22681-2022</t>
        </is>
      </c>
      <c r="B671" s="1" t="n">
        <v>44714.50961805556</v>
      </c>
      <c r="C671" s="1" t="n">
        <v>45930</v>
      </c>
      <c r="D671" t="inlineStr">
        <is>
          <t>DALARNAS LÄN</t>
        </is>
      </c>
      <c r="E671" t="inlineStr">
        <is>
          <t>LEKSAND</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30196-2023</t>
        </is>
      </c>
      <c r="B672" s="1" t="n">
        <v>45110</v>
      </c>
      <c r="C672" s="1" t="n">
        <v>45930</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45197.59344907408</v>
      </c>
      <c r="C673" s="1" t="n">
        <v>45930</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54682-2023</t>
        </is>
      </c>
      <c r="B674" s="1" t="n">
        <v>45235.90439814814</v>
      </c>
      <c r="C674" s="1" t="n">
        <v>45930</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1463-2024</t>
        </is>
      </c>
      <c r="B675" s="1" t="n">
        <v>45303</v>
      </c>
      <c r="C675" s="1" t="n">
        <v>45930</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30000-2023</t>
        </is>
      </c>
      <c r="B676" s="1" t="n">
        <v>45109.71128472222</v>
      </c>
      <c r="C676" s="1" t="n">
        <v>45930</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17282-2025</t>
        </is>
      </c>
      <c r="B677" s="1" t="n">
        <v>45756.57114583333</v>
      </c>
      <c r="C677" s="1" t="n">
        <v>45930</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12923-2025</t>
        </is>
      </c>
      <c r="B678" s="1" t="n">
        <v>45734.29193287037</v>
      </c>
      <c r="C678" s="1" t="n">
        <v>45930</v>
      </c>
      <c r="D678" t="inlineStr">
        <is>
          <t>DALARNAS LÄN</t>
        </is>
      </c>
      <c r="E678" t="inlineStr">
        <is>
          <t>LEKSAND</t>
        </is>
      </c>
      <c r="G678" t="n">
        <v>7.2</v>
      </c>
      <c r="H678" t="n">
        <v>0</v>
      </c>
      <c r="I678" t="n">
        <v>0</v>
      </c>
      <c r="J678" t="n">
        <v>0</v>
      </c>
      <c r="K678" t="n">
        <v>0</v>
      </c>
      <c r="L678" t="n">
        <v>0</v>
      </c>
      <c r="M678" t="n">
        <v>0</v>
      </c>
      <c r="N678" t="n">
        <v>0</v>
      </c>
      <c r="O678" t="n">
        <v>0</v>
      </c>
      <c r="P678" t="n">
        <v>0</v>
      </c>
      <c r="Q678" t="n">
        <v>0</v>
      </c>
      <c r="R678" s="2" t="inlineStr"/>
    </row>
    <row r="679" ht="15" customHeight="1">
      <c r="A679" t="inlineStr">
        <is>
          <t>A 2820-2024</t>
        </is>
      </c>
      <c r="B679" s="1" t="n">
        <v>45314.76287037037</v>
      </c>
      <c r="C679" s="1" t="n">
        <v>45930</v>
      </c>
      <c r="D679" t="inlineStr">
        <is>
          <t>DALARNAS LÄN</t>
        </is>
      </c>
      <c r="E679" t="inlineStr">
        <is>
          <t>LEKSAND</t>
        </is>
      </c>
      <c r="G679" t="n">
        <v>1.7</v>
      </c>
      <c r="H679" t="n">
        <v>0</v>
      </c>
      <c r="I679" t="n">
        <v>0</v>
      </c>
      <c r="J679" t="n">
        <v>0</v>
      </c>
      <c r="K679" t="n">
        <v>0</v>
      </c>
      <c r="L679" t="n">
        <v>0</v>
      </c>
      <c r="M679" t="n">
        <v>0</v>
      </c>
      <c r="N679" t="n">
        <v>0</v>
      </c>
      <c r="O679" t="n">
        <v>0</v>
      </c>
      <c r="P679" t="n">
        <v>0</v>
      </c>
      <c r="Q679" t="n">
        <v>0</v>
      </c>
      <c r="R679" s="2" t="inlineStr"/>
    </row>
    <row r="680" ht="15" customHeight="1">
      <c r="A680" t="inlineStr">
        <is>
          <t>A 2822-2024</t>
        </is>
      </c>
      <c r="B680" s="1" t="n">
        <v>45314.76622685185</v>
      </c>
      <c r="C680" s="1" t="n">
        <v>45930</v>
      </c>
      <c r="D680" t="inlineStr">
        <is>
          <t>DALARNAS LÄN</t>
        </is>
      </c>
      <c r="E680" t="inlineStr">
        <is>
          <t>LEKSAND</t>
        </is>
      </c>
      <c r="G680" t="n">
        <v>1.6</v>
      </c>
      <c r="H680" t="n">
        <v>0</v>
      </c>
      <c r="I680" t="n">
        <v>0</v>
      </c>
      <c r="J680" t="n">
        <v>0</v>
      </c>
      <c r="K680" t="n">
        <v>0</v>
      </c>
      <c r="L680" t="n">
        <v>0</v>
      </c>
      <c r="M680" t="n">
        <v>0</v>
      </c>
      <c r="N680" t="n">
        <v>0</v>
      </c>
      <c r="O680" t="n">
        <v>0</v>
      </c>
      <c r="P680" t="n">
        <v>0</v>
      </c>
      <c r="Q680" t="n">
        <v>0</v>
      </c>
      <c r="R680" s="2" t="inlineStr"/>
    </row>
    <row r="681" ht="15" customHeight="1">
      <c r="A681" t="inlineStr">
        <is>
          <t>A 51320-2023</t>
        </is>
      </c>
      <c r="B681" s="1" t="n">
        <v>45219.57456018519</v>
      </c>
      <c r="C681" s="1" t="n">
        <v>45930</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12621-2025</t>
        </is>
      </c>
      <c r="B682" s="1" t="n">
        <v>45733.3575</v>
      </c>
      <c r="C682" s="1" t="n">
        <v>45930</v>
      </c>
      <c r="D682" t="inlineStr">
        <is>
          <t>DALARNAS LÄN</t>
        </is>
      </c>
      <c r="E682" t="inlineStr">
        <is>
          <t>LEKSAND</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45930</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59859-2023</t>
        </is>
      </c>
      <c r="B684" s="1" t="n">
        <v>45257</v>
      </c>
      <c r="C684" s="1" t="n">
        <v>45930</v>
      </c>
      <c r="D684" t="inlineStr">
        <is>
          <t>DALARNAS LÄN</t>
        </is>
      </c>
      <c r="E684" t="inlineStr">
        <is>
          <t>LEKSAND</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2158-2024</t>
        </is>
      </c>
      <c r="B685" s="1" t="n">
        <v>45309</v>
      </c>
      <c r="C685" s="1" t="n">
        <v>45930</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19330-2025</t>
        </is>
      </c>
      <c r="B686" s="1" t="n">
        <v>45769</v>
      </c>
      <c r="C686" s="1" t="n">
        <v>45930</v>
      </c>
      <c r="D686" t="inlineStr">
        <is>
          <t>DALARNAS LÄN</t>
        </is>
      </c>
      <c r="E686" t="inlineStr">
        <is>
          <t>LEKSAND</t>
        </is>
      </c>
      <c r="G686" t="n">
        <v>1.6</v>
      </c>
      <c r="H686" t="n">
        <v>0</v>
      </c>
      <c r="I686" t="n">
        <v>0</v>
      </c>
      <c r="J686" t="n">
        <v>0</v>
      </c>
      <c r="K686" t="n">
        <v>0</v>
      </c>
      <c r="L686" t="n">
        <v>0</v>
      </c>
      <c r="M686" t="n">
        <v>0</v>
      </c>
      <c r="N686" t="n">
        <v>0</v>
      </c>
      <c r="O686" t="n">
        <v>0</v>
      </c>
      <c r="P686" t="n">
        <v>0</v>
      </c>
      <c r="Q686" t="n">
        <v>0</v>
      </c>
      <c r="R686" s="2" t="inlineStr"/>
    </row>
    <row r="687" ht="15" customHeight="1">
      <c r="A687" t="inlineStr">
        <is>
          <t>A 45943-2022</t>
        </is>
      </c>
      <c r="B687" s="1" t="n">
        <v>44846.64418981481</v>
      </c>
      <c r="C687" s="1" t="n">
        <v>45930</v>
      </c>
      <c r="D687" t="inlineStr">
        <is>
          <t>DALARNAS LÄN</t>
        </is>
      </c>
      <c r="E687" t="inlineStr">
        <is>
          <t>LEKSAND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60878-2023</t>
        </is>
      </c>
      <c r="B688" s="1" t="n">
        <v>45259</v>
      </c>
      <c r="C688" s="1" t="n">
        <v>45930</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61502-2023</t>
        </is>
      </c>
      <c r="B689" s="1" t="n">
        <v>45264</v>
      </c>
      <c r="C689" s="1" t="n">
        <v>45930</v>
      </c>
      <c r="D689" t="inlineStr">
        <is>
          <t>DALARNAS LÄN</t>
        </is>
      </c>
      <c r="E689" t="inlineStr">
        <is>
          <t>LEKSAND</t>
        </is>
      </c>
      <c r="G689" t="n">
        <v>5.2</v>
      </c>
      <c r="H689" t="n">
        <v>0</v>
      </c>
      <c r="I689" t="n">
        <v>0</v>
      </c>
      <c r="J689" t="n">
        <v>0</v>
      </c>
      <c r="K689" t="n">
        <v>0</v>
      </c>
      <c r="L689" t="n">
        <v>0</v>
      </c>
      <c r="M689" t="n">
        <v>0</v>
      </c>
      <c r="N689" t="n">
        <v>0</v>
      </c>
      <c r="O689" t="n">
        <v>0</v>
      </c>
      <c r="P689" t="n">
        <v>0</v>
      </c>
      <c r="Q689" t="n">
        <v>0</v>
      </c>
      <c r="R689" s="2" t="inlineStr"/>
    </row>
    <row r="690" ht="15" customHeight="1">
      <c r="A690" t="inlineStr">
        <is>
          <t>A 28965-2023</t>
        </is>
      </c>
      <c r="B690" s="1" t="n">
        <v>45104</v>
      </c>
      <c r="C690" s="1" t="n">
        <v>45930</v>
      </c>
      <c r="D690" t="inlineStr">
        <is>
          <t>DALARNAS LÄN</t>
        </is>
      </c>
      <c r="E690" t="inlineStr">
        <is>
          <t>LEKSAND</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1719-2024</t>
        </is>
      </c>
      <c r="B691" s="1" t="n">
        <v>45307</v>
      </c>
      <c r="C691" s="1" t="n">
        <v>45930</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16744-2025</t>
        </is>
      </c>
      <c r="B692" s="1" t="n">
        <v>45754</v>
      </c>
      <c r="C692" s="1" t="n">
        <v>45930</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22349-2024</t>
        </is>
      </c>
      <c r="B693" s="1" t="n">
        <v>45446</v>
      </c>
      <c r="C693" s="1" t="n">
        <v>45930</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11617-2024</t>
        </is>
      </c>
      <c r="B694" s="1" t="n">
        <v>45373.42898148148</v>
      </c>
      <c r="C694" s="1" t="n">
        <v>45930</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61953-2023</t>
        </is>
      </c>
      <c r="B695" s="1" t="n">
        <v>45266</v>
      </c>
      <c r="C695" s="1" t="n">
        <v>45930</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58619-2022</t>
        </is>
      </c>
      <c r="B696" s="1" t="n">
        <v>44902.59579861111</v>
      </c>
      <c r="C696" s="1" t="n">
        <v>45930</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20946-2023</t>
        </is>
      </c>
      <c r="B697" s="1" t="n">
        <v>45061</v>
      </c>
      <c r="C697" s="1" t="n">
        <v>45930</v>
      </c>
      <c r="D697" t="inlineStr">
        <is>
          <t>DALARNAS LÄN</t>
        </is>
      </c>
      <c r="E697" t="inlineStr">
        <is>
          <t>LEKSAND</t>
        </is>
      </c>
      <c r="G697" t="n">
        <v>2.7</v>
      </c>
      <c r="H697" t="n">
        <v>0</v>
      </c>
      <c r="I697" t="n">
        <v>0</v>
      </c>
      <c r="J697" t="n">
        <v>0</v>
      </c>
      <c r="K697" t="n">
        <v>0</v>
      </c>
      <c r="L697" t="n">
        <v>0</v>
      </c>
      <c r="M697" t="n">
        <v>0</v>
      </c>
      <c r="N697" t="n">
        <v>0</v>
      </c>
      <c r="O697" t="n">
        <v>0</v>
      </c>
      <c r="P697" t="n">
        <v>0</v>
      </c>
      <c r="Q697" t="n">
        <v>0</v>
      </c>
      <c r="R697" s="2" t="inlineStr"/>
    </row>
    <row r="698" ht="15" customHeight="1">
      <c r="A698" t="inlineStr">
        <is>
          <t>A 61225-2023</t>
        </is>
      </c>
      <c r="B698" s="1" t="n">
        <v>45264</v>
      </c>
      <c r="C698" s="1" t="n">
        <v>45930</v>
      </c>
      <c r="D698" t="inlineStr">
        <is>
          <t>DALARNAS LÄN</t>
        </is>
      </c>
      <c r="E698" t="inlineStr">
        <is>
          <t>LEKSAND</t>
        </is>
      </c>
      <c r="G698" t="n">
        <v>7</v>
      </c>
      <c r="H698" t="n">
        <v>0</v>
      </c>
      <c r="I698" t="n">
        <v>0</v>
      </c>
      <c r="J698" t="n">
        <v>0</v>
      </c>
      <c r="K698" t="n">
        <v>0</v>
      </c>
      <c r="L698" t="n">
        <v>0</v>
      </c>
      <c r="M698" t="n">
        <v>0</v>
      </c>
      <c r="N698" t="n">
        <v>0</v>
      </c>
      <c r="O698" t="n">
        <v>0</v>
      </c>
      <c r="P698" t="n">
        <v>0</v>
      </c>
      <c r="Q698" t="n">
        <v>0</v>
      </c>
      <c r="R698" s="2" t="inlineStr"/>
    </row>
    <row r="699" ht="15" customHeight="1">
      <c r="A699" t="inlineStr">
        <is>
          <t>A 61252-2023</t>
        </is>
      </c>
      <c r="B699" s="1" t="n">
        <v>45261</v>
      </c>
      <c r="C699" s="1" t="n">
        <v>45930</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14617-2024</t>
        </is>
      </c>
      <c r="B700" s="1" t="n">
        <v>45397</v>
      </c>
      <c r="C700" s="1" t="n">
        <v>45930</v>
      </c>
      <c r="D700" t="inlineStr">
        <is>
          <t>DALARNAS LÄN</t>
        </is>
      </c>
      <c r="E700" t="inlineStr">
        <is>
          <t>LEKSAND</t>
        </is>
      </c>
      <c r="G700" t="n">
        <v>0.2</v>
      </c>
      <c r="H700" t="n">
        <v>0</v>
      </c>
      <c r="I700" t="n">
        <v>0</v>
      </c>
      <c r="J700" t="n">
        <v>0</v>
      </c>
      <c r="K700" t="n">
        <v>0</v>
      </c>
      <c r="L700" t="n">
        <v>0</v>
      </c>
      <c r="M700" t="n">
        <v>0</v>
      </c>
      <c r="N700" t="n">
        <v>0</v>
      </c>
      <c r="O700" t="n">
        <v>0</v>
      </c>
      <c r="P700" t="n">
        <v>0</v>
      </c>
      <c r="Q700" t="n">
        <v>0</v>
      </c>
      <c r="R700" s="2" t="inlineStr"/>
    </row>
    <row r="701" ht="15" customHeight="1">
      <c r="A701" t="inlineStr">
        <is>
          <t>A 46141-2022</t>
        </is>
      </c>
      <c r="B701" s="1" t="n">
        <v>44846</v>
      </c>
      <c r="C701" s="1" t="n">
        <v>45930</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62993-2023</t>
        </is>
      </c>
      <c r="B702" s="1" t="n">
        <v>45272</v>
      </c>
      <c r="C702" s="1" t="n">
        <v>45930</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61933-2023</t>
        </is>
      </c>
      <c r="B703" s="1" t="n">
        <v>45266</v>
      </c>
      <c r="C703" s="1" t="n">
        <v>45930</v>
      </c>
      <c r="D703" t="inlineStr">
        <is>
          <t>DALARNAS LÄN</t>
        </is>
      </c>
      <c r="E703" t="inlineStr">
        <is>
          <t>LEKSAND</t>
        </is>
      </c>
      <c r="G703" t="n">
        <v>0.2</v>
      </c>
      <c r="H703" t="n">
        <v>0</v>
      </c>
      <c r="I703" t="n">
        <v>0</v>
      </c>
      <c r="J703" t="n">
        <v>0</v>
      </c>
      <c r="K703" t="n">
        <v>0</v>
      </c>
      <c r="L703" t="n">
        <v>0</v>
      </c>
      <c r="M703" t="n">
        <v>0</v>
      </c>
      <c r="N703" t="n">
        <v>0</v>
      </c>
      <c r="O703" t="n">
        <v>0</v>
      </c>
      <c r="P703" t="n">
        <v>0</v>
      </c>
      <c r="Q703" t="n">
        <v>0</v>
      </c>
      <c r="R703" s="2" t="inlineStr"/>
    </row>
    <row r="704" ht="15" customHeight="1">
      <c r="A704" t="inlineStr">
        <is>
          <t>A 33198-2022</t>
        </is>
      </c>
      <c r="B704" s="1" t="n">
        <v>44785.68597222222</v>
      </c>
      <c r="C704" s="1" t="n">
        <v>45930</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45930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46931-2023</t>
        </is>
      </c>
      <c r="B706" s="1" t="n">
        <v>45201</v>
      </c>
      <c r="C706" s="1" t="n">
        <v>45930</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17483-2025</t>
        </is>
      </c>
      <c r="B707" s="1" t="n">
        <v>45757.49408564815</v>
      </c>
      <c r="C707" s="1" t="n">
        <v>45930</v>
      </c>
      <c r="D707" t="inlineStr">
        <is>
          <t>DALARNAS LÄN</t>
        </is>
      </c>
      <c r="E707" t="inlineStr">
        <is>
          <t>LEKSAND</t>
        </is>
      </c>
      <c r="G707" t="n">
        <v>4.1</v>
      </c>
      <c r="H707" t="n">
        <v>0</v>
      </c>
      <c r="I707" t="n">
        <v>0</v>
      </c>
      <c r="J707" t="n">
        <v>0</v>
      </c>
      <c r="K707" t="n">
        <v>0</v>
      </c>
      <c r="L707" t="n">
        <v>0</v>
      </c>
      <c r="M707" t="n">
        <v>0</v>
      </c>
      <c r="N707" t="n">
        <v>0</v>
      </c>
      <c r="O707" t="n">
        <v>0</v>
      </c>
      <c r="P707" t="n">
        <v>0</v>
      </c>
      <c r="Q707" t="n">
        <v>0</v>
      </c>
      <c r="R707" s="2" t="inlineStr"/>
    </row>
    <row r="708" ht="15" customHeight="1">
      <c r="A708" t="inlineStr">
        <is>
          <t>A 17759-2023</t>
        </is>
      </c>
      <c r="B708" s="1" t="n">
        <v>45037.48765046296</v>
      </c>
      <c r="C708" s="1" t="n">
        <v>45930</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43220-2024</t>
        </is>
      </c>
      <c r="B709" s="1" t="n">
        <v>45567.86112268519</v>
      </c>
      <c r="C709" s="1" t="n">
        <v>45930</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55015-2024</t>
        </is>
      </c>
      <c r="B710" s="1" t="n">
        <v>45621.35554398148</v>
      </c>
      <c r="C710" s="1" t="n">
        <v>45930</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34039-2024</t>
        </is>
      </c>
      <c r="B711" s="1" t="n">
        <v>45523.5974537037</v>
      </c>
      <c r="C711" s="1" t="n">
        <v>45930</v>
      </c>
      <c r="D711" t="inlineStr">
        <is>
          <t>DALARNAS LÄN</t>
        </is>
      </c>
      <c r="E711" t="inlineStr">
        <is>
          <t>LEKSAND</t>
        </is>
      </c>
      <c r="G711" t="n">
        <v>7.1</v>
      </c>
      <c r="H711" t="n">
        <v>0</v>
      </c>
      <c r="I711" t="n">
        <v>0</v>
      </c>
      <c r="J711" t="n">
        <v>0</v>
      </c>
      <c r="K711" t="n">
        <v>0</v>
      </c>
      <c r="L711" t="n">
        <v>0</v>
      </c>
      <c r="M711" t="n">
        <v>0</v>
      </c>
      <c r="N711" t="n">
        <v>0</v>
      </c>
      <c r="O711" t="n">
        <v>0</v>
      </c>
      <c r="P711" t="n">
        <v>0</v>
      </c>
      <c r="Q711" t="n">
        <v>0</v>
      </c>
      <c r="R711" s="2" t="inlineStr"/>
    </row>
    <row r="712" ht="15" customHeight="1">
      <c r="A712" t="inlineStr">
        <is>
          <t>A 46505-2023</t>
        </is>
      </c>
      <c r="B712" s="1" t="n">
        <v>45197</v>
      </c>
      <c r="C712" s="1" t="n">
        <v>45930</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c r="A713" t="inlineStr">
        <is>
          <t>A 481-2024</t>
        </is>
      </c>
      <c r="B713" s="1" t="n">
        <v>45298</v>
      </c>
      <c r="C713" s="1" t="n">
        <v>45930</v>
      </c>
      <c r="D713" t="inlineStr">
        <is>
          <t>DALARNAS LÄN</t>
        </is>
      </c>
      <c r="E713" t="inlineStr">
        <is>
          <t>LEKSAND</t>
        </is>
      </c>
      <c r="G713" t="n">
        <v>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2025-09-30T12:19:02Z</dcterms:created>
  <dcterms:modified xmlns:dcterms="http://purl.org/dc/terms/" xmlns:xsi="http://www.w3.org/2001/XMLSchema-instance" xsi:type="dcterms:W3CDTF">2025-09-30T12:19:02Z</dcterms:modified>
</cp:coreProperties>
</file>