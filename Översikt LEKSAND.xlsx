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45828</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45828</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45828</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45828</v>
      </c>
      <c r="D5" t="inlineStr">
        <is>
          <t>DALARNAS LÄN</t>
        </is>
      </c>
      <c r="E5" t="inlineStr">
        <is>
          <t>LEKSAND</t>
        </is>
      </c>
      <c r="G5" t="n">
        <v>4.4</v>
      </c>
      <c r="H5" t="n">
        <v>12</v>
      </c>
      <c r="I5" t="n">
        <v>6</v>
      </c>
      <c r="J5" t="n">
        <v>9</v>
      </c>
      <c r="K5" t="n">
        <v>3</v>
      </c>
      <c r="L5" t="n">
        <v>0</v>
      </c>
      <c r="M5" t="n">
        <v>0</v>
      </c>
      <c r="N5" t="n">
        <v>0</v>
      </c>
      <c r="O5" t="n">
        <v>12</v>
      </c>
      <c r="P5" t="n">
        <v>3</v>
      </c>
      <c r="Q5" t="n">
        <v>23</v>
      </c>
      <c r="R5" s="2" t="inlineStr">
        <is>
          <t>Hängticka
Knärot
Rynkskinn
Garnlav
Granticka
Gränsticka
Järpe
Rosenticka
Spillkråka
Talltita
Tretåig hackspett
Ullticka
Bronshjon
Korallrot
Spindelblomster
Trådticka
Vedticka
Ögonpyrola
Kungsfågel
Tjäder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45828</v>
      </c>
      <c r="D6" t="inlineStr">
        <is>
          <t>DALARNAS LÄN</t>
        </is>
      </c>
      <c r="E6" t="inlineStr">
        <is>
          <t>LEKSAND</t>
        </is>
      </c>
      <c r="G6" t="n">
        <v>4.4</v>
      </c>
      <c r="H6" t="n">
        <v>12</v>
      </c>
      <c r="I6" t="n">
        <v>6</v>
      </c>
      <c r="J6" t="n">
        <v>9</v>
      </c>
      <c r="K6" t="n">
        <v>3</v>
      </c>
      <c r="L6" t="n">
        <v>0</v>
      </c>
      <c r="M6" t="n">
        <v>0</v>
      </c>
      <c r="N6" t="n">
        <v>0</v>
      </c>
      <c r="O6" t="n">
        <v>12</v>
      </c>
      <c r="P6" t="n">
        <v>3</v>
      </c>
      <c r="Q6" t="n">
        <v>23</v>
      </c>
      <c r="R6" s="2" t="inlineStr">
        <is>
          <t>Hängticka
Knärot
Rynkskinn
Garnlav
Granticka
Gränsticka
Järpe
Rosenticka
Spillkråka
Talltita
Tretåig hackspett
Ullticka
Bronshjon
Korallrot
Spindelblomster
Trådticka
Vedticka
Ögonpyrola
Kungsfågel
Tjäder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45828</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45828</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45828</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45828</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45828</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45828</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45828</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45828</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45828</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45828</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45828</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45828</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45828</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45828</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45828</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45828</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45828</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45828</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45828</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45828</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45828</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45828</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45828</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45828</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45828</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45828</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45828</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45828</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45828</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45828</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45828</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45828</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45828</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45828</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45828</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45828</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45828</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45828</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45828</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45828</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56702-2022</t>
        </is>
      </c>
      <c r="B47" s="1" t="n">
        <v>44893</v>
      </c>
      <c r="C47" s="1" t="n">
        <v>45828</v>
      </c>
      <c r="D47" t="inlineStr">
        <is>
          <t>DALARNAS LÄN</t>
        </is>
      </c>
      <c r="E47" t="inlineStr">
        <is>
          <t>LEKSAND</t>
        </is>
      </c>
      <c r="G47" t="n">
        <v>3</v>
      </c>
      <c r="H47" t="n">
        <v>1</v>
      </c>
      <c r="I47" t="n">
        <v>0</v>
      </c>
      <c r="J47" t="n">
        <v>1</v>
      </c>
      <c r="K47" t="n">
        <v>0</v>
      </c>
      <c r="L47" t="n">
        <v>0</v>
      </c>
      <c r="M47" t="n">
        <v>0</v>
      </c>
      <c r="N47" t="n">
        <v>0</v>
      </c>
      <c r="O47" t="n">
        <v>1</v>
      </c>
      <c r="P47" t="n">
        <v>0</v>
      </c>
      <c r="Q47" t="n">
        <v>1</v>
      </c>
      <c r="R47" s="2" t="inlineStr">
        <is>
          <t>Brun gräsfjäril</t>
        </is>
      </c>
      <c r="S47">
        <f>HYPERLINK("https://klasma.github.io/Logging_2029/artfynd/A 56702-2022 artfynd.xlsx", "A 56702-2022")</f>
        <v/>
      </c>
      <c r="T47">
        <f>HYPERLINK("https://klasma.github.io/Logging_2029/kartor/A 56702-2022 karta.png", "A 56702-2022")</f>
        <v/>
      </c>
      <c r="V47">
        <f>HYPERLINK("https://klasma.github.io/Logging_2029/klagomål/A 56702-2022 FSC-klagomål.docx", "A 56702-2022")</f>
        <v/>
      </c>
      <c r="W47">
        <f>HYPERLINK("https://klasma.github.io/Logging_2029/klagomålsmail/A 56702-2022 FSC-klagomål mail.docx", "A 56702-2022")</f>
        <v/>
      </c>
      <c r="X47">
        <f>HYPERLINK("https://klasma.github.io/Logging_2029/tillsyn/A 56702-2022 tillsynsbegäran.docx", "A 56702-2022")</f>
        <v/>
      </c>
      <c r="Y47">
        <f>HYPERLINK("https://klasma.github.io/Logging_2029/tillsynsmail/A 56702-2022 tillsynsbegäran mail.docx", "A 56702-2022")</f>
        <v/>
      </c>
    </row>
    <row r="48" ht="15" customHeight="1">
      <c r="A48" t="inlineStr">
        <is>
          <t>A 6977-2023</t>
        </is>
      </c>
      <c r="B48" s="1" t="n">
        <v>44967</v>
      </c>
      <c r="C48" s="1" t="n">
        <v>45828</v>
      </c>
      <c r="D48" t="inlineStr">
        <is>
          <t>DALARNAS LÄN</t>
        </is>
      </c>
      <c r="E48" t="inlineStr">
        <is>
          <t>LEKSAND</t>
        </is>
      </c>
      <c r="G48" t="n">
        <v>5</v>
      </c>
      <c r="H48" t="n">
        <v>0</v>
      </c>
      <c r="I48" t="n">
        <v>0</v>
      </c>
      <c r="J48" t="n">
        <v>1</v>
      </c>
      <c r="K48" t="n">
        <v>0</v>
      </c>
      <c r="L48" t="n">
        <v>0</v>
      </c>
      <c r="M48" t="n">
        <v>0</v>
      </c>
      <c r="N48" t="n">
        <v>0</v>
      </c>
      <c r="O48" t="n">
        <v>1</v>
      </c>
      <c r="P48" t="n">
        <v>0</v>
      </c>
      <c r="Q48" t="n">
        <v>1</v>
      </c>
      <c r="R48" s="2" t="inlineStr">
        <is>
          <t>Backstarr</t>
        </is>
      </c>
      <c r="S48">
        <f>HYPERLINK("https://klasma.github.io/Logging_2029/artfynd/A 6977-2023 artfynd.xlsx", "A 6977-2023")</f>
        <v/>
      </c>
      <c r="T48">
        <f>HYPERLINK("https://klasma.github.io/Logging_2029/kartor/A 6977-2023 karta.png", "A 6977-2023")</f>
        <v/>
      </c>
      <c r="V48">
        <f>HYPERLINK("https://klasma.github.io/Logging_2029/klagomål/A 6977-2023 FSC-klagomål.docx", "A 6977-2023")</f>
        <v/>
      </c>
      <c r="W48">
        <f>HYPERLINK("https://klasma.github.io/Logging_2029/klagomålsmail/A 6977-2023 FSC-klagomål mail.docx", "A 6977-2023")</f>
        <v/>
      </c>
      <c r="X48">
        <f>HYPERLINK("https://klasma.github.io/Logging_2029/tillsyn/A 6977-2023 tillsynsbegäran.docx", "A 6977-2023")</f>
        <v/>
      </c>
      <c r="Y48">
        <f>HYPERLINK("https://klasma.github.io/Logging_2029/tillsynsmail/A 6977-2023 tillsynsbegäran mail.docx", "A 6977-2023")</f>
        <v/>
      </c>
    </row>
    <row r="49" ht="15" customHeight="1">
      <c r="A49" t="inlineStr">
        <is>
          <t>A 8529-2023</t>
        </is>
      </c>
      <c r="B49" s="1" t="n">
        <v>44977</v>
      </c>
      <c r="C49" s="1" t="n">
        <v>45828</v>
      </c>
      <c r="D49" t="inlineStr">
        <is>
          <t>DALARNAS LÄN</t>
        </is>
      </c>
      <c r="E49" t="inlineStr">
        <is>
          <t>LEKSAND</t>
        </is>
      </c>
      <c r="G49" t="n">
        <v>2.7</v>
      </c>
      <c r="H49" t="n">
        <v>1</v>
      </c>
      <c r="I49" t="n">
        <v>0</v>
      </c>
      <c r="J49" t="n">
        <v>0</v>
      </c>
      <c r="K49" t="n">
        <v>1</v>
      </c>
      <c r="L49" t="n">
        <v>0</v>
      </c>
      <c r="M49" t="n">
        <v>0</v>
      </c>
      <c r="N49" t="n">
        <v>0</v>
      </c>
      <c r="O49" t="n">
        <v>1</v>
      </c>
      <c r="P49" t="n">
        <v>1</v>
      </c>
      <c r="Q49" t="n">
        <v>1</v>
      </c>
      <c r="R49" s="2" t="inlineStr">
        <is>
          <t>Knärot</t>
        </is>
      </c>
      <c r="S49">
        <f>HYPERLINK("https://klasma.github.io/Logging_2029/artfynd/A 8529-2023 artfynd.xlsx", "A 8529-2023")</f>
        <v/>
      </c>
      <c r="T49">
        <f>HYPERLINK("https://klasma.github.io/Logging_2029/kartor/A 8529-2023 karta.png", "A 8529-2023")</f>
        <v/>
      </c>
      <c r="U49">
        <f>HYPERLINK("https://klasma.github.io/Logging_2029/knärot/A 8529-2023 karta knärot.png", "A 8529-2023")</f>
        <v/>
      </c>
      <c r="V49">
        <f>HYPERLINK("https://klasma.github.io/Logging_2029/klagomål/A 8529-2023 FSC-klagomål.docx", "A 8529-2023")</f>
        <v/>
      </c>
      <c r="W49">
        <f>HYPERLINK("https://klasma.github.io/Logging_2029/klagomålsmail/A 8529-2023 FSC-klagomål mail.docx", "A 8529-2023")</f>
        <v/>
      </c>
      <c r="X49">
        <f>HYPERLINK("https://klasma.github.io/Logging_2029/tillsyn/A 8529-2023 tillsynsbegäran.docx", "A 8529-2023")</f>
        <v/>
      </c>
      <c r="Y49">
        <f>HYPERLINK("https://klasma.github.io/Logging_2029/tillsynsmail/A 8529-2023 tillsynsbegäran mail.docx", "A 8529-2023")</f>
        <v/>
      </c>
    </row>
    <row r="50" ht="15" customHeight="1">
      <c r="A50" t="inlineStr">
        <is>
          <t>A 11754-2023</t>
        </is>
      </c>
      <c r="B50" s="1" t="n">
        <v>44993</v>
      </c>
      <c r="C50" s="1" t="n">
        <v>45828</v>
      </c>
      <c r="D50" t="inlineStr">
        <is>
          <t>DALARNAS LÄN</t>
        </is>
      </c>
      <c r="E50" t="inlineStr">
        <is>
          <t>LEKSAND</t>
        </is>
      </c>
      <c r="G50" t="n">
        <v>4.7</v>
      </c>
      <c r="H50" t="n">
        <v>1</v>
      </c>
      <c r="I50" t="n">
        <v>0</v>
      </c>
      <c r="J50" t="n">
        <v>0</v>
      </c>
      <c r="K50" t="n">
        <v>1</v>
      </c>
      <c r="L50" t="n">
        <v>0</v>
      </c>
      <c r="M50" t="n">
        <v>0</v>
      </c>
      <c r="N50" t="n">
        <v>0</v>
      </c>
      <c r="O50" t="n">
        <v>1</v>
      </c>
      <c r="P50" t="n">
        <v>1</v>
      </c>
      <c r="Q50" t="n">
        <v>1</v>
      </c>
      <c r="R50" s="2" t="inlineStr">
        <is>
          <t>Knärot</t>
        </is>
      </c>
      <c r="S50">
        <f>HYPERLINK("https://klasma.github.io/Logging_2029/artfynd/A 11754-2023 artfynd.xlsx", "A 11754-2023")</f>
        <v/>
      </c>
      <c r="T50">
        <f>HYPERLINK("https://klasma.github.io/Logging_2029/kartor/A 11754-2023 karta.png", "A 11754-2023")</f>
        <v/>
      </c>
      <c r="U50">
        <f>HYPERLINK("https://klasma.github.io/Logging_2029/knärot/A 11754-2023 karta knärot.png", "A 11754-2023")</f>
        <v/>
      </c>
      <c r="V50">
        <f>HYPERLINK("https://klasma.github.io/Logging_2029/klagomål/A 11754-2023 FSC-klagomål.docx", "A 11754-2023")</f>
        <v/>
      </c>
      <c r="W50">
        <f>HYPERLINK("https://klasma.github.io/Logging_2029/klagomålsmail/A 11754-2023 FSC-klagomål mail.docx", "A 11754-2023")</f>
        <v/>
      </c>
      <c r="X50">
        <f>HYPERLINK("https://klasma.github.io/Logging_2029/tillsyn/A 11754-2023 tillsynsbegäran.docx", "A 11754-2023")</f>
        <v/>
      </c>
      <c r="Y50">
        <f>HYPERLINK("https://klasma.github.io/Logging_2029/tillsynsmail/A 11754-2023 tillsynsbegäran mail.docx", "A 11754-2023")</f>
        <v/>
      </c>
    </row>
    <row r="51" ht="15" customHeight="1">
      <c r="A51" t="inlineStr">
        <is>
          <t>A 15432-2023</t>
        </is>
      </c>
      <c r="B51" s="1" t="n">
        <v>45020</v>
      </c>
      <c r="C51" s="1" t="n">
        <v>45828</v>
      </c>
      <c r="D51" t="inlineStr">
        <is>
          <t>DALARNAS LÄN</t>
        </is>
      </c>
      <c r="E51" t="inlineStr">
        <is>
          <t>LEKSAND</t>
        </is>
      </c>
      <c r="G51" t="n">
        <v>2.5</v>
      </c>
      <c r="H51" t="n">
        <v>0</v>
      </c>
      <c r="I51" t="n">
        <v>1</v>
      </c>
      <c r="J51" t="n">
        <v>0</v>
      </c>
      <c r="K51" t="n">
        <v>0</v>
      </c>
      <c r="L51" t="n">
        <v>0</v>
      </c>
      <c r="M51" t="n">
        <v>0</v>
      </c>
      <c r="N51" t="n">
        <v>0</v>
      </c>
      <c r="O51" t="n">
        <v>0</v>
      </c>
      <c r="P51" t="n">
        <v>0</v>
      </c>
      <c r="Q51" t="n">
        <v>1</v>
      </c>
      <c r="R51" s="2" t="inlineStr">
        <is>
          <t>Mindre märgborre</t>
        </is>
      </c>
      <c r="S51">
        <f>HYPERLINK("https://klasma.github.io/Logging_2029/artfynd/A 15432-2023 artfynd.xlsx", "A 15432-2023")</f>
        <v/>
      </c>
      <c r="T51">
        <f>HYPERLINK("https://klasma.github.io/Logging_2029/kartor/A 15432-2023 karta.png", "A 15432-2023")</f>
        <v/>
      </c>
      <c r="V51">
        <f>HYPERLINK("https://klasma.github.io/Logging_2029/klagomål/A 15432-2023 FSC-klagomål.docx", "A 15432-2023")</f>
        <v/>
      </c>
      <c r="W51">
        <f>HYPERLINK("https://klasma.github.io/Logging_2029/klagomålsmail/A 15432-2023 FSC-klagomål mail.docx", "A 15432-2023")</f>
        <v/>
      </c>
      <c r="X51">
        <f>HYPERLINK("https://klasma.github.io/Logging_2029/tillsyn/A 15432-2023 tillsynsbegäran.docx", "A 15432-2023")</f>
        <v/>
      </c>
      <c r="Y51">
        <f>HYPERLINK("https://klasma.github.io/Logging_2029/tillsynsmail/A 15432-2023 tillsynsbegäran mail.docx", "A 15432-2023")</f>
        <v/>
      </c>
    </row>
    <row r="52" ht="15" customHeight="1">
      <c r="A52" t="inlineStr">
        <is>
          <t>A 15908-2023</t>
        </is>
      </c>
      <c r="B52" s="1" t="n">
        <v>45022</v>
      </c>
      <c r="C52" s="1" t="n">
        <v>45828</v>
      </c>
      <c r="D52" t="inlineStr">
        <is>
          <t>DALARNAS LÄN</t>
        </is>
      </c>
      <c r="E52" t="inlineStr">
        <is>
          <t>LEKSAND</t>
        </is>
      </c>
      <c r="G52" t="n">
        <v>2.4</v>
      </c>
      <c r="H52" t="n">
        <v>1</v>
      </c>
      <c r="I52" t="n">
        <v>0</v>
      </c>
      <c r="J52" t="n">
        <v>0</v>
      </c>
      <c r="K52" t="n">
        <v>0</v>
      </c>
      <c r="L52" t="n">
        <v>0</v>
      </c>
      <c r="M52" t="n">
        <v>0</v>
      </c>
      <c r="N52" t="n">
        <v>0</v>
      </c>
      <c r="O52" t="n">
        <v>0</v>
      </c>
      <c r="P52" t="n">
        <v>0</v>
      </c>
      <c r="Q52" t="n">
        <v>1</v>
      </c>
      <c r="R52" s="2" t="inlineStr">
        <is>
          <t>Blåsippa</t>
        </is>
      </c>
      <c r="S52">
        <f>HYPERLINK("https://klasma.github.io/Logging_2029/artfynd/A 15908-2023 artfynd.xlsx", "A 15908-2023")</f>
        <v/>
      </c>
      <c r="T52">
        <f>HYPERLINK("https://klasma.github.io/Logging_2029/kartor/A 15908-2023 karta.png", "A 15908-2023")</f>
        <v/>
      </c>
      <c r="V52">
        <f>HYPERLINK("https://klasma.github.io/Logging_2029/klagomål/A 15908-2023 FSC-klagomål.docx", "A 15908-2023")</f>
        <v/>
      </c>
      <c r="W52">
        <f>HYPERLINK("https://klasma.github.io/Logging_2029/klagomålsmail/A 15908-2023 FSC-klagomål mail.docx", "A 15908-2023")</f>
        <v/>
      </c>
      <c r="X52">
        <f>HYPERLINK("https://klasma.github.io/Logging_2029/tillsyn/A 15908-2023 tillsynsbegäran.docx", "A 15908-2023")</f>
        <v/>
      </c>
      <c r="Y52">
        <f>HYPERLINK("https://klasma.github.io/Logging_2029/tillsynsmail/A 15908-2023 tillsynsbegäran mail.docx", "A 15908-2023")</f>
        <v/>
      </c>
    </row>
    <row r="53" ht="15" customHeight="1">
      <c r="A53" t="inlineStr">
        <is>
          <t>A 16333-2023</t>
        </is>
      </c>
      <c r="B53" s="1" t="n">
        <v>45028</v>
      </c>
      <c r="C53" s="1" t="n">
        <v>45828</v>
      </c>
      <c r="D53" t="inlineStr">
        <is>
          <t>DALARNAS LÄN</t>
        </is>
      </c>
      <c r="E53" t="inlineStr">
        <is>
          <t>LEKSAND</t>
        </is>
      </c>
      <c r="G53" t="n">
        <v>1.5</v>
      </c>
      <c r="H53" t="n">
        <v>0</v>
      </c>
      <c r="I53" t="n">
        <v>1</v>
      </c>
      <c r="J53" t="n">
        <v>0</v>
      </c>
      <c r="K53" t="n">
        <v>0</v>
      </c>
      <c r="L53" t="n">
        <v>0</v>
      </c>
      <c r="M53" t="n">
        <v>0</v>
      </c>
      <c r="N53" t="n">
        <v>0</v>
      </c>
      <c r="O53" t="n">
        <v>0</v>
      </c>
      <c r="P53" t="n">
        <v>0</v>
      </c>
      <c r="Q53" t="n">
        <v>1</v>
      </c>
      <c r="R53" s="2" t="inlineStr">
        <is>
          <t>Läderskål</t>
        </is>
      </c>
      <c r="S53">
        <f>HYPERLINK("https://klasma.github.io/Logging_2029/artfynd/A 16333-2023 artfynd.xlsx", "A 16333-2023")</f>
        <v/>
      </c>
      <c r="T53">
        <f>HYPERLINK("https://klasma.github.io/Logging_2029/kartor/A 16333-2023 karta.png", "A 16333-2023")</f>
        <v/>
      </c>
      <c r="V53">
        <f>HYPERLINK("https://klasma.github.io/Logging_2029/klagomål/A 16333-2023 FSC-klagomål.docx", "A 16333-2023")</f>
        <v/>
      </c>
      <c r="W53">
        <f>HYPERLINK("https://klasma.github.io/Logging_2029/klagomålsmail/A 16333-2023 FSC-klagomål mail.docx", "A 16333-2023")</f>
        <v/>
      </c>
      <c r="X53">
        <f>HYPERLINK("https://klasma.github.io/Logging_2029/tillsyn/A 16333-2023 tillsynsbegäran.docx", "A 16333-2023")</f>
        <v/>
      </c>
      <c r="Y53">
        <f>HYPERLINK("https://klasma.github.io/Logging_2029/tillsynsmail/A 16333-2023 tillsynsbegäran mail.docx", "A 16333-2023")</f>
        <v/>
      </c>
    </row>
    <row r="54" ht="15" customHeight="1">
      <c r="A54" t="inlineStr">
        <is>
          <t>A 17899-2023</t>
        </is>
      </c>
      <c r="B54" s="1" t="n">
        <v>45039</v>
      </c>
      <c r="C54" s="1" t="n">
        <v>45828</v>
      </c>
      <c r="D54" t="inlineStr">
        <is>
          <t>DALARNAS LÄN</t>
        </is>
      </c>
      <c r="E54" t="inlineStr">
        <is>
          <t>LEKSAND</t>
        </is>
      </c>
      <c r="G54" t="n">
        <v>1.9</v>
      </c>
      <c r="H54" t="n">
        <v>0</v>
      </c>
      <c r="I54" t="n">
        <v>0</v>
      </c>
      <c r="J54" t="n">
        <v>1</v>
      </c>
      <c r="K54" t="n">
        <v>0</v>
      </c>
      <c r="L54" t="n">
        <v>0</v>
      </c>
      <c r="M54" t="n">
        <v>0</v>
      </c>
      <c r="N54" t="n">
        <v>0</v>
      </c>
      <c r="O54" t="n">
        <v>1</v>
      </c>
      <c r="P54" t="n">
        <v>0</v>
      </c>
      <c r="Q54" t="n">
        <v>1</v>
      </c>
      <c r="R54" s="2" t="inlineStr">
        <is>
          <t>Grantaggsvamp</t>
        </is>
      </c>
      <c r="S54">
        <f>HYPERLINK("https://klasma.github.io/Logging_2029/artfynd/A 17899-2023 artfynd.xlsx", "A 17899-2023")</f>
        <v/>
      </c>
      <c r="T54">
        <f>HYPERLINK("https://klasma.github.io/Logging_2029/kartor/A 17899-2023 karta.png", "A 17899-2023")</f>
        <v/>
      </c>
      <c r="V54">
        <f>HYPERLINK("https://klasma.github.io/Logging_2029/klagomål/A 17899-2023 FSC-klagomål.docx", "A 17899-2023")</f>
        <v/>
      </c>
      <c r="W54">
        <f>HYPERLINK("https://klasma.github.io/Logging_2029/klagomålsmail/A 17899-2023 FSC-klagomål mail.docx", "A 17899-2023")</f>
        <v/>
      </c>
      <c r="X54">
        <f>HYPERLINK("https://klasma.github.io/Logging_2029/tillsyn/A 17899-2023 tillsynsbegäran.docx", "A 17899-2023")</f>
        <v/>
      </c>
      <c r="Y54">
        <f>HYPERLINK("https://klasma.github.io/Logging_2029/tillsynsmail/A 17899-2023 tillsynsbegäran mail.docx", "A 17899-2023")</f>
        <v/>
      </c>
    </row>
    <row r="55" ht="15" customHeight="1">
      <c r="A55" t="inlineStr">
        <is>
          <t>A 21419-2023</t>
        </is>
      </c>
      <c r="B55" s="1" t="n">
        <v>45061</v>
      </c>
      <c r="C55" s="1" t="n">
        <v>45828</v>
      </c>
      <c r="D55" t="inlineStr">
        <is>
          <t>DALARNAS LÄN</t>
        </is>
      </c>
      <c r="E55" t="inlineStr">
        <is>
          <t>LEKSAND</t>
        </is>
      </c>
      <c r="G55" t="n">
        <v>5.5</v>
      </c>
      <c r="H55" t="n">
        <v>1</v>
      </c>
      <c r="I55" t="n">
        <v>0</v>
      </c>
      <c r="J55" t="n">
        <v>0</v>
      </c>
      <c r="K55" t="n">
        <v>0</v>
      </c>
      <c r="L55" t="n">
        <v>0</v>
      </c>
      <c r="M55" t="n">
        <v>0</v>
      </c>
      <c r="N55" t="n">
        <v>0</v>
      </c>
      <c r="O55" t="n">
        <v>0</v>
      </c>
      <c r="P55" t="n">
        <v>0</v>
      </c>
      <c r="Q55" t="n">
        <v>1</v>
      </c>
      <c r="R55" s="2" t="inlineStr">
        <is>
          <t>Nattviol</t>
        </is>
      </c>
      <c r="S55">
        <f>HYPERLINK("https://klasma.github.io/Logging_2029/artfynd/A 21419-2023 artfynd.xlsx", "A 21419-2023")</f>
        <v/>
      </c>
      <c r="T55">
        <f>HYPERLINK("https://klasma.github.io/Logging_2029/kartor/A 21419-2023 karta.png", "A 21419-2023")</f>
        <v/>
      </c>
      <c r="V55">
        <f>HYPERLINK("https://klasma.github.io/Logging_2029/klagomål/A 21419-2023 FSC-klagomål.docx", "A 21419-2023")</f>
        <v/>
      </c>
      <c r="W55">
        <f>HYPERLINK("https://klasma.github.io/Logging_2029/klagomålsmail/A 21419-2023 FSC-klagomål mail.docx", "A 21419-2023")</f>
        <v/>
      </c>
      <c r="X55">
        <f>HYPERLINK("https://klasma.github.io/Logging_2029/tillsyn/A 21419-2023 tillsynsbegäran.docx", "A 21419-2023")</f>
        <v/>
      </c>
      <c r="Y55">
        <f>HYPERLINK("https://klasma.github.io/Logging_2029/tillsynsmail/A 21419-2023 tillsynsbegäran mail.docx", "A 21419-2023")</f>
        <v/>
      </c>
    </row>
    <row r="56" ht="15" customHeight="1">
      <c r="A56" t="inlineStr">
        <is>
          <t>A 26287-2023</t>
        </is>
      </c>
      <c r="B56" s="1" t="n">
        <v>45091</v>
      </c>
      <c r="C56" s="1" t="n">
        <v>45828</v>
      </c>
      <c r="D56" t="inlineStr">
        <is>
          <t>DALARNAS LÄN</t>
        </is>
      </c>
      <c r="E56" t="inlineStr">
        <is>
          <t>LEKSAND</t>
        </is>
      </c>
      <c r="G56" t="n">
        <v>2.4</v>
      </c>
      <c r="H56" t="n">
        <v>0</v>
      </c>
      <c r="I56" t="n">
        <v>1</v>
      </c>
      <c r="J56" t="n">
        <v>0</v>
      </c>
      <c r="K56" t="n">
        <v>0</v>
      </c>
      <c r="L56" t="n">
        <v>0</v>
      </c>
      <c r="M56" t="n">
        <v>0</v>
      </c>
      <c r="N56" t="n">
        <v>0</v>
      </c>
      <c r="O56" t="n">
        <v>0</v>
      </c>
      <c r="P56" t="n">
        <v>0</v>
      </c>
      <c r="Q56" t="n">
        <v>1</v>
      </c>
      <c r="R56" s="2" t="inlineStr">
        <is>
          <t>Mindre märgborre</t>
        </is>
      </c>
      <c r="S56">
        <f>HYPERLINK("https://klasma.github.io/Logging_2029/artfynd/A 26287-2023 artfynd.xlsx", "A 26287-2023")</f>
        <v/>
      </c>
      <c r="T56">
        <f>HYPERLINK("https://klasma.github.io/Logging_2029/kartor/A 26287-2023 karta.png", "A 26287-2023")</f>
        <v/>
      </c>
      <c r="V56">
        <f>HYPERLINK("https://klasma.github.io/Logging_2029/klagomål/A 26287-2023 FSC-klagomål.docx", "A 26287-2023")</f>
        <v/>
      </c>
      <c r="W56">
        <f>HYPERLINK("https://klasma.github.io/Logging_2029/klagomålsmail/A 26287-2023 FSC-klagomål mail.docx", "A 26287-2023")</f>
        <v/>
      </c>
      <c r="X56">
        <f>HYPERLINK("https://klasma.github.io/Logging_2029/tillsyn/A 26287-2023 tillsynsbegäran.docx", "A 26287-2023")</f>
        <v/>
      </c>
      <c r="Y56">
        <f>HYPERLINK("https://klasma.github.io/Logging_2029/tillsynsmail/A 26287-2023 tillsynsbegäran mail.docx", "A 26287-2023")</f>
        <v/>
      </c>
    </row>
    <row r="57" ht="15" customHeight="1">
      <c r="A57" t="inlineStr">
        <is>
          <t>A 47803-2023</t>
        </is>
      </c>
      <c r="B57" s="1" t="n">
        <v>45204</v>
      </c>
      <c r="C57" s="1" t="n">
        <v>45828</v>
      </c>
      <c r="D57" t="inlineStr">
        <is>
          <t>DALARNAS LÄN</t>
        </is>
      </c>
      <c r="E57" t="inlineStr">
        <is>
          <t>LEKSAND</t>
        </is>
      </c>
      <c r="G57" t="n">
        <v>2</v>
      </c>
      <c r="H57" t="n">
        <v>1</v>
      </c>
      <c r="I57" t="n">
        <v>0</v>
      </c>
      <c r="J57" t="n">
        <v>0</v>
      </c>
      <c r="K57" t="n">
        <v>1</v>
      </c>
      <c r="L57" t="n">
        <v>0</v>
      </c>
      <c r="M57" t="n">
        <v>0</v>
      </c>
      <c r="N57" t="n">
        <v>0</v>
      </c>
      <c r="O57" t="n">
        <v>1</v>
      </c>
      <c r="P57" t="n">
        <v>1</v>
      </c>
      <c r="Q57" t="n">
        <v>1</v>
      </c>
      <c r="R57" s="2" t="inlineStr">
        <is>
          <t>Lappuggla</t>
        </is>
      </c>
      <c r="S57">
        <f>HYPERLINK("https://klasma.github.io/Logging_2029/artfynd/A 47803-2023 artfynd.xlsx", "A 47803-2023")</f>
        <v/>
      </c>
      <c r="T57">
        <f>HYPERLINK("https://klasma.github.io/Logging_2029/kartor/A 47803-2023 karta.png", "A 47803-2023")</f>
        <v/>
      </c>
      <c r="V57">
        <f>HYPERLINK("https://klasma.github.io/Logging_2029/klagomål/A 47803-2023 FSC-klagomål.docx", "A 47803-2023")</f>
        <v/>
      </c>
      <c r="W57">
        <f>HYPERLINK("https://klasma.github.io/Logging_2029/klagomålsmail/A 47803-2023 FSC-klagomål mail.docx", "A 47803-2023")</f>
        <v/>
      </c>
      <c r="X57">
        <f>HYPERLINK("https://klasma.github.io/Logging_2029/tillsyn/A 47803-2023 tillsynsbegäran.docx", "A 47803-2023")</f>
        <v/>
      </c>
      <c r="Y57">
        <f>HYPERLINK("https://klasma.github.io/Logging_2029/tillsynsmail/A 47803-2023 tillsynsbegäran mail.docx", "A 47803-2023")</f>
        <v/>
      </c>
      <c r="Z57">
        <f>HYPERLINK("https://klasma.github.io/Logging_2029/fåglar/A 47803-2023 prioriterade fågelarter.docx", "A 47803-2023")</f>
        <v/>
      </c>
    </row>
    <row r="58" ht="15" customHeight="1">
      <c r="A58" t="inlineStr">
        <is>
          <t>A 53262-2023</t>
        </is>
      </c>
      <c r="B58" s="1" t="n">
        <v>45229</v>
      </c>
      <c r="C58" s="1" t="n">
        <v>45828</v>
      </c>
      <c r="D58" t="inlineStr">
        <is>
          <t>DALARNAS LÄN</t>
        </is>
      </c>
      <c r="E58" t="inlineStr">
        <is>
          <t>LEKSAND</t>
        </is>
      </c>
      <c r="G58" t="n">
        <v>6.1</v>
      </c>
      <c r="H58" t="n">
        <v>1</v>
      </c>
      <c r="I58" t="n">
        <v>0</v>
      </c>
      <c r="J58" t="n">
        <v>0</v>
      </c>
      <c r="K58" t="n">
        <v>0</v>
      </c>
      <c r="L58" t="n">
        <v>1</v>
      </c>
      <c r="M58" t="n">
        <v>0</v>
      </c>
      <c r="N58" t="n">
        <v>0</v>
      </c>
      <c r="O58" t="n">
        <v>1</v>
      </c>
      <c r="P58" t="n">
        <v>1</v>
      </c>
      <c r="Q58" t="n">
        <v>1</v>
      </c>
      <c r="R58" s="2" t="inlineStr">
        <is>
          <t>Mosippa</t>
        </is>
      </c>
      <c r="S58">
        <f>HYPERLINK("https://klasma.github.io/Logging_2029/artfynd/A 53262-2023 artfynd.xlsx", "A 53262-2023")</f>
        <v/>
      </c>
      <c r="T58">
        <f>HYPERLINK("https://klasma.github.io/Logging_2029/kartor/A 53262-2023 karta.png", "A 53262-2023")</f>
        <v/>
      </c>
      <c r="V58">
        <f>HYPERLINK("https://klasma.github.io/Logging_2029/klagomål/A 53262-2023 FSC-klagomål.docx", "A 53262-2023")</f>
        <v/>
      </c>
      <c r="W58">
        <f>HYPERLINK("https://klasma.github.io/Logging_2029/klagomålsmail/A 53262-2023 FSC-klagomål mail.docx", "A 53262-2023")</f>
        <v/>
      </c>
      <c r="X58">
        <f>HYPERLINK("https://klasma.github.io/Logging_2029/tillsyn/A 53262-2023 tillsynsbegäran.docx", "A 53262-2023")</f>
        <v/>
      </c>
      <c r="Y58">
        <f>HYPERLINK("https://klasma.github.io/Logging_2029/tillsynsmail/A 53262-2023 tillsynsbegäran mail.docx", "A 53262-2023")</f>
        <v/>
      </c>
    </row>
    <row r="59" ht="15" customHeight="1">
      <c r="A59" t="inlineStr">
        <is>
          <t>A 59205-2023</t>
        </is>
      </c>
      <c r="B59" s="1" t="n">
        <v>45251</v>
      </c>
      <c r="C59" s="1" t="n">
        <v>45828</v>
      </c>
      <c r="D59" t="inlineStr">
        <is>
          <t>DALARNAS LÄN</t>
        </is>
      </c>
      <c r="E59" t="inlineStr">
        <is>
          <t>LEKSAND</t>
        </is>
      </c>
      <c r="G59" t="n">
        <v>1.9</v>
      </c>
      <c r="H59" t="n">
        <v>1</v>
      </c>
      <c r="I59" t="n">
        <v>0</v>
      </c>
      <c r="J59" t="n">
        <v>0</v>
      </c>
      <c r="K59" t="n">
        <v>0</v>
      </c>
      <c r="L59" t="n">
        <v>0</v>
      </c>
      <c r="M59" t="n">
        <v>0</v>
      </c>
      <c r="N59" t="n">
        <v>0</v>
      </c>
      <c r="O59" t="n">
        <v>0</v>
      </c>
      <c r="P59" t="n">
        <v>0</v>
      </c>
      <c r="Q59" t="n">
        <v>1</v>
      </c>
      <c r="R59" s="2" t="inlineStr">
        <is>
          <t>Revlummer</t>
        </is>
      </c>
      <c r="S59">
        <f>HYPERLINK("https://klasma.github.io/Logging_2029/artfynd/A 59205-2023 artfynd.xlsx", "A 59205-2023")</f>
        <v/>
      </c>
      <c r="T59">
        <f>HYPERLINK("https://klasma.github.io/Logging_2029/kartor/A 59205-2023 karta.png", "A 59205-2023")</f>
        <v/>
      </c>
      <c r="U59">
        <f>HYPERLINK("https://klasma.github.io/Logging_2029/knärot/A 59205-2023 karta knärot.png", "A 59205-2023")</f>
        <v/>
      </c>
      <c r="V59">
        <f>HYPERLINK("https://klasma.github.io/Logging_2029/klagomål/A 59205-2023 FSC-klagomål.docx", "A 59205-2023")</f>
        <v/>
      </c>
      <c r="W59">
        <f>HYPERLINK("https://klasma.github.io/Logging_2029/klagomålsmail/A 59205-2023 FSC-klagomål mail.docx", "A 59205-2023")</f>
        <v/>
      </c>
      <c r="X59">
        <f>HYPERLINK("https://klasma.github.io/Logging_2029/tillsyn/A 59205-2023 tillsynsbegäran.docx", "A 59205-2023")</f>
        <v/>
      </c>
      <c r="Y59">
        <f>HYPERLINK("https://klasma.github.io/Logging_2029/tillsynsmail/A 59205-2023 tillsynsbegäran mail.docx", "A 59205-2023")</f>
        <v/>
      </c>
    </row>
    <row r="60" ht="15" customHeight="1">
      <c r="A60" t="inlineStr">
        <is>
          <t>A 60238-2023</t>
        </is>
      </c>
      <c r="B60" s="1" t="n">
        <v>45258</v>
      </c>
      <c r="C60" s="1" t="n">
        <v>45828</v>
      </c>
      <c r="D60" t="inlineStr">
        <is>
          <t>DALARNAS LÄN</t>
        </is>
      </c>
      <c r="E60" t="inlineStr">
        <is>
          <t>LEKSAND</t>
        </is>
      </c>
      <c r="G60" t="n">
        <v>3.2</v>
      </c>
      <c r="H60" t="n">
        <v>1</v>
      </c>
      <c r="I60" t="n">
        <v>0</v>
      </c>
      <c r="J60" t="n">
        <v>0</v>
      </c>
      <c r="K60" t="n">
        <v>0</v>
      </c>
      <c r="L60" t="n">
        <v>0</v>
      </c>
      <c r="M60" t="n">
        <v>0</v>
      </c>
      <c r="N60" t="n">
        <v>0</v>
      </c>
      <c r="O60" t="n">
        <v>0</v>
      </c>
      <c r="P60" t="n">
        <v>0</v>
      </c>
      <c r="Q60" t="n">
        <v>1</v>
      </c>
      <c r="R60" s="2" t="inlineStr">
        <is>
          <t>Blåsippa</t>
        </is>
      </c>
      <c r="S60">
        <f>HYPERLINK("https://klasma.github.io/Logging_2029/artfynd/A 60238-2023 artfynd.xlsx", "A 60238-2023")</f>
        <v/>
      </c>
      <c r="T60">
        <f>HYPERLINK("https://klasma.github.io/Logging_2029/kartor/A 60238-2023 karta.png", "A 60238-2023")</f>
        <v/>
      </c>
      <c r="V60">
        <f>HYPERLINK("https://klasma.github.io/Logging_2029/klagomål/A 60238-2023 FSC-klagomål.docx", "A 60238-2023")</f>
        <v/>
      </c>
      <c r="W60">
        <f>HYPERLINK("https://klasma.github.io/Logging_2029/klagomålsmail/A 60238-2023 FSC-klagomål mail.docx", "A 60238-2023")</f>
        <v/>
      </c>
      <c r="X60">
        <f>HYPERLINK("https://klasma.github.io/Logging_2029/tillsyn/A 60238-2023 tillsynsbegäran.docx", "A 60238-2023")</f>
        <v/>
      </c>
      <c r="Y60">
        <f>HYPERLINK("https://klasma.github.io/Logging_2029/tillsynsmail/A 60238-2023 tillsynsbegäran mail.docx", "A 60238-2023")</f>
        <v/>
      </c>
    </row>
    <row r="61" ht="15" customHeight="1">
      <c r="A61" t="inlineStr">
        <is>
          <t>A 164-2024</t>
        </is>
      </c>
      <c r="B61" s="1" t="n">
        <v>45294</v>
      </c>
      <c r="C61" s="1" t="n">
        <v>45828</v>
      </c>
      <c r="D61" t="inlineStr">
        <is>
          <t>DALARNAS LÄN</t>
        </is>
      </c>
      <c r="E61" t="inlineStr">
        <is>
          <t>LEKSAND</t>
        </is>
      </c>
      <c r="G61" t="n">
        <v>3.7</v>
      </c>
      <c r="H61" t="n">
        <v>1</v>
      </c>
      <c r="I61" t="n">
        <v>0</v>
      </c>
      <c r="J61" t="n">
        <v>1</v>
      </c>
      <c r="K61" t="n">
        <v>0</v>
      </c>
      <c r="L61" t="n">
        <v>0</v>
      </c>
      <c r="M61" t="n">
        <v>0</v>
      </c>
      <c r="N61" t="n">
        <v>0</v>
      </c>
      <c r="O61" t="n">
        <v>1</v>
      </c>
      <c r="P61" t="n">
        <v>0</v>
      </c>
      <c r="Q61" t="n">
        <v>1</v>
      </c>
      <c r="R61" s="2" t="inlineStr">
        <is>
          <t>Järpe</t>
        </is>
      </c>
      <c r="S61">
        <f>HYPERLINK("https://klasma.github.io/Logging_2029/artfynd/A 164-2024 artfynd.xlsx", "A 164-2024")</f>
        <v/>
      </c>
      <c r="T61">
        <f>HYPERLINK("https://klasma.github.io/Logging_2029/kartor/A 164-2024 karta.png", "A 164-2024")</f>
        <v/>
      </c>
      <c r="V61">
        <f>HYPERLINK("https://klasma.github.io/Logging_2029/klagomål/A 164-2024 FSC-klagomål.docx", "A 164-2024")</f>
        <v/>
      </c>
      <c r="W61">
        <f>HYPERLINK("https://klasma.github.io/Logging_2029/klagomålsmail/A 164-2024 FSC-klagomål mail.docx", "A 164-2024")</f>
        <v/>
      </c>
      <c r="X61">
        <f>HYPERLINK("https://klasma.github.io/Logging_2029/tillsyn/A 164-2024 tillsynsbegäran.docx", "A 164-2024")</f>
        <v/>
      </c>
      <c r="Y61">
        <f>HYPERLINK("https://klasma.github.io/Logging_2029/tillsynsmail/A 164-2024 tillsynsbegäran mail.docx", "A 164-2024")</f>
        <v/>
      </c>
      <c r="Z61">
        <f>HYPERLINK("https://klasma.github.io/Logging_2029/fåglar/A 164-2024 prioriterade fågelarter.docx", "A 164-2024")</f>
        <v/>
      </c>
    </row>
    <row r="62" ht="15" customHeight="1">
      <c r="A62" t="inlineStr">
        <is>
          <t>A 988-2024</t>
        </is>
      </c>
      <c r="B62" s="1" t="n">
        <v>45301</v>
      </c>
      <c r="C62" s="1" t="n">
        <v>45828</v>
      </c>
      <c r="D62" t="inlineStr">
        <is>
          <t>DALARNAS LÄN</t>
        </is>
      </c>
      <c r="E62" t="inlineStr">
        <is>
          <t>LEKSAND</t>
        </is>
      </c>
      <c r="G62" t="n">
        <v>2.2</v>
      </c>
      <c r="H62" t="n">
        <v>1</v>
      </c>
      <c r="I62" t="n">
        <v>0</v>
      </c>
      <c r="J62" t="n">
        <v>0</v>
      </c>
      <c r="K62" t="n">
        <v>0</v>
      </c>
      <c r="L62" t="n">
        <v>0</v>
      </c>
      <c r="M62" t="n">
        <v>0</v>
      </c>
      <c r="N62" t="n">
        <v>0</v>
      </c>
      <c r="O62" t="n">
        <v>0</v>
      </c>
      <c r="P62" t="n">
        <v>0</v>
      </c>
      <c r="Q62" t="n">
        <v>1</v>
      </c>
      <c r="R62" s="2" t="inlineStr">
        <is>
          <t>Nattviol</t>
        </is>
      </c>
      <c r="S62">
        <f>HYPERLINK("https://klasma.github.io/Logging_2029/artfynd/A 988-2024 artfynd.xlsx", "A 988-2024")</f>
        <v/>
      </c>
      <c r="T62">
        <f>HYPERLINK("https://klasma.github.io/Logging_2029/kartor/A 988-2024 karta.png", "A 988-2024")</f>
        <v/>
      </c>
      <c r="V62">
        <f>HYPERLINK("https://klasma.github.io/Logging_2029/klagomål/A 988-2024 FSC-klagomål.docx", "A 988-2024")</f>
        <v/>
      </c>
      <c r="W62">
        <f>HYPERLINK("https://klasma.github.io/Logging_2029/klagomålsmail/A 988-2024 FSC-klagomål mail.docx", "A 988-2024")</f>
        <v/>
      </c>
      <c r="X62">
        <f>HYPERLINK("https://klasma.github.io/Logging_2029/tillsyn/A 988-2024 tillsynsbegäran.docx", "A 988-2024")</f>
        <v/>
      </c>
      <c r="Y62">
        <f>HYPERLINK("https://klasma.github.io/Logging_2029/tillsynsmail/A 988-2024 tillsynsbegäran mail.docx", "A 988-2024")</f>
        <v/>
      </c>
    </row>
    <row r="63" ht="15" customHeight="1">
      <c r="A63" t="inlineStr">
        <is>
          <t>A 20794-2024</t>
        </is>
      </c>
      <c r="B63" s="1" t="n">
        <v>45438</v>
      </c>
      <c r="C63" s="1" t="n">
        <v>45828</v>
      </c>
      <c r="D63" t="inlineStr">
        <is>
          <t>DALARNAS LÄN</t>
        </is>
      </c>
      <c r="E63" t="inlineStr">
        <is>
          <t>LEKSAND</t>
        </is>
      </c>
      <c r="G63" t="n">
        <v>6.1</v>
      </c>
      <c r="H63" t="n">
        <v>1</v>
      </c>
      <c r="I63" t="n">
        <v>0</v>
      </c>
      <c r="J63" t="n">
        <v>1</v>
      </c>
      <c r="K63" t="n">
        <v>0</v>
      </c>
      <c r="L63" t="n">
        <v>0</v>
      </c>
      <c r="M63" t="n">
        <v>0</v>
      </c>
      <c r="N63" t="n">
        <v>0</v>
      </c>
      <c r="O63" t="n">
        <v>1</v>
      </c>
      <c r="P63" t="n">
        <v>0</v>
      </c>
      <c r="Q63" t="n">
        <v>1</v>
      </c>
      <c r="R63" s="2" t="inlineStr">
        <is>
          <t>Utter</t>
        </is>
      </c>
      <c r="S63">
        <f>HYPERLINK("https://klasma.github.io/Logging_2029/artfynd/A 20794-2024 artfynd.xlsx", "A 20794-2024")</f>
        <v/>
      </c>
      <c r="T63">
        <f>HYPERLINK("https://klasma.github.io/Logging_2029/kartor/A 20794-2024 karta.png", "A 20794-2024")</f>
        <v/>
      </c>
      <c r="V63">
        <f>HYPERLINK("https://klasma.github.io/Logging_2029/klagomål/A 20794-2024 FSC-klagomål.docx", "A 20794-2024")</f>
        <v/>
      </c>
      <c r="W63">
        <f>HYPERLINK("https://klasma.github.io/Logging_2029/klagomålsmail/A 20794-2024 FSC-klagomål mail.docx", "A 20794-2024")</f>
        <v/>
      </c>
      <c r="X63">
        <f>HYPERLINK("https://klasma.github.io/Logging_2029/tillsyn/A 20794-2024 tillsynsbegäran.docx", "A 20794-2024")</f>
        <v/>
      </c>
      <c r="Y63">
        <f>HYPERLINK("https://klasma.github.io/Logging_2029/tillsynsmail/A 20794-2024 tillsynsbegäran mail.docx", "A 20794-2024")</f>
        <v/>
      </c>
    </row>
    <row r="64" ht="15" customHeight="1">
      <c r="A64" t="inlineStr">
        <is>
          <t>A 23417-2024</t>
        </is>
      </c>
      <c r="B64" s="1" t="n">
        <v>45453</v>
      </c>
      <c r="C64" s="1" t="n">
        <v>45828</v>
      </c>
      <c r="D64" t="inlineStr">
        <is>
          <t>DALARNAS LÄN</t>
        </is>
      </c>
      <c r="E64" t="inlineStr">
        <is>
          <t>LEKSAND</t>
        </is>
      </c>
      <c r="F64" t="inlineStr">
        <is>
          <t>Bergvik skog väst AB</t>
        </is>
      </c>
      <c r="G64" t="n">
        <v>39.9</v>
      </c>
      <c r="H64" t="n">
        <v>0</v>
      </c>
      <c r="I64" t="n">
        <v>0</v>
      </c>
      <c r="J64" t="n">
        <v>1</v>
      </c>
      <c r="K64" t="n">
        <v>0</v>
      </c>
      <c r="L64" t="n">
        <v>0</v>
      </c>
      <c r="M64" t="n">
        <v>0</v>
      </c>
      <c r="N64" t="n">
        <v>0</v>
      </c>
      <c r="O64" t="n">
        <v>1</v>
      </c>
      <c r="P64" t="n">
        <v>0</v>
      </c>
      <c r="Q64" t="n">
        <v>1</v>
      </c>
      <c r="R64" s="2" t="inlineStr">
        <is>
          <t>Tallticka</t>
        </is>
      </c>
      <c r="S64">
        <f>HYPERLINK("https://klasma.github.io/Logging_2029/artfynd/A 23417-2024 artfynd.xlsx", "A 23417-2024")</f>
        <v/>
      </c>
      <c r="T64">
        <f>HYPERLINK("https://klasma.github.io/Logging_2029/kartor/A 23417-2024 karta.png", "A 23417-2024")</f>
        <v/>
      </c>
      <c r="V64">
        <f>HYPERLINK("https://klasma.github.io/Logging_2029/klagomål/A 23417-2024 FSC-klagomål.docx", "A 23417-2024")</f>
        <v/>
      </c>
      <c r="W64">
        <f>HYPERLINK("https://klasma.github.io/Logging_2029/klagomålsmail/A 23417-2024 FSC-klagomål mail.docx", "A 23417-2024")</f>
        <v/>
      </c>
      <c r="X64">
        <f>HYPERLINK("https://klasma.github.io/Logging_2029/tillsyn/A 23417-2024 tillsynsbegäran.docx", "A 23417-2024")</f>
        <v/>
      </c>
      <c r="Y64">
        <f>HYPERLINK("https://klasma.github.io/Logging_2029/tillsynsmail/A 23417-2024 tillsynsbegäran mail.docx", "A 23417-2024")</f>
        <v/>
      </c>
    </row>
    <row r="65" ht="15" customHeight="1">
      <c r="A65" t="inlineStr">
        <is>
          <t>A 31124-2024</t>
        </is>
      </c>
      <c r="B65" s="1" t="n">
        <v>45502</v>
      </c>
      <c r="C65" s="1" t="n">
        <v>45828</v>
      </c>
      <c r="D65" t="inlineStr">
        <is>
          <t>DALARNAS LÄN</t>
        </is>
      </c>
      <c r="E65" t="inlineStr">
        <is>
          <t>LEKSAND</t>
        </is>
      </c>
      <c r="G65" t="n">
        <v>1.9</v>
      </c>
      <c r="H65" t="n">
        <v>1</v>
      </c>
      <c r="I65" t="n">
        <v>0</v>
      </c>
      <c r="J65" t="n">
        <v>0</v>
      </c>
      <c r="K65" t="n">
        <v>1</v>
      </c>
      <c r="L65" t="n">
        <v>0</v>
      </c>
      <c r="M65" t="n">
        <v>0</v>
      </c>
      <c r="N65" t="n">
        <v>0</v>
      </c>
      <c r="O65" t="n">
        <v>1</v>
      </c>
      <c r="P65" t="n">
        <v>1</v>
      </c>
      <c r="Q65" t="n">
        <v>1</v>
      </c>
      <c r="R65" s="2" t="inlineStr">
        <is>
          <t>Väddnätfjäril</t>
        </is>
      </c>
      <c r="S65">
        <f>HYPERLINK("https://klasma.github.io/Logging_2029/artfynd/A 31124-2024 artfynd.xlsx", "A 31124-2024")</f>
        <v/>
      </c>
      <c r="T65">
        <f>HYPERLINK("https://klasma.github.io/Logging_2029/kartor/A 31124-2024 karta.png", "A 31124-2024")</f>
        <v/>
      </c>
      <c r="V65">
        <f>HYPERLINK("https://klasma.github.io/Logging_2029/klagomål/A 31124-2024 FSC-klagomål.docx", "A 31124-2024")</f>
        <v/>
      </c>
      <c r="W65">
        <f>HYPERLINK("https://klasma.github.io/Logging_2029/klagomålsmail/A 31124-2024 FSC-klagomål mail.docx", "A 31124-2024")</f>
        <v/>
      </c>
      <c r="X65">
        <f>HYPERLINK("https://klasma.github.io/Logging_2029/tillsyn/A 31124-2024 tillsynsbegäran.docx", "A 31124-2024")</f>
        <v/>
      </c>
      <c r="Y65">
        <f>HYPERLINK("https://klasma.github.io/Logging_2029/tillsynsmail/A 31124-2024 tillsynsbegäran mail.docx", "A 31124-2024")</f>
        <v/>
      </c>
    </row>
    <row r="66" ht="15" customHeight="1">
      <c r="A66" t="inlineStr">
        <is>
          <t>A 31794-2024</t>
        </is>
      </c>
      <c r="B66" s="1" t="n">
        <v>45509</v>
      </c>
      <c r="C66" s="1" t="n">
        <v>45828</v>
      </c>
      <c r="D66" t="inlineStr">
        <is>
          <t>DALARNAS LÄN</t>
        </is>
      </c>
      <c r="E66" t="inlineStr">
        <is>
          <t>LEKSAND</t>
        </is>
      </c>
      <c r="F66" t="inlineStr">
        <is>
          <t>Bergvik skog väst AB</t>
        </is>
      </c>
      <c r="G66" t="n">
        <v>6.7</v>
      </c>
      <c r="H66" t="n">
        <v>1</v>
      </c>
      <c r="I66" t="n">
        <v>0</v>
      </c>
      <c r="J66" t="n">
        <v>0</v>
      </c>
      <c r="K66" t="n">
        <v>0</v>
      </c>
      <c r="L66" t="n">
        <v>0</v>
      </c>
      <c r="M66" t="n">
        <v>0</v>
      </c>
      <c r="N66" t="n">
        <v>0</v>
      </c>
      <c r="O66" t="n">
        <v>0</v>
      </c>
      <c r="P66" t="n">
        <v>0</v>
      </c>
      <c r="Q66" t="n">
        <v>1</v>
      </c>
      <c r="R66" s="2" t="inlineStr">
        <is>
          <t>Revlummer</t>
        </is>
      </c>
      <c r="S66">
        <f>HYPERLINK("https://klasma.github.io/Logging_2029/artfynd/A 31794-2024 artfynd.xlsx", "A 31794-2024")</f>
        <v/>
      </c>
      <c r="T66">
        <f>HYPERLINK("https://klasma.github.io/Logging_2029/kartor/A 31794-2024 karta.png", "A 31794-2024")</f>
        <v/>
      </c>
      <c r="V66">
        <f>HYPERLINK("https://klasma.github.io/Logging_2029/klagomål/A 31794-2024 FSC-klagomål.docx", "A 31794-2024")</f>
        <v/>
      </c>
      <c r="W66">
        <f>HYPERLINK("https://klasma.github.io/Logging_2029/klagomålsmail/A 31794-2024 FSC-klagomål mail.docx", "A 31794-2024")</f>
        <v/>
      </c>
      <c r="X66">
        <f>HYPERLINK("https://klasma.github.io/Logging_2029/tillsyn/A 31794-2024 tillsynsbegäran.docx", "A 31794-2024")</f>
        <v/>
      </c>
      <c r="Y66">
        <f>HYPERLINK("https://klasma.github.io/Logging_2029/tillsynsmail/A 31794-2024 tillsynsbegäran mail.docx", "A 31794-2024")</f>
        <v/>
      </c>
    </row>
    <row r="67" ht="15" customHeight="1">
      <c r="A67" t="inlineStr">
        <is>
          <t>A 33554-2024</t>
        </is>
      </c>
      <c r="B67" s="1" t="n">
        <v>45519</v>
      </c>
      <c r="C67" s="1" t="n">
        <v>45828</v>
      </c>
      <c r="D67" t="inlineStr">
        <is>
          <t>DALARNAS LÄN</t>
        </is>
      </c>
      <c r="E67" t="inlineStr">
        <is>
          <t>LEKSAND</t>
        </is>
      </c>
      <c r="G67" t="n">
        <v>11.1</v>
      </c>
      <c r="H67" t="n">
        <v>0</v>
      </c>
      <c r="I67" t="n">
        <v>1</v>
      </c>
      <c r="J67" t="n">
        <v>0</v>
      </c>
      <c r="K67" t="n">
        <v>0</v>
      </c>
      <c r="L67" t="n">
        <v>0</v>
      </c>
      <c r="M67" t="n">
        <v>0</v>
      </c>
      <c r="N67" t="n">
        <v>0</v>
      </c>
      <c r="O67" t="n">
        <v>0</v>
      </c>
      <c r="P67" t="n">
        <v>0</v>
      </c>
      <c r="Q67" t="n">
        <v>1</v>
      </c>
      <c r="R67" s="2" t="inlineStr">
        <is>
          <t>Mindre märgborre</t>
        </is>
      </c>
      <c r="S67">
        <f>HYPERLINK("https://klasma.github.io/Logging_2029/artfynd/A 33554-2024 artfynd.xlsx", "A 33554-2024")</f>
        <v/>
      </c>
      <c r="T67">
        <f>HYPERLINK("https://klasma.github.io/Logging_2029/kartor/A 33554-2024 karta.png", "A 33554-2024")</f>
        <v/>
      </c>
      <c r="V67">
        <f>HYPERLINK("https://klasma.github.io/Logging_2029/klagomål/A 33554-2024 FSC-klagomål.docx", "A 33554-2024")</f>
        <v/>
      </c>
      <c r="W67">
        <f>HYPERLINK("https://klasma.github.io/Logging_2029/klagomålsmail/A 33554-2024 FSC-klagomål mail.docx", "A 33554-2024")</f>
        <v/>
      </c>
      <c r="X67">
        <f>HYPERLINK("https://klasma.github.io/Logging_2029/tillsyn/A 33554-2024 tillsynsbegäran.docx", "A 33554-2024")</f>
        <v/>
      </c>
      <c r="Y67">
        <f>HYPERLINK("https://klasma.github.io/Logging_2029/tillsynsmail/A 33554-2024 tillsynsbegäran mail.docx", "A 33554-2024")</f>
        <v/>
      </c>
    </row>
    <row r="68" ht="15" customHeight="1">
      <c r="A68" t="inlineStr">
        <is>
          <t>A 44138-2024</t>
        </is>
      </c>
      <c r="B68" s="1" t="n">
        <v>45572</v>
      </c>
      <c r="C68" s="1" t="n">
        <v>45828</v>
      </c>
      <c r="D68" t="inlineStr">
        <is>
          <t>DALARNAS LÄN</t>
        </is>
      </c>
      <c r="E68" t="inlineStr">
        <is>
          <t>LEKSAND</t>
        </is>
      </c>
      <c r="G68" t="n">
        <v>2.5</v>
      </c>
      <c r="H68" t="n">
        <v>0</v>
      </c>
      <c r="I68" t="n">
        <v>0</v>
      </c>
      <c r="J68" t="n">
        <v>1</v>
      </c>
      <c r="K68" t="n">
        <v>0</v>
      </c>
      <c r="L68" t="n">
        <v>0</v>
      </c>
      <c r="M68" t="n">
        <v>0</v>
      </c>
      <c r="N68" t="n">
        <v>0</v>
      </c>
      <c r="O68" t="n">
        <v>1</v>
      </c>
      <c r="P68" t="n">
        <v>0</v>
      </c>
      <c r="Q68" t="n">
        <v>1</v>
      </c>
      <c r="R68" s="2" t="inlineStr">
        <is>
          <t>Garnlav</t>
        </is>
      </c>
      <c r="S68">
        <f>HYPERLINK("https://klasma.github.io/Logging_2029/artfynd/A 44138-2024 artfynd.xlsx", "A 44138-2024")</f>
        <v/>
      </c>
      <c r="T68">
        <f>HYPERLINK("https://klasma.github.io/Logging_2029/kartor/A 44138-2024 karta.png", "A 44138-2024")</f>
        <v/>
      </c>
      <c r="V68">
        <f>HYPERLINK("https://klasma.github.io/Logging_2029/klagomål/A 44138-2024 FSC-klagomål.docx", "A 44138-2024")</f>
        <v/>
      </c>
      <c r="W68">
        <f>HYPERLINK("https://klasma.github.io/Logging_2029/klagomålsmail/A 44138-2024 FSC-klagomål mail.docx", "A 44138-2024")</f>
        <v/>
      </c>
      <c r="X68">
        <f>HYPERLINK("https://klasma.github.io/Logging_2029/tillsyn/A 44138-2024 tillsynsbegäran.docx", "A 44138-2024")</f>
        <v/>
      </c>
      <c r="Y68">
        <f>HYPERLINK("https://klasma.github.io/Logging_2029/tillsynsmail/A 44138-2024 tillsynsbegäran mail.docx", "A 44138-2024")</f>
        <v/>
      </c>
    </row>
    <row r="69" ht="15" customHeight="1">
      <c r="A69" t="inlineStr">
        <is>
          <t>A 52600-2024</t>
        </is>
      </c>
      <c r="B69" s="1" t="n">
        <v>45609</v>
      </c>
      <c r="C69" s="1" t="n">
        <v>45828</v>
      </c>
      <c r="D69" t="inlineStr">
        <is>
          <t>DALARNAS LÄN</t>
        </is>
      </c>
      <c r="E69" t="inlineStr">
        <is>
          <t>LEKSAND</t>
        </is>
      </c>
      <c r="G69" t="n">
        <v>3.4</v>
      </c>
      <c r="H69" t="n">
        <v>1</v>
      </c>
      <c r="I69" t="n">
        <v>0</v>
      </c>
      <c r="J69" t="n">
        <v>0</v>
      </c>
      <c r="K69" t="n">
        <v>0</v>
      </c>
      <c r="L69" t="n">
        <v>0</v>
      </c>
      <c r="M69" t="n">
        <v>0</v>
      </c>
      <c r="N69" t="n">
        <v>0</v>
      </c>
      <c r="O69" t="n">
        <v>0</v>
      </c>
      <c r="P69" t="n">
        <v>0</v>
      </c>
      <c r="Q69" t="n">
        <v>1</v>
      </c>
      <c r="R69" s="2" t="inlineStr">
        <is>
          <t>Fläcknycklar</t>
        </is>
      </c>
      <c r="S69">
        <f>HYPERLINK("https://klasma.github.io/Logging_2029/artfynd/A 52600-2024 artfynd.xlsx", "A 52600-2024")</f>
        <v/>
      </c>
      <c r="T69">
        <f>HYPERLINK("https://klasma.github.io/Logging_2029/kartor/A 52600-2024 karta.png", "A 52600-2024")</f>
        <v/>
      </c>
      <c r="V69">
        <f>HYPERLINK("https://klasma.github.io/Logging_2029/klagomål/A 52600-2024 FSC-klagomål.docx", "A 52600-2024")</f>
        <v/>
      </c>
      <c r="W69">
        <f>HYPERLINK("https://klasma.github.io/Logging_2029/klagomålsmail/A 52600-2024 FSC-klagomål mail.docx", "A 52600-2024")</f>
        <v/>
      </c>
      <c r="X69">
        <f>HYPERLINK("https://klasma.github.io/Logging_2029/tillsyn/A 52600-2024 tillsynsbegäran.docx", "A 52600-2024")</f>
        <v/>
      </c>
      <c r="Y69">
        <f>HYPERLINK("https://klasma.github.io/Logging_2029/tillsynsmail/A 52600-2024 tillsynsbegäran mail.docx", "A 52600-2024")</f>
        <v/>
      </c>
    </row>
    <row r="70" ht="15" customHeight="1">
      <c r="A70" t="inlineStr">
        <is>
          <t>A 55633-2024</t>
        </is>
      </c>
      <c r="B70" s="1" t="n">
        <v>45621</v>
      </c>
      <c r="C70" s="1" t="n">
        <v>45828</v>
      </c>
      <c r="D70" t="inlineStr">
        <is>
          <t>DALARNAS LÄN</t>
        </is>
      </c>
      <c r="E70" t="inlineStr">
        <is>
          <t>LEKSAND</t>
        </is>
      </c>
      <c r="G70" t="n">
        <v>7.8</v>
      </c>
      <c r="H70" t="n">
        <v>0</v>
      </c>
      <c r="I70" t="n">
        <v>0</v>
      </c>
      <c r="J70" t="n">
        <v>1</v>
      </c>
      <c r="K70" t="n">
        <v>0</v>
      </c>
      <c r="L70" t="n">
        <v>0</v>
      </c>
      <c r="M70" t="n">
        <v>0</v>
      </c>
      <c r="N70" t="n">
        <v>0</v>
      </c>
      <c r="O70" t="n">
        <v>1</v>
      </c>
      <c r="P70" t="n">
        <v>0</v>
      </c>
      <c r="Q70" t="n">
        <v>1</v>
      </c>
      <c r="R70" s="2" t="inlineStr">
        <is>
          <t>Ullticka</t>
        </is>
      </c>
      <c r="S70">
        <f>HYPERLINK("https://klasma.github.io/Logging_2029/artfynd/A 55633-2024 artfynd.xlsx", "A 55633-2024")</f>
        <v/>
      </c>
      <c r="T70">
        <f>HYPERLINK("https://klasma.github.io/Logging_2029/kartor/A 55633-2024 karta.png", "A 55633-2024")</f>
        <v/>
      </c>
      <c r="V70">
        <f>HYPERLINK("https://klasma.github.io/Logging_2029/klagomål/A 55633-2024 FSC-klagomål.docx", "A 55633-2024")</f>
        <v/>
      </c>
      <c r="W70">
        <f>HYPERLINK("https://klasma.github.io/Logging_2029/klagomålsmail/A 55633-2024 FSC-klagomål mail.docx", "A 55633-2024")</f>
        <v/>
      </c>
      <c r="X70">
        <f>HYPERLINK("https://klasma.github.io/Logging_2029/tillsyn/A 55633-2024 tillsynsbegäran.docx", "A 55633-2024")</f>
        <v/>
      </c>
      <c r="Y70">
        <f>HYPERLINK("https://klasma.github.io/Logging_2029/tillsynsmail/A 55633-2024 tillsynsbegäran mail.docx", "A 55633-2024")</f>
        <v/>
      </c>
    </row>
    <row r="71" ht="15" customHeight="1">
      <c r="A71" t="inlineStr">
        <is>
          <t>A 6029-2025</t>
        </is>
      </c>
      <c r="B71" s="1" t="n">
        <v>45695</v>
      </c>
      <c r="C71" s="1" t="n">
        <v>45828</v>
      </c>
      <c r="D71" t="inlineStr">
        <is>
          <t>DALARNAS LÄN</t>
        </is>
      </c>
      <c r="E71" t="inlineStr">
        <is>
          <t>LEKSAND</t>
        </is>
      </c>
      <c r="G71" t="n">
        <v>3.5</v>
      </c>
      <c r="H71" t="n">
        <v>1</v>
      </c>
      <c r="I71" t="n">
        <v>0</v>
      </c>
      <c r="J71" t="n">
        <v>1</v>
      </c>
      <c r="K71" t="n">
        <v>0</v>
      </c>
      <c r="L71" t="n">
        <v>0</v>
      </c>
      <c r="M71" t="n">
        <v>0</v>
      </c>
      <c r="N71" t="n">
        <v>0</v>
      </c>
      <c r="O71" t="n">
        <v>1</v>
      </c>
      <c r="P71" t="n">
        <v>0</v>
      </c>
      <c r="Q71" t="n">
        <v>1</v>
      </c>
      <c r="R71" s="2" t="inlineStr">
        <is>
          <t>Spillkråka</t>
        </is>
      </c>
      <c r="S71">
        <f>HYPERLINK("https://klasma.github.io/Logging_2029/artfynd/A 6029-2025 artfynd.xlsx", "A 6029-2025")</f>
        <v/>
      </c>
      <c r="T71">
        <f>HYPERLINK("https://klasma.github.io/Logging_2029/kartor/A 6029-2025 karta.png", "A 6029-2025")</f>
        <v/>
      </c>
      <c r="V71">
        <f>HYPERLINK("https://klasma.github.io/Logging_2029/klagomål/A 6029-2025 FSC-klagomål.docx", "A 6029-2025")</f>
        <v/>
      </c>
      <c r="W71">
        <f>HYPERLINK("https://klasma.github.io/Logging_2029/klagomålsmail/A 6029-2025 FSC-klagomål mail.docx", "A 6029-2025")</f>
        <v/>
      </c>
      <c r="X71">
        <f>HYPERLINK("https://klasma.github.io/Logging_2029/tillsyn/A 6029-2025 tillsynsbegäran.docx", "A 6029-2025")</f>
        <v/>
      </c>
      <c r="Y71">
        <f>HYPERLINK("https://klasma.github.io/Logging_2029/tillsynsmail/A 6029-2025 tillsynsbegäran mail.docx", "A 6029-2025")</f>
        <v/>
      </c>
      <c r="Z71">
        <f>HYPERLINK("https://klasma.github.io/Logging_2029/fåglar/A 6029-2025 prioriterade fågelarter.docx", "A 6029-2025")</f>
        <v/>
      </c>
    </row>
    <row r="72" ht="15" customHeight="1">
      <c r="A72" t="inlineStr">
        <is>
          <t>A 16735-2025</t>
        </is>
      </c>
      <c r="B72" s="1" t="n">
        <v>45754</v>
      </c>
      <c r="C72" s="1" t="n">
        <v>45828</v>
      </c>
      <c r="D72" t="inlineStr">
        <is>
          <t>DALARNAS LÄN</t>
        </is>
      </c>
      <c r="E72" t="inlineStr">
        <is>
          <t>LEKSAND</t>
        </is>
      </c>
      <c r="G72" t="n">
        <v>1.8</v>
      </c>
      <c r="H72" t="n">
        <v>1</v>
      </c>
      <c r="I72" t="n">
        <v>0</v>
      </c>
      <c r="J72" t="n">
        <v>0</v>
      </c>
      <c r="K72" t="n">
        <v>0</v>
      </c>
      <c r="L72" t="n">
        <v>0</v>
      </c>
      <c r="M72" t="n">
        <v>0</v>
      </c>
      <c r="N72" t="n">
        <v>0</v>
      </c>
      <c r="O72" t="n">
        <v>0</v>
      </c>
      <c r="P72" t="n">
        <v>0</v>
      </c>
      <c r="Q72" t="n">
        <v>1</v>
      </c>
      <c r="R72" s="2" t="inlineStr">
        <is>
          <t>Gröngöling</t>
        </is>
      </c>
      <c r="S72">
        <f>HYPERLINK("https://klasma.github.io/Logging_202029/artfynd/A 16735-2025 artfynd.xlsx", "A 16735-2025")</f>
        <v/>
      </c>
      <c r="T72">
        <f>HYPERLINK("https://klasma.github.io/Logging_202029/kartor/A 16735-2025 karta.png", "A 16735-2025")</f>
        <v/>
      </c>
      <c r="V72">
        <f>HYPERLINK("https://klasma.github.io/Logging_202029/klagomål/A 16735-2025 FSC-klagomål.docx", "A 16735-2025")</f>
        <v/>
      </c>
      <c r="W72">
        <f>HYPERLINK("https://klasma.github.io/Logging_202029/klagomålsmail/A 16735-2025 FSC-klagomål mail.docx", "A 16735-2025")</f>
        <v/>
      </c>
      <c r="X72">
        <f>HYPERLINK("https://klasma.github.io/Logging_202029/tillsyn/A 16735-2025 tillsynsbegäran.docx", "A 16735-2025")</f>
        <v/>
      </c>
      <c r="Y72">
        <f>HYPERLINK("https://klasma.github.io/Logging_202029/tillsynsmail/A 16735-2025 tillsynsbegäran mail.docx", "A 16735-2025")</f>
        <v/>
      </c>
      <c r="Z72">
        <f>HYPERLINK("https://klasma.github.io/Logging_202029/fåglar/A 16735-2025 prioriterade fågelarter.docx", "A 16735-2025")</f>
        <v/>
      </c>
    </row>
    <row r="73" ht="15" customHeight="1">
      <c r="A73" t="inlineStr">
        <is>
          <t>A 17822-2019</t>
        </is>
      </c>
      <c r="B73" s="1" t="n">
        <v>43556</v>
      </c>
      <c r="C73" s="1" t="n">
        <v>45828</v>
      </c>
      <c r="D73" t="inlineStr">
        <is>
          <t>DALARNAS LÄN</t>
        </is>
      </c>
      <c r="E73" t="inlineStr">
        <is>
          <t>LEKSAND</t>
        </is>
      </c>
      <c r="G73" t="n">
        <v>0.8</v>
      </c>
      <c r="H73" t="n">
        <v>0</v>
      </c>
      <c r="I73" t="n">
        <v>0</v>
      </c>
      <c r="J73" t="n">
        <v>0</v>
      </c>
      <c r="K73" t="n">
        <v>0</v>
      </c>
      <c r="L73" t="n">
        <v>0</v>
      </c>
      <c r="M73" t="n">
        <v>0</v>
      </c>
      <c r="N73" t="n">
        <v>0</v>
      </c>
      <c r="O73" t="n">
        <v>0</v>
      </c>
      <c r="P73" t="n">
        <v>0</v>
      </c>
      <c r="Q73" t="n">
        <v>0</v>
      </c>
      <c r="R73" s="2" t="inlineStr"/>
    </row>
    <row r="74" ht="15" customHeight="1">
      <c r="A74" t="inlineStr">
        <is>
          <t>A 17967-2019</t>
        </is>
      </c>
      <c r="B74" s="1" t="n">
        <v>43557</v>
      </c>
      <c r="C74" s="1" t="n">
        <v>45828</v>
      </c>
      <c r="D74" t="inlineStr">
        <is>
          <t>DALARNAS LÄN</t>
        </is>
      </c>
      <c r="E74" t="inlineStr">
        <is>
          <t>LEKSAND</t>
        </is>
      </c>
      <c r="G74" t="n">
        <v>0.6</v>
      </c>
      <c r="H74" t="n">
        <v>0</v>
      </c>
      <c r="I74" t="n">
        <v>0</v>
      </c>
      <c r="J74" t="n">
        <v>0</v>
      </c>
      <c r="K74" t="n">
        <v>0</v>
      </c>
      <c r="L74" t="n">
        <v>0</v>
      </c>
      <c r="M74" t="n">
        <v>0</v>
      </c>
      <c r="N74" t="n">
        <v>0</v>
      </c>
      <c r="O74" t="n">
        <v>0</v>
      </c>
      <c r="P74" t="n">
        <v>0</v>
      </c>
      <c r="Q74" t="n">
        <v>0</v>
      </c>
      <c r="R74" s="2" t="inlineStr"/>
    </row>
    <row r="75" ht="15" customHeight="1">
      <c r="A75" t="inlineStr">
        <is>
          <t>A 17970-2019</t>
        </is>
      </c>
      <c r="B75" s="1" t="n">
        <v>43557</v>
      </c>
      <c r="C75" s="1" t="n">
        <v>45828</v>
      </c>
      <c r="D75" t="inlineStr">
        <is>
          <t>DALARNAS LÄN</t>
        </is>
      </c>
      <c r="E75" t="inlineStr">
        <is>
          <t>LEKSAND</t>
        </is>
      </c>
      <c r="G75" t="n">
        <v>2.5</v>
      </c>
      <c r="H75" t="n">
        <v>0</v>
      </c>
      <c r="I75" t="n">
        <v>0</v>
      </c>
      <c r="J75" t="n">
        <v>0</v>
      </c>
      <c r="K75" t="n">
        <v>0</v>
      </c>
      <c r="L75" t="n">
        <v>0</v>
      </c>
      <c r="M75" t="n">
        <v>0</v>
      </c>
      <c r="N75" t="n">
        <v>0</v>
      </c>
      <c r="O75" t="n">
        <v>0</v>
      </c>
      <c r="P75" t="n">
        <v>0</v>
      </c>
      <c r="Q75" t="n">
        <v>0</v>
      </c>
      <c r="R75" s="2" t="inlineStr"/>
    </row>
    <row r="76" ht="15" customHeight="1">
      <c r="A76" t="inlineStr">
        <is>
          <t>A 18238-2019</t>
        </is>
      </c>
      <c r="B76" s="1" t="n">
        <v>43558</v>
      </c>
      <c r="C76" s="1" t="n">
        <v>45828</v>
      </c>
      <c r="D76" t="inlineStr">
        <is>
          <t>DALARNAS LÄN</t>
        </is>
      </c>
      <c r="E76" t="inlineStr">
        <is>
          <t>LEKSAND</t>
        </is>
      </c>
      <c r="G76" t="n">
        <v>3.3</v>
      </c>
      <c r="H76" t="n">
        <v>0</v>
      </c>
      <c r="I76" t="n">
        <v>0</v>
      </c>
      <c r="J76" t="n">
        <v>0</v>
      </c>
      <c r="K76" t="n">
        <v>0</v>
      </c>
      <c r="L76" t="n">
        <v>0</v>
      </c>
      <c r="M76" t="n">
        <v>0</v>
      </c>
      <c r="N76" t="n">
        <v>0</v>
      </c>
      <c r="O76" t="n">
        <v>0</v>
      </c>
      <c r="P76" t="n">
        <v>0</v>
      </c>
      <c r="Q76" t="n">
        <v>0</v>
      </c>
      <c r="R76" s="2" t="inlineStr"/>
    </row>
    <row r="77" ht="15" customHeight="1">
      <c r="A77" t="inlineStr">
        <is>
          <t>A 19703-2019</t>
        </is>
      </c>
      <c r="B77" s="1" t="n">
        <v>43566</v>
      </c>
      <c r="C77" s="1" t="n">
        <v>45828</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19790-2019</t>
        </is>
      </c>
      <c r="B78" s="1" t="n">
        <v>43566</v>
      </c>
      <c r="C78" s="1" t="n">
        <v>45828</v>
      </c>
      <c r="D78" t="inlineStr">
        <is>
          <t>DALARNAS LÄN</t>
        </is>
      </c>
      <c r="E78" t="inlineStr">
        <is>
          <t>LEKSAND</t>
        </is>
      </c>
      <c r="G78" t="n">
        <v>11.4</v>
      </c>
      <c r="H78" t="n">
        <v>0</v>
      </c>
      <c r="I78" t="n">
        <v>0</v>
      </c>
      <c r="J78" t="n">
        <v>0</v>
      </c>
      <c r="K78" t="n">
        <v>0</v>
      </c>
      <c r="L78" t="n">
        <v>0</v>
      </c>
      <c r="M78" t="n">
        <v>0</v>
      </c>
      <c r="N78" t="n">
        <v>0</v>
      </c>
      <c r="O78" t="n">
        <v>0</v>
      </c>
      <c r="P78" t="n">
        <v>0</v>
      </c>
      <c r="Q78" t="n">
        <v>0</v>
      </c>
      <c r="R78" s="2" t="inlineStr"/>
    </row>
    <row r="79" ht="15" customHeight="1">
      <c r="A79" t="inlineStr">
        <is>
          <t>A 22975-2019</t>
        </is>
      </c>
      <c r="B79" s="1" t="n">
        <v>43591</v>
      </c>
      <c r="C79" s="1" t="n">
        <v>45828</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24300-2019</t>
        </is>
      </c>
      <c r="B80" s="1" t="n">
        <v>43598</v>
      </c>
      <c r="C80" s="1" t="n">
        <v>45828</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24051-2019</t>
        </is>
      </c>
      <c r="B81" s="1" t="n">
        <v>43598</v>
      </c>
      <c r="C81" s="1" t="n">
        <v>45828</v>
      </c>
      <c r="D81" t="inlineStr">
        <is>
          <t>DALARNAS LÄN</t>
        </is>
      </c>
      <c r="E81" t="inlineStr">
        <is>
          <t>LEKSAND</t>
        </is>
      </c>
      <c r="G81" t="n">
        <v>5.4</v>
      </c>
      <c r="H81" t="n">
        <v>0</v>
      </c>
      <c r="I81" t="n">
        <v>0</v>
      </c>
      <c r="J81" t="n">
        <v>0</v>
      </c>
      <c r="K81" t="n">
        <v>0</v>
      </c>
      <c r="L81" t="n">
        <v>0</v>
      </c>
      <c r="M81" t="n">
        <v>0</v>
      </c>
      <c r="N81" t="n">
        <v>0</v>
      </c>
      <c r="O81" t="n">
        <v>0</v>
      </c>
      <c r="P81" t="n">
        <v>0</v>
      </c>
      <c r="Q81" t="n">
        <v>0</v>
      </c>
      <c r="R81" s="2" t="inlineStr"/>
    </row>
    <row r="82" ht="15" customHeight="1">
      <c r="A82" t="inlineStr">
        <is>
          <t>A 24542-2019</t>
        </is>
      </c>
      <c r="B82" s="1" t="n">
        <v>43600</v>
      </c>
      <c r="C82" s="1" t="n">
        <v>45828</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32532-2019</t>
        </is>
      </c>
      <c r="B83" s="1" t="n">
        <v>43646</v>
      </c>
      <c r="C83" s="1" t="n">
        <v>45828</v>
      </c>
      <c r="D83" t="inlineStr">
        <is>
          <t>DALARNAS LÄN</t>
        </is>
      </c>
      <c r="E83" t="inlineStr">
        <is>
          <t>LEKSAND</t>
        </is>
      </c>
      <c r="G83" t="n">
        <v>3.1</v>
      </c>
      <c r="H83" t="n">
        <v>0</v>
      </c>
      <c r="I83" t="n">
        <v>0</v>
      </c>
      <c r="J83" t="n">
        <v>0</v>
      </c>
      <c r="K83" t="n">
        <v>0</v>
      </c>
      <c r="L83" t="n">
        <v>0</v>
      </c>
      <c r="M83" t="n">
        <v>0</v>
      </c>
      <c r="N83" t="n">
        <v>0</v>
      </c>
      <c r="O83" t="n">
        <v>0</v>
      </c>
      <c r="P83" t="n">
        <v>0</v>
      </c>
      <c r="Q83" t="n">
        <v>0</v>
      </c>
      <c r="R83" s="2" t="inlineStr"/>
    </row>
    <row r="84" ht="15" customHeight="1">
      <c r="A84" t="inlineStr">
        <is>
          <t>A 33903-2019</t>
        </is>
      </c>
      <c r="B84" s="1" t="n">
        <v>43654</v>
      </c>
      <c r="C84" s="1" t="n">
        <v>45828</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36014-2019</t>
        </is>
      </c>
      <c r="B85" s="1" t="n">
        <v>43657</v>
      </c>
      <c r="C85" s="1" t="n">
        <v>45828</v>
      </c>
      <c r="D85" t="inlineStr">
        <is>
          <t>DALARNAS LÄN</t>
        </is>
      </c>
      <c r="E85" t="inlineStr">
        <is>
          <t>LEKSAND</t>
        </is>
      </c>
      <c r="G85" t="n">
        <v>1.8</v>
      </c>
      <c r="H85" t="n">
        <v>0</v>
      </c>
      <c r="I85" t="n">
        <v>0</v>
      </c>
      <c r="J85" t="n">
        <v>0</v>
      </c>
      <c r="K85" t="n">
        <v>0</v>
      </c>
      <c r="L85" t="n">
        <v>0</v>
      </c>
      <c r="M85" t="n">
        <v>0</v>
      </c>
      <c r="N85" t="n">
        <v>0</v>
      </c>
      <c r="O85" t="n">
        <v>0</v>
      </c>
      <c r="P85" t="n">
        <v>0</v>
      </c>
      <c r="Q85" t="n">
        <v>0</v>
      </c>
      <c r="R85" s="2" t="inlineStr"/>
    </row>
    <row r="86" ht="15" customHeight="1">
      <c r="A86" t="inlineStr">
        <is>
          <t>A 36023-2019</t>
        </is>
      </c>
      <c r="B86" s="1" t="n">
        <v>43657</v>
      </c>
      <c r="C86" s="1" t="n">
        <v>45828</v>
      </c>
      <c r="D86" t="inlineStr">
        <is>
          <t>DALARNAS LÄN</t>
        </is>
      </c>
      <c r="E86" t="inlineStr">
        <is>
          <t>LEKSAND</t>
        </is>
      </c>
      <c r="G86" t="n">
        <v>1.5</v>
      </c>
      <c r="H86" t="n">
        <v>0</v>
      </c>
      <c r="I86" t="n">
        <v>0</v>
      </c>
      <c r="J86" t="n">
        <v>0</v>
      </c>
      <c r="K86" t="n">
        <v>0</v>
      </c>
      <c r="L86" t="n">
        <v>0</v>
      </c>
      <c r="M86" t="n">
        <v>0</v>
      </c>
      <c r="N86" t="n">
        <v>0</v>
      </c>
      <c r="O86" t="n">
        <v>0</v>
      </c>
      <c r="P86" t="n">
        <v>0</v>
      </c>
      <c r="Q86" t="n">
        <v>0</v>
      </c>
      <c r="R86" s="2" t="inlineStr"/>
    </row>
    <row r="87" ht="15" customHeight="1">
      <c r="A87" t="inlineStr">
        <is>
          <t>A 36287-2019</t>
        </is>
      </c>
      <c r="B87" s="1" t="n">
        <v>43669</v>
      </c>
      <c r="C87" s="1" t="n">
        <v>45828</v>
      </c>
      <c r="D87" t="inlineStr">
        <is>
          <t>DALARNAS LÄN</t>
        </is>
      </c>
      <c r="E87" t="inlineStr">
        <is>
          <t>LEKSAND</t>
        </is>
      </c>
      <c r="G87" t="n">
        <v>1.1</v>
      </c>
      <c r="H87" t="n">
        <v>0</v>
      </c>
      <c r="I87" t="n">
        <v>0</v>
      </c>
      <c r="J87" t="n">
        <v>0</v>
      </c>
      <c r="K87" t="n">
        <v>0</v>
      </c>
      <c r="L87" t="n">
        <v>0</v>
      </c>
      <c r="M87" t="n">
        <v>0</v>
      </c>
      <c r="N87" t="n">
        <v>0</v>
      </c>
      <c r="O87" t="n">
        <v>0</v>
      </c>
      <c r="P87" t="n">
        <v>0</v>
      </c>
      <c r="Q87" t="n">
        <v>0</v>
      </c>
      <c r="R87" s="2" t="inlineStr"/>
    </row>
    <row r="88" ht="15" customHeight="1">
      <c r="A88" t="inlineStr">
        <is>
          <t>A 37733-2019</t>
        </is>
      </c>
      <c r="B88" s="1" t="n">
        <v>43682</v>
      </c>
      <c r="C88" s="1" t="n">
        <v>45828</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37822-2019</t>
        </is>
      </c>
      <c r="B89" s="1" t="n">
        <v>43682</v>
      </c>
      <c r="C89" s="1" t="n">
        <v>45828</v>
      </c>
      <c r="D89" t="inlineStr">
        <is>
          <t>DALARNAS LÄN</t>
        </is>
      </c>
      <c r="E89" t="inlineStr">
        <is>
          <t>LEKSAND</t>
        </is>
      </c>
      <c r="G89" t="n">
        <v>8.9</v>
      </c>
      <c r="H89" t="n">
        <v>0</v>
      </c>
      <c r="I89" t="n">
        <v>0</v>
      </c>
      <c r="J89" t="n">
        <v>0</v>
      </c>
      <c r="K89" t="n">
        <v>0</v>
      </c>
      <c r="L89" t="n">
        <v>0</v>
      </c>
      <c r="M89" t="n">
        <v>0</v>
      </c>
      <c r="N89" t="n">
        <v>0</v>
      </c>
      <c r="O89" t="n">
        <v>0</v>
      </c>
      <c r="P89" t="n">
        <v>0</v>
      </c>
      <c r="Q89" t="n">
        <v>0</v>
      </c>
      <c r="R89" s="2" t="inlineStr"/>
    </row>
    <row r="90" ht="15" customHeight="1">
      <c r="A90" t="inlineStr">
        <is>
          <t>A 38350-2019</t>
        </is>
      </c>
      <c r="B90" s="1" t="n">
        <v>43685</v>
      </c>
      <c r="C90" s="1" t="n">
        <v>45828</v>
      </c>
      <c r="D90" t="inlineStr">
        <is>
          <t>DALARNAS LÄN</t>
        </is>
      </c>
      <c r="E90" t="inlineStr">
        <is>
          <t>LEKSAND</t>
        </is>
      </c>
      <c r="G90" t="n">
        <v>0.5</v>
      </c>
      <c r="H90" t="n">
        <v>0</v>
      </c>
      <c r="I90" t="n">
        <v>0</v>
      </c>
      <c r="J90" t="n">
        <v>0</v>
      </c>
      <c r="K90" t="n">
        <v>0</v>
      </c>
      <c r="L90" t="n">
        <v>0</v>
      </c>
      <c r="M90" t="n">
        <v>0</v>
      </c>
      <c r="N90" t="n">
        <v>0</v>
      </c>
      <c r="O90" t="n">
        <v>0</v>
      </c>
      <c r="P90" t="n">
        <v>0</v>
      </c>
      <c r="Q90" t="n">
        <v>0</v>
      </c>
      <c r="R90" s="2" t="inlineStr"/>
    </row>
    <row r="91" ht="15" customHeight="1">
      <c r="A91" t="inlineStr">
        <is>
          <t>A 39025-2019</t>
        </is>
      </c>
      <c r="B91" s="1" t="n">
        <v>43689</v>
      </c>
      <c r="C91" s="1" t="n">
        <v>45828</v>
      </c>
      <c r="D91" t="inlineStr">
        <is>
          <t>DALARNAS LÄN</t>
        </is>
      </c>
      <c r="E91" t="inlineStr">
        <is>
          <t>LEKSAND</t>
        </is>
      </c>
      <c r="F91" t="inlineStr">
        <is>
          <t>Bergvik skog väst AB</t>
        </is>
      </c>
      <c r="G91" t="n">
        <v>10.1</v>
      </c>
      <c r="H91" t="n">
        <v>0</v>
      </c>
      <c r="I91" t="n">
        <v>0</v>
      </c>
      <c r="J91" t="n">
        <v>0</v>
      </c>
      <c r="K91" t="n">
        <v>0</v>
      </c>
      <c r="L91" t="n">
        <v>0</v>
      </c>
      <c r="M91" t="n">
        <v>0</v>
      </c>
      <c r="N91" t="n">
        <v>0</v>
      </c>
      <c r="O91" t="n">
        <v>0</v>
      </c>
      <c r="P91" t="n">
        <v>0</v>
      </c>
      <c r="Q91" t="n">
        <v>0</v>
      </c>
      <c r="R91" s="2" t="inlineStr"/>
    </row>
    <row r="92" ht="15" customHeight="1">
      <c r="A92" t="inlineStr">
        <is>
          <t>A 41329-2019</t>
        </is>
      </c>
      <c r="B92" s="1" t="n">
        <v>43698</v>
      </c>
      <c r="C92" s="1" t="n">
        <v>45828</v>
      </c>
      <c r="D92" t="inlineStr">
        <is>
          <t>DALARNAS LÄN</t>
        </is>
      </c>
      <c r="E92" t="inlineStr">
        <is>
          <t>LEKSAND</t>
        </is>
      </c>
      <c r="G92" t="n">
        <v>2</v>
      </c>
      <c r="H92" t="n">
        <v>0</v>
      </c>
      <c r="I92" t="n">
        <v>0</v>
      </c>
      <c r="J92" t="n">
        <v>0</v>
      </c>
      <c r="K92" t="n">
        <v>0</v>
      </c>
      <c r="L92" t="n">
        <v>0</v>
      </c>
      <c r="M92" t="n">
        <v>0</v>
      </c>
      <c r="N92" t="n">
        <v>0</v>
      </c>
      <c r="O92" t="n">
        <v>0</v>
      </c>
      <c r="P92" t="n">
        <v>0</v>
      </c>
      <c r="Q92" t="n">
        <v>0</v>
      </c>
      <c r="R92" s="2" t="inlineStr"/>
    </row>
    <row r="93" ht="15" customHeight="1">
      <c r="A93" t="inlineStr">
        <is>
          <t>A 43082-2019</t>
        </is>
      </c>
      <c r="B93" s="1" t="n">
        <v>43705</v>
      </c>
      <c r="C93" s="1" t="n">
        <v>45828</v>
      </c>
      <c r="D93" t="inlineStr">
        <is>
          <t>DALARNAS LÄN</t>
        </is>
      </c>
      <c r="E93" t="inlineStr">
        <is>
          <t>LEKSAND</t>
        </is>
      </c>
      <c r="F93" t="inlineStr">
        <is>
          <t>Bergvik skog väst AB</t>
        </is>
      </c>
      <c r="G93" t="n">
        <v>2.4</v>
      </c>
      <c r="H93" t="n">
        <v>0</v>
      </c>
      <c r="I93" t="n">
        <v>0</v>
      </c>
      <c r="J93" t="n">
        <v>0</v>
      </c>
      <c r="K93" t="n">
        <v>0</v>
      </c>
      <c r="L93" t="n">
        <v>0</v>
      </c>
      <c r="M93" t="n">
        <v>0</v>
      </c>
      <c r="N93" t="n">
        <v>0</v>
      </c>
      <c r="O93" t="n">
        <v>0</v>
      </c>
      <c r="P93" t="n">
        <v>0</v>
      </c>
      <c r="Q93" t="n">
        <v>0</v>
      </c>
      <c r="R93" s="2" t="inlineStr"/>
    </row>
    <row r="94" ht="15" customHeight="1">
      <c r="A94" t="inlineStr">
        <is>
          <t>A 43887-2019</t>
        </is>
      </c>
      <c r="B94" s="1" t="n">
        <v>43707</v>
      </c>
      <c r="C94" s="1" t="n">
        <v>45828</v>
      </c>
      <c r="D94" t="inlineStr">
        <is>
          <t>DALARNAS LÄN</t>
        </is>
      </c>
      <c r="E94" t="inlineStr">
        <is>
          <t>LEKSAND</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43884-2019</t>
        </is>
      </c>
      <c r="B95" s="1" t="n">
        <v>43707</v>
      </c>
      <c r="C95" s="1" t="n">
        <v>45828</v>
      </c>
      <c r="D95" t="inlineStr">
        <is>
          <t>DALARNAS LÄN</t>
        </is>
      </c>
      <c r="E95" t="inlineStr">
        <is>
          <t>LEKSAND</t>
        </is>
      </c>
      <c r="F95" t="inlineStr">
        <is>
          <t>Övriga Aktiebolag</t>
        </is>
      </c>
      <c r="G95" t="n">
        <v>1.4</v>
      </c>
      <c r="H95" t="n">
        <v>0</v>
      </c>
      <c r="I95" t="n">
        <v>0</v>
      </c>
      <c r="J95" t="n">
        <v>0</v>
      </c>
      <c r="K95" t="n">
        <v>0</v>
      </c>
      <c r="L95" t="n">
        <v>0</v>
      </c>
      <c r="M95" t="n">
        <v>0</v>
      </c>
      <c r="N95" t="n">
        <v>0</v>
      </c>
      <c r="O95" t="n">
        <v>0</v>
      </c>
      <c r="P95" t="n">
        <v>0</v>
      </c>
      <c r="Q95" t="n">
        <v>0</v>
      </c>
      <c r="R95" s="2" t="inlineStr"/>
    </row>
    <row r="96" ht="15" customHeight="1">
      <c r="A96" t="inlineStr">
        <is>
          <t>A 44058-2019</t>
        </is>
      </c>
      <c r="B96" s="1" t="n">
        <v>43710</v>
      </c>
      <c r="C96" s="1" t="n">
        <v>45828</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45526-2019</t>
        </is>
      </c>
      <c r="B97" s="1" t="n">
        <v>43714</v>
      </c>
      <c r="C97" s="1" t="n">
        <v>45828</v>
      </c>
      <c r="D97" t="inlineStr">
        <is>
          <t>DALARNAS LÄN</t>
        </is>
      </c>
      <c r="E97" t="inlineStr">
        <is>
          <t>LEKSAND</t>
        </is>
      </c>
      <c r="F97" t="inlineStr">
        <is>
          <t>Bergvik skog väst AB</t>
        </is>
      </c>
      <c r="G97" t="n">
        <v>5.9</v>
      </c>
      <c r="H97" t="n">
        <v>0</v>
      </c>
      <c r="I97" t="n">
        <v>0</v>
      </c>
      <c r="J97" t="n">
        <v>0</v>
      </c>
      <c r="K97" t="n">
        <v>0</v>
      </c>
      <c r="L97" t="n">
        <v>0</v>
      </c>
      <c r="M97" t="n">
        <v>0</v>
      </c>
      <c r="N97" t="n">
        <v>0</v>
      </c>
      <c r="O97" t="n">
        <v>0</v>
      </c>
      <c r="P97" t="n">
        <v>0</v>
      </c>
      <c r="Q97" t="n">
        <v>0</v>
      </c>
      <c r="R97" s="2" t="inlineStr"/>
    </row>
    <row r="98" ht="15" customHeight="1">
      <c r="A98" t="inlineStr">
        <is>
          <t>A 45572-2019</t>
        </is>
      </c>
      <c r="B98" s="1" t="n">
        <v>43716</v>
      </c>
      <c r="C98" s="1" t="n">
        <v>45828</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46739-2019</t>
        </is>
      </c>
      <c r="B99" s="1" t="n">
        <v>43719</v>
      </c>
      <c r="C99" s="1" t="n">
        <v>45828</v>
      </c>
      <c r="D99" t="inlineStr">
        <is>
          <t>DALARNAS LÄN</t>
        </is>
      </c>
      <c r="E99" t="inlineStr">
        <is>
          <t>LEKSAND</t>
        </is>
      </c>
      <c r="G99" t="n">
        <v>0.6</v>
      </c>
      <c r="H99" t="n">
        <v>0</v>
      </c>
      <c r="I99" t="n">
        <v>0</v>
      </c>
      <c r="J99" t="n">
        <v>0</v>
      </c>
      <c r="K99" t="n">
        <v>0</v>
      </c>
      <c r="L99" t="n">
        <v>0</v>
      </c>
      <c r="M99" t="n">
        <v>0</v>
      </c>
      <c r="N99" t="n">
        <v>0</v>
      </c>
      <c r="O99" t="n">
        <v>0</v>
      </c>
      <c r="P99" t="n">
        <v>0</v>
      </c>
      <c r="Q99" t="n">
        <v>0</v>
      </c>
      <c r="R99" s="2" t="inlineStr"/>
    </row>
    <row r="100" ht="15" customHeight="1">
      <c r="A100" t="inlineStr">
        <is>
          <t>A 46740-2019</t>
        </is>
      </c>
      <c r="B100" s="1" t="n">
        <v>43719</v>
      </c>
      <c r="C100" s="1" t="n">
        <v>45828</v>
      </c>
      <c r="D100" t="inlineStr">
        <is>
          <t>DALARNAS LÄN</t>
        </is>
      </c>
      <c r="E100" t="inlineStr">
        <is>
          <t>LEKSAND</t>
        </is>
      </c>
      <c r="G100" t="n">
        <v>0.3</v>
      </c>
      <c r="H100" t="n">
        <v>0</v>
      </c>
      <c r="I100" t="n">
        <v>0</v>
      </c>
      <c r="J100" t="n">
        <v>0</v>
      </c>
      <c r="K100" t="n">
        <v>0</v>
      </c>
      <c r="L100" t="n">
        <v>0</v>
      </c>
      <c r="M100" t="n">
        <v>0</v>
      </c>
      <c r="N100" t="n">
        <v>0</v>
      </c>
      <c r="O100" t="n">
        <v>0</v>
      </c>
      <c r="P100" t="n">
        <v>0</v>
      </c>
      <c r="Q100" t="n">
        <v>0</v>
      </c>
      <c r="R100" s="2" t="inlineStr"/>
    </row>
    <row r="101" ht="15" customHeight="1">
      <c r="A101" t="inlineStr">
        <is>
          <t>A 47532-2019</t>
        </is>
      </c>
      <c r="B101" s="1" t="n">
        <v>43724</v>
      </c>
      <c r="C101" s="1" t="n">
        <v>45828</v>
      </c>
      <c r="D101" t="inlineStr">
        <is>
          <t>DALARNAS LÄN</t>
        </is>
      </c>
      <c r="E101" t="inlineStr">
        <is>
          <t>LEKSAND</t>
        </is>
      </c>
      <c r="G101" t="n">
        <v>2.3</v>
      </c>
      <c r="H101" t="n">
        <v>0</v>
      </c>
      <c r="I101" t="n">
        <v>0</v>
      </c>
      <c r="J101" t="n">
        <v>0</v>
      </c>
      <c r="K101" t="n">
        <v>0</v>
      </c>
      <c r="L101" t="n">
        <v>0</v>
      </c>
      <c r="M101" t="n">
        <v>0</v>
      </c>
      <c r="N101" t="n">
        <v>0</v>
      </c>
      <c r="O101" t="n">
        <v>0</v>
      </c>
      <c r="P101" t="n">
        <v>0</v>
      </c>
      <c r="Q101" t="n">
        <v>0</v>
      </c>
      <c r="R101" s="2" t="inlineStr"/>
    </row>
    <row r="102" ht="15" customHeight="1">
      <c r="A102" t="inlineStr">
        <is>
          <t>A 49132-2019</t>
        </is>
      </c>
      <c r="B102" s="1" t="n">
        <v>43728</v>
      </c>
      <c r="C102" s="1" t="n">
        <v>45828</v>
      </c>
      <c r="D102" t="inlineStr">
        <is>
          <t>DALARNAS LÄN</t>
        </is>
      </c>
      <c r="E102" t="inlineStr">
        <is>
          <t>LEKSAND</t>
        </is>
      </c>
      <c r="G102" t="n">
        <v>1.9</v>
      </c>
      <c r="H102" t="n">
        <v>0</v>
      </c>
      <c r="I102" t="n">
        <v>0</v>
      </c>
      <c r="J102" t="n">
        <v>0</v>
      </c>
      <c r="K102" t="n">
        <v>0</v>
      </c>
      <c r="L102" t="n">
        <v>0</v>
      </c>
      <c r="M102" t="n">
        <v>0</v>
      </c>
      <c r="N102" t="n">
        <v>0</v>
      </c>
      <c r="O102" t="n">
        <v>0</v>
      </c>
      <c r="P102" t="n">
        <v>0</v>
      </c>
      <c r="Q102" t="n">
        <v>0</v>
      </c>
      <c r="R102" s="2" t="inlineStr"/>
    </row>
    <row r="103" ht="15" customHeight="1">
      <c r="A103" t="inlineStr">
        <is>
          <t>A 51390-2019</t>
        </is>
      </c>
      <c r="B103" s="1" t="n">
        <v>43733</v>
      </c>
      <c r="C103" s="1" t="n">
        <v>45828</v>
      </c>
      <c r="D103" t="inlineStr">
        <is>
          <t>DALARNAS LÄN</t>
        </is>
      </c>
      <c r="E103" t="inlineStr">
        <is>
          <t>LEKSAND</t>
        </is>
      </c>
      <c r="G103" t="n">
        <v>4.7</v>
      </c>
      <c r="H103" t="n">
        <v>0</v>
      </c>
      <c r="I103" t="n">
        <v>0</v>
      </c>
      <c r="J103" t="n">
        <v>0</v>
      </c>
      <c r="K103" t="n">
        <v>0</v>
      </c>
      <c r="L103" t="n">
        <v>0</v>
      </c>
      <c r="M103" t="n">
        <v>0</v>
      </c>
      <c r="N103" t="n">
        <v>0</v>
      </c>
      <c r="O103" t="n">
        <v>0</v>
      </c>
      <c r="P103" t="n">
        <v>0</v>
      </c>
      <c r="Q103" t="n">
        <v>0</v>
      </c>
      <c r="R103" s="2" t="inlineStr"/>
    </row>
    <row r="104" ht="15" customHeight="1">
      <c r="A104" t="inlineStr">
        <is>
          <t>A 50532-2019</t>
        </is>
      </c>
      <c r="B104" s="1" t="n">
        <v>43735</v>
      </c>
      <c r="C104" s="1" t="n">
        <v>45828</v>
      </c>
      <c r="D104" t="inlineStr">
        <is>
          <t>DALARNAS LÄN</t>
        </is>
      </c>
      <c r="E104" t="inlineStr">
        <is>
          <t>LEKSAND</t>
        </is>
      </c>
      <c r="F104" t="inlineStr">
        <is>
          <t>Kyrkan</t>
        </is>
      </c>
      <c r="G104" t="n">
        <v>1.3</v>
      </c>
      <c r="H104" t="n">
        <v>0</v>
      </c>
      <c r="I104" t="n">
        <v>0</v>
      </c>
      <c r="J104" t="n">
        <v>0</v>
      </c>
      <c r="K104" t="n">
        <v>0</v>
      </c>
      <c r="L104" t="n">
        <v>0</v>
      </c>
      <c r="M104" t="n">
        <v>0</v>
      </c>
      <c r="N104" t="n">
        <v>0</v>
      </c>
      <c r="O104" t="n">
        <v>0</v>
      </c>
      <c r="P104" t="n">
        <v>0</v>
      </c>
      <c r="Q104" t="n">
        <v>0</v>
      </c>
      <c r="R104" s="2" t="inlineStr"/>
    </row>
    <row r="105" ht="15" customHeight="1">
      <c r="A105" t="inlineStr">
        <is>
          <t>A 52130-2019</t>
        </is>
      </c>
      <c r="B105" s="1" t="n">
        <v>43735</v>
      </c>
      <c r="C105" s="1" t="n">
        <v>45828</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52827-2019</t>
        </is>
      </c>
      <c r="B106" s="1" t="n">
        <v>43746</v>
      </c>
      <c r="C106" s="1" t="n">
        <v>45828</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52957-2019</t>
        </is>
      </c>
      <c r="B107" s="1" t="n">
        <v>43747</v>
      </c>
      <c r="C107" s="1" t="n">
        <v>45828</v>
      </c>
      <c r="D107" t="inlineStr">
        <is>
          <t>DALARNAS LÄN</t>
        </is>
      </c>
      <c r="E107" t="inlineStr">
        <is>
          <t>LEKSAND</t>
        </is>
      </c>
      <c r="G107" t="n">
        <v>1.1</v>
      </c>
      <c r="H107" t="n">
        <v>0</v>
      </c>
      <c r="I107" t="n">
        <v>0</v>
      </c>
      <c r="J107" t="n">
        <v>0</v>
      </c>
      <c r="K107" t="n">
        <v>0</v>
      </c>
      <c r="L107" t="n">
        <v>0</v>
      </c>
      <c r="M107" t="n">
        <v>0</v>
      </c>
      <c r="N107" t="n">
        <v>0</v>
      </c>
      <c r="O107" t="n">
        <v>0</v>
      </c>
      <c r="P107" t="n">
        <v>0</v>
      </c>
      <c r="Q107" t="n">
        <v>0</v>
      </c>
      <c r="R107" s="2" t="inlineStr"/>
    </row>
    <row r="108" ht="15" customHeight="1">
      <c r="A108" t="inlineStr">
        <is>
          <t>A 53553-2019</t>
        </is>
      </c>
      <c r="B108" s="1" t="n">
        <v>43749</v>
      </c>
      <c r="C108" s="1" t="n">
        <v>45828</v>
      </c>
      <c r="D108" t="inlineStr">
        <is>
          <t>DALARNAS LÄN</t>
        </is>
      </c>
      <c r="E108" t="inlineStr">
        <is>
          <t>LEKSAND</t>
        </is>
      </c>
      <c r="G108" t="n">
        <v>1.4</v>
      </c>
      <c r="H108" t="n">
        <v>0</v>
      </c>
      <c r="I108" t="n">
        <v>0</v>
      </c>
      <c r="J108" t="n">
        <v>0</v>
      </c>
      <c r="K108" t="n">
        <v>0</v>
      </c>
      <c r="L108" t="n">
        <v>0</v>
      </c>
      <c r="M108" t="n">
        <v>0</v>
      </c>
      <c r="N108" t="n">
        <v>0</v>
      </c>
      <c r="O108" t="n">
        <v>0</v>
      </c>
      <c r="P108" t="n">
        <v>0</v>
      </c>
      <c r="Q108" t="n">
        <v>0</v>
      </c>
      <c r="R108" s="2" t="inlineStr"/>
    </row>
    <row r="109" ht="15" customHeight="1">
      <c r="A109" t="inlineStr">
        <is>
          <t>A 56844-2019</t>
        </is>
      </c>
      <c r="B109" s="1" t="n">
        <v>43765</v>
      </c>
      <c r="C109" s="1" t="n">
        <v>45828</v>
      </c>
      <c r="D109" t="inlineStr">
        <is>
          <t>DALARNAS LÄN</t>
        </is>
      </c>
      <c r="E109" t="inlineStr">
        <is>
          <t>LEKSAND</t>
        </is>
      </c>
      <c r="G109" t="n">
        <v>0.7</v>
      </c>
      <c r="H109" t="n">
        <v>0</v>
      </c>
      <c r="I109" t="n">
        <v>0</v>
      </c>
      <c r="J109" t="n">
        <v>0</v>
      </c>
      <c r="K109" t="n">
        <v>0</v>
      </c>
      <c r="L109" t="n">
        <v>0</v>
      </c>
      <c r="M109" t="n">
        <v>0</v>
      </c>
      <c r="N109" t="n">
        <v>0</v>
      </c>
      <c r="O109" t="n">
        <v>0</v>
      </c>
      <c r="P109" t="n">
        <v>0</v>
      </c>
      <c r="Q109" t="n">
        <v>0</v>
      </c>
      <c r="R109" s="2" t="inlineStr"/>
    </row>
    <row r="110" ht="15" customHeight="1">
      <c r="A110" t="inlineStr">
        <is>
          <t>A 57221-2019</t>
        </is>
      </c>
      <c r="B110" s="1" t="n">
        <v>43767</v>
      </c>
      <c r="C110" s="1" t="n">
        <v>45828</v>
      </c>
      <c r="D110" t="inlineStr">
        <is>
          <t>DALARNAS LÄN</t>
        </is>
      </c>
      <c r="E110" t="inlineStr">
        <is>
          <t>LEKSAND</t>
        </is>
      </c>
      <c r="G110" t="n">
        <v>1</v>
      </c>
      <c r="H110" t="n">
        <v>0</v>
      </c>
      <c r="I110" t="n">
        <v>0</v>
      </c>
      <c r="J110" t="n">
        <v>0</v>
      </c>
      <c r="K110" t="n">
        <v>0</v>
      </c>
      <c r="L110" t="n">
        <v>0</v>
      </c>
      <c r="M110" t="n">
        <v>0</v>
      </c>
      <c r="N110" t="n">
        <v>0</v>
      </c>
      <c r="O110" t="n">
        <v>0</v>
      </c>
      <c r="P110" t="n">
        <v>0</v>
      </c>
      <c r="Q110" t="n">
        <v>0</v>
      </c>
      <c r="R110" s="2" t="inlineStr"/>
    </row>
    <row r="111" ht="15" customHeight="1">
      <c r="A111" t="inlineStr">
        <is>
          <t>A 58237-2019</t>
        </is>
      </c>
      <c r="B111" s="1" t="n">
        <v>43770</v>
      </c>
      <c r="C111" s="1" t="n">
        <v>45828</v>
      </c>
      <c r="D111" t="inlineStr">
        <is>
          <t>DALARNAS LÄN</t>
        </is>
      </c>
      <c r="E111" t="inlineStr">
        <is>
          <t>LEKSAND</t>
        </is>
      </c>
      <c r="G111" t="n">
        <v>2.5</v>
      </c>
      <c r="H111" t="n">
        <v>0</v>
      </c>
      <c r="I111" t="n">
        <v>0</v>
      </c>
      <c r="J111" t="n">
        <v>0</v>
      </c>
      <c r="K111" t="n">
        <v>0</v>
      </c>
      <c r="L111" t="n">
        <v>0</v>
      </c>
      <c r="M111" t="n">
        <v>0</v>
      </c>
      <c r="N111" t="n">
        <v>0</v>
      </c>
      <c r="O111" t="n">
        <v>0</v>
      </c>
      <c r="P111" t="n">
        <v>0</v>
      </c>
      <c r="Q111" t="n">
        <v>0</v>
      </c>
      <c r="R111" s="2" t="inlineStr"/>
    </row>
    <row r="112" ht="15" customHeight="1">
      <c r="A112" t="inlineStr">
        <is>
          <t>A 59714-2019</t>
        </is>
      </c>
      <c r="B112" s="1" t="n">
        <v>43776</v>
      </c>
      <c r="C112" s="1" t="n">
        <v>45828</v>
      </c>
      <c r="D112" t="inlineStr">
        <is>
          <t>DALARNAS LÄN</t>
        </is>
      </c>
      <c r="E112" t="inlineStr">
        <is>
          <t>LEKSAND</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59721-2019</t>
        </is>
      </c>
      <c r="B113" s="1" t="n">
        <v>43776</v>
      </c>
      <c r="C113" s="1" t="n">
        <v>45828</v>
      </c>
      <c r="D113" t="inlineStr">
        <is>
          <t>DALARNAS LÄN</t>
        </is>
      </c>
      <c r="E113" t="inlineStr">
        <is>
          <t>LEKSAND</t>
        </is>
      </c>
      <c r="F113" t="inlineStr">
        <is>
          <t>Bergvik skog väst AB</t>
        </is>
      </c>
      <c r="G113" t="n">
        <v>4.8</v>
      </c>
      <c r="H113" t="n">
        <v>0</v>
      </c>
      <c r="I113" t="n">
        <v>0</v>
      </c>
      <c r="J113" t="n">
        <v>0</v>
      </c>
      <c r="K113" t="n">
        <v>0</v>
      </c>
      <c r="L113" t="n">
        <v>0</v>
      </c>
      <c r="M113" t="n">
        <v>0</v>
      </c>
      <c r="N113" t="n">
        <v>0</v>
      </c>
      <c r="O113" t="n">
        <v>0</v>
      </c>
      <c r="P113" t="n">
        <v>0</v>
      </c>
      <c r="Q113" t="n">
        <v>0</v>
      </c>
      <c r="R113" s="2" t="inlineStr"/>
    </row>
    <row r="114" ht="15" customHeight="1">
      <c r="A114" t="inlineStr">
        <is>
          <t>A 60809-2019</t>
        </is>
      </c>
      <c r="B114" s="1" t="n">
        <v>43780</v>
      </c>
      <c r="C114" s="1" t="n">
        <v>45828</v>
      </c>
      <c r="D114" t="inlineStr">
        <is>
          <t>DALARNAS LÄN</t>
        </is>
      </c>
      <c r="E114" t="inlineStr">
        <is>
          <t>LEKSAND</t>
        </is>
      </c>
      <c r="G114" t="n">
        <v>1.9</v>
      </c>
      <c r="H114" t="n">
        <v>0</v>
      </c>
      <c r="I114" t="n">
        <v>0</v>
      </c>
      <c r="J114" t="n">
        <v>0</v>
      </c>
      <c r="K114" t="n">
        <v>0</v>
      </c>
      <c r="L114" t="n">
        <v>0</v>
      </c>
      <c r="M114" t="n">
        <v>0</v>
      </c>
      <c r="N114" t="n">
        <v>0</v>
      </c>
      <c r="O114" t="n">
        <v>0</v>
      </c>
      <c r="P114" t="n">
        <v>0</v>
      </c>
      <c r="Q114" t="n">
        <v>0</v>
      </c>
      <c r="R114" s="2" t="inlineStr"/>
    </row>
    <row r="115" ht="15" customHeight="1">
      <c r="A115" t="inlineStr">
        <is>
          <t>A 61111-2019</t>
        </is>
      </c>
      <c r="B115" s="1" t="n">
        <v>43782</v>
      </c>
      <c r="C115" s="1" t="n">
        <v>45828</v>
      </c>
      <c r="D115" t="inlineStr">
        <is>
          <t>DALARNAS LÄN</t>
        </is>
      </c>
      <c r="E115" t="inlineStr">
        <is>
          <t>LEKSAND</t>
        </is>
      </c>
      <c r="F115" t="inlineStr">
        <is>
          <t>Bergvik skog väst AB</t>
        </is>
      </c>
      <c r="G115" t="n">
        <v>0.4</v>
      </c>
      <c r="H115" t="n">
        <v>0</v>
      </c>
      <c r="I115" t="n">
        <v>0</v>
      </c>
      <c r="J115" t="n">
        <v>0</v>
      </c>
      <c r="K115" t="n">
        <v>0</v>
      </c>
      <c r="L115" t="n">
        <v>0</v>
      </c>
      <c r="M115" t="n">
        <v>0</v>
      </c>
      <c r="N115" t="n">
        <v>0</v>
      </c>
      <c r="O115" t="n">
        <v>0</v>
      </c>
      <c r="P115" t="n">
        <v>0</v>
      </c>
      <c r="Q115" t="n">
        <v>0</v>
      </c>
      <c r="R115" s="2" t="inlineStr"/>
    </row>
    <row r="116" ht="15" customHeight="1">
      <c r="A116" t="inlineStr">
        <is>
          <t>A 61113-2019</t>
        </is>
      </c>
      <c r="B116" s="1" t="n">
        <v>43782</v>
      </c>
      <c r="C116" s="1" t="n">
        <v>45828</v>
      </c>
      <c r="D116" t="inlineStr">
        <is>
          <t>DALARNAS LÄN</t>
        </is>
      </c>
      <c r="E116" t="inlineStr">
        <is>
          <t>LEKSAND</t>
        </is>
      </c>
      <c r="F116" t="inlineStr">
        <is>
          <t>Bergvik skog väst AB</t>
        </is>
      </c>
      <c r="G116" t="n">
        <v>0.2</v>
      </c>
      <c r="H116" t="n">
        <v>0</v>
      </c>
      <c r="I116" t="n">
        <v>0</v>
      </c>
      <c r="J116" t="n">
        <v>0</v>
      </c>
      <c r="K116" t="n">
        <v>0</v>
      </c>
      <c r="L116" t="n">
        <v>0</v>
      </c>
      <c r="M116" t="n">
        <v>0</v>
      </c>
      <c r="N116" t="n">
        <v>0</v>
      </c>
      <c r="O116" t="n">
        <v>0</v>
      </c>
      <c r="P116" t="n">
        <v>0</v>
      </c>
      <c r="Q116" t="n">
        <v>0</v>
      </c>
      <c r="R116" s="2" t="inlineStr"/>
    </row>
    <row r="117" ht="15" customHeight="1">
      <c r="A117" t="inlineStr">
        <is>
          <t>A 64635-2019</t>
        </is>
      </c>
      <c r="B117" s="1" t="n">
        <v>43794</v>
      </c>
      <c r="C117" s="1" t="n">
        <v>45828</v>
      </c>
      <c r="D117" t="inlineStr">
        <is>
          <t>DALARNAS LÄN</t>
        </is>
      </c>
      <c r="E117" t="inlineStr">
        <is>
          <t>LEKSAND</t>
        </is>
      </c>
      <c r="G117" t="n">
        <v>5.4</v>
      </c>
      <c r="H117" t="n">
        <v>0</v>
      </c>
      <c r="I117" t="n">
        <v>0</v>
      </c>
      <c r="J117" t="n">
        <v>0</v>
      </c>
      <c r="K117" t="n">
        <v>0</v>
      </c>
      <c r="L117" t="n">
        <v>0</v>
      </c>
      <c r="M117" t="n">
        <v>0</v>
      </c>
      <c r="N117" t="n">
        <v>0</v>
      </c>
      <c r="O117" t="n">
        <v>0</v>
      </c>
      <c r="P117" t="n">
        <v>0</v>
      </c>
      <c r="Q117" t="n">
        <v>0</v>
      </c>
      <c r="R117" s="2" t="inlineStr"/>
    </row>
    <row r="118" ht="15" customHeight="1">
      <c r="A118" t="inlineStr">
        <is>
          <t>A 66288-2019</t>
        </is>
      </c>
      <c r="B118" s="1" t="n">
        <v>43808</v>
      </c>
      <c r="C118" s="1" t="n">
        <v>45828</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66822-2019</t>
        </is>
      </c>
      <c r="B119" s="1" t="n">
        <v>43810</v>
      </c>
      <c r="C119" s="1" t="n">
        <v>45828</v>
      </c>
      <c r="D119" t="inlineStr">
        <is>
          <t>DALARNAS LÄN</t>
        </is>
      </c>
      <c r="E119" t="inlineStr">
        <is>
          <t>LEKSAND</t>
        </is>
      </c>
      <c r="G119" t="n">
        <v>5.2</v>
      </c>
      <c r="H119" t="n">
        <v>0</v>
      </c>
      <c r="I119" t="n">
        <v>0</v>
      </c>
      <c r="J119" t="n">
        <v>0</v>
      </c>
      <c r="K119" t="n">
        <v>0</v>
      </c>
      <c r="L119" t="n">
        <v>0</v>
      </c>
      <c r="M119" t="n">
        <v>0</v>
      </c>
      <c r="N119" t="n">
        <v>0</v>
      </c>
      <c r="O119" t="n">
        <v>0</v>
      </c>
      <c r="P119" t="n">
        <v>0</v>
      </c>
      <c r="Q119" t="n">
        <v>0</v>
      </c>
      <c r="R119" s="2" t="inlineStr"/>
    </row>
    <row r="120" ht="15" customHeight="1">
      <c r="A120" t="inlineStr">
        <is>
          <t>A 67123-2019</t>
        </is>
      </c>
      <c r="B120" s="1" t="n">
        <v>43811</v>
      </c>
      <c r="C120" s="1" t="n">
        <v>45828</v>
      </c>
      <c r="D120" t="inlineStr">
        <is>
          <t>DALARNAS LÄN</t>
        </is>
      </c>
      <c r="E120" t="inlineStr">
        <is>
          <t>LEKSAND</t>
        </is>
      </c>
      <c r="G120" t="n">
        <v>2.1</v>
      </c>
      <c r="H120" t="n">
        <v>0</v>
      </c>
      <c r="I120" t="n">
        <v>0</v>
      </c>
      <c r="J120" t="n">
        <v>0</v>
      </c>
      <c r="K120" t="n">
        <v>0</v>
      </c>
      <c r="L120" t="n">
        <v>0</v>
      </c>
      <c r="M120" t="n">
        <v>0</v>
      </c>
      <c r="N120" t="n">
        <v>0</v>
      </c>
      <c r="O120" t="n">
        <v>0</v>
      </c>
      <c r="P120" t="n">
        <v>0</v>
      </c>
      <c r="Q120" t="n">
        <v>0</v>
      </c>
      <c r="R120" s="2" t="inlineStr"/>
    </row>
    <row r="121" ht="15" customHeight="1">
      <c r="A121" t="inlineStr">
        <is>
          <t>A 68808-2019</t>
        </is>
      </c>
      <c r="B121" s="1" t="n">
        <v>43815</v>
      </c>
      <c r="C121" s="1" t="n">
        <v>45828</v>
      </c>
      <c r="D121" t="inlineStr">
        <is>
          <t>DALARNAS LÄN</t>
        </is>
      </c>
      <c r="E121" t="inlineStr">
        <is>
          <t>LEKSAND</t>
        </is>
      </c>
      <c r="G121" t="n">
        <v>1.1</v>
      </c>
      <c r="H121" t="n">
        <v>0</v>
      </c>
      <c r="I121" t="n">
        <v>0</v>
      </c>
      <c r="J121" t="n">
        <v>0</v>
      </c>
      <c r="K121" t="n">
        <v>0</v>
      </c>
      <c r="L121" t="n">
        <v>0</v>
      </c>
      <c r="M121" t="n">
        <v>0</v>
      </c>
      <c r="N121" t="n">
        <v>0</v>
      </c>
      <c r="O121" t="n">
        <v>0</v>
      </c>
      <c r="P121" t="n">
        <v>0</v>
      </c>
      <c r="Q121" t="n">
        <v>0</v>
      </c>
      <c r="R121" s="2" t="inlineStr"/>
    </row>
    <row r="122" ht="15" customHeight="1">
      <c r="A122" t="inlineStr">
        <is>
          <t>A 1604-2020</t>
        </is>
      </c>
      <c r="B122" s="1" t="n">
        <v>43829</v>
      </c>
      <c r="C122" s="1" t="n">
        <v>45828</v>
      </c>
      <c r="D122" t="inlineStr">
        <is>
          <t>DALARNAS LÄN</t>
        </is>
      </c>
      <c r="E122" t="inlineStr">
        <is>
          <t>LEKSAND</t>
        </is>
      </c>
      <c r="G122" t="n">
        <v>1.3</v>
      </c>
      <c r="H122" t="n">
        <v>0</v>
      </c>
      <c r="I122" t="n">
        <v>0</v>
      </c>
      <c r="J122" t="n">
        <v>0</v>
      </c>
      <c r="K122" t="n">
        <v>0</v>
      </c>
      <c r="L122" t="n">
        <v>0</v>
      </c>
      <c r="M122" t="n">
        <v>0</v>
      </c>
      <c r="N122" t="n">
        <v>0</v>
      </c>
      <c r="O122" t="n">
        <v>0</v>
      </c>
      <c r="P122" t="n">
        <v>0</v>
      </c>
      <c r="Q122" t="n">
        <v>0</v>
      </c>
      <c r="R122" s="2" t="inlineStr"/>
    </row>
    <row r="123" ht="15" customHeight="1">
      <c r="A123" t="inlineStr">
        <is>
          <t>A 1915-2020</t>
        </is>
      </c>
      <c r="B123" s="1" t="n">
        <v>43837</v>
      </c>
      <c r="C123" s="1" t="n">
        <v>45828</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1778-2020</t>
        </is>
      </c>
      <c r="B124" s="1" t="n">
        <v>43844</v>
      </c>
      <c r="C124" s="1" t="n">
        <v>45828</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2670-2020</t>
        </is>
      </c>
      <c r="B125" s="1" t="n">
        <v>43849</v>
      </c>
      <c r="C125" s="1" t="n">
        <v>45828</v>
      </c>
      <c r="D125" t="inlineStr">
        <is>
          <t>DALARNAS LÄN</t>
        </is>
      </c>
      <c r="E125" t="inlineStr">
        <is>
          <t>LEKSAND</t>
        </is>
      </c>
      <c r="G125" t="n">
        <v>2.4</v>
      </c>
      <c r="H125" t="n">
        <v>0</v>
      </c>
      <c r="I125" t="n">
        <v>0</v>
      </c>
      <c r="J125" t="n">
        <v>0</v>
      </c>
      <c r="K125" t="n">
        <v>0</v>
      </c>
      <c r="L125" t="n">
        <v>0</v>
      </c>
      <c r="M125" t="n">
        <v>0</v>
      </c>
      <c r="N125" t="n">
        <v>0</v>
      </c>
      <c r="O125" t="n">
        <v>0</v>
      </c>
      <c r="P125" t="n">
        <v>0</v>
      </c>
      <c r="Q125" t="n">
        <v>0</v>
      </c>
      <c r="R125" s="2" t="inlineStr"/>
    </row>
    <row r="126" ht="15" customHeight="1">
      <c r="A126" t="inlineStr">
        <is>
          <t>A 4479-2020</t>
        </is>
      </c>
      <c r="B126" s="1" t="n">
        <v>43850</v>
      </c>
      <c r="C126" s="1" t="n">
        <v>45828</v>
      </c>
      <c r="D126" t="inlineStr">
        <is>
          <t>DALARNAS LÄN</t>
        </is>
      </c>
      <c r="E126" t="inlineStr">
        <is>
          <t>LEKSAND</t>
        </is>
      </c>
      <c r="G126" t="n">
        <v>1.5</v>
      </c>
      <c r="H126" t="n">
        <v>0</v>
      </c>
      <c r="I126" t="n">
        <v>0</v>
      </c>
      <c r="J126" t="n">
        <v>0</v>
      </c>
      <c r="K126" t="n">
        <v>0</v>
      </c>
      <c r="L126" t="n">
        <v>0</v>
      </c>
      <c r="M126" t="n">
        <v>0</v>
      </c>
      <c r="N126" t="n">
        <v>0</v>
      </c>
      <c r="O126" t="n">
        <v>0</v>
      </c>
      <c r="P126" t="n">
        <v>0</v>
      </c>
      <c r="Q126" t="n">
        <v>0</v>
      </c>
      <c r="R126" s="2" t="inlineStr"/>
    </row>
    <row r="127" ht="15" customHeight="1">
      <c r="A127" t="inlineStr">
        <is>
          <t>A 4004-2020</t>
        </is>
      </c>
      <c r="B127" s="1" t="n">
        <v>43856</v>
      </c>
      <c r="C127" s="1" t="n">
        <v>45828</v>
      </c>
      <c r="D127" t="inlineStr">
        <is>
          <t>DALARNAS LÄN</t>
        </is>
      </c>
      <c r="E127" t="inlineStr">
        <is>
          <t>LEKSAND</t>
        </is>
      </c>
      <c r="G127" t="n">
        <v>6</v>
      </c>
      <c r="H127" t="n">
        <v>0</v>
      </c>
      <c r="I127" t="n">
        <v>0</v>
      </c>
      <c r="J127" t="n">
        <v>0</v>
      </c>
      <c r="K127" t="n">
        <v>0</v>
      </c>
      <c r="L127" t="n">
        <v>0</v>
      </c>
      <c r="M127" t="n">
        <v>0</v>
      </c>
      <c r="N127" t="n">
        <v>0</v>
      </c>
      <c r="O127" t="n">
        <v>0</v>
      </c>
      <c r="P127" t="n">
        <v>0</v>
      </c>
      <c r="Q127" t="n">
        <v>0</v>
      </c>
      <c r="R127" s="2" t="inlineStr"/>
    </row>
    <row r="128" ht="15" customHeight="1">
      <c r="A128" t="inlineStr">
        <is>
          <t>A 6002-2020</t>
        </is>
      </c>
      <c r="B128" s="1" t="n">
        <v>43864</v>
      </c>
      <c r="C128" s="1" t="n">
        <v>45828</v>
      </c>
      <c r="D128" t="inlineStr">
        <is>
          <t>DALARNAS LÄN</t>
        </is>
      </c>
      <c r="E128" t="inlineStr">
        <is>
          <t>LEKSAND</t>
        </is>
      </c>
      <c r="G128" t="n">
        <v>0.6</v>
      </c>
      <c r="H128" t="n">
        <v>0</v>
      </c>
      <c r="I128" t="n">
        <v>0</v>
      </c>
      <c r="J128" t="n">
        <v>0</v>
      </c>
      <c r="K128" t="n">
        <v>0</v>
      </c>
      <c r="L128" t="n">
        <v>0</v>
      </c>
      <c r="M128" t="n">
        <v>0</v>
      </c>
      <c r="N128" t="n">
        <v>0</v>
      </c>
      <c r="O128" t="n">
        <v>0</v>
      </c>
      <c r="P128" t="n">
        <v>0</v>
      </c>
      <c r="Q128" t="n">
        <v>0</v>
      </c>
      <c r="R128" s="2" t="inlineStr"/>
    </row>
    <row r="129" ht="15" customHeight="1">
      <c r="A129" t="inlineStr">
        <is>
          <t>A 6017-2020</t>
        </is>
      </c>
      <c r="B129" s="1" t="n">
        <v>43864</v>
      </c>
      <c r="C129" s="1" t="n">
        <v>45828</v>
      </c>
      <c r="D129" t="inlineStr">
        <is>
          <t>DALARNAS LÄN</t>
        </is>
      </c>
      <c r="E129" t="inlineStr">
        <is>
          <t>LEKSAND</t>
        </is>
      </c>
      <c r="G129" t="n">
        <v>2.6</v>
      </c>
      <c r="H129" t="n">
        <v>0</v>
      </c>
      <c r="I129" t="n">
        <v>0</v>
      </c>
      <c r="J129" t="n">
        <v>0</v>
      </c>
      <c r="K129" t="n">
        <v>0</v>
      </c>
      <c r="L129" t="n">
        <v>0</v>
      </c>
      <c r="M129" t="n">
        <v>0</v>
      </c>
      <c r="N129" t="n">
        <v>0</v>
      </c>
      <c r="O129" t="n">
        <v>0</v>
      </c>
      <c r="P129" t="n">
        <v>0</v>
      </c>
      <c r="Q129" t="n">
        <v>0</v>
      </c>
      <c r="R129" s="2" t="inlineStr"/>
    </row>
    <row r="130" ht="15" customHeight="1">
      <c r="A130" t="inlineStr">
        <is>
          <t>A 6751-2020</t>
        </is>
      </c>
      <c r="B130" s="1" t="n">
        <v>43866</v>
      </c>
      <c r="C130" s="1" t="n">
        <v>45828</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7351-2020</t>
        </is>
      </c>
      <c r="B131" s="1" t="n">
        <v>43871</v>
      </c>
      <c r="C131" s="1" t="n">
        <v>45828</v>
      </c>
      <c r="D131" t="inlineStr">
        <is>
          <t>DALARNAS LÄN</t>
        </is>
      </c>
      <c r="E131" t="inlineStr">
        <is>
          <t>LEKSAND</t>
        </is>
      </c>
      <c r="F131" t="inlineStr">
        <is>
          <t>Bergvik skog väst AB</t>
        </is>
      </c>
      <c r="G131" t="n">
        <v>5.4</v>
      </c>
      <c r="H131" t="n">
        <v>0</v>
      </c>
      <c r="I131" t="n">
        <v>0</v>
      </c>
      <c r="J131" t="n">
        <v>0</v>
      </c>
      <c r="K131" t="n">
        <v>0</v>
      </c>
      <c r="L131" t="n">
        <v>0</v>
      </c>
      <c r="M131" t="n">
        <v>0</v>
      </c>
      <c r="N131" t="n">
        <v>0</v>
      </c>
      <c r="O131" t="n">
        <v>0</v>
      </c>
      <c r="P131" t="n">
        <v>0</v>
      </c>
      <c r="Q131" t="n">
        <v>0</v>
      </c>
      <c r="R131" s="2" t="inlineStr"/>
    </row>
    <row r="132" ht="15" customHeight="1">
      <c r="A132" t="inlineStr">
        <is>
          <t>A 7868-2020</t>
        </is>
      </c>
      <c r="B132" s="1" t="n">
        <v>43873</v>
      </c>
      <c r="C132" s="1" t="n">
        <v>45828</v>
      </c>
      <c r="D132" t="inlineStr">
        <is>
          <t>DALARNAS LÄN</t>
        </is>
      </c>
      <c r="E132" t="inlineStr">
        <is>
          <t>LEKSAND</t>
        </is>
      </c>
      <c r="G132" t="n">
        <v>1.7</v>
      </c>
      <c r="H132" t="n">
        <v>0</v>
      </c>
      <c r="I132" t="n">
        <v>0</v>
      </c>
      <c r="J132" t="n">
        <v>0</v>
      </c>
      <c r="K132" t="n">
        <v>0</v>
      </c>
      <c r="L132" t="n">
        <v>0</v>
      </c>
      <c r="M132" t="n">
        <v>0</v>
      </c>
      <c r="N132" t="n">
        <v>0</v>
      </c>
      <c r="O132" t="n">
        <v>0</v>
      </c>
      <c r="P132" t="n">
        <v>0</v>
      </c>
      <c r="Q132" t="n">
        <v>0</v>
      </c>
      <c r="R132" s="2" t="inlineStr"/>
    </row>
    <row r="133" ht="15" customHeight="1">
      <c r="A133" t="inlineStr">
        <is>
          <t>A 9710-2020</t>
        </is>
      </c>
      <c r="B133" s="1" t="n">
        <v>43881</v>
      </c>
      <c r="C133" s="1" t="n">
        <v>45828</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11372-2020</t>
        </is>
      </c>
      <c r="B134" s="1" t="n">
        <v>43892</v>
      </c>
      <c r="C134" s="1" t="n">
        <v>45828</v>
      </c>
      <c r="D134" t="inlineStr">
        <is>
          <t>DALARNAS LÄN</t>
        </is>
      </c>
      <c r="E134" t="inlineStr">
        <is>
          <t>LEKSAND</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12176-2020</t>
        </is>
      </c>
      <c r="B135" s="1" t="n">
        <v>43895</v>
      </c>
      <c r="C135" s="1" t="n">
        <v>45828</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12247-2020</t>
        </is>
      </c>
      <c r="B136" s="1" t="n">
        <v>43895</v>
      </c>
      <c r="C136" s="1" t="n">
        <v>45828</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13340-2020</t>
        </is>
      </c>
      <c r="B137" s="1" t="n">
        <v>43902</v>
      </c>
      <c r="C137" s="1" t="n">
        <v>45828</v>
      </c>
      <c r="D137" t="inlineStr">
        <is>
          <t>DALARNAS LÄN</t>
        </is>
      </c>
      <c r="E137" t="inlineStr">
        <is>
          <t>LEKSAND</t>
        </is>
      </c>
      <c r="G137" t="n">
        <v>1.4</v>
      </c>
      <c r="H137" t="n">
        <v>0</v>
      </c>
      <c r="I137" t="n">
        <v>0</v>
      </c>
      <c r="J137" t="n">
        <v>0</v>
      </c>
      <c r="K137" t="n">
        <v>0</v>
      </c>
      <c r="L137" t="n">
        <v>0</v>
      </c>
      <c r="M137" t="n">
        <v>0</v>
      </c>
      <c r="N137" t="n">
        <v>0</v>
      </c>
      <c r="O137" t="n">
        <v>0</v>
      </c>
      <c r="P137" t="n">
        <v>0</v>
      </c>
      <c r="Q137" t="n">
        <v>0</v>
      </c>
      <c r="R137" s="2" t="inlineStr"/>
    </row>
    <row r="138" ht="15" customHeight="1">
      <c r="A138" t="inlineStr">
        <is>
          <t>A 13356-2020</t>
        </is>
      </c>
      <c r="B138" s="1" t="n">
        <v>43902</v>
      </c>
      <c r="C138" s="1" t="n">
        <v>45828</v>
      </c>
      <c r="D138" t="inlineStr">
        <is>
          <t>DALARNAS LÄN</t>
        </is>
      </c>
      <c r="E138" t="inlineStr">
        <is>
          <t>LEKSAND</t>
        </is>
      </c>
      <c r="G138" t="n">
        <v>0.4</v>
      </c>
      <c r="H138" t="n">
        <v>0</v>
      </c>
      <c r="I138" t="n">
        <v>0</v>
      </c>
      <c r="J138" t="n">
        <v>0</v>
      </c>
      <c r="K138" t="n">
        <v>0</v>
      </c>
      <c r="L138" t="n">
        <v>0</v>
      </c>
      <c r="M138" t="n">
        <v>0</v>
      </c>
      <c r="N138" t="n">
        <v>0</v>
      </c>
      <c r="O138" t="n">
        <v>0</v>
      </c>
      <c r="P138" t="n">
        <v>0</v>
      </c>
      <c r="Q138" t="n">
        <v>0</v>
      </c>
      <c r="R138" s="2" t="inlineStr"/>
    </row>
    <row r="139" ht="15" customHeight="1">
      <c r="A139" t="inlineStr">
        <is>
          <t>A 13352-2020</t>
        </is>
      </c>
      <c r="B139" s="1" t="n">
        <v>43902</v>
      </c>
      <c r="C139" s="1" t="n">
        <v>45828</v>
      </c>
      <c r="D139" t="inlineStr">
        <is>
          <t>DALARNAS LÄN</t>
        </is>
      </c>
      <c r="E139" t="inlineStr">
        <is>
          <t>LEKSAND</t>
        </is>
      </c>
      <c r="G139" t="n">
        <v>0.6</v>
      </c>
      <c r="H139" t="n">
        <v>0</v>
      </c>
      <c r="I139" t="n">
        <v>0</v>
      </c>
      <c r="J139" t="n">
        <v>0</v>
      </c>
      <c r="K139" t="n">
        <v>0</v>
      </c>
      <c r="L139" t="n">
        <v>0</v>
      </c>
      <c r="M139" t="n">
        <v>0</v>
      </c>
      <c r="N139" t="n">
        <v>0</v>
      </c>
      <c r="O139" t="n">
        <v>0</v>
      </c>
      <c r="P139" t="n">
        <v>0</v>
      </c>
      <c r="Q139" t="n">
        <v>0</v>
      </c>
      <c r="R139" s="2" t="inlineStr"/>
    </row>
    <row r="140" ht="15" customHeight="1">
      <c r="A140" t="inlineStr">
        <is>
          <t>A 15165-2020</t>
        </is>
      </c>
      <c r="B140" s="1" t="n">
        <v>43912</v>
      </c>
      <c r="C140" s="1" t="n">
        <v>45828</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16288-2020</t>
        </is>
      </c>
      <c r="B141" s="1" t="n">
        <v>43917</v>
      </c>
      <c r="C141" s="1" t="n">
        <v>45828</v>
      </c>
      <c r="D141" t="inlineStr">
        <is>
          <t>DALARNAS LÄN</t>
        </is>
      </c>
      <c r="E141" t="inlineStr">
        <is>
          <t>LEKSAND</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18803-2020</t>
        </is>
      </c>
      <c r="B142" s="1" t="n">
        <v>43933</v>
      </c>
      <c r="C142" s="1" t="n">
        <v>45828</v>
      </c>
      <c r="D142" t="inlineStr">
        <is>
          <t>DALARNAS LÄN</t>
        </is>
      </c>
      <c r="E142" t="inlineStr">
        <is>
          <t>LEKSAND</t>
        </is>
      </c>
      <c r="G142" t="n">
        <v>1.9</v>
      </c>
      <c r="H142" t="n">
        <v>0</v>
      </c>
      <c r="I142" t="n">
        <v>0</v>
      </c>
      <c r="J142" t="n">
        <v>0</v>
      </c>
      <c r="K142" t="n">
        <v>0</v>
      </c>
      <c r="L142" t="n">
        <v>0</v>
      </c>
      <c r="M142" t="n">
        <v>0</v>
      </c>
      <c r="N142" t="n">
        <v>0</v>
      </c>
      <c r="O142" t="n">
        <v>0</v>
      </c>
      <c r="P142" t="n">
        <v>0</v>
      </c>
      <c r="Q142" t="n">
        <v>0</v>
      </c>
      <c r="R142" s="2" t="inlineStr"/>
    </row>
    <row r="143" ht="15" customHeight="1">
      <c r="A143" t="inlineStr">
        <is>
          <t>A 19361-2020</t>
        </is>
      </c>
      <c r="B143" s="1" t="n">
        <v>43938</v>
      </c>
      <c r="C143" s="1" t="n">
        <v>45828</v>
      </c>
      <c r="D143" t="inlineStr">
        <is>
          <t>DALARNAS LÄN</t>
        </is>
      </c>
      <c r="E143" t="inlineStr">
        <is>
          <t>LEKSAND</t>
        </is>
      </c>
      <c r="G143" t="n">
        <v>1.1</v>
      </c>
      <c r="H143" t="n">
        <v>0</v>
      </c>
      <c r="I143" t="n">
        <v>0</v>
      </c>
      <c r="J143" t="n">
        <v>0</v>
      </c>
      <c r="K143" t="n">
        <v>0</v>
      </c>
      <c r="L143" t="n">
        <v>0</v>
      </c>
      <c r="M143" t="n">
        <v>0</v>
      </c>
      <c r="N143" t="n">
        <v>0</v>
      </c>
      <c r="O143" t="n">
        <v>0</v>
      </c>
      <c r="P143" t="n">
        <v>0</v>
      </c>
      <c r="Q143" t="n">
        <v>0</v>
      </c>
      <c r="R143" s="2" t="inlineStr"/>
    </row>
    <row r="144" ht="15" customHeight="1">
      <c r="A144" t="inlineStr">
        <is>
          <t>A 21141-2020</t>
        </is>
      </c>
      <c r="B144" s="1" t="n">
        <v>43951</v>
      </c>
      <c r="C144" s="1" t="n">
        <v>45828</v>
      </c>
      <c r="D144" t="inlineStr">
        <is>
          <t>DALARNAS LÄN</t>
        </is>
      </c>
      <c r="E144" t="inlineStr">
        <is>
          <t>LEKSAND</t>
        </is>
      </c>
      <c r="F144" t="inlineStr">
        <is>
          <t>Bergvik skog väst AB</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22718-2020</t>
        </is>
      </c>
      <c r="B145" s="1" t="n">
        <v>43964</v>
      </c>
      <c r="C145" s="1" t="n">
        <v>45828</v>
      </c>
      <c r="D145" t="inlineStr">
        <is>
          <t>DALARNAS LÄN</t>
        </is>
      </c>
      <c r="E145" t="inlineStr">
        <is>
          <t>LEKSAND</t>
        </is>
      </c>
      <c r="G145" t="n">
        <v>1.7</v>
      </c>
      <c r="H145" t="n">
        <v>0</v>
      </c>
      <c r="I145" t="n">
        <v>0</v>
      </c>
      <c r="J145" t="n">
        <v>0</v>
      </c>
      <c r="K145" t="n">
        <v>0</v>
      </c>
      <c r="L145" t="n">
        <v>0</v>
      </c>
      <c r="M145" t="n">
        <v>0</v>
      </c>
      <c r="N145" t="n">
        <v>0</v>
      </c>
      <c r="O145" t="n">
        <v>0</v>
      </c>
      <c r="P145" t="n">
        <v>0</v>
      </c>
      <c r="Q145" t="n">
        <v>0</v>
      </c>
      <c r="R145" s="2" t="inlineStr"/>
    </row>
    <row r="146" ht="15" customHeight="1">
      <c r="A146" t="inlineStr">
        <is>
          <t>A 24207-2020</t>
        </is>
      </c>
      <c r="B146" s="1" t="n">
        <v>43973</v>
      </c>
      <c r="C146" s="1" t="n">
        <v>45828</v>
      </c>
      <c r="D146" t="inlineStr">
        <is>
          <t>DALARNAS LÄN</t>
        </is>
      </c>
      <c r="E146" t="inlineStr">
        <is>
          <t>LEKSAND</t>
        </is>
      </c>
      <c r="G146" t="n">
        <v>2.2</v>
      </c>
      <c r="H146" t="n">
        <v>0</v>
      </c>
      <c r="I146" t="n">
        <v>0</v>
      </c>
      <c r="J146" t="n">
        <v>0</v>
      </c>
      <c r="K146" t="n">
        <v>0</v>
      </c>
      <c r="L146" t="n">
        <v>0</v>
      </c>
      <c r="M146" t="n">
        <v>0</v>
      </c>
      <c r="N146" t="n">
        <v>0</v>
      </c>
      <c r="O146" t="n">
        <v>0</v>
      </c>
      <c r="P146" t="n">
        <v>0</v>
      </c>
      <c r="Q146" t="n">
        <v>0</v>
      </c>
      <c r="R146" s="2" t="inlineStr"/>
    </row>
    <row r="147" ht="15" customHeight="1">
      <c r="A147" t="inlineStr">
        <is>
          <t>A 25156-2020</t>
        </is>
      </c>
      <c r="B147" s="1" t="n">
        <v>43978</v>
      </c>
      <c r="C147" s="1" t="n">
        <v>45828</v>
      </c>
      <c r="D147" t="inlineStr">
        <is>
          <t>DALARNAS LÄN</t>
        </is>
      </c>
      <c r="E147" t="inlineStr">
        <is>
          <t>LEKSAND</t>
        </is>
      </c>
      <c r="G147" t="n">
        <v>0.9</v>
      </c>
      <c r="H147" t="n">
        <v>0</v>
      </c>
      <c r="I147" t="n">
        <v>0</v>
      </c>
      <c r="J147" t="n">
        <v>0</v>
      </c>
      <c r="K147" t="n">
        <v>0</v>
      </c>
      <c r="L147" t="n">
        <v>0</v>
      </c>
      <c r="M147" t="n">
        <v>0</v>
      </c>
      <c r="N147" t="n">
        <v>0</v>
      </c>
      <c r="O147" t="n">
        <v>0</v>
      </c>
      <c r="P147" t="n">
        <v>0</v>
      </c>
      <c r="Q147" t="n">
        <v>0</v>
      </c>
      <c r="R147" s="2" t="inlineStr"/>
    </row>
    <row r="148" ht="15" customHeight="1">
      <c r="A148" t="inlineStr">
        <is>
          <t>A 25720-2020</t>
        </is>
      </c>
      <c r="B148" s="1" t="n">
        <v>43984</v>
      </c>
      <c r="C148" s="1" t="n">
        <v>45828</v>
      </c>
      <c r="D148" t="inlineStr">
        <is>
          <t>DALARNAS LÄN</t>
        </is>
      </c>
      <c r="E148" t="inlineStr">
        <is>
          <t>LEKSAND</t>
        </is>
      </c>
      <c r="G148" t="n">
        <v>3.5</v>
      </c>
      <c r="H148" t="n">
        <v>0</v>
      </c>
      <c r="I148" t="n">
        <v>0</v>
      </c>
      <c r="J148" t="n">
        <v>0</v>
      </c>
      <c r="K148" t="n">
        <v>0</v>
      </c>
      <c r="L148" t="n">
        <v>0</v>
      </c>
      <c r="M148" t="n">
        <v>0</v>
      </c>
      <c r="N148" t="n">
        <v>0</v>
      </c>
      <c r="O148" t="n">
        <v>0</v>
      </c>
      <c r="P148" t="n">
        <v>0</v>
      </c>
      <c r="Q148" t="n">
        <v>0</v>
      </c>
      <c r="R148" s="2" t="inlineStr"/>
    </row>
    <row r="149" ht="15" customHeight="1">
      <c r="A149" t="inlineStr">
        <is>
          <t>A 25989-2020</t>
        </is>
      </c>
      <c r="B149" s="1" t="n">
        <v>43985</v>
      </c>
      <c r="C149" s="1" t="n">
        <v>45828</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26456-2020</t>
        </is>
      </c>
      <c r="B150" s="1" t="n">
        <v>43986</v>
      </c>
      <c r="C150" s="1" t="n">
        <v>45828</v>
      </c>
      <c r="D150" t="inlineStr">
        <is>
          <t>DALARNAS LÄN</t>
        </is>
      </c>
      <c r="E150" t="inlineStr">
        <is>
          <t>LEKSAND</t>
        </is>
      </c>
      <c r="G150" t="n">
        <v>2.9</v>
      </c>
      <c r="H150" t="n">
        <v>0</v>
      </c>
      <c r="I150" t="n">
        <v>0</v>
      </c>
      <c r="J150" t="n">
        <v>0</v>
      </c>
      <c r="K150" t="n">
        <v>0</v>
      </c>
      <c r="L150" t="n">
        <v>0</v>
      </c>
      <c r="M150" t="n">
        <v>0</v>
      </c>
      <c r="N150" t="n">
        <v>0</v>
      </c>
      <c r="O150" t="n">
        <v>0</v>
      </c>
      <c r="P150" t="n">
        <v>0</v>
      </c>
      <c r="Q150" t="n">
        <v>0</v>
      </c>
      <c r="R150" s="2" t="inlineStr"/>
    </row>
    <row r="151" ht="15" customHeight="1">
      <c r="A151" t="inlineStr">
        <is>
          <t>A 26560-2020</t>
        </is>
      </c>
      <c r="B151" s="1" t="n">
        <v>43987</v>
      </c>
      <c r="C151" s="1" t="n">
        <v>45828</v>
      </c>
      <c r="D151" t="inlineStr">
        <is>
          <t>DALARNAS LÄN</t>
        </is>
      </c>
      <c r="E151" t="inlineStr">
        <is>
          <t>LEKSAND</t>
        </is>
      </c>
      <c r="G151" t="n">
        <v>0.8</v>
      </c>
      <c r="H151" t="n">
        <v>0</v>
      </c>
      <c r="I151" t="n">
        <v>0</v>
      </c>
      <c r="J151" t="n">
        <v>0</v>
      </c>
      <c r="K151" t="n">
        <v>0</v>
      </c>
      <c r="L151" t="n">
        <v>0</v>
      </c>
      <c r="M151" t="n">
        <v>0</v>
      </c>
      <c r="N151" t="n">
        <v>0</v>
      </c>
      <c r="O151" t="n">
        <v>0</v>
      </c>
      <c r="P151" t="n">
        <v>0</v>
      </c>
      <c r="Q151" t="n">
        <v>0</v>
      </c>
      <c r="R151" s="2" t="inlineStr"/>
    </row>
    <row r="152" ht="15" customHeight="1">
      <c r="A152" t="inlineStr">
        <is>
          <t>A 28161-2020</t>
        </is>
      </c>
      <c r="B152" s="1" t="n">
        <v>43997</v>
      </c>
      <c r="C152" s="1" t="n">
        <v>45828</v>
      </c>
      <c r="D152" t="inlineStr">
        <is>
          <t>DALARNAS LÄN</t>
        </is>
      </c>
      <c r="E152" t="inlineStr">
        <is>
          <t>LEKSAND</t>
        </is>
      </c>
      <c r="G152" t="n">
        <v>1.2</v>
      </c>
      <c r="H152" t="n">
        <v>0</v>
      </c>
      <c r="I152" t="n">
        <v>0</v>
      </c>
      <c r="J152" t="n">
        <v>0</v>
      </c>
      <c r="K152" t="n">
        <v>0</v>
      </c>
      <c r="L152" t="n">
        <v>0</v>
      </c>
      <c r="M152" t="n">
        <v>0</v>
      </c>
      <c r="N152" t="n">
        <v>0</v>
      </c>
      <c r="O152" t="n">
        <v>0</v>
      </c>
      <c r="P152" t="n">
        <v>0</v>
      </c>
      <c r="Q152" t="n">
        <v>0</v>
      </c>
      <c r="R152" s="2" t="inlineStr"/>
    </row>
    <row r="153" ht="15" customHeight="1">
      <c r="A153" t="inlineStr">
        <is>
          <t>A 28796-2020</t>
        </is>
      </c>
      <c r="B153" s="1" t="n">
        <v>44000</v>
      </c>
      <c r="C153" s="1" t="n">
        <v>45828</v>
      </c>
      <c r="D153" t="inlineStr">
        <is>
          <t>DALARNAS LÄN</t>
        </is>
      </c>
      <c r="E153" t="inlineStr">
        <is>
          <t>LEKSAND</t>
        </is>
      </c>
      <c r="F153" t="inlineStr">
        <is>
          <t>Bergvik skog väst AB</t>
        </is>
      </c>
      <c r="G153" t="n">
        <v>4.7</v>
      </c>
      <c r="H153" t="n">
        <v>0</v>
      </c>
      <c r="I153" t="n">
        <v>0</v>
      </c>
      <c r="J153" t="n">
        <v>0</v>
      </c>
      <c r="K153" t="n">
        <v>0</v>
      </c>
      <c r="L153" t="n">
        <v>0</v>
      </c>
      <c r="M153" t="n">
        <v>0</v>
      </c>
      <c r="N153" t="n">
        <v>0</v>
      </c>
      <c r="O153" t="n">
        <v>0</v>
      </c>
      <c r="P153" t="n">
        <v>0</v>
      </c>
      <c r="Q153" t="n">
        <v>0</v>
      </c>
      <c r="R153" s="2" t="inlineStr"/>
    </row>
    <row r="154" ht="15" customHeight="1">
      <c r="A154" t="inlineStr">
        <is>
          <t>A 29089-2020</t>
        </is>
      </c>
      <c r="B154" s="1" t="n">
        <v>44002</v>
      </c>
      <c r="C154" s="1" t="n">
        <v>45828</v>
      </c>
      <c r="D154" t="inlineStr">
        <is>
          <t>DALARNAS LÄN</t>
        </is>
      </c>
      <c r="E154" t="inlineStr">
        <is>
          <t>LEKSAND</t>
        </is>
      </c>
      <c r="G154" t="n">
        <v>1.8</v>
      </c>
      <c r="H154" t="n">
        <v>0</v>
      </c>
      <c r="I154" t="n">
        <v>0</v>
      </c>
      <c r="J154" t="n">
        <v>0</v>
      </c>
      <c r="K154" t="n">
        <v>0</v>
      </c>
      <c r="L154" t="n">
        <v>0</v>
      </c>
      <c r="M154" t="n">
        <v>0</v>
      </c>
      <c r="N154" t="n">
        <v>0</v>
      </c>
      <c r="O154" t="n">
        <v>0</v>
      </c>
      <c r="P154" t="n">
        <v>0</v>
      </c>
      <c r="Q154" t="n">
        <v>0</v>
      </c>
      <c r="R154" s="2" t="inlineStr"/>
    </row>
    <row r="155" ht="15" customHeight="1">
      <c r="A155" t="inlineStr">
        <is>
          <t>A 29088-2020</t>
        </is>
      </c>
      <c r="B155" s="1" t="n">
        <v>44002</v>
      </c>
      <c r="C155" s="1" t="n">
        <v>45828</v>
      </c>
      <c r="D155" t="inlineStr">
        <is>
          <t>DALARNAS LÄN</t>
        </is>
      </c>
      <c r="E155" t="inlineStr">
        <is>
          <t>LEKSAND</t>
        </is>
      </c>
      <c r="G155" t="n">
        <v>0.6</v>
      </c>
      <c r="H155" t="n">
        <v>0</v>
      </c>
      <c r="I155" t="n">
        <v>0</v>
      </c>
      <c r="J155" t="n">
        <v>0</v>
      </c>
      <c r="K155" t="n">
        <v>0</v>
      </c>
      <c r="L155" t="n">
        <v>0</v>
      </c>
      <c r="M155" t="n">
        <v>0</v>
      </c>
      <c r="N155" t="n">
        <v>0</v>
      </c>
      <c r="O155" t="n">
        <v>0</v>
      </c>
      <c r="P155" t="n">
        <v>0</v>
      </c>
      <c r="Q155" t="n">
        <v>0</v>
      </c>
      <c r="R155" s="2" t="inlineStr"/>
    </row>
    <row r="156" ht="15" customHeight="1">
      <c r="A156" t="inlineStr">
        <is>
          <t>A 29672-2020</t>
        </is>
      </c>
      <c r="B156" s="1" t="n">
        <v>44005</v>
      </c>
      <c r="C156" s="1" t="n">
        <v>45828</v>
      </c>
      <c r="D156" t="inlineStr">
        <is>
          <t>DALARNAS LÄN</t>
        </is>
      </c>
      <c r="E156" t="inlineStr">
        <is>
          <t>LEKSAND</t>
        </is>
      </c>
      <c r="G156" t="n">
        <v>0.4</v>
      </c>
      <c r="H156" t="n">
        <v>0</v>
      </c>
      <c r="I156" t="n">
        <v>0</v>
      </c>
      <c r="J156" t="n">
        <v>0</v>
      </c>
      <c r="K156" t="n">
        <v>0</v>
      </c>
      <c r="L156" t="n">
        <v>0</v>
      </c>
      <c r="M156" t="n">
        <v>0</v>
      </c>
      <c r="N156" t="n">
        <v>0</v>
      </c>
      <c r="O156" t="n">
        <v>0</v>
      </c>
      <c r="P156" t="n">
        <v>0</v>
      </c>
      <c r="Q156" t="n">
        <v>0</v>
      </c>
      <c r="R156" s="2" t="inlineStr"/>
    </row>
    <row r="157" ht="15" customHeight="1">
      <c r="A157" t="inlineStr">
        <is>
          <t>A 31629-2020</t>
        </is>
      </c>
      <c r="B157" s="1" t="n">
        <v>44013</v>
      </c>
      <c r="C157" s="1" t="n">
        <v>45828</v>
      </c>
      <c r="D157" t="inlineStr">
        <is>
          <t>DALARNAS LÄN</t>
        </is>
      </c>
      <c r="E157" t="inlineStr">
        <is>
          <t>LEKSAND</t>
        </is>
      </c>
      <c r="G157" t="n">
        <v>5.4</v>
      </c>
      <c r="H157" t="n">
        <v>0</v>
      </c>
      <c r="I157" t="n">
        <v>0</v>
      </c>
      <c r="J157" t="n">
        <v>0</v>
      </c>
      <c r="K157" t="n">
        <v>0</v>
      </c>
      <c r="L157" t="n">
        <v>0</v>
      </c>
      <c r="M157" t="n">
        <v>0</v>
      </c>
      <c r="N157" t="n">
        <v>0</v>
      </c>
      <c r="O157" t="n">
        <v>0</v>
      </c>
      <c r="P157" t="n">
        <v>0</v>
      </c>
      <c r="Q157" t="n">
        <v>0</v>
      </c>
      <c r="R157" s="2" t="inlineStr"/>
    </row>
    <row r="158" ht="15" customHeight="1">
      <c r="A158" t="inlineStr">
        <is>
          <t>A 37568-2020</t>
        </is>
      </c>
      <c r="B158" s="1" t="n">
        <v>44056</v>
      </c>
      <c r="C158" s="1" t="n">
        <v>45828</v>
      </c>
      <c r="D158" t="inlineStr">
        <is>
          <t>DALARNAS LÄN</t>
        </is>
      </c>
      <c r="E158" t="inlineStr">
        <is>
          <t>LEKSAND</t>
        </is>
      </c>
      <c r="G158" t="n">
        <v>3.4</v>
      </c>
      <c r="H158" t="n">
        <v>0</v>
      </c>
      <c r="I158" t="n">
        <v>0</v>
      </c>
      <c r="J158" t="n">
        <v>0</v>
      </c>
      <c r="K158" t="n">
        <v>0</v>
      </c>
      <c r="L158" t="n">
        <v>0</v>
      </c>
      <c r="M158" t="n">
        <v>0</v>
      </c>
      <c r="N158" t="n">
        <v>0</v>
      </c>
      <c r="O158" t="n">
        <v>0</v>
      </c>
      <c r="P158" t="n">
        <v>0</v>
      </c>
      <c r="Q158" t="n">
        <v>0</v>
      </c>
      <c r="R158" s="2" t="inlineStr"/>
    </row>
    <row r="159" ht="15" customHeight="1">
      <c r="A159" t="inlineStr">
        <is>
          <t>A 41093-2020</t>
        </is>
      </c>
      <c r="B159" s="1" t="n">
        <v>44071</v>
      </c>
      <c r="C159" s="1" t="n">
        <v>45828</v>
      </c>
      <c r="D159" t="inlineStr">
        <is>
          <t>DALARNAS LÄN</t>
        </is>
      </c>
      <c r="E159" t="inlineStr">
        <is>
          <t>LEKSAND</t>
        </is>
      </c>
      <c r="F159" t="inlineStr">
        <is>
          <t>Bergvik skog väst AB</t>
        </is>
      </c>
      <c r="G159" t="n">
        <v>0.8</v>
      </c>
      <c r="H159" t="n">
        <v>0</v>
      </c>
      <c r="I159" t="n">
        <v>0</v>
      </c>
      <c r="J159" t="n">
        <v>0</v>
      </c>
      <c r="K159" t="n">
        <v>0</v>
      </c>
      <c r="L159" t="n">
        <v>0</v>
      </c>
      <c r="M159" t="n">
        <v>0</v>
      </c>
      <c r="N159" t="n">
        <v>0</v>
      </c>
      <c r="O159" t="n">
        <v>0</v>
      </c>
      <c r="P159" t="n">
        <v>0</v>
      </c>
      <c r="Q159" t="n">
        <v>0</v>
      </c>
      <c r="R159" s="2" t="inlineStr"/>
    </row>
    <row r="160" ht="15" customHeight="1">
      <c r="A160" t="inlineStr">
        <is>
          <t>A 41200-2020</t>
        </is>
      </c>
      <c r="B160" s="1" t="n">
        <v>44071</v>
      </c>
      <c r="C160" s="1" t="n">
        <v>45828</v>
      </c>
      <c r="D160" t="inlineStr">
        <is>
          <t>DALARNAS LÄN</t>
        </is>
      </c>
      <c r="E160" t="inlineStr">
        <is>
          <t>LEKSAND</t>
        </is>
      </c>
      <c r="F160" t="inlineStr">
        <is>
          <t>Bergvik skog väst AB</t>
        </is>
      </c>
      <c r="G160" t="n">
        <v>2</v>
      </c>
      <c r="H160" t="n">
        <v>0</v>
      </c>
      <c r="I160" t="n">
        <v>0</v>
      </c>
      <c r="J160" t="n">
        <v>0</v>
      </c>
      <c r="K160" t="n">
        <v>0</v>
      </c>
      <c r="L160" t="n">
        <v>0</v>
      </c>
      <c r="M160" t="n">
        <v>0</v>
      </c>
      <c r="N160" t="n">
        <v>0</v>
      </c>
      <c r="O160" t="n">
        <v>0</v>
      </c>
      <c r="P160" t="n">
        <v>0</v>
      </c>
      <c r="Q160" t="n">
        <v>0</v>
      </c>
      <c r="R160" s="2" t="inlineStr"/>
    </row>
    <row r="161" ht="15" customHeight="1">
      <c r="A161" t="inlineStr">
        <is>
          <t>A 41432-2020</t>
        </is>
      </c>
      <c r="B161" s="1" t="n">
        <v>44073</v>
      </c>
      <c r="C161" s="1" t="n">
        <v>45828</v>
      </c>
      <c r="D161" t="inlineStr">
        <is>
          <t>DALARNAS LÄN</t>
        </is>
      </c>
      <c r="E161" t="inlineStr">
        <is>
          <t>LEKSAND</t>
        </is>
      </c>
      <c r="G161" t="n">
        <v>0.9</v>
      </c>
      <c r="H161" t="n">
        <v>0</v>
      </c>
      <c r="I161" t="n">
        <v>0</v>
      </c>
      <c r="J161" t="n">
        <v>0</v>
      </c>
      <c r="K161" t="n">
        <v>0</v>
      </c>
      <c r="L161" t="n">
        <v>0</v>
      </c>
      <c r="M161" t="n">
        <v>0</v>
      </c>
      <c r="N161" t="n">
        <v>0</v>
      </c>
      <c r="O161" t="n">
        <v>0</v>
      </c>
      <c r="P161" t="n">
        <v>0</v>
      </c>
      <c r="Q161" t="n">
        <v>0</v>
      </c>
      <c r="R161" s="2" t="inlineStr"/>
    </row>
    <row r="162" ht="15" customHeight="1">
      <c r="A162" t="inlineStr">
        <is>
          <t>A 42890-2020</t>
        </is>
      </c>
      <c r="B162" s="1" t="n">
        <v>44078</v>
      </c>
      <c r="C162" s="1" t="n">
        <v>45828</v>
      </c>
      <c r="D162" t="inlineStr">
        <is>
          <t>DALARNAS LÄN</t>
        </is>
      </c>
      <c r="E162" t="inlineStr">
        <is>
          <t>LEKSAND</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44665-2020</t>
        </is>
      </c>
      <c r="B163" s="1" t="n">
        <v>44085</v>
      </c>
      <c r="C163" s="1" t="n">
        <v>45828</v>
      </c>
      <c r="D163" t="inlineStr">
        <is>
          <t>DALARNAS LÄN</t>
        </is>
      </c>
      <c r="E163" t="inlineStr">
        <is>
          <t>LEKSAND</t>
        </is>
      </c>
      <c r="F163" t="inlineStr">
        <is>
          <t>Bergvik skog väst AB</t>
        </is>
      </c>
      <c r="G163" t="n">
        <v>5.1</v>
      </c>
      <c r="H163" t="n">
        <v>0</v>
      </c>
      <c r="I163" t="n">
        <v>0</v>
      </c>
      <c r="J163" t="n">
        <v>0</v>
      </c>
      <c r="K163" t="n">
        <v>0</v>
      </c>
      <c r="L163" t="n">
        <v>0</v>
      </c>
      <c r="M163" t="n">
        <v>0</v>
      </c>
      <c r="N163" t="n">
        <v>0</v>
      </c>
      <c r="O163" t="n">
        <v>0</v>
      </c>
      <c r="P163" t="n">
        <v>0</v>
      </c>
      <c r="Q163" t="n">
        <v>0</v>
      </c>
      <c r="R163" s="2" t="inlineStr"/>
    </row>
    <row r="164" ht="15" customHeight="1">
      <c r="A164" t="inlineStr">
        <is>
          <t>A 45995-2020</t>
        </is>
      </c>
      <c r="B164" s="1" t="n">
        <v>44088</v>
      </c>
      <c r="C164" s="1" t="n">
        <v>45828</v>
      </c>
      <c r="D164" t="inlineStr">
        <is>
          <t>DALARNAS LÄN</t>
        </is>
      </c>
      <c r="E164" t="inlineStr">
        <is>
          <t>LEKSAND</t>
        </is>
      </c>
      <c r="G164" t="n">
        <v>7.8</v>
      </c>
      <c r="H164" t="n">
        <v>0</v>
      </c>
      <c r="I164" t="n">
        <v>0</v>
      </c>
      <c r="J164" t="n">
        <v>0</v>
      </c>
      <c r="K164" t="n">
        <v>0</v>
      </c>
      <c r="L164" t="n">
        <v>0</v>
      </c>
      <c r="M164" t="n">
        <v>0</v>
      </c>
      <c r="N164" t="n">
        <v>0</v>
      </c>
      <c r="O164" t="n">
        <v>0</v>
      </c>
      <c r="P164" t="n">
        <v>0</v>
      </c>
      <c r="Q164" t="n">
        <v>0</v>
      </c>
      <c r="R164" s="2" t="inlineStr"/>
    </row>
    <row r="165" ht="15" customHeight="1">
      <c r="A165" t="inlineStr">
        <is>
          <t>A 45950-2020</t>
        </is>
      </c>
      <c r="B165" s="1" t="n">
        <v>44088</v>
      </c>
      <c r="C165" s="1" t="n">
        <v>45828</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45991-2020</t>
        </is>
      </c>
      <c r="B166" s="1" t="n">
        <v>44088</v>
      </c>
      <c r="C166" s="1" t="n">
        <v>45828</v>
      </c>
      <c r="D166" t="inlineStr">
        <is>
          <t>DALARNAS LÄN</t>
        </is>
      </c>
      <c r="E166" t="inlineStr">
        <is>
          <t>LEKSAND</t>
        </is>
      </c>
      <c r="G166" t="n">
        <v>9.9</v>
      </c>
      <c r="H166" t="n">
        <v>0</v>
      </c>
      <c r="I166" t="n">
        <v>0</v>
      </c>
      <c r="J166" t="n">
        <v>0</v>
      </c>
      <c r="K166" t="n">
        <v>0</v>
      </c>
      <c r="L166" t="n">
        <v>0</v>
      </c>
      <c r="M166" t="n">
        <v>0</v>
      </c>
      <c r="N166" t="n">
        <v>0</v>
      </c>
      <c r="O166" t="n">
        <v>0</v>
      </c>
      <c r="P166" t="n">
        <v>0</v>
      </c>
      <c r="Q166" t="n">
        <v>0</v>
      </c>
      <c r="R166" s="2" t="inlineStr"/>
    </row>
    <row r="167" ht="15" customHeight="1">
      <c r="A167" t="inlineStr">
        <is>
          <t>A 46854-2020</t>
        </is>
      </c>
      <c r="B167" s="1" t="n">
        <v>44090</v>
      </c>
      <c r="C167" s="1" t="n">
        <v>45828</v>
      </c>
      <c r="D167" t="inlineStr">
        <is>
          <t>DALARNAS LÄN</t>
        </is>
      </c>
      <c r="E167" t="inlineStr">
        <is>
          <t>LEKSAND</t>
        </is>
      </c>
      <c r="G167" t="n">
        <v>1.6</v>
      </c>
      <c r="H167" t="n">
        <v>0</v>
      </c>
      <c r="I167" t="n">
        <v>0</v>
      </c>
      <c r="J167" t="n">
        <v>0</v>
      </c>
      <c r="K167" t="n">
        <v>0</v>
      </c>
      <c r="L167" t="n">
        <v>0</v>
      </c>
      <c r="M167" t="n">
        <v>0</v>
      </c>
      <c r="N167" t="n">
        <v>0</v>
      </c>
      <c r="O167" t="n">
        <v>0</v>
      </c>
      <c r="P167" t="n">
        <v>0</v>
      </c>
      <c r="Q167" t="n">
        <v>0</v>
      </c>
      <c r="R167" s="2" t="inlineStr"/>
    </row>
    <row r="168" ht="15" customHeight="1">
      <c r="A168" t="inlineStr">
        <is>
          <t>A 47004-2020</t>
        </is>
      </c>
      <c r="B168" s="1" t="n">
        <v>44091</v>
      </c>
      <c r="C168" s="1" t="n">
        <v>45828</v>
      </c>
      <c r="D168" t="inlineStr">
        <is>
          <t>DALARNAS LÄN</t>
        </is>
      </c>
      <c r="E168" t="inlineStr">
        <is>
          <t>LEKSAND</t>
        </is>
      </c>
      <c r="G168" t="n">
        <v>3.2</v>
      </c>
      <c r="H168" t="n">
        <v>0</v>
      </c>
      <c r="I168" t="n">
        <v>0</v>
      </c>
      <c r="J168" t="n">
        <v>0</v>
      </c>
      <c r="K168" t="n">
        <v>0</v>
      </c>
      <c r="L168" t="n">
        <v>0</v>
      </c>
      <c r="M168" t="n">
        <v>0</v>
      </c>
      <c r="N168" t="n">
        <v>0</v>
      </c>
      <c r="O168" t="n">
        <v>0</v>
      </c>
      <c r="P168" t="n">
        <v>0</v>
      </c>
      <c r="Q168" t="n">
        <v>0</v>
      </c>
      <c r="R168" s="2" t="inlineStr"/>
    </row>
    <row r="169" ht="15" customHeight="1">
      <c r="A169" t="inlineStr">
        <is>
          <t>A 47069-2020</t>
        </is>
      </c>
      <c r="B169" s="1" t="n">
        <v>44096</v>
      </c>
      <c r="C169" s="1" t="n">
        <v>45828</v>
      </c>
      <c r="D169" t="inlineStr">
        <is>
          <t>DALARNAS LÄN</t>
        </is>
      </c>
      <c r="E169" t="inlineStr">
        <is>
          <t>LEKSAND</t>
        </is>
      </c>
      <c r="G169" t="n">
        <v>5.5</v>
      </c>
      <c r="H169" t="n">
        <v>0</v>
      </c>
      <c r="I169" t="n">
        <v>0</v>
      </c>
      <c r="J169" t="n">
        <v>0</v>
      </c>
      <c r="K169" t="n">
        <v>0</v>
      </c>
      <c r="L169" t="n">
        <v>0</v>
      </c>
      <c r="M169" t="n">
        <v>0</v>
      </c>
      <c r="N169" t="n">
        <v>0</v>
      </c>
      <c r="O169" t="n">
        <v>0</v>
      </c>
      <c r="P169" t="n">
        <v>0</v>
      </c>
      <c r="Q169" t="n">
        <v>0</v>
      </c>
      <c r="R169" s="2" t="inlineStr"/>
    </row>
    <row r="170" ht="15" customHeight="1">
      <c r="A170" t="inlineStr">
        <is>
          <t>A 50123-2020</t>
        </is>
      </c>
      <c r="B170" s="1" t="n">
        <v>44104</v>
      </c>
      <c r="C170" s="1" t="n">
        <v>45828</v>
      </c>
      <c r="D170" t="inlineStr">
        <is>
          <t>DALARNAS LÄN</t>
        </is>
      </c>
      <c r="E170" t="inlineStr">
        <is>
          <t>LEKSAND</t>
        </is>
      </c>
      <c r="F170" t="inlineStr">
        <is>
          <t>Övriga Aktiebolag</t>
        </is>
      </c>
      <c r="G170" t="n">
        <v>2.7</v>
      </c>
      <c r="H170" t="n">
        <v>0</v>
      </c>
      <c r="I170" t="n">
        <v>0</v>
      </c>
      <c r="J170" t="n">
        <v>0</v>
      </c>
      <c r="K170" t="n">
        <v>0</v>
      </c>
      <c r="L170" t="n">
        <v>0</v>
      </c>
      <c r="M170" t="n">
        <v>0</v>
      </c>
      <c r="N170" t="n">
        <v>0</v>
      </c>
      <c r="O170" t="n">
        <v>0</v>
      </c>
      <c r="P170" t="n">
        <v>0</v>
      </c>
      <c r="Q170" t="n">
        <v>0</v>
      </c>
      <c r="R170" s="2" t="inlineStr"/>
    </row>
    <row r="171" ht="15" customHeight="1">
      <c r="A171" t="inlineStr">
        <is>
          <t>A 50102-2020</t>
        </is>
      </c>
      <c r="B171" s="1" t="n">
        <v>44104</v>
      </c>
      <c r="C171" s="1" t="n">
        <v>45828</v>
      </c>
      <c r="D171" t="inlineStr">
        <is>
          <t>DALARNAS LÄN</t>
        </is>
      </c>
      <c r="E171" t="inlineStr">
        <is>
          <t>LEKSAND</t>
        </is>
      </c>
      <c r="G171" t="n">
        <v>2.4</v>
      </c>
      <c r="H171" t="n">
        <v>0</v>
      </c>
      <c r="I171" t="n">
        <v>0</v>
      </c>
      <c r="J171" t="n">
        <v>0</v>
      </c>
      <c r="K171" t="n">
        <v>0</v>
      </c>
      <c r="L171" t="n">
        <v>0</v>
      </c>
      <c r="M171" t="n">
        <v>0</v>
      </c>
      <c r="N171" t="n">
        <v>0</v>
      </c>
      <c r="O171" t="n">
        <v>0</v>
      </c>
      <c r="P171" t="n">
        <v>0</v>
      </c>
      <c r="Q171" t="n">
        <v>0</v>
      </c>
      <c r="R171" s="2" t="inlineStr"/>
    </row>
    <row r="172" ht="15" customHeight="1">
      <c r="A172" t="inlineStr">
        <is>
          <t>A 60920-2020</t>
        </is>
      </c>
      <c r="B172" s="1" t="n">
        <v>44153</v>
      </c>
      <c r="C172" s="1" t="n">
        <v>45828</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60963-2020</t>
        </is>
      </c>
      <c r="B173" s="1" t="n">
        <v>44154</v>
      </c>
      <c r="C173" s="1" t="n">
        <v>45828</v>
      </c>
      <c r="D173" t="inlineStr">
        <is>
          <t>DALARNAS LÄN</t>
        </is>
      </c>
      <c r="E173" t="inlineStr">
        <is>
          <t>LEKSAND</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62118-2020</t>
        </is>
      </c>
      <c r="B174" s="1" t="n">
        <v>44159</v>
      </c>
      <c r="C174" s="1" t="n">
        <v>45828</v>
      </c>
      <c r="D174" t="inlineStr">
        <is>
          <t>DALARNAS LÄN</t>
        </is>
      </c>
      <c r="E174" t="inlineStr">
        <is>
          <t>LEKSAND</t>
        </is>
      </c>
      <c r="F174" t="inlineStr">
        <is>
          <t>Bergvik skog väst AB</t>
        </is>
      </c>
      <c r="G174" t="n">
        <v>3.9</v>
      </c>
      <c r="H174" t="n">
        <v>0</v>
      </c>
      <c r="I174" t="n">
        <v>0</v>
      </c>
      <c r="J174" t="n">
        <v>0</v>
      </c>
      <c r="K174" t="n">
        <v>0</v>
      </c>
      <c r="L174" t="n">
        <v>0</v>
      </c>
      <c r="M174" t="n">
        <v>0</v>
      </c>
      <c r="N174" t="n">
        <v>0</v>
      </c>
      <c r="O174" t="n">
        <v>0</v>
      </c>
      <c r="P174" t="n">
        <v>0</v>
      </c>
      <c r="Q174" t="n">
        <v>0</v>
      </c>
      <c r="R174" s="2" t="inlineStr"/>
    </row>
    <row r="175" ht="15" customHeight="1">
      <c r="A175" t="inlineStr">
        <is>
          <t>A 63481-2020</t>
        </is>
      </c>
      <c r="B175" s="1" t="n">
        <v>44161</v>
      </c>
      <c r="C175" s="1" t="n">
        <v>45828</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64109-2020</t>
        </is>
      </c>
      <c r="B176" s="1" t="n">
        <v>44167</v>
      </c>
      <c r="C176" s="1" t="n">
        <v>45828</v>
      </c>
      <c r="D176" t="inlineStr">
        <is>
          <t>DALARNAS LÄN</t>
        </is>
      </c>
      <c r="E176" t="inlineStr">
        <is>
          <t>LEKSAND</t>
        </is>
      </c>
      <c r="G176" t="n">
        <v>2.7</v>
      </c>
      <c r="H176" t="n">
        <v>0</v>
      </c>
      <c r="I176" t="n">
        <v>0</v>
      </c>
      <c r="J176" t="n">
        <v>0</v>
      </c>
      <c r="K176" t="n">
        <v>0</v>
      </c>
      <c r="L176" t="n">
        <v>0</v>
      </c>
      <c r="M176" t="n">
        <v>0</v>
      </c>
      <c r="N176" t="n">
        <v>0</v>
      </c>
      <c r="O176" t="n">
        <v>0</v>
      </c>
      <c r="P176" t="n">
        <v>0</v>
      </c>
      <c r="Q176" t="n">
        <v>0</v>
      </c>
      <c r="R176" s="2" t="inlineStr"/>
    </row>
    <row r="177" ht="15" customHeight="1">
      <c r="A177" t="inlineStr">
        <is>
          <t>A 64449-2020</t>
        </is>
      </c>
      <c r="B177" s="1" t="n">
        <v>44168</v>
      </c>
      <c r="C177" s="1" t="n">
        <v>45828</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64876-2020</t>
        </is>
      </c>
      <c r="B178" s="1" t="n">
        <v>44171</v>
      </c>
      <c r="C178" s="1" t="n">
        <v>45828</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65058-2020</t>
        </is>
      </c>
      <c r="B179" s="1" t="n">
        <v>44172</v>
      </c>
      <c r="C179" s="1" t="n">
        <v>45828</v>
      </c>
      <c r="D179" t="inlineStr">
        <is>
          <t>DALARNAS LÄN</t>
        </is>
      </c>
      <c r="E179" t="inlineStr">
        <is>
          <t>LEKSAND</t>
        </is>
      </c>
      <c r="G179" t="n">
        <v>1</v>
      </c>
      <c r="H179" t="n">
        <v>0</v>
      </c>
      <c r="I179" t="n">
        <v>0</v>
      </c>
      <c r="J179" t="n">
        <v>0</v>
      </c>
      <c r="K179" t="n">
        <v>0</v>
      </c>
      <c r="L179" t="n">
        <v>0</v>
      </c>
      <c r="M179" t="n">
        <v>0</v>
      </c>
      <c r="N179" t="n">
        <v>0</v>
      </c>
      <c r="O179" t="n">
        <v>0</v>
      </c>
      <c r="P179" t="n">
        <v>0</v>
      </c>
      <c r="Q179" t="n">
        <v>0</v>
      </c>
      <c r="R179" s="2" t="inlineStr"/>
    </row>
    <row r="180" ht="15" customHeight="1">
      <c r="A180" t="inlineStr">
        <is>
          <t>A 66169-2020</t>
        </is>
      </c>
      <c r="B180" s="1" t="n">
        <v>44174</v>
      </c>
      <c r="C180" s="1" t="n">
        <v>45828</v>
      </c>
      <c r="D180" t="inlineStr">
        <is>
          <t>DALARNAS LÄN</t>
        </is>
      </c>
      <c r="E180" t="inlineStr">
        <is>
          <t>LEKSAND</t>
        </is>
      </c>
      <c r="G180" t="n">
        <v>5.3</v>
      </c>
      <c r="H180" t="n">
        <v>0</v>
      </c>
      <c r="I180" t="n">
        <v>0</v>
      </c>
      <c r="J180" t="n">
        <v>0</v>
      </c>
      <c r="K180" t="n">
        <v>0</v>
      </c>
      <c r="L180" t="n">
        <v>0</v>
      </c>
      <c r="M180" t="n">
        <v>0</v>
      </c>
      <c r="N180" t="n">
        <v>0</v>
      </c>
      <c r="O180" t="n">
        <v>0</v>
      </c>
      <c r="P180" t="n">
        <v>0</v>
      </c>
      <c r="Q180" t="n">
        <v>0</v>
      </c>
      <c r="R180" s="2" t="inlineStr"/>
    </row>
    <row r="181" ht="15" customHeight="1">
      <c r="A181" t="inlineStr">
        <is>
          <t>A 67100-2020</t>
        </is>
      </c>
      <c r="B181" s="1" t="n">
        <v>44179</v>
      </c>
      <c r="C181" s="1" t="n">
        <v>45828</v>
      </c>
      <c r="D181" t="inlineStr">
        <is>
          <t>DALARNAS LÄN</t>
        </is>
      </c>
      <c r="E181" t="inlineStr">
        <is>
          <t>LEKSAND</t>
        </is>
      </c>
      <c r="G181" t="n">
        <v>1.9</v>
      </c>
      <c r="H181" t="n">
        <v>0</v>
      </c>
      <c r="I181" t="n">
        <v>0</v>
      </c>
      <c r="J181" t="n">
        <v>0</v>
      </c>
      <c r="K181" t="n">
        <v>0</v>
      </c>
      <c r="L181" t="n">
        <v>0</v>
      </c>
      <c r="M181" t="n">
        <v>0</v>
      </c>
      <c r="N181" t="n">
        <v>0</v>
      </c>
      <c r="O181" t="n">
        <v>0</v>
      </c>
      <c r="P181" t="n">
        <v>0</v>
      </c>
      <c r="Q181" t="n">
        <v>0</v>
      </c>
      <c r="R181" s="2" t="inlineStr"/>
    </row>
    <row r="182" ht="15" customHeight="1">
      <c r="A182" t="inlineStr">
        <is>
          <t>A 67307-2020</t>
        </is>
      </c>
      <c r="B182" s="1" t="n">
        <v>44181</v>
      </c>
      <c r="C182" s="1" t="n">
        <v>45828</v>
      </c>
      <c r="D182" t="inlineStr">
        <is>
          <t>DALARNAS LÄN</t>
        </is>
      </c>
      <c r="E182" t="inlineStr">
        <is>
          <t>LEKSAND</t>
        </is>
      </c>
      <c r="G182" t="n">
        <v>5.9</v>
      </c>
      <c r="H182" t="n">
        <v>0</v>
      </c>
      <c r="I182" t="n">
        <v>0</v>
      </c>
      <c r="J182" t="n">
        <v>0</v>
      </c>
      <c r="K182" t="n">
        <v>0</v>
      </c>
      <c r="L182" t="n">
        <v>0</v>
      </c>
      <c r="M182" t="n">
        <v>0</v>
      </c>
      <c r="N182" t="n">
        <v>0</v>
      </c>
      <c r="O182" t="n">
        <v>0</v>
      </c>
      <c r="P182" t="n">
        <v>0</v>
      </c>
      <c r="Q182" t="n">
        <v>0</v>
      </c>
      <c r="R182" s="2" t="inlineStr"/>
    </row>
    <row r="183" ht="15" customHeight="1">
      <c r="A183" t="inlineStr">
        <is>
          <t>A 68058-2020</t>
        </is>
      </c>
      <c r="B183" s="1" t="n">
        <v>44183</v>
      </c>
      <c r="C183" s="1" t="n">
        <v>45828</v>
      </c>
      <c r="D183" t="inlineStr">
        <is>
          <t>DALARNAS LÄN</t>
        </is>
      </c>
      <c r="E183" t="inlineStr">
        <is>
          <t>LEKSAND</t>
        </is>
      </c>
      <c r="F183" t="inlineStr">
        <is>
          <t>Bergvik skog väst AB</t>
        </is>
      </c>
      <c r="G183" t="n">
        <v>4.9</v>
      </c>
      <c r="H183" t="n">
        <v>0</v>
      </c>
      <c r="I183" t="n">
        <v>0</v>
      </c>
      <c r="J183" t="n">
        <v>0</v>
      </c>
      <c r="K183" t="n">
        <v>0</v>
      </c>
      <c r="L183" t="n">
        <v>0</v>
      </c>
      <c r="M183" t="n">
        <v>0</v>
      </c>
      <c r="N183" t="n">
        <v>0</v>
      </c>
      <c r="O183" t="n">
        <v>0</v>
      </c>
      <c r="P183" t="n">
        <v>0</v>
      </c>
      <c r="Q183" t="n">
        <v>0</v>
      </c>
      <c r="R183" s="2" t="inlineStr"/>
    </row>
    <row r="184" ht="15" customHeight="1">
      <c r="A184" t="inlineStr">
        <is>
          <t>A 776-2021</t>
        </is>
      </c>
      <c r="B184" s="1" t="n">
        <v>44203</v>
      </c>
      <c r="C184" s="1" t="n">
        <v>45828</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1078-2021</t>
        </is>
      </c>
      <c r="B185" s="1" t="n">
        <v>44207</v>
      </c>
      <c r="C185" s="1" t="n">
        <v>45828</v>
      </c>
      <c r="D185" t="inlineStr">
        <is>
          <t>DALARNAS LÄN</t>
        </is>
      </c>
      <c r="E185" t="inlineStr">
        <is>
          <t>LEKSAND</t>
        </is>
      </c>
      <c r="G185" t="n">
        <v>4.9</v>
      </c>
      <c r="H185" t="n">
        <v>0</v>
      </c>
      <c r="I185" t="n">
        <v>0</v>
      </c>
      <c r="J185" t="n">
        <v>0</v>
      </c>
      <c r="K185" t="n">
        <v>0</v>
      </c>
      <c r="L185" t="n">
        <v>0</v>
      </c>
      <c r="M185" t="n">
        <v>0</v>
      </c>
      <c r="N185" t="n">
        <v>0</v>
      </c>
      <c r="O185" t="n">
        <v>0</v>
      </c>
      <c r="P185" t="n">
        <v>0</v>
      </c>
      <c r="Q185" t="n">
        <v>0</v>
      </c>
      <c r="R185" s="2" t="inlineStr"/>
    </row>
    <row r="186" ht="15" customHeight="1">
      <c r="A186" t="inlineStr">
        <is>
          <t>A 2311-2021</t>
        </is>
      </c>
      <c r="B186" s="1" t="n">
        <v>44213</v>
      </c>
      <c r="C186" s="1" t="n">
        <v>45828</v>
      </c>
      <c r="D186" t="inlineStr">
        <is>
          <t>DALARNAS LÄN</t>
        </is>
      </c>
      <c r="E186" t="inlineStr">
        <is>
          <t>LEKSAND</t>
        </is>
      </c>
      <c r="G186" t="n">
        <v>1.5</v>
      </c>
      <c r="H186" t="n">
        <v>0</v>
      </c>
      <c r="I186" t="n">
        <v>0</v>
      </c>
      <c r="J186" t="n">
        <v>0</v>
      </c>
      <c r="K186" t="n">
        <v>0</v>
      </c>
      <c r="L186" t="n">
        <v>0</v>
      </c>
      <c r="M186" t="n">
        <v>0</v>
      </c>
      <c r="N186" t="n">
        <v>0</v>
      </c>
      <c r="O186" t="n">
        <v>0</v>
      </c>
      <c r="P186" t="n">
        <v>0</v>
      </c>
      <c r="Q186" t="n">
        <v>0</v>
      </c>
      <c r="R186" s="2" t="inlineStr"/>
    </row>
    <row r="187" ht="15" customHeight="1">
      <c r="A187" t="inlineStr">
        <is>
          <t>A 9131-2021</t>
        </is>
      </c>
      <c r="B187" s="1" t="n">
        <v>44249</v>
      </c>
      <c r="C187" s="1" t="n">
        <v>45828</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9133-2021</t>
        </is>
      </c>
      <c r="B188" s="1" t="n">
        <v>44249</v>
      </c>
      <c r="C188" s="1" t="n">
        <v>45828</v>
      </c>
      <c r="D188" t="inlineStr">
        <is>
          <t>DALARNAS LÄN</t>
        </is>
      </c>
      <c r="E188" t="inlineStr">
        <is>
          <t>LEKSAND</t>
        </is>
      </c>
      <c r="G188" t="n">
        <v>2.5</v>
      </c>
      <c r="H188" t="n">
        <v>0</v>
      </c>
      <c r="I188" t="n">
        <v>0</v>
      </c>
      <c r="J188" t="n">
        <v>0</v>
      </c>
      <c r="K188" t="n">
        <v>0</v>
      </c>
      <c r="L188" t="n">
        <v>0</v>
      </c>
      <c r="M188" t="n">
        <v>0</v>
      </c>
      <c r="N188" t="n">
        <v>0</v>
      </c>
      <c r="O188" t="n">
        <v>0</v>
      </c>
      <c r="P188" t="n">
        <v>0</v>
      </c>
      <c r="Q188" t="n">
        <v>0</v>
      </c>
      <c r="R188" s="2" t="inlineStr"/>
    </row>
    <row r="189" ht="15" customHeight="1">
      <c r="A189" t="inlineStr">
        <is>
          <t>A 13705-2021</t>
        </is>
      </c>
      <c r="B189" s="1" t="n">
        <v>44274</v>
      </c>
      <c r="C189" s="1" t="n">
        <v>45828</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16231-2021</t>
        </is>
      </c>
      <c r="B190" s="1" t="n">
        <v>44292</v>
      </c>
      <c r="C190" s="1" t="n">
        <v>45828</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17615-2021</t>
        </is>
      </c>
      <c r="B191" s="1" t="n">
        <v>44299</v>
      </c>
      <c r="C191" s="1" t="n">
        <v>45828</v>
      </c>
      <c r="D191" t="inlineStr">
        <is>
          <t>DALARNAS LÄN</t>
        </is>
      </c>
      <c r="E191" t="inlineStr">
        <is>
          <t>LEKSAND</t>
        </is>
      </c>
      <c r="G191" t="n">
        <v>0.6</v>
      </c>
      <c r="H191" t="n">
        <v>0</v>
      </c>
      <c r="I191" t="n">
        <v>0</v>
      </c>
      <c r="J191" t="n">
        <v>0</v>
      </c>
      <c r="K191" t="n">
        <v>0</v>
      </c>
      <c r="L191" t="n">
        <v>0</v>
      </c>
      <c r="M191" t="n">
        <v>0</v>
      </c>
      <c r="N191" t="n">
        <v>0</v>
      </c>
      <c r="O191" t="n">
        <v>0</v>
      </c>
      <c r="P191" t="n">
        <v>0</v>
      </c>
      <c r="Q191" t="n">
        <v>0</v>
      </c>
      <c r="R191" s="2" t="inlineStr"/>
    </row>
    <row r="192" ht="15" customHeight="1">
      <c r="A192" t="inlineStr">
        <is>
          <t>A 18267-2021</t>
        </is>
      </c>
      <c r="B192" s="1" t="n">
        <v>44305</v>
      </c>
      <c r="C192" s="1" t="n">
        <v>45828</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18706-2021</t>
        </is>
      </c>
      <c r="B193" s="1" t="n">
        <v>44307</v>
      </c>
      <c r="C193" s="1" t="n">
        <v>45828</v>
      </c>
      <c r="D193" t="inlineStr">
        <is>
          <t>DALARNAS LÄN</t>
        </is>
      </c>
      <c r="E193" t="inlineStr">
        <is>
          <t>LEKSAND</t>
        </is>
      </c>
      <c r="G193" t="n">
        <v>3.4</v>
      </c>
      <c r="H193" t="n">
        <v>0</v>
      </c>
      <c r="I193" t="n">
        <v>0</v>
      </c>
      <c r="J193" t="n">
        <v>0</v>
      </c>
      <c r="K193" t="n">
        <v>0</v>
      </c>
      <c r="L193" t="n">
        <v>0</v>
      </c>
      <c r="M193" t="n">
        <v>0</v>
      </c>
      <c r="N193" t="n">
        <v>0</v>
      </c>
      <c r="O193" t="n">
        <v>0</v>
      </c>
      <c r="P193" t="n">
        <v>0</v>
      </c>
      <c r="Q193" t="n">
        <v>0</v>
      </c>
      <c r="R193" s="2" t="inlineStr"/>
    </row>
    <row r="194" ht="15" customHeight="1">
      <c r="A194" t="inlineStr">
        <is>
          <t>A 19677-2021</t>
        </is>
      </c>
      <c r="B194" s="1" t="n">
        <v>44312</v>
      </c>
      <c r="C194" s="1" t="n">
        <v>45828</v>
      </c>
      <c r="D194" t="inlineStr">
        <is>
          <t>DALARNAS LÄN</t>
        </is>
      </c>
      <c r="E194" t="inlineStr">
        <is>
          <t>LEKSAND</t>
        </is>
      </c>
      <c r="F194" t="inlineStr">
        <is>
          <t>Bergvik skog väst AB</t>
        </is>
      </c>
      <c r="G194" t="n">
        <v>3.1</v>
      </c>
      <c r="H194" t="n">
        <v>0</v>
      </c>
      <c r="I194" t="n">
        <v>0</v>
      </c>
      <c r="J194" t="n">
        <v>0</v>
      </c>
      <c r="K194" t="n">
        <v>0</v>
      </c>
      <c r="L194" t="n">
        <v>0</v>
      </c>
      <c r="M194" t="n">
        <v>0</v>
      </c>
      <c r="N194" t="n">
        <v>0</v>
      </c>
      <c r="O194" t="n">
        <v>0</v>
      </c>
      <c r="P194" t="n">
        <v>0</v>
      </c>
      <c r="Q194" t="n">
        <v>0</v>
      </c>
      <c r="R194" s="2" t="inlineStr"/>
    </row>
    <row r="195" ht="15" customHeight="1">
      <c r="A195" t="inlineStr">
        <is>
          <t>A 21132-2021</t>
        </is>
      </c>
      <c r="B195" s="1" t="n">
        <v>44319</v>
      </c>
      <c r="C195" s="1" t="n">
        <v>45828</v>
      </c>
      <c r="D195" t="inlineStr">
        <is>
          <t>DALARNAS LÄN</t>
        </is>
      </c>
      <c r="E195" t="inlineStr">
        <is>
          <t>LEKSAND</t>
        </is>
      </c>
      <c r="G195" t="n">
        <v>6.8</v>
      </c>
      <c r="H195" t="n">
        <v>0</v>
      </c>
      <c r="I195" t="n">
        <v>0</v>
      </c>
      <c r="J195" t="n">
        <v>0</v>
      </c>
      <c r="K195" t="n">
        <v>0</v>
      </c>
      <c r="L195" t="n">
        <v>0</v>
      </c>
      <c r="M195" t="n">
        <v>0</v>
      </c>
      <c r="N195" t="n">
        <v>0</v>
      </c>
      <c r="O195" t="n">
        <v>0</v>
      </c>
      <c r="P195" t="n">
        <v>0</v>
      </c>
      <c r="Q195" t="n">
        <v>0</v>
      </c>
      <c r="R195" s="2" t="inlineStr"/>
    </row>
    <row r="196" ht="15" customHeight="1">
      <c r="A196" t="inlineStr">
        <is>
          <t>A 21968-2021</t>
        </is>
      </c>
      <c r="B196" s="1" t="n">
        <v>44323</v>
      </c>
      <c r="C196" s="1" t="n">
        <v>45828</v>
      </c>
      <c r="D196" t="inlineStr">
        <is>
          <t>DALARNAS LÄN</t>
        </is>
      </c>
      <c r="E196" t="inlineStr">
        <is>
          <t>LEKSAND</t>
        </is>
      </c>
      <c r="G196" t="n">
        <v>1.4</v>
      </c>
      <c r="H196" t="n">
        <v>0</v>
      </c>
      <c r="I196" t="n">
        <v>0</v>
      </c>
      <c r="J196" t="n">
        <v>0</v>
      </c>
      <c r="K196" t="n">
        <v>0</v>
      </c>
      <c r="L196" t="n">
        <v>0</v>
      </c>
      <c r="M196" t="n">
        <v>0</v>
      </c>
      <c r="N196" t="n">
        <v>0</v>
      </c>
      <c r="O196" t="n">
        <v>0</v>
      </c>
      <c r="P196" t="n">
        <v>0</v>
      </c>
      <c r="Q196" t="n">
        <v>0</v>
      </c>
      <c r="R196" s="2" t="inlineStr"/>
    </row>
    <row r="197" ht="15" customHeight="1">
      <c r="A197" t="inlineStr">
        <is>
          <t>A 21969-2021</t>
        </is>
      </c>
      <c r="B197" s="1" t="n">
        <v>44323</v>
      </c>
      <c r="C197" s="1" t="n">
        <v>45828</v>
      </c>
      <c r="D197" t="inlineStr">
        <is>
          <t>DALARNAS LÄN</t>
        </is>
      </c>
      <c r="E197" t="inlineStr">
        <is>
          <t>LEKSAND</t>
        </is>
      </c>
      <c r="G197" t="n">
        <v>3.8</v>
      </c>
      <c r="H197" t="n">
        <v>0</v>
      </c>
      <c r="I197" t="n">
        <v>0</v>
      </c>
      <c r="J197" t="n">
        <v>0</v>
      </c>
      <c r="K197" t="n">
        <v>0</v>
      </c>
      <c r="L197" t="n">
        <v>0</v>
      </c>
      <c r="M197" t="n">
        <v>0</v>
      </c>
      <c r="N197" t="n">
        <v>0</v>
      </c>
      <c r="O197" t="n">
        <v>0</v>
      </c>
      <c r="P197" t="n">
        <v>0</v>
      </c>
      <c r="Q197" t="n">
        <v>0</v>
      </c>
      <c r="R197" s="2" t="inlineStr"/>
    </row>
    <row r="198" ht="15" customHeight="1">
      <c r="A198" t="inlineStr">
        <is>
          <t>A 21965-2021</t>
        </is>
      </c>
      <c r="B198" s="1" t="n">
        <v>44323</v>
      </c>
      <c r="C198" s="1" t="n">
        <v>45828</v>
      </c>
      <c r="D198" t="inlineStr">
        <is>
          <t>DALARNAS LÄN</t>
        </is>
      </c>
      <c r="E198" t="inlineStr">
        <is>
          <t>LEKSAND</t>
        </is>
      </c>
      <c r="G198" t="n">
        <v>0.5</v>
      </c>
      <c r="H198" t="n">
        <v>0</v>
      </c>
      <c r="I198" t="n">
        <v>0</v>
      </c>
      <c r="J198" t="n">
        <v>0</v>
      </c>
      <c r="K198" t="n">
        <v>0</v>
      </c>
      <c r="L198" t="n">
        <v>0</v>
      </c>
      <c r="M198" t="n">
        <v>0</v>
      </c>
      <c r="N198" t="n">
        <v>0</v>
      </c>
      <c r="O198" t="n">
        <v>0</v>
      </c>
      <c r="P198" t="n">
        <v>0</v>
      </c>
      <c r="Q198" t="n">
        <v>0</v>
      </c>
      <c r="R198" s="2" t="inlineStr"/>
    </row>
    <row r="199" ht="15" customHeight="1">
      <c r="A199" t="inlineStr">
        <is>
          <t>A 22431-2021</t>
        </is>
      </c>
      <c r="B199" s="1" t="n">
        <v>44326</v>
      </c>
      <c r="C199" s="1" t="n">
        <v>45828</v>
      </c>
      <c r="D199" t="inlineStr">
        <is>
          <t>DALARNAS LÄN</t>
        </is>
      </c>
      <c r="E199" t="inlineStr">
        <is>
          <t>LEKSAND</t>
        </is>
      </c>
      <c r="G199" t="n">
        <v>1.5</v>
      </c>
      <c r="H199" t="n">
        <v>0</v>
      </c>
      <c r="I199" t="n">
        <v>0</v>
      </c>
      <c r="J199" t="n">
        <v>0</v>
      </c>
      <c r="K199" t="n">
        <v>0</v>
      </c>
      <c r="L199" t="n">
        <v>0</v>
      </c>
      <c r="M199" t="n">
        <v>0</v>
      </c>
      <c r="N199" t="n">
        <v>0</v>
      </c>
      <c r="O199" t="n">
        <v>0</v>
      </c>
      <c r="P199" t="n">
        <v>0</v>
      </c>
      <c r="Q199" t="n">
        <v>0</v>
      </c>
      <c r="R199" s="2" t="inlineStr"/>
    </row>
    <row r="200" ht="15" customHeight="1">
      <c r="A200" t="inlineStr">
        <is>
          <t>A 22684-2021</t>
        </is>
      </c>
      <c r="B200" s="1" t="n">
        <v>44327</v>
      </c>
      <c r="C200" s="1" t="n">
        <v>45828</v>
      </c>
      <c r="D200" t="inlineStr">
        <is>
          <t>DALARNAS LÄN</t>
        </is>
      </c>
      <c r="E200" t="inlineStr">
        <is>
          <t>LEKSAND</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22999-2021</t>
        </is>
      </c>
      <c r="B201" s="1" t="n">
        <v>44328</v>
      </c>
      <c r="C201" s="1" t="n">
        <v>45828</v>
      </c>
      <c r="D201" t="inlineStr">
        <is>
          <t>DALARNAS LÄN</t>
        </is>
      </c>
      <c r="E201" t="inlineStr">
        <is>
          <t>LEKSAND</t>
        </is>
      </c>
      <c r="F201" t="inlineStr">
        <is>
          <t>Bergvik skog väst AB</t>
        </is>
      </c>
      <c r="G201" t="n">
        <v>8.5</v>
      </c>
      <c r="H201" t="n">
        <v>0</v>
      </c>
      <c r="I201" t="n">
        <v>0</v>
      </c>
      <c r="J201" t="n">
        <v>0</v>
      </c>
      <c r="K201" t="n">
        <v>0</v>
      </c>
      <c r="L201" t="n">
        <v>0</v>
      </c>
      <c r="M201" t="n">
        <v>0</v>
      </c>
      <c r="N201" t="n">
        <v>0</v>
      </c>
      <c r="O201" t="n">
        <v>0</v>
      </c>
      <c r="P201" t="n">
        <v>0</v>
      </c>
      <c r="Q201" t="n">
        <v>0</v>
      </c>
      <c r="R201" s="2" t="inlineStr"/>
    </row>
    <row r="202" ht="15" customHeight="1">
      <c r="A202" t="inlineStr">
        <is>
          <t>A 23824-2021</t>
        </is>
      </c>
      <c r="B202" s="1" t="n">
        <v>44335</v>
      </c>
      <c r="C202" s="1" t="n">
        <v>45828</v>
      </c>
      <c r="D202" t="inlineStr">
        <is>
          <t>DALARNAS LÄN</t>
        </is>
      </c>
      <c r="E202" t="inlineStr">
        <is>
          <t>LEKSAND</t>
        </is>
      </c>
      <c r="G202" t="n">
        <v>0.9</v>
      </c>
      <c r="H202" t="n">
        <v>0</v>
      </c>
      <c r="I202" t="n">
        <v>0</v>
      </c>
      <c r="J202" t="n">
        <v>0</v>
      </c>
      <c r="K202" t="n">
        <v>0</v>
      </c>
      <c r="L202" t="n">
        <v>0</v>
      </c>
      <c r="M202" t="n">
        <v>0</v>
      </c>
      <c r="N202" t="n">
        <v>0</v>
      </c>
      <c r="O202" t="n">
        <v>0</v>
      </c>
      <c r="P202" t="n">
        <v>0</v>
      </c>
      <c r="Q202" t="n">
        <v>0</v>
      </c>
      <c r="R202" s="2" t="inlineStr"/>
    </row>
    <row r="203" ht="15" customHeight="1">
      <c r="A203" t="inlineStr">
        <is>
          <t>A 24142-2021</t>
        </is>
      </c>
      <c r="B203" s="1" t="n">
        <v>44336</v>
      </c>
      <c r="C203" s="1" t="n">
        <v>45828</v>
      </c>
      <c r="D203" t="inlineStr">
        <is>
          <t>DALARNAS LÄN</t>
        </is>
      </c>
      <c r="E203" t="inlineStr">
        <is>
          <t>LEKSAND</t>
        </is>
      </c>
      <c r="F203" t="inlineStr">
        <is>
          <t>Bergvik skog väst AB</t>
        </is>
      </c>
      <c r="G203" t="n">
        <v>18.9</v>
      </c>
      <c r="H203" t="n">
        <v>0</v>
      </c>
      <c r="I203" t="n">
        <v>0</v>
      </c>
      <c r="J203" t="n">
        <v>0</v>
      </c>
      <c r="K203" t="n">
        <v>0</v>
      </c>
      <c r="L203" t="n">
        <v>0</v>
      </c>
      <c r="M203" t="n">
        <v>0</v>
      </c>
      <c r="N203" t="n">
        <v>0</v>
      </c>
      <c r="O203" t="n">
        <v>0</v>
      </c>
      <c r="P203" t="n">
        <v>0</v>
      </c>
      <c r="Q203" t="n">
        <v>0</v>
      </c>
      <c r="R203" s="2" t="inlineStr"/>
    </row>
    <row r="204" ht="15" customHeight="1">
      <c r="A204" t="inlineStr">
        <is>
          <t>A 24479-2021</t>
        </is>
      </c>
      <c r="B204" s="1" t="n">
        <v>44337</v>
      </c>
      <c r="C204" s="1" t="n">
        <v>45828</v>
      </c>
      <c r="D204" t="inlineStr">
        <is>
          <t>DALARNAS LÄN</t>
        </is>
      </c>
      <c r="E204" t="inlineStr">
        <is>
          <t>LEKSAND</t>
        </is>
      </c>
      <c r="F204" t="inlineStr">
        <is>
          <t>Bergvik skog väst AB</t>
        </is>
      </c>
      <c r="G204" t="n">
        <v>6.6</v>
      </c>
      <c r="H204" t="n">
        <v>0</v>
      </c>
      <c r="I204" t="n">
        <v>0</v>
      </c>
      <c r="J204" t="n">
        <v>0</v>
      </c>
      <c r="K204" t="n">
        <v>0</v>
      </c>
      <c r="L204" t="n">
        <v>0</v>
      </c>
      <c r="M204" t="n">
        <v>0</v>
      </c>
      <c r="N204" t="n">
        <v>0</v>
      </c>
      <c r="O204" t="n">
        <v>0</v>
      </c>
      <c r="P204" t="n">
        <v>0</v>
      </c>
      <c r="Q204" t="n">
        <v>0</v>
      </c>
      <c r="R204" s="2" t="inlineStr"/>
    </row>
    <row r="205" ht="15" customHeight="1">
      <c r="A205" t="inlineStr">
        <is>
          <t>A 26738-2021</t>
        </is>
      </c>
      <c r="B205" s="1" t="n">
        <v>44349</v>
      </c>
      <c r="C205" s="1" t="n">
        <v>45828</v>
      </c>
      <c r="D205" t="inlineStr">
        <is>
          <t>DALARNAS LÄN</t>
        </is>
      </c>
      <c r="E205" t="inlineStr">
        <is>
          <t>LEKSAND</t>
        </is>
      </c>
      <c r="G205" t="n">
        <v>0.8</v>
      </c>
      <c r="H205" t="n">
        <v>0</v>
      </c>
      <c r="I205" t="n">
        <v>0</v>
      </c>
      <c r="J205" t="n">
        <v>0</v>
      </c>
      <c r="K205" t="n">
        <v>0</v>
      </c>
      <c r="L205" t="n">
        <v>0</v>
      </c>
      <c r="M205" t="n">
        <v>0</v>
      </c>
      <c r="N205" t="n">
        <v>0</v>
      </c>
      <c r="O205" t="n">
        <v>0</v>
      </c>
      <c r="P205" t="n">
        <v>0</v>
      </c>
      <c r="Q205" t="n">
        <v>0</v>
      </c>
      <c r="R205" s="2" t="inlineStr"/>
    </row>
    <row r="206" ht="15" customHeight="1">
      <c r="A206" t="inlineStr">
        <is>
          <t>A 27154-2021</t>
        </is>
      </c>
      <c r="B206" s="1" t="n">
        <v>44350</v>
      </c>
      <c r="C206" s="1" t="n">
        <v>45828</v>
      </c>
      <c r="D206" t="inlineStr">
        <is>
          <t>DALARNAS LÄN</t>
        </is>
      </c>
      <c r="E206" t="inlineStr">
        <is>
          <t>LEKSAND</t>
        </is>
      </c>
      <c r="G206" t="n">
        <v>0.7</v>
      </c>
      <c r="H206" t="n">
        <v>0</v>
      </c>
      <c r="I206" t="n">
        <v>0</v>
      </c>
      <c r="J206" t="n">
        <v>0</v>
      </c>
      <c r="K206" t="n">
        <v>0</v>
      </c>
      <c r="L206" t="n">
        <v>0</v>
      </c>
      <c r="M206" t="n">
        <v>0</v>
      </c>
      <c r="N206" t="n">
        <v>0</v>
      </c>
      <c r="O206" t="n">
        <v>0</v>
      </c>
      <c r="P206" t="n">
        <v>0</v>
      </c>
      <c r="Q206" t="n">
        <v>0</v>
      </c>
      <c r="R206" s="2" t="inlineStr"/>
    </row>
    <row r="207" ht="15" customHeight="1">
      <c r="A207" t="inlineStr">
        <is>
          <t>A 27317-2021</t>
        </is>
      </c>
      <c r="B207" s="1" t="n">
        <v>44351</v>
      </c>
      <c r="C207" s="1" t="n">
        <v>45828</v>
      </c>
      <c r="D207" t="inlineStr">
        <is>
          <t>DALARNAS LÄN</t>
        </is>
      </c>
      <c r="E207" t="inlineStr">
        <is>
          <t>LEKSAND</t>
        </is>
      </c>
      <c r="G207" t="n">
        <v>1</v>
      </c>
      <c r="H207" t="n">
        <v>0</v>
      </c>
      <c r="I207" t="n">
        <v>0</v>
      </c>
      <c r="J207" t="n">
        <v>0</v>
      </c>
      <c r="K207" t="n">
        <v>0</v>
      </c>
      <c r="L207" t="n">
        <v>0</v>
      </c>
      <c r="M207" t="n">
        <v>0</v>
      </c>
      <c r="N207" t="n">
        <v>0</v>
      </c>
      <c r="O207" t="n">
        <v>0</v>
      </c>
      <c r="P207" t="n">
        <v>0</v>
      </c>
      <c r="Q207" t="n">
        <v>0</v>
      </c>
      <c r="R207" s="2" t="inlineStr"/>
    </row>
    <row r="208" ht="15" customHeight="1">
      <c r="A208" t="inlineStr">
        <is>
          <t>A 32152-2021</t>
        </is>
      </c>
      <c r="B208" s="1" t="n">
        <v>44371</v>
      </c>
      <c r="C208" s="1" t="n">
        <v>45828</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32635-2021</t>
        </is>
      </c>
      <c r="B209" s="1" t="n">
        <v>44374</v>
      </c>
      <c r="C209" s="1" t="n">
        <v>45828</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33072-2021</t>
        </is>
      </c>
      <c r="B210" s="1" t="n">
        <v>44375</v>
      </c>
      <c r="C210" s="1" t="n">
        <v>45828</v>
      </c>
      <c r="D210" t="inlineStr">
        <is>
          <t>DALARNAS LÄN</t>
        </is>
      </c>
      <c r="E210" t="inlineStr">
        <is>
          <t>LEKSAND</t>
        </is>
      </c>
      <c r="G210" t="n">
        <v>1.2</v>
      </c>
      <c r="H210" t="n">
        <v>0</v>
      </c>
      <c r="I210" t="n">
        <v>0</v>
      </c>
      <c r="J210" t="n">
        <v>0</v>
      </c>
      <c r="K210" t="n">
        <v>0</v>
      </c>
      <c r="L210" t="n">
        <v>0</v>
      </c>
      <c r="M210" t="n">
        <v>0</v>
      </c>
      <c r="N210" t="n">
        <v>0</v>
      </c>
      <c r="O210" t="n">
        <v>0</v>
      </c>
      <c r="P210" t="n">
        <v>0</v>
      </c>
      <c r="Q210" t="n">
        <v>0</v>
      </c>
      <c r="R210" s="2" t="inlineStr"/>
    </row>
    <row r="211" ht="15" customHeight="1">
      <c r="A211" t="inlineStr">
        <is>
          <t>A 33170-2021</t>
        </is>
      </c>
      <c r="B211" s="1" t="n">
        <v>44376</v>
      </c>
      <c r="C211" s="1" t="n">
        <v>45828</v>
      </c>
      <c r="D211" t="inlineStr">
        <is>
          <t>DALARNAS LÄN</t>
        </is>
      </c>
      <c r="E211" t="inlineStr">
        <is>
          <t>LEKSAND</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34869-2021</t>
        </is>
      </c>
      <c r="B212" s="1" t="n">
        <v>44383</v>
      </c>
      <c r="C212" s="1" t="n">
        <v>45828</v>
      </c>
      <c r="D212" t="inlineStr">
        <is>
          <t>DALARNAS LÄN</t>
        </is>
      </c>
      <c r="E212" t="inlineStr">
        <is>
          <t>LEKSAND</t>
        </is>
      </c>
      <c r="F212" t="inlineStr">
        <is>
          <t>Bergvik skog väst AB</t>
        </is>
      </c>
      <c r="G212" t="n">
        <v>0.6</v>
      </c>
      <c r="H212" t="n">
        <v>0</v>
      </c>
      <c r="I212" t="n">
        <v>0</v>
      </c>
      <c r="J212" t="n">
        <v>0</v>
      </c>
      <c r="K212" t="n">
        <v>0</v>
      </c>
      <c r="L212" t="n">
        <v>0</v>
      </c>
      <c r="M212" t="n">
        <v>0</v>
      </c>
      <c r="N212" t="n">
        <v>0</v>
      </c>
      <c r="O212" t="n">
        <v>0</v>
      </c>
      <c r="P212" t="n">
        <v>0</v>
      </c>
      <c r="Q212" t="n">
        <v>0</v>
      </c>
      <c r="R212" s="2" t="inlineStr"/>
    </row>
    <row r="213" ht="15" customHeight="1">
      <c r="A213" t="inlineStr">
        <is>
          <t>A 34867-2021</t>
        </is>
      </c>
      <c r="B213" s="1" t="n">
        <v>44383</v>
      </c>
      <c r="C213" s="1" t="n">
        <v>45828</v>
      </c>
      <c r="D213" t="inlineStr">
        <is>
          <t>DALARNAS LÄN</t>
        </is>
      </c>
      <c r="E213" t="inlineStr">
        <is>
          <t>LEKSAND</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34911-2021</t>
        </is>
      </c>
      <c r="B214" s="1" t="n">
        <v>44383</v>
      </c>
      <c r="C214" s="1" t="n">
        <v>45828</v>
      </c>
      <c r="D214" t="inlineStr">
        <is>
          <t>DALARNAS LÄN</t>
        </is>
      </c>
      <c r="E214" t="inlineStr">
        <is>
          <t>LEKSAND</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36438-2021</t>
        </is>
      </c>
      <c r="B215" s="1" t="n">
        <v>44390</v>
      </c>
      <c r="C215" s="1" t="n">
        <v>45828</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36956-2021</t>
        </is>
      </c>
      <c r="B216" s="1" t="n">
        <v>44393</v>
      </c>
      <c r="C216" s="1" t="n">
        <v>45828</v>
      </c>
      <c r="D216" t="inlineStr">
        <is>
          <t>DALARNAS LÄN</t>
        </is>
      </c>
      <c r="E216" t="inlineStr">
        <is>
          <t>LEKSAND</t>
        </is>
      </c>
      <c r="G216" t="n">
        <v>4.1</v>
      </c>
      <c r="H216" t="n">
        <v>0</v>
      </c>
      <c r="I216" t="n">
        <v>0</v>
      </c>
      <c r="J216" t="n">
        <v>0</v>
      </c>
      <c r="K216" t="n">
        <v>0</v>
      </c>
      <c r="L216" t="n">
        <v>0</v>
      </c>
      <c r="M216" t="n">
        <v>0</v>
      </c>
      <c r="N216" t="n">
        <v>0</v>
      </c>
      <c r="O216" t="n">
        <v>0</v>
      </c>
      <c r="P216" t="n">
        <v>0</v>
      </c>
      <c r="Q216" t="n">
        <v>0</v>
      </c>
      <c r="R216" s="2" t="inlineStr"/>
    </row>
    <row r="217" ht="15" customHeight="1">
      <c r="A217" t="inlineStr">
        <is>
          <t>A 37073-2021</t>
        </is>
      </c>
      <c r="B217" s="1" t="n">
        <v>44394</v>
      </c>
      <c r="C217" s="1" t="n">
        <v>45828</v>
      </c>
      <c r="D217" t="inlineStr">
        <is>
          <t>DALARNAS LÄN</t>
        </is>
      </c>
      <c r="E217" t="inlineStr">
        <is>
          <t>LEKSAND</t>
        </is>
      </c>
      <c r="F217" t="inlineStr">
        <is>
          <t>Bergvik skog väst AB</t>
        </is>
      </c>
      <c r="G217" t="n">
        <v>0.5</v>
      </c>
      <c r="H217" t="n">
        <v>0</v>
      </c>
      <c r="I217" t="n">
        <v>0</v>
      </c>
      <c r="J217" t="n">
        <v>0</v>
      </c>
      <c r="K217" t="n">
        <v>0</v>
      </c>
      <c r="L217" t="n">
        <v>0</v>
      </c>
      <c r="M217" t="n">
        <v>0</v>
      </c>
      <c r="N217" t="n">
        <v>0</v>
      </c>
      <c r="O217" t="n">
        <v>0</v>
      </c>
      <c r="P217" t="n">
        <v>0</v>
      </c>
      <c r="Q217" t="n">
        <v>0</v>
      </c>
      <c r="R217" s="2" t="inlineStr"/>
    </row>
    <row r="218" ht="15" customHeight="1">
      <c r="A218" t="inlineStr">
        <is>
          <t>A 37283-2021</t>
        </is>
      </c>
      <c r="B218" s="1" t="n">
        <v>44397</v>
      </c>
      <c r="C218" s="1" t="n">
        <v>45828</v>
      </c>
      <c r="D218" t="inlineStr">
        <is>
          <t>DALARNAS LÄN</t>
        </is>
      </c>
      <c r="E218" t="inlineStr">
        <is>
          <t>LEKSAND</t>
        </is>
      </c>
      <c r="G218" t="n">
        <v>2.9</v>
      </c>
      <c r="H218" t="n">
        <v>0</v>
      </c>
      <c r="I218" t="n">
        <v>0</v>
      </c>
      <c r="J218" t="n">
        <v>0</v>
      </c>
      <c r="K218" t="n">
        <v>0</v>
      </c>
      <c r="L218" t="n">
        <v>0</v>
      </c>
      <c r="M218" t="n">
        <v>0</v>
      </c>
      <c r="N218" t="n">
        <v>0</v>
      </c>
      <c r="O218" t="n">
        <v>0</v>
      </c>
      <c r="P218" t="n">
        <v>0</v>
      </c>
      <c r="Q218" t="n">
        <v>0</v>
      </c>
      <c r="R218" s="2" t="inlineStr"/>
    </row>
    <row r="219" ht="15" customHeight="1">
      <c r="A219" t="inlineStr">
        <is>
          <t>A 37531-2021</t>
        </is>
      </c>
      <c r="B219" s="1" t="n">
        <v>44399</v>
      </c>
      <c r="C219" s="1" t="n">
        <v>45828</v>
      </c>
      <c r="D219" t="inlineStr">
        <is>
          <t>DALARNAS LÄN</t>
        </is>
      </c>
      <c r="E219" t="inlineStr">
        <is>
          <t>LEKSAND</t>
        </is>
      </c>
      <c r="G219" t="n">
        <v>1.5</v>
      </c>
      <c r="H219" t="n">
        <v>0</v>
      </c>
      <c r="I219" t="n">
        <v>0</v>
      </c>
      <c r="J219" t="n">
        <v>0</v>
      </c>
      <c r="K219" t="n">
        <v>0</v>
      </c>
      <c r="L219" t="n">
        <v>0</v>
      </c>
      <c r="M219" t="n">
        <v>0</v>
      </c>
      <c r="N219" t="n">
        <v>0</v>
      </c>
      <c r="O219" t="n">
        <v>0</v>
      </c>
      <c r="P219" t="n">
        <v>0</v>
      </c>
      <c r="Q219" t="n">
        <v>0</v>
      </c>
      <c r="R219" s="2" t="inlineStr"/>
    </row>
    <row r="220" ht="15" customHeight="1">
      <c r="A220" t="inlineStr">
        <is>
          <t>A 38192-2021</t>
        </is>
      </c>
      <c r="B220" s="1" t="n">
        <v>44405</v>
      </c>
      <c r="C220" s="1" t="n">
        <v>45828</v>
      </c>
      <c r="D220" t="inlineStr">
        <is>
          <t>DALARNAS LÄN</t>
        </is>
      </c>
      <c r="E220" t="inlineStr">
        <is>
          <t>LEKSAND</t>
        </is>
      </c>
      <c r="G220" t="n">
        <v>2</v>
      </c>
      <c r="H220" t="n">
        <v>0</v>
      </c>
      <c r="I220" t="n">
        <v>0</v>
      </c>
      <c r="J220" t="n">
        <v>0</v>
      </c>
      <c r="K220" t="n">
        <v>0</v>
      </c>
      <c r="L220" t="n">
        <v>0</v>
      </c>
      <c r="M220" t="n">
        <v>0</v>
      </c>
      <c r="N220" t="n">
        <v>0</v>
      </c>
      <c r="O220" t="n">
        <v>0</v>
      </c>
      <c r="P220" t="n">
        <v>0</v>
      </c>
      <c r="Q220" t="n">
        <v>0</v>
      </c>
      <c r="R220" s="2" t="inlineStr"/>
    </row>
    <row r="221" ht="15" customHeight="1">
      <c r="A221" t="inlineStr">
        <is>
          <t>A 38619-2021</t>
        </is>
      </c>
      <c r="B221" s="1" t="n">
        <v>44409</v>
      </c>
      <c r="C221" s="1" t="n">
        <v>45828</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39203-2021</t>
        </is>
      </c>
      <c r="B222" s="1" t="n">
        <v>44413</v>
      </c>
      <c r="C222" s="1" t="n">
        <v>45828</v>
      </c>
      <c r="D222" t="inlineStr">
        <is>
          <t>DALARNAS LÄN</t>
        </is>
      </c>
      <c r="E222" t="inlineStr">
        <is>
          <t>LEKSAND</t>
        </is>
      </c>
      <c r="G222" t="n">
        <v>5</v>
      </c>
      <c r="H222" t="n">
        <v>0</v>
      </c>
      <c r="I222" t="n">
        <v>0</v>
      </c>
      <c r="J222" t="n">
        <v>0</v>
      </c>
      <c r="K222" t="n">
        <v>0</v>
      </c>
      <c r="L222" t="n">
        <v>0</v>
      </c>
      <c r="M222" t="n">
        <v>0</v>
      </c>
      <c r="N222" t="n">
        <v>0</v>
      </c>
      <c r="O222" t="n">
        <v>0</v>
      </c>
      <c r="P222" t="n">
        <v>0</v>
      </c>
      <c r="Q222" t="n">
        <v>0</v>
      </c>
      <c r="R222" s="2" t="inlineStr"/>
    </row>
    <row r="223" ht="15" customHeight="1">
      <c r="A223" t="inlineStr">
        <is>
          <t>A 40584-2021</t>
        </is>
      </c>
      <c r="B223" s="1" t="n">
        <v>44420</v>
      </c>
      <c r="C223" s="1" t="n">
        <v>45828</v>
      </c>
      <c r="D223" t="inlineStr">
        <is>
          <t>DALARNAS LÄN</t>
        </is>
      </c>
      <c r="E223" t="inlineStr">
        <is>
          <t>LEKSAND</t>
        </is>
      </c>
      <c r="G223" t="n">
        <v>6</v>
      </c>
      <c r="H223" t="n">
        <v>0</v>
      </c>
      <c r="I223" t="n">
        <v>0</v>
      </c>
      <c r="J223" t="n">
        <v>0</v>
      </c>
      <c r="K223" t="n">
        <v>0</v>
      </c>
      <c r="L223" t="n">
        <v>0</v>
      </c>
      <c r="M223" t="n">
        <v>0</v>
      </c>
      <c r="N223" t="n">
        <v>0</v>
      </c>
      <c r="O223" t="n">
        <v>0</v>
      </c>
      <c r="P223" t="n">
        <v>0</v>
      </c>
      <c r="Q223" t="n">
        <v>0</v>
      </c>
      <c r="R223" s="2" t="inlineStr"/>
    </row>
    <row r="224" ht="15" customHeight="1">
      <c r="A224" t="inlineStr">
        <is>
          <t>A 42952-2021</t>
        </is>
      </c>
      <c r="B224" s="1" t="n">
        <v>44431</v>
      </c>
      <c r="C224" s="1" t="n">
        <v>45828</v>
      </c>
      <c r="D224" t="inlineStr">
        <is>
          <t>DALARNAS LÄN</t>
        </is>
      </c>
      <c r="E224" t="inlineStr">
        <is>
          <t>LEKSAND</t>
        </is>
      </c>
      <c r="G224" t="n">
        <v>5.4</v>
      </c>
      <c r="H224" t="n">
        <v>0</v>
      </c>
      <c r="I224" t="n">
        <v>0</v>
      </c>
      <c r="J224" t="n">
        <v>0</v>
      </c>
      <c r="K224" t="n">
        <v>0</v>
      </c>
      <c r="L224" t="n">
        <v>0</v>
      </c>
      <c r="M224" t="n">
        <v>0</v>
      </c>
      <c r="N224" t="n">
        <v>0</v>
      </c>
      <c r="O224" t="n">
        <v>0</v>
      </c>
      <c r="P224" t="n">
        <v>0</v>
      </c>
      <c r="Q224" t="n">
        <v>0</v>
      </c>
      <c r="R224" s="2" t="inlineStr"/>
    </row>
    <row r="225" ht="15" customHeight="1">
      <c r="A225" t="inlineStr">
        <is>
          <t>A 43410-2021</t>
        </is>
      </c>
      <c r="B225" s="1" t="n">
        <v>44432</v>
      </c>
      <c r="C225" s="1" t="n">
        <v>45828</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44922-2021</t>
        </is>
      </c>
      <c r="B226" s="1" t="n">
        <v>44438</v>
      </c>
      <c r="C226" s="1" t="n">
        <v>45828</v>
      </c>
      <c r="D226" t="inlineStr">
        <is>
          <t>DALARNAS LÄN</t>
        </is>
      </c>
      <c r="E226" t="inlineStr">
        <is>
          <t>LEKSAND</t>
        </is>
      </c>
      <c r="G226" t="n">
        <v>0.8</v>
      </c>
      <c r="H226" t="n">
        <v>0</v>
      </c>
      <c r="I226" t="n">
        <v>0</v>
      </c>
      <c r="J226" t="n">
        <v>0</v>
      </c>
      <c r="K226" t="n">
        <v>0</v>
      </c>
      <c r="L226" t="n">
        <v>0</v>
      </c>
      <c r="M226" t="n">
        <v>0</v>
      </c>
      <c r="N226" t="n">
        <v>0</v>
      </c>
      <c r="O226" t="n">
        <v>0</v>
      </c>
      <c r="P226" t="n">
        <v>0</v>
      </c>
      <c r="Q226" t="n">
        <v>0</v>
      </c>
      <c r="R226" s="2" t="inlineStr"/>
    </row>
    <row r="227" ht="15" customHeight="1">
      <c r="A227" t="inlineStr">
        <is>
          <t>A 45155-2021</t>
        </is>
      </c>
      <c r="B227" s="1" t="n">
        <v>44439</v>
      </c>
      <c r="C227" s="1" t="n">
        <v>45828</v>
      </c>
      <c r="D227" t="inlineStr">
        <is>
          <t>DALARNAS LÄN</t>
        </is>
      </c>
      <c r="E227" t="inlineStr">
        <is>
          <t>LEKSAND</t>
        </is>
      </c>
      <c r="G227" t="n">
        <v>0.6</v>
      </c>
      <c r="H227" t="n">
        <v>0</v>
      </c>
      <c r="I227" t="n">
        <v>0</v>
      </c>
      <c r="J227" t="n">
        <v>0</v>
      </c>
      <c r="K227" t="n">
        <v>0</v>
      </c>
      <c r="L227" t="n">
        <v>0</v>
      </c>
      <c r="M227" t="n">
        <v>0</v>
      </c>
      <c r="N227" t="n">
        <v>0</v>
      </c>
      <c r="O227" t="n">
        <v>0</v>
      </c>
      <c r="P227" t="n">
        <v>0</v>
      </c>
      <c r="Q227" t="n">
        <v>0</v>
      </c>
      <c r="R227" s="2" t="inlineStr"/>
    </row>
    <row r="228" ht="15" customHeight="1">
      <c r="A228" t="inlineStr">
        <is>
          <t>A 45788-2021</t>
        </is>
      </c>
      <c r="B228" s="1" t="n">
        <v>44441</v>
      </c>
      <c r="C228" s="1" t="n">
        <v>45828</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47121-2021</t>
        </is>
      </c>
      <c r="B229" s="1" t="n">
        <v>44446</v>
      </c>
      <c r="C229" s="1" t="n">
        <v>45828</v>
      </c>
      <c r="D229" t="inlineStr">
        <is>
          <t>DALARNAS LÄN</t>
        </is>
      </c>
      <c r="E229" t="inlineStr">
        <is>
          <t>LEKSAND</t>
        </is>
      </c>
      <c r="G229" t="n">
        <v>3.5</v>
      </c>
      <c r="H229" t="n">
        <v>0</v>
      </c>
      <c r="I229" t="n">
        <v>0</v>
      </c>
      <c r="J229" t="n">
        <v>0</v>
      </c>
      <c r="K229" t="n">
        <v>0</v>
      </c>
      <c r="L229" t="n">
        <v>0</v>
      </c>
      <c r="M229" t="n">
        <v>0</v>
      </c>
      <c r="N229" t="n">
        <v>0</v>
      </c>
      <c r="O229" t="n">
        <v>0</v>
      </c>
      <c r="P229" t="n">
        <v>0</v>
      </c>
      <c r="Q229" t="n">
        <v>0</v>
      </c>
      <c r="R229" s="2" t="inlineStr"/>
    </row>
    <row r="230" ht="15" customHeight="1">
      <c r="A230" t="inlineStr">
        <is>
          <t>A 48949-2021</t>
        </is>
      </c>
      <c r="B230" s="1" t="n">
        <v>44453</v>
      </c>
      <c r="C230" s="1" t="n">
        <v>45828</v>
      </c>
      <c r="D230" t="inlineStr">
        <is>
          <t>DALARNAS LÄN</t>
        </is>
      </c>
      <c r="E230" t="inlineStr">
        <is>
          <t>LEKSAND</t>
        </is>
      </c>
      <c r="G230" t="n">
        <v>3</v>
      </c>
      <c r="H230" t="n">
        <v>0</v>
      </c>
      <c r="I230" t="n">
        <v>0</v>
      </c>
      <c r="J230" t="n">
        <v>0</v>
      </c>
      <c r="K230" t="n">
        <v>0</v>
      </c>
      <c r="L230" t="n">
        <v>0</v>
      </c>
      <c r="M230" t="n">
        <v>0</v>
      </c>
      <c r="N230" t="n">
        <v>0</v>
      </c>
      <c r="O230" t="n">
        <v>0</v>
      </c>
      <c r="P230" t="n">
        <v>0</v>
      </c>
      <c r="Q230" t="n">
        <v>0</v>
      </c>
      <c r="R230" s="2" t="inlineStr"/>
    </row>
    <row r="231" ht="15" customHeight="1">
      <c r="A231" t="inlineStr">
        <is>
          <t>A 53625-2021</t>
        </is>
      </c>
      <c r="B231" s="1" t="n">
        <v>44469</v>
      </c>
      <c r="C231" s="1" t="n">
        <v>45828</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56153-2021</t>
        </is>
      </c>
      <c r="B232" s="1" t="n">
        <v>44477</v>
      </c>
      <c r="C232" s="1" t="n">
        <v>45828</v>
      </c>
      <c r="D232" t="inlineStr">
        <is>
          <t>DALARNAS LÄN</t>
        </is>
      </c>
      <c r="E232" t="inlineStr">
        <is>
          <t>LEKSAND</t>
        </is>
      </c>
      <c r="G232" t="n">
        <v>1.2</v>
      </c>
      <c r="H232" t="n">
        <v>0</v>
      </c>
      <c r="I232" t="n">
        <v>0</v>
      </c>
      <c r="J232" t="n">
        <v>0</v>
      </c>
      <c r="K232" t="n">
        <v>0</v>
      </c>
      <c r="L232" t="n">
        <v>0</v>
      </c>
      <c r="M232" t="n">
        <v>0</v>
      </c>
      <c r="N232" t="n">
        <v>0</v>
      </c>
      <c r="O232" t="n">
        <v>0</v>
      </c>
      <c r="P232" t="n">
        <v>0</v>
      </c>
      <c r="Q232" t="n">
        <v>0</v>
      </c>
      <c r="R232" s="2" t="inlineStr"/>
    </row>
    <row r="233" ht="15" customHeight="1">
      <c r="A233" t="inlineStr">
        <is>
          <t>A 58569-2021</t>
        </is>
      </c>
      <c r="B233" s="1" t="n">
        <v>44488</v>
      </c>
      <c r="C233" s="1" t="n">
        <v>45828</v>
      </c>
      <c r="D233" t="inlineStr">
        <is>
          <t>DALARNAS LÄN</t>
        </is>
      </c>
      <c r="E233" t="inlineStr">
        <is>
          <t>LEKSAND</t>
        </is>
      </c>
      <c r="G233" t="n">
        <v>1.7</v>
      </c>
      <c r="H233" t="n">
        <v>0</v>
      </c>
      <c r="I233" t="n">
        <v>0</v>
      </c>
      <c r="J233" t="n">
        <v>0</v>
      </c>
      <c r="K233" t="n">
        <v>0</v>
      </c>
      <c r="L233" t="n">
        <v>0</v>
      </c>
      <c r="M233" t="n">
        <v>0</v>
      </c>
      <c r="N233" t="n">
        <v>0</v>
      </c>
      <c r="O233" t="n">
        <v>0</v>
      </c>
      <c r="P233" t="n">
        <v>0</v>
      </c>
      <c r="Q233" t="n">
        <v>0</v>
      </c>
      <c r="R233" s="2" t="inlineStr"/>
    </row>
    <row r="234" ht="15" customHeight="1">
      <c r="A234" t="inlineStr">
        <is>
          <t>A 59422-2021</t>
        </is>
      </c>
      <c r="B234" s="1" t="n">
        <v>44491</v>
      </c>
      <c r="C234" s="1" t="n">
        <v>45828</v>
      </c>
      <c r="D234" t="inlineStr">
        <is>
          <t>DALARNAS LÄN</t>
        </is>
      </c>
      <c r="E234" t="inlineStr">
        <is>
          <t>LEKSAND</t>
        </is>
      </c>
      <c r="G234" t="n">
        <v>0.7</v>
      </c>
      <c r="H234" t="n">
        <v>0</v>
      </c>
      <c r="I234" t="n">
        <v>0</v>
      </c>
      <c r="J234" t="n">
        <v>0</v>
      </c>
      <c r="K234" t="n">
        <v>0</v>
      </c>
      <c r="L234" t="n">
        <v>0</v>
      </c>
      <c r="M234" t="n">
        <v>0</v>
      </c>
      <c r="N234" t="n">
        <v>0</v>
      </c>
      <c r="O234" t="n">
        <v>0</v>
      </c>
      <c r="P234" t="n">
        <v>0</v>
      </c>
      <c r="Q234" t="n">
        <v>0</v>
      </c>
      <c r="R234" s="2" t="inlineStr"/>
    </row>
    <row r="235" ht="15" customHeight="1">
      <c r="A235" t="inlineStr">
        <is>
          <t>A 61546-2021</t>
        </is>
      </c>
      <c r="B235" s="1" t="n">
        <v>44501</v>
      </c>
      <c r="C235" s="1" t="n">
        <v>45828</v>
      </c>
      <c r="D235" t="inlineStr">
        <is>
          <t>DALARNAS LÄN</t>
        </is>
      </c>
      <c r="E235" t="inlineStr">
        <is>
          <t>LEKSAND</t>
        </is>
      </c>
      <c r="G235" t="n">
        <v>3</v>
      </c>
      <c r="H235" t="n">
        <v>0</v>
      </c>
      <c r="I235" t="n">
        <v>0</v>
      </c>
      <c r="J235" t="n">
        <v>0</v>
      </c>
      <c r="K235" t="n">
        <v>0</v>
      </c>
      <c r="L235" t="n">
        <v>0</v>
      </c>
      <c r="M235" t="n">
        <v>0</v>
      </c>
      <c r="N235" t="n">
        <v>0</v>
      </c>
      <c r="O235" t="n">
        <v>0</v>
      </c>
      <c r="P235" t="n">
        <v>0</v>
      </c>
      <c r="Q235" t="n">
        <v>0</v>
      </c>
      <c r="R235" s="2" t="inlineStr"/>
    </row>
    <row r="236" ht="15" customHeight="1">
      <c r="A236" t="inlineStr">
        <is>
          <t>A 61669-2021</t>
        </is>
      </c>
      <c r="B236" s="1" t="n">
        <v>44501</v>
      </c>
      <c r="C236" s="1" t="n">
        <v>45828</v>
      </c>
      <c r="D236" t="inlineStr">
        <is>
          <t>DALARNAS LÄN</t>
        </is>
      </c>
      <c r="E236" t="inlineStr">
        <is>
          <t>LEKSAND</t>
        </is>
      </c>
      <c r="G236" t="n">
        <v>3.6</v>
      </c>
      <c r="H236" t="n">
        <v>0</v>
      </c>
      <c r="I236" t="n">
        <v>0</v>
      </c>
      <c r="J236" t="n">
        <v>0</v>
      </c>
      <c r="K236" t="n">
        <v>0</v>
      </c>
      <c r="L236" t="n">
        <v>0</v>
      </c>
      <c r="M236" t="n">
        <v>0</v>
      </c>
      <c r="N236" t="n">
        <v>0</v>
      </c>
      <c r="O236" t="n">
        <v>0</v>
      </c>
      <c r="P236" t="n">
        <v>0</v>
      </c>
      <c r="Q236" t="n">
        <v>0</v>
      </c>
      <c r="R236" s="2" t="inlineStr"/>
    </row>
    <row r="237" ht="15" customHeight="1">
      <c r="A237" t="inlineStr">
        <is>
          <t>A 61676-2021</t>
        </is>
      </c>
      <c r="B237" s="1" t="n">
        <v>44501</v>
      </c>
      <c r="C237" s="1" t="n">
        <v>45828</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62279-2021</t>
        </is>
      </c>
      <c r="B238" s="1" t="n">
        <v>44503</v>
      </c>
      <c r="C238" s="1" t="n">
        <v>45828</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64718-2021</t>
        </is>
      </c>
      <c r="B239" s="1" t="n">
        <v>44512</v>
      </c>
      <c r="C239" s="1" t="n">
        <v>45828</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68573-2021</t>
        </is>
      </c>
      <c r="B240" s="1" t="n">
        <v>44529</v>
      </c>
      <c r="C240" s="1" t="n">
        <v>45828</v>
      </c>
      <c r="D240" t="inlineStr">
        <is>
          <t>DALARNAS LÄN</t>
        </is>
      </c>
      <c r="E240" t="inlineStr">
        <is>
          <t>LEKSAND</t>
        </is>
      </c>
      <c r="G240" t="n">
        <v>1.6</v>
      </c>
      <c r="H240" t="n">
        <v>0</v>
      </c>
      <c r="I240" t="n">
        <v>0</v>
      </c>
      <c r="J240" t="n">
        <v>0</v>
      </c>
      <c r="K240" t="n">
        <v>0</v>
      </c>
      <c r="L240" t="n">
        <v>0</v>
      </c>
      <c r="M240" t="n">
        <v>0</v>
      </c>
      <c r="N240" t="n">
        <v>0</v>
      </c>
      <c r="O240" t="n">
        <v>0</v>
      </c>
      <c r="P240" t="n">
        <v>0</v>
      </c>
      <c r="Q240" t="n">
        <v>0</v>
      </c>
      <c r="R240" s="2" t="inlineStr"/>
    </row>
    <row r="241" ht="15" customHeight="1">
      <c r="A241" t="inlineStr">
        <is>
          <t>A 68617-2021</t>
        </is>
      </c>
      <c r="B241" s="1" t="n">
        <v>44529</v>
      </c>
      <c r="C241" s="1" t="n">
        <v>45828</v>
      </c>
      <c r="D241" t="inlineStr">
        <is>
          <t>DALARNAS LÄN</t>
        </is>
      </c>
      <c r="E241" t="inlineStr">
        <is>
          <t>LEKSAND</t>
        </is>
      </c>
      <c r="G241" t="n">
        <v>0.4</v>
      </c>
      <c r="H241" t="n">
        <v>0</v>
      </c>
      <c r="I241" t="n">
        <v>0</v>
      </c>
      <c r="J241" t="n">
        <v>0</v>
      </c>
      <c r="K241" t="n">
        <v>0</v>
      </c>
      <c r="L241" t="n">
        <v>0</v>
      </c>
      <c r="M241" t="n">
        <v>0</v>
      </c>
      <c r="N241" t="n">
        <v>0</v>
      </c>
      <c r="O241" t="n">
        <v>0</v>
      </c>
      <c r="P241" t="n">
        <v>0</v>
      </c>
      <c r="Q241" t="n">
        <v>0</v>
      </c>
      <c r="R241" s="2" t="inlineStr"/>
    </row>
    <row r="242" ht="15" customHeight="1">
      <c r="A242" t="inlineStr">
        <is>
          <t>A 69525-2021</t>
        </is>
      </c>
      <c r="B242" s="1" t="n">
        <v>44531</v>
      </c>
      <c r="C242" s="1" t="n">
        <v>45828</v>
      </c>
      <c r="D242" t="inlineStr">
        <is>
          <t>DALARNAS LÄN</t>
        </is>
      </c>
      <c r="E242" t="inlineStr">
        <is>
          <t>LEKSAND</t>
        </is>
      </c>
      <c r="G242" t="n">
        <v>2.9</v>
      </c>
      <c r="H242" t="n">
        <v>0</v>
      </c>
      <c r="I242" t="n">
        <v>0</v>
      </c>
      <c r="J242" t="n">
        <v>0</v>
      </c>
      <c r="K242" t="n">
        <v>0</v>
      </c>
      <c r="L242" t="n">
        <v>0</v>
      </c>
      <c r="M242" t="n">
        <v>0</v>
      </c>
      <c r="N242" t="n">
        <v>0</v>
      </c>
      <c r="O242" t="n">
        <v>0</v>
      </c>
      <c r="P242" t="n">
        <v>0</v>
      </c>
      <c r="Q242" t="n">
        <v>0</v>
      </c>
      <c r="R242" s="2" t="inlineStr"/>
    </row>
    <row r="243" ht="15" customHeight="1">
      <c r="A243" t="inlineStr">
        <is>
          <t>A 70098-2021</t>
        </is>
      </c>
      <c r="B243" s="1" t="n">
        <v>44533</v>
      </c>
      <c r="C243" s="1" t="n">
        <v>45828</v>
      </c>
      <c r="D243" t="inlineStr">
        <is>
          <t>DALARNAS LÄN</t>
        </is>
      </c>
      <c r="E243" t="inlineStr">
        <is>
          <t>LEKSAND</t>
        </is>
      </c>
      <c r="G243" t="n">
        <v>0.8</v>
      </c>
      <c r="H243" t="n">
        <v>0</v>
      </c>
      <c r="I243" t="n">
        <v>0</v>
      </c>
      <c r="J243" t="n">
        <v>0</v>
      </c>
      <c r="K243" t="n">
        <v>0</v>
      </c>
      <c r="L243" t="n">
        <v>0</v>
      </c>
      <c r="M243" t="n">
        <v>0</v>
      </c>
      <c r="N243" t="n">
        <v>0</v>
      </c>
      <c r="O243" t="n">
        <v>0</v>
      </c>
      <c r="P243" t="n">
        <v>0</v>
      </c>
      <c r="Q243" t="n">
        <v>0</v>
      </c>
      <c r="R243" s="2" t="inlineStr"/>
    </row>
    <row r="244" ht="15" customHeight="1">
      <c r="A244" t="inlineStr">
        <is>
          <t>A 70099-2021</t>
        </is>
      </c>
      <c r="B244" s="1" t="n">
        <v>44533</v>
      </c>
      <c r="C244" s="1" t="n">
        <v>45828</v>
      </c>
      <c r="D244" t="inlineStr">
        <is>
          <t>DALARNAS LÄN</t>
        </is>
      </c>
      <c r="E244" t="inlineStr">
        <is>
          <t>LEKSAND</t>
        </is>
      </c>
      <c r="G244" t="n">
        <v>2.8</v>
      </c>
      <c r="H244" t="n">
        <v>0</v>
      </c>
      <c r="I244" t="n">
        <v>0</v>
      </c>
      <c r="J244" t="n">
        <v>0</v>
      </c>
      <c r="K244" t="n">
        <v>0</v>
      </c>
      <c r="L244" t="n">
        <v>0</v>
      </c>
      <c r="M244" t="n">
        <v>0</v>
      </c>
      <c r="N244" t="n">
        <v>0</v>
      </c>
      <c r="O244" t="n">
        <v>0</v>
      </c>
      <c r="P244" t="n">
        <v>0</v>
      </c>
      <c r="Q244" t="n">
        <v>0</v>
      </c>
      <c r="R244" s="2" t="inlineStr"/>
    </row>
    <row r="245" ht="15" customHeight="1">
      <c r="A245" t="inlineStr">
        <is>
          <t>A 70026-2021</t>
        </is>
      </c>
      <c r="B245" s="1" t="n">
        <v>44533</v>
      </c>
      <c r="C245" s="1" t="n">
        <v>45828</v>
      </c>
      <c r="D245" t="inlineStr">
        <is>
          <t>DALARNAS LÄN</t>
        </is>
      </c>
      <c r="E245" t="inlineStr">
        <is>
          <t>LEKSAND</t>
        </is>
      </c>
      <c r="G245" t="n">
        <v>0.9</v>
      </c>
      <c r="H245" t="n">
        <v>0</v>
      </c>
      <c r="I245" t="n">
        <v>0</v>
      </c>
      <c r="J245" t="n">
        <v>0</v>
      </c>
      <c r="K245" t="n">
        <v>0</v>
      </c>
      <c r="L245" t="n">
        <v>0</v>
      </c>
      <c r="M245" t="n">
        <v>0</v>
      </c>
      <c r="N245" t="n">
        <v>0</v>
      </c>
      <c r="O245" t="n">
        <v>0</v>
      </c>
      <c r="P245" t="n">
        <v>0</v>
      </c>
      <c r="Q245" t="n">
        <v>0</v>
      </c>
      <c r="R245" s="2" t="inlineStr"/>
    </row>
    <row r="246" ht="15" customHeight="1">
      <c r="A246" t="inlineStr">
        <is>
          <t>A 70296-2021</t>
        </is>
      </c>
      <c r="B246" s="1" t="n">
        <v>44536</v>
      </c>
      <c r="C246" s="1" t="n">
        <v>45828</v>
      </c>
      <c r="D246" t="inlineStr">
        <is>
          <t>DALARNAS LÄN</t>
        </is>
      </c>
      <c r="E246" t="inlineStr">
        <is>
          <t>LEKSAND</t>
        </is>
      </c>
      <c r="G246" t="n">
        <v>2.7</v>
      </c>
      <c r="H246" t="n">
        <v>0</v>
      </c>
      <c r="I246" t="n">
        <v>0</v>
      </c>
      <c r="J246" t="n">
        <v>0</v>
      </c>
      <c r="K246" t="n">
        <v>0</v>
      </c>
      <c r="L246" t="n">
        <v>0</v>
      </c>
      <c r="M246" t="n">
        <v>0</v>
      </c>
      <c r="N246" t="n">
        <v>0</v>
      </c>
      <c r="O246" t="n">
        <v>0</v>
      </c>
      <c r="P246" t="n">
        <v>0</v>
      </c>
      <c r="Q246" t="n">
        <v>0</v>
      </c>
      <c r="R246" s="2" t="inlineStr"/>
    </row>
    <row r="247" ht="15" customHeight="1">
      <c r="A247" t="inlineStr">
        <is>
          <t>A 70451-2021</t>
        </is>
      </c>
      <c r="B247" s="1" t="n">
        <v>44536</v>
      </c>
      <c r="C247" s="1" t="n">
        <v>45828</v>
      </c>
      <c r="D247" t="inlineStr">
        <is>
          <t>DALARNAS LÄN</t>
        </is>
      </c>
      <c r="E247" t="inlineStr">
        <is>
          <t>LEKSAND</t>
        </is>
      </c>
      <c r="G247" t="n">
        <v>3.7</v>
      </c>
      <c r="H247" t="n">
        <v>0</v>
      </c>
      <c r="I247" t="n">
        <v>0</v>
      </c>
      <c r="J247" t="n">
        <v>0</v>
      </c>
      <c r="K247" t="n">
        <v>0</v>
      </c>
      <c r="L247" t="n">
        <v>0</v>
      </c>
      <c r="M247" t="n">
        <v>0</v>
      </c>
      <c r="N247" t="n">
        <v>0</v>
      </c>
      <c r="O247" t="n">
        <v>0</v>
      </c>
      <c r="P247" t="n">
        <v>0</v>
      </c>
      <c r="Q247" t="n">
        <v>0</v>
      </c>
      <c r="R247" s="2" t="inlineStr"/>
    </row>
    <row r="248" ht="15" customHeight="1">
      <c r="A248" t="inlineStr">
        <is>
          <t>A 71311-2021</t>
        </is>
      </c>
      <c r="B248" s="1" t="n">
        <v>44539</v>
      </c>
      <c r="C248" s="1" t="n">
        <v>45828</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71754-2021</t>
        </is>
      </c>
      <c r="B249" s="1" t="n">
        <v>44543</v>
      </c>
      <c r="C249" s="1" t="n">
        <v>45828</v>
      </c>
      <c r="D249" t="inlineStr">
        <is>
          <t>DALARNAS LÄN</t>
        </is>
      </c>
      <c r="E249" t="inlineStr">
        <is>
          <t>LEKSAND</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71817-2021</t>
        </is>
      </c>
      <c r="B250" s="1" t="n">
        <v>44543</v>
      </c>
      <c r="C250" s="1" t="n">
        <v>45828</v>
      </c>
      <c r="D250" t="inlineStr">
        <is>
          <t>DALARNAS LÄN</t>
        </is>
      </c>
      <c r="E250" t="inlineStr">
        <is>
          <t>LEKSAND</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72155-2021</t>
        </is>
      </c>
      <c r="B251" s="1" t="n">
        <v>44543</v>
      </c>
      <c r="C251" s="1" t="n">
        <v>45828</v>
      </c>
      <c r="D251" t="inlineStr">
        <is>
          <t>DALARNAS LÄN</t>
        </is>
      </c>
      <c r="E251" t="inlineStr">
        <is>
          <t>LEKSAND</t>
        </is>
      </c>
      <c r="G251" t="n">
        <v>2.5</v>
      </c>
      <c r="H251" t="n">
        <v>0</v>
      </c>
      <c r="I251" t="n">
        <v>0</v>
      </c>
      <c r="J251" t="n">
        <v>0</v>
      </c>
      <c r="K251" t="n">
        <v>0</v>
      </c>
      <c r="L251" t="n">
        <v>0</v>
      </c>
      <c r="M251" t="n">
        <v>0</v>
      </c>
      <c r="N251" t="n">
        <v>0</v>
      </c>
      <c r="O251" t="n">
        <v>0</v>
      </c>
      <c r="P251" t="n">
        <v>0</v>
      </c>
      <c r="Q251" t="n">
        <v>0</v>
      </c>
      <c r="R251" s="2" t="inlineStr"/>
    </row>
    <row r="252" ht="15" customHeight="1">
      <c r="A252" t="inlineStr">
        <is>
          <t>A 72000-2021</t>
        </is>
      </c>
      <c r="B252" s="1" t="n">
        <v>44544</v>
      </c>
      <c r="C252" s="1" t="n">
        <v>45828</v>
      </c>
      <c r="D252" t="inlineStr">
        <is>
          <t>DALARNAS LÄN</t>
        </is>
      </c>
      <c r="E252" t="inlineStr">
        <is>
          <t>LEKSAND</t>
        </is>
      </c>
      <c r="F252" t="inlineStr">
        <is>
          <t>Bergvik skog väst AB</t>
        </is>
      </c>
      <c r="G252" t="n">
        <v>2</v>
      </c>
      <c r="H252" t="n">
        <v>0</v>
      </c>
      <c r="I252" t="n">
        <v>0</v>
      </c>
      <c r="J252" t="n">
        <v>0</v>
      </c>
      <c r="K252" t="n">
        <v>0</v>
      </c>
      <c r="L252" t="n">
        <v>0</v>
      </c>
      <c r="M252" t="n">
        <v>0</v>
      </c>
      <c r="N252" t="n">
        <v>0</v>
      </c>
      <c r="O252" t="n">
        <v>0</v>
      </c>
      <c r="P252" t="n">
        <v>0</v>
      </c>
      <c r="Q252" t="n">
        <v>0</v>
      </c>
      <c r="R252" s="2" t="inlineStr"/>
    </row>
    <row r="253" ht="15" customHeight="1">
      <c r="A253" t="inlineStr">
        <is>
          <t>A 72001-2021</t>
        </is>
      </c>
      <c r="B253" s="1" t="n">
        <v>44544</v>
      </c>
      <c r="C253" s="1" t="n">
        <v>45828</v>
      </c>
      <c r="D253" t="inlineStr">
        <is>
          <t>DALARNAS LÄN</t>
        </is>
      </c>
      <c r="E253" t="inlineStr">
        <is>
          <t>LEKSAND</t>
        </is>
      </c>
      <c r="F253" t="inlineStr">
        <is>
          <t>Bergvik skog väst AB</t>
        </is>
      </c>
      <c r="G253" t="n">
        <v>1.3</v>
      </c>
      <c r="H253" t="n">
        <v>0</v>
      </c>
      <c r="I253" t="n">
        <v>0</v>
      </c>
      <c r="J253" t="n">
        <v>0</v>
      </c>
      <c r="K253" t="n">
        <v>0</v>
      </c>
      <c r="L253" t="n">
        <v>0</v>
      </c>
      <c r="M253" t="n">
        <v>0</v>
      </c>
      <c r="N253" t="n">
        <v>0</v>
      </c>
      <c r="O253" t="n">
        <v>0</v>
      </c>
      <c r="P253" t="n">
        <v>0</v>
      </c>
      <c r="Q253" t="n">
        <v>0</v>
      </c>
      <c r="R253" s="2" t="inlineStr"/>
    </row>
    <row r="254" ht="15" customHeight="1">
      <c r="A254" t="inlineStr">
        <is>
          <t>A 72581-2021</t>
        </is>
      </c>
      <c r="B254" s="1" t="n">
        <v>44546</v>
      </c>
      <c r="C254" s="1" t="n">
        <v>45828</v>
      </c>
      <c r="D254" t="inlineStr">
        <is>
          <t>DALARNAS LÄN</t>
        </is>
      </c>
      <c r="E254" t="inlineStr">
        <is>
          <t>LEKSAND</t>
        </is>
      </c>
      <c r="G254" t="n">
        <v>0.6</v>
      </c>
      <c r="H254" t="n">
        <v>0</v>
      </c>
      <c r="I254" t="n">
        <v>0</v>
      </c>
      <c r="J254" t="n">
        <v>0</v>
      </c>
      <c r="K254" t="n">
        <v>0</v>
      </c>
      <c r="L254" t="n">
        <v>0</v>
      </c>
      <c r="M254" t="n">
        <v>0</v>
      </c>
      <c r="N254" t="n">
        <v>0</v>
      </c>
      <c r="O254" t="n">
        <v>0</v>
      </c>
      <c r="P254" t="n">
        <v>0</v>
      </c>
      <c r="Q254" t="n">
        <v>0</v>
      </c>
      <c r="R254" s="2" t="inlineStr"/>
    </row>
    <row r="255" ht="15" customHeight="1">
      <c r="A255" t="inlineStr">
        <is>
          <t>A 72531-2021</t>
        </is>
      </c>
      <c r="B255" s="1" t="n">
        <v>44546</v>
      </c>
      <c r="C255" s="1" t="n">
        <v>45828</v>
      </c>
      <c r="D255" t="inlineStr">
        <is>
          <t>DALARNAS LÄN</t>
        </is>
      </c>
      <c r="E255" t="inlineStr">
        <is>
          <t>LEKSAND</t>
        </is>
      </c>
      <c r="F255" t="inlineStr">
        <is>
          <t>Bergvik skog väst AB</t>
        </is>
      </c>
      <c r="G255" t="n">
        <v>1.7</v>
      </c>
      <c r="H255" t="n">
        <v>0</v>
      </c>
      <c r="I255" t="n">
        <v>0</v>
      </c>
      <c r="J255" t="n">
        <v>0</v>
      </c>
      <c r="K255" t="n">
        <v>0</v>
      </c>
      <c r="L255" t="n">
        <v>0</v>
      </c>
      <c r="M255" t="n">
        <v>0</v>
      </c>
      <c r="N255" t="n">
        <v>0</v>
      </c>
      <c r="O255" t="n">
        <v>0</v>
      </c>
      <c r="P255" t="n">
        <v>0</v>
      </c>
      <c r="Q255" t="n">
        <v>0</v>
      </c>
      <c r="R255" s="2" t="inlineStr"/>
    </row>
    <row r="256" ht="15" customHeight="1">
      <c r="A256" t="inlineStr">
        <is>
          <t>A 72575-2021</t>
        </is>
      </c>
      <c r="B256" s="1" t="n">
        <v>44546</v>
      </c>
      <c r="C256" s="1" t="n">
        <v>45828</v>
      </c>
      <c r="D256" t="inlineStr">
        <is>
          <t>DALARNAS LÄN</t>
        </is>
      </c>
      <c r="E256" t="inlineStr">
        <is>
          <t>LEKSAND</t>
        </is>
      </c>
      <c r="G256" t="n">
        <v>0.7</v>
      </c>
      <c r="H256" t="n">
        <v>0</v>
      </c>
      <c r="I256" t="n">
        <v>0</v>
      </c>
      <c r="J256" t="n">
        <v>0</v>
      </c>
      <c r="K256" t="n">
        <v>0</v>
      </c>
      <c r="L256" t="n">
        <v>0</v>
      </c>
      <c r="M256" t="n">
        <v>0</v>
      </c>
      <c r="N256" t="n">
        <v>0</v>
      </c>
      <c r="O256" t="n">
        <v>0</v>
      </c>
      <c r="P256" t="n">
        <v>0</v>
      </c>
      <c r="Q256" t="n">
        <v>0</v>
      </c>
      <c r="R256" s="2" t="inlineStr"/>
    </row>
    <row r="257" ht="15" customHeight="1">
      <c r="A257" t="inlineStr">
        <is>
          <t>A 74067-2021</t>
        </is>
      </c>
      <c r="B257" s="1" t="n">
        <v>44553</v>
      </c>
      <c r="C257" s="1" t="n">
        <v>45828</v>
      </c>
      <c r="D257" t="inlineStr">
        <is>
          <t>DALARNAS LÄN</t>
        </is>
      </c>
      <c r="E257" t="inlineStr">
        <is>
          <t>LEKSAND</t>
        </is>
      </c>
      <c r="G257" t="n">
        <v>1.8</v>
      </c>
      <c r="H257" t="n">
        <v>0</v>
      </c>
      <c r="I257" t="n">
        <v>0</v>
      </c>
      <c r="J257" t="n">
        <v>0</v>
      </c>
      <c r="K257" t="n">
        <v>0</v>
      </c>
      <c r="L257" t="n">
        <v>0</v>
      </c>
      <c r="M257" t="n">
        <v>0</v>
      </c>
      <c r="N257" t="n">
        <v>0</v>
      </c>
      <c r="O257" t="n">
        <v>0</v>
      </c>
      <c r="P257" t="n">
        <v>0</v>
      </c>
      <c r="Q257" t="n">
        <v>0</v>
      </c>
      <c r="R257" s="2" t="inlineStr"/>
    </row>
    <row r="258" ht="15" customHeight="1">
      <c r="A258" t="inlineStr">
        <is>
          <t>A 791-2022</t>
        </is>
      </c>
      <c r="B258" s="1" t="n">
        <v>44570</v>
      </c>
      <c r="C258" s="1" t="n">
        <v>45828</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1775-2022</t>
        </is>
      </c>
      <c r="B259" s="1" t="n">
        <v>44574</v>
      </c>
      <c r="C259" s="1" t="n">
        <v>45828</v>
      </c>
      <c r="D259" t="inlineStr">
        <is>
          <t>DALARNAS LÄN</t>
        </is>
      </c>
      <c r="E259" t="inlineStr">
        <is>
          <t>LEKSAND</t>
        </is>
      </c>
      <c r="G259" t="n">
        <v>2</v>
      </c>
      <c r="H259" t="n">
        <v>0</v>
      </c>
      <c r="I259" t="n">
        <v>0</v>
      </c>
      <c r="J259" t="n">
        <v>0</v>
      </c>
      <c r="K259" t="n">
        <v>0</v>
      </c>
      <c r="L259" t="n">
        <v>0</v>
      </c>
      <c r="M259" t="n">
        <v>0</v>
      </c>
      <c r="N259" t="n">
        <v>0</v>
      </c>
      <c r="O259" t="n">
        <v>0</v>
      </c>
      <c r="P259" t="n">
        <v>0</v>
      </c>
      <c r="Q259" t="n">
        <v>0</v>
      </c>
      <c r="R259" s="2" t="inlineStr"/>
    </row>
    <row r="260" ht="15" customHeight="1">
      <c r="A260" t="inlineStr">
        <is>
          <t>A 2579-2022</t>
        </is>
      </c>
      <c r="B260" s="1" t="n">
        <v>44580</v>
      </c>
      <c r="C260" s="1" t="n">
        <v>45828</v>
      </c>
      <c r="D260" t="inlineStr">
        <is>
          <t>DALARNAS LÄN</t>
        </is>
      </c>
      <c r="E260" t="inlineStr">
        <is>
          <t>LEKSAND</t>
        </is>
      </c>
      <c r="G260" t="n">
        <v>0.3</v>
      </c>
      <c r="H260" t="n">
        <v>0</v>
      </c>
      <c r="I260" t="n">
        <v>0</v>
      </c>
      <c r="J260" t="n">
        <v>0</v>
      </c>
      <c r="K260" t="n">
        <v>0</v>
      </c>
      <c r="L260" t="n">
        <v>0</v>
      </c>
      <c r="M260" t="n">
        <v>0</v>
      </c>
      <c r="N260" t="n">
        <v>0</v>
      </c>
      <c r="O260" t="n">
        <v>0</v>
      </c>
      <c r="P260" t="n">
        <v>0</v>
      </c>
      <c r="Q260" t="n">
        <v>0</v>
      </c>
      <c r="R260" s="2" t="inlineStr"/>
    </row>
    <row r="261" ht="15" customHeight="1">
      <c r="A261" t="inlineStr">
        <is>
          <t>A 4257-2022</t>
        </is>
      </c>
      <c r="B261" s="1" t="n">
        <v>44588</v>
      </c>
      <c r="C261" s="1" t="n">
        <v>45828</v>
      </c>
      <c r="D261" t="inlineStr">
        <is>
          <t>DALARNAS LÄN</t>
        </is>
      </c>
      <c r="E261" t="inlineStr">
        <is>
          <t>LEKSAND</t>
        </is>
      </c>
      <c r="G261" t="n">
        <v>6.8</v>
      </c>
      <c r="H261" t="n">
        <v>0</v>
      </c>
      <c r="I261" t="n">
        <v>0</v>
      </c>
      <c r="J261" t="n">
        <v>0</v>
      </c>
      <c r="K261" t="n">
        <v>0</v>
      </c>
      <c r="L261" t="n">
        <v>0</v>
      </c>
      <c r="M261" t="n">
        <v>0</v>
      </c>
      <c r="N261" t="n">
        <v>0</v>
      </c>
      <c r="O261" t="n">
        <v>0</v>
      </c>
      <c r="P261" t="n">
        <v>0</v>
      </c>
      <c r="Q261" t="n">
        <v>0</v>
      </c>
      <c r="R261" s="2" t="inlineStr"/>
    </row>
    <row r="262" ht="15" customHeight="1">
      <c r="A262" t="inlineStr">
        <is>
          <t>A 4609-2022</t>
        </is>
      </c>
      <c r="B262" s="1" t="n">
        <v>44592</v>
      </c>
      <c r="C262" s="1" t="n">
        <v>45828</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8501-2022</t>
        </is>
      </c>
      <c r="B263" s="1" t="n">
        <v>44613</v>
      </c>
      <c r="C263" s="1" t="n">
        <v>45828</v>
      </c>
      <c r="D263" t="inlineStr">
        <is>
          <t>DALARNAS LÄN</t>
        </is>
      </c>
      <c r="E263" t="inlineStr">
        <is>
          <t>LEKSAND</t>
        </is>
      </c>
      <c r="G263" t="n">
        <v>3</v>
      </c>
      <c r="H263" t="n">
        <v>0</v>
      </c>
      <c r="I263" t="n">
        <v>0</v>
      </c>
      <c r="J263" t="n">
        <v>0</v>
      </c>
      <c r="K263" t="n">
        <v>0</v>
      </c>
      <c r="L263" t="n">
        <v>0</v>
      </c>
      <c r="M263" t="n">
        <v>0</v>
      </c>
      <c r="N263" t="n">
        <v>0</v>
      </c>
      <c r="O263" t="n">
        <v>0</v>
      </c>
      <c r="P263" t="n">
        <v>0</v>
      </c>
      <c r="Q263" t="n">
        <v>0</v>
      </c>
      <c r="R263" s="2" t="inlineStr"/>
    </row>
    <row r="264" ht="15" customHeight="1">
      <c r="A264" t="inlineStr">
        <is>
          <t>A 11015-2022</t>
        </is>
      </c>
      <c r="B264" s="1" t="n">
        <v>44628</v>
      </c>
      <c r="C264" s="1" t="n">
        <v>45828</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11412-2022</t>
        </is>
      </c>
      <c r="B265" s="1" t="n">
        <v>44630</v>
      </c>
      <c r="C265" s="1" t="n">
        <v>45828</v>
      </c>
      <c r="D265" t="inlineStr">
        <is>
          <t>DALARNAS LÄN</t>
        </is>
      </c>
      <c r="E265" t="inlineStr">
        <is>
          <t>LEKSAND</t>
        </is>
      </c>
      <c r="F265" t="inlineStr">
        <is>
          <t>Bergvik skog väst AB</t>
        </is>
      </c>
      <c r="G265" t="n">
        <v>1.5</v>
      </c>
      <c r="H265" t="n">
        <v>0</v>
      </c>
      <c r="I265" t="n">
        <v>0</v>
      </c>
      <c r="J265" t="n">
        <v>0</v>
      </c>
      <c r="K265" t="n">
        <v>0</v>
      </c>
      <c r="L265" t="n">
        <v>0</v>
      </c>
      <c r="M265" t="n">
        <v>0</v>
      </c>
      <c r="N265" t="n">
        <v>0</v>
      </c>
      <c r="O265" t="n">
        <v>0</v>
      </c>
      <c r="P265" t="n">
        <v>0</v>
      </c>
      <c r="Q265" t="n">
        <v>0</v>
      </c>
      <c r="R265" s="2" t="inlineStr"/>
    </row>
    <row r="266" ht="15" customHeight="1">
      <c r="A266" t="inlineStr">
        <is>
          <t>A 12992-2022</t>
        </is>
      </c>
      <c r="B266" s="1" t="n">
        <v>44643</v>
      </c>
      <c r="C266" s="1" t="n">
        <v>45828</v>
      </c>
      <c r="D266" t="inlineStr">
        <is>
          <t>DALARNAS LÄN</t>
        </is>
      </c>
      <c r="E266" t="inlineStr">
        <is>
          <t>LEKSAND</t>
        </is>
      </c>
      <c r="G266" t="n">
        <v>1.5</v>
      </c>
      <c r="H266" t="n">
        <v>0</v>
      </c>
      <c r="I266" t="n">
        <v>0</v>
      </c>
      <c r="J266" t="n">
        <v>0</v>
      </c>
      <c r="K266" t="n">
        <v>0</v>
      </c>
      <c r="L266" t="n">
        <v>0</v>
      </c>
      <c r="M266" t="n">
        <v>0</v>
      </c>
      <c r="N266" t="n">
        <v>0</v>
      </c>
      <c r="O266" t="n">
        <v>0</v>
      </c>
      <c r="P266" t="n">
        <v>0</v>
      </c>
      <c r="Q266" t="n">
        <v>0</v>
      </c>
      <c r="R266" s="2" t="inlineStr"/>
    </row>
    <row r="267" ht="15" customHeight="1">
      <c r="A267" t="inlineStr">
        <is>
          <t>A 14140-2022</t>
        </is>
      </c>
      <c r="B267" s="1" t="n">
        <v>44651</v>
      </c>
      <c r="C267" s="1" t="n">
        <v>45828</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14806-2022</t>
        </is>
      </c>
      <c r="B268" s="1" t="n">
        <v>44656</v>
      </c>
      <c r="C268" s="1" t="n">
        <v>45828</v>
      </c>
      <c r="D268" t="inlineStr">
        <is>
          <t>DALARNAS LÄN</t>
        </is>
      </c>
      <c r="E268" t="inlineStr">
        <is>
          <t>LEKSAND</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16353-2022</t>
        </is>
      </c>
      <c r="B269" s="1" t="n">
        <v>44670</v>
      </c>
      <c r="C269" s="1" t="n">
        <v>45828</v>
      </c>
      <c r="D269" t="inlineStr">
        <is>
          <t>DALARNAS LÄN</t>
        </is>
      </c>
      <c r="E269" t="inlineStr">
        <is>
          <t>LEKSAND</t>
        </is>
      </c>
      <c r="G269" t="n">
        <v>1.7</v>
      </c>
      <c r="H269" t="n">
        <v>0</v>
      </c>
      <c r="I269" t="n">
        <v>0</v>
      </c>
      <c r="J269" t="n">
        <v>0</v>
      </c>
      <c r="K269" t="n">
        <v>0</v>
      </c>
      <c r="L269" t="n">
        <v>0</v>
      </c>
      <c r="M269" t="n">
        <v>0</v>
      </c>
      <c r="N269" t="n">
        <v>0</v>
      </c>
      <c r="O269" t="n">
        <v>0</v>
      </c>
      <c r="P269" t="n">
        <v>0</v>
      </c>
      <c r="Q269" t="n">
        <v>0</v>
      </c>
      <c r="R269" s="2" t="inlineStr"/>
    </row>
    <row r="270" ht="15" customHeight="1">
      <c r="A270" t="inlineStr">
        <is>
          <t>A 16375-2022</t>
        </is>
      </c>
      <c r="B270" s="1" t="n">
        <v>44671</v>
      </c>
      <c r="C270" s="1" t="n">
        <v>45828</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16976-2022</t>
        </is>
      </c>
      <c r="B271" s="1" t="n">
        <v>44676</v>
      </c>
      <c r="C271" s="1" t="n">
        <v>45828</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17455-2022</t>
        </is>
      </c>
      <c r="B272" s="1" t="n">
        <v>44679</v>
      </c>
      <c r="C272" s="1" t="n">
        <v>45828</v>
      </c>
      <c r="D272" t="inlineStr">
        <is>
          <t>DALARNAS LÄN</t>
        </is>
      </c>
      <c r="E272" t="inlineStr">
        <is>
          <t>LEKSAND</t>
        </is>
      </c>
      <c r="F272" t="inlineStr">
        <is>
          <t>Bergvik skog väst AB</t>
        </is>
      </c>
      <c r="G272" t="n">
        <v>1.8</v>
      </c>
      <c r="H272" t="n">
        <v>0</v>
      </c>
      <c r="I272" t="n">
        <v>0</v>
      </c>
      <c r="J272" t="n">
        <v>0</v>
      </c>
      <c r="K272" t="n">
        <v>0</v>
      </c>
      <c r="L272" t="n">
        <v>0</v>
      </c>
      <c r="M272" t="n">
        <v>0</v>
      </c>
      <c r="N272" t="n">
        <v>0</v>
      </c>
      <c r="O272" t="n">
        <v>0</v>
      </c>
      <c r="P272" t="n">
        <v>0</v>
      </c>
      <c r="Q272" t="n">
        <v>0</v>
      </c>
      <c r="R272" s="2" t="inlineStr"/>
    </row>
    <row r="273" ht="15" customHeight="1">
      <c r="A273" t="inlineStr">
        <is>
          <t>A 18140-2022</t>
        </is>
      </c>
      <c r="B273" s="1" t="n">
        <v>44684</v>
      </c>
      <c r="C273" s="1" t="n">
        <v>45828</v>
      </c>
      <c r="D273" t="inlineStr">
        <is>
          <t>DALARNAS LÄN</t>
        </is>
      </c>
      <c r="E273" t="inlineStr">
        <is>
          <t>LEKSAND</t>
        </is>
      </c>
      <c r="F273" t="inlineStr">
        <is>
          <t>Övriga Aktiebolag</t>
        </is>
      </c>
      <c r="G273" t="n">
        <v>0.7</v>
      </c>
      <c r="H273" t="n">
        <v>0</v>
      </c>
      <c r="I273" t="n">
        <v>0</v>
      </c>
      <c r="J273" t="n">
        <v>0</v>
      </c>
      <c r="K273" t="n">
        <v>0</v>
      </c>
      <c r="L273" t="n">
        <v>0</v>
      </c>
      <c r="M273" t="n">
        <v>0</v>
      </c>
      <c r="N273" t="n">
        <v>0</v>
      </c>
      <c r="O273" t="n">
        <v>0</v>
      </c>
      <c r="P273" t="n">
        <v>0</v>
      </c>
      <c r="Q273" t="n">
        <v>0</v>
      </c>
      <c r="R273" s="2" t="inlineStr"/>
    </row>
    <row r="274" ht="15" customHeight="1">
      <c r="A274" t="inlineStr">
        <is>
          <t>A 18866-2022</t>
        </is>
      </c>
      <c r="B274" s="1" t="n">
        <v>44690</v>
      </c>
      <c r="C274" s="1" t="n">
        <v>45828</v>
      </c>
      <c r="D274" t="inlineStr">
        <is>
          <t>DALARNAS LÄN</t>
        </is>
      </c>
      <c r="E274" t="inlineStr">
        <is>
          <t>LEKSAND</t>
        </is>
      </c>
      <c r="F274" t="inlineStr">
        <is>
          <t>Övriga Aktiebolag</t>
        </is>
      </c>
      <c r="G274" t="n">
        <v>5.1</v>
      </c>
      <c r="H274" t="n">
        <v>0</v>
      </c>
      <c r="I274" t="n">
        <v>0</v>
      </c>
      <c r="J274" t="n">
        <v>0</v>
      </c>
      <c r="K274" t="n">
        <v>0</v>
      </c>
      <c r="L274" t="n">
        <v>0</v>
      </c>
      <c r="M274" t="n">
        <v>0</v>
      </c>
      <c r="N274" t="n">
        <v>0</v>
      </c>
      <c r="O274" t="n">
        <v>0</v>
      </c>
      <c r="P274" t="n">
        <v>0</v>
      </c>
      <c r="Q274" t="n">
        <v>0</v>
      </c>
      <c r="R274" s="2" t="inlineStr"/>
    </row>
    <row r="275" ht="15" customHeight="1">
      <c r="A275" t="inlineStr">
        <is>
          <t>A 18870-2022</t>
        </is>
      </c>
      <c r="B275" s="1" t="n">
        <v>44690</v>
      </c>
      <c r="C275" s="1" t="n">
        <v>45828</v>
      </c>
      <c r="D275" t="inlineStr">
        <is>
          <t>DALARNAS LÄN</t>
        </is>
      </c>
      <c r="E275" t="inlineStr">
        <is>
          <t>LEKSAND</t>
        </is>
      </c>
      <c r="F275" t="inlineStr">
        <is>
          <t>Övriga Aktiebolag</t>
        </is>
      </c>
      <c r="G275" t="n">
        <v>3.1</v>
      </c>
      <c r="H275" t="n">
        <v>0</v>
      </c>
      <c r="I275" t="n">
        <v>0</v>
      </c>
      <c r="J275" t="n">
        <v>0</v>
      </c>
      <c r="K275" t="n">
        <v>0</v>
      </c>
      <c r="L275" t="n">
        <v>0</v>
      </c>
      <c r="M275" t="n">
        <v>0</v>
      </c>
      <c r="N275" t="n">
        <v>0</v>
      </c>
      <c r="O275" t="n">
        <v>0</v>
      </c>
      <c r="P275" t="n">
        <v>0</v>
      </c>
      <c r="Q275" t="n">
        <v>0</v>
      </c>
      <c r="R275" s="2" t="inlineStr"/>
    </row>
    <row r="276" ht="15" customHeight="1">
      <c r="A276" t="inlineStr">
        <is>
          <t>A 19467-2022</t>
        </is>
      </c>
      <c r="B276" s="1" t="n">
        <v>44693</v>
      </c>
      <c r="C276" s="1" t="n">
        <v>45828</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19480-2022</t>
        </is>
      </c>
      <c r="B277" s="1" t="n">
        <v>44693</v>
      </c>
      <c r="C277" s="1" t="n">
        <v>45828</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19993-2022</t>
        </is>
      </c>
      <c r="B278" s="1" t="n">
        <v>44697</v>
      </c>
      <c r="C278" s="1" t="n">
        <v>45828</v>
      </c>
      <c r="D278" t="inlineStr">
        <is>
          <t>DALARNAS LÄN</t>
        </is>
      </c>
      <c r="E278" t="inlineStr">
        <is>
          <t>LEKSAND</t>
        </is>
      </c>
      <c r="G278" t="n">
        <v>0.9</v>
      </c>
      <c r="H278" t="n">
        <v>0</v>
      </c>
      <c r="I278" t="n">
        <v>0</v>
      </c>
      <c r="J278" t="n">
        <v>0</v>
      </c>
      <c r="K278" t="n">
        <v>0</v>
      </c>
      <c r="L278" t="n">
        <v>0</v>
      </c>
      <c r="M278" t="n">
        <v>0</v>
      </c>
      <c r="N278" t="n">
        <v>0</v>
      </c>
      <c r="O278" t="n">
        <v>0</v>
      </c>
      <c r="P278" t="n">
        <v>0</v>
      </c>
      <c r="Q278" t="n">
        <v>0</v>
      </c>
      <c r="R278" s="2" t="inlineStr"/>
    </row>
    <row r="279" ht="15" customHeight="1">
      <c r="A279" t="inlineStr">
        <is>
          <t>A 20274-2022</t>
        </is>
      </c>
      <c r="B279" s="1" t="n">
        <v>44698</v>
      </c>
      <c r="C279" s="1" t="n">
        <v>45828</v>
      </c>
      <c r="D279" t="inlineStr">
        <is>
          <t>DALARNAS LÄN</t>
        </is>
      </c>
      <c r="E279" t="inlineStr">
        <is>
          <t>LEKSAND</t>
        </is>
      </c>
      <c r="F279" t="inlineStr">
        <is>
          <t>Bergvik skog väst AB</t>
        </is>
      </c>
      <c r="G279" t="n">
        <v>1.4</v>
      </c>
      <c r="H279" t="n">
        <v>0</v>
      </c>
      <c r="I279" t="n">
        <v>0</v>
      </c>
      <c r="J279" t="n">
        <v>0</v>
      </c>
      <c r="K279" t="n">
        <v>0</v>
      </c>
      <c r="L279" t="n">
        <v>0</v>
      </c>
      <c r="M279" t="n">
        <v>0</v>
      </c>
      <c r="N279" t="n">
        <v>0</v>
      </c>
      <c r="O279" t="n">
        <v>0</v>
      </c>
      <c r="P279" t="n">
        <v>0</v>
      </c>
      <c r="Q279" t="n">
        <v>0</v>
      </c>
      <c r="R279" s="2" t="inlineStr"/>
    </row>
    <row r="280" ht="15" customHeight="1">
      <c r="A280" t="inlineStr">
        <is>
          <t>A 21565-2022</t>
        </is>
      </c>
      <c r="B280" s="1" t="n">
        <v>44704</v>
      </c>
      <c r="C280" s="1" t="n">
        <v>45828</v>
      </c>
      <c r="D280" t="inlineStr">
        <is>
          <t>DALARNAS LÄN</t>
        </is>
      </c>
      <c r="E280" t="inlineStr">
        <is>
          <t>LEKSAND</t>
        </is>
      </c>
      <c r="G280" t="n">
        <v>2.1</v>
      </c>
      <c r="H280" t="n">
        <v>0</v>
      </c>
      <c r="I280" t="n">
        <v>0</v>
      </c>
      <c r="J280" t="n">
        <v>0</v>
      </c>
      <c r="K280" t="n">
        <v>0</v>
      </c>
      <c r="L280" t="n">
        <v>0</v>
      </c>
      <c r="M280" t="n">
        <v>0</v>
      </c>
      <c r="N280" t="n">
        <v>0</v>
      </c>
      <c r="O280" t="n">
        <v>0</v>
      </c>
      <c r="P280" t="n">
        <v>0</v>
      </c>
      <c r="Q280" t="n">
        <v>0</v>
      </c>
      <c r="R280" s="2" t="inlineStr"/>
    </row>
    <row r="281" ht="15" customHeight="1">
      <c r="A281" t="inlineStr">
        <is>
          <t>A 21841-2022</t>
        </is>
      </c>
      <c r="B281" s="1" t="n">
        <v>44711</v>
      </c>
      <c r="C281" s="1" t="n">
        <v>45828</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21839-2022</t>
        </is>
      </c>
      <c r="B282" s="1" t="n">
        <v>44711</v>
      </c>
      <c r="C282" s="1" t="n">
        <v>45828</v>
      </c>
      <c r="D282" t="inlineStr">
        <is>
          <t>DALARNAS LÄN</t>
        </is>
      </c>
      <c r="E282" t="inlineStr">
        <is>
          <t>LEKSAND</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21840-2022</t>
        </is>
      </c>
      <c r="B283" s="1" t="n">
        <v>44711</v>
      </c>
      <c r="C283" s="1" t="n">
        <v>45828</v>
      </c>
      <c r="D283" t="inlineStr">
        <is>
          <t>DALARNAS LÄN</t>
        </is>
      </c>
      <c r="E283" t="inlineStr">
        <is>
          <t>LEKSAND</t>
        </is>
      </c>
      <c r="F283" t="inlineStr">
        <is>
          <t>Bergvik skog väst AB</t>
        </is>
      </c>
      <c r="G283" t="n">
        <v>2.2</v>
      </c>
      <c r="H283" t="n">
        <v>0</v>
      </c>
      <c r="I283" t="n">
        <v>0</v>
      </c>
      <c r="J283" t="n">
        <v>0</v>
      </c>
      <c r="K283" t="n">
        <v>0</v>
      </c>
      <c r="L283" t="n">
        <v>0</v>
      </c>
      <c r="M283" t="n">
        <v>0</v>
      </c>
      <c r="N283" t="n">
        <v>0</v>
      </c>
      <c r="O283" t="n">
        <v>0</v>
      </c>
      <c r="P283" t="n">
        <v>0</v>
      </c>
      <c r="Q283" t="n">
        <v>0</v>
      </c>
      <c r="R283" s="2" t="inlineStr"/>
    </row>
    <row r="284" ht="15" customHeight="1">
      <c r="A284" t="inlineStr">
        <is>
          <t>A 22683-2022</t>
        </is>
      </c>
      <c r="B284" s="1" t="n">
        <v>44714</v>
      </c>
      <c r="C284" s="1" t="n">
        <v>45828</v>
      </c>
      <c r="D284" t="inlineStr">
        <is>
          <t>DALARNAS LÄN</t>
        </is>
      </c>
      <c r="E284" t="inlineStr">
        <is>
          <t>LEKSAND</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22681-2022</t>
        </is>
      </c>
      <c r="B285" s="1" t="n">
        <v>44714</v>
      </c>
      <c r="C285" s="1" t="n">
        <v>45828</v>
      </c>
      <c r="D285" t="inlineStr">
        <is>
          <t>DALARNAS LÄN</t>
        </is>
      </c>
      <c r="E285" t="inlineStr">
        <is>
          <t>LEKSAND</t>
        </is>
      </c>
      <c r="F285" t="inlineStr">
        <is>
          <t>Bergvik skog väst AB</t>
        </is>
      </c>
      <c r="G285" t="n">
        <v>2.8</v>
      </c>
      <c r="H285" t="n">
        <v>0</v>
      </c>
      <c r="I285" t="n">
        <v>0</v>
      </c>
      <c r="J285" t="n">
        <v>0</v>
      </c>
      <c r="K285" t="n">
        <v>0</v>
      </c>
      <c r="L285" t="n">
        <v>0</v>
      </c>
      <c r="M285" t="n">
        <v>0</v>
      </c>
      <c r="N285" t="n">
        <v>0</v>
      </c>
      <c r="O285" t="n">
        <v>0</v>
      </c>
      <c r="P285" t="n">
        <v>0</v>
      </c>
      <c r="Q285" t="n">
        <v>0</v>
      </c>
      <c r="R285" s="2" t="inlineStr"/>
    </row>
    <row r="286" ht="15" customHeight="1">
      <c r="A286" t="inlineStr">
        <is>
          <t>A 22684-2022</t>
        </is>
      </c>
      <c r="B286" s="1" t="n">
        <v>44714</v>
      </c>
      <c r="C286" s="1" t="n">
        <v>45828</v>
      </c>
      <c r="D286" t="inlineStr">
        <is>
          <t>DALARNAS LÄN</t>
        </is>
      </c>
      <c r="E286" t="inlineStr">
        <is>
          <t>LEKSAND</t>
        </is>
      </c>
      <c r="F286" t="inlineStr">
        <is>
          <t>Bergvik skog väst AB</t>
        </is>
      </c>
      <c r="G286" t="n">
        <v>1.3</v>
      </c>
      <c r="H286" t="n">
        <v>0</v>
      </c>
      <c r="I286" t="n">
        <v>0</v>
      </c>
      <c r="J286" t="n">
        <v>0</v>
      </c>
      <c r="K286" t="n">
        <v>0</v>
      </c>
      <c r="L286" t="n">
        <v>0</v>
      </c>
      <c r="M286" t="n">
        <v>0</v>
      </c>
      <c r="N286" t="n">
        <v>0</v>
      </c>
      <c r="O286" t="n">
        <v>0</v>
      </c>
      <c r="P286" t="n">
        <v>0</v>
      </c>
      <c r="Q286" t="n">
        <v>0</v>
      </c>
      <c r="R286" s="2" t="inlineStr"/>
    </row>
    <row r="287" ht="15" customHeight="1">
      <c r="A287" t="inlineStr">
        <is>
          <t>A 25329-2022</t>
        </is>
      </c>
      <c r="B287" s="1" t="n">
        <v>44731</v>
      </c>
      <c r="C287" s="1" t="n">
        <v>45828</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26289-2022</t>
        </is>
      </c>
      <c r="B288" s="1" t="n">
        <v>44735</v>
      </c>
      <c r="C288" s="1" t="n">
        <v>45828</v>
      </c>
      <c r="D288" t="inlineStr">
        <is>
          <t>DALARNAS LÄN</t>
        </is>
      </c>
      <c r="E288" t="inlineStr">
        <is>
          <t>LEKSAND</t>
        </is>
      </c>
      <c r="G288" t="n">
        <v>1</v>
      </c>
      <c r="H288" t="n">
        <v>0</v>
      </c>
      <c r="I288" t="n">
        <v>0</v>
      </c>
      <c r="J288" t="n">
        <v>0</v>
      </c>
      <c r="K288" t="n">
        <v>0</v>
      </c>
      <c r="L288" t="n">
        <v>0</v>
      </c>
      <c r="M288" t="n">
        <v>0</v>
      </c>
      <c r="N288" t="n">
        <v>0</v>
      </c>
      <c r="O288" t="n">
        <v>0</v>
      </c>
      <c r="P288" t="n">
        <v>0</v>
      </c>
      <c r="Q288" t="n">
        <v>0</v>
      </c>
      <c r="R288" s="2" t="inlineStr"/>
    </row>
    <row r="289" ht="15" customHeight="1">
      <c r="A289" t="inlineStr">
        <is>
          <t>A 26882-2022</t>
        </is>
      </c>
      <c r="B289" s="1" t="n">
        <v>44740</v>
      </c>
      <c r="C289" s="1" t="n">
        <v>45828</v>
      </c>
      <c r="D289" t="inlineStr">
        <is>
          <t>DALARNAS LÄN</t>
        </is>
      </c>
      <c r="E289" t="inlineStr">
        <is>
          <t>LEKSAND</t>
        </is>
      </c>
      <c r="G289" t="n">
        <v>2.2</v>
      </c>
      <c r="H289" t="n">
        <v>0</v>
      </c>
      <c r="I289" t="n">
        <v>0</v>
      </c>
      <c r="J289" t="n">
        <v>0</v>
      </c>
      <c r="K289" t="n">
        <v>0</v>
      </c>
      <c r="L289" t="n">
        <v>0</v>
      </c>
      <c r="M289" t="n">
        <v>0</v>
      </c>
      <c r="N289" t="n">
        <v>0</v>
      </c>
      <c r="O289" t="n">
        <v>0</v>
      </c>
      <c r="P289" t="n">
        <v>0</v>
      </c>
      <c r="Q289" t="n">
        <v>0</v>
      </c>
      <c r="R289" s="2" t="inlineStr"/>
    </row>
    <row r="290" ht="15" customHeight="1">
      <c r="A290" t="inlineStr">
        <is>
          <t>A 28128-2022</t>
        </is>
      </c>
      <c r="B290" s="1" t="n">
        <v>44746</v>
      </c>
      <c r="C290" s="1" t="n">
        <v>45828</v>
      </c>
      <c r="D290" t="inlineStr">
        <is>
          <t>DALARNAS LÄN</t>
        </is>
      </c>
      <c r="E290" t="inlineStr">
        <is>
          <t>LEKSAND</t>
        </is>
      </c>
      <c r="G290" t="n">
        <v>3.5</v>
      </c>
      <c r="H290" t="n">
        <v>0</v>
      </c>
      <c r="I290" t="n">
        <v>0</v>
      </c>
      <c r="J290" t="n">
        <v>0</v>
      </c>
      <c r="K290" t="n">
        <v>0</v>
      </c>
      <c r="L290" t="n">
        <v>0</v>
      </c>
      <c r="M290" t="n">
        <v>0</v>
      </c>
      <c r="N290" t="n">
        <v>0</v>
      </c>
      <c r="O290" t="n">
        <v>0</v>
      </c>
      <c r="P290" t="n">
        <v>0</v>
      </c>
      <c r="Q290" t="n">
        <v>0</v>
      </c>
      <c r="R290" s="2" t="inlineStr"/>
    </row>
    <row r="291" ht="15" customHeight="1">
      <c r="A291" t="inlineStr">
        <is>
          <t>A 28911-2022</t>
        </is>
      </c>
      <c r="B291" s="1" t="n">
        <v>44749</v>
      </c>
      <c r="C291" s="1" t="n">
        <v>45828</v>
      </c>
      <c r="D291" t="inlineStr">
        <is>
          <t>DALARNAS LÄN</t>
        </is>
      </c>
      <c r="E291" t="inlineStr">
        <is>
          <t>LEKSAND</t>
        </is>
      </c>
      <c r="F291" t="inlineStr">
        <is>
          <t>Bergvik skog väst AB</t>
        </is>
      </c>
      <c r="G291" t="n">
        <v>2.4</v>
      </c>
      <c r="H291" t="n">
        <v>0</v>
      </c>
      <c r="I291" t="n">
        <v>0</v>
      </c>
      <c r="J291" t="n">
        <v>0</v>
      </c>
      <c r="K291" t="n">
        <v>0</v>
      </c>
      <c r="L291" t="n">
        <v>0</v>
      </c>
      <c r="M291" t="n">
        <v>0</v>
      </c>
      <c r="N291" t="n">
        <v>0</v>
      </c>
      <c r="O291" t="n">
        <v>0</v>
      </c>
      <c r="P291" t="n">
        <v>0</v>
      </c>
      <c r="Q291" t="n">
        <v>0</v>
      </c>
      <c r="R291" s="2" t="inlineStr"/>
    </row>
    <row r="292" ht="15" customHeight="1">
      <c r="A292" t="inlineStr">
        <is>
          <t>A 28892-2022</t>
        </is>
      </c>
      <c r="B292" s="1" t="n">
        <v>44749</v>
      </c>
      <c r="C292" s="1" t="n">
        <v>45828</v>
      </c>
      <c r="D292" t="inlineStr">
        <is>
          <t>DALARNAS LÄN</t>
        </is>
      </c>
      <c r="E292" t="inlineStr">
        <is>
          <t>LEKSAND</t>
        </is>
      </c>
      <c r="F292" t="inlineStr">
        <is>
          <t>Bergvik skog väst AB</t>
        </is>
      </c>
      <c r="G292" t="n">
        <v>9.1</v>
      </c>
      <c r="H292" t="n">
        <v>0</v>
      </c>
      <c r="I292" t="n">
        <v>0</v>
      </c>
      <c r="J292" t="n">
        <v>0</v>
      </c>
      <c r="K292" t="n">
        <v>0</v>
      </c>
      <c r="L292" t="n">
        <v>0</v>
      </c>
      <c r="M292" t="n">
        <v>0</v>
      </c>
      <c r="N292" t="n">
        <v>0</v>
      </c>
      <c r="O292" t="n">
        <v>0</v>
      </c>
      <c r="P292" t="n">
        <v>0</v>
      </c>
      <c r="Q292" t="n">
        <v>0</v>
      </c>
      <c r="R292" s="2" t="inlineStr"/>
    </row>
    <row r="293" ht="15" customHeight="1">
      <c r="A293" t="inlineStr">
        <is>
          <t>A 28912-2022</t>
        </is>
      </c>
      <c r="B293" s="1" t="n">
        <v>44749</v>
      </c>
      <c r="C293" s="1" t="n">
        <v>45828</v>
      </c>
      <c r="D293" t="inlineStr">
        <is>
          <t>DALARNAS LÄN</t>
        </is>
      </c>
      <c r="E293" t="inlineStr">
        <is>
          <t>LEKSAND</t>
        </is>
      </c>
      <c r="G293" t="n">
        <v>2.5</v>
      </c>
      <c r="H293" t="n">
        <v>0</v>
      </c>
      <c r="I293" t="n">
        <v>0</v>
      </c>
      <c r="J293" t="n">
        <v>0</v>
      </c>
      <c r="K293" t="n">
        <v>0</v>
      </c>
      <c r="L293" t="n">
        <v>0</v>
      </c>
      <c r="M293" t="n">
        <v>0</v>
      </c>
      <c r="N293" t="n">
        <v>0</v>
      </c>
      <c r="O293" t="n">
        <v>0</v>
      </c>
      <c r="P293" t="n">
        <v>0</v>
      </c>
      <c r="Q293" t="n">
        <v>0</v>
      </c>
      <c r="R293" s="2" t="inlineStr"/>
    </row>
    <row r="294" ht="15" customHeight="1">
      <c r="A294" t="inlineStr">
        <is>
          <t>A 29205-2022</t>
        </is>
      </c>
      <c r="B294" s="1" t="n">
        <v>44750</v>
      </c>
      <c r="C294" s="1" t="n">
        <v>45828</v>
      </c>
      <c r="D294" t="inlineStr">
        <is>
          <t>DALARNAS LÄN</t>
        </is>
      </c>
      <c r="E294" t="inlineStr">
        <is>
          <t>LEKSAND</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29157-2022</t>
        </is>
      </c>
      <c r="B295" s="1" t="n">
        <v>44750</v>
      </c>
      <c r="C295" s="1" t="n">
        <v>45828</v>
      </c>
      <c r="D295" t="inlineStr">
        <is>
          <t>DALARNAS LÄN</t>
        </is>
      </c>
      <c r="E295" t="inlineStr">
        <is>
          <t>LEKSAND</t>
        </is>
      </c>
      <c r="F295" t="inlineStr">
        <is>
          <t>Bergvik skog väst AB</t>
        </is>
      </c>
      <c r="G295" t="n">
        <v>2.7</v>
      </c>
      <c r="H295" t="n">
        <v>0</v>
      </c>
      <c r="I295" t="n">
        <v>0</v>
      </c>
      <c r="J295" t="n">
        <v>0</v>
      </c>
      <c r="K295" t="n">
        <v>0</v>
      </c>
      <c r="L295" t="n">
        <v>0</v>
      </c>
      <c r="M295" t="n">
        <v>0</v>
      </c>
      <c r="N295" t="n">
        <v>0</v>
      </c>
      <c r="O295" t="n">
        <v>0</v>
      </c>
      <c r="P295" t="n">
        <v>0</v>
      </c>
      <c r="Q295" t="n">
        <v>0</v>
      </c>
      <c r="R295" s="2" t="inlineStr"/>
    </row>
    <row r="296" ht="15" customHeight="1">
      <c r="A296" t="inlineStr">
        <is>
          <t>A 30449-2022</t>
        </is>
      </c>
      <c r="B296" s="1" t="n">
        <v>44761</v>
      </c>
      <c r="C296" s="1" t="n">
        <v>45828</v>
      </c>
      <c r="D296" t="inlineStr">
        <is>
          <t>DALARNAS LÄN</t>
        </is>
      </c>
      <c r="E296" t="inlineStr">
        <is>
          <t>LEKSAND</t>
        </is>
      </c>
      <c r="G296" t="n">
        <v>5.7</v>
      </c>
      <c r="H296" t="n">
        <v>0</v>
      </c>
      <c r="I296" t="n">
        <v>0</v>
      </c>
      <c r="J296" t="n">
        <v>0</v>
      </c>
      <c r="K296" t="n">
        <v>0</v>
      </c>
      <c r="L296" t="n">
        <v>0</v>
      </c>
      <c r="M296" t="n">
        <v>0</v>
      </c>
      <c r="N296" t="n">
        <v>0</v>
      </c>
      <c r="O296" t="n">
        <v>0</v>
      </c>
      <c r="P296" t="n">
        <v>0</v>
      </c>
      <c r="Q296" t="n">
        <v>0</v>
      </c>
      <c r="R296" s="2" t="inlineStr"/>
    </row>
    <row r="297" ht="15" customHeight="1">
      <c r="A297" t="inlineStr">
        <is>
          <t>A 31746-2022</t>
        </is>
      </c>
      <c r="B297" s="1" t="n">
        <v>44776</v>
      </c>
      <c r="C297" s="1" t="n">
        <v>45828</v>
      </c>
      <c r="D297" t="inlineStr">
        <is>
          <t>DALARNAS LÄN</t>
        </is>
      </c>
      <c r="E297" t="inlineStr">
        <is>
          <t>LEKSAND</t>
        </is>
      </c>
      <c r="G297" t="n">
        <v>3.3</v>
      </c>
      <c r="H297" t="n">
        <v>0</v>
      </c>
      <c r="I297" t="n">
        <v>0</v>
      </c>
      <c r="J297" t="n">
        <v>0</v>
      </c>
      <c r="K297" t="n">
        <v>0</v>
      </c>
      <c r="L297" t="n">
        <v>0</v>
      </c>
      <c r="M297" t="n">
        <v>0</v>
      </c>
      <c r="N297" t="n">
        <v>0</v>
      </c>
      <c r="O297" t="n">
        <v>0</v>
      </c>
      <c r="P297" t="n">
        <v>0</v>
      </c>
      <c r="Q297" t="n">
        <v>0</v>
      </c>
      <c r="R297" s="2" t="inlineStr"/>
    </row>
    <row r="298" ht="15" customHeight="1">
      <c r="A298" t="inlineStr">
        <is>
          <t>A 31871-2022</t>
        </is>
      </c>
      <c r="B298" s="1" t="n">
        <v>44777</v>
      </c>
      <c r="C298" s="1" t="n">
        <v>45828</v>
      </c>
      <c r="D298" t="inlineStr">
        <is>
          <t>DALARNAS LÄN</t>
        </is>
      </c>
      <c r="E298" t="inlineStr">
        <is>
          <t>LEKSAND</t>
        </is>
      </c>
      <c r="G298" t="n">
        <v>4.1</v>
      </c>
      <c r="H298" t="n">
        <v>0</v>
      </c>
      <c r="I298" t="n">
        <v>0</v>
      </c>
      <c r="J298" t="n">
        <v>0</v>
      </c>
      <c r="K298" t="n">
        <v>0</v>
      </c>
      <c r="L298" t="n">
        <v>0</v>
      </c>
      <c r="M298" t="n">
        <v>0</v>
      </c>
      <c r="N298" t="n">
        <v>0</v>
      </c>
      <c r="O298" t="n">
        <v>0</v>
      </c>
      <c r="P298" t="n">
        <v>0</v>
      </c>
      <c r="Q298" t="n">
        <v>0</v>
      </c>
      <c r="R298" s="2" t="inlineStr"/>
    </row>
    <row r="299" ht="15" customHeight="1">
      <c r="A299" t="inlineStr">
        <is>
          <t>A 32225-2022</t>
        </is>
      </c>
      <c r="B299" s="1" t="n">
        <v>44781</v>
      </c>
      <c r="C299" s="1" t="n">
        <v>45828</v>
      </c>
      <c r="D299" t="inlineStr">
        <is>
          <t>DALARNAS LÄN</t>
        </is>
      </c>
      <c r="E299" t="inlineStr">
        <is>
          <t>LEKSAND</t>
        </is>
      </c>
      <c r="F299" t="inlineStr">
        <is>
          <t>Bergvik skog väst AB</t>
        </is>
      </c>
      <c r="G299" t="n">
        <v>3.2</v>
      </c>
      <c r="H299" t="n">
        <v>0</v>
      </c>
      <c r="I299" t="n">
        <v>0</v>
      </c>
      <c r="J299" t="n">
        <v>0</v>
      </c>
      <c r="K299" t="n">
        <v>0</v>
      </c>
      <c r="L299" t="n">
        <v>0</v>
      </c>
      <c r="M299" t="n">
        <v>0</v>
      </c>
      <c r="N299" t="n">
        <v>0</v>
      </c>
      <c r="O299" t="n">
        <v>0</v>
      </c>
      <c r="P299" t="n">
        <v>0</v>
      </c>
      <c r="Q299" t="n">
        <v>0</v>
      </c>
      <c r="R299" s="2" t="inlineStr"/>
    </row>
    <row r="300" ht="15" customHeight="1">
      <c r="A300" t="inlineStr">
        <is>
          <t>A 32476-2022</t>
        </is>
      </c>
      <c r="B300" s="1" t="n">
        <v>44782</v>
      </c>
      <c r="C300" s="1" t="n">
        <v>45828</v>
      </c>
      <c r="D300" t="inlineStr">
        <is>
          <t>DALARNAS LÄN</t>
        </is>
      </c>
      <c r="E300" t="inlineStr">
        <is>
          <t>LEKSAND</t>
        </is>
      </c>
      <c r="G300" t="n">
        <v>5.6</v>
      </c>
      <c r="H300" t="n">
        <v>0</v>
      </c>
      <c r="I300" t="n">
        <v>0</v>
      </c>
      <c r="J300" t="n">
        <v>0</v>
      </c>
      <c r="K300" t="n">
        <v>0</v>
      </c>
      <c r="L300" t="n">
        <v>0</v>
      </c>
      <c r="M300" t="n">
        <v>0</v>
      </c>
      <c r="N300" t="n">
        <v>0</v>
      </c>
      <c r="O300" t="n">
        <v>0</v>
      </c>
      <c r="P300" t="n">
        <v>0</v>
      </c>
      <c r="Q300" t="n">
        <v>0</v>
      </c>
      <c r="R300" s="2" t="inlineStr"/>
    </row>
    <row r="301" ht="15" customHeight="1">
      <c r="A301" t="inlineStr">
        <is>
          <t>A 32791-2022</t>
        </is>
      </c>
      <c r="B301" s="1" t="n">
        <v>44784</v>
      </c>
      <c r="C301" s="1" t="n">
        <v>45828</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33198-2022</t>
        </is>
      </c>
      <c r="B302" s="1" t="n">
        <v>44785</v>
      </c>
      <c r="C302" s="1" t="n">
        <v>45828</v>
      </c>
      <c r="D302" t="inlineStr">
        <is>
          <t>DALARNAS LÄN</t>
        </is>
      </c>
      <c r="E302" t="inlineStr">
        <is>
          <t>LEKSAND</t>
        </is>
      </c>
      <c r="G302" t="n">
        <v>1.5</v>
      </c>
      <c r="H302" t="n">
        <v>0</v>
      </c>
      <c r="I302" t="n">
        <v>0</v>
      </c>
      <c r="J302" t="n">
        <v>0</v>
      </c>
      <c r="K302" t="n">
        <v>0</v>
      </c>
      <c r="L302" t="n">
        <v>0</v>
      </c>
      <c r="M302" t="n">
        <v>0</v>
      </c>
      <c r="N302" t="n">
        <v>0</v>
      </c>
      <c r="O302" t="n">
        <v>0</v>
      </c>
      <c r="P302" t="n">
        <v>0</v>
      </c>
      <c r="Q302" t="n">
        <v>0</v>
      </c>
      <c r="R302" s="2" t="inlineStr"/>
    </row>
    <row r="303" ht="15" customHeight="1">
      <c r="A303" t="inlineStr">
        <is>
          <t>A 34317-2022</t>
        </is>
      </c>
      <c r="B303" s="1" t="n">
        <v>44792</v>
      </c>
      <c r="C303" s="1" t="n">
        <v>45828</v>
      </c>
      <c r="D303" t="inlineStr">
        <is>
          <t>DALARNAS LÄN</t>
        </is>
      </c>
      <c r="E303" t="inlineStr">
        <is>
          <t>LEKSAND</t>
        </is>
      </c>
      <c r="G303" t="n">
        <v>0.8</v>
      </c>
      <c r="H303" t="n">
        <v>0</v>
      </c>
      <c r="I303" t="n">
        <v>0</v>
      </c>
      <c r="J303" t="n">
        <v>0</v>
      </c>
      <c r="K303" t="n">
        <v>0</v>
      </c>
      <c r="L303" t="n">
        <v>0</v>
      </c>
      <c r="M303" t="n">
        <v>0</v>
      </c>
      <c r="N303" t="n">
        <v>0</v>
      </c>
      <c r="O303" t="n">
        <v>0</v>
      </c>
      <c r="P303" t="n">
        <v>0</v>
      </c>
      <c r="Q303" t="n">
        <v>0</v>
      </c>
      <c r="R303" s="2" t="inlineStr"/>
    </row>
    <row r="304" ht="15" customHeight="1">
      <c r="A304" t="inlineStr">
        <is>
          <t>A 34482-2022</t>
        </is>
      </c>
      <c r="B304" s="1" t="n">
        <v>44792</v>
      </c>
      <c r="C304" s="1" t="n">
        <v>45828</v>
      </c>
      <c r="D304" t="inlineStr">
        <is>
          <t>DALARNAS LÄN</t>
        </is>
      </c>
      <c r="E304" t="inlineStr">
        <is>
          <t>LEKSAND</t>
        </is>
      </c>
      <c r="G304" t="n">
        <v>2.6</v>
      </c>
      <c r="H304" t="n">
        <v>0</v>
      </c>
      <c r="I304" t="n">
        <v>0</v>
      </c>
      <c r="J304" t="n">
        <v>0</v>
      </c>
      <c r="K304" t="n">
        <v>0</v>
      </c>
      <c r="L304" t="n">
        <v>0</v>
      </c>
      <c r="M304" t="n">
        <v>0</v>
      </c>
      <c r="N304" t="n">
        <v>0</v>
      </c>
      <c r="O304" t="n">
        <v>0</v>
      </c>
      <c r="P304" t="n">
        <v>0</v>
      </c>
      <c r="Q304" t="n">
        <v>0</v>
      </c>
      <c r="R304" s="2" t="inlineStr"/>
    </row>
    <row r="305" ht="15" customHeight="1">
      <c r="A305" t="inlineStr">
        <is>
          <t>A 35080-2022</t>
        </is>
      </c>
      <c r="B305" s="1" t="n">
        <v>44797</v>
      </c>
      <c r="C305" s="1" t="n">
        <v>45828</v>
      </c>
      <c r="D305" t="inlineStr">
        <is>
          <t>DALARNAS LÄN</t>
        </is>
      </c>
      <c r="E305" t="inlineStr">
        <is>
          <t>LEKSAND</t>
        </is>
      </c>
      <c r="G305" t="n">
        <v>1.2</v>
      </c>
      <c r="H305" t="n">
        <v>0</v>
      </c>
      <c r="I305" t="n">
        <v>0</v>
      </c>
      <c r="J305" t="n">
        <v>0</v>
      </c>
      <c r="K305" t="n">
        <v>0</v>
      </c>
      <c r="L305" t="n">
        <v>0</v>
      </c>
      <c r="M305" t="n">
        <v>0</v>
      </c>
      <c r="N305" t="n">
        <v>0</v>
      </c>
      <c r="O305" t="n">
        <v>0</v>
      </c>
      <c r="P305" t="n">
        <v>0</v>
      </c>
      <c r="Q305" t="n">
        <v>0</v>
      </c>
      <c r="R305" s="2" t="inlineStr"/>
    </row>
    <row r="306" ht="15" customHeight="1">
      <c r="A306" t="inlineStr">
        <is>
          <t>A 35087-2022</t>
        </is>
      </c>
      <c r="B306" s="1" t="n">
        <v>44797</v>
      </c>
      <c r="C306" s="1" t="n">
        <v>45828</v>
      </c>
      <c r="D306" t="inlineStr">
        <is>
          <t>DALARNAS LÄN</t>
        </is>
      </c>
      <c r="E306" t="inlineStr">
        <is>
          <t>LEKSAND</t>
        </is>
      </c>
      <c r="G306" t="n">
        <v>1.4</v>
      </c>
      <c r="H306" t="n">
        <v>0</v>
      </c>
      <c r="I306" t="n">
        <v>0</v>
      </c>
      <c r="J306" t="n">
        <v>0</v>
      </c>
      <c r="K306" t="n">
        <v>0</v>
      </c>
      <c r="L306" t="n">
        <v>0</v>
      </c>
      <c r="M306" t="n">
        <v>0</v>
      </c>
      <c r="N306" t="n">
        <v>0</v>
      </c>
      <c r="O306" t="n">
        <v>0</v>
      </c>
      <c r="P306" t="n">
        <v>0</v>
      </c>
      <c r="Q306" t="n">
        <v>0</v>
      </c>
      <c r="R306" s="2" t="inlineStr"/>
    </row>
    <row r="307" ht="15" customHeight="1">
      <c r="A307" t="inlineStr">
        <is>
          <t>A 35801-2022</t>
        </is>
      </c>
      <c r="B307" s="1" t="n">
        <v>44802</v>
      </c>
      <c r="C307" s="1" t="n">
        <v>45828</v>
      </c>
      <c r="D307" t="inlineStr">
        <is>
          <t>DALARNAS LÄN</t>
        </is>
      </c>
      <c r="E307" t="inlineStr">
        <is>
          <t>LEKSAND</t>
        </is>
      </c>
      <c r="F307" t="inlineStr">
        <is>
          <t>Bergvik skog väst AB</t>
        </is>
      </c>
      <c r="G307" t="n">
        <v>6.4</v>
      </c>
      <c r="H307" t="n">
        <v>0</v>
      </c>
      <c r="I307" t="n">
        <v>0</v>
      </c>
      <c r="J307" t="n">
        <v>0</v>
      </c>
      <c r="K307" t="n">
        <v>0</v>
      </c>
      <c r="L307" t="n">
        <v>0</v>
      </c>
      <c r="M307" t="n">
        <v>0</v>
      </c>
      <c r="N307" t="n">
        <v>0</v>
      </c>
      <c r="O307" t="n">
        <v>0</v>
      </c>
      <c r="P307" t="n">
        <v>0</v>
      </c>
      <c r="Q307" t="n">
        <v>0</v>
      </c>
      <c r="R307" s="2" t="inlineStr"/>
    </row>
    <row r="308" ht="15" customHeight="1">
      <c r="A308" t="inlineStr">
        <is>
          <t>A 35952-2022</t>
        </is>
      </c>
      <c r="B308" s="1" t="n">
        <v>44802</v>
      </c>
      <c r="C308" s="1" t="n">
        <v>45828</v>
      </c>
      <c r="D308" t="inlineStr">
        <is>
          <t>DALARNAS LÄN</t>
        </is>
      </c>
      <c r="E308" t="inlineStr">
        <is>
          <t>LEKSAND</t>
        </is>
      </c>
      <c r="G308" t="n">
        <v>4.6</v>
      </c>
      <c r="H308" t="n">
        <v>0</v>
      </c>
      <c r="I308" t="n">
        <v>0</v>
      </c>
      <c r="J308" t="n">
        <v>0</v>
      </c>
      <c r="K308" t="n">
        <v>0</v>
      </c>
      <c r="L308" t="n">
        <v>0</v>
      </c>
      <c r="M308" t="n">
        <v>0</v>
      </c>
      <c r="N308" t="n">
        <v>0</v>
      </c>
      <c r="O308" t="n">
        <v>0</v>
      </c>
      <c r="P308" t="n">
        <v>0</v>
      </c>
      <c r="Q308" t="n">
        <v>0</v>
      </c>
      <c r="R308" s="2" t="inlineStr"/>
    </row>
    <row r="309" ht="15" customHeight="1">
      <c r="A309" t="inlineStr">
        <is>
          <t>A 37300-2022</t>
        </is>
      </c>
      <c r="B309" s="1" t="n">
        <v>44808</v>
      </c>
      <c r="C309" s="1" t="n">
        <v>45828</v>
      </c>
      <c r="D309" t="inlineStr">
        <is>
          <t>DALARNAS LÄN</t>
        </is>
      </c>
      <c r="E309" t="inlineStr">
        <is>
          <t>LEKSAND</t>
        </is>
      </c>
      <c r="G309" t="n">
        <v>6.3</v>
      </c>
      <c r="H309" t="n">
        <v>0</v>
      </c>
      <c r="I309" t="n">
        <v>0</v>
      </c>
      <c r="J309" t="n">
        <v>0</v>
      </c>
      <c r="K309" t="n">
        <v>0</v>
      </c>
      <c r="L309" t="n">
        <v>0</v>
      </c>
      <c r="M309" t="n">
        <v>0</v>
      </c>
      <c r="N309" t="n">
        <v>0</v>
      </c>
      <c r="O309" t="n">
        <v>0</v>
      </c>
      <c r="P309" t="n">
        <v>0</v>
      </c>
      <c r="Q309" t="n">
        <v>0</v>
      </c>
      <c r="R309" s="2" t="inlineStr"/>
    </row>
    <row r="310" ht="15" customHeight="1">
      <c r="A310" t="inlineStr">
        <is>
          <t>A 37928-2022</t>
        </is>
      </c>
      <c r="B310" s="1" t="n">
        <v>44811</v>
      </c>
      <c r="C310" s="1" t="n">
        <v>45828</v>
      </c>
      <c r="D310" t="inlineStr">
        <is>
          <t>DALARNAS LÄN</t>
        </is>
      </c>
      <c r="E310" t="inlineStr">
        <is>
          <t>LEKSAND</t>
        </is>
      </c>
      <c r="G310" t="n">
        <v>1.8</v>
      </c>
      <c r="H310" t="n">
        <v>0</v>
      </c>
      <c r="I310" t="n">
        <v>0</v>
      </c>
      <c r="J310" t="n">
        <v>0</v>
      </c>
      <c r="K310" t="n">
        <v>0</v>
      </c>
      <c r="L310" t="n">
        <v>0</v>
      </c>
      <c r="M310" t="n">
        <v>0</v>
      </c>
      <c r="N310" t="n">
        <v>0</v>
      </c>
      <c r="O310" t="n">
        <v>0</v>
      </c>
      <c r="P310" t="n">
        <v>0</v>
      </c>
      <c r="Q310" t="n">
        <v>0</v>
      </c>
      <c r="R310" s="2" t="inlineStr"/>
    </row>
    <row r="311" ht="15" customHeight="1">
      <c r="A311" t="inlineStr">
        <is>
          <t>A 38236-2022</t>
        </is>
      </c>
      <c r="B311" s="1" t="n">
        <v>44812</v>
      </c>
      <c r="C311" s="1" t="n">
        <v>45828</v>
      </c>
      <c r="D311" t="inlineStr">
        <is>
          <t>DALARNAS LÄN</t>
        </is>
      </c>
      <c r="E311" t="inlineStr">
        <is>
          <t>LEKSAND</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38258-2022</t>
        </is>
      </c>
      <c r="B312" s="1" t="n">
        <v>44812</v>
      </c>
      <c r="C312" s="1" t="n">
        <v>45828</v>
      </c>
      <c r="D312" t="inlineStr">
        <is>
          <t>DALARNAS LÄN</t>
        </is>
      </c>
      <c r="E312" t="inlineStr">
        <is>
          <t>LEKSAND</t>
        </is>
      </c>
      <c r="G312" t="n">
        <v>3.9</v>
      </c>
      <c r="H312" t="n">
        <v>0</v>
      </c>
      <c r="I312" t="n">
        <v>0</v>
      </c>
      <c r="J312" t="n">
        <v>0</v>
      </c>
      <c r="K312" t="n">
        <v>0</v>
      </c>
      <c r="L312" t="n">
        <v>0</v>
      </c>
      <c r="M312" t="n">
        <v>0</v>
      </c>
      <c r="N312" t="n">
        <v>0</v>
      </c>
      <c r="O312" t="n">
        <v>0</v>
      </c>
      <c r="P312" t="n">
        <v>0</v>
      </c>
      <c r="Q312" t="n">
        <v>0</v>
      </c>
      <c r="R312" s="2" t="inlineStr"/>
    </row>
    <row r="313" ht="15" customHeight="1">
      <c r="A313" t="inlineStr">
        <is>
          <t>A 38764-2022</t>
        </is>
      </c>
      <c r="B313" s="1" t="n">
        <v>44816</v>
      </c>
      <c r="C313" s="1" t="n">
        <v>45828</v>
      </c>
      <c r="D313" t="inlineStr">
        <is>
          <t>DALARNAS LÄN</t>
        </is>
      </c>
      <c r="E313" t="inlineStr">
        <is>
          <t>LEKSAND</t>
        </is>
      </c>
      <c r="G313" t="n">
        <v>0.6</v>
      </c>
      <c r="H313" t="n">
        <v>0</v>
      </c>
      <c r="I313" t="n">
        <v>0</v>
      </c>
      <c r="J313" t="n">
        <v>0</v>
      </c>
      <c r="K313" t="n">
        <v>0</v>
      </c>
      <c r="L313" t="n">
        <v>0</v>
      </c>
      <c r="M313" t="n">
        <v>0</v>
      </c>
      <c r="N313" t="n">
        <v>0</v>
      </c>
      <c r="O313" t="n">
        <v>0</v>
      </c>
      <c r="P313" t="n">
        <v>0</v>
      </c>
      <c r="Q313" t="n">
        <v>0</v>
      </c>
      <c r="R313" s="2" t="inlineStr"/>
    </row>
    <row r="314" ht="15" customHeight="1">
      <c r="A314" t="inlineStr">
        <is>
          <t>A 39658-2022</t>
        </is>
      </c>
      <c r="B314" s="1" t="n">
        <v>44818</v>
      </c>
      <c r="C314" s="1" t="n">
        <v>45828</v>
      </c>
      <c r="D314" t="inlineStr">
        <is>
          <t>DALARNAS LÄN</t>
        </is>
      </c>
      <c r="E314" t="inlineStr">
        <is>
          <t>LEKSAND</t>
        </is>
      </c>
      <c r="G314" t="n">
        <v>5.4</v>
      </c>
      <c r="H314" t="n">
        <v>0</v>
      </c>
      <c r="I314" t="n">
        <v>0</v>
      </c>
      <c r="J314" t="n">
        <v>0</v>
      </c>
      <c r="K314" t="n">
        <v>0</v>
      </c>
      <c r="L314" t="n">
        <v>0</v>
      </c>
      <c r="M314" t="n">
        <v>0</v>
      </c>
      <c r="N314" t="n">
        <v>0</v>
      </c>
      <c r="O314" t="n">
        <v>0</v>
      </c>
      <c r="P314" t="n">
        <v>0</v>
      </c>
      <c r="Q314" t="n">
        <v>0</v>
      </c>
      <c r="R314" s="2" t="inlineStr"/>
    </row>
    <row r="315" ht="15" customHeight="1">
      <c r="A315" t="inlineStr">
        <is>
          <t>A 40165-2022</t>
        </is>
      </c>
      <c r="B315" s="1" t="n">
        <v>44820</v>
      </c>
      <c r="C315" s="1" t="n">
        <v>45828</v>
      </c>
      <c r="D315" t="inlineStr">
        <is>
          <t>DALARNAS LÄN</t>
        </is>
      </c>
      <c r="E315" t="inlineStr">
        <is>
          <t>LEKSAND</t>
        </is>
      </c>
      <c r="G315" t="n">
        <v>1.9</v>
      </c>
      <c r="H315" t="n">
        <v>0</v>
      </c>
      <c r="I315" t="n">
        <v>0</v>
      </c>
      <c r="J315" t="n">
        <v>0</v>
      </c>
      <c r="K315" t="n">
        <v>0</v>
      </c>
      <c r="L315" t="n">
        <v>0</v>
      </c>
      <c r="M315" t="n">
        <v>0</v>
      </c>
      <c r="N315" t="n">
        <v>0</v>
      </c>
      <c r="O315" t="n">
        <v>0</v>
      </c>
      <c r="P315" t="n">
        <v>0</v>
      </c>
      <c r="Q315" t="n">
        <v>0</v>
      </c>
      <c r="R315" s="2" t="inlineStr"/>
    </row>
    <row r="316" ht="15" customHeight="1">
      <c r="A316" t="inlineStr">
        <is>
          <t>A 41351-2022</t>
        </is>
      </c>
      <c r="B316" s="1" t="n">
        <v>44824</v>
      </c>
      <c r="C316" s="1" t="n">
        <v>45828</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43275-2022</t>
        </is>
      </c>
      <c r="B317" s="1" t="n">
        <v>44824</v>
      </c>
      <c r="C317" s="1" t="n">
        <v>45828</v>
      </c>
      <c r="D317" t="inlineStr">
        <is>
          <t>DALARNAS LÄN</t>
        </is>
      </c>
      <c r="E317" t="inlineStr">
        <is>
          <t>LEKSAND</t>
        </is>
      </c>
      <c r="G317" t="n">
        <v>2.1</v>
      </c>
      <c r="H317" t="n">
        <v>0</v>
      </c>
      <c r="I317" t="n">
        <v>0</v>
      </c>
      <c r="J317" t="n">
        <v>0</v>
      </c>
      <c r="K317" t="n">
        <v>0</v>
      </c>
      <c r="L317" t="n">
        <v>0</v>
      </c>
      <c r="M317" t="n">
        <v>0</v>
      </c>
      <c r="N317" t="n">
        <v>0</v>
      </c>
      <c r="O317" t="n">
        <v>0</v>
      </c>
      <c r="P317" t="n">
        <v>0</v>
      </c>
      <c r="Q317" t="n">
        <v>0</v>
      </c>
      <c r="R317" s="2" t="inlineStr"/>
    </row>
    <row r="318" ht="15" customHeight="1">
      <c r="A318" t="inlineStr">
        <is>
          <t>A 41869-2022</t>
        </is>
      </c>
      <c r="B318" s="1" t="n">
        <v>44829</v>
      </c>
      <c r="C318" s="1" t="n">
        <v>45828</v>
      </c>
      <c r="D318" t="inlineStr">
        <is>
          <t>DALARNAS LÄN</t>
        </is>
      </c>
      <c r="E318" t="inlineStr">
        <is>
          <t>LEKSAND</t>
        </is>
      </c>
      <c r="G318" t="n">
        <v>1.2</v>
      </c>
      <c r="H318" t="n">
        <v>0</v>
      </c>
      <c r="I318" t="n">
        <v>0</v>
      </c>
      <c r="J318" t="n">
        <v>0</v>
      </c>
      <c r="K318" t="n">
        <v>0</v>
      </c>
      <c r="L318" t="n">
        <v>0</v>
      </c>
      <c r="M318" t="n">
        <v>0</v>
      </c>
      <c r="N318" t="n">
        <v>0</v>
      </c>
      <c r="O318" t="n">
        <v>0</v>
      </c>
      <c r="P318" t="n">
        <v>0</v>
      </c>
      <c r="Q318" t="n">
        <v>0</v>
      </c>
      <c r="R318" s="2" t="inlineStr"/>
    </row>
    <row r="319" ht="15" customHeight="1">
      <c r="A319" t="inlineStr">
        <is>
          <t>A 43300-2022</t>
        </is>
      </c>
      <c r="B319" s="1" t="n">
        <v>44834</v>
      </c>
      <c r="C319" s="1" t="n">
        <v>45828</v>
      </c>
      <c r="D319" t="inlineStr">
        <is>
          <t>DALARNAS LÄN</t>
        </is>
      </c>
      <c r="E319" t="inlineStr">
        <is>
          <t>LEKSAND</t>
        </is>
      </c>
      <c r="G319" t="n">
        <v>1.4</v>
      </c>
      <c r="H319" t="n">
        <v>0</v>
      </c>
      <c r="I319" t="n">
        <v>0</v>
      </c>
      <c r="J319" t="n">
        <v>0</v>
      </c>
      <c r="K319" t="n">
        <v>0</v>
      </c>
      <c r="L319" t="n">
        <v>0</v>
      </c>
      <c r="M319" t="n">
        <v>0</v>
      </c>
      <c r="N319" t="n">
        <v>0</v>
      </c>
      <c r="O319" t="n">
        <v>0</v>
      </c>
      <c r="P319" t="n">
        <v>0</v>
      </c>
      <c r="Q319" t="n">
        <v>0</v>
      </c>
      <c r="R319" s="2" t="inlineStr"/>
    </row>
    <row r="320" ht="15" customHeight="1">
      <c r="A320" t="inlineStr">
        <is>
          <t>A 43304-2022</t>
        </is>
      </c>
      <c r="B320" s="1" t="n">
        <v>44834</v>
      </c>
      <c r="C320" s="1" t="n">
        <v>45828</v>
      </c>
      <c r="D320" t="inlineStr">
        <is>
          <t>DALARNAS LÄN</t>
        </is>
      </c>
      <c r="E320" t="inlineStr">
        <is>
          <t>LEKSAND</t>
        </is>
      </c>
      <c r="G320" t="n">
        <v>0.9</v>
      </c>
      <c r="H320" t="n">
        <v>0</v>
      </c>
      <c r="I320" t="n">
        <v>0</v>
      </c>
      <c r="J320" t="n">
        <v>0</v>
      </c>
      <c r="K320" t="n">
        <v>0</v>
      </c>
      <c r="L320" t="n">
        <v>0</v>
      </c>
      <c r="M320" t="n">
        <v>0</v>
      </c>
      <c r="N320" t="n">
        <v>0</v>
      </c>
      <c r="O320" t="n">
        <v>0</v>
      </c>
      <c r="P320" t="n">
        <v>0</v>
      </c>
      <c r="Q320" t="n">
        <v>0</v>
      </c>
      <c r="R320" s="2" t="inlineStr"/>
    </row>
    <row r="321" ht="15" customHeight="1">
      <c r="A321" t="inlineStr">
        <is>
          <t>A 43604-2022</t>
        </is>
      </c>
      <c r="B321" s="1" t="n">
        <v>44837</v>
      </c>
      <c r="C321" s="1" t="n">
        <v>45828</v>
      </c>
      <c r="D321" t="inlineStr">
        <is>
          <t>DALARNAS LÄN</t>
        </is>
      </c>
      <c r="E321" t="inlineStr">
        <is>
          <t>LEKSAND</t>
        </is>
      </c>
      <c r="F321" t="inlineStr">
        <is>
          <t>Bergvik skog väst AB</t>
        </is>
      </c>
      <c r="G321" t="n">
        <v>8</v>
      </c>
      <c r="H321" t="n">
        <v>0</v>
      </c>
      <c r="I321" t="n">
        <v>0</v>
      </c>
      <c r="J321" t="n">
        <v>0</v>
      </c>
      <c r="K321" t="n">
        <v>0</v>
      </c>
      <c r="L321" t="n">
        <v>0</v>
      </c>
      <c r="M321" t="n">
        <v>0</v>
      </c>
      <c r="N321" t="n">
        <v>0</v>
      </c>
      <c r="O321" t="n">
        <v>0</v>
      </c>
      <c r="P321" t="n">
        <v>0</v>
      </c>
      <c r="Q321" t="n">
        <v>0</v>
      </c>
      <c r="R321" s="2" t="inlineStr"/>
    </row>
    <row r="322" ht="15" customHeight="1">
      <c r="A322" t="inlineStr">
        <is>
          <t>A 43693-2022</t>
        </is>
      </c>
      <c r="B322" s="1" t="n">
        <v>44837</v>
      </c>
      <c r="C322" s="1" t="n">
        <v>45828</v>
      </c>
      <c r="D322" t="inlineStr">
        <is>
          <t>DALARNAS LÄN</t>
        </is>
      </c>
      <c r="E322" t="inlineStr">
        <is>
          <t>LEKSAND</t>
        </is>
      </c>
      <c r="G322" t="n">
        <v>2.7</v>
      </c>
      <c r="H322" t="n">
        <v>0</v>
      </c>
      <c r="I322" t="n">
        <v>0</v>
      </c>
      <c r="J322" t="n">
        <v>0</v>
      </c>
      <c r="K322" t="n">
        <v>0</v>
      </c>
      <c r="L322" t="n">
        <v>0</v>
      </c>
      <c r="M322" t="n">
        <v>0</v>
      </c>
      <c r="N322" t="n">
        <v>0</v>
      </c>
      <c r="O322" t="n">
        <v>0</v>
      </c>
      <c r="P322" t="n">
        <v>0</v>
      </c>
      <c r="Q322" t="n">
        <v>0</v>
      </c>
      <c r="R322" s="2" t="inlineStr"/>
    </row>
    <row r="323" ht="15" customHeight="1">
      <c r="A323" t="inlineStr">
        <is>
          <t>A 43735-2022</t>
        </is>
      </c>
      <c r="B323" s="1" t="n">
        <v>44837</v>
      </c>
      <c r="C323" s="1" t="n">
        <v>45828</v>
      </c>
      <c r="D323" t="inlineStr">
        <is>
          <t>DALARNAS LÄN</t>
        </is>
      </c>
      <c r="E323" t="inlineStr">
        <is>
          <t>LEKSAND</t>
        </is>
      </c>
      <c r="G323" t="n">
        <v>2.9</v>
      </c>
      <c r="H323" t="n">
        <v>0</v>
      </c>
      <c r="I323" t="n">
        <v>0</v>
      </c>
      <c r="J323" t="n">
        <v>0</v>
      </c>
      <c r="K323" t="n">
        <v>0</v>
      </c>
      <c r="L323" t="n">
        <v>0</v>
      </c>
      <c r="M323" t="n">
        <v>0</v>
      </c>
      <c r="N323" t="n">
        <v>0</v>
      </c>
      <c r="O323" t="n">
        <v>0</v>
      </c>
      <c r="P323" t="n">
        <v>0</v>
      </c>
      <c r="Q323" t="n">
        <v>0</v>
      </c>
      <c r="R323" s="2" t="inlineStr"/>
    </row>
    <row r="324" ht="15" customHeight="1">
      <c r="A324" t="inlineStr">
        <is>
          <t>A 44124-2022</t>
        </is>
      </c>
      <c r="B324" s="1" t="n">
        <v>44839</v>
      </c>
      <c r="C324" s="1" t="n">
        <v>45828</v>
      </c>
      <c r="D324" t="inlineStr">
        <is>
          <t>DALARNAS LÄN</t>
        </is>
      </c>
      <c r="E324" t="inlineStr">
        <is>
          <t>LEKSAND</t>
        </is>
      </c>
      <c r="G324" t="n">
        <v>8</v>
      </c>
      <c r="H324" t="n">
        <v>0</v>
      </c>
      <c r="I324" t="n">
        <v>0</v>
      </c>
      <c r="J324" t="n">
        <v>0</v>
      </c>
      <c r="K324" t="n">
        <v>0</v>
      </c>
      <c r="L324" t="n">
        <v>0</v>
      </c>
      <c r="M324" t="n">
        <v>0</v>
      </c>
      <c r="N324" t="n">
        <v>0</v>
      </c>
      <c r="O324" t="n">
        <v>0</v>
      </c>
      <c r="P324" t="n">
        <v>0</v>
      </c>
      <c r="Q324" t="n">
        <v>0</v>
      </c>
      <c r="R324" s="2" t="inlineStr"/>
    </row>
    <row r="325" ht="15" customHeight="1">
      <c r="A325" t="inlineStr">
        <is>
          <t>A 44700-2022</t>
        </is>
      </c>
      <c r="B325" s="1" t="n">
        <v>44840</v>
      </c>
      <c r="C325" s="1" t="n">
        <v>45828</v>
      </c>
      <c r="D325" t="inlineStr">
        <is>
          <t>DALARNAS LÄN</t>
        </is>
      </c>
      <c r="E325" t="inlineStr">
        <is>
          <t>LEKSAND</t>
        </is>
      </c>
      <c r="G325" t="n">
        <v>3.1</v>
      </c>
      <c r="H325" t="n">
        <v>0</v>
      </c>
      <c r="I325" t="n">
        <v>0</v>
      </c>
      <c r="J325" t="n">
        <v>0</v>
      </c>
      <c r="K325" t="n">
        <v>0</v>
      </c>
      <c r="L325" t="n">
        <v>0</v>
      </c>
      <c r="M325" t="n">
        <v>0</v>
      </c>
      <c r="N325" t="n">
        <v>0</v>
      </c>
      <c r="O325" t="n">
        <v>0</v>
      </c>
      <c r="P325" t="n">
        <v>0</v>
      </c>
      <c r="Q325" t="n">
        <v>0</v>
      </c>
      <c r="R325" s="2" t="inlineStr"/>
    </row>
    <row r="326" ht="15" customHeight="1">
      <c r="A326" t="inlineStr">
        <is>
          <t>A 45943-2022</t>
        </is>
      </c>
      <c r="B326" s="1" t="n">
        <v>44846</v>
      </c>
      <c r="C326" s="1" t="n">
        <v>45828</v>
      </c>
      <c r="D326" t="inlineStr">
        <is>
          <t>DALARNAS LÄN</t>
        </is>
      </c>
      <c r="E326" t="inlineStr">
        <is>
          <t>LEKSAND</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46141-2022</t>
        </is>
      </c>
      <c r="B327" s="1" t="n">
        <v>44846</v>
      </c>
      <c r="C327" s="1" t="n">
        <v>45828</v>
      </c>
      <c r="D327" t="inlineStr">
        <is>
          <t>DALARNAS LÄN</t>
        </is>
      </c>
      <c r="E327" t="inlineStr">
        <is>
          <t>LEKSAND</t>
        </is>
      </c>
      <c r="G327" t="n">
        <v>2.8</v>
      </c>
      <c r="H327" t="n">
        <v>0</v>
      </c>
      <c r="I327" t="n">
        <v>0</v>
      </c>
      <c r="J327" t="n">
        <v>0</v>
      </c>
      <c r="K327" t="n">
        <v>0</v>
      </c>
      <c r="L327" t="n">
        <v>0</v>
      </c>
      <c r="M327" t="n">
        <v>0</v>
      </c>
      <c r="N327" t="n">
        <v>0</v>
      </c>
      <c r="O327" t="n">
        <v>0</v>
      </c>
      <c r="P327" t="n">
        <v>0</v>
      </c>
      <c r="Q327" t="n">
        <v>0</v>
      </c>
      <c r="R327" s="2" t="inlineStr"/>
    </row>
    <row r="328" ht="15" customHeight="1">
      <c r="A328" t="inlineStr">
        <is>
          <t>A 46672-2022</t>
        </is>
      </c>
      <c r="B328" s="1" t="n">
        <v>44851</v>
      </c>
      <c r="C328" s="1" t="n">
        <v>45828</v>
      </c>
      <c r="D328" t="inlineStr">
        <is>
          <t>DALARNAS LÄN</t>
        </is>
      </c>
      <c r="E328" t="inlineStr">
        <is>
          <t>LEKSAND</t>
        </is>
      </c>
      <c r="G328" t="n">
        <v>0.7</v>
      </c>
      <c r="H328" t="n">
        <v>0</v>
      </c>
      <c r="I328" t="n">
        <v>0</v>
      </c>
      <c r="J328" t="n">
        <v>0</v>
      </c>
      <c r="K328" t="n">
        <v>0</v>
      </c>
      <c r="L328" t="n">
        <v>0</v>
      </c>
      <c r="M328" t="n">
        <v>0</v>
      </c>
      <c r="N328" t="n">
        <v>0</v>
      </c>
      <c r="O328" t="n">
        <v>0</v>
      </c>
      <c r="P328" t="n">
        <v>0</v>
      </c>
      <c r="Q328" t="n">
        <v>0</v>
      </c>
      <c r="R328" s="2" t="inlineStr"/>
    </row>
    <row r="329" ht="15" customHeight="1">
      <c r="A329" t="inlineStr">
        <is>
          <t>A 46916-2022</t>
        </is>
      </c>
      <c r="B329" s="1" t="n">
        <v>44851</v>
      </c>
      <c r="C329" s="1" t="n">
        <v>45828</v>
      </c>
      <c r="D329" t="inlineStr">
        <is>
          <t>DALARNAS LÄN</t>
        </is>
      </c>
      <c r="E329" t="inlineStr">
        <is>
          <t>LEKSAND</t>
        </is>
      </c>
      <c r="F329" t="inlineStr">
        <is>
          <t>Bergvik skog väst AB</t>
        </is>
      </c>
      <c r="G329" t="n">
        <v>9.5</v>
      </c>
      <c r="H329" t="n">
        <v>0</v>
      </c>
      <c r="I329" t="n">
        <v>0</v>
      </c>
      <c r="J329" t="n">
        <v>0</v>
      </c>
      <c r="K329" t="n">
        <v>0</v>
      </c>
      <c r="L329" t="n">
        <v>0</v>
      </c>
      <c r="M329" t="n">
        <v>0</v>
      </c>
      <c r="N329" t="n">
        <v>0</v>
      </c>
      <c r="O329" t="n">
        <v>0</v>
      </c>
      <c r="P329" t="n">
        <v>0</v>
      </c>
      <c r="Q329" t="n">
        <v>0</v>
      </c>
      <c r="R329" s="2" t="inlineStr"/>
    </row>
    <row r="330" ht="15" customHeight="1">
      <c r="A330" t="inlineStr">
        <is>
          <t>A 47441-2022</t>
        </is>
      </c>
      <c r="B330" s="1" t="n">
        <v>44853</v>
      </c>
      <c r="C330" s="1" t="n">
        <v>45828</v>
      </c>
      <c r="D330" t="inlineStr">
        <is>
          <t>DALARNAS LÄN</t>
        </is>
      </c>
      <c r="E330" t="inlineStr">
        <is>
          <t>LEKSAND</t>
        </is>
      </c>
      <c r="G330" t="n">
        <v>1.7</v>
      </c>
      <c r="H330" t="n">
        <v>0</v>
      </c>
      <c r="I330" t="n">
        <v>0</v>
      </c>
      <c r="J330" t="n">
        <v>0</v>
      </c>
      <c r="K330" t="n">
        <v>0</v>
      </c>
      <c r="L330" t="n">
        <v>0</v>
      </c>
      <c r="M330" t="n">
        <v>0</v>
      </c>
      <c r="N330" t="n">
        <v>0</v>
      </c>
      <c r="O330" t="n">
        <v>0</v>
      </c>
      <c r="P330" t="n">
        <v>0</v>
      </c>
      <c r="Q330" t="n">
        <v>0</v>
      </c>
      <c r="R330" s="2" t="inlineStr"/>
    </row>
    <row r="331" ht="15" customHeight="1">
      <c r="A331" t="inlineStr">
        <is>
          <t>A 49342-2022</t>
        </is>
      </c>
      <c r="B331" s="1" t="n">
        <v>44861</v>
      </c>
      <c r="C331" s="1" t="n">
        <v>45828</v>
      </c>
      <c r="D331" t="inlineStr">
        <is>
          <t>DALARNAS LÄN</t>
        </is>
      </c>
      <c r="E331" t="inlineStr">
        <is>
          <t>LEKSAND</t>
        </is>
      </c>
      <c r="F331" t="inlineStr">
        <is>
          <t>Bergvik skog väst AB</t>
        </is>
      </c>
      <c r="G331" t="n">
        <v>4.2</v>
      </c>
      <c r="H331" t="n">
        <v>0</v>
      </c>
      <c r="I331" t="n">
        <v>0</v>
      </c>
      <c r="J331" t="n">
        <v>0</v>
      </c>
      <c r="K331" t="n">
        <v>0</v>
      </c>
      <c r="L331" t="n">
        <v>0</v>
      </c>
      <c r="M331" t="n">
        <v>0</v>
      </c>
      <c r="N331" t="n">
        <v>0</v>
      </c>
      <c r="O331" t="n">
        <v>0</v>
      </c>
      <c r="P331" t="n">
        <v>0</v>
      </c>
      <c r="Q331" t="n">
        <v>0</v>
      </c>
      <c r="R331" s="2" t="inlineStr"/>
    </row>
    <row r="332" ht="15" customHeight="1">
      <c r="A332" t="inlineStr">
        <is>
          <t>A 49345-2022</t>
        </is>
      </c>
      <c r="B332" s="1" t="n">
        <v>44861</v>
      </c>
      <c r="C332" s="1" t="n">
        <v>45828</v>
      </c>
      <c r="D332" t="inlineStr">
        <is>
          <t>DALARNAS LÄN</t>
        </is>
      </c>
      <c r="E332" t="inlineStr">
        <is>
          <t>LEKSAND</t>
        </is>
      </c>
      <c r="F332" t="inlineStr">
        <is>
          <t>Bergvik skog väst AB</t>
        </is>
      </c>
      <c r="G332" t="n">
        <v>4.8</v>
      </c>
      <c r="H332" t="n">
        <v>0</v>
      </c>
      <c r="I332" t="n">
        <v>0</v>
      </c>
      <c r="J332" t="n">
        <v>0</v>
      </c>
      <c r="K332" t="n">
        <v>0</v>
      </c>
      <c r="L332" t="n">
        <v>0</v>
      </c>
      <c r="M332" t="n">
        <v>0</v>
      </c>
      <c r="N332" t="n">
        <v>0</v>
      </c>
      <c r="O332" t="n">
        <v>0</v>
      </c>
      <c r="P332" t="n">
        <v>0</v>
      </c>
      <c r="Q332" t="n">
        <v>0</v>
      </c>
      <c r="R332" s="2" t="inlineStr"/>
    </row>
    <row r="333" ht="15" customHeight="1">
      <c r="A333" t="inlineStr">
        <is>
          <t>A 49581-2022</t>
        </is>
      </c>
      <c r="B333" s="1" t="n">
        <v>44862</v>
      </c>
      <c r="C333" s="1" t="n">
        <v>45828</v>
      </c>
      <c r="D333" t="inlineStr">
        <is>
          <t>DALARNAS LÄN</t>
        </is>
      </c>
      <c r="E333" t="inlineStr">
        <is>
          <t>LEKSAND</t>
        </is>
      </c>
      <c r="G333" t="n">
        <v>1.8</v>
      </c>
      <c r="H333" t="n">
        <v>0</v>
      </c>
      <c r="I333" t="n">
        <v>0</v>
      </c>
      <c r="J333" t="n">
        <v>0</v>
      </c>
      <c r="K333" t="n">
        <v>0</v>
      </c>
      <c r="L333" t="n">
        <v>0</v>
      </c>
      <c r="M333" t="n">
        <v>0</v>
      </c>
      <c r="N333" t="n">
        <v>0</v>
      </c>
      <c r="O333" t="n">
        <v>0</v>
      </c>
      <c r="P333" t="n">
        <v>0</v>
      </c>
      <c r="Q333" t="n">
        <v>0</v>
      </c>
      <c r="R333" s="2" t="inlineStr"/>
    </row>
    <row r="334" ht="15" customHeight="1">
      <c r="A334" t="inlineStr">
        <is>
          <t>A 50219-2022</t>
        </is>
      </c>
      <c r="B334" s="1" t="n">
        <v>44865</v>
      </c>
      <c r="C334" s="1" t="n">
        <v>45828</v>
      </c>
      <c r="D334" t="inlineStr">
        <is>
          <t>DALARNAS LÄN</t>
        </is>
      </c>
      <c r="E334" t="inlineStr">
        <is>
          <t>LEKSAND</t>
        </is>
      </c>
      <c r="F334" t="inlineStr">
        <is>
          <t>Bergvik skog väst AB</t>
        </is>
      </c>
      <c r="G334" t="n">
        <v>0.8</v>
      </c>
      <c r="H334" t="n">
        <v>0</v>
      </c>
      <c r="I334" t="n">
        <v>0</v>
      </c>
      <c r="J334" t="n">
        <v>0</v>
      </c>
      <c r="K334" t="n">
        <v>0</v>
      </c>
      <c r="L334" t="n">
        <v>0</v>
      </c>
      <c r="M334" t="n">
        <v>0</v>
      </c>
      <c r="N334" t="n">
        <v>0</v>
      </c>
      <c r="O334" t="n">
        <v>0</v>
      </c>
      <c r="P334" t="n">
        <v>0</v>
      </c>
      <c r="Q334" t="n">
        <v>0</v>
      </c>
      <c r="R334" s="2" t="inlineStr"/>
    </row>
    <row r="335" ht="15" customHeight="1">
      <c r="A335" t="inlineStr">
        <is>
          <t>A 50353-2022</t>
        </is>
      </c>
      <c r="B335" s="1" t="n">
        <v>44866</v>
      </c>
      <c r="C335" s="1" t="n">
        <v>45828</v>
      </c>
      <c r="D335" t="inlineStr">
        <is>
          <t>DALARNAS LÄN</t>
        </is>
      </c>
      <c r="E335" t="inlineStr">
        <is>
          <t>LEKSAND</t>
        </is>
      </c>
      <c r="F335" t="inlineStr">
        <is>
          <t>Bergvik skog väst AB</t>
        </is>
      </c>
      <c r="G335" t="n">
        <v>2</v>
      </c>
      <c r="H335" t="n">
        <v>0</v>
      </c>
      <c r="I335" t="n">
        <v>0</v>
      </c>
      <c r="J335" t="n">
        <v>0</v>
      </c>
      <c r="K335" t="n">
        <v>0</v>
      </c>
      <c r="L335" t="n">
        <v>0</v>
      </c>
      <c r="M335" t="n">
        <v>0</v>
      </c>
      <c r="N335" t="n">
        <v>0</v>
      </c>
      <c r="O335" t="n">
        <v>0</v>
      </c>
      <c r="P335" t="n">
        <v>0</v>
      </c>
      <c r="Q335" t="n">
        <v>0</v>
      </c>
      <c r="R335" s="2" t="inlineStr"/>
    </row>
    <row r="336" ht="15" customHeight="1">
      <c r="A336" t="inlineStr">
        <is>
          <t>A 50352-2022</t>
        </is>
      </c>
      <c r="B336" s="1" t="n">
        <v>44866</v>
      </c>
      <c r="C336" s="1" t="n">
        <v>45828</v>
      </c>
      <c r="D336" t="inlineStr">
        <is>
          <t>DALARNAS LÄN</t>
        </is>
      </c>
      <c r="E336" t="inlineStr">
        <is>
          <t>LEKSAND</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50354-2022</t>
        </is>
      </c>
      <c r="B337" s="1" t="n">
        <v>44866</v>
      </c>
      <c r="C337" s="1" t="n">
        <v>45828</v>
      </c>
      <c r="D337" t="inlineStr">
        <is>
          <t>DALARNAS LÄN</t>
        </is>
      </c>
      <c r="E337" t="inlineStr">
        <is>
          <t>LEKSAND</t>
        </is>
      </c>
      <c r="F337" t="inlineStr">
        <is>
          <t>Bergvik skog väst AB</t>
        </is>
      </c>
      <c r="G337" t="n">
        <v>7.4</v>
      </c>
      <c r="H337" t="n">
        <v>0</v>
      </c>
      <c r="I337" t="n">
        <v>0</v>
      </c>
      <c r="J337" t="n">
        <v>0</v>
      </c>
      <c r="K337" t="n">
        <v>0</v>
      </c>
      <c r="L337" t="n">
        <v>0</v>
      </c>
      <c r="M337" t="n">
        <v>0</v>
      </c>
      <c r="N337" t="n">
        <v>0</v>
      </c>
      <c r="O337" t="n">
        <v>0</v>
      </c>
      <c r="P337" t="n">
        <v>0</v>
      </c>
      <c r="Q337" t="n">
        <v>0</v>
      </c>
      <c r="R337" s="2" t="inlineStr"/>
    </row>
    <row r="338" ht="15" customHeight="1">
      <c r="A338" t="inlineStr">
        <is>
          <t>A 51857-2022</t>
        </is>
      </c>
      <c r="B338" s="1" t="n">
        <v>44867</v>
      </c>
      <c r="C338" s="1" t="n">
        <v>45828</v>
      </c>
      <c r="D338" t="inlineStr">
        <is>
          <t>DALARNAS LÄN</t>
        </is>
      </c>
      <c r="E338" t="inlineStr">
        <is>
          <t>LEKSAND</t>
        </is>
      </c>
      <c r="G338" t="n">
        <v>1.2</v>
      </c>
      <c r="H338" t="n">
        <v>0</v>
      </c>
      <c r="I338" t="n">
        <v>0</v>
      </c>
      <c r="J338" t="n">
        <v>0</v>
      </c>
      <c r="K338" t="n">
        <v>0</v>
      </c>
      <c r="L338" t="n">
        <v>0</v>
      </c>
      <c r="M338" t="n">
        <v>0</v>
      </c>
      <c r="N338" t="n">
        <v>0</v>
      </c>
      <c r="O338" t="n">
        <v>0</v>
      </c>
      <c r="P338" t="n">
        <v>0</v>
      </c>
      <c r="Q338" t="n">
        <v>0</v>
      </c>
      <c r="R338" s="2" t="inlineStr"/>
    </row>
    <row r="339" ht="15" customHeight="1">
      <c r="A339" t="inlineStr">
        <is>
          <t>A 51449-2022</t>
        </is>
      </c>
      <c r="B339" s="1" t="n">
        <v>44869</v>
      </c>
      <c r="C339" s="1" t="n">
        <v>45828</v>
      </c>
      <c r="D339" t="inlineStr">
        <is>
          <t>DALARNAS LÄN</t>
        </is>
      </c>
      <c r="E339" t="inlineStr">
        <is>
          <t>LEKSAND</t>
        </is>
      </c>
      <c r="F339" t="inlineStr">
        <is>
          <t>Bergvik skog väst AB</t>
        </is>
      </c>
      <c r="G339" t="n">
        <v>5</v>
      </c>
      <c r="H339" t="n">
        <v>0</v>
      </c>
      <c r="I339" t="n">
        <v>0</v>
      </c>
      <c r="J339" t="n">
        <v>0</v>
      </c>
      <c r="K339" t="n">
        <v>0</v>
      </c>
      <c r="L339" t="n">
        <v>0</v>
      </c>
      <c r="M339" t="n">
        <v>0</v>
      </c>
      <c r="N339" t="n">
        <v>0</v>
      </c>
      <c r="O339" t="n">
        <v>0</v>
      </c>
      <c r="P339" t="n">
        <v>0</v>
      </c>
      <c r="Q339" t="n">
        <v>0</v>
      </c>
      <c r="R339" s="2" t="inlineStr"/>
    </row>
    <row r="340" ht="15" customHeight="1">
      <c r="A340" t="inlineStr">
        <is>
          <t>A 51480-2022</t>
        </is>
      </c>
      <c r="B340" s="1" t="n">
        <v>44869</v>
      </c>
      <c r="C340" s="1" t="n">
        <v>45828</v>
      </c>
      <c r="D340" t="inlineStr">
        <is>
          <t>DALARNAS LÄN</t>
        </is>
      </c>
      <c r="E340" t="inlineStr">
        <is>
          <t>LEKSAND</t>
        </is>
      </c>
      <c r="F340" t="inlineStr">
        <is>
          <t>Bergvik skog väst AB</t>
        </is>
      </c>
      <c r="G340" t="n">
        <v>1.7</v>
      </c>
      <c r="H340" t="n">
        <v>0</v>
      </c>
      <c r="I340" t="n">
        <v>0</v>
      </c>
      <c r="J340" t="n">
        <v>0</v>
      </c>
      <c r="K340" t="n">
        <v>0</v>
      </c>
      <c r="L340" t="n">
        <v>0</v>
      </c>
      <c r="M340" t="n">
        <v>0</v>
      </c>
      <c r="N340" t="n">
        <v>0</v>
      </c>
      <c r="O340" t="n">
        <v>0</v>
      </c>
      <c r="P340" t="n">
        <v>0</v>
      </c>
      <c r="Q340" t="n">
        <v>0</v>
      </c>
      <c r="R340" s="2" t="inlineStr"/>
    </row>
    <row r="341" ht="15" customHeight="1">
      <c r="A341" t="inlineStr">
        <is>
          <t>A 51502-2022</t>
        </is>
      </c>
      <c r="B341" s="1" t="n">
        <v>44869</v>
      </c>
      <c r="C341" s="1" t="n">
        <v>45828</v>
      </c>
      <c r="D341" t="inlineStr">
        <is>
          <t>DALARNAS LÄN</t>
        </is>
      </c>
      <c r="E341" t="inlineStr">
        <is>
          <t>LEKSAND</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51498-2022</t>
        </is>
      </c>
      <c r="B342" s="1" t="n">
        <v>44869</v>
      </c>
      <c r="C342" s="1" t="n">
        <v>45828</v>
      </c>
      <c r="D342" t="inlineStr">
        <is>
          <t>DALARNAS LÄN</t>
        </is>
      </c>
      <c r="E342" t="inlineStr">
        <is>
          <t>LEKSAND</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51842-2022</t>
        </is>
      </c>
      <c r="B343" s="1" t="n">
        <v>44872</v>
      </c>
      <c r="C343" s="1" t="n">
        <v>45828</v>
      </c>
      <c r="D343" t="inlineStr">
        <is>
          <t>DALARNAS LÄN</t>
        </is>
      </c>
      <c r="E343" t="inlineStr">
        <is>
          <t>LEKSAND</t>
        </is>
      </c>
      <c r="F343" t="inlineStr">
        <is>
          <t>Bergvik skog väst AB</t>
        </is>
      </c>
      <c r="G343" t="n">
        <v>4</v>
      </c>
      <c r="H343" t="n">
        <v>0</v>
      </c>
      <c r="I343" t="n">
        <v>0</v>
      </c>
      <c r="J343" t="n">
        <v>0</v>
      </c>
      <c r="K343" t="n">
        <v>0</v>
      </c>
      <c r="L343" t="n">
        <v>0</v>
      </c>
      <c r="M343" t="n">
        <v>0</v>
      </c>
      <c r="N343" t="n">
        <v>0</v>
      </c>
      <c r="O343" t="n">
        <v>0</v>
      </c>
      <c r="P343" t="n">
        <v>0</v>
      </c>
      <c r="Q343" t="n">
        <v>0</v>
      </c>
      <c r="R343" s="2" t="inlineStr"/>
    </row>
    <row r="344" ht="15" customHeight="1">
      <c r="A344" t="inlineStr">
        <is>
          <t>A 52977-2022</t>
        </is>
      </c>
      <c r="B344" s="1" t="n">
        <v>44875</v>
      </c>
      <c r="C344" s="1" t="n">
        <v>45828</v>
      </c>
      <c r="D344" t="inlineStr">
        <is>
          <t>DALARNAS LÄN</t>
        </is>
      </c>
      <c r="E344" t="inlineStr">
        <is>
          <t>LEKSAND</t>
        </is>
      </c>
      <c r="G344" t="n">
        <v>1.5</v>
      </c>
      <c r="H344" t="n">
        <v>0</v>
      </c>
      <c r="I344" t="n">
        <v>0</v>
      </c>
      <c r="J344" t="n">
        <v>0</v>
      </c>
      <c r="K344" t="n">
        <v>0</v>
      </c>
      <c r="L344" t="n">
        <v>0</v>
      </c>
      <c r="M344" t="n">
        <v>0</v>
      </c>
      <c r="N344" t="n">
        <v>0</v>
      </c>
      <c r="O344" t="n">
        <v>0</v>
      </c>
      <c r="P344" t="n">
        <v>0</v>
      </c>
      <c r="Q344" t="n">
        <v>0</v>
      </c>
      <c r="R344" s="2" t="inlineStr"/>
    </row>
    <row r="345" ht="15" customHeight="1">
      <c r="A345" t="inlineStr">
        <is>
          <t>A 53293-2022</t>
        </is>
      </c>
      <c r="B345" s="1" t="n">
        <v>44877</v>
      </c>
      <c r="C345" s="1" t="n">
        <v>45828</v>
      </c>
      <c r="D345" t="inlineStr">
        <is>
          <t>DALARNAS LÄN</t>
        </is>
      </c>
      <c r="E345" t="inlineStr">
        <is>
          <t>LEKSAND</t>
        </is>
      </c>
      <c r="G345" t="n">
        <v>0.4</v>
      </c>
      <c r="H345" t="n">
        <v>0</v>
      </c>
      <c r="I345" t="n">
        <v>0</v>
      </c>
      <c r="J345" t="n">
        <v>0</v>
      </c>
      <c r="K345" t="n">
        <v>0</v>
      </c>
      <c r="L345" t="n">
        <v>0</v>
      </c>
      <c r="M345" t="n">
        <v>0</v>
      </c>
      <c r="N345" t="n">
        <v>0</v>
      </c>
      <c r="O345" t="n">
        <v>0</v>
      </c>
      <c r="P345" t="n">
        <v>0</v>
      </c>
      <c r="Q345" t="n">
        <v>0</v>
      </c>
      <c r="R345" s="2" t="inlineStr"/>
    </row>
    <row r="346" ht="15" customHeight="1">
      <c r="A346" t="inlineStr">
        <is>
          <t>A 53787-2022</t>
        </is>
      </c>
      <c r="B346" s="1" t="n">
        <v>44880</v>
      </c>
      <c r="C346" s="1" t="n">
        <v>45828</v>
      </c>
      <c r="D346" t="inlineStr">
        <is>
          <t>DALARNAS LÄN</t>
        </is>
      </c>
      <c r="E346" t="inlineStr">
        <is>
          <t>LEKSAND</t>
        </is>
      </c>
      <c r="G346" t="n">
        <v>7.6</v>
      </c>
      <c r="H346" t="n">
        <v>0</v>
      </c>
      <c r="I346" t="n">
        <v>0</v>
      </c>
      <c r="J346" t="n">
        <v>0</v>
      </c>
      <c r="K346" t="n">
        <v>0</v>
      </c>
      <c r="L346" t="n">
        <v>0</v>
      </c>
      <c r="M346" t="n">
        <v>0</v>
      </c>
      <c r="N346" t="n">
        <v>0</v>
      </c>
      <c r="O346" t="n">
        <v>0</v>
      </c>
      <c r="P346" t="n">
        <v>0</v>
      </c>
      <c r="Q346" t="n">
        <v>0</v>
      </c>
      <c r="R346" s="2" t="inlineStr"/>
    </row>
    <row r="347" ht="15" customHeight="1">
      <c r="A347" t="inlineStr">
        <is>
          <t>A 54070-2022</t>
        </is>
      </c>
      <c r="B347" s="1" t="n">
        <v>44881</v>
      </c>
      <c r="C347" s="1" t="n">
        <v>45828</v>
      </c>
      <c r="D347" t="inlineStr">
        <is>
          <t>DALARNAS LÄN</t>
        </is>
      </c>
      <c r="E347" t="inlineStr">
        <is>
          <t>LEKSAND</t>
        </is>
      </c>
      <c r="G347" t="n">
        <v>4.7</v>
      </c>
      <c r="H347" t="n">
        <v>0</v>
      </c>
      <c r="I347" t="n">
        <v>0</v>
      </c>
      <c r="J347" t="n">
        <v>0</v>
      </c>
      <c r="K347" t="n">
        <v>0</v>
      </c>
      <c r="L347" t="n">
        <v>0</v>
      </c>
      <c r="M347" t="n">
        <v>0</v>
      </c>
      <c r="N347" t="n">
        <v>0</v>
      </c>
      <c r="O347" t="n">
        <v>0</v>
      </c>
      <c r="P347" t="n">
        <v>0</v>
      </c>
      <c r="Q347" t="n">
        <v>0</v>
      </c>
      <c r="R347" s="2" t="inlineStr"/>
    </row>
    <row r="348" ht="15" customHeight="1">
      <c r="A348" t="inlineStr">
        <is>
          <t>A 56330-2022</t>
        </is>
      </c>
      <c r="B348" s="1" t="n">
        <v>44890</v>
      </c>
      <c r="C348" s="1" t="n">
        <v>45828</v>
      </c>
      <c r="D348" t="inlineStr">
        <is>
          <t>DALARNAS LÄN</t>
        </is>
      </c>
      <c r="E348" t="inlineStr">
        <is>
          <t>LEKSAND</t>
        </is>
      </c>
      <c r="G348" t="n">
        <v>4.9</v>
      </c>
      <c r="H348" t="n">
        <v>0</v>
      </c>
      <c r="I348" t="n">
        <v>0</v>
      </c>
      <c r="J348" t="n">
        <v>0</v>
      </c>
      <c r="K348" t="n">
        <v>0</v>
      </c>
      <c r="L348" t="n">
        <v>0</v>
      </c>
      <c r="M348" t="n">
        <v>0</v>
      </c>
      <c r="N348" t="n">
        <v>0</v>
      </c>
      <c r="O348" t="n">
        <v>0</v>
      </c>
      <c r="P348" t="n">
        <v>0</v>
      </c>
      <c r="Q348" t="n">
        <v>0</v>
      </c>
      <c r="R348" s="2" t="inlineStr"/>
    </row>
    <row r="349" ht="15" customHeight="1">
      <c r="A349" t="inlineStr">
        <is>
          <t>A 57415-2022</t>
        </is>
      </c>
      <c r="B349" s="1" t="n">
        <v>44896</v>
      </c>
      <c r="C349" s="1" t="n">
        <v>45828</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57438-2022</t>
        </is>
      </c>
      <c r="B350" s="1" t="n">
        <v>44896</v>
      </c>
      <c r="C350" s="1" t="n">
        <v>45828</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58619-2022</t>
        </is>
      </c>
      <c r="B351" s="1" t="n">
        <v>44902</v>
      </c>
      <c r="C351" s="1" t="n">
        <v>45828</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60300-2022</t>
        </is>
      </c>
      <c r="B352" s="1" t="n">
        <v>44903</v>
      </c>
      <c r="C352" s="1" t="n">
        <v>45828</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60095-2022</t>
        </is>
      </c>
      <c r="B353" s="1" t="n">
        <v>44909</v>
      </c>
      <c r="C353" s="1" t="n">
        <v>45828</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60113-2022</t>
        </is>
      </c>
      <c r="B354" s="1" t="n">
        <v>44909</v>
      </c>
      <c r="C354" s="1" t="n">
        <v>45828</v>
      </c>
      <c r="D354" t="inlineStr">
        <is>
          <t>DALARNAS LÄN</t>
        </is>
      </c>
      <c r="E354" t="inlineStr">
        <is>
          <t>LEKSAND</t>
        </is>
      </c>
      <c r="G354" t="n">
        <v>3.7</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45828</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60550-2022</t>
        </is>
      </c>
      <c r="B356" s="1" t="n">
        <v>44911</v>
      </c>
      <c r="C356" s="1" t="n">
        <v>45828</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60715-2022</t>
        </is>
      </c>
      <c r="B357" s="1" t="n">
        <v>44912</v>
      </c>
      <c r="C357" s="1" t="n">
        <v>45828</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60913-2022</t>
        </is>
      </c>
      <c r="B358" s="1" t="n">
        <v>44914</v>
      </c>
      <c r="C358" s="1" t="n">
        <v>45828</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61288-2022</t>
        </is>
      </c>
      <c r="B359" s="1" t="n">
        <v>44915</v>
      </c>
      <c r="C359" s="1" t="n">
        <v>45828</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61786-2022</t>
        </is>
      </c>
      <c r="B360" s="1" t="n">
        <v>44917</v>
      </c>
      <c r="C360" s="1" t="n">
        <v>45828</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45828</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164-2023</t>
        </is>
      </c>
      <c r="B362" s="1" t="n">
        <v>44918</v>
      </c>
      <c r="C362" s="1" t="n">
        <v>45828</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151-2023</t>
        </is>
      </c>
      <c r="B363" s="1" t="n">
        <v>44918</v>
      </c>
      <c r="C363" s="1" t="n">
        <v>45828</v>
      </c>
      <c r="D363" t="inlineStr">
        <is>
          <t>DALARNAS LÄN</t>
        </is>
      </c>
      <c r="E363" t="inlineStr">
        <is>
          <t>LEKSAND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167-2023</t>
        </is>
      </c>
      <c r="B364" s="1" t="n">
        <v>44918</v>
      </c>
      <c r="C364" s="1" t="n">
        <v>45828</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325-2023</t>
        </is>
      </c>
      <c r="B365" s="1" t="n">
        <v>44929</v>
      </c>
      <c r="C365" s="1" t="n">
        <v>45828</v>
      </c>
      <c r="D365" t="inlineStr">
        <is>
          <t>DALARNAS LÄN</t>
        </is>
      </c>
      <c r="E365" t="inlineStr">
        <is>
          <t>LEKSAND</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315-2023</t>
        </is>
      </c>
      <c r="B366" s="1" t="n">
        <v>44929</v>
      </c>
      <c r="C366" s="1" t="n">
        <v>45828</v>
      </c>
      <c r="D366" t="inlineStr">
        <is>
          <t>DALARNAS LÄN</t>
        </is>
      </c>
      <c r="E366" t="inlineStr">
        <is>
          <t>LEKSAND</t>
        </is>
      </c>
      <c r="F366" t="inlineStr">
        <is>
          <t>Övriga Aktiebolag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320-2023</t>
        </is>
      </c>
      <c r="B367" s="1" t="n">
        <v>44929</v>
      </c>
      <c r="C367" s="1" t="n">
        <v>45828</v>
      </c>
      <c r="D367" t="inlineStr">
        <is>
          <t>DALARNAS LÄN</t>
        </is>
      </c>
      <c r="E367" t="inlineStr">
        <is>
          <t>LEKSAND</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391-2023</t>
        </is>
      </c>
      <c r="B368" s="1" t="n">
        <v>44929</v>
      </c>
      <c r="C368" s="1" t="n">
        <v>45828</v>
      </c>
      <c r="D368" t="inlineStr">
        <is>
          <t>DALARNAS LÄN</t>
        </is>
      </c>
      <c r="E368" t="inlineStr">
        <is>
          <t>LEKSAND</t>
        </is>
      </c>
      <c r="F368" t="inlineStr">
        <is>
          <t>Övriga Aktiebolag</t>
        </is>
      </c>
      <c r="G368" t="n">
        <v>10</v>
      </c>
      <c r="H368" t="n">
        <v>0</v>
      </c>
      <c r="I368" t="n">
        <v>0</v>
      </c>
      <c r="J368" t="n">
        <v>0</v>
      </c>
      <c r="K368" t="n">
        <v>0</v>
      </c>
      <c r="L368" t="n">
        <v>0</v>
      </c>
      <c r="M368" t="n">
        <v>0</v>
      </c>
      <c r="N368" t="n">
        <v>0</v>
      </c>
      <c r="O368" t="n">
        <v>0</v>
      </c>
      <c r="P368" t="n">
        <v>0</v>
      </c>
      <c r="Q368" t="n">
        <v>0</v>
      </c>
      <c r="R368" s="2" t="inlineStr"/>
    </row>
    <row r="369" ht="15" customHeight="1">
      <c r="A369" t="inlineStr">
        <is>
          <t>A 784-2023</t>
        </is>
      </c>
      <c r="B369" s="1" t="n">
        <v>44931</v>
      </c>
      <c r="C369" s="1" t="n">
        <v>45828</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1510-2023</t>
        </is>
      </c>
      <c r="B370" s="1" t="n">
        <v>44937</v>
      </c>
      <c r="C370" s="1" t="n">
        <v>45828</v>
      </c>
      <c r="D370" t="inlineStr">
        <is>
          <t>DALARNAS LÄN</t>
        </is>
      </c>
      <c r="E370" t="inlineStr">
        <is>
          <t>LEKSAND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3262-2023</t>
        </is>
      </c>
      <c r="B371" s="1" t="n">
        <v>44948</v>
      </c>
      <c r="C371" s="1" t="n">
        <v>45828</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3445-2023</t>
        </is>
      </c>
      <c r="B372" s="1" t="n">
        <v>44949</v>
      </c>
      <c r="C372" s="1" t="n">
        <v>45828</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3737-2023</t>
        </is>
      </c>
      <c r="B373" s="1" t="n">
        <v>44951</v>
      </c>
      <c r="C373" s="1" t="n">
        <v>45828</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4182-2023</t>
        </is>
      </c>
      <c r="B374" s="1" t="n">
        <v>44951</v>
      </c>
      <c r="C374" s="1" t="n">
        <v>45828</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4217-2023</t>
        </is>
      </c>
      <c r="B375" s="1" t="n">
        <v>44953</v>
      </c>
      <c r="C375" s="1" t="n">
        <v>45828</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6057-2023</t>
        </is>
      </c>
      <c r="B376" s="1" t="n">
        <v>44959</v>
      </c>
      <c r="C376" s="1" t="n">
        <v>45828</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6039-2023</t>
        </is>
      </c>
      <c r="B377" s="1" t="n">
        <v>44959</v>
      </c>
      <c r="C377" s="1" t="n">
        <v>45828</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6079-2023</t>
        </is>
      </c>
      <c r="B378" s="1" t="n">
        <v>44959</v>
      </c>
      <c r="C378" s="1" t="n">
        <v>45828</v>
      </c>
      <c r="D378" t="inlineStr">
        <is>
          <t>DALARNAS LÄN</t>
        </is>
      </c>
      <c r="E378" t="inlineStr">
        <is>
          <t>LEKSAND</t>
        </is>
      </c>
      <c r="G378" t="n">
        <v>4.1</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45828</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5738-2023</t>
        </is>
      </c>
      <c r="B380" s="1" t="n">
        <v>44962</v>
      </c>
      <c r="C380" s="1" t="n">
        <v>45828</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6074-2023</t>
        </is>
      </c>
      <c r="B381" s="1" t="n">
        <v>44964</v>
      </c>
      <c r="C381" s="1" t="n">
        <v>45828</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7441-2023</t>
        </is>
      </c>
      <c r="B382" s="1" t="n">
        <v>44966</v>
      </c>
      <c r="C382" s="1" t="n">
        <v>45828</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7467-2023</t>
        </is>
      </c>
      <c r="B383" s="1" t="n">
        <v>44966</v>
      </c>
      <c r="C383" s="1" t="n">
        <v>45828</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v>
      </c>
      <c r="C384" s="1" t="n">
        <v>45828</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8170-2023</t>
        </is>
      </c>
      <c r="B385" s="1" t="n">
        <v>44971</v>
      </c>
      <c r="C385" s="1" t="n">
        <v>45828</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7450-2023</t>
        </is>
      </c>
      <c r="B386" s="1" t="n">
        <v>44971</v>
      </c>
      <c r="C386" s="1" t="n">
        <v>45828</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7928-2023</t>
        </is>
      </c>
      <c r="B387" s="1" t="n">
        <v>44973</v>
      </c>
      <c r="C387" s="1" t="n">
        <v>45828</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45828</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8936-2023</t>
        </is>
      </c>
      <c r="B389" s="1" t="n">
        <v>44974</v>
      </c>
      <c r="C389" s="1" t="n">
        <v>45828</v>
      </c>
      <c r="D389" t="inlineStr">
        <is>
          <t>DALARNAS LÄN</t>
        </is>
      </c>
      <c r="E389" t="inlineStr">
        <is>
          <t>LEKSAND</t>
        </is>
      </c>
      <c r="G389" t="n">
        <v>7</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45828</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8940-2023</t>
        </is>
      </c>
      <c r="B391" s="1" t="n">
        <v>44974</v>
      </c>
      <c r="C391" s="1" t="n">
        <v>45828</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9138-2023</t>
        </is>
      </c>
      <c r="B392" s="1" t="n">
        <v>44974</v>
      </c>
      <c r="C392" s="1" t="n">
        <v>45828</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9141-2023</t>
        </is>
      </c>
      <c r="B393" s="1" t="n">
        <v>44974</v>
      </c>
      <c r="C393" s="1" t="n">
        <v>45828</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9459-2023</t>
        </is>
      </c>
      <c r="B394" s="1" t="n">
        <v>44977</v>
      </c>
      <c r="C394" s="1" t="n">
        <v>45828</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8773-2023</t>
        </is>
      </c>
      <c r="B395" s="1" t="n">
        <v>44978</v>
      </c>
      <c r="C395" s="1" t="n">
        <v>45828</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8695-2023</t>
        </is>
      </c>
      <c r="B396" s="1" t="n">
        <v>44978</v>
      </c>
      <c r="C396" s="1" t="n">
        <v>45828</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8743-2023</t>
        </is>
      </c>
      <c r="B397" s="1" t="n">
        <v>44978</v>
      </c>
      <c r="C397" s="1" t="n">
        <v>45828</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8755-2023</t>
        </is>
      </c>
      <c r="B398" s="1" t="n">
        <v>44978</v>
      </c>
      <c r="C398" s="1" t="n">
        <v>45828</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9324-2023</t>
        </is>
      </c>
      <c r="B399" s="1" t="n">
        <v>44980</v>
      </c>
      <c r="C399" s="1" t="n">
        <v>45828</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9336-2023</t>
        </is>
      </c>
      <c r="B400" s="1" t="n">
        <v>44980</v>
      </c>
      <c r="C400" s="1" t="n">
        <v>45828</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9938-2023</t>
        </is>
      </c>
      <c r="B401" s="1" t="n">
        <v>44985</v>
      </c>
      <c r="C401" s="1" t="n">
        <v>45828</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9947-2023</t>
        </is>
      </c>
      <c r="B402" s="1" t="n">
        <v>44985</v>
      </c>
      <c r="C402" s="1" t="n">
        <v>45828</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11010-2023</t>
        </is>
      </c>
      <c r="B403" s="1" t="n">
        <v>44986</v>
      </c>
      <c r="C403" s="1" t="n">
        <v>45828</v>
      </c>
      <c r="D403" t="inlineStr">
        <is>
          <t>DALARNAS LÄN</t>
        </is>
      </c>
      <c r="E403" t="inlineStr">
        <is>
          <t>LEKSAND</t>
        </is>
      </c>
      <c r="G403" t="n">
        <v>3.7</v>
      </c>
      <c r="H403" t="n">
        <v>0</v>
      </c>
      <c r="I403" t="n">
        <v>0</v>
      </c>
      <c r="J403" t="n">
        <v>0</v>
      </c>
      <c r="K403" t="n">
        <v>0</v>
      </c>
      <c r="L403" t="n">
        <v>0</v>
      </c>
      <c r="M403" t="n">
        <v>0</v>
      </c>
      <c r="N403" t="n">
        <v>0</v>
      </c>
      <c r="O403" t="n">
        <v>0</v>
      </c>
      <c r="P403" t="n">
        <v>0</v>
      </c>
      <c r="Q403" t="n">
        <v>0</v>
      </c>
      <c r="R403" s="2" t="inlineStr"/>
    </row>
    <row r="404" ht="15" customHeight="1">
      <c r="A404" t="inlineStr">
        <is>
          <t>A 11004-2023</t>
        </is>
      </c>
      <c r="B404" s="1" t="n">
        <v>44986</v>
      </c>
      <c r="C404" s="1" t="n">
        <v>45828</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10367-2023</t>
        </is>
      </c>
      <c r="B405" s="1" t="n">
        <v>44987</v>
      </c>
      <c r="C405" s="1" t="n">
        <v>45828</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10373-2023</t>
        </is>
      </c>
      <c r="B406" s="1" t="n">
        <v>44987</v>
      </c>
      <c r="C406" s="1" t="n">
        <v>45828</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10368-2023</t>
        </is>
      </c>
      <c r="B407" s="1" t="n">
        <v>44987</v>
      </c>
      <c r="C407" s="1" t="n">
        <v>45828</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11398-2023</t>
        </is>
      </c>
      <c r="B408" s="1" t="n">
        <v>44988</v>
      </c>
      <c r="C408" s="1" t="n">
        <v>45828</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11423-2023</t>
        </is>
      </c>
      <c r="B409" s="1" t="n">
        <v>44988</v>
      </c>
      <c r="C409" s="1" t="n">
        <v>45828</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11420-2023</t>
        </is>
      </c>
      <c r="B410" s="1" t="n">
        <v>44988</v>
      </c>
      <c r="C410" s="1" t="n">
        <v>45828</v>
      </c>
      <c r="D410" t="inlineStr">
        <is>
          <t>DALARNAS LÄN</t>
        </is>
      </c>
      <c r="E410" t="inlineStr">
        <is>
          <t>LEKSAND</t>
        </is>
      </c>
      <c r="G410" t="n">
        <v>6.5</v>
      </c>
      <c r="H410" t="n">
        <v>0</v>
      </c>
      <c r="I410" t="n">
        <v>0</v>
      </c>
      <c r="J410" t="n">
        <v>0</v>
      </c>
      <c r="K410" t="n">
        <v>0</v>
      </c>
      <c r="L410" t="n">
        <v>0</v>
      </c>
      <c r="M410" t="n">
        <v>0</v>
      </c>
      <c r="N410" t="n">
        <v>0</v>
      </c>
      <c r="O410" t="n">
        <v>0</v>
      </c>
      <c r="P410" t="n">
        <v>0</v>
      </c>
      <c r="Q410" t="n">
        <v>0</v>
      </c>
      <c r="R410" s="2" t="inlineStr"/>
    </row>
    <row r="411" ht="15" customHeight="1">
      <c r="A411" t="inlineStr">
        <is>
          <t>A 10828-2023</t>
        </is>
      </c>
      <c r="B411" s="1" t="n">
        <v>44990</v>
      </c>
      <c r="C411" s="1" t="n">
        <v>45828</v>
      </c>
      <c r="D411" t="inlineStr">
        <is>
          <t>DALARNAS LÄN</t>
        </is>
      </c>
      <c r="E411" t="inlineStr">
        <is>
          <t>LEKSAND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10833-2023</t>
        </is>
      </c>
      <c r="B412" s="1" t="n">
        <v>44990</v>
      </c>
      <c r="C412" s="1" t="n">
        <v>45828</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10967-2023</t>
        </is>
      </c>
      <c r="B413" s="1" t="n">
        <v>44991</v>
      </c>
      <c r="C413" s="1" t="n">
        <v>45828</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10987-2023</t>
        </is>
      </c>
      <c r="B414" s="1" t="n">
        <v>44991</v>
      </c>
      <c r="C414" s="1" t="n">
        <v>45828</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10869-2023</t>
        </is>
      </c>
      <c r="B415" s="1" t="n">
        <v>44991</v>
      </c>
      <c r="C415" s="1" t="n">
        <v>45828</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10974-2023</t>
        </is>
      </c>
      <c r="B416" s="1" t="n">
        <v>44991</v>
      </c>
      <c r="C416" s="1" t="n">
        <v>45828</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10896-2023</t>
        </is>
      </c>
      <c r="B417" s="1" t="n">
        <v>44991</v>
      </c>
      <c r="C417" s="1" t="n">
        <v>45828</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11233-2023</t>
        </is>
      </c>
      <c r="B418" s="1" t="n">
        <v>44992</v>
      </c>
      <c r="C418" s="1" t="n">
        <v>45828</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11238-2023</t>
        </is>
      </c>
      <c r="B419" s="1" t="n">
        <v>44992</v>
      </c>
      <c r="C419" s="1" t="n">
        <v>45828</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11092-2023</t>
        </is>
      </c>
      <c r="B420" s="1" t="n">
        <v>44992</v>
      </c>
      <c r="C420" s="1" t="n">
        <v>45828</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11248-2023</t>
        </is>
      </c>
      <c r="B421" s="1" t="n">
        <v>44992</v>
      </c>
      <c r="C421" s="1" t="n">
        <v>45828</v>
      </c>
      <c r="D421" t="inlineStr">
        <is>
          <t>DALARNAS LÄN</t>
        </is>
      </c>
      <c r="E421" t="inlineStr">
        <is>
          <t>LEKSAND</t>
        </is>
      </c>
      <c r="G421" t="n">
        <v>3.5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45828</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11080-2023</t>
        </is>
      </c>
      <c r="B423" s="1" t="n">
        <v>44992</v>
      </c>
      <c r="C423" s="1" t="n">
        <v>45828</v>
      </c>
      <c r="D423" t="inlineStr">
        <is>
          <t>DALARNAS LÄN</t>
        </is>
      </c>
      <c r="E423" t="inlineStr">
        <is>
          <t>LEKSAND</t>
        </is>
      </c>
      <c r="G423" t="n">
        <v>6.9</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45828</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11218-2023</t>
        </is>
      </c>
      <c r="B425" s="1" t="n">
        <v>44992</v>
      </c>
      <c r="C425" s="1" t="n">
        <v>45828</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11225-2023</t>
        </is>
      </c>
      <c r="B426" s="1" t="n">
        <v>44992</v>
      </c>
      <c r="C426" s="1" t="n">
        <v>45828</v>
      </c>
      <c r="D426" t="inlineStr">
        <is>
          <t>DALARNAS LÄN</t>
        </is>
      </c>
      <c r="E426" t="inlineStr">
        <is>
          <t>LEKSAND</t>
        </is>
      </c>
      <c r="G426" t="n">
        <v>6.1</v>
      </c>
      <c r="H426" t="n">
        <v>0</v>
      </c>
      <c r="I426" t="n">
        <v>0</v>
      </c>
      <c r="J426" t="n">
        <v>0</v>
      </c>
      <c r="K426" t="n">
        <v>0</v>
      </c>
      <c r="L426" t="n">
        <v>0</v>
      </c>
      <c r="M426" t="n">
        <v>0</v>
      </c>
      <c r="N426" t="n">
        <v>0</v>
      </c>
      <c r="O426" t="n">
        <v>0</v>
      </c>
      <c r="P426" t="n">
        <v>0</v>
      </c>
      <c r="Q426" t="n">
        <v>0</v>
      </c>
      <c r="R426" s="2" t="inlineStr"/>
    </row>
    <row r="427" ht="15" customHeight="1">
      <c r="A427" t="inlineStr">
        <is>
          <t>A 11347-2023</t>
        </is>
      </c>
      <c r="B427" s="1" t="n">
        <v>44993</v>
      </c>
      <c r="C427" s="1" t="n">
        <v>45828</v>
      </c>
      <c r="D427" t="inlineStr">
        <is>
          <t>DALARNAS LÄN</t>
        </is>
      </c>
      <c r="E427" t="inlineStr">
        <is>
          <t>LEKSAND</t>
        </is>
      </c>
      <c r="G427" t="n">
        <v>6.7</v>
      </c>
      <c r="H427" t="n">
        <v>0</v>
      </c>
      <c r="I427" t="n">
        <v>0</v>
      </c>
      <c r="J427" t="n">
        <v>0</v>
      </c>
      <c r="K427" t="n">
        <v>0</v>
      </c>
      <c r="L427" t="n">
        <v>0</v>
      </c>
      <c r="M427" t="n">
        <v>0</v>
      </c>
      <c r="N427" t="n">
        <v>0</v>
      </c>
      <c r="O427" t="n">
        <v>0</v>
      </c>
      <c r="P427" t="n">
        <v>0</v>
      </c>
      <c r="Q427" t="n">
        <v>0</v>
      </c>
      <c r="R427" s="2" t="inlineStr"/>
    </row>
    <row r="428" ht="15" customHeight="1">
      <c r="A428" t="inlineStr">
        <is>
          <t>A 11392-2023</t>
        </is>
      </c>
      <c r="B428" s="1" t="n">
        <v>44993</v>
      </c>
      <c r="C428" s="1" t="n">
        <v>45828</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11403-2023</t>
        </is>
      </c>
      <c r="B429" s="1" t="n">
        <v>44993</v>
      </c>
      <c r="C429" s="1" t="n">
        <v>45828</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11418-2023</t>
        </is>
      </c>
      <c r="B430" s="1" t="n">
        <v>44993</v>
      </c>
      <c r="C430" s="1" t="n">
        <v>45828</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11747-2023</t>
        </is>
      </c>
      <c r="B431" s="1" t="n">
        <v>44993</v>
      </c>
      <c r="C431" s="1" t="n">
        <v>45828</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11913-2023</t>
        </is>
      </c>
      <c r="B432" s="1" t="n">
        <v>44993</v>
      </c>
      <c r="C432" s="1" t="n">
        <v>45828</v>
      </c>
      <c r="D432" t="inlineStr">
        <is>
          <t>DALARNAS LÄN</t>
        </is>
      </c>
      <c r="E432" t="inlineStr">
        <is>
          <t>LEKSAND</t>
        </is>
      </c>
      <c r="G432" t="n">
        <v>7</v>
      </c>
      <c r="H432" t="n">
        <v>0</v>
      </c>
      <c r="I432" t="n">
        <v>0</v>
      </c>
      <c r="J432" t="n">
        <v>0</v>
      </c>
      <c r="K432" t="n">
        <v>0</v>
      </c>
      <c r="L432" t="n">
        <v>0</v>
      </c>
      <c r="M432" t="n">
        <v>0</v>
      </c>
      <c r="N432" t="n">
        <v>0</v>
      </c>
      <c r="O432" t="n">
        <v>0</v>
      </c>
      <c r="P432" t="n">
        <v>0</v>
      </c>
      <c r="Q432" t="n">
        <v>0</v>
      </c>
      <c r="R432" s="2" t="inlineStr"/>
    </row>
    <row r="433" ht="15" customHeight="1">
      <c r="A433" t="inlineStr">
        <is>
          <t>A 11582-2023</t>
        </is>
      </c>
      <c r="B433" s="1" t="n">
        <v>44994</v>
      </c>
      <c r="C433" s="1" t="n">
        <v>45828</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11592-2023</t>
        </is>
      </c>
      <c r="B434" s="1" t="n">
        <v>44994</v>
      </c>
      <c r="C434" s="1" t="n">
        <v>45828</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11678-2023</t>
        </is>
      </c>
      <c r="B435" s="1" t="n">
        <v>44994</v>
      </c>
      <c r="C435" s="1" t="n">
        <v>45828</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12144-2023</t>
        </is>
      </c>
      <c r="B436" s="1" t="n">
        <v>44998</v>
      </c>
      <c r="C436" s="1" t="n">
        <v>45828</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12117-2023</t>
        </is>
      </c>
      <c r="B437" s="1" t="n">
        <v>44998</v>
      </c>
      <c r="C437" s="1" t="n">
        <v>45828</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12120-2023</t>
        </is>
      </c>
      <c r="B438" s="1" t="n">
        <v>44998</v>
      </c>
      <c r="C438" s="1" t="n">
        <v>45828</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12356-2023</t>
        </is>
      </c>
      <c r="B439" s="1" t="n">
        <v>44998</v>
      </c>
      <c r="C439" s="1" t="n">
        <v>45828</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12363-2023</t>
        </is>
      </c>
      <c r="B440" s="1" t="n">
        <v>44998</v>
      </c>
      <c r="C440" s="1" t="n">
        <v>45828</v>
      </c>
      <c r="D440" t="inlineStr">
        <is>
          <t>DALARNAS LÄN</t>
        </is>
      </c>
      <c r="E440" t="inlineStr">
        <is>
          <t>LEKSAND</t>
        </is>
      </c>
      <c r="G440" t="n">
        <v>10</v>
      </c>
      <c r="H440" t="n">
        <v>0</v>
      </c>
      <c r="I440" t="n">
        <v>0</v>
      </c>
      <c r="J440" t="n">
        <v>0</v>
      </c>
      <c r="K440" t="n">
        <v>0</v>
      </c>
      <c r="L440" t="n">
        <v>0</v>
      </c>
      <c r="M440" t="n">
        <v>0</v>
      </c>
      <c r="N440" t="n">
        <v>0</v>
      </c>
      <c r="O440" t="n">
        <v>0</v>
      </c>
      <c r="P440" t="n">
        <v>0</v>
      </c>
      <c r="Q440" t="n">
        <v>0</v>
      </c>
      <c r="R440" s="2" t="inlineStr"/>
    </row>
    <row r="441" ht="15" customHeight="1">
      <c r="A441" t="inlineStr">
        <is>
          <t>A 12414-2023</t>
        </is>
      </c>
      <c r="B441" s="1" t="n">
        <v>44999</v>
      </c>
      <c r="C441" s="1" t="n">
        <v>45828</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12857-2023</t>
        </is>
      </c>
      <c r="B442" s="1" t="n">
        <v>45001</v>
      </c>
      <c r="C442" s="1" t="n">
        <v>45828</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12851-2023</t>
        </is>
      </c>
      <c r="B443" s="1" t="n">
        <v>45001</v>
      </c>
      <c r="C443" s="1" t="n">
        <v>45828</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13024-2023</t>
        </is>
      </c>
      <c r="B444" s="1" t="n">
        <v>45001</v>
      </c>
      <c r="C444" s="1" t="n">
        <v>45828</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13063-2023</t>
        </is>
      </c>
      <c r="B445" s="1" t="n">
        <v>45001</v>
      </c>
      <c r="C445" s="1" t="n">
        <v>45828</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13027-2023</t>
        </is>
      </c>
      <c r="B446" s="1" t="n">
        <v>45001</v>
      </c>
      <c r="C446" s="1" t="n">
        <v>45828</v>
      </c>
      <c r="D446" t="inlineStr">
        <is>
          <t>DALARNAS LÄN</t>
        </is>
      </c>
      <c r="E446" t="inlineStr">
        <is>
          <t>LEKSAND</t>
        </is>
      </c>
      <c r="G446" t="n">
        <v>2.8</v>
      </c>
      <c r="H446" t="n">
        <v>0</v>
      </c>
      <c r="I446" t="n">
        <v>0</v>
      </c>
      <c r="J446" t="n">
        <v>0</v>
      </c>
      <c r="K446" t="n">
        <v>0</v>
      </c>
      <c r="L446" t="n">
        <v>0</v>
      </c>
      <c r="M446" t="n">
        <v>0</v>
      </c>
      <c r="N446" t="n">
        <v>0</v>
      </c>
      <c r="O446" t="n">
        <v>0</v>
      </c>
      <c r="P446" t="n">
        <v>0</v>
      </c>
      <c r="Q446" t="n">
        <v>0</v>
      </c>
      <c r="R446" s="2" t="inlineStr"/>
    </row>
    <row r="447" ht="15" customHeight="1">
      <c r="A447" t="inlineStr">
        <is>
          <t>A 13079-2023</t>
        </is>
      </c>
      <c r="B447" s="1" t="n">
        <v>45001</v>
      </c>
      <c r="C447" s="1" t="n">
        <v>45828</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13165-2023</t>
        </is>
      </c>
      <c r="B448" s="1" t="n">
        <v>45002</v>
      </c>
      <c r="C448" s="1" t="n">
        <v>45828</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13288-2023</t>
        </is>
      </c>
      <c r="B449" s="1" t="n">
        <v>45004</v>
      </c>
      <c r="C449" s="1" t="n">
        <v>45828</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13397-2023</t>
        </is>
      </c>
      <c r="B450" s="1" t="n">
        <v>45005</v>
      </c>
      <c r="C450" s="1" t="n">
        <v>45828</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13401-2023</t>
        </is>
      </c>
      <c r="B451" s="1" t="n">
        <v>45005</v>
      </c>
      <c r="C451" s="1" t="n">
        <v>45828</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13376-2023</t>
        </is>
      </c>
      <c r="B452" s="1" t="n">
        <v>45005</v>
      </c>
      <c r="C452" s="1" t="n">
        <v>45828</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13760-2023</t>
        </is>
      </c>
      <c r="B453" s="1" t="n">
        <v>45007</v>
      </c>
      <c r="C453" s="1" t="n">
        <v>45828</v>
      </c>
      <c r="D453" t="inlineStr">
        <is>
          <t>DALARNAS LÄN</t>
        </is>
      </c>
      <c r="E453" t="inlineStr">
        <is>
          <t>LEKSAND</t>
        </is>
      </c>
      <c r="G453" t="n">
        <v>7.9</v>
      </c>
      <c r="H453" t="n">
        <v>0</v>
      </c>
      <c r="I453" t="n">
        <v>0</v>
      </c>
      <c r="J453" t="n">
        <v>0</v>
      </c>
      <c r="K453" t="n">
        <v>0</v>
      </c>
      <c r="L453" t="n">
        <v>0</v>
      </c>
      <c r="M453" t="n">
        <v>0</v>
      </c>
      <c r="N453" t="n">
        <v>0</v>
      </c>
      <c r="O453" t="n">
        <v>0</v>
      </c>
      <c r="P453" t="n">
        <v>0</v>
      </c>
      <c r="Q453" t="n">
        <v>0</v>
      </c>
      <c r="R453" s="2" t="inlineStr"/>
    </row>
    <row r="454" ht="15" customHeight="1">
      <c r="A454" t="inlineStr">
        <is>
          <t>A 14339-2023</t>
        </is>
      </c>
      <c r="B454" s="1" t="n">
        <v>45012</v>
      </c>
      <c r="C454" s="1" t="n">
        <v>45828</v>
      </c>
      <c r="D454" t="inlineStr">
        <is>
          <t>DALARNAS LÄN</t>
        </is>
      </c>
      <c r="E454" t="inlineStr">
        <is>
          <t>LEKSAND</t>
        </is>
      </c>
      <c r="G454" t="n">
        <v>5.3</v>
      </c>
      <c r="H454" t="n">
        <v>0</v>
      </c>
      <c r="I454" t="n">
        <v>0</v>
      </c>
      <c r="J454" t="n">
        <v>0</v>
      </c>
      <c r="K454" t="n">
        <v>0</v>
      </c>
      <c r="L454" t="n">
        <v>0</v>
      </c>
      <c r="M454" t="n">
        <v>0</v>
      </c>
      <c r="N454" t="n">
        <v>0</v>
      </c>
      <c r="O454" t="n">
        <v>0</v>
      </c>
      <c r="P454" t="n">
        <v>0</v>
      </c>
      <c r="Q454" t="n">
        <v>0</v>
      </c>
      <c r="R454" s="2" t="inlineStr"/>
    </row>
    <row r="455" ht="15" customHeight="1">
      <c r="A455" t="inlineStr">
        <is>
          <t>A 14558-2023</t>
        </is>
      </c>
      <c r="B455" s="1" t="n">
        <v>45013</v>
      </c>
      <c r="C455" s="1" t="n">
        <v>45828</v>
      </c>
      <c r="D455" t="inlineStr">
        <is>
          <t>DALARNAS LÄN</t>
        </is>
      </c>
      <c r="E455" t="inlineStr">
        <is>
          <t>LEKSAND</t>
        </is>
      </c>
      <c r="G455" t="n">
        <v>3.9</v>
      </c>
      <c r="H455" t="n">
        <v>0</v>
      </c>
      <c r="I455" t="n">
        <v>0</v>
      </c>
      <c r="J455" t="n">
        <v>0</v>
      </c>
      <c r="K455" t="n">
        <v>0</v>
      </c>
      <c r="L455" t="n">
        <v>0</v>
      </c>
      <c r="M455" t="n">
        <v>0</v>
      </c>
      <c r="N455" t="n">
        <v>0</v>
      </c>
      <c r="O455" t="n">
        <v>0</v>
      </c>
      <c r="P455" t="n">
        <v>0</v>
      </c>
      <c r="Q455" t="n">
        <v>0</v>
      </c>
      <c r="R455" s="2" t="inlineStr"/>
    </row>
    <row r="456" ht="15" customHeight="1">
      <c r="A456" t="inlineStr">
        <is>
          <t>A 14809-2023</t>
        </is>
      </c>
      <c r="B456" s="1" t="n">
        <v>45014</v>
      </c>
      <c r="C456" s="1" t="n">
        <v>45828</v>
      </c>
      <c r="D456" t="inlineStr">
        <is>
          <t>DALARNAS LÄN</t>
        </is>
      </c>
      <c r="E456" t="inlineStr">
        <is>
          <t>LEKSAND</t>
        </is>
      </c>
      <c r="G456" t="n">
        <v>4.9</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45828</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14967-2023</t>
        </is>
      </c>
      <c r="B458" s="1" t="n">
        <v>45015</v>
      </c>
      <c r="C458" s="1" t="n">
        <v>45828</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15020-2023</t>
        </is>
      </c>
      <c r="B459" s="1" t="n">
        <v>45015</v>
      </c>
      <c r="C459" s="1" t="n">
        <v>45828</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15025-2023</t>
        </is>
      </c>
      <c r="B460" s="1" t="n">
        <v>45015</v>
      </c>
      <c r="C460" s="1" t="n">
        <v>45828</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15120-2023</t>
        </is>
      </c>
      <c r="B461" s="1" t="n">
        <v>45016</v>
      </c>
      <c r="C461" s="1" t="n">
        <v>45828</v>
      </c>
      <c r="D461" t="inlineStr">
        <is>
          <t>DALARNAS LÄN</t>
        </is>
      </c>
      <c r="E461" t="inlineStr">
        <is>
          <t>LEKSAND</t>
        </is>
      </c>
      <c r="G461" t="n">
        <v>2.7</v>
      </c>
      <c r="H461" t="n">
        <v>0</v>
      </c>
      <c r="I461" t="n">
        <v>0</v>
      </c>
      <c r="J461" t="n">
        <v>0</v>
      </c>
      <c r="K461" t="n">
        <v>0</v>
      </c>
      <c r="L461" t="n">
        <v>0</v>
      </c>
      <c r="M461" t="n">
        <v>0</v>
      </c>
      <c r="N461" t="n">
        <v>0</v>
      </c>
      <c r="O461" t="n">
        <v>0</v>
      </c>
      <c r="P461" t="n">
        <v>0</v>
      </c>
      <c r="Q461" t="n">
        <v>0</v>
      </c>
      <c r="R461" s="2" t="inlineStr"/>
    </row>
    <row r="462" ht="15" customHeight="1">
      <c r="A462" t="inlineStr">
        <is>
          <t>A 15261-2023</t>
        </is>
      </c>
      <c r="B462" s="1" t="n">
        <v>45019</v>
      </c>
      <c r="C462" s="1" t="n">
        <v>45828</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15271-2023</t>
        </is>
      </c>
      <c r="B463" s="1" t="n">
        <v>45019</v>
      </c>
      <c r="C463" s="1" t="n">
        <v>45828</v>
      </c>
      <c r="D463" t="inlineStr">
        <is>
          <t>DALARNAS LÄN</t>
        </is>
      </c>
      <c r="E463" t="inlineStr">
        <is>
          <t>LEKSAND</t>
        </is>
      </c>
      <c r="G463" t="n">
        <v>5.5</v>
      </c>
      <c r="H463" t="n">
        <v>0</v>
      </c>
      <c r="I463" t="n">
        <v>0</v>
      </c>
      <c r="J463" t="n">
        <v>0</v>
      </c>
      <c r="K463" t="n">
        <v>0</v>
      </c>
      <c r="L463" t="n">
        <v>0</v>
      </c>
      <c r="M463" t="n">
        <v>0</v>
      </c>
      <c r="N463" t="n">
        <v>0</v>
      </c>
      <c r="O463" t="n">
        <v>0</v>
      </c>
      <c r="P463" t="n">
        <v>0</v>
      </c>
      <c r="Q463" t="n">
        <v>0</v>
      </c>
      <c r="R463" s="2" t="inlineStr"/>
    </row>
    <row r="464" ht="15" customHeight="1">
      <c r="A464" t="inlineStr">
        <is>
          <t>A 15435-2023</t>
        </is>
      </c>
      <c r="B464" s="1" t="n">
        <v>45020</v>
      </c>
      <c r="C464" s="1" t="n">
        <v>45828</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15436-2023</t>
        </is>
      </c>
      <c r="B465" s="1" t="n">
        <v>45020</v>
      </c>
      <c r="C465" s="1" t="n">
        <v>45828</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15433-2023</t>
        </is>
      </c>
      <c r="B466" s="1" t="n">
        <v>45020</v>
      </c>
      <c r="C466" s="1" t="n">
        <v>45828</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45828</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16051-2023</t>
        </is>
      </c>
      <c r="B468" s="1" t="n">
        <v>45027</v>
      </c>
      <c r="C468" s="1" t="n">
        <v>45828</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16139-2023</t>
        </is>
      </c>
      <c r="B469" s="1" t="n">
        <v>45027</v>
      </c>
      <c r="C469" s="1" t="n">
        <v>45828</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16143-2023</t>
        </is>
      </c>
      <c r="B470" s="1" t="n">
        <v>45027</v>
      </c>
      <c r="C470" s="1" t="n">
        <v>45828</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16137-2023</t>
        </is>
      </c>
      <c r="B471" s="1" t="n">
        <v>45027</v>
      </c>
      <c r="C471" s="1" t="n">
        <v>45828</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v>
      </c>
      <c r="C472" s="1" t="n">
        <v>45828</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16332-2023</t>
        </is>
      </c>
      <c r="B473" s="1" t="n">
        <v>45028</v>
      </c>
      <c r="C473" s="1" t="n">
        <v>45828</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16592-2023</t>
        </is>
      </c>
      <c r="B474" s="1" t="n">
        <v>45030</v>
      </c>
      <c r="C474" s="1" t="n">
        <v>45828</v>
      </c>
      <c r="D474" t="inlineStr">
        <is>
          <t>DALARNAS LÄN</t>
        </is>
      </c>
      <c r="E474" t="inlineStr">
        <is>
          <t>LEKSAND</t>
        </is>
      </c>
      <c r="G474" t="n">
        <v>11.5</v>
      </c>
      <c r="H474" t="n">
        <v>0</v>
      </c>
      <c r="I474" t="n">
        <v>0</v>
      </c>
      <c r="J474" t="n">
        <v>0</v>
      </c>
      <c r="K474" t="n">
        <v>0</v>
      </c>
      <c r="L474" t="n">
        <v>0</v>
      </c>
      <c r="M474" t="n">
        <v>0</v>
      </c>
      <c r="N474" t="n">
        <v>0</v>
      </c>
      <c r="O474" t="n">
        <v>0</v>
      </c>
      <c r="P474" t="n">
        <v>0</v>
      </c>
      <c r="Q474" t="n">
        <v>0</v>
      </c>
      <c r="R474" s="2" t="inlineStr"/>
    </row>
    <row r="475" ht="15" customHeight="1">
      <c r="A475" t="inlineStr">
        <is>
          <t>A 16818-2023</t>
        </is>
      </c>
      <c r="B475" s="1" t="n">
        <v>45033</v>
      </c>
      <c r="C475" s="1" t="n">
        <v>45828</v>
      </c>
      <c r="D475" t="inlineStr">
        <is>
          <t>DALARNAS LÄN</t>
        </is>
      </c>
      <c r="E475" t="inlineStr">
        <is>
          <t>LEKSAND</t>
        </is>
      </c>
      <c r="F475" t="inlineStr">
        <is>
          <t>Övriga statliga verk och myndigheter</t>
        </is>
      </c>
      <c r="G475" t="n">
        <v>1.3</v>
      </c>
      <c r="H475" t="n">
        <v>0</v>
      </c>
      <c r="I475" t="n">
        <v>0</v>
      </c>
      <c r="J475" t="n">
        <v>0</v>
      </c>
      <c r="K475" t="n">
        <v>0</v>
      </c>
      <c r="L475" t="n">
        <v>0</v>
      </c>
      <c r="M475" t="n">
        <v>0</v>
      </c>
      <c r="N475" t="n">
        <v>0</v>
      </c>
      <c r="O475" t="n">
        <v>0</v>
      </c>
      <c r="P475" t="n">
        <v>0</v>
      </c>
      <c r="Q475" t="n">
        <v>0</v>
      </c>
      <c r="R475" s="2" t="inlineStr"/>
    </row>
    <row r="476" ht="15" customHeight="1">
      <c r="A476" t="inlineStr">
        <is>
          <t>A 16882-2023</t>
        </is>
      </c>
      <c r="B476" s="1" t="n">
        <v>45033</v>
      </c>
      <c r="C476" s="1" t="n">
        <v>45828</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16926-2023</t>
        </is>
      </c>
      <c r="B477" s="1" t="n">
        <v>45033</v>
      </c>
      <c r="C477" s="1" t="n">
        <v>45828</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17078-2023</t>
        </is>
      </c>
      <c r="B478" s="1" t="n">
        <v>45034</v>
      </c>
      <c r="C478" s="1" t="n">
        <v>45828</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17070-2023</t>
        </is>
      </c>
      <c r="B479" s="1" t="n">
        <v>45034</v>
      </c>
      <c r="C479" s="1" t="n">
        <v>45828</v>
      </c>
      <c r="D479" t="inlineStr">
        <is>
          <t>DALARNAS LÄN</t>
        </is>
      </c>
      <c r="E479" t="inlineStr">
        <is>
          <t>LEKSAND</t>
        </is>
      </c>
      <c r="G479" t="n">
        <v>5.9</v>
      </c>
      <c r="H479" t="n">
        <v>0</v>
      </c>
      <c r="I479" t="n">
        <v>0</v>
      </c>
      <c r="J479" t="n">
        <v>0</v>
      </c>
      <c r="K479" t="n">
        <v>0</v>
      </c>
      <c r="L479" t="n">
        <v>0</v>
      </c>
      <c r="M479" t="n">
        <v>0</v>
      </c>
      <c r="N479" t="n">
        <v>0</v>
      </c>
      <c r="O479" t="n">
        <v>0</v>
      </c>
      <c r="P479" t="n">
        <v>0</v>
      </c>
      <c r="Q479" t="n">
        <v>0</v>
      </c>
      <c r="R479" s="2" t="inlineStr"/>
    </row>
    <row r="480" ht="15" customHeight="1">
      <c r="A480" t="inlineStr">
        <is>
          <t>A 17076-2023</t>
        </is>
      </c>
      <c r="B480" s="1" t="n">
        <v>45034</v>
      </c>
      <c r="C480" s="1" t="n">
        <v>45828</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17072-2023</t>
        </is>
      </c>
      <c r="B481" s="1" t="n">
        <v>45034</v>
      </c>
      <c r="C481" s="1" t="n">
        <v>45828</v>
      </c>
      <c r="D481" t="inlineStr">
        <is>
          <t>DALARNAS LÄN</t>
        </is>
      </c>
      <c r="E481" t="inlineStr">
        <is>
          <t>LEKSAND</t>
        </is>
      </c>
      <c r="G481" t="n">
        <v>5.3</v>
      </c>
      <c r="H481" t="n">
        <v>0</v>
      </c>
      <c r="I481" t="n">
        <v>0</v>
      </c>
      <c r="J481" t="n">
        <v>0</v>
      </c>
      <c r="K481" t="n">
        <v>0</v>
      </c>
      <c r="L481" t="n">
        <v>0</v>
      </c>
      <c r="M481" t="n">
        <v>0</v>
      </c>
      <c r="N481" t="n">
        <v>0</v>
      </c>
      <c r="O481" t="n">
        <v>0</v>
      </c>
      <c r="P481" t="n">
        <v>0</v>
      </c>
      <c r="Q481" t="n">
        <v>0</v>
      </c>
      <c r="R481" s="2" t="inlineStr"/>
    </row>
    <row r="482" ht="15" customHeight="1">
      <c r="A482" t="inlineStr">
        <is>
          <t>A 17084-2023</t>
        </is>
      </c>
      <c r="B482" s="1" t="n">
        <v>45034</v>
      </c>
      <c r="C482" s="1" t="n">
        <v>45828</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17089-2023</t>
        </is>
      </c>
      <c r="B483" s="1" t="n">
        <v>45034</v>
      </c>
      <c r="C483" s="1" t="n">
        <v>45828</v>
      </c>
      <c r="D483" t="inlineStr">
        <is>
          <t>DALARNAS LÄN</t>
        </is>
      </c>
      <c r="E483" t="inlineStr">
        <is>
          <t>LEKSAND</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17233-2023</t>
        </is>
      </c>
      <c r="B484" s="1" t="n">
        <v>45035</v>
      </c>
      <c r="C484" s="1" t="n">
        <v>45828</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17231-2023</t>
        </is>
      </c>
      <c r="B485" s="1" t="n">
        <v>45035</v>
      </c>
      <c r="C485" s="1" t="n">
        <v>45828</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17331-2023</t>
        </is>
      </c>
      <c r="B486" s="1" t="n">
        <v>45035</v>
      </c>
      <c r="C486" s="1" t="n">
        <v>45828</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17413-2023</t>
        </is>
      </c>
      <c r="B487" s="1" t="n">
        <v>45035</v>
      </c>
      <c r="C487" s="1" t="n">
        <v>45828</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17533-2023</t>
        </is>
      </c>
      <c r="B488" s="1" t="n">
        <v>45036</v>
      </c>
      <c r="C488" s="1" t="n">
        <v>45828</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17759-2023</t>
        </is>
      </c>
      <c r="B489" s="1" t="n">
        <v>45037</v>
      </c>
      <c r="C489" s="1" t="n">
        <v>45828</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17947-2023</t>
        </is>
      </c>
      <c r="B490" s="1" t="n">
        <v>45040</v>
      </c>
      <c r="C490" s="1" t="n">
        <v>45828</v>
      </c>
      <c r="D490" t="inlineStr">
        <is>
          <t>DALARNAS LÄN</t>
        </is>
      </c>
      <c r="E490" t="inlineStr">
        <is>
          <t>LEKSAND</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18351-2023</t>
        </is>
      </c>
      <c r="B491" s="1" t="n">
        <v>45041</v>
      </c>
      <c r="C491" s="1" t="n">
        <v>45828</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18383-2023</t>
        </is>
      </c>
      <c r="B492" s="1" t="n">
        <v>45042</v>
      </c>
      <c r="C492" s="1" t="n">
        <v>45828</v>
      </c>
      <c r="D492" t="inlineStr">
        <is>
          <t>DALARNAS LÄN</t>
        </is>
      </c>
      <c r="E492" t="inlineStr">
        <is>
          <t>LEKSAND</t>
        </is>
      </c>
      <c r="G492" t="n">
        <v>2.8</v>
      </c>
      <c r="H492" t="n">
        <v>0</v>
      </c>
      <c r="I492" t="n">
        <v>0</v>
      </c>
      <c r="J492" t="n">
        <v>0</v>
      </c>
      <c r="K492" t="n">
        <v>0</v>
      </c>
      <c r="L492" t="n">
        <v>0</v>
      </c>
      <c r="M492" t="n">
        <v>0</v>
      </c>
      <c r="N492" t="n">
        <v>0</v>
      </c>
      <c r="O492" t="n">
        <v>0</v>
      </c>
      <c r="P492" t="n">
        <v>0</v>
      </c>
      <c r="Q492" t="n">
        <v>0</v>
      </c>
      <c r="R492" s="2" t="inlineStr"/>
    </row>
    <row r="493" ht="15" customHeight="1">
      <c r="A493" t="inlineStr">
        <is>
          <t>A 18407-2023</t>
        </is>
      </c>
      <c r="B493" s="1" t="n">
        <v>45042</v>
      </c>
      <c r="C493" s="1" t="n">
        <v>45828</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18677-2023</t>
        </is>
      </c>
      <c r="B494" s="1" t="n">
        <v>45043</v>
      </c>
      <c r="C494" s="1" t="n">
        <v>45828</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18632-2023</t>
        </is>
      </c>
      <c r="B495" s="1" t="n">
        <v>45043</v>
      </c>
      <c r="C495" s="1" t="n">
        <v>45828</v>
      </c>
      <c r="D495" t="inlineStr">
        <is>
          <t>DALARNAS LÄN</t>
        </is>
      </c>
      <c r="E495" t="inlineStr">
        <is>
          <t>LEKSAND</t>
        </is>
      </c>
      <c r="G495" t="n">
        <v>6.8</v>
      </c>
      <c r="H495" t="n">
        <v>0</v>
      </c>
      <c r="I495" t="n">
        <v>0</v>
      </c>
      <c r="J495" t="n">
        <v>0</v>
      </c>
      <c r="K495" t="n">
        <v>0</v>
      </c>
      <c r="L495" t="n">
        <v>0</v>
      </c>
      <c r="M495" t="n">
        <v>0</v>
      </c>
      <c r="N495" t="n">
        <v>0</v>
      </c>
      <c r="O495" t="n">
        <v>0</v>
      </c>
      <c r="P495" t="n">
        <v>0</v>
      </c>
      <c r="Q495" t="n">
        <v>0</v>
      </c>
      <c r="R495" s="2" t="inlineStr"/>
    </row>
    <row r="496" ht="15" customHeight="1">
      <c r="A496" t="inlineStr">
        <is>
          <t>A 18666-2023</t>
        </is>
      </c>
      <c r="B496" s="1" t="n">
        <v>45043</v>
      </c>
      <c r="C496" s="1" t="n">
        <v>45828</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18909-2023</t>
        </is>
      </c>
      <c r="B497" s="1" t="n">
        <v>45044</v>
      </c>
      <c r="C497" s="1" t="n">
        <v>45828</v>
      </c>
      <c r="D497" t="inlineStr">
        <is>
          <t>DALARNAS LÄN</t>
        </is>
      </c>
      <c r="E497" t="inlineStr">
        <is>
          <t>LEKSAND</t>
        </is>
      </c>
      <c r="G497" t="n">
        <v>10.7</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v>
      </c>
      <c r="C498" s="1" t="n">
        <v>45828</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19103-2023</t>
        </is>
      </c>
      <c r="B499" s="1" t="n">
        <v>45048</v>
      </c>
      <c r="C499" s="1" t="n">
        <v>45828</v>
      </c>
      <c r="D499" t="inlineStr">
        <is>
          <t>DALARNAS LÄN</t>
        </is>
      </c>
      <c r="E499" t="inlineStr">
        <is>
          <t>LEKSAND</t>
        </is>
      </c>
      <c r="G499" t="n">
        <v>7.1</v>
      </c>
      <c r="H499" t="n">
        <v>0</v>
      </c>
      <c r="I499" t="n">
        <v>0</v>
      </c>
      <c r="J499" t="n">
        <v>0</v>
      </c>
      <c r="K499" t="n">
        <v>0</v>
      </c>
      <c r="L499" t="n">
        <v>0</v>
      </c>
      <c r="M499" t="n">
        <v>0</v>
      </c>
      <c r="N499" t="n">
        <v>0</v>
      </c>
      <c r="O499" t="n">
        <v>0</v>
      </c>
      <c r="P499" t="n">
        <v>0</v>
      </c>
      <c r="Q499" t="n">
        <v>0</v>
      </c>
      <c r="R499" s="2" t="inlineStr"/>
    </row>
    <row r="500" ht="15" customHeight="1">
      <c r="A500" t="inlineStr">
        <is>
          <t>A 19316-2023</t>
        </is>
      </c>
      <c r="B500" s="1" t="n">
        <v>45049</v>
      </c>
      <c r="C500" s="1" t="n">
        <v>45828</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19331-2023</t>
        </is>
      </c>
      <c r="B501" s="1" t="n">
        <v>45049</v>
      </c>
      <c r="C501" s="1" t="n">
        <v>45828</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19550-2023</t>
        </is>
      </c>
      <c r="B502" s="1" t="n">
        <v>45049</v>
      </c>
      <c r="C502" s="1" t="n">
        <v>45828</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19590-2023</t>
        </is>
      </c>
      <c r="B503" s="1" t="n">
        <v>45049</v>
      </c>
      <c r="C503" s="1" t="n">
        <v>45828</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19559-2023</t>
        </is>
      </c>
      <c r="B504" s="1" t="n">
        <v>45050</v>
      </c>
      <c r="C504" s="1" t="n">
        <v>45828</v>
      </c>
      <c r="D504" t="inlineStr">
        <is>
          <t>DALARNAS LÄN</t>
        </is>
      </c>
      <c r="E504" t="inlineStr">
        <is>
          <t>LEKSAND</t>
        </is>
      </c>
      <c r="G504" t="n">
        <v>0.1</v>
      </c>
      <c r="H504" t="n">
        <v>0</v>
      </c>
      <c r="I504" t="n">
        <v>0</v>
      </c>
      <c r="J504" t="n">
        <v>0</v>
      </c>
      <c r="K504" t="n">
        <v>0</v>
      </c>
      <c r="L504" t="n">
        <v>0</v>
      </c>
      <c r="M504" t="n">
        <v>0</v>
      </c>
      <c r="N504" t="n">
        <v>0</v>
      </c>
      <c r="O504" t="n">
        <v>0</v>
      </c>
      <c r="P504" t="n">
        <v>0</v>
      </c>
      <c r="Q504" t="n">
        <v>0</v>
      </c>
      <c r="R504" s="2" t="inlineStr"/>
    </row>
    <row r="505" ht="15" customHeight="1">
      <c r="A505" t="inlineStr">
        <is>
          <t>A 19689-2023</t>
        </is>
      </c>
      <c r="B505" s="1" t="n">
        <v>45051</v>
      </c>
      <c r="C505" s="1" t="n">
        <v>45828</v>
      </c>
      <c r="D505" t="inlineStr">
        <is>
          <t>DALARNAS LÄN</t>
        </is>
      </c>
      <c r="E505" t="inlineStr">
        <is>
          <t>LEKSAND</t>
        </is>
      </c>
      <c r="G505" t="n">
        <v>15.9</v>
      </c>
      <c r="H505" t="n">
        <v>0</v>
      </c>
      <c r="I505" t="n">
        <v>0</v>
      </c>
      <c r="J505" t="n">
        <v>0</v>
      </c>
      <c r="K505" t="n">
        <v>0</v>
      </c>
      <c r="L505" t="n">
        <v>0</v>
      </c>
      <c r="M505" t="n">
        <v>0</v>
      </c>
      <c r="N505" t="n">
        <v>0</v>
      </c>
      <c r="O505" t="n">
        <v>0</v>
      </c>
      <c r="P505" t="n">
        <v>0</v>
      </c>
      <c r="Q505" t="n">
        <v>0</v>
      </c>
      <c r="R505" s="2" t="inlineStr"/>
    </row>
    <row r="506" ht="15" customHeight="1">
      <c r="A506" t="inlineStr">
        <is>
          <t>A 20150-2023</t>
        </is>
      </c>
      <c r="B506" s="1" t="n">
        <v>45051</v>
      </c>
      <c r="C506" s="1" t="n">
        <v>45828</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20514-2023</t>
        </is>
      </c>
      <c r="B507" s="1" t="n">
        <v>45054</v>
      </c>
      <c r="C507" s="1" t="n">
        <v>45828</v>
      </c>
      <c r="D507" t="inlineStr">
        <is>
          <t>DALARNAS LÄN</t>
        </is>
      </c>
      <c r="E507" t="inlineStr">
        <is>
          <t>LEKSAND</t>
        </is>
      </c>
      <c r="G507" t="n">
        <v>3.2</v>
      </c>
      <c r="H507" t="n">
        <v>0</v>
      </c>
      <c r="I507" t="n">
        <v>0</v>
      </c>
      <c r="J507" t="n">
        <v>0</v>
      </c>
      <c r="K507" t="n">
        <v>0</v>
      </c>
      <c r="L507" t="n">
        <v>0</v>
      </c>
      <c r="M507" t="n">
        <v>0</v>
      </c>
      <c r="N507" t="n">
        <v>0</v>
      </c>
      <c r="O507" t="n">
        <v>0</v>
      </c>
      <c r="P507" t="n">
        <v>0</v>
      </c>
      <c r="Q507" t="n">
        <v>0</v>
      </c>
      <c r="R507" s="2" t="inlineStr"/>
    </row>
    <row r="508" ht="15" customHeight="1">
      <c r="A508" t="inlineStr">
        <is>
          <t>A 20222-2023</t>
        </is>
      </c>
      <c r="B508" s="1" t="n">
        <v>45055</v>
      </c>
      <c r="C508" s="1" t="n">
        <v>45828</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20114-2023</t>
        </is>
      </c>
      <c r="B509" s="1" t="n">
        <v>45055</v>
      </c>
      <c r="C509" s="1" t="n">
        <v>45828</v>
      </c>
      <c r="D509" t="inlineStr">
        <is>
          <t>DALARNAS LÄN</t>
        </is>
      </c>
      <c r="E509" t="inlineStr">
        <is>
          <t>LEKSAND</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20936-2023</t>
        </is>
      </c>
      <c r="B510" s="1" t="n">
        <v>45061</v>
      </c>
      <c r="C510" s="1" t="n">
        <v>45828</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20946-2023</t>
        </is>
      </c>
      <c r="B511" s="1" t="n">
        <v>45061</v>
      </c>
      <c r="C511" s="1" t="n">
        <v>45828</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21402-2023</t>
        </is>
      </c>
      <c r="B512" s="1" t="n">
        <v>45061</v>
      </c>
      <c r="C512" s="1" t="n">
        <v>45828</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21299-2023</t>
        </is>
      </c>
      <c r="B513" s="1" t="n">
        <v>45062</v>
      </c>
      <c r="C513" s="1" t="n">
        <v>45828</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21817-2023</t>
        </is>
      </c>
      <c r="B514" s="1" t="n">
        <v>45068</v>
      </c>
      <c r="C514" s="1" t="n">
        <v>45828</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21910-2023</t>
        </is>
      </c>
      <c r="B515" s="1" t="n">
        <v>45068</v>
      </c>
      <c r="C515" s="1" t="n">
        <v>45828</v>
      </c>
      <c r="D515" t="inlineStr">
        <is>
          <t>DALARNAS LÄN</t>
        </is>
      </c>
      <c r="E515" t="inlineStr">
        <is>
          <t>LEKSAND</t>
        </is>
      </c>
      <c r="F515" t="inlineStr">
        <is>
          <t>Bergvik skog väst AB</t>
        </is>
      </c>
      <c r="G515" t="n">
        <v>9.4</v>
      </c>
      <c r="H515" t="n">
        <v>0</v>
      </c>
      <c r="I515" t="n">
        <v>0</v>
      </c>
      <c r="J515" t="n">
        <v>0</v>
      </c>
      <c r="K515" t="n">
        <v>0</v>
      </c>
      <c r="L515" t="n">
        <v>0</v>
      </c>
      <c r="M515" t="n">
        <v>0</v>
      </c>
      <c r="N515" t="n">
        <v>0</v>
      </c>
      <c r="O515" t="n">
        <v>0</v>
      </c>
      <c r="P515" t="n">
        <v>0</v>
      </c>
      <c r="Q515" t="n">
        <v>0</v>
      </c>
      <c r="R515" s="2" t="inlineStr"/>
    </row>
    <row r="516" ht="15" customHeight="1">
      <c r="A516" t="inlineStr">
        <is>
          <t>A 21849-2023</t>
        </is>
      </c>
      <c r="B516" s="1" t="n">
        <v>45068</v>
      </c>
      <c r="C516" s="1" t="n">
        <v>45828</v>
      </c>
      <c r="D516" t="inlineStr">
        <is>
          <t>DALARNAS LÄN</t>
        </is>
      </c>
      <c r="E516" t="inlineStr">
        <is>
          <t>LEKSAND</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21954-2023</t>
        </is>
      </c>
      <c r="B517" s="1" t="n">
        <v>45068</v>
      </c>
      <c r="C517" s="1" t="n">
        <v>45828</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22196-2023</t>
        </is>
      </c>
      <c r="B518" s="1" t="n">
        <v>45069</v>
      </c>
      <c r="C518" s="1" t="n">
        <v>45828</v>
      </c>
      <c r="D518" t="inlineStr">
        <is>
          <t>DALARNAS LÄN</t>
        </is>
      </c>
      <c r="E518" t="inlineStr">
        <is>
          <t>LEKSAND</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22197-2023</t>
        </is>
      </c>
      <c r="B519" s="1" t="n">
        <v>45069</v>
      </c>
      <c r="C519" s="1" t="n">
        <v>45828</v>
      </c>
      <c r="D519" t="inlineStr">
        <is>
          <t>DALARNAS LÄN</t>
        </is>
      </c>
      <c r="E519" t="inlineStr">
        <is>
          <t>LEKSAND</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22570-2023</t>
        </is>
      </c>
      <c r="B520" s="1" t="n">
        <v>45071</v>
      </c>
      <c r="C520" s="1" t="n">
        <v>45828</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22684-2023</t>
        </is>
      </c>
      <c r="B521" s="1" t="n">
        <v>45071</v>
      </c>
      <c r="C521" s="1" t="n">
        <v>45828</v>
      </c>
      <c r="D521" t="inlineStr">
        <is>
          <t>DALARNAS LÄN</t>
        </is>
      </c>
      <c r="E521" t="inlineStr">
        <is>
          <t>LEKSAND</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23226-2023</t>
        </is>
      </c>
      <c r="B522" s="1" t="n">
        <v>45075</v>
      </c>
      <c r="C522" s="1" t="n">
        <v>45828</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45828</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23348-2023</t>
        </is>
      </c>
      <c r="B524" s="1" t="n">
        <v>45076</v>
      </c>
      <c r="C524" s="1" t="n">
        <v>45828</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23509-2023</t>
        </is>
      </c>
      <c r="B525" s="1" t="n">
        <v>45076</v>
      </c>
      <c r="C525" s="1" t="n">
        <v>45828</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23882-2023</t>
        </is>
      </c>
      <c r="B526" s="1" t="n">
        <v>45078</v>
      </c>
      <c r="C526" s="1" t="n">
        <v>45828</v>
      </c>
      <c r="D526" t="inlineStr">
        <is>
          <t>DALARNAS LÄN</t>
        </is>
      </c>
      <c r="E526" t="inlineStr">
        <is>
          <t>LEKSAND</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23910-2023</t>
        </is>
      </c>
      <c r="B527" s="1" t="n">
        <v>45078</v>
      </c>
      <c r="C527" s="1" t="n">
        <v>45828</v>
      </c>
      <c r="D527" t="inlineStr">
        <is>
          <t>DALARNAS LÄN</t>
        </is>
      </c>
      <c r="E527" t="inlineStr">
        <is>
          <t>LEKSAND</t>
        </is>
      </c>
      <c r="G527" t="n">
        <v>3.8</v>
      </c>
      <c r="H527" t="n">
        <v>0</v>
      </c>
      <c r="I527" t="n">
        <v>0</v>
      </c>
      <c r="J527" t="n">
        <v>0</v>
      </c>
      <c r="K527" t="n">
        <v>0</v>
      </c>
      <c r="L527" t="n">
        <v>0</v>
      </c>
      <c r="M527" t="n">
        <v>0</v>
      </c>
      <c r="N527" t="n">
        <v>0</v>
      </c>
      <c r="O527" t="n">
        <v>0</v>
      </c>
      <c r="P527" t="n">
        <v>0</v>
      </c>
      <c r="Q527" t="n">
        <v>0</v>
      </c>
      <c r="R527" s="2" t="inlineStr"/>
    </row>
    <row r="528" ht="15" customHeight="1">
      <c r="A528" t="inlineStr">
        <is>
          <t>A 24728-2023</t>
        </is>
      </c>
      <c r="B528" s="1" t="n">
        <v>45084</v>
      </c>
      <c r="C528" s="1" t="n">
        <v>45828</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24823-2023</t>
        </is>
      </c>
      <c r="B529" s="1" t="n">
        <v>45084</v>
      </c>
      <c r="C529" s="1" t="n">
        <v>45828</v>
      </c>
      <c r="D529" t="inlineStr">
        <is>
          <t>DALARNAS LÄN</t>
        </is>
      </c>
      <c r="E529" t="inlineStr">
        <is>
          <t>LEKSAND</t>
        </is>
      </c>
      <c r="G529" t="n">
        <v>2.9</v>
      </c>
      <c r="H529" t="n">
        <v>0</v>
      </c>
      <c r="I529" t="n">
        <v>0</v>
      </c>
      <c r="J529" t="n">
        <v>0</v>
      </c>
      <c r="K529" t="n">
        <v>0</v>
      </c>
      <c r="L529" t="n">
        <v>0</v>
      </c>
      <c r="M529" t="n">
        <v>0</v>
      </c>
      <c r="N529" t="n">
        <v>0</v>
      </c>
      <c r="O529" t="n">
        <v>0</v>
      </c>
      <c r="P529" t="n">
        <v>0</v>
      </c>
      <c r="Q529" t="n">
        <v>0</v>
      </c>
      <c r="R529" s="2" t="inlineStr"/>
    </row>
    <row r="530" ht="15" customHeight="1">
      <c r="A530" t="inlineStr">
        <is>
          <t>A 24814-2023</t>
        </is>
      </c>
      <c r="B530" s="1" t="n">
        <v>45084</v>
      </c>
      <c r="C530" s="1" t="n">
        <v>45828</v>
      </c>
      <c r="D530" t="inlineStr">
        <is>
          <t>DALARNAS LÄN</t>
        </is>
      </c>
      <c r="E530" t="inlineStr">
        <is>
          <t>LEKSAND</t>
        </is>
      </c>
      <c r="G530" t="n">
        <v>5.6</v>
      </c>
      <c r="H530" t="n">
        <v>0</v>
      </c>
      <c r="I530" t="n">
        <v>0</v>
      </c>
      <c r="J530" t="n">
        <v>0</v>
      </c>
      <c r="K530" t="n">
        <v>0</v>
      </c>
      <c r="L530" t="n">
        <v>0</v>
      </c>
      <c r="M530" t="n">
        <v>0</v>
      </c>
      <c r="N530" t="n">
        <v>0</v>
      </c>
      <c r="O530" t="n">
        <v>0</v>
      </c>
      <c r="P530" t="n">
        <v>0</v>
      </c>
      <c r="Q530" t="n">
        <v>0</v>
      </c>
      <c r="R530" s="2" t="inlineStr"/>
    </row>
    <row r="531" ht="15" customHeight="1">
      <c r="A531" t="inlineStr">
        <is>
          <t>A 25025-2023</t>
        </is>
      </c>
      <c r="B531" s="1" t="n">
        <v>45086</v>
      </c>
      <c r="C531" s="1" t="n">
        <v>45828</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25067-2023</t>
        </is>
      </c>
      <c r="B532" s="1" t="n">
        <v>45086</v>
      </c>
      <c r="C532" s="1" t="n">
        <v>45828</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25038-2023</t>
        </is>
      </c>
      <c r="B533" s="1" t="n">
        <v>45085</v>
      </c>
      <c r="C533" s="1" t="n">
        <v>45828</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25627-2023</t>
        </is>
      </c>
      <c r="B534" s="1" t="n">
        <v>45089</v>
      </c>
      <c r="C534" s="1" t="n">
        <v>45828</v>
      </c>
      <c r="D534" t="inlineStr">
        <is>
          <t>DALARNAS LÄN</t>
        </is>
      </c>
      <c r="E534" t="inlineStr">
        <is>
          <t>LEKSAND</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25637-2023</t>
        </is>
      </c>
      <c r="B535" s="1" t="n">
        <v>45089</v>
      </c>
      <c r="C535" s="1" t="n">
        <v>45828</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25652-2023</t>
        </is>
      </c>
      <c r="B536" s="1" t="n">
        <v>45089</v>
      </c>
      <c r="C536" s="1" t="n">
        <v>45828</v>
      </c>
      <c r="D536" t="inlineStr">
        <is>
          <t>DALARNAS LÄN</t>
        </is>
      </c>
      <c r="E536" t="inlineStr">
        <is>
          <t>LEKSAND</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25715-2023</t>
        </is>
      </c>
      <c r="B537" s="1" t="n">
        <v>45090</v>
      </c>
      <c r="C537" s="1" t="n">
        <v>45828</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25907-2023</t>
        </is>
      </c>
      <c r="B538" s="1" t="n">
        <v>45090</v>
      </c>
      <c r="C538" s="1" t="n">
        <v>45828</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26742-2023</t>
        </is>
      </c>
      <c r="B539" s="1" t="n">
        <v>45090</v>
      </c>
      <c r="C539" s="1" t="n">
        <v>45828</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26038-2023</t>
        </is>
      </c>
      <c r="B540" s="1" t="n">
        <v>45091</v>
      </c>
      <c r="C540" s="1" t="n">
        <v>45828</v>
      </c>
      <c r="D540" t="inlineStr">
        <is>
          <t>DALARNAS LÄN</t>
        </is>
      </c>
      <c r="E540" t="inlineStr">
        <is>
          <t>LEKSAND</t>
        </is>
      </c>
      <c r="G540" t="n">
        <v>6.8</v>
      </c>
      <c r="H540" t="n">
        <v>0</v>
      </c>
      <c r="I540" t="n">
        <v>0</v>
      </c>
      <c r="J540" t="n">
        <v>0</v>
      </c>
      <c r="K540" t="n">
        <v>0</v>
      </c>
      <c r="L540" t="n">
        <v>0</v>
      </c>
      <c r="M540" t="n">
        <v>0</v>
      </c>
      <c r="N540" t="n">
        <v>0</v>
      </c>
      <c r="O540" t="n">
        <v>0</v>
      </c>
      <c r="P540" t="n">
        <v>0</v>
      </c>
      <c r="Q540" t="n">
        <v>0</v>
      </c>
      <c r="R540" s="2" t="inlineStr"/>
    </row>
    <row r="541" ht="15" customHeight="1">
      <c r="A541" t="inlineStr">
        <is>
          <t>A 26044-2023</t>
        </is>
      </c>
      <c r="B541" s="1" t="n">
        <v>45091</v>
      </c>
      <c r="C541" s="1" t="n">
        <v>45828</v>
      </c>
      <c r="D541" t="inlineStr">
        <is>
          <t>DALARNAS LÄN</t>
        </is>
      </c>
      <c r="E541" t="inlineStr">
        <is>
          <t>LEKSAND</t>
        </is>
      </c>
      <c r="G541" t="n">
        <v>5.3</v>
      </c>
      <c r="H541" t="n">
        <v>0</v>
      </c>
      <c r="I541" t="n">
        <v>0</v>
      </c>
      <c r="J541" t="n">
        <v>0</v>
      </c>
      <c r="K541" t="n">
        <v>0</v>
      </c>
      <c r="L541" t="n">
        <v>0</v>
      </c>
      <c r="M541" t="n">
        <v>0</v>
      </c>
      <c r="N541" t="n">
        <v>0</v>
      </c>
      <c r="O541" t="n">
        <v>0</v>
      </c>
      <c r="P541" t="n">
        <v>0</v>
      </c>
      <c r="Q541" t="n">
        <v>0</v>
      </c>
      <c r="R541" s="2" t="inlineStr"/>
    </row>
    <row r="542" ht="15" customHeight="1">
      <c r="A542" t="inlineStr">
        <is>
          <t>A 26107-2023</t>
        </is>
      </c>
      <c r="B542" s="1" t="n">
        <v>45091</v>
      </c>
      <c r="C542" s="1" t="n">
        <v>45828</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26847-2023</t>
        </is>
      </c>
      <c r="B543" s="1" t="n">
        <v>45093</v>
      </c>
      <c r="C543" s="1" t="n">
        <v>45828</v>
      </c>
      <c r="D543" t="inlineStr">
        <is>
          <t>DALARNAS LÄN</t>
        </is>
      </c>
      <c r="E543" t="inlineStr">
        <is>
          <t>LEKSAND</t>
        </is>
      </c>
      <c r="G543" t="n">
        <v>3.9</v>
      </c>
      <c r="H543" t="n">
        <v>0</v>
      </c>
      <c r="I543" t="n">
        <v>0</v>
      </c>
      <c r="J543" t="n">
        <v>0</v>
      </c>
      <c r="K543" t="n">
        <v>0</v>
      </c>
      <c r="L543" t="n">
        <v>0</v>
      </c>
      <c r="M543" t="n">
        <v>0</v>
      </c>
      <c r="N543" t="n">
        <v>0</v>
      </c>
      <c r="O543" t="n">
        <v>0</v>
      </c>
      <c r="P543" t="n">
        <v>0</v>
      </c>
      <c r="Q543" t="n">
        <v>0</v>
      </c>
      <c r="R543" s="2" t="inlineStr"/>
    </row>
    <row r="544" ht="15" customHeight="1">
      <c r="A544" t="inlineStr">
        <is>
          <t>A 26957-2023</t>
        </is>
      </c>
      <c r="B544" s="1" t="n">
        <v>45093</v>
      </c>
      <c r="C544" s="1" t="n">
        <v>45828</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26924-2023</t>
        </is>
      </c>
      <c r="B545" s="1" t="n">
        <v>45093</v>
      </c>
      <c r="C545" s="1" t="n">
        <v>45828</v>
      </c>
      <c r="D545" t="inlineStr">
        <is>
          <t>DALARNAS LÄN</t>
        </is>
      </c>
      <c r="E545" t="inlineStr">
        <is>
          <t>LEKSAND</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26959-2023</t>
        </is>
      </c>
      <c r="B546" s="1" t="n">
        <v>45093</v>
      </c>
      <c r="C546" s="1" t="n">
        <v>45828</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26931-2023</t>
        </is>
      </c>
      <c r="B547" s="1" t="n">
        <v>45093</v>
      </c>
      <c r="C547" s="1" t="n">
        <v>45828</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26946-2023</t>
        </is>
      </c>
      <c r="B548" s="1" t="n">
        <v>45093</v>
      </c>
      <c r="C548" s="1" t="n">
        <v>45828</v>
      </c>
      <c r="D548" t="inlineStr">
        <is>
          <t>DALARNAS LÄN</t>
        </is>
      </c>
      <c r="E548" t="inlineStr">
        <is>
          <t>LEKSAND</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27047-2023</t>
        </is>
      </c>
      <c r="B549" s="1" t="n">
        <v>45095</v>
      </c>
      <c r="C549" s="1" t="n">
        <v>45828</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27055-2023</t>
        </is>
      </c>
      <c r="B550" s="1" t="n">
        <v>45095</v>
      </c>
      <c r="C550" s="1" t="n">
        <v>45828</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c r="U550">
        <f>HYPERLINK("https://klasma.github.io/Logging_2029/knärot/A 27055-2023 karta knärot.png", "A 27055-2023")</f>
        <v/>
      </c>
      <c r="V550">
        <f>HYPERLINK("https://klasma.github.io/Logging_2029/klagomål/A 27055-2023 FSC-klagomål.docx", "A 27055-2023")</f>
        <v/>
      </c>
      <c r="W550">
        <f>HYPERLINK("https://klasma.github.io/Logging_2029/klagomålsmail/A 27055-2023 FSC-klagomål mail.docx", "A 27055-2023")</f>
        <v/>
      </c>
      <c r="X550">
        <f>HYPERLINK("https://klasma.github.io/Logging_2029/tillsyn/A 27055-2023 tillsynsbegäran.docx", "A 27055-2023")</f>
        <v/>
      </c>
      <c r="Y550">
        <f>HYPERLINK("https://klasma.github.io/Logging_2029/tillsynsmail/A 27055-2023 tillsynsbegäran mail.docx", "A 27055-2023")</f>
        <v/>
      </c>
    </row>
    <row r="551" ht="15" customHeight="1">
      <c r="A551" t="inlineStr">
        <is>
          <t>A 27048-2023</t>
        </is>
      </c>
      <c r="B551" s="1" t="n">
        <v>45095</v>
      </c>
      <c r="C551" s="1" t="n">
        <v>45828</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27046-2023</t>
        </is>
      </c>
      <c r="B552" s="1" t="n">
        <v>45095</v>
      </c>
      <c r="C552" s="1" t="n">
        <v>45828</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27054-2023</t>
        </is>
      </c>
      <c r="B553" s="1" t="n">
        <v>45095</v>
      </c>
      <c r="C553" s="1" t="n">
        <v>45828</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27244-2023</t>
        </is>
      </c>
      <c r="B554" s="1" t="n">
        <v>45096</v>
      </c>
      <c r="C554" s="1" t="n">
        <v>45828</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27348-2023</t>
        </is>
      </c>
      <c r="B555" s="1" t="n">
        <v>45096</v>
      </c>
      <c r="C555" s="1" t="n">
        <v>45828</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27511-2023</t>
        </is>
      </c>
      <c r="B556" s="1" t="n">
        <v>45097</v>
      </c>
      <c r="C556" s="1" t="n">
        <v>45828</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27520-2023</t>
        </is>
      </c>
      <c r="B557" s="1" t="n">
        <v>45097</v>
      </c>
      <c r="C557" s="1" t="n">
        <v>45828</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27543-2023</t>
        </is>
      </c>
      <c r="B558" s="1" t="n">
        <v>45097</v>
      </c>
      <c r="C558" s="1" t="n">
        <v>45828</v>
      </c>
      <c r="D558" t="inlineStr">
        <is>
          <t>DALARNAS LÄN</t>
        </is>
      </c>
      <c r="E558" t="inlineStr">
        <is>
          <t>LEKSAND</t>
        </is>
      </c>
      <c r="G558" t="n">
        <v>3.4</v>
      </c>
      <c r="H558" t="n">
        <v>0</v>
      </c>
      <c r="I558" t="n">
        <v>0</v>
      </c>
      <c r="J558" t="n">
        <v>0</v>
      </c>
      <c r="K558" t="n">
        <v>0</v>
      </c>
      <c r="L558" t="n">
        <v>0</v>
      </c>
      <c r="M558" t="n">
        <v>0</v>
      </c>
      <c r="N558" t="n">
        <v>0</v>
      </c>
      <c r="O558" t="n">
        <v>0</v>
      </c>
      <c r="P558" t="n">
        <v>0</v>
      </c>
      <c r="Q558" t="n">
        <v>0</v>
      </c>
      <c r="R558" s="2" t="inlineStr"/>
    </row>
    <row r="559" ht="15" customHeight="1">
      <c r="A559" t="inlineStr">
        <is>
          <t>A 27791-2023</t>
        </is>
      </c>
      <c r="B559" s="1" t="n">
        <v>45098</v>
      </c>
      <c r="C559" s="1" t="n">
        <v>45828</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28103-2023</t>
        </is>
      </c>
      <c r="B560" s="1" t="n">
        <v>45099</v>
      </c>
      <c r="C560" s="1" t="n">
        <v>45828</v>
      </c>
      <c r="D560" t="inlineStr">
        <is>
          <t>DALARNAS LÄN</t>
        </is>
      </c>
      <c r="E560" t="inlineStr">
        <is>
          <t>LEKSAND</t>
        </is>
      </c>
      <c r="F560" t="inlineStr">
        <is>
          <t>Bergvik skog väst AB</t>
        </is>
      </c>
      <c r="G560" t="n">
        <v>15.3</v>
      </c>
      <c r="H560" t="n">
        <v>0</v>
      </c>
      <c r="I560" t="n">
        <v>0</v>
      </c>
      <c r="J560" t="n">
        <v>0</v>
      </c>
      <c r="K560" t="n">
        <v>0</v>
      </c>
      <c r="L560" t="n">
        <v>0</v>
      </c>
      <c r="M560" t="n">
        <v>0</v>
      </c>
      <c r="N560" t="n">
        <v>0</v>
      </c>
      <c r="O560" t="n">
        <v>0</v>
      </c>
      <c r="P560" t="n">
        <v>0</v>
      </c>
      <c r="Q560" t="n">
        <v>0</v>
      </c>
      <c r="R560" s="2" t="inlineStr"/>
    </row>
    <row r="561" ht="15" customHeight="1">
      <c r="A561" t="inlineStr">
        <is>
          <t>A 28108-2023</t>
        </is>
      </c>
      <c r="B561" s="1" t="n">
        <v>45099</v>
      </c>
      <c r="C561" s="1" t="n">
        <v>45828</v>
      </c>
      <c r="D561" t="inlineStr">
        <is>
          <t>DALARNAS LÄN</t>
        </is>
      </c>
      <c r="E561" t="inlineStr">
        <is>
          <t>LEKSAND</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28578-2023</t>
        </is>
      </c>
      <c r="B562" s="1" t="n">
        <v>45103</v>
      </c>
      <c r="C562" s="1" t="n">
        <v>45828</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28592-2023</t>
        </is>
      </c>
      <c r="B563" s="1" t="n">
        <v>45103</v>
      </c>
      <c r="C563" s="1" t="n">
        <v>45828</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28633-2023</t>
        </is>
      </c>
      <c r="B564" s="1" t="n">
        <v>45103</v>
      </c>
      <c r="C564" s="1" t="n">
        <v>45828</v>
      </c>
      <c r="D564" t="inlineStr">
        <is>
          <t>DALARNAS LÄN</t>
        </is>
      </c>
      <c r="E564" t="inlineStr">
        <is>
          <t>LEKSAND</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28630-2023</t>
        </is>
      </c>
      <c r="B565" s="1" t="n">
        <v>45103</v>
      </c>
      <c r="C565" s="1" t="n">
        <v>45828</v>
      </c>
      <c r="D565" t="inlineStr">
        <is>
          <t>DALARNAS LÄN</t>
        </is>
      </c>
      <c r="E565" t="inlineStr">
        <is>
          <t>LEKSAND</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28946-2023</t>
        </is>
      </c>
      <c r="B566" s="1" t="n">
        <v>45104</v>
      </c>
      <c r="C566" s="1" t="n">
        <v>45828</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28935-2023</t>
        </is>
      </c>
      <c r="B567" s="1" t="n">
        <v>45104</v>
      </c>
      <c r="C567" s="1" t="n">
        <v>45828</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28965-2023</t>
        </is>
      </c>
      <c r="B568" s="1" t="n">
        <v>45104</v>
      </c>
      <c r="C568" s="1" t="n">
        <v>45828</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31401-2023</t>
        </is>
      </c>
      <c r="B569" s="1" t="n">
        <v>45104</v>
      </c>
      <c r="C569" s="1" t="n">
        <v>45828</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28921-2023</t>
        </is>
      </c>
      <c r="B570" s="1" t="n">
        <v>45104</v>
      </c>
      <c r="C570" s="1" t="n">
        <v>45828</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31422-2023</t>
        </is>
      </c>
      <c r="B571" s="1" t="n">
        <v>45104</v>
      </c>
      <c r="C571" s="1" t="n">
        <v>45828</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29122-2023</t>
        </is>
      </c>
      <c r="B572" s="1" t="n">
        <v>45105</v>
      </c>
      <c r="C572" s="1" t="n">
        <v>45828</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29139-2023</t>
        </is>
      </c>
      <c r="B573" s="1" t="n">
        <v>45105</v>
      </c>
      <c r="C573" s="1" t="n">
        <v>45828</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29222-2023</t>
        </is>
      </c>
      <c r="B574" s="1" t="n">
        <v>45105</v>
      </c>
      <c r="C574" s="1" t="n">
        <v>45828</v>
      </c>
      <c r="D574" t="inlineStr">
        <is>
          <t>DALARNAS LÄN</t>
        </is>
      </c>
      <c r="E574" t="inlineStr">
        <is>
          <t>LEKSAND</t>
        </is>
      </c>
      <c r="G574" t="n">
        <v>5</v>
      </c>
      <c r="H574" t="n">
        <v>0</v>
      </c>
      <c r="I574" t="n">
        <v>0</v>
      </c>
      <c r="J574" t="n">
        <v>0</v>
      </c>
      <c r="K574" t="n">
        <v>0</v>
      </c>
      <c r="L574" t="n">
        <v>0</v>
      </c>
      <c r="M574" t="n">
        <v>0</v>
      </c>
      <c r="N574" t="n">
        <v>0</v>
      </c>
      <c r="O574" t="n">
        <v>0</v>
      </c>
      <c r="P574" t="n">
        <v>0</v>
      </c>
      <c r="Q574" t="n">
        <v>0</v>
      </c>
      <c r="R574" s="2" t="inlineStr"/>
    </row>
    <row r="575" ht="15" customHeight="1">
      <c r="A575" t="inlineStr">
        <is>
          <t>A 29916-2023</t>
        </is>
      </c>
      <c r="B575" s="1" t="n">
        <v>45107</v>
      </c>
      <c r="C575" s="1" t="n">
        <v>45828</v>
      </c>
      <c r="D575" t="inlineStr">
        <is>
          <t>DALARNAS LÄN</t>
        </is>
      </c>
      <c r="E575" t="inlineStr">
        <is>
          <t>LEKSAND</t>
        </is>
      </c>
      <c r="F575" t="inlineStr">
        <is>
          <t>Bergvik skog väst AB</t>
        </is>
      </c>
      <c r="G575" t="n">
        <v>9.4</v>
      </c>
      <c r="H575" t="n">
        <v>0</v>
      </c>
      <c r="I575" t="n">
        <v>0</v>
      </c>
      <c r="J575" t="n">
        <v>0</v>
      </c>
      <c r="K575" t="n">
        <v>0</v>
      </c>
      <c r="L575" t="n">
        <v>0</v>
      </c>
      <c r="M575" t="n">
        <v>0</v>
      </c>
      <c r="N575" t="n">
        <v>0</v>
      </c>
      <c r="O575" t="n">
        <v>0</v>
      </c>
      <c r="P575" t="n">
        <v>0</v>
      </c>
      <c r="Q575" t="n">
        <v>0</v>
      </c>
      <c r="R575" s="2" t="inlineStr"/>
    </row>
    <row r="576" ht="15" customHeight="1">
      <c r="A576" t="inlineStr">
        <is>
          <t>A 29881-2023</t>
        </is>
      </c>
      <c r="B576" s="1" t="n">
        <v>45107</v>
      </c>
      <c r="C576" s="1" t="n">
        <v>45828</v>
      </c>
      <c r="D576" t="inlineStr">
        <is>
          <t>DALARNAS LÄN</t>
        </is>
      </c>
      <c r="E576" t="inlineStr">
        <is>
          <t>LEKSAND</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29694-2023</t>
        </is>
      </c>
      <c r="B577" s="1" t="n">
        <v>45107</v>
      </c>
      <c r="C577" s="1" t="n">
        <v>45828</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32261-2023</t>
        </is>
      </c>
      <c r="B578" s="1" t="n">
        <v>45108</v>
      </c>
      <c r="C578" s="1" t="n">
        <v>45828</v>
      </c>
      <c r="D578" t="inlineStr">
        <is>
          <t>DALARNAS LÄN</t>
        </is>
      </c>
      <c r="E578" t="inlineStr">
        <is>
          <t>LEKSAND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v>
      </c>
      <c r="C579" s="1" t="n">
        <v>45828</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30082-2023</t>
        </is>
      </c>
      <c r="B580" s="1" t="n">
        <v>45110</v>
      </c>
      <c r="C580" s="1" t="n">
        <v>45828</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30169-2023</t>
        </is>
      </c>
      <c r="B581" s="1" t="n">
        <v>45110</v>
      </c>
      <c r="C581" s="1" t="n">
        <v>45828</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30135-2023</t>
        </is>
      </c>
      <c r="B582" s="1" t="n">
        <v>45110</v>
      </c>
      <c r="C582" s="1" t="n">
        <v>45828</v>
      </c>
      <c r="D582" t="inlineStr">
        <is>
          <t>DALARNAS LÄN</t>
        </is>
      </c>
      <c r="E582" t="inlineStr">
        <is>
          <t>LEKSAND</t>
        </is>
      </c>
      <c r="F582" t="inlineStr">
        <is>
          <t>Bergvik skog väst AB</t>
        </is>
      </c>
      <c r="G582" t="n">
        <v>8.4</v>
      </c>
      <c r="H582" t="n">
        <v>0</v>
      </c>
      <c r="I582" t="n">
        <v>0</v>
      </c>
      <c r="J582" t="n">
        <v>0</v>
      </c>
      <c r="K582" t="n">
        <v>0</v>
      </c>
      <c r="L582" t="n">
        <v>0</v>
      </c>
      <c r="M582" t="n">
        <v>0</v>
      </c>
      <c r="N582" t="n">
        <v>0</v>
      </c>
      <c r="O582" t="n">
        <v>0</v>
      </c>
      <c r="P582" t="n">
        <v>0</v>
      </c>
      <c r="Q582" t="n">
        <v>0</v>
      </c>
      <c r="R582" s="2" t="inlineStr"/>
    </row>
    <row r="583" ht="15" customHeight="1">
      <c r="A583" t="inlineStr">
        <is>
          <t>A 30195-2023</t>
        </is>
      </c>
      <c r="B583" s="1" t="n">
        <v>45110</v>
      </c>
      <c r="C583" s="1" t="n">
        <v>45828</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45828</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45828</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30523-2023</t>
        </is>
      </c>
      <c r="B586" s="1" t="n">
        <v>45111</v>
      </c>
      <c r="C586" s="1" t="n">
        <v>45828</v>
      </c>
      <c r="D586" t="inlineStr">
        <is>
          <t>DALARNAS LÄN</t>
        </is>
      </c>
      <c r="E586" t="inlineStr">
        <is>
          <t>LEKSAND</t>
        </is>
      </c>
      <c r="G586" t="n">
        <v>5.6</v>
      </c>
      <c r="H586" t="n">
        <v>0</v>
      </c>
      <c r="I586" t="n">
        <v>0</v>
      </c>
      <c r="J586" t="n">
        <v>0</v>
      </c>
      <c r="K586" t="n">
        <v>0</v>
      </c>
      <c r="L586" t="n">
        <v>0</v>
      </c>
      <c r="M586" t="n">
        <v>0</v>
      </c>
      <c r="N586" t="n">
        <v>0</v>
      </c>
      <c r="O586" t="n">
        <v>0</v>
      </c>
      <c r="P586" t="n">
        <v>0</v>
      </c>
      <c r="Q586" t="n">
        <v>0</v>
      </c>
      <c r="R586" s="2" t="inlineStr"/>
    </row>
    <row r="587" ht="15" customHeight="1">
      <c r="A587" t="inlineStr">
        <is>
          <t>A 30595-2023</t>
        </is>
      </c>
      <c r="B587" s="1" t="n">
        <v>45112</v>
      </c>
      <c r="C587" s="1" t="n">
        <v>45828</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30611-2023</t>
        </is>
      </c>
      <c r="B588" s="1" t="n">
        <v>45112</v>
      </c>
      <c r="C588" s="1" t="n">
        <v>45828</v>
      </c>
      <c r="D588" t="inlineStr">
        <is>
          <t>DALARNAS LÄN</t>
        </is>
      </c>
      <c r="E588" t="inlineStr">
        <is>
          <t>LEKSAND</t>
        </is>
      </c>
      <c r="G588" t="n">
        <v>3.1</v>
      </c>
      <c r="H588" t="n">
        <v>0</v>
      </c>
      <c r="I588" t="n">
        <v>0</v>
      </c>
      <c r="J588" t="n">
        <v>0</v>
      </c>
      <c r="K588" t="n">
        <v>0</v>
      </c>
      <c r="L588" t="n">
        <v>0</v>
      </c>
      <c r="M588" t="n">
        <v>0</v>
      </c>
      <c r="N588" t="n">
        <v>0</v>
      </c>
      <c r="O588" t="n">
        <v>0</v>
      </c>
      <c r="P588" t="n">
        <v>0</v>
      </c>
      <c r="Q588" t="n">
        <v>0</v>
      </c>
      <c r="R588" s="2" t="inlineStr"/>
    </row>
    <row r="589" ht="15" customHeight="1">
      <c r="A589" t="inlineStr">
        <is>
          <t>A 30700-2023</t>
        </is>
      </c>
      <c r="B589" s="1" t="n">
        <v>45112</v>
      </c>
      <c r="C589" s="1" t="n">
        <v>45828</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30654-2023</t>
        </is>
      </c>
      <c r="B590" s="1" t="n">
        <v>45112</v>
      </c>
      <c r="C590" s="1" t="n">
        <v>45828</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30880-2023</t>
        </is>
      </c>
      <c r="B591" s="1" t="n">
        <v>45113</v>
      </c>
      <c r="C591" s="1" t="n">
        <v>45828</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30992-2023</t>
        </is>
      </c>
      <c r="B592" s="1" t="n">
        <v>45113</v>
      </c>
      <c r="C592" s="1" t="n">
        <v>45828</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30994-2023</t>
        </is>
      </c>
      <c r="B593" s="1" t="n">
        <v>45113</v>
      </c>
      <c r="C593" s="1" t="n">
        <v>45828</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30998-2023</t>
        </is>
      </c>
      <c r="B594" s="1" t="n">
        <v>45113</v>
      </c>
      <c r="C594" s="1" t="n">
        <v>45828</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32989-2023</t>
        </is>
      </c>
      <c r="B595" s="1" t="n">
        <v>45113</v>
      </c>
      <c r="C595" s="1" t="n">
        <v>45828</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31255-2023</t>
        </is>
      </c>
      <c r="B596" s="1" t="n">
        <v>45114</v>
      </c>
      <c r="C596" s="1" t="n">
        <v>45828</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31250-2023</t>
        </is>
      </c>
      <c r="B597" s="1" t="n">
        <v>45114</v>
      </c>
      <c r="C597" s="1" t="n">
        <v>45828</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31254-2023</t>
        </is>
      </c>
      <c r="B598" s="1" t="n">
        <v>45114</v>
      </c>
      <c r="C598" s="1" t="n">
        <v>45828</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31761-2023</t>
        </is>
      </c>
      <c r="B599" s="1" t="n">
        <v>45118</v>
      </c>
      <c r="C599" s="1" t="n">
        <v>45828</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32307-2023</t>
        </is>
      </c>
      <c r="B600" s="1" t="n">
        <v>45120</v>
      </c>
      <c r="C600" s="1" t="n">
        <v>45828</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32311-2023</t>
        </is>
      </c>
      <c r="B601" s="1" t="n">
        <v>45120</v>
      </c>
      <c r="C601" s="1" t="n">
        <v>45828</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32544-2023</t>
        </is>
      </c>
      <c r="B602" s="1" t="n">
        <v>45121</v>
      </c>
      <c r="C602" s="1" t="n">
        <v>45828</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32666-2023</t>
        </is>
      </c>
      <c r="B603" s="1" t="n">
        <v>45121</v>
      </c>
      <c r="C603" s="1" t="n">
        <v>45828</v>
      </c>
      <c r="D603" t="inlineStr">
        <is>
          <t>DALARNAS LÄN</t>
        </is>
      </c>
      <c r="E603" t="inlineStr">
        <is>
          <t>LEKSAND</t>
        </is>
      </c>
      <c r="G603" t="n">
        <v>9.9</v>
      </c>
      <c r="H603" t="n">
        <v>0</v>
      </c>
      <c r="I603" t="n">
        <v>0</v>
      </c>
      <c r="J603" t="n">
        <v>0</v>
      </c>
      <c r="K603" t="n">
        <v>0</v>
      </c>
      <c r="L603" t="n">
        <v>0</v>
      </c>
      <c r="M603" t="n">
        <v>0</v>
      </c>
      <c r="N603" t="n">
        <v>0</v>
      </c>
      <c r="O603" t="n">
        <v>0</v>
      </c>
      <c r="P603" t="n">
        <v>0</v>
      </c>
      <c r="Q603" t="n">
        <v>0</v>
      </c>
      <c r="R603" s="2" t="inlineStr"/>
    </row>
    <row r="604" ht="15" customHeight="1">
      <c r="A604" t="inlineStr">
        <is>
          <t>A 33788-2023</t>
        </is>
      </c>
      <c r="B604" s="1" t="n">
        <v>45121</v>
      </c>
      <c r="C604" s="1" t="n">
        <v>45828</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33001-2023</t>
        </is>
      </c>
      <c r="B605" s="1" t="n">
        <v>45125</v>
      </c>
      <c r="C605" s="1" t="n">
        <v>45828</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33308-2023</t>
        </is>
      </c>
      <c r="B606" s="1" t="n">
        <v>45127</v>
      </c>
      <c r="C606" s="1" t="n">
        <v>45828</v>
      </c>
      <c r="D606" t="inlineStr">
        <is>
          <t>DALARNAS LÄN</t>
        </is>
      </c>
      <c r="E606" t="inlineStr">
        <is>
          <t>LEKSAND</t>
        </is>
      </c>
      <c r="G606" t="n">
        <v>3.2</v>
      </c>
      <c r="H606" t="n">
        <v>0</v>
      </c>
      <c r="I606" t="n">
        <v>0</v>
      </c>
      <c r="J606" t="n">
        <v>0</v>
      </c>
      <c r="K606" t="n">
        <v>0</v>
      </c>
      <c r="L606" t="n">
        <v>0</v>
      </c>
      <c r="M606" t="n">
        <v>0</v>
      </c>
      <c r="N606" t="n">
        <v>0</v>
      </c>
      <c r="O606" t="n">
        <v>0</v>
      </c>
      <c r="P606" t="n">
        <v>0</v>
      </c>
      <c r="Q606" t="n">
        <v>0</v>
      </c>
      <c r="R606" s="2" t="inlineStr"/>
    </row>
    <row r="607" ht="15" customHeight="1">
      <c r="A607" t="inlineStr">
        <is>
          <t>A 33318-2023</t>
        </is>
      </c>
      <c r="B607" s="1" t="n">
        <v>45127</v>
      </c>
      <c r="C607" s="1" t="n">
        <v>45828</v>
      </c>
      <c r="D607" t="inlineStr">
        <is>
          <t>DALARNAS LÄN</t>
        </is>
      </c>
      <c r="E607" t="inlineStr">
        <is>
          <t>LEKSAND</t>
        </is>
      </c>
      <c r="G607" t="n">
        <v>5.5</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45828</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33312-2023</t>
        </is>
      </c>
      <c r="B609" s="1" t="n">
        <v>45127</v>
      </c>
      <c r="C609" s="1" t="n">
        <v>45828</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33316-2023</t>
        </is>
      </c>
      <c r="B610" s="1" t="n">
        <v>45127</v>
      </c>
      <c r="C610" s="1" t="n">
        <v>45828</v>
      </c>
      <c r="D610" t="inlineStr">
        <is>
          <t>DALARNAS LÄN</t>
        </is>
      </c>
      <c r="E610" t="inlineStr">
        <is>
          <t>LEKSAND</t>
        </is>
      </c>
      <c r="G610" t="n">
        <v>8.9</v>
      </c>
      <c r="H610" t="n">
        <v>0</v>
      </c>
      <c r="I610" t="n">
        <v>0</v>
      </c>
      <c r="J610" t="n">
        <v>0</v>
      </c>
      <c r="K610" t="n">
        <v>0</v>
      </c>
      <c r="L610" t="n">
        <v>0</v>
      </c>
      <c r="M610" t="n">
        <v>0</v>
      </c>
      <c r="N610" t="n">
        <v>0</v>
      </c>
      <c r="O610" t="n">
        <v>0</v>
      </c>
      <c r="P610" t="n">
        <v>0</v>
      </c>
      <c r="Q610" t="n">
        <v>0</v>
      </c>
      <c r="R610" s="2" t="inlineStr"/>
    </row>
    <row r="611" ht="15" customHeight="1">
      <c r="A611" t="inlineStr">
        <is>
          <t>A 33310-2023</t>
        </is>
      </c>
      <c r="B611" s="1" t="n">
        <v>45127</v>
      </c>
      <c r="C611" s="1" t="n">
        <v>45828</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v>
      </c>
      <c r="C612" s="1" t="n">
        <v>45828</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33480-2023</t>
        </is>
      </c>
      <c r="B613" s="1" t="n">
        <v>45131</v>
      </c>
      <c r="C613" s="1" t="n">
        <v>45828</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33462-2023</t>
        </is>
      </c>
      <c r="B614" s="1" t="n">
        <v>45131</v>
      </c>
      <c r="C614" s="1" t="n">
        <v>45828</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33463-2023</t>
        </is>
      </c>
      <c r="B615" s="1" t="n">
        <v>45131</v>
      </c>
      <c r="C615" s="1" t="n">
        <v>45828</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33566-2023</t>
        </is>
      </c>
      <c r="B616" s="1" t="n">
        <v>45131</v>
      </c>
      <c r="C616" s="1" t="n">
        <v>45828</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33674-2023</t>
        </is>
      </c>
      <c r="B617" s="1" t="n">
        <v>45132</v>
      </c>
      <c r="C617" s="1" t="n">
        <v>45828</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34294-2023</t>
        </is>
      </c>
      <c r="B618" s="1" t="n">
        <v>45138</v>
      </c>
      <c r="C618" s="1" t="n">
        <v>45828</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35228-2023</t>
        </is>
      </c>
      <c r="B619" s="1" t="n">
        <v>45145</v>
      </c>
      <c r="C619" s="1" t="n">
        <v>45828</v>
      </c>
      <c r="D619" t="inlineStr">
        <is>
          <t>DALARNAS LÄN</t>
        </is>
      </c>
      <c r="E619" t="inlineStr">
        <is>
          <t>LEKSAND</t>
        </is>
      </c>
      <c r="G619" t="n">
        <v>3.7</v>
      </c>
      <c r="H619" t="n">
        <v>0</v>
      </c>
      <c r="I619" t="n">
        <v>0</v>
      </c>
      <c r="J619" t="n">
        <v>0</v>
      </c>
      <c r="K619" t="n">
        <v>0</v>
      </c>
      <c r="L619" t="n">
        <v>0</v>
      </c>
      <c r="M619" t="n">
        <v>0</v>
      </c>
      <c r="N619" t="n">
        <v>0</v>
      </c>
      <c r="O619" t="n">
        <v>0</v>
      </c>
      <c r="P619" t="n">
        <v>0</v>
      </c>
      <c r="Q619" t="n">
        <v>0</v>
      </c>
      <c r="R619" s="2" t="inlineStr"/>
    </row>
    <row r="620" ht="15" customHeight="1">
      <c r="A620" t="inlineStr">
        <is>
          <t>A 35173-2023</t>
        </is>
      </c>
      <c r="B620" s="1" t="n">
        <v>45145</v>
      </c>
      <c r="C620" s="1" t="n">
        <v>45828</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35189-2023</t>
        </is>
      </c>
      <c r="B621" s="1" t="n">
        <v>45145</v>
      </c>
      <c r="C621" s="1" t="n">
        <v>45828</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36261-2023</t>
        </is>
      </c>
      <c r="B622" s="1" t="n">
        <v>45151</v>
      </c>
      <c r="C622" s="1" t="n">
        <v>45828</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36262-2023</t>
        </is>
      </c>
      <c r="B623" s="1" t="n">
        <v>45151</v>
      </c>
      <c r="C623" s="1" t="n">
        <v>45828</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36444-2023</t>
        </is>
      </c>
      <c r="B624" s="1" t="n">
        <v>45152</v>
      </c>
      <c r="C624" s="1" t="n">
        <v>45828</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36450-2023</t>
        </is>
      </c>
      <c r="B625" s="1" t="n">
        <v>45152</v>
      </c>
      <c r="C625" s="1" t="n">
        <v>45828</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36515-2023</t>
        </is>
      </c>
      <c r="B626" s="1" t="n">
        <v>45153</v>
      </c>
      <c r="C626" s="1" t="n">
        <v>45828</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36932-2023</t>
        </is>
      </c>
      <c r="B627" s="1" t="n">
        <v>45154</v>
      </c>
      <c r="C627" s="1" t="n">
        <v>45828</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37397-2023</t>
        </is>
      </c>
      <c r="B628" s="1" t="n">
        <v>45156</v>
      </c>
      <c r="C628" s="1" t="n">
        <v>45828</v>
      </c>
      <c r="D628" t="inlineStr">
        <is>
          <t>DALARNAS LÄN</t>
        </is>
      </c>
      <c r="E628" t="inlineStr">
        <is>
          <t>LEKSAND</t>
        </is>
      </c>
      <c r="F628" t="inlineStr">
        <is>
          <t>Kommuner</t>
        </is>
      </c>
      <c r="G628" t="n">
        <v>2.9</v>
      </c>
      <c r="H628" t="n">
        <v>0</v>
      </c>
      <c r="I628" t="n">
        <v>0</v>
      </c>
      <c r="J628" t="n">
        <v>0</v>
      </c>
      <c r="K628" t="n">
        <v>0</v>
      </c>
      <c r="L628" t="n">
        <v>0</v>
      </c>
      <c r="M628" t="n">
        <v>0</v>
      </c>
      <c r="N628" t="n">
        <v>0</v>
      </c>
      <c r="O628" t="n">
        <v>0</v>
      </c>
      <c r="P628" t="n">
        <v>0</v>
      </c>
      <c r="Q628" t="n">
        <v>0</v>
      </c>
      <c r="R628" s="2" t="inlineStr"/>
    </row>
    <row r="629" ht="15" customHeight="1">
      <c r="A629" t="inlineStr">
        <is>
          <t>A 37516-2023</t>
        </is>
      </c>
      <c r="B629" s="1" t="n">
        <v>45158</v>
      </c>
      <c r="C629" s="1" t="n">
        <v>45828</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37832-2023</t>
        </is>
      </c>
      <c r="B630" s="1" t="n">
        <v>45160</v>
      </c>
      <c r="C630" s="1" t="n">
        <v>45828</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37919-2023</t>
        </is>
      </c>
      <c r="B631" s="1" t="n">
        <v>45160</v>
      </c>
      <c r="C631" s="1" t="n">
        <v>45828</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38058-2023</t>
        </is>
      </c>
      <c r="B632" s="1" t="n">
        <v>45160</v>
      </c>
      <c r="C632" s="1" t="n">
        <v>45828</v>
      </c>
      <c r="D632" t="inlineStr">
        <is>
          <t>DALARNAS LÄN</t>
        </is>
      </c>
      <c r="E632" t="inlineStr">
        <is>
          <t>LEKSAND</t>
        </is>
      </c>
      <c r="G632" t="n">
        <v>4.2</v>
      </c>
      <c r="H632" t="n">
        <v>0</v>
      </c>
      <c r="I632" t="n">
        <v>0</v>
      </c>
      <c r="J632" t="n">
        <v>0</v>
      </c>
      <c r="K632" t="n">
        <v>0</v>
      </c>
      <c r="L632" t="n">
        <v>0</v>
      </c>
      <c r="M632" t="n">
        <v>0</v>
      </c>
      <c r="N632" t="n">
        <v>0</v>
      </c>
      <c r="O632" t="n">
        <v>0</v>
      </c>
      <c r="P632" t="n">
        <v>0</v>
      </c>
      <c r="Q632" t="n">
        <v>0</v>
      </c>
      <c r="R632" s="2" t="inlineStr"/>
    </row>
    <row r="633" ht="15" customHeight="1">
      <c r="A633" t="inlineStr">
        <is>
          <t>A 38001-2023</t>
        </is>
      </c>
      <c r="B633" s="1" t="n">
        <v>45160</v>
      </c>
      <c r="C633" s="1" t="n">
        <v>45828</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38145-2023</t>
        </is>
      </c>
      <c r="B634" s="1" t="n">
        <v>45160</v>
      </c>
      <c r="C634" s="1" t="n">
        <v>45828</v>
      </c>
      <c r="D634" t="inlineStr">
        <is>
          <t>DALARNAS LÄN</t>
        </is>
      </c>
      <c r="E634" t="inlineStr">
        <is>
          <t>LEKSAND</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38273-2023</t>
        </is>
      </c>
      <c r="B635" s="1" t="n">
        <v>45161</v>
      </c>
      <c r="C635" s="1" t="n">
        <v>45828</v>
      </c>
      <c r="D635" t="inlineStr">
        <is>
          <t>DALARNAS LÄN</t>
        </is>
      </c>
      <c r="E635" t="inlineStr">
        <is>
          <t>LEKSAND</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38277-2023</t>
        </is>
      </c>
      <c r="B636" s="1" t="n">
        <v>45161</v>
      </c>
      <c r="C636" s="1" t="n">
        <v>45828</v>
      </c>
      <c r="D636" t="inlineStr">
        <is>
          <t>DALARNAS LÄN</t>
        </is>
      </c>
      <c r="E636" t="inlineStr">
        <is>
          <t>LEKSAND</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38117-2023</t>
        </is>
      </c>
      <c r="B637" s="1" t="n">
        <v>45161</v>
      </c>
      <c r="C637" s="1" t="n">
        <v>45828</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39136-2023</t>
        </is>
      </c>
      <c r="B638" s="1" t="n">
        <v>45165</v>
      </c>
      <c r="C638" s="1" t="n">
        <v>45828</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39387-2023</t>
        </is>
      </c>
      <c r="B639" s="1" t="n">
        <v>45166</v>
      </c>
      <c r="C639" s="1" t="n">
        <v>45828</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39332-2023</t>
        </is>
      </c>
      <c r="B640" s="1" t="n">
        <v>45166</v>
      </c>
      <c r="C640" s="1" t="n">
        <v>45828</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39354-2023</t>
        </is>
      </c>
      <c r="B641" s="1" t="n">
        <v>45166</v>
      </c>
      <c r="C641" s="1" t="n">
        <v>45828</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45828</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39558-2023</t>
        </is>
      </c>
      <c r="B643" s="1" t="n">
        <v>45167</v>
      </c>
      <c r="C643" s="1" t="n">
        <v>45828</v>
      </c>
      <c r="D643" t="inlineStr">
        <is>
          <t>DALARNAS LÄN</t>
        </is>
      </c>
      <c r="E643" t="inlineStr">
        <is>
          <t>LEKSAND</t>
        </is>
      </c>
      <c r="G643" t="n">
        <v>39.9</v>
      </c>
      <c r="H643" t="n">
        <v>0</v>
      </c>
      <c r="I643" t="n">
        <v>0</v>
      </c>
      <c r="J643" t="n">
        <v>0</v>
      </c>
      <c r="K643" t="n">
        <v>0</v>
      </c>
      <c r="L643" t="n">
        <v>0</v>
      </c>
      <c r="M643" t="n">
        <v>0</v>
      </c>
      <c r="N643" t="n">
        <v>0</v>
      </c>
      <c r="O643" t="n">
        <v>0</v>
      </c>
      <c r="P643" t="n">
        <v>0</v>
      </c>
      <c r="Q643" t="n">
        <v>0</v>
      </c>
      <c r="R643" s="2" t="inlineStr"/>
    </row>
    <row r="644" ht="15" customHeight="1">
      <c r="A644" t="inlineStr">
        <is>
          <t>A 39577-2023</t>
        </is>
      </c>
      <c r="B644" s="1" t="n">
        <v>45167</v>
      </c>
      <c r="C644" s="1" t="n">
        <v>45828</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39665-2023</t>
        </is>
      </c>
      <c r="B645" s="1" t="n">
        <v>45167</v>
      </c>
      <c r="C645" s="1" t="n">
        <v>45828</v>
      </c>
      <c r="D645" t="inlineStr">
        <is>
          <t>DALARNAS LÄN</t>
        </is>
      </c>
      <c r="E645" t="inlineStr">
        <is>
          <t>LEKSAND</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40201-2023</t>
        </is>
      </c>
      <c r="B646" s="1" t="n">
        <v>45169</v>
      </c>
      <c r="C646" s="1" t="n">
        <v>45828</v>
      </c>
      <c r="D646" t="inlineStr">
        <is>
          <t>DALARNAS LÄN</t>
        </is>
      </c>
      <c r="E646" t="inlineStr">
        <is>
          <t>LEKSAND</t>
        </is>
      </c>
      <c r="G646" t="n">
        <v>3.2</v>
      </c>
      <c r="H646" t="n">
        <v>0</v>
      </c>
      <c r="I646" t="n">
        <v>0</v>
      </c>
      <c r="J646" t="n">
        <v>0</v>
      </c>
      <c r="K646" t="n">
        <v>0</v>
      </c>
      <c r="L646" t="n">
        <v>0</v>
      </c>
      <c r="M646" t="n">
        <v>0</v>
      </c>
      <c r="N646" t="n">
        <v>0</v>
      </c>
      <c r="O646" t="n">
        <v>0</v>
      </c>
      <c r="P646" t="n">
        <v>0</v>
      </c>
      <c r="Q646" t="n">
        <v>0</v>
      </c>
      <c r="R646" s="2" t="inlineStr"/>
    </row>
    <row r="647" ht="15" customHeight="1">
      <c r="A647" t="inlineStr">
        <is>
          <t>A 40181-2023</t>
        </is>
      </c>
      <c r="B647" s="1" t="n">
        <v>45169</v>
      </c>
      <c r="C647" s="1" t="n">
        <v>45828</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40230-2023</t>
        </is>
      </c>
      <c r="B648" s="1" t="n">
        <v>45169</v>
      </c>
      <c r="C648" s="1" t="n">
        <v>45828</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40642-2023</t>
        </is>
      </c>
      <c r="B649" s="1" t="n">
        <v>45169</v>
      </c>
      <c r="C649" s="1" t="n">
        <v>45828</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40183-2023</t>
        </is>
      </c>
      <c r="B650" s="1" t="n">
        <v>45169</v>
      </c>
      <c r="C650" s="1" t="n">
        <v>45828</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40580-2023</t>
        </is>
      </c>
      <c r="B651" s="1" t="n">
        <v>45170</v>
      </c>
      <c r="C651" s="1" t="n">
        <v>45828</v>
      </c>
      <c r="D651" t="inlineStr">
        <is>
          <t>DALARNAS LÄN</t>
        </is>
      </c>
      <c r="E651" t="inlineStr">
        <is>
          <t>LEKSAND</t>
        </is>
      </c>
      <c r="F651" t="inlineStr">
        <is>
          <t>Bergvik skog väst AB</t>
        </is>
      </c>
      <c r="G651" t="n">
        <v>5.8</v>
      </c>
      <c r="H651" t="n">
        <v>0</v>
      </c>
      <c r="I651" t="n">
        <v>0</v>
      </c>
      <c r="J651" t="n">
        <v>0</v>
      </c>
      <c r="K651" t="n">
        <v>0</v>
      </c>
      <c r="L651" t="n">
        <v>0</v>
      </c>
      <c r="M651" t="n">
        <v>0</v>
      </c>
      <c r="N651" t="n">
        <v>0</v>
      </c>
      <c r="O651" t="n">
        <v>0</v>
      </c>
      <c r="P651" t="n">
        <v>0</v>
      </c>
      <c r="Q651" t="n">
        <v>0</v>
      </c>
      <c r="R651" s="2" t="inlineStr"/>
    </row>
    <row r="652" ht="15" customHeight="1">
      <c r="A652" t="inlineStr">
        <is>
          <t>A 40634-2023</t>
        </is>
      </c>
      <c r="B652" s="1" t="n">
        <v>45170</v>
      </c>
      <c r="C652" s="1" t="n">
        <v>45828</v>
      </c>
      <c r="D652" t="inlineStr">
        <is>
          <t>DALARNAS LÄN</t>
        </is>
      </c>
      <c r="E652" t="inlineStr">
        <is>
          <t>LEKSAND</t>
        </is>
      </c>
      <c r="F652" t="inlineStr">
        <is>
          <t>Bergvik skog väst AB</t>
        </is>
      </c>
      <c r="G652" t="n">
        <v>4.9</v>
      </c>
      <c r="H652" t="n">
        <v>0</v>
      </c>
      <c r="I652" t="n">
        <v>0</v>
      </c>
      <c r="J652" t="n">
        <v>0</v>
      </c>
      <c r="K652" t="n">
        <v>0</v>
      </c>
      <c r="L652" t="n">
        <v>0</v>
      </c>
      <c r="M652" t="n">
        <v>0</v>
      </c>
      <c r="N652" t="n">
        <v>0</v>
      </c>
      <c r="O652" t="n">
        <v>0</v>
      </c>
      <c r="P652" t="n">
        <v>0</v>
      </c>
      <c r="Q652" t="n">
        <v>0</v>
      </c>
      <c r="R652" s="2" t="inlineStr"/>
    </row>
    <row r="653" ht="15" customHeight="1">
      <c r="A653" t="inlineStr">
        <is>
          <t>A 40640-2023</t>
        </is>
      </c>
      <c r="B653" s="1" t="n">
        <v>45170</v>
      </c>
      <c r="C653" s="1" t="n">
        <v>45828</v>
      </c>
      <c r="D653" t="inlineStr">
        <is>
          <t>DALARNAS LÄN</t>
        </is>
      </c>
      <c r="E653" t="inlineStr">
        <is>
          <t>LEKSAND</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40577-2023</t>
        </is>
      </c>
      <c r="B654" s="1" t="n">
        <v>45170</v>
      </c>
      <c r="C654" s="1" t="n">
        <v>45828</v>
      </c>
      <c r="D654" t="inlineStr">
        <is>
          <t>DALARNAS LÄN</t>
        </is>
      </c>
      <c r="E654" t="inlineStr">
        <is>
          <t>LEKSAND</t>
        </is>
      </c>
      <c r="F654" t="inlineStr">
        <is>
          <t>Bergvik skog väst AB</t>
        </is>
      </c>
      <c r="G654" t="n">
        <v>20.6</v>
      </c>
      <c r="H654" t="n">
        <v>0</v>
      </c>
      <c r="I654" t="n">
        <v>0</v>
      </c>
      <c r="J654" t="n">
        <v>0</v>
      </c>
      <c r="K654" t="n">
        <v>0</v>
      </c>
      <c r="L654" t="n">
        <v>0</v>
      </c>
      <c r="M654" t="n">
        <v>0</v>
      </c>
      <c r="N654" t="n">
        <v>0</v>
      </c>
      <c r="O654" t="n">
        <v>0</v>
      </c>
      <c r="P654" t="n">
        <v>0</v>
      </c>
      <c r="Q654" t="n">
        <v>0</v>
      </c>
      <c r="R654" s="2" t="inlineStr"/>
    </row>
    <row r="655" ht="15" customHeight="1">
      <c r="A655" t="inlineStr">
        <is>
          <t>A 40627-2023</t>
        </is>
      </c>
      <c r="B655" s="1" t="n">
        <v>45170</v>
      </c>
      <c r="C655" s="1" t="n">
        <v>45828</v>
      </c>
      <c r="D655" t="inlineStr">
        <is>
          <t>DALARNAS LÄN</t>
        </is>
      </c>
      <c r="E655" t="inlineStr">
        <is>
          <t>LEKSAND</t>
        </is>
      </c>
      <c r="F655" t="inlineStr">
        <is>
          <t>Bergvik skog väst AB</t>
        </is>
      </c>
      <c r="G655" t="n">
        <v>3.3</v>
      </c>
      <c r="H655" t="n">
        <v>0</v>
      </c>
      <c r="I655" t="n">
        <v>0</v>
      </c>
      <c r="J655" t="n">
        <v>0</v>
      </c>
      <c r="K655" t="n">
        <v>0</v>
      </c>
      <c r="L655" t="n">
        <v>0</v>
      </c>
      <c r="M655" t="n">
        <v>0</v>
      </c>
      <c r="N655" t="n">
        <v>0</v>
      </c>
      <c r="O655" t="n">
        <v>0</v>
      </c>
      <c r="P655" t="n">
        <v>0</v>
      </c>
      <c r="Q655" t="n">
        <v>0</v>
      </c>
      <c r="R655" s="2" t="inlineStr"/>
    </row>
    <row r="656" ht="15" customHeight="1">
      <c r="A656" t="inlineStr">
        <is>
          <t>A 41853-2023</t>
        </is>
      </c>
      <c r="B656" s="1" t="n">
        <v>45176</v>
      </c>
      <c r="C656" s="1" t="n">
        <v>45828</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42230-2023</t>
        </is>
      </c>
      <c r="B657" s="1" t="n">
        <v>45180</v>
      </c>
      <c r="C657" s="1" t="n">
        <v>45828</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42305-2023</t>
        </is>
      </c>
      <c r="B658" s="1" t="n">
        <v>45180</v>
      </c>
      <c r="C658" s="1" t="n">
        <v>45828</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42290-2023</t>
        </is>
      </c>
      <c r="B659" s="1" t="n">
        <v>45180</v>
      </c>
      <c r="C659" s="1" t="n">
        <v>45828</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42739-2023</t>
        </is>
      </c>
      <c r="B660" s="1" t="n">
        <v>45181</v>
      </c>
      <c r="C660" s="1" t="n">
        <v>45828</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42774-2023</t>
        </is>
      </c>
      <c r="B661" s="1" t="n">
        <v>45181</v>
      </c>
      <c r="C661" s="1" t="n">
        <v>45828</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42771-2023</t>
        </is>
      </c>
      <c r="B662" s="1" t="n">
        <v>45181</v>
      </c>
      <c r="C662" s="1" t="n">
        <v>45828</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44491-2023</t>
        </is>
      </c>
      <c r="B663" s="1" t="n">
        <v>45183</v>
      </c>
      <c r="C663" s="1" t="n">
        <v>45828</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43436-2023</t>
        </is>
      </c>
      <c r="B664" s="1" t="n">
        <v>45184</v>
      </c>
      <c r="C664" s="1" t="n">
        <v>45828</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43440-2023</t>
        </is>
      </c>
      <c r="B665" s="1" t="n">
        <v>45184</v>
      </c>
      <c r="C665" s="1" t="n">
        <v>45828</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43508-2023</t>
        </is>
      </c>
      <c r="B666" s="1" t="n">
        <v>45184</v>
      </c>
      <c r="C666" s="1" t="n">
        <v>45828</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43642-2023</t>
        </is>
      </c>
      <c r="B667" s="1" t="n">
        <v>45186</v>
      </c>
      <c r="C667" s="1" t="n">
        <v>45828</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43650-2023</t>
        </is>
      </c>
      <c r="B668" s="1" t="n">
        <v>45187</v>
      </c>
      <c r="C668" s="1" t="n">
        <v>45828</v>
      </c>
      <c r="D668" t="inlineStr">
        <is>
          <t>DALARNAS LÄN</t>
        </is>
      </c>
      <c r="E668" t="inlineStr">
        <is>
          <t>LEKSAND</t>
        </is>
      </c>
      <c r="G668" t="n">
        <v>4.5</v>
      </c>
      <c r="H668" t="n">
        <v>0</v>
      </c>
      <c r="I668" t="n">
        <v>0</v>
      </c>
      <c r="J668" t="n">
        <v>0</v>
      </c>
      <c r="K668" t="n">
        <v>0</v>
      </c>
      <c r="L668" t="n">
        <v>0</v>
      </c>
      <c r="M668" t="n">
        <v>0</v>
      </c>
      <c r="N668" t="n">
        <v>0</v>
      </c>
      <c r="O668" t="n">
        <v>0</v>
      </c>
      <c r="P668" t="n">
        <v>0</v>
      </c>
      <c r="Q668" t="n">
        <v>0</v>
      </c>
      <c r="R668" s="2" t="inlineStr"/>
    </row>
    <row r="669" ht="15" customHeight="1">
      <c r="A669" t="inlineStr">
        <is>
          <t>A 44712-2023</t>
        </is>
      </c>
      <c r="B669" s="1" t="n">
        <v>45190</v>
      </c>
      <c r="C669" s="1" t="n">
        <v>45828</v>
      </c>
      <c r="D669" t="inlineStr">
        <is>
          <t>DALARNAS LÄN</t>
        </is>
      </c>
      <c r="E669" t="inlineStr">
        <is>
          <t>LEKSAND</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45254-2023</t>
        </is>
      </c>
      <c r="B670" s="1" t="n">
        <v>45191</v>
      </c>
      <c r="C670" s="1" t="n">
        <v>45828</v>
      </c>
      <c r="D670" t="inlineStr">
        <is>
          <t>DALARNAS LÄN</t>
        </is>
      </c>
      <c r="E670" t="inlineStr">
        <is>
          <t>LEKSAND</t>
        </is>
      </c>
      <c r="G670" t="n">
        <v>16.9</v>
      </c>
      <c r="H670" t="n">
        <v>0</v>
      </c>
      <c r="I670" t="n">
        <v>0</v>
      </c>
      <c r="J670" t="n">
        <v>0</v>
      </c>
      <c r="K670" t="n">
        <v>0</v>
      </c>
      <c r="L670" t="n">
        <v>0</v>
      </c>
      <c r="M670" t="n">
        <v>0</v>
      </c>
      <c r="N670" t="n">
        <v>0</v>
      </c>
      <c r="O670" t="n">
        <v>0</v>
      </c>
      <c r="P670" t="n">
        <v>0</v>
      </c>
      <c r="Q670" t="n">
        <v>0</v>
      </c>
      <c r="R670" s="2" t="inlineStr"/>
    </row>
    <row r="671" ht="15" customHeight="1">
      <c r="A671" t="inlineStr">
        <is>
          <t>A 45633-2023</t>
        </is>
      </c>
      <c r="B671" s="1" t="n">
        <v>45194</v>
      </c>
      <c r="C671" s="1" t="n">
        <v>45828</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45512-2023</t>
        </is>
      </c>
      <c r="B672" s="1" t="n">
        <v>45194</v>
      </c>
      <c r="C672" s="1" t="n">
        <v>45828</v>
      </c>
      <c r="D672" t="inlineStr">
        <is>
          <t>DALARNAS LÄN</t>
        </is>
      </c>
      <c r="E672" t="inlineStr">
        <is>
          <t>LEKSAND</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45768-2023</t>
        </is>
      </c>
      <c r="B673" s="1" t="n">
        <v>45195</v>
      </c>
      <c r="C673" s="1" t="n">
        <v>45828</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45679-2023</t>
        </is>
      </c>
      <c r="B674" s="1" t="n">
        <v>45195</v>
      </c>
      <c r="C674" s="1" t="n">
        <v>45828</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45813-2023</t>
        </is>
      </c>
      <c r="B675" s="1" t="n">
        <v>45195</v>
      </c>
      <c r="C675" s="1" t="n">
        <v>45828</v>
      </c>
      <c r="D675" t="inlineStr">
        <is>
          <t>DALARNAS LÄN</t>
        </is>
      </c>
      <c r="E675" t="inlineStr">
        <is>
          <t>LEKSAND</t>
        </is>
      </c>
      <c r="G675" t="n">
        <v>3</v>
      </c>
      <c r="H675" t="n">
        <v>0</v>
      </c>
      <c r="I675" t="n">
        <v>0</v>
      </c>
      <c r="J675" t="n">
        <v>0</v>
      </c>
      <c r="K675" t="n">
        <v>0</v>
      </c>
      <c r="L675" t="n">
        <v>0</v>
      </c>
      <c r="M675" t="n">
        <v>0</v>
      </c>
      <c r="N675" t="n">
        <v>0</v>
      </c>
      <c r="O675" t="n">
        <v>0</v>
      </c>
      <c r="P675" t="n">
        <v>0</v>
      </c>
      <c r="Q675" t="n">
        <v>0</v>
      </c>
      <c r="R675" s="2" t="inlineStr"/>
    </row>
    <row r="676" ht="15" customHeight="1">
      <c r="A676" t="inlineStr">
        <is>
          <t>A 46163-2023</t>
        </is>
      </c>
      <c r="B676" s="1" t="n">
        <v>45196</v>
      </c>
      <c r="C676" s="1" t="n">
        <v>45828</v>
      </c>
      <c r="D676" t="inlineStr">
        <is>
          <t>DALARNAS LÄN</t>
        </is>
      </c>
      <c r="E676" t="inlineStr">
        <is>
          <t>LEKSAND</t>
        </is>
      </c>
      <c r="G676" t="n">
        <v>7.3</v>
      </c>
      <c r="H676" t="n">
        <v>0</v>
      </c>
      <c r="I676" t="n">
        <v>0</v>
      </c>
      <c r="J676" t="n">
        <v>0</v>
      </c>
      <c r="K676" t="n">
        <v>0</v>
      </c>
      <c r="L676" t="n">
        <v>0</v>
      </c>
      <c r="M676" t="n">
        <v>0</v>
      </c>
      <c r="N676" t="n">
        <v>0</v>
      </c>
      <c r="O676" t="n">
        <v>0</v>
      </c>
      <c r="P676" t="n">
        <v>0</v>
      </c>
      <c r="Q676" t="n">
        <v>0</v>
      </c>
      <c r="R676" s="2" t="inlineStr"/>
    </row>
    <row r="677" ht="15" customHeight="1">
      <c r="A677" t="inlineStr">
        <is>
          <t>A 46446-2023</t>
        </is>
      </c>
      <c r="B677" s="1" t="n">
        <v>45197</v>
      </c>
      <c r="C677" s="1" t="n">
        <v>45828</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46505-2023</t>
        </is>
      </c>
      <c r="B678" s="1" t="n">
        <v>45197</v>
      </c>
      <c r="C678" s="1" t="n">
        <v>45828</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46593-2023</t>
        </is>
      </c>
      <c r="B679" s="1" t="n">
        <v>45198</v>
      </c>
      <c r="C679" s="1" t="n">
        <v>45828</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46669-2023</t>
        </is>
      </c>
      <c r="B680" s="1" t="n">
        <v>45198</v>
      </c>
      <c r="C680" s="1" t="n">
        <v>45828</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46594-2023</t>
        </is>
      </c>
      <c r="B681" s="1" t="n">
        <v>45198</v>
      </c>
      <c r="C681" s="1" t="n">
        <v>45828</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46600-2023</t>
        </is>
      </c>
      <c r="B682" s="1" t="n">
        <v>45198</v>
      </c>
      <c r="C682" s="1" t="n">
        <v>45828</v>
      </c>
      <c r="D682" t="inlineStr">
        <is>
          <t>DALARNAS LÄN</t>
        </is>
      </c>
      <c r="E682" t="inlineStr">
        <is>
          <t>LEKSAND</t>
        </is>
      </c>
      <c r="G682" t="n">
        <v>2.6</v>
      </c>
      <c r="H682" t="n">
        <v>0</v>
      </c>
      <c r="I682" t="n">
        <v>0</v>
      </c>
      <c r="J682" t="n">
        <v>0</v>
      </c>
      <c r="K682" t="n">
        <v>0</v>
      </c>
      <c r="L682" t="n">
        <v>0</v>
      </c>
      <c r="M682" t="n">
        <v>0</v>
      </c>
      <c r="N682" t="n">
        <v>0</v>
      </c>
      <c r="O682" t="n">
        <v>0</v>
      </c>
      <c r="P682" t="n">
        <v>0</v>
      </c>
      <c r="Q682" t="n">
        <v>0</v>
      </c>
      <c r="R682" s="2" t="inlineStr"/>
    </row>
    <row r="683" ht="15" customHeight="1">
      <c r="A683" t="inlineStr">
        <is>
          <t>A 46665-2023</t>
        </is>
      </c>
      <c r="B683" s="1" t="n">
        <v>45198</v>
      </c>
      <c r="C683" s="1" t="n">
        <v>45828</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46635-2023</t>
        </is>
      </c>
      <c r="B684" s="1" t="n">
        <v>45198</v>
      </c>
      <c r="C684" s="1" t="n">
        <v>45828</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v>
      </c>
      <c r="C685" s="1" t="n">
        <v>45828</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45828</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47039-2023</t>
        </is>
      </c>
      <c r="B687" s="1" t="n">
        <v>45201</v>
      </c>
      <c r="C687" s="1" t="n">
        <v>45828</v>
      </c>
      <c r="D687" t="inlineStr">
        <is>
          <t>DALARNAS LÄN</t>
        </is>
      </c>
      <c r="E687" t="inlineStr">
        <is>
          <t>LEKSAND</t>
        </is>
      </c>
      <c r="G687" t="n">
        <v>3.2</v>
      </c>
      <c r="H687" t="n">
        <v>0</v>
      </c>
      <c r="I687" t="n">
        <v>0</v>
      </c>
      <c r="J687" t="n">
        <v>0</v>
      </c>
      <c r="K687" t="n">
        <v>0</v>
      </c>
      <c r="L687" t="n">
        <v>0</v>
      </c>
      <c r="M687" t="n">
        <v>0</v>
      </c>
      <c r="N687" t="n">
        <v>0</v>
      </c>
      <c r="O687" t="n">
        <v>0</v>
      </c>
      <c r="P687" t="n">
        <v>0</v>
      </c>
      <c r="Q687" t="n">
        <v>0</v>
      </c>
      <c r="R687" s="2" t="inlineStr"/>
    </row>
    <row r="688" ht="15" customHeight="1">
      <c r="A688" t="inlineStr">
        <is>
          <t>A 46931-2023</t>
        </is>
      </c>
      <c r="B688" s="1" t="n">
        <v>45201</v>
      </c>
      <c r="C688" s="1" t="n">
        <v>45828</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47011-2023</t>
        </is>
      </c>
      <c r="B689" s="1" t="n">
        <v>45201</v>
      </c>
      <c r="C689" s="1" t="n">
        <v>45828</v>
      </c>
      <c r="D689" t="inlineStr">
        <is>
          <t>DALARNAS LÄN</t>
        </is>
      </c>
      <c r="E689" t="inlineStr">
        <is>
          <t>LEKSAND</t>
        </is>
      </c>
      <c r="G689" t="n">
        <v>4</v>
      </c>
      <c r="H689" t="n">
        <v>0</v>
      </c>
      <c r="I689" t="n">
        <v>0</v>
      </c>
      <c r="J689" t="n">
        <v>0</v>
      </c>
      <c r="K689" t="n">
        <v>0</v>
      </c>
      <c r="L689" t="n">
        <v>0</v>
      </c>
      <c r="M689" t="n">
        <v>0</v>
      </c>
      <c r="N689" t="n">
        <v>0</v>
      </c>
      <c r="O689" t="n">
        <v>0</v>
      </c>
      <c r="P689" t="n">
        <v>0</v>
      </c>
      <c r="Q689" t="n">
        <v>0</v>
      </c>
      <c r="R689" s="2" t="inlineStr"/>
    </row>
    <row r="690" ht="15" customHeight="1">
      <c r="A690" t="inlineStr">
        <is>
          <t>A 47203-2023</t>
        </is>
      </c>
      <c r="B690" s="1" t="n">
        <v>45202</v>
      </c>
      <c r="C690" s="1" t="n">
        <v>45828</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47673-2023</t>
        </is>
      </c>
      <c r="B691" s="1" t="n">
        <v>45203</v>
      </c>
      <c r="C691" s="1" t="n">
        <v>45828</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47655-2023</t>
        </is>
      </c>
      <c r="B692" s="1" t="n">
        <v>45203</v>
      </c>
      <c r="C692" s="1" t="n">
        <v>45828</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48714-2023</t>
        </is>
      </c>
      <c r="B693" s="1" t="n">
        <v>45203</v>
      </c>
      <c r="C693" s="1" t="n">
        <v>45828</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48721-2023</t>
        </is>
      </c>
      <c r="B694" s="1" t="n">
        <v>45203</v>
      </c>
      <c r="C694" s="1" t="n">
        <v>45828</v>
      </c>
      <c r="D694" t="inlineStr">
        <is>
          <t>DALARNAS LÄN</t>
        </is>
      </c>
      <c r="E694" t="inlineStr">
        <is>
          <t>LEKSAND</t>
        </is>
      </c>
      <c r="G694" t="n">
        <v>2.9</v>
      </c>
      <c r="H694" t="n">
        <v>0</v>
      </c>
      <c r="I694" t="n">
        <v>0</v>
      </c>
      <c r="J694" t="n">
        <v>0</v>
      </c>
      <c r="K694" t="n">
        <v>0</v>
      </c>
      <c r="L694" t="n">
        <v>0</v>
      </c>
      <c r="M694" t="n">
        <v>0</v>
      </c>
      <c r="N694" t="n">
        <v>0</v>
      </c>
      <c r="O694" t="n">
        <v>0</v>
      </c>
      <c r="P694" t="n">
        <v>0</v>
      </c>
      <c r="Q694" t="n">
        <v>0</v>
      </c>
      <c r="R694" s="2" t="inlineStr"/>
    </row>
    <row r="695" ht="15" customHeight="1">
      <c r="A695" t="inlineStr">
        <is>
          <t>A 48029-2023</t>
        </is>
      </c>
      <c r="B695" s="1" t="n">
        <v>45204</v>
      </c>
      <c r="C695" s="1" t="n">
        <v>45828</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48644-2023</t>
        </is>
      </c>
      <c r="B696" s="1" t="n">
        <v>45208</v>
      </c>
      <c r="C696" s="1" t="n">
        <v>45828</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50374-2023</t>
        </is>
      </c>
      <c r="B697" s="1" t="n">
        <v>45209</v>
      </c>
      <c r="C697" s="1" t="n">
        <v>45828</v>
      </c>
      <c r="D697" t="inlineStr">
        <is>
          <t>DALARNAS LÄN</t>
        </is>
      </c>
      <c r="E697" t="inlineStr">
        <is>
          <t>LEKSAND</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50082-2023</t>
        </is>
      </c>
      <c r="B698" s="1" t="n">
        <v>45215</v>
      </c>
      <c r="C698" s="1" t="n">
        <v>45828</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50447-2023</t>
        </is>
      </c>
      <c r="B699" s="1" t="n">
        <v>45216</v>
      </c>
      <c r="C699" s="1" t="n">
        <v>45828</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45828</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50553-2023</t>
        </is>
      </c>
      <c r="B701" s="1" t="n">
        <v>45217</v>
      </c>
      <c r="C701" s="1" t="n">
        <v>45828</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51090-2023</t>
        </is>
      </c>
      <c r="B702" s="1" t="n">
        <v>45218</v>
      </c>
      <c r="C702" s="1" t="n">
        <v>45828</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51377-2023</t>
        </is>
      </c>
      <c r="B703" s="1" t="n">
        <v>45219</v>
      </c>
      <c r="C703" s="1" t="n">
        <v>45828</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52801-2023</t>
        </is>
      </c>
      <c r="B704" s="1" t="n">
        <v>45219</v>
      </c>
      <c r="C704" s="1" t="n">
        <v>45828</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52216-2023</t>
        </is>
      </c>
      <c r="B705" s="1" t="n">
        <v>45219</v>
      </c>
      <c r="C705" s="1" t="n">
        <v>45828</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51320-2023</t>
        </is>
      </c>
      <c r="B706" s="1" t="n">
        <v>45219</v>
      </c>
      <c r="C706" s="1" t="n">
        <v>45828</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51736-2023</t>
        </is>
      </c>
      <c r="B707" s="1" t="n">
        <v>45222</v>
      </c>
      <c r="C707" s="1" t="n">
        <v>45828</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52959-2023</t>
        </is>
      </c>
      <c r="B708" s="1" t="n">
        <v>45222</v>
      </c>
      <c r="C708" s="1" t="n">
        <v>45828</v>
      </c>
      <c r="D708" t="inlineStr">
        <is>
          <t>DALARNAS LÄN</t>
        </is>
      </c>
      <c r="E708" t="inlineStr">
        <is>
          <t>LEKSAND</t>
        </is>
      </c>
      <c r="G708" t="n">
        <v>6.5</v>
      </c>
      <c r="H708" t="n">
        <v>0</v>
      </c>
      <c r="I708" t="n">
        <v>0</v>
      </c>
      <c r="J708" t="n">
        <v>0</v>
      </c>
      <c r="K708" t="n">
        <v>0</v>
      </c>
      <c r="L708" t="n">
        <v>0</v>
      </c>
      <c r="M708" t="n">
        <v>0</v>
      </c>
      <c r="N708" t="n">
        <v>0</v>
      </c>
      <c r="O708" t="n">
        <v>0</v>
      </c>
      <c r="P708" t="n">
        <v>0</v>
      </c>
      <c r="Q708" t="n">
        <v>0</v>
      </c>
      <c r="R708" s="2" t="inlineStr"/>
    </row>
    <row r="709" ht="15" customHeight="1">
      <c r="A709" t="inlineStr">
        <is>
          <t>A 52016-2023</t>
        </is>
      </c>
      <c r="B709" s="1" t="n">
        <v>45223</v>
      </c>
      <c r="C709" s="1" t="n">
        <v>45828</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52732-2023</t>
        </is>
      </c>
      <c r="B710" s="1" t="n">
        <v>45226</v>
      </c>
      <c r="C710" s="1" t="n">
        <v>45828</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53120-2023</t>
        </is>
      </c>
      <c r="B711" s="1" t="n">
        <v>45228</v>
      </c>
      <c r="C711" s="1" t="n">
        <v>45828</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53122-2023</t>
        </is>
      </c>
      <c r="B712" s="1" t="n">
        <v>45228</v>
      </c>
      <c r="C712" s="1" t="n">
        <v>45828</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53248-2023</t>
        </is>
      </c>
      <c r="B713" s="1" t="n">
        <v>45229</v>
      </c>
      <c r="C713" s="1" t="n">
        <v>45828</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53128-2023</t>
        </is>
      </c>
      <c r="B714" s="1" t="n">
        <v>45229</v>
      </c>
      <c r="C714" s="1" t="n">
        <v>45828</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53291-2023</t>
        </is>
      </c>
      <c r="B715" s="1" t="n">
        <v>45229</v>
      </c>
      <c r="C715" s="1" t="n">
        <v>45828</v>
      </c>
      <c r="D715" t="inlineStr">
        <is>
          <t>DALARNAS LÄN</t>
        </is>
      </c>
      <c r="E715" t="inlineStr">
        <is>
          <t>LEKSAND</t>
        </is>
      </c>
      <c r="G715" t="n">
        <v>2.5</v>
      </c>
      <c r="H715" t="n">
        <v>0</v>
      </c>
      <c r="I715" t="n">
        <v>0</v>
      </c>
      <c r="J715" t="n">
        <v>0</v>
      </c>
      <c r="K715" t="n">
        <v>0</v>
      </c>
      <c r="L715" t="n">
        <v>0</v>
      </c>
      <c r="M715" t="n">
        <v>0</v>
      </c>
      <c r="N715" t="n">
        <v>0</v>
      </c>
      <c r="O715" t="n">
        <v>0</v>
      </c>
      <c r="P715" t="n">
        <v>0</v>
      </c>
      <c r="Q715" t="n">
        <v>0</v>
      </c>
      <c r="R715" s="2" t="inlineStr"/>
    </row>
    <row r="716" ht="15" customHeight="1">
      <c r="A716" t="inlineStr">
        <is>
          <t>A 53621-2023</t>
        </is>
      </c>
      <c r="B716" s="1" t="n">
        <v>45230</v>
      </c>
      <c r="C716" s="1" t="n">
        <v>45828</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53636-2023</t>
        </is>
      </c>
      <c r="B717" s="1" t="n">
        <v>45230</v>
      </c>
      <c r="C717" s="1" t="n">
        <v>45828</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53717-2023</t>
        </is>
      </c>
      <c r="B718" s="1" t="n">
        <v>45230</v>
      </c>
      <c r="C718" s="1" t="n">
        <v>45828</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55196-2023</t>
        </is>
      </c>
      <c r="B719" s="1" t="n">
        <v>45230</v>
      </c>
      <c r="C719" s="1" t="n">
        <v>45828</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45828</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53823-2023</t>
        </is>
      </c>
      <c r="B721" s="1" t="n">
        <v>45231</v>
      </c>
      <c r="C721" s="1" t="n">
        <v>45828</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53817-2023</t>
        </is>
      </c>
      <c r="B722" s="1" t="n">
        <v>45231</v>
      </c>
      <c r="C722" s="1" t="n">
        <v>45828</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54251-2023</t>
        </is>
      </c>
      <c r="B723" s="1" t="n">
        <v>45232</v>
      </c>
      <c r="C723" s="1" t="n">
        <v>45828</v>
      </c>
      <c r="D723" t="inlineStr">
        <is>
          <t>DALARNAS LÄN</t>
        </is>
      </c>
      <c r="E723" t="inlineStr">
        <is>
          <t>LEKSAND</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54289-2023</t>
        </is>
      </c>
      <c r="B724" s="1" t="n">
        <v>45232</v>
      </c>
      <c r="C724" s="1" t="n">
        <v>45828</v>
      </c>
      <c r="D724" t="inlineStr">
        <is>
          <t>DALARNAS LÄN</t>
        </is>
      </c>
      <c r="E724" t="inlineStr">
        <is>
          <t>LEKSAND</t>
        </is>
      </c>
      <c r="G724" t="n">
        <v>2</v>
      </c>
      <c r="H724" t="n">
        <v>0</v>
      </c>
      <c r="I724" t="n">
        <v>0</v>
      </c>
      <c r="J724" t="n">
        <v>0</v>
      </c>
      <c r="K724" t="n">
        <v>0</v>
      </c>
      <c r="L724" t="n">
        <v>0</v>
      </c>
      <c r="M724" t="n">
        <v>0</v>
      </c>
      <c r="N724" t="n">
        <v>0</v>
      </c>
      <c r="O724" t="n">
        <v>0</v>
      </c>
      <c r="P724" t="n">
        <v>0</v>
      </c>
      <c r="Q724" t="n">
        <v>0</v>
      </c>
      <c r="R724" s="2" t="inlineStr"/>
    </row>
    <row r="725" ht="15" customHeight="1">
      <c r="A725" t="inlineStr">
        <is>
          <t>A 54682-2023</t>
        </is>
      </c>
      <c r="B725" s="1" t="n">
        <v>45235</v>
      </c>
      <c r="C725" s="1" t="n">
        <v>45828</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54690-2023</t>
        </is>
      </c>
      <c r="B726" s="1" t="n">
        <v>45236</v>
      </c>
      <c r="C726" s="1" t="n">
        <v>45828</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55418-2023</t>
        </is>
      </c>
      <c r="B727" s="1" t="n">
        <v>45238</v>
      </c>
      <c r="C727" s="1" t="n">
        <v>45828</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55438-2023</t>
        </is>
      </c>
      <c r="B728" s="1" t="n">
        <v>45238</v>
      </c>
      <c r="C728" s="1" t="n">
        <v>45828</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55464-2023</t>
        </is>
      </c>
      <c r="B729" s="1" t="n">
        <v>45238</v>
      </c>
      <c r="C729" s="1" t="n">
        <v>45828</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55430-2023</t>
        </is>
      </c>
      <c r="B730" s="1" t="n">
        <v>45238</v>
      </c>
      <c r="C730" s="1" t="n">
        <v>45828</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56221-2023</t>
        </is>
      </c>
      <c r="B731" s="1" t="n">
        <v>45240</v>
      </c>
      <c r="C731" s="1" t="n">
        <v>45828</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56211-2023</t>
        </is>
      </c>
      <c r="B732" s="1" t="n">
        <v>45240</v>
      </c>
      <c r="C732" s="1" t="n">
        <v>45828</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56099-2023</t>
        </is>
      </c>
      <c r="B733" s="1" t="n">
        <v>45240</v>
      </c>
      <c r="C733" s="1" t="n">
        <v>45828</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56067-2023</t>
        </is>
      </c>
      <c r="B734" s="1" t="n">
        <v>45240</v>
      </c>
      <c r="C734" s="1" t="n">
        <v>45828</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56065-2023</t>
        </is>
      </c>
      <c r="B735" s="1" t="n">
        <v>45240</v>
      </c>
      <c r="C735" s="1" t="n">
        <v>45828</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56350-2023</t>
        </is>
      </c>
      <c r="B736" s="1" t="n">
        <v>45243</v>
      </c>
      <c r="C736" s="1" t="n">
        <v>45828</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56632-2023</t>
        </is>
      </c>
      <c r="B737" s="1" t="n">
        <v>45243</v>
      </c>
      <c r="C737" s="1" t="n">
        <v>45828</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56753-2023</t>
        </is>
      </c>
      <c r="B738" s="1" t="n">
        <v>45244</v>
      </c>
      <c r="C738" s="1" t="n">
        <v>45828</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56810-2023</t>
        </is>
      </c>
      <c r="B739" s="1" t="n">
        <v>45244</v>
      </c>
      <c r="C739" s="1" t="n">
        <v>45828</v>
      </c>
      <c r="D739" t="inlineStr">
        <is>
          <t>DALARNAS LÄN</t>
        </is>
      </c>
      <c r="E739" t="inlineStr">
        <is>
          <t>LEKSAND</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56812-2023</t>
        </is>
      </c>
      <c r="B740" s="1" t="n">
        <v>45244</v>
      </c>
      <c r="C740" s="1" t="n">
        <v>45828</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57013-2023</t>
        </is>
      </c>
      <c r="B741" s="1" t="n">
        <v>45244</v>
      </c>
      <c r="C741" s="1" t="n">
        <v>45828</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57323-2023</t>
        </is>
      </c>
      <c r="B742" s="1" t="n">
        <v>45245</v>
      </c>
      <c r="C742" s="1" t="n">
        <v>45828</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57106-2023</t>
        </is>
      </c>
      <c r="B743" s="1" t="n">
        <v>45245</v>
      </c>
      <c r="C743" s="1" t="n">
        <v>45828</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57093-2023</t>
        </is>
      </c>
      <c r="B744" s="1" t="n">
        <v>45245</v>
      </c>
      <c r="C744" s="1" t="n">
        <v>45828</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57468-2023</t>
        </is>
      </c>
      <c r="B745" s="1" t="n">
        <v>45246</v>
      </c>
      <c r="C745" s="1" t="n">
        <v>45828</v>
      </c>
      <c r="D745" t="inlineStr">
        <is>
          <t>DALARNAS LÄN</t>
        </is>
      </c>
      <c r="E745" t="inlineStr">
        <is>
          <t>LEKSAND</t>
        </is>
      </c>
      <c r="G745" t="n">
        <v>4.6</v>
      </c>
      <c r="H745" t="n">
        <v>0</v>
      </c>
      <c r="I745" t="n">
        <v>0</v>
      </c>
      <c r="J745" t="n">
        <v>0</v>
      </c>
      <c r="K745" t="n">
        <v>0</v>
      </c>
      <c r="L745" t="n">
        <v>0</v>
      </c>
      <c r="M745" t="n">
        <v>0</v>
      </c>
      <c r="N745" t="n">
        <v>0</v>
      </c>
      <c r="O745" t="n">
        <v>0</v>
      </c>
      <c r="P745" t="n">
        <v>0</v>
      </c>
      <c r="Q745" t="n">
        <v>0</v>
      </c>
      <c r="R745" s="2" t="inlineStr"/>
    </row>
    <row r="746" ht="15" customHeight="1">
      <c r="A746" t="inlineStr">
        <is>
          <t>A 57635-2023</t>
        </is>
      </c>
      <c r="B746" s="1" t="n">
        <v>45246</v>
      </c>
      <c r="C746" s="1" t="n">
        <v>45828</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57681-2023</t>
        </is>
      </c>
      <c r="B747" s="1" t="n">
        <v>45246</v>
      </c>
      <c r="C747" s="1" t="n">
        <v>45828</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57665-2023</t>
        </is>
      </c>
      <c r="B748" s="1" t="n">
        <v>45246</v>
      </c>
      <c r="C748" s="1" t="n">
        <v>45828</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57852-2023</t>
        </is>
      </c>
      <c r="B749" s="1" t="n">
        <v>45247</v>
      </c>
      <c r="C749" s="1" t="n">
        <v>45828</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58405-2023</t>
        </is>
      </c>
      <c r="B750" s="1" t="n">
        <v>45250</v>
      </c>
      <c r="C750" s="1" t="n">
        <v>45828</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58402-2023</t>
        </is>
      </c>
      <c r="B751" s="1" t="n">
        <v>45250</v>
      </c>
      <c r="C751" s="1" t="n">
        <v>45828</v>
      </c>
      <c r="D751" t="inlineStr">
        <is>
          <t>DALARNAS LÄN</t>
        </is>
      </c>
      <c r="E751" t="inlineStr">
        <is>
          <t>LEKSAND</t>
        </is>
      </c>
      <c r="G751" t="n">
        <v>4.5</v>
      </c>
      <c r="H751" t="n">
        <v>0</v>
      </c>
      <c r="I751" t="n">
        <v>0</v>
      </c>
      <c r="J751" t="n">
        <v>0</v>
      </c>
      <c r="K751" t="n">
        <v>0</v>
      </c>
      <c r="L751" t="n">
        <v>0</v>
      </c>
      <c r="M751" t="n">
        <v>0</v>
      </c>
      <c r="N751" t="n">
        <v>0</v>
      </c>
      <c r="O751" t="n">
        <v>0</v>
      </c>
      <c r="P751" t="n">
        <v>0</v>
      </c>
      <c r="Q751" t="n">
        <v>0</v>
      </c>
      <c r="R751" s="2" t="inlineStr"/>
    </row>
    <row r="752" ht="15" customHeight="1">
      <c r="A752" t="inlineStr">
        <is>
          <t>A 58495-2023</t>
        </is>
      </c>
      <c r="B752" s="1" t="n">
        <v>45251</v>
      </c>
      <c r="C752" s="1" t="n">
        <v>45828</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58730-2023</t>
        </is>
      </c>
      <c r="B753" s="1" t="n">
        <v>45251</v>
      </c>
      <c r="C753" s="1" t="n">
        <v>45828</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58877-2023</t>
        </is>
      </c>
      <c r="B754" s="1" t="n">
        <v>45252</v>
      </c>
      <c r="C754" s="1" t="n">
        <v>45828</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row r="755" ht="15" customHeight="1">
      <c r="A755" t="inlineStr">
        <is>
          <t>A 58950-2023</t>
        </is>
      </c>
      <c r="B755" s="1" t="n">
        <v>45252</v>
      </c>
      <c r="C755" s="1" t="n">
        <v>45828</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58949-2023</t>
        </is>
      </c>
      <c r="B756" s="1" t="n">
        <v>45252</v>
      </c>
      <c r="C756" s="1" t="n">
        <v>45828</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59011-2023</t>
        </is>
      </c>
      <c r="B757" s="1" t="n">
        <v>45252</v>
      </c>
      <c r="C757" s="1" t="n">
        <v>45828</v>
      </c>
      <c r="D757" t="inlineStr">
        <is>
          <t>DALARNAS LÄN</t>
        </is>
      </c>
      <c r="E757" t="inlineStr">
        <is>
          <t>LEKSAND</t>
        </is>
      </c>
      <c r="G757" t="n">
        <v>3.7</v>
      </c>
      <c r="H757" t="n">
        <v>0</v>
      </c>
      <c r="I757" t="n">
        <v>0</v>
      </c>
      <c r="J757" t="n">
        <v>0</v>
      </c>
      <c r="K757" t="n">
        <v>0</v>
      </c>
      <c r="L757" t="n">
        <v>0</v>
      </c>
      <c r="M757" t="n">
        <v>0</v>
      </c>
      <c r="N757" t="n">
        <v>0</v>
      </c>
      <c r="O757" t="n">
        <v>0</v>
      </c>
      <c r="P757" t="n">
        <v>0</v>
      </c>
      <c r="Q757" t="n">
        <v>0</v>
      </c>
      <c r="R757" s="2" t="inlineStr"/>
    </row>
    <row r="758" ht="15" customHeight="1">
      <c r="A758" t="inlineStr">
        <is>
          <t>A 58853-2023</t>
        </is>
      </c>
      <c r="B758" s="1" t="n">
        <v>45252</v>
      </c>
      <c r="C758" s="1" t="n">
        <v>45828</v>
      </c>
      <c r="D758" t="inlineStr">
        <is>
          <t>DALARNAS LÄN</t>
        </is>
      </c>
      <c r="E758" t="inlineStr">
        <is>
          <t>LEKSAND</t>
        </is>
      </c>
      <c r="G758" t="n">
        <v>2.4</v>
      </c>
      <c r="H758" t="n">
        <v>0</v>
      </c>
      <c r="I758" t="n">
        <v>0</v>
      </c>
      <c r="J758" t="n">
        <v>0</v>
      </c>
      <c r="K758" t="n">
        <v>0</v>
      </c>
      <c r="L758" t="n">
        <v>0</v>
      </c>
      <c r="M758" t="n">
        <v>0</v>
      </c>
      <c r="N758" t="n">
        <v>0</v>
      </c>
      <c r="O758" t="n">
        <v>0</v>
      </c>
      <c r="P758" t="n">
        <v>0</v>
      </c>
      <c r="Q758" t="n">
        <v>0</v>
      </c>
      <c r="R758" s="2" t="inlineStr"/>
    </row>
    <row r="759" ht="15" customHeight="1">
      <c r="A759" t="inlineStr">
        <is>
          <t>A 58880-2023</t>
        </is>
      </c>
      <c r="B759" s="1" t="n">
        <v>45252</v>
      </c>
      <c r="C759" s="1" t="n">
        <v>45828</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59222-2023</t>
        </is>
      </c>
      <c r="B760" s="1" t="n">
        <v>45252</v>
      </c>
      <c r="C760" s="1" t="n">
        <v>45828</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59392-2023</t>
        </is>
      </c>
      <c r="B761" s="1" t="n">
        <v>45253</v>
      </c>
      <c r="C761" s="1" t="n">
        <v>45828</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59562-2023</t>
        </is>
      </c>
      <c r="B762" s="1" t="n">
        <v>45253</v>
      </c>
      <c r="C762" s="1" t="n">
        <v>45828</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59809-2023</t>
        </is>
      </c>
      <c r="B763" s="1" t="n">
        <v>45254</v>
      </c>
      <c r="C763" s="1" t="n">
        <v>45828</v>
      </c>
      <c r="D763" t="inlineStr">
        <is>
          <t>DALARNAS LÄN</t>
        </is>
      </c>
      <c r="E763" t="inlineStr">
        <is>
          <t>LEKSAND</t>
        </is>
      </c>
      <c r="G763" t="n">
        <v>3.9</v>
      </c>
      <c r="H763" t="n">
        <v>0</v>
      </c>
      <c r="I763" t="n">
        <v>0</v>
      </c>
      <c r="J763" t="n">
        <v>0</v>
      </c>
      <c r="K763" t="n">
        <v>0</v>
      </c>
      <c r="L763" t="n">
        <v>0</v>
      </c>
      <c r="M763" t="n">
        <v>0</v>
      </c>
      <c r="N763" t="n">
        <v>0</v>
      </c>
      <c r="O763" t="n">
        <v>0</v>
      </c>
      <c r="P763" t="n">
        <v>0</v>
      </c>
      <c r="Q763" t="n">
        <v>0</v>
      </c>
      <c r="R763" s="2" t="inlineStr"/>
    </row>
    <row r="764" ht="15" customHeight="1">
      <c r="A764" t="inlineStr">
        <is>
          <t>A 59803-2023</t>
        </is>
      </c>
      <c r="B764" s="1" t="n">
        <v>45254</v>
      </c>
      <c r="C764" s="1" t="n">
        <v>45828</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59826-2023</t>
        </is>
      </c>
      <c r="B765" s="1" t="n">
        <v>45254</v>
      </c>
      <c r="C765" s="1" t="n">
        <v>45828</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59673-2023</t>
        </is>
      </c>
      <c r="B766" s="1" t="n">
        <v>45255</v>
      </c>
      <c r="C766" s="1" t="n">
        <v>45828</v>
      </c>
      <c r="D766" t="inlineStr">
        <is>
          <t>DALARNAS LÄN</t>
        </is>
      </c>
      <c r="E766" t="inlineStr">
        <is>
          <t>LEKSAND</t>
        </is>
      </c>
      <c r="G766" t="n">
        <v>12.2</v>
      </c>
      <c r="H766" t="n">
        <v>0</v>
      </c>
      <c r="I766" t="n">
        <v>0</v>
      </c>
      <c r="J766" t="n">
        <v>0</v>
      </c>
      <c r="K766" t="n">
        <v>0</v>
      </c>
      <c r="L766" t="n">
        <v>0</v>
      </c>
      <c r="M766" t="n">
        <v>0</v>
      </c>
      <c r="N766" t="n">
        <v>0</v>
      </c>
      <c r="O766" t="n">
        <v>0</v>
      </c>
      <c r="P766" t="n">
        <v>0</v>
      </c>
      <c r="Q766" t="n">
        <v>0</v>
      </c>
      <c r="R766" s="2" t="inlineStr"/>
    </row>
    <row r="767" ht="15" customHeight="1">
      <c r="A767" t="inlineStr">
        <is>
          <t>A 60042-2023</t>
        </is>
      </c>
      <c r="B767" s="1" t="n">
        <v>45256</v>
      </c>
      <c r="C767" s="1" t="n">
        <v>45828</v>
      </c>
      <c r="D767" t="inlineStr">
        <is>
          <t>DALARNAS LÄN</t>
        </is>
      </c>
      <c r="E767" t="inlineStr">
        <is>
          <t>LEKSAND</t>
        </is>
      </c>
      <c r="G767" t="n">
        <v>2</v>
      </c>
      <c r="H767" t="n">
        <v>0</v>
      </c>
      <c r="I767" t="n">
        <v>0</v>
      </c>
      <c r="J767" t="n">
        <v>0</v>
      </c>
      <c r="K767" t="n">
        <v>0</v>
      </c>
      <c r="L767" t="n">
        <v>0</v>
      </c>
      <c r="M767" t="n">
        <v>0</v>
      </c>
      <c r="N767" t="n">
        <v>0</v>
      </c>
      <c r="O767" t="n">
        <v>0</v>
      </c>
      <c r="P767" t="n">
        <v>0</v>
      </c>
      <c r="Q767" t="n">
        <v>0</v>
      </c>
      <c r="R767" s="2" t="inlineStr"/>
    </row>
    <row r="768" ht="15" customHeight="1">
      <c r="A768" t="inlineStr">
        <is>
          <t>A 60040-2023</t>
        </is>
      </c>
      <c r="B768" s="1" t="n">
        <v>45256</v>
      </c>
      <c r="C768" s="1" t="n">
        <v>45828</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59718-2023</t>
        </is>
      </c>
      <c r="B769" s="1" t="n">
        <v>45257</v>
      </c>
      <c r="C769" s="1" t="n">
        <v>45828</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59763-2023</t>
        </is>
      </c>
      <c r="B770" s="1" t="n">
        <v>45257</v>
      </c>
      <c r="C770" s="1" t="n">
        <v>45828</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59859-2023</t>
        </is>
      </c>
      <c r="B771" s="1" t="n">
        <v>45257</v>
      </c>
      <c r="C771" s="1" t="n">
        <v>45828</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60024-2023</t>
        </is>
      </c>
      <c r="B772" s="1" t="n">
        <v>45258</v>
      </c>
      <c r="C772" s="1" t="n">
        <v>45828</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60028-2023</t>
        </is>
      </c>
      <c r="B773" s="1" t="n">
        <v>45258</v>
      </c>
      <c r="C773" s="1" t="n">
        <v>45828</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60044-2023</t>
        </is>
      </c>
      <c r="B774" s="1" t="n">
        <v>45258</v>
      </c>
      <c r="C774" s="1" t="n">
        <v>45828</v>
      </c>
      <c r="D774" t="inlineStr">
        <is>
          <t>DALARNAS LÄN</t>
        </is>
      </c>
      <c r="E774" t="inlineStr">
        <is>
          <t>LEKSAND</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60080-2023</t>
        </is>
      </c>
      <c r="B775" s="1" t="n">
        <v>45258</v>
      </c>
      <c r="C775" s="1" t="n">
        <v>45828</v>
      </c>
      <c r="D775" t="inlineStr">
        <is>
          <t>DALARNAS LÄN</t>
        </is>
      </c>
      <c r="E775" t="inlineStr">
        <is>
          <t>LEKSAND</t>
        </is>
      </c>
      <c r="G775" t="n">
        <v>2.7</v>
      </c>
      <c r="H775" t="n">
        <v>0</v>
      </c>
      <c r="I775" t="n">
        <v>0</v>
      </c>
      <c r="J775" t="n">
        <v>0</v>
      </c>
      <c r="K775" t="n">
        <v>0</v>
      </c>
      <c r="L775" t="n">
        <v>0</v>
      </c>
      <c r="M775" t="n">
        <v>0</v>
      </c>
      <c r="N775" t="n">
        <v>0</v>
      </c>
      <c r="O775" t="n">
        <v>0</v>
      </c>
      <c r="P775" t="n">
        <v>0</v>
      </c>
      <c r="Q775" t="n">
        <v>0</v>
      </c>
      <c r="R775" s="2" t="inlineStr"/>
    </row>
    <row r="776" ht="15" customHeight="1">
      <c r="A776" t="inlineStr">
        <is>
          <t>A 60045-2023</t>
        </is>
      </c>
      <c r="B776" s="1" t="n">
        <v>45258</v>
      </c>
      <c r="C776" s="1" t="n">
        <v>45828</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60120-2023</t>
        </is>
      </c>
      <c r="B777" s="1" t="n">
        <v>45258</v>
      </c>
      <c r="C777" s="1" t="n">
        <v>45828</v>
      </c>
      <c r="D777" t="inlineStr">
        <is>
          <t>DALARNAS LÄN</t>
        </is>
      </c>
      <c r="E777" t="inlineStr">
        <is>
          <t>LEKSAND</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60129-2023</t>
        </is>
      </c>
      <c r="B778" s="1" t="n">
        <v>45258</v>
      </c>
      <c r="C778" s="1" t="n">
        <v>45828</v>
      </c>
      <c r="D778" t="inlineStr">
        <is>
          <t>DALARNAS LÄN</t>
        </is>
      </c>
      <c r="E778" t="inlineStr">
        <is>
          <t>LEKSAND</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60189-2023</t>
        </is>
      </c>
      <c r="B779" s="1" t="n">
        <v>45258</v>
      </c>
      <c r="C779" s="1" t="n">
        <v>45828</v>
      </c>
      <c r="D779" t="inlineStr">
        <is>
          <t>DALARNAS LÄN</t>
        </is>
      </c>
      <c r="E779" t="inlineStr">
        <is>
          <t>LEKSAND</t>
        </is>
      </c>
      <c r="G779" t="n">
        <v>0.7</v>
      </c>
      <c r="H779" t="n">
        <v>0</v>
      </c>
      <c r="I779" t="n">
        <v>0</v>
      </c>
      <c r="J779" t="n">
        <v>0</v>
      </c>
      <c r="K779" t="n">
        <v>0</v>
      </c>
      <c r="L779" t="n">
        <v>0</v>
      </c>
      <c r="M779" t="n">
        <v>0</v>
      </c>
      <c r="N779" t="n">
        <v>0</v>
      </c>
      <c r="O779" t="n">
        <v>0</v>
      </c>
      <c r="P779" t="n">
        <v>0</v>
      </c>
      <c r="Q779" t="n">
        <v>0</v>
      </c>
      <c r="R779" s="2" t="inlineStr"/>
    </row>
    <row r="780" ht="15" customHeight="1">
      <c r="A780" t="inlineStr">
        <is>
          <t>A 60310-2023</t>
        </is>
      </c>
      <c r="B780" s="1" t="n">
        <v>45258</v>
      </c>
      <c r="C780" s="1" t="n">
        <v>45828</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60309-2023</t>
        </is>
      </c>
      <c r="B781" s="1" t="n">
        <v>45258</v>
      </c>
      <c r="C781" s="1" t="n">
        <v>45828</v>
      </c>
      <c r="D781" t="inlineStr">
        <is>
          <t>DALARNAS LÄN</t>
        </is>
      </c>
      <c r="E781" t="inlineStr">
        <is>
          <t>LEKSAND</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60315-2023</t>
        </is>
      </c>
      <c r="B782" s="1" t="n">
        <v>45258</v>
      </c>
      <c r="C782" s="1" t="n">
        <v>45828</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60546-2023</t>
        </is>
      </c>
      <c r="B783" s="1" t="n">
        <v>45259</v>
      </c>
      <c r="C783" s="1" t="n">
        <v>45828</v>
      </c>
      <c r="D783" t="inlineStr">
        <is>
          <t>DALARNAS LÄN</t>
        </is>
      </c>
      <c r="E783" t="inlineStr">
        <is>
          <t>LEKSAND</t>
        </is>
      </c>
      <c r="G783" t="n">
        <v>6.6</v>
      </c>
      <c r="H783" t="n">
        <v>0</v>
      </c>
      <c r="I783" t="n">
        <v>0</v>
      </c>
      <c r="J783" t="n">
        <v>0</v>
      </c>
      <c r="K783" t="n">
        <v>0</v>
      </c>
      <c r="L783" t="n">
        <v>0</v>
      </c>
      <c r="M783" t="n">
        <v>0</v>
      </c>
      <c r="N783" t="n">
        <v>0</v>
      </c>
      <c r="O783" t="n">
        <v>0</v>
      </c>
      <c r="P783" t="n">
        <v>0</v>
      </c>
      <c r="Q783" t="n">
        <v>0</v>
      </c>
      <c r="R783" s="2" t="inlineStr"/>
    </row>
    <row r="784" ht="15" customHeight="1">
      <c r="A784" t="inlineStr">
        <is>
          <t>A 60878-2023</t>
        </is>
      </c>
      <c r="B784" s="1" t="n">
        <v>45259</v>
      </c>
      <c r="C784" s="1" t="n">
        <v>45828</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60692-2023</t>
        </is>
      </c>
      <c r="B785" s="1" t="n">
        <v>45260</v>
      </c>
      <c r="C785" s="1" t="n">
        <v>45828</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60755-2023</t>
        </is>
      </c>
      <c r="B786" s="1" t="n">
        <v>45260</v>
      </c>
      <c r="C786" s="1" t="n">
        <v>45828</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61208-2023</t>
        </is>
      </c>
      <c r="B787" s="1" t="n">
        <v>45260</v>
      </c>
      <c r="C787" s="1" t="n">
        <v>45828</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61244-2023</t>
        </is>
      </c>
      <c r="B788" s="1" t="n">
        <v>45260</v>
      </c>
      <c r="C788" s="1" t="n">
        <v>45828</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60873-2023</t>
        </is>
      </c>
      <c r="B789" s="1" t="n">
        <v>45261</v>
      </c>
      <c r="C789" s="1" t="n">
        <v>45828</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61052-2023</t>
        </is>
      </c>
      <c r="B790" s="1" t="n">
        <v>45261</v>
      </c>
      <c r="C790" s="1" t="n">
        <v>45828</v>
      </c>
      <c r="D790" t="inlineStr">
        <is>
          <t>DALARNAS LÄN</t>
        </is>
      </c>
      <c r="E790" t="inlineStr">
        <is>
          <t>LEKSAND</t>
        </is>
      </c>
      <c r="G790" t="n">
        <v>8.6</v>
      </c>
      <c r="H790" t="n">
        <v>0</v>
      </c>
      <c r="I790" t="n">
        <v>0</v>
      </c>
      <c r="J790" t="n">
        <v>0</v>
      </c>
      <c r="K790" t="n">
        <v>0</v>
      </c>
      <c r="L790" t="n">
        <v>0</v>
      </c>
      <c r="M790" t="n">
        <v>0</v>
      </c>
      <c r="N790" t="n">
        <v>0</v>
      </c>
      <c r="O790" t="n">
        <v>0</v>
      </c>
      <c r="P790" t="n">
        <v>0</v>
      </c>
      <c r="Q790" t="n">
        <v>0</v>
      </c>
      <c r="R790" s="2" t="inlineStr"/>
    </row>
    <row r="791" ht="15" customHeight="1">
      <c r="A791" t="inlineStr">
        <is>
          <t>A 61056-2023</t>
        </is>
      </c>
      <c r="B791" s="1" t="n">
        <v>45261</v>
      </c>
      <c r="C791" s="1" t="n">
        <v>45828</v>
      </c>
      <c r="D791" t="inlineStr">
        <is>
          <t>DALARNAS LÄN</t>
        </is>
      </c>
      <c r="E791" t="inlineStr">
        <is>
          <t>LEKSAND</t>
        </is>
      </c>
      <c r="G791" t="n">
        <v>0.3</v>
      </c>
      <c r="H791" t="n">
        <v>0</v>
      </c>
      <c r="I791" t="n">
        <v>0</v>
      </c>
      <c r="J791" t="n">
        <v>0</v>
      </c>
      <c r="K791" t="n">
        <v>0</v>
      </c>
      <c r="L791" t="n">
        <v>0</v>
      </c>
      <c r="M791" t="n">
        <v>0</v>
      </c>
      <c r="N791" t="n">
        <v>0</v>
      </c>
      <c r="O791" t="n">
        <v>0</v>
      </c>
      <c r="P791" t="n">
        <v>0</v>
      </c>
      <c r="Q791" t="n">
        <v>0</v>
      </c>
      <c r="R791" s="2" t="inlineStr"/>
    </row>
    <row r="792" ht="15" customHeight="1">
      <c r="A792" t="inlineStr">
        <is>
          <t>A 61054-2023</t>
        </is>
      </c>
      <c r="B792" s="1" t="n">
        <v>45261</v>
      </c>
      <c r="C792" s="1" t="n">
        <v>45828</v>
      </c>
      <c r="D792" t="inlineStr">
        <is>
          <t>DALARNAS LÄN</t>
        </is>
      </c>
      <c r="E792" t="inlineStr">
        <is>
          <t>LEKSAND</t>
        </is>
      </c>
      <c r="G792" t="n">
        <v>0.4</v>
      </c>
      <c r="H792" t="n">
        <v>0</v>
      </c>
      <c r="I792" t="n">
        <v>0</v>
      </c>
      <c r="J792" t="n">
        <v>0</v>
      </c>
      <c r="K792" t="n">
        <v>0</v>
      </c>
      <c r="L792" t="n">
        <v>0</v>
      </c>
      <c r="M792" t="n">
        <v>0</v>
      </c>
      <c r="N792" t="n">
        <v>0</v>
      </c>
      <c r="O792" t="n">
        <v>0</v>
      </c>
      <c r="P792" t="n">
        <v>0</v>
      </c>
      <c r="Q792" t="n">
        <v>0</v>
      </c>
      <c r="R792" s="2" t="inlineStr"/>
    </row>
    <row r="793" ht="15" customHeight="1">
      <c r="A793" t="inlineStr">
        <is>
          <t>A 61055-2023</t>
        </is>
      </c>
      <c r="B793" s="1" t="n">
        <v>45261</v>
      </c>
      <c r="C793" s="1" t="n">
        <v>45828</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61252-2023</t>
        </is>
      </c>
      <c r="B794" s="1" t="n">
        <v>45261</v>
      </c>
      <c r="C794" s="1" t="n">
        <v>45828</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61617-2023</t>
        </is>
      </c>
      <c r="B795" s="1" t="n">
        <v>45261</v>
      </c>
      <c r="C795" s="1" t="n">
        <v>45828</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61637-2023</t>
        </is>
      </c>
      <c r="B796" s="1" t="n">
        <v>45261</v>
      </c>
      <c r="C796" s="1" t="n">
        <v>45828</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61614-2023</t>
        </is>
      </c>
      <c r="B797" s="1" t="n">
        <v>45261</v>
      </c>
      <c r="C797" s="1" t="n">
        <v>45828</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61627-2023</t>
        </is>
      </c>
      <c r="B798" s="1" t="n">
        <v>45261</v>
      </c>
      <c r="C798" s="1" t="n">
        <v>45828</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61225-2023</t>
        </is>
      </c>
      <c r="B799" s="1" t="n">
        <v>45264</v>
      </c>
      <c r="C799" s="1" t="n">
        <v>45828</v>
      </c>
      <c r="D799" t="inlineStr">
        <is>
          <t>DALARNAS LÄN</t>
        </is>
      </c>
      <c r="E799" t="inlineStr">
        <is>
          <t>LEKSAND</t>
        </is>
      </c>
      <c r="G799" t="n">
        <v>7</v>
      </c>
      <c r="H799" t="n">
        <v>0</v>
      </c>
      <c r="I799" t="n">
        <v>0</v>
      </c>
      <c r="J799" t="n">
        <v>0</v>
      </c>
      <c r="K799" t="n">
        <v>0</v>
      </c>
      <c r="L799" t="n">
        <v>0</v>
      </c>
      <c r="M799" t="n">
        <v>0</v>
      </c>
      <c r="N799" t="n">
        <v>0</v>
      </c>
      <c r="O799" t="n">
        <v>0</v>
      </c>
      <c r="P799" t="n">
        <v>0</v>
      </c>
      <c r="Q799" t="n">
        <v>0</v>
      </c>
      <c r="R799" s="2" t="inlineStr"/>
    </row>
    <row r="800" ht="15" customHeight="1">
      <c r="A800" t="inlineStr">
        <is>
          <t>A 61502-2023</t>
        </is>
      </c>
      <c r="B800" s="1" t="n">
        <v>45264</v>
      </c>
      <c r="C800" s="1" t="n">
        <v>45828</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61652-2023</t>
        </is>
      </c>
      <c r="B801" s="1" t="n">
        <v>45265</v>
      </c>
      <c r="C801" s="1" t="n">
        <v>45828</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61598-2023</t>
        </is>
      </c>
      <c r="B802" s="1" t="n">
        <v>45265</v>
      </c>
      <c r="C802" s="1" t="n">
        <v>45828</v>
      </c>
      <c r="D802" t="inlineStr">
        <is>
          <t>DALARNAS LÄN</t>
        </is>
      </c>
      <c r="E802" t="inlineStr">
        <is>
          <t>LEKSAND</t>
        </is>
      </c>
      <c r="F802" t="inlineStr">
        <is>
          <t>Bergvik skog väst AB</t>
        </is>
      </c>
      <c r="G802" t="n">
        <v>5.8</v>
      </c>
      <c r="H802" t="n">
        <v>0</v>
      </c>
      <c r="I802" t="n">
        <v>0</v>
      </c>
      <c r="J802" t="n">
        <v>0</v>
      </c>
      <c r="K802" t="n">
        <v>0</v>
      </c>
      <c r="L802" t="n">
        <v>0</v>
      </c>
      <c r="M802" t="n">
        <v>0</v>
      </c>
      <c r="N802" t="n">
        <v>0</v>
      </c>
      <c r="O802" t="n">
        <v>0</v>
      </c>
      <c r="P802" t="n">
        <v>0</v>
      </c>
      <c r="Q802" t="n">
        <v>0</v>
      </c>
      <c r="R802" s="2" t="inlineStr"/>
    </row>
    <row r="803" ht="15" customHeight="1">
      <c r="A803" t="inlineStr">
        <is>
          <t>A 61633-2023</t>
        </is>
      </c>
      <c r="B803" s="1" t="n">
        <v>45265</v>
      </c>
      <c r="C803" s="1" t="n">
        <v>45828</v>
      </c>
      <c r="D803" t="inlineStr">
        <is>
          <t>DALARNAS LÄN</t>
        </is>
      </c>
      <c r="E803" t="inlineStr">
        <is>
          <t>LEKSAND</t>
        </is>
      </c>
      <c r="G803" t="n">
        <v>5.3</v>
      </c>
      <c r="H803" t="n">
        <v>0</v>
      </c>
      <c r="I803" t="n">
        <v>0</v>
      </c>
      <c r="J803" t="n">
        <v>0</v>
      </c>
      <c r="K803" t="n">
        <v>0</v>
      </c>
      <c r="L803" t="n">
        <v>0</v>
      </c>
      <c r="M803" t="n">
        <v>0</v>
      </c>
      <c r="N803" t="n">
        <v>0</v>
      </c>
      <c r="O803" t="n">
        <v>0</v>
      </c>
      <c r="P803" t="n">
        <v>0</v>
      </c>
      <c r="Q803" t="n">
        <v>0</v>
      </c>
      <c r="R803" s="2" t="inlineStr"/>
    </row>
    <row r="804" ht="15" customHeight="1">
      <c r="A804" t="inlineStr">
        <is>
          <t>A 61910-2023</t>
        </is>
      </c>
      <c r="B804" s="1" t="n">
        <v>45266</v>
      </c>
      <c r="C804" s="1" t="n">
        <v>45828</v>
      </c>
      <c r="D804" t="inlineStr">
        <is>
          <t>DALARNAS LÄN</t>
        </is>
      </c>
      <c r="E804" t="inlineStr">
        <is>
          <t>LEKSAND</t>
        </is>
      </c>
      <c r="G804" t="n">
        <v>7.3</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45828</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45828</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61957-2023</t>
        </is>
      </c>
      <c r="B807" s="1" t="n">
        <v>45266</v>
      </c>
      <c r="C807" s="1" t="n">
        <v>45828</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61938-2023</t>
        </is>
      </c>
      <c r="B808" s="1" t="n">
        <v>45266</v>
      </c>
      <c r="C808" s="1" t="n">
        <v>45828</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61950-2023</t>
        </is>
      </c>
      <c r="B809" s="1" t="n">
        <v>45266</v>
      </c>
      <c r="C809" s="1" t="n">
        <v>45828</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62306-2023</t>
        </is>
      </c>
      <c r="B810" s="1" t="n">
        <v>45266</v>
      </c>
      <c r="C810" s="1" t="n">
        <v>45828</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62307-2023</t>
        </is>
      </c>
      <c r="B811" s="1" t="n">
        <v>45266</v>
      </c>
      <c r="C811" s="1" t="n">
        <v>45828</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row>
    <row r="812" ht="15" customHeight="1">
      <c r="A812" t="inlineStr">
        <is>
          <t>A 62133-2023</t>
        </is>
      </c>
      <c r="B812" s="1" t="n">
        <v>45267</v>
      </c>
      <c r="C812" s="1" t="n">
        <v>45828</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62295-2023</t>
        </is>
      </c>
      <c r="B813" s="1" t="n">
        <v>45267</v>
      </c>
      <c r="C813" s="1" t="n">
        <v>45828</v>
      </c>
      <c r="D813" t="inlineStr">
        <is>
          <t>DALARNAS LÄN</t>
        </is>
      </c>
      <c r="E813" t="inlineStr">
        <is>
          <t>LEKSAND</t>
        </is>
      </c>
      <c r="G813" t="n">
        <v>2.5</v>
      </c>
      <c r="H813" t="n">
        <v>0</v>
      </c>
      <c r="I813" t="n">
        <v>0</v>
      </c>
      <c r="J813" t="n">
        <v>0</v>
      </c>
      <c r="K813" t="n">
        <v>0</v>
      </c>
      <c r="L813" t="n">
        <v>0</v>
      </c>
      <c r="M813" t="n">
        <v>0</v>
      </c>
      <c r="N813" t="n">
        <v>0</v>
      </c>
      <c r="O813" t="n">
        <v>0</v>
      </c>
      <c r="P813" t="n">
        <v>0</v>
      </c>
      <c r="Q813" t="n">
        <v>0</v>
      </c>
      <c r="R813" s="2" t="inlineStr"/>
    </row>
    <row r="814" ht="15" customHeight="1">
      <c r="A814" t="inlineStr">
        <is>
          <t>A 62305-2023</t>
        </is>
      </c>
      <c r="B814" s="1" t="n">
        <v>45267</v>
      </c>
      <c r="C814" s="1" t="n">
        <v>45828</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62587-2023</t>
        </is>
      </c>
      <c r="B815" s="1" t="n">
        <v>45270</v>
      </c>
      <c r="C815" s="1" t="n">
        <v>45828</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62863-2023</t>
        </is>
      </c>
      <c r="B816" s="1" t="n">
        <v>45272</v>
      </c>
      <c r="C816" s="1" t="n">
        <v>45828</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62993-2023</t>
        </is>
      </c>
      <c r="B817" s="1" t="n">
        <v>45272</v>
      </c>
      <c r="C817" s="1" t="n">
        <v>45828</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63105-2023</t>
        </is>
      </c>
      <c r="B818" s="1" t="n">
        <v>45273</v>
      </c>
      <c r="C818" s="1" t="n">
        <v>45828</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63107-2023</t>
        </is>
      </c>
      <c r="B819" s="1" t="n">
        <v>45273</v>
      </c>
      <c r="C819" s="1" t="n">
        <v>45828</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63514-2023</t>
        </is>
      </c>
      <c r="B820" s="1" t="n">
        <v>45274</v>
      </c>
      <c r="C820" s="1" t="n">
        <v>45828</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63513-2023</t>
        </is>
      </c>
      <c r="B821" s="1" t="n">
        <v>45274</v>
      </c>
      <c r="C821" s="1" t="n">
        <v>45828</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63544-2023</t>
        </is>
      </c>
      <c r="B822" s="1" t="n">
        <v>45275</v>
      </c>
      <c r="C822" s="1" t="n">
        <v>45828</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63548-2023</t>
        </is>
      </c>
      <c r="B823" s="1" t="n">
        <v>45275</v>
      </c>
      <c r="C823" s="1" t="n">
        <v>45828</v>
      </c>
      <c r="D823" t="inlineStr">
        <is>
          <t>DALARNAS LÄN</t>
        </is>
      </c>
      <c r="E823" t="inlineStr">
        <is>
          <t>LEKSAND</t>
        </is>
      </c>
      <c r="G823" t="n">
        <v>1.7</v>
      </c>
      <c r="H823" t="n">
        <v>0</v>
      </c>
      <c r="I823" t="n">
        <v>0</v>
      </c>
      <c r="J823" t="n">
        <v>0</v>
      </c>
      <c r="K823" t="n">
        <v>0</v>
      </c>
      <c r="L823" t="n">
        <v>0</v>
      </c>
      <c r="M823" t="n">
        <v>0</v>
      </c>
      <c r="N823" t="n">
        <v>0</v>
      </c>
      <c r="O823" t="n">
        <v>0</v>
      </c>
      <c r="P823" t="n">
        <v>0</v>
      </c>
      <c r="Q823" t="n">
        <v>0</v>
      </c>
      <c r="R823" s="2" t="inlineStr"/>
    </row>
    <row r="824" ht="15" customHeight="1">
      <c r="A824" t="inlineStr">
        <is>
          <t>A 64146-2023</t>
        </is>
      </c>
      <c r="B824" s="1" t="n">
        <v>45279</v>
      </c>
      <c r="C824" s="1" t="n">
        <v>45828</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64418-2023</t>
        </is>
      </c>
      <c r="B825" s="1" t="n">
        <v>45280</v>
      </c>
      <c r="C825" s="1" t="n">
        <v>45828</v>
      </c>
      <c r="D825" t="inlineStr">
        <is>
          <t>DALARNAS LÄN</t>
        </is>
      </c>
      <c r="E825" t="inlineStr">
        <is>
          <t>LEKSAND</t>
        </is>
      </c>
      <c r="G825" t="n">
        <v>3.4</v>
      </c>
      <c r="H825" t="n">
        <v>0</v>
      </c>
      <c r="I825" t="n">
        <v>0</v>
      </c>
      <c r="J825" t="n">
        <v>0</v>
      </c>
      <c r="K825" t="n">
        <v>0</v>
      </c>
      <c r="L825" t="n">
        <v>0</v>
      </c>
      <c r="M825" t="n">
        <v>0</v>
      </c>
      <c r="N825" t="n">
        <v>0</v>
      </c>
      <c r="O825" t="n">
        <v>0</v>
      </c>
      <c r="P825" t="n">
        <v>0</v>
      </c>
      <c r="Q825" t="n">
        <v>0</v>
      </c>
      <c r="R825" s="2" t="inlineStr"/>
    </row>
    <row r="826" ht="15" customHeight="1">
      <c r="A826" t="inlineStr">
        <is>
          <t>A 64516-2023</t>
        </is>
      </c>
      <c r="B826" s="1" t="n">
        <v>45280</v>
      </c>
      <c r="C826" s="1" t="n">
        <v>45828</v>
      </c>
      <c r="D826" t="inlineStr">
        <is>
          <t>DALARNAS LÄN</t>
        </is>
      </c>
      <c r="E826" t="inlineStr">
        <is>
          <t>LEKSAND</t>
        </is>
      </c>
      <c r="G826" t="n">
        <v>4.4</v>
      </c>
      <c r="H826" t="n">
        <v>0</v>
      </c>
      <c r="I826" t="n">
        <v>0</v>
      </c>
      <c r="J826" t="n">
        <v>0</v>
      </c>
      <c r="K826" t="n">
        <v>0</v>
      </c>
      <c r="L826" t="n">
        <v>0</v>
      </c>
      <c r="M826" t="n">
        <v>0</v>
      </c>
      <c r="N826" t="n">
        <v>0</v>
      </c>
      <c r="O826" t="n">
        <v>0</v>
      </c>
      <c r="P826" t="n">
        <v>0</v>
      </c>
      <c r="Q826" t="n">
        <v>0</v>
      </c>
      <c r="R826" s="2" t="inlineStr"/>
    </row>
    <row r="827" ht="15" customHeight="1">
      <c r="A827" t="inlineStr">
        <is>
          <t>A 64515-2023</t>
        </is>
      </c>
      <c r="B827" s="1" t="n">
        <v>45280</v>
      </c>
      <c r="C827" s="1" t="n">
        <v>45828</v>
      </c>
      <c r="D827" t="inlineStr">
        <is>
          <t>DALARNAS LÄN</t>
        </is>
      </c>
      <c r="E827" t="inlineStr">
        <is>
          <t>LEKSAND</t>
        </is>
      </c>
      <c r="G827" t="n">
        <v>9.1</v>
      </c>
      <c r="H827" t="n">
        <v>0</v>
      </c>
      <c r="I827" t="n">
        <v>0</v>
      </c>
      <c r="J827" t="n">
        <v>0</v>
      </c>
      <c r="K827" t="n">
        <v>0</v>
      </c>
      <c r="L827" t="n">
        <v>0</v>
      </c>
      <c r="M827" t="n">
        <v>0</v>
      </c>
      <c r="N827" t="n">
        <v>0</v>
      </c>
      <c r="O827" t="n">
        <v>0</v>
      </c>
      <c r="P827" t="n">
        <v>0</v>
      </c>
      <c r="Q827" t="n">
        <v>0</v>
      </c>
      <c r="R827" s="2" t="inlineStr"/>
    </row>
    <row r="828" ht="15" customHeight="1">
      <c r="A828" t="inlineStr">
        <is>
          <t>A 64677-2023</t>
        </is>
      </c>
      <c r="B828" s="1" t="n">
        <v>45281</v>
      </c>
      <c r="C828" s="1" t="n">
        <v>45828</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64612-2023</t>
        </is>
      </c>
      <c r="B829" s="1" t="n">
        <v>45281</v>
      </c>
      <c r="C829" s="1" t="n">
        <v>45828</v>
      </c>
      <c r="D829" t="inlineStr">
        <is>
          <t>DALARNAS LÄN</t>
        </is>
      </c>
      <c r="E829" t="inlineStr">
        <is>
          <t>LEKSAND</t>
        </is>
      </c>
      <c r="G829" t="n">
        <v>3.6</v>
      </c>
      <c r="H829" t="n">
        <v>0</v>
      </c>
      <c r="I829" t="n">
        <v>0</v>
      </c>
      <c r="J829" t="n">
        <v>0</v>
      </c>
      <c r="K829" t="n">
        <v>0</v>
      </c>
      <c r="L829" t="n">
        <v>0</v>
      </c>
      <c r="M829" t="n">
        <v>0</v>
      </c>
      <c r="N829" t="n">
        <v>0</v>
      </c>
      <c r="O829" t="n">
        <v>0</v>
      </c>
      <c r="P829" t="n">
        <v>0</v>
      </c>
      <c r="Q829" t="n">
        <v>0</v>
      </c>
      <c r="R829" s="2" t="inlineStr"/>
    </row>
    <row r="830" ht="15" customHeight="1">
      <c r="A830" t="inlineStr">
        <is>
          <t>A 64867-2023</t>
        </is>
      </c>
      <c r="B830" s="1" t="n">
        <v>45282</v>
      </c>
      <c r="C830" s="1" t="n">
        <v>45828</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64931-2023</t>
        </is>
      </c>
      <c r="B831" s="1" t="n">
        <v>45282</v>
      </c>
      <c r="C831" s="1" t="n">
        <v>45828</v>
      </c>
      <c r="D831" t="inlineStr">
        <is>
          <t>DALARNAS LÄN</t>
        </is>
      </c>
      <c r="E831" t="inlineStr">
        <is>
          <t>LEKSAND</t>
        </is>
      </c>
      <c r="G831" t="n">
        <v>6.3</v>
      </c>
      <c r="H831" t="n">
        <v>0</v>
      </c>
      <c r="I831" t="n">
        <v>0</v>
      </c>
      <c r="J831" t="n">
        <v>0</v>
      </c>
      <c r="K831" t="n">
        <v>0</v>
      </c>
      <c r="L831" t="n">
        <v>0</v>
      </c>
      <c r="M831" t="n">
        <v>0</v>
      </c>
      <c r="N831" t="n">
        <v>0</v>
      </c>
      <c r="O831" t="n">
        <v>0</v>
      </c>
      <c r="P831" t="n">
        <v>0</v>
      </c>
      <c r="Q831" t="n">
        <v>0</v>
      </c>
      <c r="R831" s="2" t="inlineStr"/>
    </row>
    <row r="832" ht="15" customHeight="1">
      <c r="A832" t="inlineStr">
        <is>
          <t>A 64933-2023</t>
        </is>
      </c>
      <c r="B832" s="1" t="n">
        <v>45282</v>
      </c>
      <c r="C832" s="1" t="n">
        <v>45828</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65047-2023</t>
        </is>
      </c>
      <c r="B833" s="1" t="n">
        <v>45283</v>
      </c>
      <c r="C833" s="1" t="n">
        <v>45828</v>
      </c>
      <c r="D833" t="inlineStr">
        <is>
          <t>DALARNAS LÄN</t>
        </is>
      </c>
      <c r="E833" t="inlineStr">
        <is>
          <t>LEKSAND</t>
        </is>
      </c>
      <c r="G833" t="n">
        <v>1.3</v>
      </c>
      <c r="H833" t="n">
        <v>0</v>
      </c>
      <c r="I833" t="n">
        <v>0</v>
      </c>
      <c r="J833" t="n">
        <v>0</v>
      </c>
      <c r="K833" t="n">
        <v>0</v>
      </c>
      <c r="L833" t="n">
        <v>0</v>
      </c>
      <c r="M833" t="n">
        <v>0</v>
      </c>
      <c r="N833" t="n">
        <v>0</v>
      </c>
      <c r="O833" t="n">
        <v>0</v>
      </c>
      <c r="P833" t="n">
        <v>0</v>
      </c>
      <c r="Q833" t="n">
        <v>0</v>
      </c>
      <c r="R833" s="2" t="inlineStr"/>
    </row>
    <row r="834" ht="15" customHeight="1">
      <c r="A834" t="inlineStr">
        <is>
          <t>A 23-2024</t>
        </is>
      </c>
      <c r="B834" s="1" t="n">
        <v>45293</v>
      </c>
      <c r="C834" s="1" t="n">
        <v>45828</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32-2024</t>
        </is>
      </c>
      <c r="B835" s="1" t="n">
        <v>45293</v>
      </c>
      <c r="C835" s="1" t="n">
        <v>45828</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121-2024</t>
        </is>
      </c>
      <c r="B836" s="1" t="n">
        <v>45294</v>
      </c>
      <c r="C836" s="1" t="n">
        <v>45828</v>
      </c>
      <c r="D836" t="inlineStr">
        <is>
          <t>DALARNAS LÄN</t>
        </is>
      </c>
      <c r="E836" t="inlineStr">
        <is>
          <t>LEKSAND</t>
        </is>
      </c>
      <c r="G836" t="n">
        <v>8.6</v>
      </c>
      <c r="H836" t="n">
        <v>0</v>
      </c>
      <c r="I836" t="n">
        <v>0</v>
      </c>
      <c r="J836" t="n">
        <v>0</v>
      </c>
      <c r="K836" t="n">
        <v>0</v>
      </c>
      <c r="L836" t="n">
        <v>0</v>
      </c>
      <c r="M836" t="n">
        <v>0</v>
      </c>
      <c r="N836" t="n">
        <v>0</v>
      </c>
      <c r="O836" t="n">
        <v>0</v>
      </c>
      <c r="P836" t="n">
        <v>0</v>
      </c>
      <c r="Q836" t="n">
        <v>0</v>
      </c>
      <c r="R836" s="2" t="inlineStr"/>
    </row>
    <row r="837" ht="15" customHeight="1">
      <c r="A837" t="inlineStr">
        <is>
          <t>A 402-2024</t>
        </is>
      </c>
      <c r="B837" s="1" t="n">
        <v>45296</v>
      </c>
      <c r="C837" s="1" t="n">
        <v>45828</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412-2024</t>
        </is>
      </c>
      <c r="B838" s="1" t="n">
        <v>45296</v>
      </c>
      <c r="C838" s="1" t="n">
        <v>45828</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481-2024</t>
        </is>
      </c>
      <c r="B839" s="1" t="n">
        <v>45298</v>
      </c>
      <c r="C839" s="1" t="n">
        <v>45828</v>
      </c>
      <c r="D839" t="inlineStr">
        <is>
          <t>DALARNAS LÄN</t>
        </is>
      </c>
      <c r="E839" t="inlineStr">
        <is>
          <t>LEKSAND</t>
        </is>
      </c>
      <c r="G839" t="n">
        <v>7</v>
      </c>
      <c r="H839" t="n">
        <v>0</v>
      </c>
      <c r="I839" t="n">
        <v>0</v>
      </c>
      <c r="J839" t="n">
        <v>0</v>
      </c>
      <c r="K839" t="n">
        <v>0</v>
      </c>
      <c r="L839" t="n">
        <v>0</v>
      </c>
      <c r="M839" t="n">
        <v>0</v>
      </c>
      <c r="N839" t="n">
        <v>0</v>
      </c>
      <c r="O839" t="n">
        <v>0</v>
      </c>
      <c r="P839" t="n">
        <v>0</v>
      </c>
      <c r="Q839" t="n">
        <v>0</v>
      </c>
      <c r="R839" s="2" t="inlineStr"/>
    </row>
    <row r="840" ht="15" customHeight="1">
      <c r="A840" t="inlineStr">
        <is>
          <t>A 511-2024</t>
        </is>
      </c>
      <c r="B840" s="1" t="n">
        <v>45299</v>
      </c>
      <c r="C840" s="1" t="n">
        <v>45828</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613-2024</t>
        </is>
      </c>
      <c r="B841" s="1" t="n">
        <v>45299</v>
      </c>
      <c r="C841" s="1" t="n">
        <v>45828</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962-2024</t>
        </is>
      </c>
      <c r="B842" s="1" t="n">
        <v>45301</v>
      </c>
      <c r="C842" s="1" t="n">
        <v>45828</v>
      </c>
      <c r="D842" t="inlineStr">
        <is>
          <t>DALARNAS LÄN</t>
        </is>
      </c>
      <c r="E842" t="inlineStr">
        <is>
          <t>LEKSAND</t>
        </is>
      </c>
      <c r="G842" t="n">
        <v>3.8</v>
      </c>
      <c r="H842" t="n">
        <v>0</v>
      </c>
      <c r="I842" t="n">
        <v>0</v>
      </c>
      <c r="J842" t="n">
        <v>0</v>
      </c>
      <c r="K842" t="n">
        <v>0</v>
      </c>
      <c r="L842" t="n">
        <v>0</v>
      </c>
      <c r="M842" t="n">
        <v>0</v>
      </c>
      <c r="N842" t="n">
        <v>0</v>
      </c>
      <c r="O842" t="n">
        <v>0</v>
      </c>
      <c r="P842" t="n">
        <v>0</v>
      </c>
      <c r="Q842" t="n">
        <v>0</v>
      </c>
      <c r="R842" s="2" t="inlineStr"/>
    </row>
    <row r="843" ht="15" customHeight="1">
      <c r="A843" t="inlineStr">
        <is>
          <t>A 1179-2024</t>
        </is>
      </c>
      <c r="B843" s="1" t="n">
        <v>45302</v>
      </c>
      <c r="C843" s="1" t="n">
        <v>45828</v>
      </c>
      <c r="D843" t="inlineStr">
        <is>
          <t>DALARNAS LÄN</t>
        </is>
      </c>
      <c r="E843" t="inlineStr">
        <is>
          <t>LEKSAND</t>
        </is>
      </c>
      <c r="G843" t="n">
        <v>2.8</v>
      </c>
      <c r="H843" t="n">
        <v>0</v>
      </c>
      <c r="I843" t="n">
        <v>0</v>
      </c>
      <c r="J843" t="n">
        <v>0</v>
      </c>
      <c r="K843" t="n">
        <v>0</v>
      </c>
      <c r="L843" t="n">
        <v>0</v>
      </c>
      <c r="M843" t="n">
        <v>0</v>
      </c>
      <c r="N843" t="n">
        <v>0</v>
      </c>
      <c r="O843" t="n">
        <v>0</v>
      </c>
      <c r="P843" t="n">
        <v>0</v>
      </c>
      <c r="Q843" t="n">
        <v>0</v>
      </c>
      <c r="R843" s="2" t="inlineStr"/>
    </row>
    <row r="844" ht="15" customHeight="1">
      <c r="A844" t="inlineStr">
        <is>
          <t>A 1215-2024</t>
        </is>
      </c>
      <c r="B844" s="1" t="n">
        <v>45302</v>
      </c>
      <c r="C844" s="1" t="n">
        <v>45828</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1458-2024</t>
        </is>
      </c>
      <c r="B845" s="1" t="n">
        <v>45303</v>
      </c>
      <c r="C845" s="1" t="n">
        <v>45828</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1443-2024</t>
        </is>
      </c>
      <c r="B846" s="1" t="n">
        <v>45303</v>
      </c>
      <c r="C846" s="1" t="n">
        <v>45828</v>
      </c>
      <c r="D846" t="inlineStr">
        <is>
          <t>DALARNAS LÄN</t>
        </is>
      </c>
      <c r="E846" t="inlineStr">
        <is>
          <t>LEKSAND</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1457-2024</t>
        </is>
      </c>
      <c r="B847" s="1" t="n">
        <v>45303</v>
      </c>
      <c r="C847" s="1" t="n">
        <v>45828</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1461-2024</t>
        </is>
      </c>
      <c r="B848" s="1" t="n">
        <v>45303</v>
      </c>
      <c r="C848" s="1" t="n">
        <v>45828</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1463-2024</t>
        </is>
      </c>
      <c r="B849" s="1" t="n">
        <v>45303</v>
      </c>
      <c r="C849" s="1" t="n">
        <v>45828</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1476-2024</t>
        </is>
      </c>
      <c r="B850" s="1" t="n">
        <v>45304</v>
      </c>
      <c r="C850" s="1" t="n">
        <v>45828</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1519-2024</t>
        </is>
      </c>
      <c r="B851" s="1" t="n">
        <v>45306</v>
      </c>
      <c r="C851" s="1" t="n">
        <v>45828</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1616-2024</t>
        </is>
      </c>
      <c r="B852" s="1" t="n">
        <v>45306</v>
      </c>
      <c r="C852" s="1" t="n">
        <v>45828</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1849-2024</t>
        </is>
      </c>
      <c r="B853" s="1" t="n">
        <v>45307</v>
      </c>
      <c r="C853" s="1" t="n">
        <v>45828</v>
      </c>
      <c r="D853" t="inlineStr">
        <is>
          <t>DALARNAS LÄN</t>
        </is>
      </c>
      <c r="E853" t="inlineStr">
        <is>
          <t>LEKSAND</t>
        </is>
      </c>
      <c r="F853" t="inlineStr">
        <is>
          <t>Kommuner</t>
        </is>
      </c>
      <c r="G853" t="n">
        <v>5</v>
      </c>
      <c r="H853" t="n">
        <v>0</v>
      </c>
      <c r="I853" t="n">
        <v>0</v>
      </c>
      <c r="J853" t="n">
        <v>0</v>
      </c>
      <c r="K853" t="n">
        <v>0</v>
      </c>
      <c r="L853" t="n">
        <v>0</v>
      </c>
      <c r="M853" t="n">
        <v>0</v>
      </c>
      <c r="N853" t="n">
        <v>0</v>
      </c>
      <c r="O853" t="n">
        <v>0</v>
      </c>
      <c r="P853" t="n">
        <v>0</v>
      </c>
      <c r="Q853" t="n">
        <v>0</v>
      </c>
      <c r="R853" s="2" t="inlineStr"/>
    </row>
    <row r="854" ht="15" customHeight="1">
      <c r="A854" t="inlineStr">
        <is>
          <t>A 1706-2024</t>
        </is>
      </c>
      <c r="B854" s="1" t="n">
        <v>45307</v>
      </c>
      <c r="C854" s="1" t="n">
        <v>45828</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1719-2024</t>
        </is>
      </c>
      <c r="B855" s="1" t="n">
        <v>45307</v>
      </c>
      <c r="C855" s="1" t="n">
        <v>45828</v>
      </c>
      <c r="D855" t="inlineStr">
        <is>
          <t>DALARNAS LÄN</t>
        </is>
      </c>
      <c r="E855" t="inlineStr">
        <is>
          <t>LEKSAND</t>
        </is>
      </c>
      <c r="G855" t="n">
        <v>2.8</v>
      </c>
      <c r="H855" t="n">
        <v>0</v>
      </c>
      <c r="I855" t="n">
        <v>0</v>
      </c>
      <c r="J855" t="n">
        <v>0</v>
      </c>
      <c r="K855" t="n">
        <v>0</v>
      </c>
      <c r="L855" t="n">
        <v>0</v>
      </c>
      <c r="M855" t="n">
        <v>0</v>
      </c>
      <c r="N855" t="n">
        <v>0</v>
      </c>
      <c r="O855" t="n">
        <v>0</v>
      </c>
      <c r="P855" t="n">
        <v>0</v>
      </c>
      <c r="Q855" t="n">
        <v>0</v>
      </c>
      <c r="R855" s="2" t="inlineStr"/>
    </row>
    <row r="856" ht="15" customHeight="1">
      <c r="A856" t="inlineStr">
        <is>
          <t>A 1946-2024</t>
        </is>
      </c>
      <c r="B856" s="1" t="n">
        <v>45308</v>
      </c>
      <c r="C856" s="1" t="n">
        <v>45828</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2158-2024</t>
        </is>
      </c>
      <c r="B857" s="1" t="n">
        <v>45309</v>
      </c>
      <c r="C857" s="1" t="n">
        <v>45828</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45828</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2517-2024</t>
        </is>
      </c>
      <c r="B859" s="1" t="n">
        <v>45313</v>
      </c>
      <c r="C859" s="1" t="n">
        <v>45828</v>
      </c>
      <c r="D859" t="inlineStr">
        <is>
          <t>DALARNAS LÄN</t>
        </is>
      </c>
      <c r="E859" t="inlineStr">
        <is>
          <t>LEKSAND</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2536-2024</t>
        </is>
      </c>
      <c r="B860" s="1" t="n">
        <v>45313</v>
      </c>
      <c r="C860" s="1" t="n">
        <v>45828</v>
      </c>
      <c r="D860" t="inlineStr">
        <is>
          <t>DALARNAS LÄN</t>
        </is>
      </c>
      <c r="E860" t="inlineStr">
        <is>
          <t>LEKSAND</t>
        </is>
      </c>
      <c r="G860" t="n">
        <v>2.2</v>
      </c>
      <c r="H860" t="n">
        <v>0</v>
      </c>
      <c r="I860" t="n">
        <v>0</v>
      </c>
      <c r="J860" t="n">
        <v>0</v>
      </c>
      <c r="K860" t="n">
        <v>0</v>
      </c>
      <c r="L860" t="n">
        <v>0</v>
      </c>
      <c r="M860" t="n">
        <v>0</v>
      </c>
      <c r="N860" t="n">
        <v>0</v>
      </c>
      <c r="O860" t="n">
        <v>0</v>
      </c>
      <c r="P860" t="n">
        <v>0</v>
      </c>
      <c r="Q860" t="n">
        <v>0</v>
      </c>
      <c r="R860" s="2" t="inlineStr"/>
    </row>
    <row r="861" ht="15" customHeight="1">
      <c r="A861" t="inlineStr">
        <is>
          <t>A 2820-2024</t>
        </is>
      </c>
      <c r="B861" s="1" t="n">
        <v>45314</v>
      </c>
      <c r="C861" s="1" t="n">
        <v>45828</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2822-2024</t>
        </is>
      </c>
      <c r="B862" s="1" t="n">
        <v>45314</v>
      </c>
      <c r="C862" s="1" t="n">
        <v>45828</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3138-2024</t>
        </is>
      </c>
      <c r="B863" s="1" t="n">
        <v>45316</v>
      </c>
      <c r="C863" s="1" t="n">
        <v>45828</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3048-2024</t>
        </is>
      </c>
      <c r="B864" s="1" t="n">
        <v>45316</v>
      </c>
      <c r="C864" s="1" t="n">
        <v>45828</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3205-2024</t>
        </is>
      </c>
      <c r="B865" s="1" t="n">
        <v>45316</v>
      </c>
      <c r="C865" s="1" t="n">
        <v>45828</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3202-2024</t>
        </is>
      </c>
      <c r="B866" s="1" t="n">
        <v>45316</v>
      </c>
      <c r="C866" s="1" t="n">
        <v>45828</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3352-2024</t>
        </is>
      </c>
      <c r="B867" s="1" t="n">
        <v>45317</v>
      </c>
      <c r="C867" s="1" t="n">
        <v>45828</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3970-2024</t>
        </is>
      </c>
      <c r="B868" s="1" t="n">
        <v>45322</v>
      </c>
      <c r="C868" s="1" t="n">
        <v>45828</v>
      </c>
      <c r="D868" t="inlineStr">
        <is>
          <t>DALARNAS LÄN</t>
        </is>
      </c>
      <c r="E868" t="inlineStr">
        <is>
          <t>LEKSAND</t>
        </is>
      </c>
      <c r="G868" t="n">
        <v>2.4</v>
      </c>
      <c r="H868" t="n">
        <v>0</v>
      </c>
      <c r="I868" t="n">
        <v>0</v>
      </c>
      <c r="J868" t="n">
        <v>0</v>
      </c>
      <c r="K868" t="n">
        <v>0</v>
      </c>
      <c r="L868" t="n">
        <v>0</v>
      </c>
      <c r="M868" t="n">
        <v>0</v>
      </c>
      <c r="N868" t="n">
        <v>0</v>
      </c>
      <c r="O868" t="n">
        <v>0</v>
      </c>
      <c r="P868" t="n">
        <v>0</v>
      </c>
      <c r="Q868" t="n">
        <v>0</v>
      </c>
      <c r="R868" s="2" t="inlineStr"/>
    </row>
    <row r="869" ht="15" customHeight="1">
      <c r="A869" t="inlineStr">
        <is>
          <t>A 3974-2024</t>
        </is>
      </c>
      <c r="B869" s="1" t="n">
        <v>45322</v>
      </c>
      <c r="C869" s="1" t="n">
        <v>45828</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3901-2024</t>
        </is>
      </c>
      <c r="B870" s="1" t="n">
        <v>45322</v>
      </c>
      <c r="C870" s="1" t="n">
        <v>45828</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4121-2024</t>
        </is>
      </c>
      <c r="B871" s="1" t="n">
        <v>45323</v>
      </c>
      <c r="C871" s="1" t="n">
        <v>45828</v>
      </c>
      <c r="D871" t="inlineStr">
        <is>
          <t>DALARNAS LÄN</t>
        </is>
      </c>
      <c r="E871" t="inlineStr">
        <is>
          <t>LEKSAND</t>
        </is>
      </c>
      <c r="G871" t="n">
        <v>1.3</v>
      </c>
      <c r="H871" t="n">
        <v>0</v>
      </c>
      <c r="I871" t="n">
        <v>0</v>
      </c>
      <c r="J871" t="n">
        <v>0</v>
      </c>
      <c r="K871" t="n">
        <v>0</v>
      </c>
      <c r="L871" t="n">
        <v>0</v>
      </c>
      <c r="M871" t="n">
        <v>0</v>
      </c>
      <c r="N871" t="n">
        <v>0</v>
      </c>
      <c r="O871" t="n">
        <v>0</v>
      </c>
      <c r="P871" t="n">
        <v>0</v>
      </c>
      <c r="Q871" t="n">
        <v>0</v>
      </c>
      <c r="R871" s="2" t="inlineStr"/>
    </row>
    <row r="872" ht="15" customHeight="1">
      <c r="A872" t="inlineStr">
        <is>
          <t>A 4248-2024</t>
        </is>
      </c>
      <c r="B872" s="1" t="n">
        <v>45324</v>
      </c>
      <c r="C872" s="1" t="n">
        <v>45828</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4938-2024</t>
        </is>
      </c>
      <c r="B873" s="1" t="n">
        <v>45329</v>
      </c>
      <c r="C873" s="1" t="n">
        <v>45828</v>
      </c>
      <c r="D873" t="inlineStr">
        <is>
          <t>DALARNAS LÄN</t>
        </is>
      </c>
      <c r="E873" t="inlineStr">
        <is>
          <t>LEKSAND</t>
        </is>
      </c>
      <c r="G873" t="n">
        <v>7.7</v>
      </c>
      <c r="H873" t="n">
        <v>0</v>
      </c>
      <c r="I873" t="n">
        <v>0</v>
      </c>
      <c r="J873" t="n">
        <v>0</v>
      </c>
      <c r="K873" t="n">
        <v>0</v>
      </c>
      <c r="L873" t="n">
        <v>0</v>
      </c>
      <c r="M873" t="n">
        <v>0</v>
      </c>
      <c r="N873" t="n">
        <v>0</v>
      </c>
      <c r="O873" t="n">
        <v>0</v>
      </c>
      <c r="P873" t="n">
        <v>0</v>
      </c>
      <c r="Q873" t="n">
        <v>0</v>
      </c>
      <c r="R873" s="2" t="inlineStr"/>
    </row>
    <row r="874" ht="15" customHeight="1">
      <c r="A874" t="inlineStr">
        <is>
          <t>A 4956-2024</t>
        </is>
      </c>
      <c r="B874" s="1" t="n">
        <v>45329</v>
      </c>
      <c r="C874" s="1" t="n">
        <v>45828</v>
      </c>
      <c r="D874" t="inlineStr">
        <is>
          <t>DALARNAS LÄN</t>
        </is>
      </c>
      <c r="E874" t="inlineStr">
        <is>
          <t>LEKSAND</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5231-2024</t>
        </is>
      </c>
      <c r="B875" s="1" t="n">
        <v>45330</v>
      </c>
      <c r="C875" s="1" t="n">
        <v>45828</v>
      </c>
      <c r="D875" t="inlineStr">
        <is>
          <t>DALARNAS LÄN</t>
        </is>
      </c>
      <c r="E875" t="inlineStr">
        <is>
          <t>LEKSAND</t>
        </is>
      </c>
      <c r="F875" t="inlineStr">
        <is>
          <t>Bergvik skog väst AB</t>
        </is>
      </c>
      <c r="G875" t="n">
        <v>11.2</v>
      </c>
      <c r="H875" t="n">
        <v>0</v>
      </c>
      <c r="I875" t="n">
        <v>0</v>
      </c>
      <c r="J875" t="n">
        <v>0</v>
      </c>
      <c r="K875" t="n">
        <v>0</v>
      </c>
      <c r="L875" t="n">
        <v>0</v>
      </c>
      <c r="M875" t="n">
        <v>0</v>
      </c>
      <c r="N875" t="n">
        <v>0</v>
      </c>
      <c r="O875" t="n">
        <v>0</v>
      </c>
      <c r="P875" t="n">
        <v>0</v>
      </c>
      <c r="Q875" t="n">
        <v>0</v>
      </c>
      <c r="R875" s="2" t="inlineStr"/>
    </row>
    <row r="876" ht="15" customHeight="1">
      <c r="A876" t="inlineStr">
        <is>
          <t>A 5369-2024</t>
        </is>
      </c>
      <c r="B876" s="1" t="n">
        <v>45331</v>
      </c>
      <c r="C876" s="1" t="n">
        <v>45828</v>
      </c>
      <c r="D876" t="inlineStr">
        <is>
          <t>DALARNAS LÄN</t>
        </is>
      </c>
      <c r="E876" t="inlineStr">
        <is>
          <t>LEKSAND</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5514-2024</t>
        </is>
      </c>
      <c r="B877" s="1" t="n">
        <v>45334</v>
      </c>
      <c r="C877" s="1" t="n">
        <v>45828</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5570-2024</t>
        </is>
      </c>
      <c r="B878" s="1" t="n">
        <v>45334</v>
      </c>
      <c r="C878" s="1" t="n">
        <v>45828</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5574-2024</t>
        </is>
      </c>
      <c r="B879" s="1" t="n">
        <v>45334</v>
      </c>
      <c r="C879" s="1" t="n">
        <v>45828</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5583-2024</t>
        </is>
      </c>
      <c r="B880" s="1" t="n">
        <v>45334</v>
      </c>
      <c r="C880" s="1" t="n">
        <v>45828</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5584-2024</t>
        </is>
      </c>
      <c r="B881" s="1" t="n">
        <v>45334</v>
      </c>
      <c r="C881" s="1" t="n">
        <v>45828</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5582-2024</t>
        </is>
      </c>
      <c r="B882" s="1" t="n">
        <v>45334</v>
      </c>
      <c r="C882" s="1" t="n">
        <v>45828</v>
      </c>
      <c r="D882" t="inlineStr">
        <is>
          <t>DALARNAS LÄN</t>
        </is>
      </c>
      <c r="E882" t="inlineStr">
        <is>
          <t>LEKSAND</t>
        </is>
      </c>
      <c r="G882" t="n">
        <v>0.5</v>
      </c>
      <c r="H882" t="n">
        <v>0</v>
      </c>
      <c r="I882" t="n">
        <v>0</v>
      </c>
      <c r="J882" t="n">
        <v>0</v>
      </c>
      <c r="K882" t="n">
        <v>0</v>
      </c>
      <c r="L882" t="n">
        <v>0</v>
      </c>
      <c r="M882" t="n">
        <v>0</v>
      </c>
      <c r="N882" t="n">
        <v>0</v>
      </c>
      <c r="O882" t="n">
        <v>0</v>
      </c>
      <c r="P882" t="n">
        <v>0</v>
      </c>
      <c r="Q882" t="n">
        <v>0</v>
      </c>
      <c r="R882" s="2" t="inlineStr"/>
    </row>
    <row r="883" ht="15" customHeight="1">
      <c r="A883" t="inlineStr">
        <is>
          <t>A 5900-2024</t>
        </is>
      </c>
      <c r="B883" s="1" t="n">
        <v>45335</v>
      </c>
      <c r="C883" s="1" t="n">
        <v>45828</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6758-2024</t>
        </is>
      </c>
      <c r="B884" s="1" t="n">
        <v>45342</v>
      </c>
      <c r="C884" s="1" t="n">
        <v>45828</v>
      </c>
      <c r="D884" t="inlineStr">
        <is>
          <t>DALARNAS LÄN</t>
        </is>
      </c>
      <c r="E884" t="inlineStr">
        <is>
          <t>LEKSAND</t>
        </is>
      </c>
      <c r="F884" t="inlineStr">
        <is>
          <t>Bergvik skog väst AB</t>
        </is>
      </c>
      <c r="G884" t="n">
        <v>6.2</v>
      </c>
      <c r="H884" t="n">
        <v>0</v>
      </c>
      <c r="I884" t="n">
        <v>0</v>
      </c>
      <c r="J884" t="n">
        <v>0</v>
      </c>
      <c r="K884" t="n">
        <v>0</v>
      </c>
      <c r="L884" t="n">
        <v>0</v>
      </c>
      <c r="M884" t="n">
        <v>0</v>
      </c>
      <c r="N884" t="n">
        <v>0</v>
      </c>
      <c r="O884" t="n">
        <v>0</v>
      </c>
      <c r="P884" t="n">
        <v>0</v>
      </c>
      <c r="Q884" t="n">
        <v>0</v>
      </c>
      <c r="R884" s="2" t="inlineStr"/>
    </row>
    <row r="885" ht="15" customHeight="1">
      <c r="A885" t="inlineStr">
        <is>
          <t>A 7417-2024</t>
        </is>
      </c>
      <c r="B885" s="1" t="n">
        <v>45345</v>
      </c>
      <c r="C885" s="1" t="n">
        <v>45828</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7775-2024</t>
        </is>
      </c>
      <c r="B886" s="1" t="n">
        <v>45349</v>
      </c>
      <c r="C886" s="1" t="n">
        <v>45828</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7768-2024</t>
        </is>
      </c>
      <c r="B887" s="1" t="n">
        <v>45349</v>
      </c>
      <c r="C887" s="1" t="n">
        <v>45828</v>
      </c>
      <c r="D887" t="inlineStr">
        <is>
          <t>DALARNAS LÄN</t>
        </is>
      </c>
      <c r="E887" t="inlineStr">
        <is>
          <t>LEKSAND</t>
        </is>
      </c>
      <c r="G887" t="n">
        <v>5.4</v>
      </c>
      <c r="H887" t="n">
        <v>0</v>
      </c>
      <c r="I887" t="n">
        <v>0</v>
      </c>
      <c r="J887" t="n">
        <v>0</v>
      </c>
      <c r="K887" t="n">
        <v>0</v>
      </c>
      <c r="L887" t="n">
        <v>0</v>
      </c>
      <c r="M887" t="n">
        <v>0</v>
      </c>
      <c r="N887" t="n">
        <v>0</v>
      </c>
      <c r="O887" t="n">
        <v>0</v>
      </c>
      <c r="P887" t="n">
        <v>0</v>
      </c>
      <c r="Q887" t="n">
        <v>0</v>
      </c>
      <c r="R887" s="2" t="inlineStr"/>
    </row>
    <row r="888" ht="15" customHeight="1">
      <c r="A888" t="inlineStr">
        <is>
          <t>A 7773-2024</t>
        </is>
      </c>
      <c r="B888" s="1" t="n">
        <v>45349</v>
      </c>
      <c r="C888" s="1" t="n">
        <v>45828</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7827-2024</t>
        </is>
      </c>
      <c r="B889" s="1" t="n">
        <v>45349</v>
      </c>
      <c r="C889" s="1" t="n">
        <v>45828</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7861-2024</t>
        </is>
      </c>
      <c r="B890" s="1" t="n">
        <v>45350</v>
      </c>
      <c r="C890" s="1" t="n">
        <v>45828</v>
      </c>
      <c r="D890" t="inlineStr">
        <is>
          <t>DALARNAS LÄN</t>
        </is>
      </c>
      <c r="E890" t="inlineStr">
        <is>
          <t>LEKSAND</t>
        </is>
      </c>
      <c r="G890" t="n">
        <v>1.8</v>
      </c>
      <c r="H890" t="n">
        <v>0</v>
      </c>
      <c r="I890" t="n">
        <v>0</v>
      </c>
      <c r="J890" t="n">
        <v>0</v>
      </c>
      <c r="K890" t="n">
        <v>0</v>
      </c>
      <c r="L890" t="n">
        <v>0</v>
      </c>
      <c r="M890" t="n">
        <v>0</v>
      </c>
      <c r="N890" t="n">
        <v>0</v>
      </c>
      <c r="O890" t="n">
        <v>0</v>
      </c>
      <c r="P890" t="n">
        <v>0</v>
      </c>
      <c r="Q890" t="n">
        <v>0</v>
      </c>
      <c r="R890" s="2" t="inlineStr"/>
    </row>
    <row r="891" ht="15" customHeight="1">
      <c r="A891" t="inlineStr">
        <is>
          <t>A 8046-2024</t>
        </is>
      </c>
      <c r="B891" s="1" t="n">
        <v>45351</v>
      </c>
      <c r="C891" s="1" t="n">
        <v>45828</v>
      </c>
      <c r="D891" t="inlineStr">
        <is>
          <t>DALARNAS LÄN</t>
        </is>
      </c>
      <c r="E891" t="inlineStr">
        <is>
          <t>LEKSAND</t>
        </is>
      </c>
      <c r="G891" t="n">
        <v>2.9</v>
      </c>
      <c r="H891" t="n">
        <v>0</v>
      </c>
      <c r="I891" t="n">
        <v>0</v>
      </c>
      <c r="J891" t="n">
        <v>0</v>
      </c>
      <c r="K891" t="n">
        <v>0</v>
      </c>
      <c r="L891" t="n">
        <v>0</v>
      </c>
      <c r="M891" t="n">
        <v>0</v>
      </c>
      <c r="N891" t="n">
        <v>0</v>
      </c>
      <c r="O891" t="n">
        <v>0</v>
      </c>
      <c r="P891" t="n">
        <v>0</v>
      </c>
      <c r="Q891" t="n">
        <v>0</v>
      </c>
      <c r="R891" s="2" t="inlineStr"/>
    </row>
    <row r="892" ht="15" customHeight="1">
      <c r="A892" t="inlineStr">
        <is>
          <t>A 8045-2024</t>
        </is>
      </c>
      <c r="B892" s="1" t="n">
        <v>45351</v>
      </c>
      <c r="C892" s="1" t="n">
        <v>45828</v>
      </c>
      <c r="D892" t="inlineStr">
        <is>
          <t>DALARNAS LÄN</t>
        </is>
      </c>
      <c r="E892" t="inlineStr">
        <is>
          <t>LEKSAND</t>
        </is>
      </c>
      <c r="G892" t="n">
        <v>6.7</v>
      </c>
      <c r="H892" t="n">
        <v>0</v>
      </c>
      <c r="I892" t="n">
        <v>0</v>
      </c>
      <c r="J892" t="n">
        <v>0</v>
      </c>
      <c r="K892" t="n">
        <v>0</v>
      </c>
      <c r="L892" t="n">
        <v>0</v>
      </c>
      <c r="M892" t="n">
        <v>0</v>
      </c>
      <c r="N892" t="n">
        <v>0</v>
      </c>
      <c r="O892" t="n">
        <v>0</v>
      </c>
      <c r="P892" t="n">
        <v>0</v>
      </c>
      <c r="Q892" t="n">
        <v>0</v>
      </c>
      <c r="R892" s="2" t="inlineStr"/>
    </row>
    <row r="893" ht="15" customHeight="1">
      <c r="A893" t="inlineStr">
        <is>
          <t>A 9781-2024</t>
        </is>
      </c>
      <c r="B893" s="1" t="n">
        <v>45362</v>
      </c>
      <c r="C893" s="1" t="n">
        <v>45828</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10299-2024</t>
        </is>
      </c>
      <c r="B894" s="1" t="n">
        <v>45365</v>
      </c>
      <c r="C894" s="1" t="n">
        <v>45828</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10462-2024</t>
        </is>
      </c>
      <c r="B895" s="1" t="n">
        <v>45366</v>
      </c>
      <c r="C895" s="1" t="n">
        <v>45828</v>
      </c>
      <c r="D895" t="inlineStr">
        <is>
          <t>DALARNAS LÄN</t>
        </is>
      </c>
      <c r="E895" t="inlineStr">
        <is>
          <t>LEKSAND</t>
        </is>
      </c>
      <c r="G895" t="n">
        <v>1.2</v>
      </c>
      <c r="H895" t="n">
        <v>0</v>
      </c>
      <c r="I895" t="n">
        <v>0</v>
      </c>
      <c r="J895" t="n">
        <v>0</v>
      </c>
      <c r="K895" t="n">
        <v>0</v>
      </c>
      <c r="L895" t="n">
        <v>0</v>
      </c>
      <c r="M895" t="n">
        <v>0</v>
      </c>
      <c r="N895" t="n">
        <v>0</v>
      </c>
      <c r="O895" t="n">
        <v>0</v>
      </c>
      <c r="P895" t="n">
        <v>0</v>
      </c>
      <c r="Q895" t="n">
        <v>0</v>
      </c>
      <c r="R895" s="2" t="inlineStr"/>
    </row>
    <row r="896" ht="15" customHeight="1">
      <c r="A896" t="inlineStr">
        <is>
          <t>A 10743-2024</t>
        </is>
      </c>
      <c r="B896" s="1" t="n">
        <v>45369</v>
      </c>
      <c r="C896" s="1" t="n">
        <v>45828</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10771-2024</t>
        </is>
      </c>
      <c r="B897" s="1" t="n">
        <v>45369</v>
      </c>
      <c r="C897" s="1" t="n">
        <v>45828</v>
      </c>
      <c r="D897" t="inlineStr">
        <is>
          <t>DALARNAS LÄN</t>
        </is>
      </c>
      <c r="E897" t="inlineStr">
        <is>
          <t>LEKSAND</t>
        </is>
      </c>
      <c r="G897" t="n">
        <v>0.4</v>
      </c>
      <c r="H897" t="n">
        <v>0</v>
      </c>
      <c r="I897" t="n">
        <v>0</v>
      </c>
      <c r="J897" t="n">
        <v>0</v>
      </c>
      <c r="K897" t="n">
        <v>0</v>
      </c>
      <c r="L897" t="n">
        <v>0</v>
      </c>
      <c r="M897" t="n">
        <v>0</v>
      </c>
      <c r="N897" t="n">
        <v>0</v>
      </c>
      <c r="O897" t="n">
        <v>0</v>
      </c>
      <c r="P897" t="n">
        <v>0</v>
      </c>
      <c r="Q897" t="n">
        <v>0</v>
      </c>
      <c r="R897" s="2" t="inlineStr"/>
    </row>
    <row r="898" ht="15" customHeight="1">
      <c r="A898" t="inlineStr">
        <is>
          <t>A 11617-2024</t>
        </is>
      </c>
      <c r="B898" s="1" t="n">
        <v>45373</v>
      </c>
      <c r="C898" s="1" t="n">
        <v>45828</v>
      </c>
      <c r="D898" t="inlineStr">
        <is>
          <t>DALARNAS LÄN</t>
        </is>
      </c>
      <c r="E898" t="inlineStr">
        <is>
          <t>LEKSAND</t>
        </is>
      </c>
      <c r="G898" t="n">
        <v>1.9</v>
      </c>
      <c r="H898" t="n">
        <v>0</v>
      </c>
      <c r="I898" t="n">
        <v>0</v>
      </c>
      <c r="J898" t="n">
        <v>0</v>
      </c>
      <c r="K898" t="n">
        <v>0</v>
      </c>
      <c r="L898" t="n">
        <v>0</v>
      </c>
      <c r="M898" t="n">
        <v>0</v>
      </c>
      <c r="N898" t="n">
        <v>0</v>
      </c>
      <c r="O898" t="n">
        <v>0</v>
      </c>
      <c r="P898" t="n">
        <v>0</v>
      </c>
      <c r="Q898" t="n">
        <v>0</v>
      </c>
      <c r="R898" s="2" t="inlineStr"/>
    </row>
    <row r="899" ht="15" customHeight="1">
      <c r="A899" t="inlineStr">
        <is>
          <t>A 11869-2024</t>
        </is>
      </c>
      <c r="B899" s="1" t="n">
        <v>45376</v>
      </c>
      <c r="C899" s="1" t="n">
        <v>45828</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11855-2024</t>
        </is>
      </c>
      <c r="B900" s="1" t="n">
        <v>45376</v>
      </c>
      <c r="C900" s="1" t="n">
        <v>45828</v>
      </c>
      <c r="D900" t="inlineStr">
        <is>
          <t>DALARNAS LÄN</t>
        </is>
      </c>
      <c r="E900" t="inlineStr">
        <is>
          <t>LEKSAND</t>
        </is>
      </c>
      <c r="G900" t="n">
        <v>4</v>
      </c>
      <c r="H900" t="n">
        <v>0</v>
      </c>
      <c r="I900" t="n">
        <v>0</v>
      </c>
      <c r="J900" t="n">
        <v>0</v>
      </c>
      <c r="K900" t="n">
        <v>0</v>
      </c>
      <c r="L900" t="n">
        <v>0</v>
      </c>
      <c r="M900" t="n">
        <v>0</v>
      </c>
      <c r="N900" t="n">
        <v>0</v>
      </c>
      <c r="O900" t="n">
        <v>0</v>
      </c>
      <c r="P900" t="n">
        <v>0</v>
      </c>
      <c r="Q900" t="n">
        <v>0</v>
      </c>
      <c r="R900" s="2" t="inlineStr"/>
      <c r="U900">
        <f>HYPERLINK("https://klasma.github.io/Logging_2029/knärot/A 11855-2024 karta knärot.png", "A 11855-2024")</f>
        <v/>
      </c>
      <c r="V900">
        <f>HYPERLINK("https://klasma.github.io/Logging_2029/klagomål/A 11855-2024 FSC-klagomål.docx", "A 11855-2024")</f>
        <v/>
      </c>
      <c r="W900">
        <f>HYPERLINK("https://klasma.github.io/Logging_2029/klagomålsmail/A 11855-2024 FSC-klagomål mail.docx", "A 11855-2024")</f>
        <v/>
      </c>
      <c r="X900">
        <f>HYPERLINK("https://klasma.github.io/Logging_2029/tillsyn/A 11855-2024 tillsynsbegäran.docx", "A 11855-2024")</f>
        <v/>
      </c>
      <c r="Y900">
        <f>HYPERLINK("https://klasma.github.io/Logging_2029/tillsynsmail/A 11855-2024 tillsynsbegäran mail.docx", "A 11855-2024")</f>
        <v/>
      </c>
    </row>
    <row r="901" ht="15" customHeight="1">
      <c r="A901" t="inlineStr">
        <is>
          <t>A 11859-2024</t>
        </is>
      </c>
      <c r="B901" s="1" t="n">
        <v>45376</v>
      </c>
      <c r="C901" s="1" t="n">
        <v>45828</v>
      </c>
      <c r="D901" t="inlineStr">
        <is>
          <t>DALARNAS LÄN</t>
        </is>
      </c>
      <c r="E901" t="inlineStr">
        <is>
          <t>LEKSAND</t>
        </is>
      </c>
      <c r="G901" t="n">
        <v>2.1</v>
      </c>
      <c r="H901" t="n">
        <v>0</v>
      </c>
      <c r="I901" t="n">
        <v>0</v>
      </c>
      <c r="J901" t="n">
        <v>0</v>
      </c>
      <c r="K901" t="n">
        <v>0</v>
      </c>
      <c r="L901" t="n">
        <v>0</v>
      </c>
      <c r="M901" t="n">
        <v>0</v>
      </c>
      <c r="N901" t="n">
        <v>0</v>
      </c>
      <c r="O901" t="n">
        <v>0</v>
      </c>
      <c r="P901" t="n">
        <v>0</v>
      </c>
      <c r="Q901" t="n">
        <v>0</v>
      </c>
      <c r="R901" s="2" t="inlineStr"/>
    </row>
    <row r="902" ht="15" customHeight="1">
      <c r="A902" t="inlineStr">
        <is>
          <t>A 11872-2024</t>
        </is>
      </c>
      <c r="B902" s="1" t="n">
        <v>45376</v>
      </c>
      <c r="C902" s="1" t="n">
        <v>45828</v>
      </c>
      <c r="D902" t="inlineStr">
        <is>
          <t>DALARNAS LÄN</t>
        </is>
      </c>
      <c r="E902" t="inlineStr">
        <is>
          <t>LEKSAND</t>
        </is>
      </c>
      <c r="G902" t="n">
        <v>3.1</v>
      </c>
      <c r="H902" t="n">
        <v>0</v>
      </c>
      <c r="I902" t="n">
        <v>0</v>
      </c>
      <c r="J902" t="n">
        <v>0</v>
      </c>
      <c r="K902" t="n">
        <v>0</v>
      </c>
      <c r="L902" t="n">
        <v>0</v>
      </c>
      <c r="M902" t="n">
        <v>0</v>
      </c>
      <c r="N902" t="n">
        <v>0</v>
      </c>
      <c r="O902" t="n">
        <v>0</v>
      </c>
      <c r="P902" t="n">
        <v>0</v>
      </c>
      <c r="Q902" t="n">
        <v>0</v>
      </c>
      <c r="R902" s="2" t="inlineStr"/>
    </row>
    <row r="903" ht="15" customHeight="1">
      <c r="A903" t="inlineStr">
        <is>
          <t>A 11870-2024</t>
        </is>
      </c>
      <c r="B903" s="1" t="n">
        <v>45376</v>
      </c>
      <c r="C903" s="1" t="n">
        <v>45828</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12290-2024</t>
        </is>
      </c>
      <c r="B904" s="1" t="n">
        <v>45378</v>
      </c>
      <c r="C904" s="1" t="n">
        <v>45828</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12481-2024</t>
        </is>
      </c>
      <c r="B905" s="1" t="n">
        <v>45379</v>
      </c>
      <c r="C905" s="1" t="n">
        <v>45828</v>
      </c>
      <c r="D905" t="inlineStr">
        <is>
          <t>DALARNAS LÄN</t>
        </is>
      </c>
      <c r="E905" t="inlineStr">
        <is>
          <t>LEKSAND</t>
        </is>
      </c>
      <c r="G905" t="n">
        <v>4.6</v>
      </c>
      <c r="H905" t="n">
        <v>0</v>
      </c>
      <c r="I905" t="n">
        <v>0</v>
      </c>
      <c r="J905" t="n">
        <v>0</v>
      </c>
      <c r="K905" t="n">
        <v>0</v>
      </c>
      <c r="L905" t="n">
        <v>0</v>
      </c>
      <c r="M905" t="n">
        <v>0</v>
      </c>
      <c r="N905" t="n">
        <v>0</v>
      </c>
      <c r="O905" t="n">
        <v>0</v>
      </c>
      <c r="P905" t="n">
        <v>0</v>
      </c>
      <c r="Q905" t="n">
        <v>0</v>
      </c>
      <c r="R905" s="2" t="inlineStr"/>
    </row>
    <row r="906" ht="15" customHeight="1">
      <c r="A906" t="inlineStr">
        <is>
          <t>A 13161-2024</t>
        </is>
      </c>
      <c r="B906" s="1" t="n">
        <v>45386</v>
      </c>
      <c r="C906" s="1" t="n">
        <v>45828</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13165-2024</t>
        </is>
      </c>
      <c r="B907" s="1" t="n">
        <v>45386</v>
      </c>
      <c r="C907" s="1" t="n">
        <v>45828</v>
      </c>
      <c r="D907" t="inlineStr">
        <is>
          <t>DALARNAS LÄN</t>
        </is>
      </c>
      <c r="E907" t="inlineStr">
        <is>
          <t>LEKSAND</t>
        </is>
      </c>
      <c r="G907" t="n">
        <v>3.4</v>
      </c>
      <c r="H907" t="n">
        <v>0</v>
      </c>
      <c r="I907" t="n">
        <v>0</v>
      </c>
      <c r="J907" t="n">
        <v>0</v>
      </c>
      <c r="K907" t="n">
        <v>0</v>
      </c>
      <c r="L907" t="n">
        <v>0</v>
      </c>
      <c r="M907" t="n">
        <v>0</v>
      </c>
      <c r="N907" t="n">
        <v>0</v>
      </c>
      <c r="O907" t="n">
        <v>0</v>
      </c>
      <c r="P907" t="n">
        <v>0</v>
      </c>
      <c r="Q907" t="n">
        <v>0</v>
      </c>
      <c r="R907" s="2" t="inlineStr"/>
    </row>
    <row r="908" ht="15" customHeight="1">
      <c r="A908" t="inlineStr">
        <is>
          <t>A 13741-2024</t>
        </is>
      </c>
      <c r="B908" s="1" t="n">
        <v>45390</v>
      </c>
      <c r="C908" s="1" t="n">
        <v>45828</v>
      </c>
      <c r="D908" t="inlineStr">
        <is>
          <t>DALARNAS LÄN</t>
        </is>
      </c>
      <c r="E908" t="inlineStr">
        <is>
          <t>LEKSAND</t>
        </is>
      </c>
      <c r="G908" t="n">
        <v>5.9</v>
      </c>
      <c r="H908" t="n">
        <v>0</v>
      </c>
      <c r="I908" t="n">
        <v>0</v>
      </c>
      <c r="J908" t="n">
        <v>0</v>
      </c>
      <c r="K908" t="n">
        <v>0</v>
      </c>
      <c r="L908" t="n">
        <v>0</v>
      </c>
      <c r="M908" t="n">
        <v>0</v>
      </c>
      <c r="N908" t="n">
        <v>0</v>
      </c>
      <c r="O908" t="n">
        <v>0</v>
      </c>
      <c r="P908" t="n">
        <v>0</v>
      </c>
      <c r="Q908" t="n">
        <v>0</v>
      </c>
      <c r="R908" s="2" t="inlineStr"/>
    </row>
    <row r="909" ht="15" customHeight="1">
      <c r="A909" t="inlineStr">
        <is>
          <t>A 13783-2024</t>
        </is>
      </c>
      <c r="B909" s="1" t="n">
        <v>45391</v>
      </c>
      <c r="C909" s="1" t="n">
        <v>45828</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13811-2024</t>
        </is>
      </c>
      <c r="B910" s="1" t="n">
        <v>45391</v>
      </c>
      <c r="C910" s="1" t="n">
        <v>45828</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13990-2024</t>
        </is>
      </c>
      <c r="B911" s="1" t="n">
        <v>45392</v>
      </c>
      <c r="C911" s="1" t="n">
        <v>45828</v>
      </c>
      <c r="D911" t="inlineStr">
        <is>
          <t>DALARNAS LÄN</t>
        </is>
      </c>
      <c r="E911" t="inlineStr">
        <is>
          <t>LEKSAND</t>
        </is>
      </c>
      <c r="G911" t="n">
        <v>1.1</v>
      </c>
      <c r="H911" t="n">
        <v>0</v>
      </c>
      <c r="I911" t="n">
        <v>0</v>
      </c>
      <c r="J911" t="n">
        <v>0</v>
      </c>
      <c r="K911" t="n">
        <v>0</v>
      </c>
      <c r="L911" t="n">
        <v>0</v>
      </c>
      <c r="M911" t="n">
        <v>0</v>
      </c>
      <c r="N911" t="n">
        <v>0</v>
      </c>
      <c r="O911" t="n">
        <v>0</v>
      </c>
      <c r="P911" t="n">
        <v>0</v>
      </c>
      <c r="Q911" t="n">
        <v>0</v>
      </c>
      <c r="R911" s="2" t="inlineStr"/>
    </row>
    <row r="912" ht="15" customHeight="1">
      <c r="A912" t="inlineStr">
        <is>
          <t>A 14276-2024</t>
        </is>
      </c>
      <c r="B912" s="1" t="n">
        <v>45393</v>
      </c>
      <c r="C912" s="1" t="n">
        <v>45828</v>
      </c>
      <c r="D912" t="inlineStr">
        <is>
          <t>DALARNAS LÄN</t>
        </is>
      </c>
      <c r="E912" t="inlineStr">
        <is>
          <t>LEKSAND</t>
        </is>
      </c>
      <c r="F912" t="inlineStr">
        <is>
          <t>Bergvik skog väst AB</t>
        </is>
      </c>
      <c r="G912" t="n">
        <v>14.2</v>
      </c>
      <c r="H912" t="n">
        <v>0</v>
      </c>
      <c r="I912" t="n">
        <v>0</v>
      </c>
      <c r="J912" t="n">
        <v>0</v>
      </c>
      <c r="K912" t="n">
        <v>0</v>
      </c>
      <c r="L912" t="n">
        <v>0</v>
      </c>
      <c r="M912" t="n">
        <v>0</v>
      </c>
      <c r="N912" t="n">
        <v>0</v>
      </c>
      <c r="O912" t="n">
        <v>0</v>
      </c>
      <c r="P912" t="n">
        <v>0</v>
      </c>
      <c r="Q912" t="n">
        <v>0</v>
      </c>
      <c r="R912" s="2" t="inlineStr"/>
    </row>
    <row r="913" ht="15" customHeight="1">
      <c r="A913" t="inlineStr">
        <is>
          <t>A 14616-2024</t>
        </is>
      </c>
      <c r="B913" s="1" t="n">
        <v>45397</v>
      </c>
      <c r="C913" s="1" t="n">
        <v>45828</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14615-2024</t>
        </is>
      </c>
      <c r="B914" s="1" t="n">
        <v>45397</v>
      </c>
      <c r="C914" s="1" t="n">
        <v>45828</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14614-2024</t>
        </is>
      </c>
      <c r="B915" s="1" t="n">
        <v>45397</v>
      </c>
      <c r="C915" s="1" t="n">
        <v>45828</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14661-2024</t>
        </is>
      </c>
      <c r="B916" s="1" t="n">
        <v>45397</v>
      </c>
      <c r="C916" s="1" t="n">
        <v>45828</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14688-2024</t>
        </is>
      </c>
      <c r="B917" s="1" t="n">
        <v>45397</v>
      </c>
      <c r="C917" s="1" t="n">
        <v>45828</v>
      </c>
      <c r="D917" t="inlineStr">
        <is>
          <t>DALARNAS LÄN</t>
        </is>
      </c>
      <c r="E917" t="inlineStr">
        <is>
          <t>LEKSAND</t>
        </is>
      </c>
      <c r="G917" t="n">
        <v>3.2</v>
      </c>
      <c r="H917" t="n">
        <v>0</v>
      </c>
      <c r="I917" t="n">
        <v>0</v>
      </c>
      <c r="J917" t="n">
        <v>0</v>
      </c>
      <c r="K917" t="n">
        <v>0</v>
      </c>
      <c r="L917" t="n">
        <v>0</v>
      </c>
      <c r="M917" t="n">
        <v>0</v>
      </c>
      <c r="N917" t="n">
        <v>0</v>
      </c>
      <c r="O917" t="n">
        <v>0</v>
      </c>
      <c r="P917" t="n">
        <v>0</v>
      </c>
      <c r="Q917" t="n">
        <v>0</v>
      </c>
      <c r="R917" s="2" t="inlineStr"/>
    </row>
    <row r="918" ht="15" customHeight="1">
      <c r="A918" t="inlineStr">
        <is>
          <t>A 14792-2024</t>
        </is>
      </c>
      <c r="B918" s="1" t="n">
        <v>45397</v>
      </c>
      <c r="C918" s="1" t="n">
        <v>45828</v>
      </c>
      <c r="D918" t="inlineStr">
        <is>
          <t>DALARNAS LÄN</t>
        </is>
      </c>
      <c r="E918" t="inlineStr">
        <is>
          <t>LEKSAND</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14617-2024</t>
        </is>
      </c>
      <c r="B919" s="1" t="n">
        <v>45397</v>
      </c>
      <c r="C919" s="1" t="n">
        <v>45828</v>
      </c>
      <c r="D919" t="inlineStr">
        <is>
          <t>DALARNAS LÄN</t>
        </is>
      </c>
      <c r="E919" t="inlineStr">
        <is>
          <t>LEKSAND</t>
        </is>
      </c>
      <c r="G919" t="n">
        <v>0.2</v>
      </c>
      <c r="H919" t="n">
        <v>0</v>
      </c>
      <c r="I919" t="n">
        <v>0</v>
      </c>
      <c r="J919" t="n">
        <v>0</v>
      </c>
      <c r="K919" t="n">
        <v>0</v>
      </c>
      <c r="L919" t="n">
        <v>0</v>
      </c>
      <c r="M919" t="n">
        <v>0</v>
      </c>
      <c r="N919" t="n">
        <v>0</v>
      </c>
      <c r="O919" t="n">
        <v>0</v>
      </c>
      <c r="P919" t="n">
        <v>0</v>
      </c>
      <c r="Q919" t="n">
        <v>0</v>
      </c>
      <c r="R919" s="2" t="inlineStr"/>
    </row>
    <row r="920" ht="15" customHeight="1">
      <c r="A920" t="inlineStr">
        <is>
          <t>A 14659-2024</t>
        </is>
      </c>
      <c r="B920" s="1" t="n">
        <v>45397</v>
      </c>
      <c r="C920" s="1" t="n">
        <v>45828</v>
      </c>
      <c r="D920" t="inlineStr">
        <is>
          <t>DALARNAS LÄN</t>
        </is>
      </c>
      <c r="E920" t="inlineStr">
        <is>
          <t>LEKSAND</t>
        </is>
      </c>
      <c r="G920" t="n">
        <v>1.2</v>
      </c>
      <c r="H920" t="n">
        <v>0</v>
      </c>
      <c r="I920" t="n">
        <v>0</v>
      </c>
      <c r="J920" t="n">
        <v>0</v>
      </c>
      <c r="K920" t="n">
        <v>0</v>
      </c>
      <c r="L920" t="n">
        <v>0</v>
      </c>
      <c r="M920" t="n">
        <v>0</v>
      </c>
      <c r="N920" t="n">
        <v>0</v>
      </c>
      <c r="O920" t="n">
        <v>0</v>
      </c>
      <c r="P920" t="n">
        <v>0</v>
      </c>
      <c r="Q920" t="n">
        <v>0</v>
      </c>
      <c r="R920" s="2" t="inlineStr"/>
    </row>
    <row r="921" ht="15" customHeight="1">
      <c r="A921" t="inlineStr">
        <is>
          <t>A 14908-2024</t>
        </is>
      </c>
      <c r="B921" s="1" t="n">
        <v>45398</v>
      </c>
      <c r="C921" s="1" t="n">
        <v>45828</v>
      </c>
      <c r="D921" t="inlineStr">
        <is>
          <t>DALARNAS LÄN</t>
        </is>
      </c>
      <c r="E921" t="inlineStr">
        <is>
          <t>LEKSAND</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14957-2024</t>
        </is>
      </c>
      <c r="B922" s="1" t="n">
        <v>45398</v>
      </c>
      <c r="C922" s="1" t="n">
        <v>45828</v>
      </c>
      <c r="D922" t="inlineStr">
        <is>
          <t>DALARNAS LÄN</t>
        </is>
      </c>
      <c r="E922" t="inlineStr">
        <is>
          <t>LEKSAND</t>
        </is>
      </c>
      <c r="G922" t="n">
        <v>11.5</v>
      </c>
      <c r="H922" t="n">
        <v>0</v>
      </c>
      <c r="I922" t="n">
        <v>0</v>
      </c>
      <c r="J922" t="n">
        <v>0</v>
      </c>
      <c r="K922" t="n">
        <v>0</v>
      </c>
      <c r="L922" t="n">
        <v>0</v>
      </c>
      <c r="M922" t="n">
        <v>0</v>
      </c>
      <c r="N922" t="n">
        <v>0</v>
      </c>
      <c r="O922" t="n">
        <v>0</v>
      </c>
      <c r="P922" t="n">
        <v>0</v>
      </c>
      <c r="Q922" t="n">
        <v>0</v>
      </c>
      <c r="R922" s="2" t="inlineStr"/>
    </row>
    <row r="923" ht="15" customHeight="1">
      <c r="A923" t="inlineStr">
        <is>
          <t>A 14903-2024</t>
        </is>
      </c>
      <c r="B923" s="1" t="n">
        <v>45398</v>
      </c>
      <c r="C923" s="1" t="n">
        <v>45828</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15621-2024</t>
        </is>
      </c>
      <c r="B924" s="1" t="n">
        <v>45402</v>
      </c>
      <c r="C924" s="1" t="n">
        <v>45828</v>
      </c>
      <c r="D924" t="inlineStr">
        <is>
          <t>DALARNAS LÄN</t>
        </is>
      </c>
      <c r="E924" t="inlineStr">
        <is>
          <t>LEKSAND</t>
        </is>
      </c>
      <c r="G924" t="n">
        <v>1.6</v>
      </c>
      <c r="H924" t="n">
        <v>0</v>
      </c>
      <c r="I924" t="n">
        <v>0</v>
      </c>
      <c r="J924" t="n">
        <v>0</v>
      </c>
      <c r="K924" t="n">
        <v>0</v>
      </c>
      <c r="L924" t="n">
        <v>0</v>
      </c>
      <c r="M924" t="n">
        <v>0</v>
      </c>
      <c r="N924" t="n">
        <v>0</v>
      </c>
      <c r="O924" t="n">
        <v>0</v>
      </c>
      <c r="P924" t="n">
        <v>0</v>
      </c>
      <c r="Q924" t="n">
        <v>0</v>
      </c>
      <c r="R924" s="2" t="inlineStr"/>
    </row>
    <row r="925" ht="15" customHeight="1">
      <c r="A925" t="inlineStr">
        <is>
          <t>A 15680-2024</t>
        </is>
      </c>
      <c r="B925" s="1" t="n">
        <v>45404</v>
      </c>
      <c r="C925" s="1" t="n">
        <v>45828</v>
      </c>
      <c r="D925" t="inlineStr">
        <is>
          <t>DALARNAS LÄN</t>
        </is>
      </c>
      <c r="E925" t="inlineStr">
        <is>
          <t>LEKSAND</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15681-2024</t>
        </is>
      </c>
      <c r="B926" s="1" t="n">
        <v>45404</v>
      </c>
      <c r="C926" s="1" t="n">
        <v>45828</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15808-2024</t>
        </is>
      </c>
      <c r="B927" s="1" t="n">
        <v>45404</v>
      </c>
      <c r="C927" s="1" t="n">
        <v>45828</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16197-2024</t>
        </is>
      </c>
      <c r="B928" s="1" t="n">
        <v>45406</v>
      </c>
      <c r="C928" s="1" t="n">
        <v>45828</v>
      </c>
      <c r="D928" t="inlineStr">
        <is>
          <t>DALARNAS LÄN</t>
        </is>
      </c>
      <c r="E928" t="inlineStr">
        <is>
          <t>LEKSAND</t>
        </is>
      </c>
      <c r="G928" t="n">
        <v>2.4</v>
      </c>
      <c r="H928" t="n">
        <v>0</v>
      </c>
      <c r="I928" t="n">
        <v>0</v>
      </c>
      <c r="J928" t="n">
        <v>0</v>
      </c>
      <c r="K928" t="n">
        <v>0</v>
      </c>
      <c r="L928" t="n">
        <v>0</v>
      </c>
      <c r="M928" t="n">
        <v>0</v>
      </c>
      <c r="N928" t="n">
        <v>0</v>
      </c>
      <c r="O928" t="n">
        <v>0</v>
      </c>
      <c r="P928" t="n">
        <v>0</v>
      </c>
      <c r="Q928" t="n">
        <v>0</v>
      </c>
      <c r="R928" s="2" t="inlineStr"/>
    </row>
    <row r="929" ht="15" customHeight="1">
      <c r="A929" t="inlineStr">
        <is>
          <t>A 16265-2024</t>
        </is>
      </c>
      <c r="B929" s="1" t="n">
        <v>45407</v>
      </c>
      <c r="C929" s="1" t="n">
        <v>45828</v>
      </c>
      <c r="D929" t="inlineStr">
        <is>
          <t>DALARNAS LÄN</t>
        </is>
      </c>
      <c r="E929" t="inlineStr">
        <is>
          <t>LEKSAND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16417-2024</t>
        </is>
      </c>
      <c r="B930" s="1" t="n">
        <v>45407</v>
      </c>
      <c r="C930" s="1" t="n">
        <v>45828</v>
      </c>
      <c r="D930" t="inlineStr">
        <is>
          <t>DALARNAS LÄN</t>
        </is>
      </c>
      <c r="E930" t="inlineStr">
        <is>
          <t>LEKSAND</t>
        </is>
      </c>
      <c r="F930" t="inlineStr">
        <is>
          <t>Bergvik skog väst AB</t>
        </is>
      </c>
      <c r="G930" t="n">
        <v>17.4</v>
      </c>
      <c r="H930" t="n">
        <v>0</v>
      </c>
      <c r="I930" t="n">
        <v>0</v>
      </c>
      <c r="J930" t="n">
        <v>0</v>
      </c>
      <c r="K930" t="n">
        <v>0</v>
      </c>
      <c r="L930" t="n">
        <v>0</v>
      </c>
      <c r="M930" t="n">
        <v>0</v>
      </c>
      <c r="N930" t="n">
        <v>0</v>
      </c>
      <c r="O930" t="n">
        <v>0</v>
      </c>
      <c r="P930" t="n">
        <v>0</v>
      </c>
      <c r="Q930" t="n">
        <v>0</v>
      </c>
      <c r="R930" s="2" t="inlineStr"/>
    </row>
    <row r="931" ht="15" customHeight="1">
      <c r="A931" t="inlineStr">
        <is>
          <t>A 16264-2024</t>
        </is>
      </c>
      <c r="B931" s="1" t="n">
        <v>45407</v>
      </c>
      <c r="C931" s="1" t="n">
        <v>45828</v>
      </c>
      <c r="D931" t="inlineStr">
        <is>
          <t>DALARNAS LÄN</t>
        </is>
      </c>
      <c r="E931" t="inlineStr">
        <is>
          <t>LEKSAND</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16420-2024</t>
        </is>
      </c>
      <c r="B932" s="1" t="n">
        <v>45407</v>
      </c>
      <c r="C932" s="1" t="n">
        <v>45828</v>
      </c>
      <c r="D932" t="inlineStr">
        <is>
          <t>DALARNAS LÄN</t>
        </is>
      </c>
      <c r="E932" t="inlineStr">
        <is>
          <t>LEKSAND</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16581-2024</t>
        </is>
      </c>
      <c r="B933" s="1" t="n">
        <v>45408</v>
      </c>
      <c r="C933" s="1" t="n">
        <v>45828</v>
      </c>
      <c r="D933" t="inlineStr">
        <is>
          <t>DALARNAS LÄN</t>
        </is>
      </c>
      <c r="E933" t="inlineStr">
        <is>
          <t>LEKSAND</t>
        </is>
      </c>
      <c r="G933" t="n">
        <v>2.6</v>
      </c>
      <c r="H933" t="n">
        <v>0</v>
      </c>
      <c r="I933" t="n">
        <v>0</v>
      </c>
      <c r="J933" t="n">
        <v>0</v>
      </c>
      <c r="K933" t="n">
        <v>0</v>
      </c>
      <c r="L933" t="n">
        <v>0</v>
      </c>
      <c r="M933" t="n">
        <v>0</v>
      </c>
      <c r="N933" t="n">
        <v>0</v>
      </c>
      <c r="O933" t="n">
        <v>0</v>
      </c>
      <c r="P933" t="n">
        <v>0</v>
      </c>
      <c r="Q933" t="n">
        <v>0</v>
      </c>
      <c r="R933" s="2" t="inlineStr"/>
    </row>
    <row r="934" ht="15" customHeight="1">
      <c r="A934" t="inlineStr">
        <is>
          <t>A 16611-2024</t>
        </is>
      </c>
      <c r="B934" s="1" t="n">
        <v>45408</v>
      </c>
      <c r="C934" s="1" t="n">
        <v>45828</v>
      </c>
      <c r="D934" t="inlineStr">
        <is>
          <t>DALARNAS LÄN</t>
        </is>
      </c>
      <c r="E934" t="inlineStr">
        <is>
          <t>LEKSAND</t>
        </is>
      </c>
      <c r="G934" t="n">
        <v>5.9</v>
      </c>
      <c r="H934" t="n">
        <v>0</v>
      </c>
      <c r="I934" t="n">
        <v>0</v>
      </c>
      <c r="J934" t="n">
        <v>0</v>
      </c>
      <c r="K934" t="n">
        <v>0</v>
      </c>
      <c r="L934" t="n">
        <v>0</v>
      </c>
      <c r="M934" t="n">
        <v>0</v>
      </c>
      <c r="N934" t="n">
        <v>0</v>
      </c>
      <c r="O934" t="n">
        <v>0</v>
      </c>
      <c r="P934" t="n">
        <v>0</v>
      </c>
      <c r="Q934" t="n">
        <v>0</v>
      </c>
      <c r="R934" s="2" t="inlineStr"/>
    </row>
    <row r="935" ht="15" customHeight="1">
      <c r="A935" t="inlineStr">
        <is>
          <t>A 16894-2024</t>
        </is>
      </c>
      <c r="B935" s="1" t="n">
        <v>45411</v>
      </c>
      <c r="C935" s="1" t="n">
        <v>45828</v>
      </c>
      <c r="D935" t="inlineStr">
        <is>
          <t>DALARNAS LÄN</t>
        </is>
      </c>
      <c r="E935" t="inlineStr">
        <is>
          <t>LEKSAND</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17198-2024</t>
        </is>
      </c>
      <c r="B936" s="1" t="n">
        <v>45413</v>
      </c>
      <c r="C936" s="1" t="n">
        <v>45828</v>
      </c>
      <c r="D936" t="inlineStr">
        <is>
          <t>DALARNAS LÄN</t>
        </is>
      </c>
      <c r="E936" t="inlineStr">
        <is>
          <t>LEKSAND</t>
        </is>
      </c>
      <c r="G936" t="n">
        <v>4.8</v>
      </c>
      <c r="H936" t="n">
        <v>0</v>
      </c>
      <c r="I936" t="n">
        <v>0</v>
      </c>
      <c r="J936" t="n">
        <v>0</v>
      </c>
      <c r="K936" t="n">
        <v>0</v>
      </c>
      <c r="L936" t="n">
        <v>0</v>
      </c>
      <c r="M936" t="n">
        <v>0</v>
      </c>
      <c r="N936" t="n">
        <v>0</v>
      </c>
      <c r="O936" t="n">
        <v>0</v>
      </c>
      <c r="P936" t="n">
        <v>0</v>
      </c>
      <c r="Q936" t="n">
        <v>0</v>
      </c>
      <c r="R936" s="2" t="inlineStr"/>
    </row>
    <row r="937" ht="15" customHeight="1">
      <c r="A937" t="inlineStr">
        <is>
          <t>A 17353-2024</t>
        </is>
      </c>
      <c r="B937" s="1" t="n">
        <v>45414</v>
      </c>
      <c r="C937" s="1" t="n">
        <v>45828</v>
      </c>
      <c r="D937" t="inlineStr">
        <is>
          <t>DALARNAS LÄN</t>
        </is>
      </c>
      <c r="E937" t="inlineStr">
        <is>
          <t>LEKSAND</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17606-2024</t>
        </is>
      </c>
      <c r="B938" s="1" t="n">
        <v>45415</v>
      </c>
      <c r="C938" s="1" t="n">
        <v>45828</v>
      </c>
      <c r="D938" t="inlineStr">
        <is>
          <t>DALARNAS LÄN</t>
        </is>
      </c>
      <c r="E938" t="inlineStr">
        <is>
          <t>LEKSAND</t>
        </is>
      </c>
      <c r="G938" t="n">
        <v>0.6</v>
      </c>
      <c r="H938" t="n">
        <v>0</v>
      </c>
      <c r="I938" t="n">
        <v>0</v>
      </c>
      <c r="J938" t="n">
        <v>0</v>
      </c>
      <c r="K938" t="n">
        <v>0</v>
      </c>
      <c r="L938" t="n">
        <v>0</v>
      </c>
      <c r="M938" t="n">
        <v>0</v>
      </c>
      <c r="N938" t="n">
        <v>0</v>
      </c>
      <c r="O938" t="n">
        <v>0</v>
      </c>
      <c r="P938" t="n">
        <v>0</v>
      </c>
      <c r="Q938" t="n">
        <v>0</v>
      </c>
      <c r="R938" s="2" t="inlineStr"/>
    </row>
    <row r="939" ht="15" customHeight="1">
      <c r="A939" t="inlineStr">
        <is>
          <t>A 17796-2024</t>
        </is>
      </c>
      <c r="B939" s="1" t="n">
        <v>45418</v>
      </c>
      <c r="C939" s="1" t="n">
        <v>45828</v>
      </c>
      <c r="D939" t="inlineStr">
        <is>
          <t>DALARNAS LÄN</t>
        </is>
      </c>
      <c r="E939" t="inlineStr">
        <is>
          <t>LEKSAND</t>
        </is>
      </c>
      <c r="G939" t="n">
        <v>3.4</v>
      </c>
      <c r="H939" t="n">
        <v>0</v>
      </c>
      <c r="I939" t="n">
        <v>0</v>
      </c>
      <c r="J939" t="n">
        <v>0</v>
      </c>
      <c r="K939" t="n">
        <v>0</v>
      </c>
      <c r="L939" t="n">
        <v>0</v>
      </c>
      <c r="M939" t="n">
        <v>0</v>
      </c>
      <c r="N939" t="n">
        <v>0</v>
      </c>
      <c r="O939" t="n">
        <v>0</v>
      </c>
      <c r="P939" t="n">
        <v>0</v>
      </c>
      <c r="Q939" t="n">
        <v>0</v>
      </c>
      <c r="R939" s="2" t="inlineStr"/>
    </row>
    <row r="940" ht="15" customHeight="1">
      <c r="A940" t="inlineStr">
        <is>
          <t>A 17726-2024</t>
        </is>
      </c>
      <c r="B940" s="1" t="n">
        <v>45418</v>
      </c>
      <c r="C940" s="1" t="n">
        <v>45828</v>
      </c>
      <c r="D940" t="inlineStr">
        <is>
          <t>DALARNAS LÄN</t>
        </is>
      </c>
      <c r="E940" t="inlineStr">
        <is>
          <t>LEKSAND</t>
        </is>
      </c>
      <c r="G940" t="n">
        <v>5.2</v>
      </c>
      <c r="H940" t="n">
        <v>0</v>
      </c>
      <c r="I940" t="n">
        <v>0</v>
      </c>
      <c r="J940" t="n">
        <v>0</v>
      </c>
      <c r="K940" t="n">
        <v>0</v>
      </c>
      <c r="L940" t="n">
        <v>0</v>
      </c>
      <c r="M940" t="n">
        <v>0</v>
      </c>
      <c r="N940" t="n">
        <v>0</v>
      </c>
      <c r="O940" t="n">
        <v>0</v>
      </c>
      <c r="P940" t="n">
        <v>0</v>
      </c>
      <c r="Q940" t="n">
        <v>0</v>
      </c>
      <c r="R940" s="2" t="inlineStr"/>
    </row>
    <row r="941" ht="15" customHeight="1">
      <c r="A941" t="inlineStr">
        <is>
          <t>A 17730-2024</t>
        </is>
      </c>
      <c r="B941" s="1" t="n">
        <v>45418</v>
      </c>
      <c r="C941" s="1" t="n">
        <v>45828</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17938-2024</t>
        </is>
      </c>
      <c r="B942" s="1" t="n">
        <v>45419</v>
      </c>
      <c r="C942" s="1" t="n">
        <v>45828</v>
      </c>
      <c r="D942" t="inlineStr">
        <is>
          <t>DALARNAS LÄN</t>
        </is>
      </c>
      <c r="E942" t="inlineStr">
        <is>
          <t>LEKSAND</t>
        </is>
      </c>
      <c r="G942" t="n">
        <v>3.8</v>
      </c>
      <c r="H942" t="n">
        <v>0</v>
      </c>
      <c r="I942" t="n">
        <v>0</v>
      </c>
      <c r="J942" t="n">
        <v>0</v>
      </c>
      <c r="K942" t="n">
        <v>0</v>
      </c>
      <c r="L942" t="n">
        <v>0</v>
      </c>
      <c r="M942" t="n">
        <v>0</v>
      </c>
      <c r="N942" t="n">
        <v>0</v>
      </c>
      <c r="O942" t="n">
        <v>0</v>
      </c>
      <c r="P942" t="n">
        <v>0</v>
      </c>
      <c r="Q942" t="n">
        <v>0</v>
      </c>
      <c r="R942" s="2" t="inlineStr"/>
    </row>
    <row r="943" ht="15" customHeight="1">
      <c r="A943" t="inlineStr">
        <is>
          <t>A 17944-2024</t>
        </is>
      </c>
      <c r="B943" s="1" t="n">
        <v>45419</v>
      </c>
      <c r="C943" s="1" t="n">
        <v>45828</v>
      </c>
      <c r="D943" t="inlineStr">
        <is>
          <t>DALARNAS LÄN</t>
        </is>
      </c>
      <c r="E943" t="inlineStr">
        <is>
          <t>LEKSAND</t>
        </is>
      </c>
      <c r="G943" t="n">
        <v>2.9</v>
      </c>
      <c r="H943" t="n">
        <v>0</v>
      </c>
      <c r="I943" t="n">
        <v>0</v>
      </c>
      <c r="J943" t="n">
        <v>0</v>
      </c>
      <c r="K943" t="n">
        <v>0</v>
      </c>
      <c r="L943" t="n">
        <v>0</v>
      </c>
      <c r="M943" t="n">
        <v>0</v>
      </c>
      <c r="N943" t="n">
        <v>0</v>
      </c>
      <c r="O943" t="n">
        <v>0</v>
      </c>
      <c r="P943" t="n">
        <v>0</v>
      </c>
      <c r="Q943" t="n">
        <v>0</v>
      </c>
      <c r="R943" s="2" t="inlineStr"/>
    </row>
    <row r="944" ht="15" customHeight="1">
      <c r="A944" t="inlineStr">
        <is>
          <t>A 18040-2024</t>
        </is>
      </c>
      <c r="B944" s="1" t="n">
        <v>45420</v>
      </c>
      <c r="C944" s="1" t="n">
        <v>45828</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18176-2024</t>
        </is>
      </c>
      <c r="B945" s="1" t="n">
        <v>45420</v>
      </c>
      <c r="C945" s="1" t="n">
        <v>45828</v>
      </c>
      <c r="D945" t="inlineStr">
        <is>
          <t>DALARNAS LÄN</t>
        </is>
      </c>
      <c r="E945" t="inlineStr">
        <is>
          <t>LEKSAND</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18484-2024</t>
        </is>
      </c>
      <c r="B946" s="1" t="n">
        <v>45425</v>
      </c>
      <c r="C946" s="1" t="n">
        <v>45828</v>
      </c>
      <c r="D946" t="inlineStr">
        <is>
          <t>DALARNAS LÄN</t>
        </is>
      </c>
      <c r="E946" t="inlineStr">
        <is>
          <t>LEKSAND</t>
        </is>
      </c>
      <c r="G946" t="n">
        <v>2</v>
      </c>
      <c r="H946" t="n">
        <v>0</v>
      </c>
      <c r="I946" t="n">
        <v>0</v>
      </c>
      <c r="J946" t="n">
        <v>0</v>
      </c>
      <c r="K946" t="n">
        <v>0</v>
      </c>
      <c r="L946" t="n">
        <v>0</v>
      </c>
      <c r="M946" t="n">
        <v>0</v>
      </c>
      <c r="N946" t="n">
        <v>0</v>
      </c>
      <c r="O946" t="n">
        <v>0</v>
      </c>
      <c r="P946" t="n">
        <v>0</v>
      </c>
      <c r="Q946" t="n">
        <v>0</v>
      </c>
      <c r="R946" s="2" t="inlineStr"/>
    </row>
    <row r="947" ht="15" customHeight="1">
      <c r="A947" t="inlineStr">
        <is>
          <t>A 18481-2024</t>
        </is>
      </c>
      <c r="B947" s="1" t="n">
        <v>45425</v>
      </c>
      <c r="C947" s="1" t="n">
        <v>45828</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18483-2024</t>
        </is>
      </c>
      <c r="B948" s="1" t="n">
        <v>45425</v>
      </c>
      <c r="C948" s="1" t="n">
        <v>45828</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18791-2024</t>
        </is>
      </c>
      <c r="B949" s="1" t="n">
        <v>45426</v>
      </c>
      <c r="C949" s="1" t="n">
        <v>45828</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19075-2024</t>
        </is>
      </c>
      <c r="B950" s="1" t="n">
        <v>45428</v>
      </c>
      <c r="C950" s="1" t="n">
        <v>45828</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18991-2024</t>
        </is>
      </c>
      <c r="B951" s="1" t="n">
        <v>45427</v>
      </c>
      <c r="C951" s="1" t="n">
        <v>45828</v>
      </c>
      <c r="D951" t="inlineStr">
        <is>
          <t>DALARNAS LÄN</t>
        </is>
      </c>
      <c r="E951" t="inlineStr">
        <is>
          <t>LEKSAND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19295-2024</t>
        </is>
      </c>
      <c r="B952" s="1" t="n">
        <v>45428</v>
      </c>
      <c r="C952" s="1" t="n">
        <v>45828</v>
      </c>
      <c r="D952" t="inlineStr">
        <is>
          <t>DALARNAS LÄN</t>
        </is>
      </c>
      <c r="E952" t="inlineStr">
        <is>
          <t>LEKSAND</t>
        </is>
      </c>
      <c r="G952" t="n">
        <v>1.6</v>
      </c>
      <c r="H952" t="n">
        <v>0</v>
      </c>
      <c r="I952" t="n">
        <v>0</v>
      </c>
      <c r="J952" t="n">
        <v>0</v>
      </c>
      <c r="K952" t="n">
        <v>0</v>
      </c>
      <c r="L952" t="n">
        <v>0</v>
      </c>
      <c r="M952" t="n">
        <v>0</v>
      </c>
      <c r="N952" t="n">
        <v>0</v>
      </c>
      <c r="O952" t="n">
        <v>0</v>
      </c>
      <c r="P952" t="n">
        <v>0</v>
      </c>
      <c r="Q952" t="n">
        <v>0</v>
      </c>
      <c r="R952" s="2" t="inlineStr"/>
    </row>
    <row r="953" ht="15" customHeight="1">
      <c r="A953" t="inlineStr">
        <is>
          <t>A 19296-2024</t>
        </is>
      </c>
      <c r="B953" s="1" t="n">
        <v>45428</v>
      </c>
      <c r="C953" s="1" t="n">
        <v>45828</v>
      </c>
      <c r="D953" t="inlineStr">
        <is>
          <t>DALARNAS LÄN</t>
        </is>
      </c>
      <c r="E953" t="inlineStr">
        <is>
          <t>LEKSAND</t>
        </is>
      </c>
      <c r="G953" t="n">
        <v>2.4</v>
      </c>
      <c r="H953" t="n">
        <v>0</v>
      </c>
      <c r="I953" t="n">
        <v>0</v>
      </c>
      <c r="J953" t="n">
        <v>0</v>
      </c>
      <c r="K953" t="n">
        <v>0</v>
      </c>
      <c r="L953" t="n">
        <v>0</v>
      </c>
      <c r="M953" t="n">
        <v>0</v>
      </c>
      <c r="N953" t="n">
        <v>0</v>
      </c>
      <c r="O953" t="n">
        <v>0</v>
      </c>
      <c r="P953" t="n">
        <v>0</v>
      </c>
      <c r="Q953" t="n">
        <v>0</v>
      </c>
      <c r="R953" s="2" t="inlineStr"/>
    </row>
    <row r="954" ht="15" customHeight="1">
      <c r="A954" t="inlineStr">
        <is>
          <t>A 19371-2024</t>
        </is>
      </c>
      <c r="B954" s="1" t="n">
        <v>45429</v>
      </c>
      <c r="C954" s="1" t="n">
        <v>45828</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19670-2024</t>
        </is>
      </c>
      <c r="B955" s="1" t="n">
        <v>45432</v>
      </c>
      <c r="C955" s="1" t="n">
        <v>45828</v>
      </c>
      <c r="D955" t="inlineStr">
        <is>
          <t>DALARNAS LÄN</t>
        </is>
      </c>
      <c r="E955" t="inlineStr">
        <is>
          <t>LEKSAND</t>
        </is>
      </c>
      <c r="G955" t="n">
        <v>2.2</v>
      </c>
      <c r="H955" t="n">
        <v>0</v>
      </c>
      <c r="I955" t="n">
        <v>0</v>
      </c>
      <c r="J955" t="n">
        <v>0</v>
      </c>
      <c r="K955" t="n">
        <v>0</v>
      </c>
      <c r="L955" t="n">
        <v>0</v>
      </c>
      <c r="M955" t="n">
        <v>0</v>
      </c>
      <c r="N955" t="n">
        <v>0</v>
      </c>
      <c r="O955" t="n">
        <v>0</v>
      </c>
      <c r="P955" t="n">
        <v>0</v>
      </c>
      <c r="Q955" t="n">
        <v>0</v>
      </c>
      <c r="R955" s="2" t="inlineStr"/>
    </row>
    <row r="956" ht="15" customHeight="1">
      <c r="A956" t="inlineStr">
        <is>
          <t>A 19738-2024</t>
        </is>
      </c>
      <c r="B956" s="1" t="n">
        <v>45432</v>
      </c>
      <c r="C956" s="1" t="n">
        <v>45828</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19741-2024</t>
        </is>
      </c>
      <c r="B957" s="1" t="n">
        <v>45432</v>
      </c>
      <c r="C957" s="1" t="n">
        <v>45828</v>
      </c>
      <c r="D957" t="inlineStr">
        <is>
          <t>DALARNAS LÄN</t>
        </is>
      </c>
      <c r="E957" t="inlineStr">
        <is>
          <t>LEKSAND</t>
        </is>
      </c>
      <c r="G957" t="n">
        <v>1.1</v>
      </c>
      <c r="H957" t="n">
        <v>0</v>
      </c>
      <c r="I957" t="n">
        <v>0</v>
      </c>
      <c r="J957" t="n">
        <v>0</v>
      </c>
      <c r="K957" t="n">
        <v>0</v>
      </c>
      <c r="L957" t="n">
        <v>0</v>
      </c>
      <c r="M957" t="n">
        <v>0</v>
      </c>
      <c r="N957" t="n">
        <v>0</v>
      </c>
      <c r="O957" t="n">
        <v>0</v>
      </c>
      <c r="P957" t="n">
        <v>0</v>
      </c>
      <c r="Q957" t="n">
        <v>0</v>
      </c>
      <c r="R957" s="2" t="inlineStr"/>
    </row>
    <row r="958" ht="15" customHeight="1">
      <c r="A958" t="inlineStr">
        <is>
          <t>A 19618-2024</t>
        </is>
      </c>
      <c r="B958" s="1" t="n">
        <v>45432</v>
      </c>
      <c r="C958" s="1" t="n">
        <v>45828</v>
      </c>
      <c r="D958" t="inlineStr">
        <is>
          <t>DALARNAS LÄN</t>
        </is>
      </c>
      <c r="E958" t="inlineStr">
        <is>
          <t>LEKSAND</t>
        </is>
      </c>
      <c r="G958" t="n">
        <v>1.5</v>
      </c>
      <c r="H958" t="n">
        <v>0</v>
      </c>
      <c r="I958" t="n">
        <v>0</v>
      </c>
      <c r="J958" t="n">
        <v>0</v>
      </c>
      <c r="K958" t="n">
        <v>0</v>
      </c>
      <c r="L958" t="n">
        <v>0</v>
      </c>
      <c r="M958" t="n">
        <v>0</v>
      </c>
      <c r="N958" t="n">
        <v>0</v>
      </c>
      <c r="O958" t="n">
        <v>0</v>
      </c>
      <c r="P958" t="n">
        <v>0</v>
      </c>
      <c r="Q958" t="n">
        <v>0</v>
      </c>
      <c r="R958" s="2" t="inlineStr"/>
    </row>
    <row r="959" ht="15" customHeight="1">
      <c r="A959" t="inlineStr">
        <is>
          <t>A 19622-2024</t>
        </is>
      </c>
      <c r="B959" s="1" t="n">
        <v>45432</v>
      </c>
      <c r="C959" s="1" t="n">
        <v>45828</v>
      </c>
      <c r="D959" t="inlineStr">
        <is>
          <t>DALARNAS LÄN</t>
        </is>
      </c>
      <c r="E959" t="inlineStr">
        <is>
          <t>LEKSAND</t>
        </is>
      </c>
      <c r="G959" t="n">
        <v>1.3</v>
      </c>
      <c r="H959" t="n">
        <v>0</v>
      </c>
      <c r="I959" t="n">
        <v>0</v>
      </c>
      <c r="J959" t="n">
        <v>0</v>
      </c>
      <c r="K959" t="n">
        <v>0</v>
      </c>
      <c r="L959" t="n">
        <v>0</v>
      </c>
      <c r="M959" t="n">
        <v>0</v>
      </c>
      <c r="N959" t="n">
        <v>0</v>
      </c>
      <c r="O959" t="n">
        <v>0</v>
      </c>
      <c r="P959" t="n">
        <v>0</v>
      </c>
      <c r="Q959" t="n">
        <v>0</v>
      </c>
      <c r="R959" s="2" t="inlineStr"/>
    </row>
    <row r="960" ht="15" customHeight="1">
      <c r="A960" t="inlineStr">
        <is>
          <t>A 19820-2024</t>
        </is>
      </c>
      <c r="B960" s="1" t="n">
        <v>45433</v>
      </c>
      <c r="C960" s="1" t="n">
        <v>45828</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19823-2024</t>
        </is>
      </c>
      <c r="B961" s="1" t="n">
        <v>45433</v>
      </c>
      <c r="C961" s="1" t="n">
        <v>45828</v>
      </c>
      <c r="D961" t="inlineStr">
        <is>
          <t>DALARNAS LÄN</t>
        </is>
      </c>
      <c r="E961" t="inlineStr">
        <is>
          <t>LEKSAND</t>
        </is>
      </c>
      <c r="G961" t="n">
        <v>0.3</v>
      </c>
      <c r="H961" t="n">
        <v>0</v>
      </c>
      <c r="I961" t="n">
        <v>0</v>
      </c>
      <c r="J961" t="n">
        <v>0</v>
      </c>
      <c r="K961" t="n">
        <v>0</v>
      </c>
      <c r="L961" t="n">
        <v>0</v>
      </c>
      <c r="M961" t="n">
        <v>0</v>
      </c>
      <c r="N961" t="n">
        <v>0</v>
      </c>
      <c r="O961" t="n">
        <v>0</v>
      </c>
      <c r="P961" t="n">
        <v>0</v>
      </c>
      <c r="Q961" t="n">
        <v>0</v>
      </c>
      <c r="R961" s="2" t="inlineStr"/>
    </row>
    <row r="962" ht="15" customHeight="1">
      <c r="A962" t="inlineStr">
        <is>
          <t>A 20110-2024</t>
        </is>
      </c>
      <c r="B962" s="1" t="n">
        <v>45434</v>
      </c>
      <c r="C962" s="1" t="n">
        <v>45828</v>
      </c>
      <c r="D962" t="inlineStr">
        <is>
          <t>DALARNAS LÄN</t>
        </is>
      </c>
      <c r="E962" t="inlineStr">
        <is>
          <t>LEKSAND</t>
        </is>
      </c>
      <c r="G962" t="n">
        <v>1.8</v>
      </c>
      <c r="H962" t="n">
        <v>0</v>
      </c>
      <c r="I962" t="n">
        <v>0</v>
      </c>
      <c r="J962" t="n">
        <v>0</v>
      </c>
      <c r="K962" t="n">
        <v>0</v>
      </c>
      <c r="L962" t="n">
        <v>0</v>
      </c>
      <c r="M962" t="n">
        <v>0</v>
      </c>
      <c r="N962" t="n">
        <v>0</v>
      </c>
      <c r="O962" t="n">
        <v>0</v>
      </c>
      <c r="P962" t="n">
        <v>0</v>
      </c>
      <c r="Q962" t="n">
        <v>0</v>
      </c>
      <c r="R962" s="2" t="inlineStr"/>
    </row>
    <row r="963" ht="15" customHeight="1">
      <c r="A963" t="inlineStr">
        <is>
          <t>A 20590-2024</t>
        </is>
      </c>
      <c r="B963" s="1" t="n">
        <v>45436</v>
      </c>
      <c r="C963" s="1" t="n">
        <v>45828</v>
      </c>
      <c r="D963" t="inlineStr">
        <is>
          <t>DALARNAS LÄN</t>
        </is>
      </c>
      <c r="E963" t="inlineStr">
        <is>
          <t>LEKSAND</t>
        </is>
      </c>
      <c r="G963" t="n">
        <v>0.9</v>
      </c>
      <c r="H963" t="n">
        <v>0</v>
      </c>
      <c r="I963" t="n">
        <v>0</v>
      </c>
      <c r="J963" t="n">
        <v>0</v>
      </c>
      <c r="K963" t="n">
        <v>0</v>
      </c>
      <c r="L963" t="n">
        <v>0</v>
      </c>
      <c r="M963" t="n">
        <v>0</v>
      </c>
      <c r="N963" t="n">
        <v>0</v>
      </c>
      <c r="O963" t="n">
        <v>0</v>
      </c>
      <c r="P963" t="n">
        <v>0</v>
      </c>
      <c r="Q963" t="n">
        <v>0</v>
      </c>
      <c r="R963" s="2" t="inlineStr"/>
    </row>
    <row r="964" ht="15" customHeight="1">
      <c r="A964" t="inlineStr">
        <is>
          <t>A 20588-2024</t>
        </is>
      </c>
      <c r="B964" s="1" t="n">
        <v>45436</v>
      </c>
      <c r="C964" s="1" t="n">
        <v>45828</v>
      </c>
      <c r="D964" t="inlineStr">
        <is>
          <t>DALARNAS LÄN</t>
        </is>
      </c>
      <c r="E964" t="inlineStr">
        <is>
          <t>LEKSAND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20718-2024</t>
        </is>
      </c>
      <c r="B965" s="1" t="n">
        <v>45436</v>
      </c>
      <c r="C965" s="1" t="n">
        <v>45828</v>
      </c>
      <c r="D965" t="inlineStr">
        <is>
          <t>DALARNAS LÄN</t>
        </is>
      </c>
      <c r="E965" t="inlineStr">
        <is>
          <t>LEKSAND</t>
        </is>
      </c>
      <c r="F965" t="inlineStr">
        <is>
          <t>Bergvik skog väst AB</t>
        </is>
      </c>
      <c r="G965" t="n">
        <v>4.7</v>
      </c>
      <c r="H965" t="n">
        <v>0</v>
      </c>
      <c r="I965" t="n">
        <v>0</v>
      </c>
      <c r="J965" t="n">
        <v>0</v>
      </c>
      <c r="K965" t="n">
        <v>0</v>
      </c>
      <c r="L965" t="n">
        <v>0</v>
      </c>
      <c r="M965" t="n">
        <v>0</v>
      </c>
      <c r="N965" t="n">
        <v>0</v>
      </c>
      <c r="O965" t="n">
        <v>0</v>
      </c>
      <c r="P965" t="n">
        <v>0</v>
      </c>
      <c r="Q965" t="n">
        <v>0</v>
      </c>
      <c r="R965" s="2" t="inlineStr"/>
    </row>
    <row r="966" ht="15" customHeight="1">
      <c r="A966" t="inlineStr">
        <is>
          <t>A 21017-2024</t>
        </is>
      </c>
      <c r="B966" s="1" t="n">
        <v>45439</v>
      </c>
      <c r="C966" s="1" t="n">
        <v>45828</v>
      </c>
      <c r="D966" t="inlineStr">
        <is>
          <t>DALARNAS LÄN</t>
        </is>
      </c>
      <c r="E966" t="inlineStr">
        <is>
          <t>LEKSAND</t>
        </is>
      </c>
      <c r="G966" t="n">
        <v>2.8</v>
      </c>
      <c r="H966" t="n">
        <v>0</v>
      </c>
      <c r="I966" t="n">
        <v>0</v>
      </c>
      <c r="J966" t="n">
        <v>0</v>
      </c>
      <c r="K966" t="n">
        <v>0</v>
      </c>
      <c r="L966" t="n">
        <v>0</v>
      </c>
      <c r="M966" t="n">
        <v>0</v>
      </c>
      <c r="N966" t="n">
        <v>0</v>
      </c>
      <c r="O966" t="n">
        <v>0</v>
      </c>
      <c r="P966" t="n">
        <v>0</v>
      </c>
      <c r="Q966" t="n">
        <v>0</v>
      </c>
      <c r="R966" s="2" t="inlineStr"/>
    </row>
    <row r="967" ht="15" customHeight="1">
      <c r="A967" t="inlineStr">
        <is>
          <t>A 21035-2024</t>
        </is>
      </c>
      <c r="B967" s="1" t="n">
        <v>45439</v>
      </c>
      <c r="C967" s="1" t="n">
        <v>45828</v>
      </c>
      <c r="D967" t="inlineStr">
        <is>
          <t>DALARNAS LÄN</t>
        </is>
      </c>
      <c r="E967" t="inlineStr">
        <is>
          <t>LEKSAND</t>
        </is>
      </c>
      <c r="G967" t="n">
        <v>11.6</v>
      </c>
      <c r="H967" t="n">
        <v>0</v>
      </c>
      <c r="I967" t="n">
        <v>0</v>
      </c>
      <c r="J967" t="n">
        <v>0</v>
      </c>
      <c r="K967" t="n">
        <v>0</v>
      </c>
      <c r="L967" t="n">
        <v>0</v>
      </c>
      <c r="M967" t="n">
        <v>0</v>
      </c>
      <c r="N967" t="n">
        <v>0</v>
      </c>
      <c r="O967" t="n">
        <v>0</v>
      </c>
      <c r="P967" t="n">
        <v>0</v>
      </c>
      <c r="Q967" t="n">
        <v>0</v>
      </c>
      <c r="R967" s="2" t="inlineStr"/>
    </row>
    <row r="968" ht="15" customHeight="1">
      <c r="A968" t="inlineStr">
        <is>
          <t>A 21556-2024</t>
        </is>
      </c>
      <c r="B968" s="1" t="n">
        <v>45441</v>
      </c>
      <c r="C968" s="1" t="n">
        <v>45828</v>
      </c>
      <c r="D968" t="inlineStr">
        <is>
          <t>DALARNAS LÄN</t>
        </is>
      </c>
      <c r="E968" t="inlineStr">
        <is>
          <t>LEKSAND</t>
        </is>
      </c>
      <c r="G968" t="n">
        <v>2.9</v>
      </c>
      <c r="H968" t="n">
        <v>0</v>
      </c>
      <c r="I968" t="n">
        <v>0</v>
      </c>
      <c r="J968" t="n">
        <v>0</v>
      </c>
      <c r="K968" t="n">
        <v>0</v>
      </c>
      <c r="L968" t="n">
        <v>0</v>
      </c>
      <c r="M968" t="n">
        <v>0</v>
      </c>
      <c r="N968" t="n">
        <v>0</v>
      </c>
      <c r="O968" t="n">
        <v>0</v>
      </c>
      <c r="P968" t="n">
        <v>0</v>
      </c>
      <c r="Q968" t="n">
        <v>0</v>
      </c>
      <c r="R968" s="2" t="inlineStr"/>
    </row>
    <row r="969" ht="15" customHeight="1">
      <c r="A969" t="inlineStr">
        <is>
          <t>A 21676-2024</t>
        </is>
      </c>
      <c r="B969" s="1" t="n">
        <v>45442</v>
      </c>
      <c r="C969" s="1" t="n">
        <v>45828</v>
      </c>
      <c r="D969" t="inlineStr">
        <is>
          <t>DALARNAS LÄN</t>
        </is>
      </c>
      <c r="E969" t="inlineStr">
        <is>
          <t>LEKSAND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22059-2024</t>
        </is>
      </c>
      <c r="B970" s="1" t="n">
        <v>45443</v>
      </c>
      <c r="C970" s="1" t="n">
        <v>45828</v>
      </c>
      <c r="D970" t="inlineStr">
        <is>
          <t>DALARNAS LÄN</t>
        </is>
      </c>
      <c r="E970" t="inlineStr">
        <is>
          <t>LEKSAND</t>
        </is>
      </c>
      <c r="G970" t="n">
        <v>13.4</v>
      </c>
      <c r="H970" t="n">
        <v>0</v>
      </c>
      <c r="I970" t="n">
        <v>0</v>
      </c>
      <c r="J970" t="n">
        <v>0</v>
      </c>
      <c r="K970" t="n">
        <v>0</v>
      </c>
      <c r="L970" t="n">
        <v>0</v>
      </c>
      <c r="M970" t="n">
        <v>0</v>
      </c>
      <c r="N970" t="n">
        <v>0</v>
      </c>
      <c r="O970" t="n">
        <v>0</v>
      </c>
      <c r="P970" t="n">
        <v>0</v>
      </c>
      <c r="Q970" t="n">
        <v>0</v>
      </c>
      <c r="R970" s="2" t="inlineStr"/>
    </row>
    <row r="971" ht="15" customHeight="1">
      <c r="A971" t="inlineStr">
        <is>
          <t>A 22354-2024</t>
        </is>
      </c>
      <c r="B971" s="1" t="n">
        <v>45446</v>
      </c>
      <c r="C971" s="1" t="n">
        <v>45828</v>
      </c>
      <c r="D971" t="inlineStr">
        <is>
          <t>DALARNAS LÄN</t>
        </is>
      </c>
      <c r="E971" t="inlineStr">
        <is>
          <t>LEKSAND</t>
        </is>
      </c>
      <c r="G971" t="n">
        <v>1</v>
      </c>
      <c r="H971" t="n">
        <v>0</v>
      </c>
      <c r="I971" t="n">
        <v>0</v>
      </c>
      <c r="J971" t="n">
        <v>0</v>
      </c>
      <c r="K971" t="n">
        <v>0</v>
      </c>
      <c r="L971" t="n">
        <v>0</v>
      </c>
      <c r="M971" t="n">
        <v>0</v>
      </c>
      <c r="N971" t="n">
        <v>0</v>
      </c>
      <c r="O971" t="n">
        <v>0</v>
      </c>
      <c r="P971" t="n">
        <v>0</v>
      </c>
      <c r="Q971" t="n">
        <v>0</v>
      </c>
      <c r="R971" s="2" t="inlineStr"/>
    </row>
    <row r="972" ht="15" customHeight="1">
      <c r="A972" t="inlineStr">
        <is>
          <t>A 22388-2024</t>
        </is>
      </c>
      <c r="B972" s="1" t="n">
        <v>45446</v>
      </c>
      <c r="C972" s="1" t="n">
        <v>45828</v>
      </c>
      <c r="D972" t="inlineStr">
        <is>
          <t>DALARNAS LÄN</t>
        </is>
      </c>
      <c r="E972" t="inlineStr">
        <is>
          <t>LEKSAND</t>
        </is>
      </c>
      <c r="F972" t="inlineStr">
        <is>
          <t>Bergvik skog väst AB</t>
        </is>
      </c>
      <c r="G972" t="n">
        <v>5.3</v>
      </c>
      <c r="H972" t="n">
        <v>0</v>
      </c>
      <c r="I972" t="n">
        <v>0</v>
      </c>
      <c r="J972" t="n">
        <v>0</v>
      </c>
      <c r="K972" t="n">
        <v>0</v>
      </c>
      <c r="L972" t="n">
        <v>0</v>
      </c>
      <c r="M972" t="n">
        <v>0</v>
      </c>
      <c r="N972" t="n">
        <v>0</v>
      </c>
      <c r="O972" t="n">
        <v>0</v>
      </c>
      <c r="P972" t="n">
        <v>0</v>
      </c>
      <c r="Q972" t="n">
        <v>0</v>
      </c>
      <c r="R972" s="2" t="inlineStr"/>
    </row>
    <row r="973" ht="15" customHeight="1">
      <c r="A973" t="inlineStr">
        <is>
          <t>A 22349-2024</t>
        </is>
      </c>
      <c r="B973" s="1" t="n">
        <v>45446</v>
      </c>
      <c r="C973" s="1" t="n">
        <v>45828</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22281-2024</t>
        </is>
      </c>
      <c r="B974" s="1" t="n">
        <v>45446</v>
      </c>
      <c r="C974" s="1" t="n">
        <v>45828</v>
      </c>
      <c r="D974" t="inlineStr">
        <is>
          <t>DALARNAS LÄN</t>
        </is>
      </c>
      <c r="E974" t="inlineStr">
        <is>
          <t>LEKSAND</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22612-2024</t>
        </is>
      </c>
      <c r="B975" s="1" t="n">
        <v>45447</v>
      </c>
      <c r="C975" s="1" t="n">
        <v>45828</v>
      </c>
      <c r="D975" t="inlineStr">
        <is>
          <t>DALARNAS LÄN</t>
        </is>
      </c>
      <c r="E975" t="inlineStr">
        <is>
          <t>LEKSAND</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22517-2024</t>
        </is>
      </c>
      <c r="B976" s="1" t="n">
        <v>45447</v>
      </c>
      <c r="C976" s="1" t="n">
        <v>45828</v>
      </c>
      <c r="D976" t="inlineStr">
        <is>
          <t>DALARNAS LÄN</t>
        </is>
      </c>
      <c r="E976" t="inlineStr">
        <is>
          <t>LEKSAND</t>
        </is>
      </c>
      <c r="G976" t="n">
        <v>0.4</v>
      </c>
      <c r="H976" t="n">
        <v>0</v>
      </c>
      <c r="I976" t="n">
        <v>0</v>
      </c>
      <c r="J976" t="n">
        <v>0</v>
      </c>
      <c r="K976" t="n">
        <v>0</v>
      </c>
      <c r="L976" t="n">
        <v>0</v>
      </c>
      <c r="M976" t="n">
        <v>0</v>
      </c>
      <c r="N976" t="n">
        <v>0</v>
      </c>
      <c r="O976" t="n">
        <v>0</v>
      </c>
      <c r="P976" t="n">
        <v>0</v>
      </c>
      <c r="Q976" t="n">
        <v>0</v>
      </c>
      <c r="R976" s="2" t="inlineStr"/>
    </row>
    <row r="977" ht="15" customHeight="1">
      <c r="A977" t="inlineStr">
        <is>
          <t>A 22686-2024</t>
        </is>
      </c>
      <c r="B977" s="1" t="n">
        <v>45448</v>
      </c>
      <c r="C977" s="1" t="n">
        <v>45828</v>
      </c>
      <c r="D977" t="inlineStr">
        <is>
          <t>DALARNAS LÄN</t>
        </is>
      </c>
      <c r="E977" t="inlineStr">
        <is>
          <t>LEKSAND</t>
        </is>
      </c>
      <c r="G977" t="n">
        <v>2.3</v>
      </c>
      <c r="H977" t="n">
        <v>0</v>
      </c>
      <c r="I977" t="n">
        <v>0</v>
      </c>
      <c r="J977" t="n">
        <v>0</v>
      </c>
      <c r="K977" t="n">
        <v>0</v>
      </c>
      <c r="L977" t="n">
        <v>0</v>
      </c>
      <c r="M977" t="n">
        <v>0</v>
      </c>
      <c r="N977" t="n">
        <v>0</v>
      </c>
      <c r="O977" t="n">
        <v>0</v>
      </c>
      <c r="P977" t="n">
        <v>0</v>
      </c>
      <c r="Q977" t="n">
        <v>0</v>
      </c>
      <c r="R977" s="2" t="inlineStr"/>
    </row>
    <row r="978" ht="15" customHeight="1">
      <c r="A978" t="inlineStr">
        <is>
          <t>A 22708-2024</t>
        </is>
      </c>
      <c r="B978" s="1" t="n">
        <v>45448</v>
      </c>
      <c r="C978" s="1" t="n">
        <v>45828</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23068-2024</t>
        </is>
      </c>
      <c r="B979" s="1" t="n">
        <v>45450</v>
      </c>
      <c r="C979" s="1" t="n">
        <v>45828</v>
      </c>
      <c r="D979" t="inlineStr">
        <is>
          <t>DALARNAS LÄN</t>
        </is>
      </c>
      <c r="E979" t="inlineStr">
        <is>
          <t>LEKSAND</t>
        </is>
      </c>
      <c r="G979" t="n">
        <v>2.4</v>
      </c>
      <c r="H979" t="n">
        <v>0</v>
      </c>
      <c r="I979" t="n">
        <v>0</v>
      </c>
      <c r="J979" t="n">
        <v>0</v>
      </c>
      <c r="K979" t="n">
        <v>0</v>
      </c>
      <c r="L979" t="n">
        <v>0</v>
      </c>
      <c r="M979" t="n">
        <v>0</v>
      </c>
      <c r="N979" t="n">
        <v>0</v>
      </c>
      <c r="O979" t="n">
        <v>0</v>
      </c>
      <c r="P979" t="n">
        <v>0</v>
      </c>
      <c r="Q979" t="n">
        <v>0</v>
      </c>
      <c r="R979" s="2" t="inlineStr"/>
    </row>
    <row r="980" ht="15" customHeight="1">
      <c r="A980" t="inlineStr">
        <is>
          <t>A 23283-2024</t>
        </is>
      </c>
      <c r="B980" s="1" t="n">
        <v>45453</v>
      </c>
      <c r="C980" s="1" t="n">
        <v>45828</v>
      </c>
      <c r="D980" t="inlineStr">
        <is>
          <t>DALARNAS LÄN</t>
        </is>
      </c>
      <c r="E980" t="inlineStr">
        <is>
          <t>LEKSAND</t>
        </is>
      </c>
      <c r="G980" t="n">
        <v>0.9</v>
      </c>
      <c r="H980" t="n">
        <v>0</v>
      </c>
      <c r="I980" t="n">
        <v>0</v>
      </c>
      <c r="J980" t="n">
        <v>0</v>
      </c>
      <c r="K980" t="n">
        <v>0</v>
      </c>
      <c r="L980" t="n">
        <v>0</v>
      </c>
      <c r="M980" t="n">
        <v>0</v>
      </c>
      <c r="N980" t="n">
        <v>0</v>
      </c>
      <c r="O980" t="n">
        <v>0</v>
      </c>
      <c r="P980" t="n">
        <v>0</v>
      </c>
      <c r="Q980" t="n">
        <v>0</v>
      </c>
      <c r="R980" s="2" t="inlineStr"/>
    </row>
    <row r="981" ht="15" customHeight="1">
      <c r="A981" t="inlineStr">
        <is>
          <t>A 23320-2024</t>
        </is>
      </c>
      <c r="B981" s="1" t="n">
        <v>45453</v>
      </c>
      <c r="C981" s="1" t="n">
        <v>45828</v>
      </c>
      <c r="D981" t="inlineStr">
        <is>
          <t>DALARNAS LÄN</t>
        </is>
      </c>
      <c r="E981" t="inlineStr">
        <is>
          <t>LEKSAND</t>
        </is>
      </c>
      <c r="G981" t="n">
        <v>4.6</v>
      </c>
      <c r="H981" t="n">
        <v>0</v>
      </c>
      <c r="I981" t="n">
        <v>0</v>
      </c>
      <c r="J981" t="n">
        <v>0</v>
      </c>
      <c r="K981" t="n">
        <v>0</v>
      </c>
      <c r="L981" t="n">
        <v>0</v>
      </c>
      <c r="M981" t="n">
        <v>0</v>
      </c>
      <c r="N981" t="n">
        <v>0</v>
      </c>
      <c r="O981" t="n">
        <v>0</v>
      </c>
      <c r="P981" t="n">
        <v>0</v>
      </c>
      <c r="Q981" t="n">
        <v>0</v>
      </c>
      <c r="R981" s="2" t="inlineStr"/>
    </row>
    <row r="982" ht="15" customHeight="1">
      <c r="A982" t="inlineStr">
        <is>
          <t>A 23391-2024</t>
        </is>
      </c>
      <c r="B982" s="1" t="n">
        <v>45453</v>
      </c>
      <c r="C982" s="1" t="n">
        <v>45828</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23395-2024</t>
        </is>
      </c>
      <c r="B983" s="1" t="n">
        <v>45453</v>
      </c>
      <c r="C983" s="1" t="n">
        <v>45828</v>
      </c>
      <c r="D983" t="inlineStr">
        <is>
          <t>DALARNAS LÄN</t>
        </is>
      </c>
      <c r="E983" t="inlineStr">
        <is>
          <t>LEKSAND</t>
        </is>
      </c>
      <c r="G983" t="n">
        <v>1.2</v>
      </c>
      <c r="H983" t="n">
        <v>0</v>
      </c>
      <c r="I983" t="n">
        <v>0</v>
      </c>
      <c r="J983" t="n">
        <v>0</v>
      </c>
      <c r="K983" t="n">
        <v>0</v>
      </c>
      <c r="L983" t="n">
        <v>0</v>
      </c>
      <c r="M983" t="n">
        <v>0</v>
      </c>
      <c r="N983" t="n">
        <v>0</v>
      </c>
      <c r="O983" t="n">
        <v>0</v>
      </c>
      <c r="P983" t="n">
        <v>0</v>
      </c>
      <c r="Q983" t="n">
        <v>0</v>
      </c>
      <c r="R983" s="2" t="inlineStr"/>
    </row>
    <row r="984" ht="15" customHeight="1">
      <c r="A984" t="inlineStr">
        <is>
          <t>A 23615-2024</t>
        </is>
      </c>
      <c r="B984" s="1" t="n">
        <v>45454</v>
      </c>
      <c r="C984" s="1" t="n">
        <v>45828</v>
      </c>
      <c r="D984" t="inlineStr">
        <is>
          <t>DALARNAS LÄN</t>
        </is>
      </c>
      <c r="E984" t="inlineStr">
        <is>
          <t>LEKSAND</t>
        </is>
      </c>
      <c r="G984" t="n">
        <v>1.7</v>
      </c>
      <c r="H984" t="n">
        <v>0</v>
      </c>
      <c r="I984" t="n">
        <v>0</v>
      </c>
      <c r="J984" t="n">
        <v>0</v>
      </c>
      <c r="K984" t="n">
        <v>0</v>
      </c>
      <c r="L984" t="n">
        <v>0</v>
      </c>
      <c r="M984" t="n">
        <v>0</v>
      </c>
      <c r="N984" t="n">
        <v>0</v>
      </c>
      <c r="O984" t="n">
        <v>0</v>
      </c>
      <c r="P984" t="n">
        <v>0</v>
      </c>
      <c r="Q984" t="n">
        <v>0</v>
      </c>
      <c r="R984" s="2" t="inlineStr"/>
    </row>
    <row r="985" ht="15" customHeight="1">
      <c r="A985" t="inlineStr">
        <is>
          <t>A 23663-2024</t>
        </is>
      </c>
      <c r="B985" s="1" t="n">
        <v>45454</v>
      </c>
      <c r="C985" s="1" t="n">
        <v>45828</v>
      </c>
      <c r="D985" t="inlineStr">
        <is>
          <t>DALARNAS LÄN</t>
        </is>
      </c>
      <c r="E985" t="inlineStr">
        <is>
          <t>LEKSAND</t>
        </is>
      </c>
      <c r="G985" t="n">
        <v>2.5</v>
      </c>
      <c r="H985" t="n">
        <v>0</v>
      </c>
      <c r="I985" t="n">
        <v>0</v>
      </c>
      <c r="J985" t="n">
        <v>0</v>
      </c>
      <c r="K985" t="n">
        <v>0</v>
      </c>
      <c r="L985" t="n">
        <v>0</v>
      </c>
      <c r="M985" t="n">
        <v>0</v>
      </c>
      <c r="N985" t="n">
        <v>0</v>
      </c>
      <c r="O985" t="n">
        <v>0</v>
      </c>
      <c r="P985" t="n">
        <v>0</v>
      </c>
      <c r="Q985" t="n">
        <v>0</v>
      </c>
      <c r="R985" s="2" t="inlineStr"/>
    </row>
    <row r="986" ht="15" customHeight="1">
      <c r="A986" t="inlineStr">
        <is>
          <t>A 23896-2024</t>
        </is>
      </c>
      <c r="B986" s="1" t="n">
        <v>45455</v>
      </c>
      <c r="C986" s="1" t="n">
        <v>45828</v>
      </c>
      <c r="D986" t="inlineStr">
        <is>
          <t>DALARNAS LÄN</t>
        </is>
      </c>
      <c r="E986" t="inlineStr">
        <is>
          <t>LEKSAND</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23743-2024</t>
        </is>
      </c>
      <c r="B987" s="1" t="n">
        <v>45455</v>
      </c>
      <c r="C987" s="1" t="n">
        <v>45828</v>
      </c>
      <c r="D987" t="inlineStr">
        <is>
          <t>DALARNAS LÄN</t>
        </is>
      </c>
      <c r="E987" t="inlineStr">
        <is>
          <t>LEKSAND</t>
        </is>
      </c>
      <c r="G987" t="n">
        <v>4.5</v>
      </c>
      <c r="H987" t="n">
        <v>0</v>
      </c>
      <c r="I987" t="n">
        <v>0</v>
      </c>
      <c r="J987" t="n">
        <v>0</v>
      </c>
      <c r="K987" t="n">
        <v>0</v>
      </c>
      <c r="L987" t="n">
        <v>0</v>
      </c>
      <c r="M987" t="n">
        <v>0</v>
      </c>
      <c r="N987" t="n">
        <v>0</v>
      </c>
      <c r="O987" t="n">
        <v>0</v>
      </c>
      <c r="P987" t="n">
        <v>0</v>
      </c>
      <c r="Q987" t="n">
        <v>0</v>
      </c>
      <c r="R987" s="2" t="inlineStr"/>
    </row>
    <row r="988" ht="15" customHeight="1">
      <c r="A988" t="inlineStr">
        <is>
          <t>A 23739-2024</t>
        </is>
      </c>
      <c r="B988" s="1" t="n">
        <v>45455</v>
      </c>
      <c r="C988" s="1" t="n">
        <v>45828</v>
      </c>
      <c r="D988" t="inlineStr">
        <is>
          <t>DALARNAS LÄN</t>
        </is>
      </c>
      <c r="E988" t="inlineStr">
        <is>
          <t>LEKSAND</t>
        </is>
      </c>
      <c r="G988" t="n">
        <v>0.6</v>
      </c>
      <c r="H988" t="n">
        <v>0</v>
      </c>
      <c r="I988" t="n">
        <v>0</v>
      </c>
      <c r="J988" t="n">
        <v>0</v>
      </c>
      <c r="K988" t="n">
        <v>0</v>
      </c>
      <c r="L988" t="n">
        <v>0</v>
      </c>
      <c r="M988" t="n">
        <v>0</v>
      </c>
      <c r="N988" t="n">
        <v>0</v>
      </c>
      <c r="O988" t="n">
        <v>0</v>
      </c>
      <c r="P988" t="n">
        <v>0</v>
      </c>
      <c r="Q988" t="n">
        <v>0</v>
      </c>
      <c r="R988" s="2" t="inlineStr"/>
    </row>
    <row r="989" ht="15" customHeight="1">
      <c r="A989" t="inlineStr">
        <is>
          <t>A 24003-2024</t>
        </is>
      </c>
      <c r="B989" s="1" t="n">
        <v>45456</v>
      </c>
      <c r="C989" s="1" t="n">
        <v>45828</v>
      </c>
      <c r="D989" t="inlineStr">
        <is>
          <t>DALARNAS LÄN</t>
        </is>
      </c>
      <c r="E989" t="inlineStr">
        <is>
          <t>LEKSAND</t>
        </is>
      </c>
      <c r="F989" t="inlineStr">
        <is>
          <t>Bergvik skog väst AB</t>
        </is>
      </c>
      <c r="G989" t="n">
        <v>3.2</v>
      </c>
      <c r="H989" t="n">
        <v>0</v>
      </c>
      <c r="I989" t="n">
        <v>0</v>
      </c>
      <c r="J989" t="n">
        <v>0</v>
      </c>
      <c r="K989" t="n">
        <v>0</v>
      </c>
      <c r="L989" t="n">
        <v>0</v>
      </c>
      <c r="M989" t="n">
        <v>0</v>
      </c>
      <c r="N989" t="n">
        <v>0</v>
      </c>
      <c r="O989" t="n">
        <v>0</v>
      </c>
      <c r="P989" t="n">
        <v>0</v>
      </c>
      <c r="Q989" t="n">
        <v>0</v>
      </c>
      <c r="R989" s="2" t="inlineStr"/>
    </row>
    <row r="990" ht="15" customHeight="1">
      <c r="A990" t="inlineStr">
        <is>
          <t>A 24005-2024</t>
        </is>
      </c>
      <c r="B990" s="1" t="n">
        <v>45456</v>
      </c>
      <c r="C990" s="1" t="n">
        <v>45828</v>
      </c>
      <c r="D990" t="inlineStr">
        <is>
          <t>DALARNAS LÄN</t>
        </is>
      </c>
      <c r="E990" t="inlineStr">
        <is>
          <t>LEKSAND</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24063-2024</t>
        </is>
      </c>
      <c r="B991" s="1" t="n">
        <v>45456</v>
      </c>
      <c r="C991" s="1" t="n">
        <v>45828</v>
      </c>
      <c r="D991" t="inlineStr">
        <is>
          <t>DALARNAS LÄN</t>
        </is>
      </c>
      <c r="E991" t="inlineStr">
        <is>
          <t>LEKSAND</t>
        </is>
      </c>
      <c r="F991" t="inlineStr">
        <is>
          <t>Bergvik skog väst AB</t>
        </is>
      </c>
      <c r="G991" t="n">
        <v>8.9</v>
      </c>
      <c r="H991" t="n">
        <v>0</v>
      </c>
      <c r="I991" t="n">
        <v>0</v>
      </c>
      <c r="J991" t="n">
        <v>0</v>
      </c>
      <c r="K991" t="n">
        <v>0</v>
      </c>
      <c r="L991" t="n">
        <v>0</v>
      </c>
      <c r="M991" t="n">
        <v>0</v>
      </c>
      <c r="N991" t="n">
        <v>0</v>
      </c>
      <c r="O991" t="n">
        <v>0</v>
      </c>
      <c r="P991" t="n">
        <v>0</v>
      </c>
      <c r="Q991" t="n">
        <v>0</v>
      </c>
      <c r="R991" s="2" t="inlineStr"/>
    </row>
    <row r="992" ht="15" customHeight="1">
      <c r="A992" t="inlineStr">
        <is>
          <t>A 24135-2024</t>
        </is>
      </c>
      <c r="B992" s="1" t="n">
        <v>45456</v>
      </c>
      <c r="C992" s="1" t="n">
        <v>45828</v>
      </c>
      <c r="D992" t="inlineStr">
        <is>
          <t>DALARNAS LÄN</t>
        </is>
      </c>
      <c r="E992" t="inlineStr">
        <is>
          <t>LEKSAND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24481-2024</t>
        </is>
      </c>
      <c r="B993" s="1" t="n">
        <v>45459</v>
      </c>
      <c r="C993" s="1" t="n">
        <v>45828</v>
      </c>
      <c r="D993" t="inlineStr">
        <is>
          <t>DALARNAS LÄN</t>
        </is>
      </c>
      <c r="E993" t="inlineStr">
        <is>
          <t>LEKSAND</t>
        </is>
      </c>
      <c r="G993" t="n">
        <v>1</v>
      </c>
      <c r="H993" t="n">
        <v>0</v>
      </c>
      <c r="I993" t="n">
        <v>0</v>
      </c>
      <c r="J993" t="n">
        <v>0</v>
      </c>
      <c r="K993" t="n">
        <v>0</v>
      </c>
      <c r="L993" t="n">
        <v>0</v>
      </c>
      <c r="M993" t="n">
        <v>0</v>
      </c>
      <c r="N993" t="n">
        <v>0</v>
      </c>
      <c r="O993" t="n">
        <v>0</v>
      </c>
      <c r="P993" t="n">
        <v>0</v>
      </c>
      <c r="Q993" t="n">
        <v>0</v>
      </c>
      <c r="R993" s="2" t="inlineStr"/>
    </row>
    <row r="994" ht="15" customHeight="1">
      <c r="A994" t="inlineStr">
        <is>
          <t>A 24830-2024</t>
        </is>
      </c>
      <c r="B994" s="1" t="n">
        <v>45461</v>
      </c>
      <c r="C994" s="1" t="n">
        <v>45828</v>
      </c>
      <c r="D994" t="inlineStr">
        <is>
          <t>DALARNAS LÄN</t>
        </is>
      </c>
      <c r="E994" t="inlineStr">
        <is>
          <t>LEKSAND</t>
        </is>
      </c>
      <c r="G994" t="n">
        <v>2.2</v>
      </c>
      <c r="H994" t="n">
        <v>0</v>
      </c>
      <c r="I994" t="n">
        <v>0</v>
      </c>
      <c r="J994" t="n">
        <v>0</v>
      </c>
      <c r="K994" t="n">
        <v>0</v>
      </c>
      <c r="L994" t="n">
        <v>0</v>
      </c>
      <c r="M994" t="n">
        <v>0</v>
      </c>
      <c r="N994" t="n">
        <v>0</v>
      </c>
      <c r="O994" t="n">
        <v>0</v>
      </c>
      <c r="P994" t="n">
        <v>0</v>
      </c>
      <c r="Q994" t="n">
        <v>0</v>
      </c>
      <c r="R994" s="2" t="inlineStr"/>
    </row>
    <row r="995" ht="15" customHeight="1">
      <c r="A995" t="inlineStr">
        <is>
          <t>A 24837-2024</t>
        </is>
      </c>
      <c r="B995" s="1" t="n">
        <v>45461</v>
      </c>
      <c r="C995" s="1" t="n">
        <v>45828</v>
      </c>
      <c r="D995" t="inlineStr">
        <is>
          <t>DALARNAS LÄN</t>
        </is>
      </c>
      <c r="E995" t="inlineStr">
        <is>
          <t>LEKSAND</t>
        </is>
      </c>
      <c r="G995" t="n">
        <v>1.5</v>
      </c>
      <c r="H995" t="n">
        <v>0</v>
      </c>
      <c r="I995" t="n">
        <v>0</v>
      </c>
      <c r="J995" t="n">
        <v>0</v>
      </c>
      <c r="K995" t="n">
        <v>0</v>
      </c>
      <c r="L995" t="n">
        <v>0</v>
      </c>
      <c r="M995" t="n">
        <v>0</v>
      </c>
      <c r="N995" t="n">
        <v>0</v>
      </c>
      <c r="O995" t="n">
        <v>0</v>
      </c>
      <c r="P995" t="n">
        <v>0</v>
      </c>
      <c r="Q995" t="n">
        <v>0</v>
      </c>
      <c r="R995" s="2" t="inlineStr"/>
    </row>
    <row r="996" ht="15" customHeight="1">
      <c r="A996" t="inlineStr">
        <is>
          <t>A 24917-2024</t>
        </is>
      </c>
      <c r="B996" s="1" t="n">
        <v>45461</v>
      </c>
      <c r="C996" s="1" t="n">
        <v>45828</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24919-2024</t>
        </is>
      </c>
      <c r="B997" s="1" t="n">
        <v>45461</v>
      </c>
      <c r="C997" s="1" t="n">
        <v>45828</v>
      </c>
      <c r="D997" t="inlineStr">
        <is>
          <t>DALARNAS LÄN</t>
        </is>
      </c>
      <c r="E997" t="inlineStr">
        <is>
          <t>LEKSAND</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25253-2024</t>
        </is>
      </c>
      <c r="B998" s="1" t="n">
        <v>45462</v>
      </c>
      <c r="C998" s="1" t="n">
        <v>45828</v>
      </c>
      <c r="D998" t="inlineStr">
        <is>
          <t>DALARNAS LÄN</t>
        </is>
      </c>
      <c r="E998" t="inlineStr">
        <is>
          <t>LEKSAND</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25249-2024</t>
        </is>
      </c>
      <c r="B999" s="1" t="n">
        <v>45462</v>
      </c>
      <c r="C999" s="1" t="n">
        <v>45828</v>
      </c>
      <c r="D999" t="inlineStr">
        <is>
          <t>DALARNAS LÄN</t>
        </is>
      </c>
      <c r="E999" t="inlineStr">
        <is>
          <t>LEKSAND</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25105-2024</t>
        </is>
      </c>
      <c r="B1000" s="1" t="n">
        <v>45462</v>
      </c>
      <c r="C1000" s="1" t="n">
        <v>45828</v>
      </c>
      <c r="D1000" t="inlineStr">
        <is>
          <t>DALARNAS LÄN</t>
        </is>
      </c>
      <c r="E1000" t="inlineStr">
        <is>
          <t>LEKSAND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25047-2024</t>
        </is>
      </c>
      <c r="B1001" s="1" t="n">
        <v>45462</v>
      </c>
      <c r="C1001" s="1" t="n">
        <v>45828</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25048-2024</t>
        </is>
      </c>
      <c r="B1002" s="1" t="n">
        <v>45462</v>
      </c>
      <c r="C1002" s="1" t="n">
        <v>45828</v>
      </c>
      <c r="D1002" t="inlineStr">
        <is>
          <t>DALARNAS LÄN</t>
        </is>
      </c>
      <c r="E1002" t="inlineStr">
        <is>
          <t>LEKSAND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25251-2024</t>
        </is>
      </c>
      <c r="B1003" s="1" t="n">
        <v>45462</v>
      </c>
      <c r="C1003" s="1" t="n">
        <v>45828</v>
      </c>
      <c r="D1003" t="inlineStr">
        <is>
          <t>DALARNAS LÄN</t>
        </is>
      </c>
      <c r="E1003" t="inlineStr">
        <is>
          <t>LEKSAND</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25109-2024</t>
        </is>
      </c>
      <c r="B1004" s="1" t="n">
        <v>45462</v>
      </c>
      <c r="C1004" s="1" t="n">
        <v>45828</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25042-2024</t>
        </is>
      </c>
      <c r="B1005" s="1" t="n">
        <v>45462</v>
      </c>
      <c r="C1005" s="1" t="n">
        <v>45828</v>
      </c>
      <c r="D1005" t="inlineStr">
        <is>
          <t>DALARNAS LÄN</t>
        </is>
      </c>
      <c r="E1005" t="inlineStr">
        <is>
          <t>LEKSAND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25921-2024</t>
        </is>
      </c>
      <c r="B1006" s="1" t="n">
        <v>45467</v>
      </c>
      <c r="C1006" s="1" t="n">
        <v>45828</v>
      </c>
      <c r="D1006" t="inlineStr">
        <is>
          <t>DALARNAS LÄN</t>
        </is>
      </c>
      <c r="E1006" t="inlineStr">
        <is>
          <t>LEKSAND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26062-2024</t>
        </is>
      </c>
      <c r="B1007" s="1" t="n">
        <v>45468</v>
      </c>
      <c r="C1007" s="1" t="n">
        <v>45828</v>
      </c>
      <c r="D1007" t="inlineStr">
        <is>
          <t>DALARNAS LÄN</t>
        </is>
      </c>
      <c r="E1007" t="inlineStr">
        <is>
          <t>LEKSAND</t>
        </is>
      </c>
      <c r="F1007" t="inlineStr">
        <is>
          <t>Övriga statliga verk och myndigheter</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26680-2024</t>
        </is>
      </c>
      <c r="B1008" s="1" t="n">
        <v>45470</v>
      </c>
      <c r="C1008" s="1" t="n">
        <v>45828</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27446-2024</t>
        </is>
      </c>
      <c r="B1009" s="1" t="n">
        <v>45474</v>
      </c>
      <c r="C1009" s="1" t="n">
        <v>45828</v>
      </c>
      <c r="D1009" t="inlineStr">
        <is>
          <t>DALARNAS LÄN</t>
        </is>
      </c>
      <c r="E1009" t="inlineStr">
        <is>
          <t>LEKSAND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27445-2024</t>
        </is>
      </c>
      <c r="B1010" s="1" t="n">
        <v>45474</v>
      </c>
      <c r="C1010" s="1" t="n">
        <v>45828</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28032-2024</t>
        </is>
      </c>
      <c r="B1011" s="1" t="n">
        <v>45476</v>
      </c>
      <c r="C1011" s="1" t="n">
        <v>45828</v>
      </c>
      <c r="D1011" t="inlineStr">
        <is>
          <t>DALARNAS LÄN</t>
        </is>
      </c>
      <c r="E1011" t="inlineStr">
        <is>
          <t>LEKSAND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28366-2024</t>
        </is>
      </c>
      <c r="B1012" s="1" t="n">
        <v>45477</v>
      </c>
      <c r="C1012" s="1" t="n">
        <v>45828</v>
      </c>
      <c r="D1012" t="inlineStr">
        <is>
          <t>DALARNAS LÄN</t>
        </is>
      </c>
      <c r="E1012" t="inlineStr">
        <is>
          <t>LEKSAND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28674-2024</t>
        </is>
      </c>
      <c r="B1013" s="1" t="n">
        <v>45478</v>
      </c>
      <c r="C1013" s="1" t="n">
        <v>45828</v>
      </c>
      <c r="D1013" t="inlineStr">
        <is>
          <t>DALARNAS LÄN</t>
        </is>
      </c>
      <c r="E1013" t="inlineStr">
        <is>
          <t>LEKSAND</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28920-2024</t>
        </is>
      </c>
      <c r="B1014" s="1" t="n">
        <v>45480</v>
      </c>
      <c r="C1014" s="1" t="n">
        <v>45828</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28913-2024</t>
        </is>
      </c>
      <c r="B1015" s="1" t="n">
        <v>45480</v>
      </c>
      <c r="C1015" s="1" t="n">
        <v>45828</v>
      </c>
      <c r="D1015" t="inlineStr">
        <is>
          <t>DALARNAS LÄN</t>
        </is>
      </c>
      <c r="E1015" t="inlineStr">
        <is>
          <t>LEKSAND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28985-2024</t>
        </is>
      </c>
      <c r="B1016" s="1" t="n">
        <v>45481</v>
      </c>
      <c r="C1016" s="1" t="n">
        <v>45828</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29149-2024</t>
        </is>
      </c>
      <c r="B1017" s="1" t="n">
        <v>45482</v>
      </c>
      <c r="C1017" s="1" t="n">
        <v>45828</v>
      </c>
      <c r="D1017" t="inlineStr">
        <is>
          <t>DALARNAS LÄN</t>
        </is>
      </c>
      <c r="E1017" t="inlineStr">
        <is>
          <t>LEKSAND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29512-2024</t>
        </is>
      </c>
      <c r="B1018" s="1" t="n">
        <v>45484</v>
      </c>
      <c r="C1018" s="1" t="n">
        <v>45828</v>
      </c>
      <c r="D1018" t="inlineStr">
        <is>
          <t>DALARNAS LÄN</t>
        </is>
      </c>
      <c r="E1018" t="inlineStr">
        <is>
          <t>LEKSAND</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29518-2024</t>
        </is>
      </c>
      <c r="B1019" s="1" t="n">
        <v>45484</v>
      </c>
      <c r="C1019" s="1" t="n">
        <v>45828</v>
      </c>
      <c r="D1019" t="inlineStr">
        <is>
          <t>DALARNAS LÄN</t>
        </is>
      </c>
      <c r="E1019" t="inlineStr">
        <is>
          <t>LEKSAND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30204-2024</t>
        </is>
      </c>
      <c r="B1020" s="1" t="n">
        <v>45490</v>
      </c>
      <c r="C1020" s="1" t="n">
        <v>45828</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30201-2024</t>
        </is>
      </c>
      <c r="B1021" s="1" t="n">
        <v>45490</v>
      </c>
      <c r="C1021" s="1" t="n">
        <v>45828</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30198-2024</t>
        </is>
      </c>
      <c r="B1022" s="1" t="n">
        <v>45490</v>
      </c>
      <c r="C1022" s="1" t="n">
        <v>45828</v>
      </c>
      <c r="D1022" t="inlineStr">
        <is>
          <t>DALARNAS LÄN</t>
        </is>
      </c>
      <c r="E1022" t="inlineStr">
        <is>
          <t>LEKSAND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30670-2024</t>
        </is>
      </c>
      <c r="B1023" s="1" t="n">
        <v>45495</v>
      </c>
      <c r="C1023" s="1" t="n">
        <v>45828</v>
      </c>
      <c r="D1023" t="inlineStr">
        <is>
          <t>DALARNAS LÄN</t>
        </is>
      </c>
      <c r="E1023" t="inlineStr">
        <is>
          <t>LEKSAND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30864-2024</t>
        </is>
      </c>
      <c r="B1024" s="1" t="n">
        <v>45497</v>
      </c>
      <c r="C1024" s="1" t="n">
        <v>45828</v>
      </c>
      <c r="D1024" t="inlineStr">
        <is>
          <t>DALARNAS LÄN</t>
        </is>
      </c>
      <c r="E1024" t="inlineStr">
        <is>
          <t>LEKSAND</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30860-2024</t>
        </is>
      </c>
      <c r="B1025" s="1" t="n">
        <v>45497</v>
      </c>
      <c r="C1025" s="1" t="n">
        <v>45828</v>
      </c>
      <c r="D1025" t="inlineStr">
        <is>
          <t>DALARNAS LÄN</t>
        </is>
      </c>
      <c r="E1025" t="inlineStr">
        <is>
          <t>LEKSAND</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30858-2024</t>
        </is>
      </c>
      <c r="B1026" s="1" t="n">
        <v>45497</v>
      </c>
      <c r="C1026" s="1" t="n">
        <v>45828</v>
      </c>
      <c r="D1026" t="inlineStr">
        <is>
          <t>DALARNAS LÄN</t>
        </is>
      </c>
      <c r="E1026" t="inlineStr">
        <is>
          <t>LEKSAND</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30863-2024</t>
        </is>
      </c>
      <c r="B1027" s="1" t="n">
        <v>45497</v>
      </c>
      <c r="C1027" s="1" t="n">
        <v>45828</v>
      </c>
      <c r="D1027" t="inlineStr">
        <is>
          <t>DALARNAS LÄN</t>
        </is>
      </c>
      <c r="E1027" t="inlineStr">
        <is>
          <t>LEKSAND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31019-2024</t>
        </is>
      </c>
      <c r="B1028" s="1" t="n">
        <v>45499</v>
      </c>
      <c r="C1028" s="1" t="n">
        <v>45828</v>
      </c>
      <c r="D1028" t="inlineStr">
        <is>
          <t>DALARNAS LÄN</t>
        </is>
      </c>
      <c r="E1028" t="inlineStr">
        <is>
          <t>LEKSAND</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31123-2024</t>
        </is>
      </c>
      <c r="B1029" s="1" t="n">
        <v>45502</v>
      </c>
      <c r="C1029" s="1" t="n">
        <v>45828</v>
      </c>
      <c r="D1029" t="inlineStr">
        <is>
          <t>DALARNAS LÄN</t>
        </is>
      </c>
      <c r="E1029" t="inlineStr">
        <is>
          <t>LEKSAND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31292-2024</t>
        </is>
      </c>
      <c r="B1030" s="1" t="n">
        <v>45504</v>
      </c>
      <c r="C1030" s="1" t="n">
        <v>45828</v>
      </c>
      <c r="D1030" t="inlineStr">
        <is>
          <t>DALARNAS LÄN</t>
        </is>
      </c>
      <c r="E1030" t="inlineStr">
        <is>
          <t>LEKSAND</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31391-2024</t>
        </is>
      </c>
      <c r="B1031" s="1" t="n">
        <v>45505</v>
      </c>
      <c r="C1031" s="1" t="n">
        <v>45828</v>
      </c>
      <c r="D1031" t="inlineStr">
        <is>
          <t>DALARNAS LÄN</t>
        </is>
      </c>
      <c r="E1031" t="inlineStr">
        <is>
          <t>LEKSAND</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31726-2024</t>
        </is>
      </c>
      <c r="B1032" s="1" t="n">
        <v>45509</v>
      </c>
      <c r="C1032" s="1" t="n">
        <v>45828</v>
      </c>
      <c r="D1032" t="inlineStr">
        <is>
          <t>DALARNAS LÄN</t>
        </is>
      </c>
      <c r="E1032" t="inlineStr">
        <is>
          <t>LEKSAND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31789-2024</t>
        </is>
      </c>
      <c r="B1033" s="1" t="n">
        <v>45509</v>
      </c>
      <c r="C1033" s="1" t="n">
        <v>45828</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31728-2024</t>
        </is>
      </c>
      <c r="B1034" s="1" t="n">
        <v>45509</v>
      </c>
      <c r="C1034" s="1" t="n">
        <v>45828</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31720-2024</t>
        </is>
      </c>
      <c r="B1035" s="1" t="n">
        <v>45509</v>
      </c>
      <c r="C1035" s="1" t="n">
        <v>45828</v>
      </c>
      <c r="D1035" t="inlineStr">
        <is>
          <t>DALARNAS LÄN</t>
        </is>
      </c>
      <c r="E1035" t="inlineStr">
        <is>
          <t>LEKSAND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31850-2024</t>
        </is>
      </c>
      <c r="B1036" s="1" t="n">
        <v>45509</v>
      </c>
      <c r="C1036" s="1" t="n">
        <v>45828</v>
      </c>
      <c r="D1036" t="inlineStr">
        <is>
          <t>DALARNAS LÄN</t>
        </is>
      </c>
      <c r="E1036" t="inlineStr">
        <is>
          <t>LEKSAND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32072-2024</t>
        </is>
      </c>
      <c r="B1037" s="1" t="n">
        <v>45511</v>
      </c>
      <c r="C1037" s="1" t="n">
        <v>45828</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31918-2024</t>
        </is>
      </c>
      <c r="B1038" s="1" t="n">
        <v>45510</v>
      </c>
      <c r="C1038" s="1" t="n">
        <v>45828</v>
      </c>
      <c r="D1038" t="inlineStr">
        <is>
          <t>DALARNAS LÄN</t>
        </is>
      </c>
      <c r="E1038" t="inlineStr">
        <is>
          <t>LEKSAND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32073-2024</t>
        </is>
      </c>
      <c r="B1039" s="1" t="n">
        <v>45511</v>
      </c>
      <c r="C1039" s="1" t="n">
        <v>45828</v>
      </c>
      <c r="D1039" t="inlineStr">
        <is>
          <t>DALARNAS LÄN</t>
        </is>
      </c>
      <c r="E1039" t="inlineStr">
        <is>
          <t>LEKSAND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32074-2024</t>
        </is>
      </c>
      <c r="B1040" s="1" t="n">
        <v>45511</v>
      </c>
      <c r="C1040" s="1" t="n">
        <v>45828</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31915-2024</t>
        </is>
      </c>
      <c r="B1041" s="1" t="n">
        <v>45510</v>
      </c>
      <c r="C1041" s="1" t="n">
        <v>45828</v>
      </c>
      <c r="D1041" t="inlineStr">
        <is>
          <t>DALARNAS LÄN</t>
        </is>
      </c>
      <c r="E1041" t="inlineStr">
        <is>
          <t>LEKSAND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31971-2024</t>
        </is>
      </c>
      <c r="B1042" s="1" t="n">
        <v>45510</v>
      </c>
      <c r="C1042" s="1" t="n">
        <v>45828</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32394-2024</t>
        </is>
      </c>
      <c r="B1043" s="1" t="n">
        <v>45512</v>
      </c>
      <c r="C1043" s="1" t="n">
        <v>45828</v>
      </c>
      <c r="D1043" t="inlineStr">
        <is>
          <t>DALARNAS LÄN</t>
        </is>
      </c>
      <c r="E1043" t="inlineStr">
        <is>
          <t>LEKSAND</t>
        </is>
      </c>
      <c r="F1043" t="inlineStr">
        <is>
          <t>Bergvik skog väst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32494-2024</t>
        </is>
      </c>
      <c r="B1044" s="1" t="n">
        <v>45513</v>
      </c>
      <c r="C1044" s="1" t="n">
        <v>45828</v>
      </c>
      <c r="D1044" t="inlineStr">
        <is>
          <t>DALARNAS LÄN</t>
        </is>
      </c>
      <c r="E1044" t="inlineStr">
        <is>
          <t>LEKSAND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32689-2024</t>
        </is>
      </c>
      <c r="B1045" s="1" t="n">
        <v>45515</v>
      </c>
      <c r="C1045" s="1" t="n">
        <v>45828</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32688-2024</t>
        </is>
      </c>
      <c r="B1046" s="1" t="n">
        <v>45515</v>
      </c>
      <c r="C1046" s="1" t="n">
        <v>45828</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33182-2024</t>
        </is>
      </c>
      <c r="B1047" s="1" t="n">
        <v>45518</v>
      </c>
      <c r="C1047" s="1" t="n">
        <v>45828</v>
      </c>
      <c r="D1047" t="inlineStr">
        <is>
          <t>DALARNAS LÄN</t>
        </is>
      </c>
      <c r="E1047" t="inlineStr">
        <is>
          <t>LEKSAND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33138-2024</t>
        </is>
      </c>
      <c r="B1048" s="1" t="n">
        <v>45518</v>
      </c>
      <c r="C1048" s="1" t="n">
        <v>45828</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33180-2024</t>
        </is>
      </c>
      <c r="B1049" s="1" t="n">
        <v>45518</v>
      </c>
      <c r="C1049" s="1" t="n">
        <v>45828</v>
      </c>
      <c r="D1049" t="inlineStr">
        <is>
          <t>DALARNAS LÄN</t>
        </is>
      </c>
      <c r="E1049" t="inlineStr">
        <is>
          <t>LEKSAND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33147-2024</t>
        </is>
      </c>
      <c r="B1050" s="1" t="n">
        <v>45518</v>
      </c>
      <c r="C1050" s="1" t="n">
        <v>45828</v>
      </c>
      <c r="D1050" t="inlineStr">
        <is>
          <t>DALARNAS LÄN</t>
        </is>
      </c>
      <c r="E1050" t="inlineStr">
        <is>
          <t>LEKSAND</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33143-2024</t>
        </is>
      </c>
      <c r="B1051" s="1" t="n">
        <v>45518</v>
      </c>
      <c r="C1051" s="1" t="n">
        <v>45828</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33357-2024</t>
        </is>
      </c>
      <c r="B1052" s="1" t="n">
        <v>45519</v>
      </c>
      <c r="C1052" s="1" t="n">
        <v>45828</v>
      </c>
      <c r="D1052" t="inlineStr">
        <is>
          <t>DALARNAS LÄN</t>
        </is>
      </c>
      <c r="E1052" t="inlineStr">
        <is>
          <t>LEKSAND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33594-2024</t>
        </is>
      </c>
      <c r="B1053" s="1" t="n">
        <v>45520</v>
      </c>
      <c r="C1053" s="1" t="n">
        <v>45828</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33624-2024</t>
        </is>
      </c>
      <c r="B1054" s="1" t="n">
        <v>45520</v>
      </c>
      <c r="C1054" s="1" t="n">
        <v>45828</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33593-2024</t>
        </is>
      </c>
      <c r="B1055" s="1" t="n">
        <v>45520</v>
      </c>
      <c r="C1055" s="1" t="n">
        <v>45828</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33695-2024</t>
        </is>
      </c>
      <c r="B1056" s="1" t="n">
        <v>45520</v>
      </c>
      <c r="C1056" s="1" t="n">
        <v>45828</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33709-2024</t>
        </is>
      </c>
      <c r="B1057" s="1" t="n">
        <v>45520</v>
      </c>
      <c r="C1057" s="1" t="n">
        <v>45828</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33712-2024</t>
        </is>
      </c>
      <c r="B1058" s="1" t="n">
        <v>45520</v>
      </c>
      <c r="C1058" s="1" t="n">
        <v>45828</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33702-2024</t>
        </is>
      </c>
      <c r="B1059" s="1" t="n">
        <v>45520</v>
      </c>
      <c r="C1059" s="1" t="n">
        <v>45828</v>
      </c>
      <c r="D1059" t="inlineStr">
        <is>
          <t>DALARNAS LÄN</t>
        </is>
      </c>
      <c r="E1059" t="inlineStr">
        <is>
          <t>LEKSAND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33884-2024</t>
        </is>
      </c>
      <c r="B1060" s="1" t="n">
        <v>45522</v>
      </c>
      <c r="C1060" s="1" t="n">
        <v>45828</v>
      </c>
      <c r="D1060" t="inlineStr">
        <is>
          <t>DALARNAS LÄN</t>
        </is>
      </c>
      <c r="E1060" t="inlineStr">
        <is>
          <t>LEKSAND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33900-2024</t>
        </is>
      </c>
      <c r="B1061" s="1" t="n">
        <v>45523</v>
      </c>
      <c r="C1061" s="1" t="n">
        <v>45828</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33957-2024</t>
        </is>
      </c>
      <c r="B1062" s="1" t="n">
        <v>45523</v>
      </c>
      <c r="C1062" s="1" t="n">
        <v>45828</v>
      </c>
      <c r="D1062" t="inlineStr">
        <is>
          <t>DALARNAS LÄN</t>
        </is>
      </c>
      <c r="E1062" t="inlineStr">
        <is>
          <t>LEKSAND</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34038-2024</t>
        </is>
      </c>
      <c r="B1063" s="1" t="n">
        <v>45523</v>
      </c>
      <c r="C1063" s="1" t="n">
        <v>45828</v>
      </c>
      <c r="D1063" t="inlineStr">
        <is>
          <t>DALARNAS LÄN</t>
        </is>
      </c>
      <c r="E1063" t="inlineStr">
        <is>
          <t>LEKSAND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34039-2024</t>
        </is>
      </c>
      <c r="B1064" s="1" t="n">
        <v>45523</v>
      </c>
      <c r="C1064" s="1" t="n">
        <v>45828</v>
      </c>
      <c r="D1064" t="inlineStr">
        <is>
          <t>DALARNAS LÄN</t>
        </is>
      </c>
      <c r="E1064" t="inlineStr">
        <is>
          <t>LEKSAND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34033-2024</t>
        </is>
      </c>
      <c r="B1065" s="1" t="n">
        <v>45523</v>
      </c>
      <c r="C1065" s="1" t="n">
        <v>45828</v>
      </c>
      <c r="D1065" t="inlineStr">
        <is>
          <t>DALARNAS LÄN</t>
        </is>
      </c>
      <c r="E1065" t="inlineStr">
        <is>
          <t>LEKSAND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34041-2024</t>
        </is>
      </c>
      <c r="B1066" s="1" t="n">
        <v>45523</v>
      </c>
      <c r="C1066" s="1" t="n">
        <v>45828</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33977-2024</t>
        </is>
      </c>
      <c r="B1067" s="1" t="n">
        <v>45523</v>
      </c>
      <c r="C1067" s="1" t="n">
        <v>45828</v>
      </c>
      <c r="D1067" t="inlineStr">
        <is>
          <t>DALARNAS LÄN</t>
        </is>
      </c>
      <c r="E1067" t="inlineStr">
        <is>
          <t>LEKSAND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34109-2024</t>
        </is>
      </c>
      <c r="B1068" s="1" t="n">
        <v>45524</v>
      </c>
      <c r="C1068" s="1" t="n">
        <v>45828</v>
      </c>
      <c r="D1068" t="inlineStr">
        <is>
          <t>DALARNAS LÄN</t>
        </is>
      </c>
      <c r="E1068" t="inlineStr">
        <is>
          <t>LEKSAND</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34244-2024</t>
        </is>
      </c>
      <c r="B1069" s="1" t="n">
        <v>45524</v>
      </c>
      <c r="C1069" s="1" t="n">
        <v>45828</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34347-2024</t>
        </is>
      </c>
      <c r="B1070" s="1" t="n">
        <v>45525</v>
      </c>
      <c r="C1070" s="1" t="n">
        <v>45828</v>
      </c>
      <c r="D1070" t="inlineStr">
        <is>
          <t>DALARNAS LÄN</t>
        </is>
      </c>
      <c r="E1070" t="inlineStr">
        <is>
          <t>LEKSAND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34585-2024</t>
        </is>
      </c>
      <c r="B1071" s="1" t="n">
        <v>45526</v>
      </c>
      <c r="C1071" s="1" t="n">
        <v>45828</v>
      </c>
      <c r="D1071" t="inlineStr">
        <is>
          <t>DALARNAS LÄN</t>
        </is>
      </c>
      <c r="E1071" t="inlineStr">
        <is>
          <t>LEKSAND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34778-2024</t>
        </is>
      </c>
      <c r="B1072" s="1" t="n">
        <v>45526</v>
      </c>
      <c r="C1072" s="1" t="n">
        <v>45828</v>
      </c>
      <c r="D1072" t="inlineStr">
        <is>
          <t>DALARNAS LÄN</t>
        </is>
      </c>
      <c r="E1072" t="inlineStr">
        <is>
          <t>LEKSAND</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34954-2024</t>
        </is>
      </c>
      <c r="B1073" s="1" t="n">
        <v>45527</v>
      </c>
      <c r="C1073" s="1" t="n">
        <v>45828</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35262-2024</t>
        </is>
      </c>
      <c r="B1074" s="1" t="n">
        <v>45530</v>
      </c>
      <c r="C1074" s="1" t="n">
        <v>45828</v>
      </c>
      <c r="D1074" t="inlineStr">
        <is>
          <t>DALARNAS LÄN</t>
        </is>
      </c>
      <c r="E1074" t="inlineStr">
        <is>
          <t>LEKSAND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36534-2024</t>
        </is>
      </c>
      <c r="B1075" s="1" t="n">
        <v>45537</v>
      </c>
      <c r="C1075" s="1" t="n">
        <v>45828</v>
      </c>
      <c r="D1075" t="inlineStr">
        <is>
          <t>DALARNAS LÄN</t>
        </is>
      </c>
      <c r="E1075" t="inlineStr">
        <is>
          <t>LEKSAND</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37952-2024</t>
        </is>
      </c>
      <c r="B1076" s="1" t="n">
        <v>45544</v>
      </c>
      <c r="C1076" s="1" t="n">
        <v>45828</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37850-2024</t>
        </is>
      </c>
      <c r="B1077" s="1" t="n">
        <v>45544</v>
      </c>
      <c r="C1077" s="1" t="n">
        <v>45828</v>
      </c>
      <c r="D1077" t="inlineStr">
        <is>
          <t>DALARNAS LÄN</t>
        </is>
      </c>
      <c r="E1077" t="inlineStr">
        <is>
          <t>LEKSAND</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38330-2024</t>
        </is>
      </c>
      <c r="B1078" s="1" t="n">
        <v>45545</v>
      </c>
      <c r="C1078" s="1" t="n">
        <v>45828</v>
      </c>
      <c r="D1078" t="inlineStr">
        <is>
          <t>DALARNAS LÄN</t>
        </is>
      </c>
      <c r="E1078" t="inlineStr">
        <is>
          <t>LEKSAND</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38617-2024</t>
        </is>
      </c>
      <c r="B1079" s="1" t="n">
        <v>45546</v>
      </c>
      <c r="C1079" s="1" t="n">
        <v>45828</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39416-2024</t>
        </is>
      </c>
      <c r="B1080" s="1" t="n">
        <v>45551</v>
      </c>
      <c r="C1080" s="1" t="n">
        <v>45828</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39518-2024</t>
        </is>
      </c>
      <c r="B1081" s="1" t="n">
        <v>45551</v>
      </c>
      <c r="C1081" s="1" t="n">
        <v>45828</v>
      </c>
      <c r="D1081" t="inlineStr">
        <is>
          <t>DALARNAS LÄN</t>
        </is>
      </c>
      <c r="E1081" t="inlineStr">
        <is>
          <t>LEKSAND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39620-2024</t>
        </is>
      </c>
      <c r="B1082" s="1" t="n">
        <v>45552</v>
      </c>
      <c r="C1082" s="1" t="n">
        <v>45828</v>
      </c>
      <c r="D1082" t="inlineStr">
        <is>
          <t>DALARNAS LÄN</t>
        </is>
      </c>
      <c r="E1082" t="inlineStr">
        <is>
          <t>LEKSAND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39819-2024</t>
        </is>
      </c>
      <c r="B1083" s="1" t="n">
        <v>45553</v>
      </c>
      <c r="C1083" s="1" t="n">
        <v>45828</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39807-2024</t>
        </is>
      </c>
      <c r="B1084" s="1" t="n">
        <v>45553</v>
      </c>
      <c r="C1084" s="1" t="n">
        <v>45828</v>
      </c>
      <c r="D1084" t="inlineStr">
        <is>
          <t>DALARNAS LÄN</t>
        </is>
      </c>
      <c r="E1084" t="inlineStr">
        <is>
          <t>LEKSAND</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40007-2024</t>
        </is>
      </c>
      <c r="B1085" s="1" t="n">
        <v>45553</v>
      </c>
      <c r="C1085" s="1" t="n">
        <v>45828</v>
      </c>
      <c r="D1085" t="inlineStr">
        <is>
          <t>DALARNAS LÄN</t>
        </is>
      </c>
      <c r="E1085" t="inlineStr">
        <is>
          <t>LEKSAND</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40009-2024</t>
        </is>
      </c>
      <c r="B1086" s="1" t="n">
        <v>45553</v>
      </c>
      <c r="C1086" s="1" t="n">
        <v>45828</v>
      </c>
      <c r="D1086" t="inlineStr">
        <is>
          <t>DALARNAS LÄN</t>
        </is>
      </c>
      <c r="E1086" t="inlineStr">
        <is>
          <t>LEKSAND</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40193-2024</t>
        </is>
      </c>
      <c r="B1087" s="1" t="n">
        <v>45554</v>
      </c>
      <c r="C1087" s="1" t="n">
        <v>45828</v>
      </c>
      <c r="D1087" t="inlineStr">
        <is>
          <t>DALARNAS LÄN</t>
        </is>
      </c>
      <c r="E1087" t="inlineStr">
        <is>
          <t>LEKSAND</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40523-2024</t>
        </is>
      </c>
      <c r="B1088" s="1" t="n">
        <v>45555</v>
      </c>
      <c r="C1088" s="1" t="n">
        <v>45828</v>
      </c>
      <c r="D1088" t="inlineStr">
        <is>
          <t>DALARNAS LÄN</t>
        </is>
      </c>
      <c r="E1088" t="inlineStr">
        <is>
          <t>LEKSAND</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40755-2024</t>
        </is>
      </c>
      <c r="B1089" s="1" t="n">
        <v>45558</v>
      </c>
      <c r="C1089" s="1" t="n">
        <v>45828</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40746-2024</t>
        </is>
      </c>
      <c r="B1090" s="1" t="n">
        <v>45558</v>
      </c>
      <c r="C1090" s="1" t="n">
        <v>45828</v>
      </c>
      <c r="D1090" t="inlineStr">
        <is>
          <t>DALARNAS LÄN</t>
        </is>
      </c>
      <c r="E1090" t="inlineStr">
        <is>
          <t>LEKSAND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40864-2024</t>
        </is>
      </c>
      <c r="B1091" s="1" t="n">
        <v>45558</v>
      </c>
      <c r="C1091" s="1" t="n">
        <v>45828</v>
      </c>
      <c r="D1091" t="inlineStr">
        <is>
          <t>DALARNAS LÄN</t>
        </is>
      </c>
      <c r="E1091" t="inlineStr">
        <is>
          <t>LEKSAND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40868-2024</t>
        </is>
      </c>
      <c r="B1092" s="1" t="n">
        <v>45558</v>
      </c>
      <c r="C1092" s="1" t="n">
        <v>45828</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40752-2024</t>
        </is>
      </c>
      <c r="B1093" s="1" t="n">
        <v>45558</v>
      </c>
      <c r="C1093" s="1" t="n">
        <v>45828</v>
      </c>
      <c r="D1093" t="inlineStr">
        <is>
          <t>DALARNAS LÄN</t>
        </is>
      </c>
      <c r="E1093" t="inlineStr">
        <is>
          <t>LEKSAND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41015-2024</t>
        </is>
      </c>
      <c r="B1094" s="1" t="n">
        <v>45559</v>
      </c>
      <c r="C1094" s="1" t="n">
        <v>45828</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41169-2024</t>
        </is>
      </c>
      <c r="B1095" s="1" t="n">
        <v>45559</v>
      </c>
      <c r="C1095" s="1" t="n">
        <v>45828</v>
      </c>
      <c r="D1095" t="inlineStr">
        <is>
          <t>DALARNAS LÄN</t>
        </is>
      </c>
      <c r="E1095" t="inlineStr">
        <is>
          <t>LEKSAND</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41046-2024</t>
        </is>
      </c>
      <c r="B1096" s="1" t="n">
        <v>45559</v>
      </c>
      <c r="C1096" s="1" t="n">
        <v>45828</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41306-2024</t>
        </is>
      </c>
      <c r="B1097" s="1" t="n">
        <v>45559</v>
      </c>
      <c r="C1097" s="1" t="n">
        <v>45828</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41840-2024</t>
        </is>
      </c>
      <c r="B1098" s="1" t="n">
        <v>45561</v>
      </c>
      <c r="C1098" s="1" t="n">
        <v>45828</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41896-2024</t>
        </is>
      </c>
      <c r="B1099" s="1" t="n">
        <v>45561</v>
      </c>
      <c r="C1099" s="1" t="n">
        <v>45828</v>
      </c>
      <c r="D1099" t="inlineStr">
        <is>
          <t>DALARNAS LÄN</t>
        </is>
      </c>
      <c r="E1099" t="inlineStr">
        <is>
          <t>LEKSAND</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41997-2024</t>
        </is>
      </c>
      <c r="B1100" s="1" t="n">
        <v>45561</v>
      </c>
      <c r="C1100" s="1" t="n">
        <v>45828</v>
      </c>
      <c r="D1100" t="inlineStr">
        <is>
          <t>DALARNAS LÄN</t>
        </is>
      </c>
      <c r="E1100" t="inlineStr">
        <is>
          <t>LEKSAND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42029-2024</t>
        </is>
      </c>
      <c r="B1101" s="1" t="n">
        <v>45561</v>
      </c>
      <c r="C1101" s="1" t="n">
        <v>45828</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42125-2024</t>
        </is>
      </c>
      <c r="B1102" s="1" t="n">
        <v>45562</v>
      </c>
      <c r="C1102" s="1" t="n">
        <v>45828</v>
      </c>
      <c r="D1102" t="inlineStr">
        <is>
          <t>DALARNAS LÄN</t>
        </is>
      </c>
      <c r="E1102" t="inlineStr">
        <is>
          <t>LEKSAND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42808-2024</t>
        </is>
      </c>
      <c r="B1103" s="1" t="n">
        <v>45566</v>
      </c>
      <c r="C1103" s="1" t="n">
        <v>45828</v>
      </c>
      <c r="D1103" t="inlineStr">
        <is>
          <t>DALARNAS LÄN</t>
        </is>
      </c>
      <c r="E1103" t="inlineStr">
        <is>
          <t>LEKSAND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42727-2024</t>
        </is>
      </c>
      <c r="B1104" s="1" t="n">
        <v>45566</v>
      </c>
      <c r="C1104" s="1" t="n">
        <v>45828</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43142-2024</t>
        </is>
      </c>
      <c r="B1105" s="1" t="n">
        <v>45567</v>
      </c>
      <c r="C1105" s="1" t="n">
        <v>45828</v>
      </c>
      <c r="D1105" t="inlineStr">
        <is>
          <t>DALARNAS LÄN</t>
        </is>
      </c>
      <c r="E1105" t="inlineStr">
        <is>
          <t>LEKSAND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43232-2024</t>
        </is>
      </c>
      <c r="B1106" s="1" t="n">
        <v>45567</v>
      </c>
      <c r="C1106" s="1" t="n">
        <v>45828</v>
      </c>
      <c r="D1106" t="inlineStr">
        <is>
          <t>DALARNAS LÄN</t>
        </is>
      </c>
      <c r="E1106" t="inlineStr">
        <is>
          <t>LEKSAND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43220-2024</t>
        </is>
      </c>
      <c r="B1107" s="1" t="n">
        <v>45567</v>
      </c>
      <c r="C1107" s="1" t="n">
        <v>45828</v>
      </c>
      <c r="D1107" t="inlineStr">
        <is>
          <t>DALARNAS LÄN</t>
        </is>
      </c>
      <c r="E1107" t="inlineStr">
        <is>
          <t>LEKSAND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43222-2024</t>
        </is>
      </c>
      <c r="B1108" s="1" t="n">
        <v>45567</v>
      </c>
      <c r="C1108" s="1" t="n">
        <v>45828</v>
      </c>
      <c r="D1108" t="inlineStr">
        <is>
          <t>DALARNAS LÄN</t>
        </is>
      </c>
      <c r="E1108" t="inlineStr">
        <is>
          <t>LEKSAND</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43233-2024</t>
        </is>
      </c>
      <c r="B1109" s="1" t="n">
        <v>45567</v>
      </c>
      <c r="C1109" s="1" t="n">
        <v>45828</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43237-2024</t>
        </is>
      </c>
      <c r="B1110" s="1" t="n">
        <v>45568</v>
      </c>
      <c r="C1110" s="1" t="n">
        <v>45828</v>
      </c>
      <c r="D1110" t="inlineStr">
        <is>
          <t>DALARNAS LÄN</t>
        </is>
      </c>
      <c r="E1110" t="inlineStr">
        <is>
          <t>LEKSAND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43221-2024</t>
        </is>
      </c>
      <c r="B1111" s="1" t="n">
        <v>45567</v>
      </c>
      <c r="C1111" s="1" t="n">
        <v>45828</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43231-2024</t>
        </is>
      </c>
      <c r="B1112" s="1" t="n">
        <v>45567</v>
      </c>
      <c r="C1112" s="1" t="n">
        <v>45828</v>
      </c>
      <c r="D1112" t="inlineStr">
        <is>
          <t>DALARNAS LÄN</t>
        </is>
      </c>
      <c r="E1112" t="inlineStr">
        <is>
          <t>LEKSAND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43234-2024</t>
        </is>
      </c>
      <c r="B1113" s="1" t="n">
        <v>45568</v>
      </c>
      <c r="C1113" s="1" t="n">
        <v>45828</v>
      </c>
      <c r="D1113" t="inlineStr">
        <is>
          <t>DALARNAS LÄN</t>
        </is>
      </c>
      <c r="E1113" t="inlineStr">
        <is>
          <t>LEKSAND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43077-2024</t>
        </is>
      </c>
      <c r="B1114" s="1" t="n">
        <v>45567</v>
      </c>
      <c r="C1114" s="1" t="n">
        <v>45828</v>
      </c>
      <c r="D1114" t="inlineStr">
        <is>
          <t>DALARNAS LÄN</t>
        </is>
      </c>
      <c r="E1114" t="inlineStr">
        <is>
          <t>LEKSAND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43419-2024</t>
        </is>
      </c>
      <c r="B1115" s="1" t="n">
        <v>45568</v>
      </c>
      <c r="C1115" s="1" t="n">
        <v>45828</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43412-2024</t>
        </is>
      </c>
      <c r="B1116" s="1" t="n">
        <v>45568</v>
      </c>
      <c r="C1116" s="1" t="n">
        <v>45828</v>
      </c>
      <c r="D1116" t="inlineStr">
        <is>
          <t>DALARNAS LÄN</t>
        </is>
      </c>
      <c r="E1116" t="inlineStr">
        <is>
          <t>LEKSAND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43470-2024</t>
        </is>
      </c>
      <c r="B1117" s="1" t="n">
        <v>45568</v>
      </c>
      <c r="C1117" s="1" t="n">
        <v>45828</v>
      </c>
      <c r="D1117" t="inlineStr">
        <is>
          <t>DALARNAS LÄN</t>
        </is>
      </c>
      <c r="E1117" t="inlineStr">
        <is>
          <t>LEKSAND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43331-2024</t>
        </is>
      </c>
      <c r="B1118" s="1" t="n">
        <v>45568</v>
      </c>
      <c r="C1118" s="1" t="n">
        <v>45828</v>
      </c>
      <c r="D1118" t="inlineStr">
        <is>
          <t>DALARNAS LÄN</t>
        </is>
      </c>
      <c r="E1118" t="inlineStr">
        <is>
          <t>LEKSAND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43832-2024</t>
        </is>
      </c>
      <c r="B1119" s="1" t="n">
        <v>45569</v>
      </c>
      <c r="C1119" s="1" t="n">
        <v>45828</v>
      </c>
      <c r="D1119" t="inlineStr">
        <is>
          <t>DALARNAS LÄN</t>
        </is>
      </c>
      <c r="E1119" t="inlineStr">
        <is>
          <t>LEKSAND</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44469-2024</t>
        </is>
      </c>
      <c r="B1120" s="1" t="n">
        <v>45574</v>
      </c>
      <c r="C1120" s="1" t="n">
        <v>45828</v>
      </c>
      <c r="D1120" t="inlineStr">
        <is>
          <t>DALARNAS LÄN</t>
        </is>
      </c>
      <c r="E1120" t="inlineStr">
        <is>
          <t>LEKSAND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44822-2024</t>
        </is>
      </c>
      <c r="B1121" s="1" t="n">
        <v>45574</v>
      </c>
      <c r="C1121" s="1" t="n">
        <v>45828</v>
      </c>
      <c r="D1121" t="inlineStr">
        <is>
          <t>DALARNAS LÄN</t>
        </is>
      </c>
      <c r="E1121" t="inlineStr">
        <is>
          <t>LEKSAND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45455-2024</t>
        </is>
      </c>
      <c r="B1122" s="1" t="n">
        <v>45576</v>
      </c>
      <c r="C1122" s="1" t="n">
        <v>45828</v>
      </c>
      <c r="D1122" t="inlineStr">
        <is>
          <t>DALARNAS LÄN</t>
        </is>
      </c>
      <c r="E1122" t="inlineStr">
        <is>
          <t>LEKSAND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45760-2024</t>
        </is>
      </c>
      <c r="B1123" s="1" t="n">
        <v>45579</v>
      </c>
      <c r="C1123" s="1" t="n">
        <v>45828</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46076-2024</t>
        </is>
      </c>
      <c r="B1124" s="1" t="n">
        <v>45581</v>
      </c>
      <c r="C1124" s="1" t="n">
        <v>45828</v>
      </c>
      <c r="D1124" t="inlineStr">
        <is>
          <t>DALARNAS LÄN</t>
        </is>
      </c>
      <c r="E1124" t="inlineStr">
        <is>
          <t>LEKSAND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46359-2024</t>
        </is>
      </c>
      <c r="B1125" s="1" t="n">
        <v>45582</v>
      </c>
      <c r="C1125" s="1" t="n">
        <v>45828</v>
      </c>
      <c r="D1125" t="inlineStr">
        <is>
          <t>DALARNAS LÄN</t>
        </is>
      </c>
      <c r="E1125" t="inlineStr">
        <is>
          <t>LEKSAND</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46628-2024</t>
        </is>
      </c>
      <c r="B1126" s="1" t="n">
        <v>45583</v>
      </c>
      <c r="C1126" s="1" t="n">
        <v>45828</v>
      </c>
      <c r="D1126" t="inlineStr">
        <is>
          <t>DALARNAS LÄN</t>
        </is>
      </c>
      <c r="E1126" t="inlineStr">
        <is>
          <t>LEKSAND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46653-2024</t>
        </is>
      </c>
      <c r="B1127" s="1" t="n">
        <v>45583</v>
      </c>
      <c r="C1127" s="1" t="n">
        <v>45828</v>
      </c>
      <c r="D1127" t="inlineStr">
        <is>
          <t>DALARNAS LÄN</t>
        </is>
      </c>
      <c r="E1127" t="inlineStr">
        <is>
          <t>LEKSAND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47272-2024</t>
        </is>
      </c>
      <c r="B1128" s="1" t="n">
        <v>45586</v>
      </c>
      <c r="C1128" s="1" t="n">
        <v>45828</v>
      </c>
      <c r="D1128" t="inlineStr">
        <is>
          <t>DALARNAS LÄN</t>
        </is>
      </c>
      <c r="E1128" t="inlineStr">
        <is>
          <t>LEKSAND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47503-2024</t>
        </is>
      </c>
      <c r="B1129" s="1" t="n">
        <v>45587</v>
      </c>
      <c r="C1129" s="1" t="n">
        <v>45828</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47640-2024</t>
        </is>
      </c>
      <c r="B1130" s="1" t="n">
        <v>45588</v>
      </c>
      <c r="C1130" s="1" t="n">
        <v>45828</v>
      </c>
      <c r="D1130" t="inlineStr">
        <is>
          <t>DALARNAS LÄN</t>
        </is>
      </c>
      <c r="E1130" t="inlineStr">
        <is>
          <t>LEKSAND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47913-2024</t>
        </is>
      </c>
      <c r="B1131" s="1" t="n">
        <v>45589</v>
      </c>
      <c r="C1131" s="1" t="n">
        <v>45828</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48501-2024</t>
        </is>
      </c>
      <c r="B1132" s="1" t="n">
        <v>45592</v>
      </c>
      <c r="C1132" s="1" t="n">
        <v>45828</v>
      </c>
      <c r="D1132" t="inlineStr">
        <is>
          <t>DALARNAS LÄN</t>
        </is>
      </c>
      <c r="E1132" t="inlineStr">
        <is>
          <t>LEKSAND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48677-2024</t>
        </is>
      </c>
      <c r="B1133" s="1" t="n">
        <v>45593</v>
      </c>
      <c r="C1133" s="1" t="n">
        <v>45828</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48857-2024</t>
        </is>
      </c>
      <c r="B1134" s="1" t="n">
        <v>45593</v>
      </c>
      <c r="C1134" s="1" t="n">
        <v>45828</v>
      </c>
      <c r="D1134" t="inlineStr">
        <is>
          <t>DALARNAS LÄN</t>
        </is>
      </c>
      <c r="E1134" t="inlineStr">
        <is>
          <t>LEKSAND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49068-2024</t>
        </is>
      </c>
      <c r="B1135" s="1" t="n">
        <v>45594</v>
      </c>
      <c r="C1135" s="1" t="n">
        <v>45828</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48902-2024</t>
        </is>
      </c>
      <c r="B1136" s="1" t="n">
        <v>45594</v>
      </c>
      <c r="C1136" s="1" t="n">
        <v>45828</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49397-2024</t>
        </is>
      </c>
      <c r="B1137" s="1" t="n">
        <v>45595</v>
      </c>
      <c r="C1137" s="1" t="n">
        <v>45828</v>
      </c>
      <c r="D1137" t="inlineStr">
        <is>
          <t>DALARNAS LÄN</t>
        </is>
      </c>
      <c r="E1137" t="inlineStr">
        <is>
          <t>LEKSAND</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49405-2024</t>
        </is>
      </c>
      <c r="B1138" s="1" t="n">
        <v>45595</v>
      </c>
      <c r="C1138" s="1" t="n">
        <v>45828</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49395-2024</t>
        </is>
      </c>
      <c r="B1139" s="1" t="n">
        <v>45595</v>
      </c>
      <c r="C1139" s="1" t="n">
        <v>45828</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49553-2024</t>
        </is>
      </c>
      <c r="B1140" s="1" t="n">
        <v>45596</v>
      </c>
      <c r="C1140" s="1" t="n">
        <v>45828</v>
      </c>
      <c r="D1140" t="inlineStr">
        <is>
          <t>DALARNAS LÄN</t>
        </is>
      </c>
      <c r="E1140" t="inlineStr">
        <is>
          <t>LEKSAND</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49499-2024</t>
        </is>
      </c>
      <c r="B1141" s="1" t="n">
        <v>45596</v>
      </c>
      <c r="C1141" s="1" t="n">
        <v>45828</v>
      </c>
      <c r="D1141" t="inlineStr">
        <is>
          <t>DALARNAS LÄN</t>
        </is>
      </c>
      <c r="E1141" t="inlineStr">
        <is>
          <t>LEKSAND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49850-2024</t>
        </is>
      </c>
      <c r="B1142" s="1" t="n">
        <v>45596</v>
      </c>
      <c r="C1142" s="1" t="n">
        <v>45828</v>
      </c>
      <c r="D1142" t="inlineStr">
        <is>
          <t>DALARNAS LÄN</t>
        </is>
      </c>
      <c r="E1142" t="inlineStr">
        <is>
          <t>LEKSAND</t>
        </is>
      </c>
      <c r="F1142" t="inlineStr">
        <is>
          <t>Övriga statliga verk och myndigheter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49506-2024</t>
        </is>
      </c>
      <c r="B1143" s="1" t="n">
        <v>45596</v>
      </c>
      <c r="C1143" s="1" t="n">
        <v>45828</v>
      </c>
      <c r="D1143" t="inlineStr">
        <is>
          <t>DALARNAS LÄN</t>
        </is>
      </c>
      <c r="E1143" t="inlineStr">
        <is>
          <t>LEKSAND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50307-2024</t>
        </is>
      </c>
      <c r="B1144" s="1" t="n">
        <v>45600</v>
      </c>
      <c r="C1144" s="1" t="n">
        <v>45828</v>
      </c>
      <c r="D1144" t="inlineStr">
        <is>
          <t>DALARNAS LÄN</t>
        </is>
      </c>
      <c r="E1144" t="inlineStr">
        <is>
          <t>LEKSAND</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50486-2024</t>
        </is>
      </c>
      <c r="B1145" s="1" t="n">
        <v>45601</v>
      </c>
      <c r="C1145" s="1" t="n">
        <v>45828</v>
      </c>
      <c r="D1145" t="inlineStr">
        <is>
          <t>DALARNAS LÄN</t>
        </is>
      </c>
      <c r="E1145" t="inlineStr">
        <is>
          <t>LEKSAND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51517-2024</t>
        </is>
      </c>
      <c r="B1146" s="1" t="n">
        <v>45603</v>
      </c>
      <c r="C1146" s="1" t="n">
        <v>45828</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51408-2024</t>
        </is>
      </c>
      <c r="B1147" s="1" t="n">
        <v>45604</v>
      </c>
      <c r="C1147" s="1" t="n">
        <v>45828</v>
      </c>
      <c r="D1147" t="inlineStr">
        <is>
          <t>DALARNAS LÄN</t>
        </is>
      </c>
      <c r="E1147" t="inlineStr">
        <is>
          <t>LEKSAND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51677-2024</t>
        </is>
      </c>
      <c r="B1148" s="1" t="n">
        <v>45607</v>
      </c>
      <c r="C1148" s="1" t="n">
        <v>45828</v>
      </c>
      <c r="D1148" t="inlineStr">
        <is>
          <t>DALARNAS LÄN</t>
        </is>
      </c>
      <c r="E1148" t="inlineStr">
        <is>
          <t>LEKSAND</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51860-2024</t>
        </is>
      </c>
      <c r="B1149" s="1" t="n">
        <v>45607</v>
      </c>
      <c r="C1149" s="1" t="n">
        <v>45828</v>
      </c>
      <c r="D1149" t="inlineStr">
        <is>
          <t>DALARNAS LÄN</t>
        </is>
      </c>
      <c r="E1149" t="inlineStr">
        <is>
          <t>LEKSAND</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51907-2024</t>
        </is>
      </c>
      <c r="B1150" s="1" t="n">
        <v>45607</v>
      </c>
      <c r="C1150" s="1" t="n">
        <v>45828</v>
      </c>
      <c r="D1150" t="inlineStr">
        <is>
          <t>DALARNAS LÄN</t>
        </is>
      </c>
      <c r="E1150" t="inlineStr">
        <is>
          <t>LEKSAND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52277-2024</t>
        </is>
      </c>
      <c r="B1151" s="1" t="n">
        <v>45608</v>
      </c>
      <c r="C1151" s="1" t="n">
        <v>45828</v>
      </c>
      <c r="D1151" t="inlineStr">
        <is>
          <t>DALARNAS LÄN</t>
        </is>
      </c>
      <c r="E1151" t="inlineStr">
        <is>
          <t>LEKSAND</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52293-2024</t>
        </is>
      </c>
      <c r="B1152" s="1" t="n">
        <v>45608</v>
      </c>
      <c r="C1152" s="1" t="n">
        <v>45828</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52059-2024</t>
        </is>
      </c>
      <c r="B1153" s="1" t="n">
        <v>45608</v>
      </c>
      <c r="C1153" s="1" t="n">
        <v>45828</v>
      </c>
      <c r="D1153" t="inlineStr">
        <is>
          <t>DALARNAS LÄN</t>
        </is>
      </c>
      <c r="E1153" t="inlineStr">
        <is>
          <t>LEKSAND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52100-2024</t>
        </is>
      </c>
      <c r="B1154" s="1" t="n">
        <v>45608</v>
      </c>
      <c r="C1154" s="1" t="n">
        <v>45828</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52572-2024</t>
        </is>
      </c>
      <c r="B1155" s="1" t="n">
        <v>45609</v>
      </c>
      <c r="C1155" s="1" t="n">
        <v>45828</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52755-2024</t>
        </is>
      </c>
      <c r="B1156" s="1" t="n">
        <v>45610</v>
      </c>
      <c r="C1156" s="1" t="n">
        <v>45828</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53193-2024</t>
        </is>
      </c>
      <c r="B1157" s="1" t="n">
        <v>45610</v>
      </c>
      <c r="C1157" s="1" t="n">
        <v>45828</v>
      </c>
      <c r="D1157" t="inlineStr">
        <is>
          <t>DALARNAS LÄN</t>
        </is>
      </c>
      <c r="E1157" t="inlineStr">
        <is>
          <t>LEKSAND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53464-2024</t>
        </is>
      </c>
      <c r="B1158" s="1" t="n">
        <v>45611</v>
      </c>
      <c r="C1158" s="1" t="n">
        <v>45828</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53662-2024</t>
        </is>
      </c>
      <c r="B1159" s="1" t="n">
        <v>45612</v>
      </c>
      <c r="C1159" s="1" t="n">
        <v>45828</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53319-2024</t>
        </is>
      </c>
      <c r="B1160" s="1" t="n">
        <v>45614</v>
      </c>
      <c r="C1160" s="1" t="n">
        <v>45828</v>
      </c>
      <c r="D1160" t="inlineStr">
        <is>
          <t>DALARNAS LÄN</t>
        </is>
      </c>
      <c r="E1160" t="inlineStr">
        <is>
          <t>LEKSAND</t>
        </is>
      </c>
      <c r="G1160" t="n">
        <v>3.1</v>
      </c>
      <c r="H1160" t="n">
        <v>0</v>
      </c>
      <c r="I1160" t="n">
        <v>0</v>
      </c>
      <c r="J1160" t="n">
        <v>0</v>
      </c>
      <c r="K1160" t="n">
        <v>0</v>
      </c>
      <c r="L1160" t="n">
        <v>0</v>
      </c>
      <c r="M1160" t="n">
        <v>0</v>
      </c>
      <c r="N1160" t="n">
        <v>0</v>
      </c>
      <c r="O1160" t="n">
        <v>0</v>
      </c>
      <c r="P1160" t="n">
        <v>0</v>
      </c>
      <c r="Q1160" t="n">
        <v>0</v>
      </c>
      <c r="R1160" s="2" t="inlineStr"/>
      <c r="U1160">
        <f>HYPERLINK("https://klasma.github.io/Logging_2029/knärot/A 53319-2024 karta knärot.png", "A 53319-2024")</f>
        <v/>
      </c>
      <c r="V1160">
        <f>HYPERLINK("https://klasma.github.io/Logging_2029/klagomål/A 53319-2024 FSC-klagomål.docx", "A 53319-2024")</f>
        <v/>
      </c>
      <c r="W1160">
        <f>HYPERLINK("https://klasma.github.io/Logging_2029/klagomålsmail/A 53319-2024 FSC-klagomål mail.docx", "A 53319-2024")</f>
        <v/>
      </c>
      <c r="X1160">
        <f>HYPERLINK("https://klasma.github.io/Logging_2029/tillsyn/A 53319-2024 tillsynsbegäran.docx", "A 53319-2024")</f>
        <v/>
      </c>
      <c r="Y1160">
        <f>HYPERLINK("https://klasma.github.io/Logging_2029/tillsynsmail/A 53319-2024 tillsynsbegäran mail.docx", "A 53319-2024")</f>
        <v/>
      </c>
    </row>
    <row r="1161" ht="15" customHeight="1">
      <c r="A1161" t="inlineStr">
        <is>
          <t>A 53625-2024</t>
        </is>
      </c>
      <c r="B1161" s="1" t="n">
        <v>45614</v>
      </c>
      <c r="C1161" s="1" t="n">
        <v>45828</v>
      </c>
      <c r="D1161" t="inlineStr">
        <is>
          <t>DALARNAS LÄN</t>
        </is>
      </c>
      <c r="E1161" t="inlineStr">
        <is>
          <t>LEKSAND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53634-2024</t>
        </is>
      </c>
      <c r="B1162" s="1" t="n">
        <v>45614</v>
      </c>
      <c r="C1162" s="1" t="n">
        <v>45828</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53633-2024</t>
        </is>
      </c>
      <c r="B1163" s="1" t="n">
        <v>45614</v>
      </c>
      <c r="C1163" s="1" t="n">
        <v>45828</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53313-2024</t>
        </is>
      </c>
      <c r="B1164" s="1" t="n">
        <v>45614</v>
      </c>
      <c r="C1164" s="1" t="n">
        <v>45828</v>
      </c>
      <c r="D1164" t="inlineStr">
        <is>
          <t>DALARNAS LÄN</t>
        </is>
      </c>
      <c r="E1164" t="inlineStr">
        <is>
          <t>LEKSAND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53981-2024</t>
        </is>
      </c>
      <c r="B1165" s="1" t="n">
        <v>45615</v>
      </c>
      <c r="C1165" s="1" t="n">
        <v>45828</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53992-2024</t>
        </is>
      </c>
      <c r="B1166" s="1" t="n">
        <v>45616</v>
      </c>
      <c r="C1166" s="1" t="n">
        <v>45828</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54917-2024</t>
        </is>
      </c>
      <c r="B1167" s="1" t="n">
        <v>45618</v>
      </c>
      <c r="C1167" s="1" t="n">
        <v>45828</v>
      </c>
      <c r="D1167" t="inlineStr">
        <is>
          <t>DALARNAS LÄN</t>
        </is>
      </c>
      <c r="E1167" t="inlineStr">
        <is>
          <t>LEKSAND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54911-2024</t>
        </is>
      </c>
      <c r="B1168" s="1" t="n">
        <v>45618</v>
      </c>
      <c r="C1168" s="1" t="n">
        <v>45828</v>
      </c>
      <c r="D1168" t="inlineStr">
        <is>
          <t>DALARNAS LÄN</t>
        </is>
      </c>
      <c r="E1168" t="inlineStr">
        <is>
          <t>LEKSAND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54910-2024</t>
        </is>
      </c>
      <c r="B1169" s="1" t="n">
        <v>45618</v>
      </c>
      <c r="C1169" s="1" t="n">
        <v>45828</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54914-2024</t>
        </is>
      </c>
      <c r="B1170" s="1" t="n">
        <v>45618</v>
      </c>
      <c r="C1170" s="1" t="n">
        <v>45828</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55015-2024</t>
        </is>
      </c>
      <c r="B1171" s="1" t="n">
        <v>45621</v>
      </c>
      <c r="C1171" s="1" t="n">
        <v>45828</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55512-2024</t>
        </is>
      </c>
      <c r="B1172" s="1" t="n">
        <v>45621</v>
      </c>
      <c r="C1172" s="1" t="n">
        <v>45828</v>
      </c>
      <c r="D1172" t="inlineStr">
        <is>
          <t>DALARNAS LÄN</t>
        </is>
      </c>
      <c r="E1172" t="inlineStr">
        <is>
          <t>LEKSAND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55029-2024</t>
        </is>
      </c>
      <c r="B1173" s="1" t="n">
        <v>45621</v>
      </c>
      <c r="C1173" s="1" t="n">
        <v>45828</v>
      </c>
      <c r="D1173" t="inlineStr">
        <is>
          <t>DALARNAS LÄN</t>
        </is>
      </c>
      <c r="E1173" t="inlineStr">
        <is>
          <t>LEKSAND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55268-2024</t>
        </is>
      </c>
      <c r="B1174" s="1" t="n">
        <v>45621</v>
      </c>
      <c r="C1174" s="1" t="n">
        <v>45828</v>
      </c>
      <c r="D1174" t="inlineStr">
        <is>
          <t>DALARNAS LÄN</t>
        </is>
      </c>
      <c r="E1174" t="inlineStr">
        <is>
          <t>LEKSAND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55516-2024</t>
        </is>
      </c>
      <c r="B1175" s="1" t="n">
        <v>45621</v>
      </c>
      <c r="C1175" s="1" t="n">
        <v>45828</v>
      </c>
      <c r="D1175" t="inlineStr">
        <is>
          <t>DALARNAS LÄN</t>
        </is>
      </c>
      <c r="E1175" t="inlineStr">
        <is>
          <t>LEKSAND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55643-2024</t>
        </is>
      </c>
      <c r="B1176" s="1" t="n">
        <v>45621</v>
      </c>
      <c r="C1176" s="1" t="n">
        <v>45828</v>
      </c>
      <c r="D1176" t="inlineStr">
        <is>
          <t>DALARNAS LÄN</t>
        </is>
      </c>
      <c r="E1176" t="inlineStr">
        <is>
          <t>LEKSAND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55520-2024</t>
        </is>
      </c>
      <c r="B1177" s="1" t="n">
        <v>45621</v>
      </c>
      <c r="C1177" s="1" t="n">
        <v>45828</v>
      </c>
      <c r="D1177" t="inlineStr">
        <is>
          <t>DALARNAS LÄN</t>
        </is>
      </c>
      <c r="E1177" t="inlineStr">
        <is>
          <t>LEKSAND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55706-2024</t>
        </is>
      </c>
      <c r="B1178" s="1" t="n">
        <v>45622</v>
      </c>
      <c r="C1178" s="1" t="n">
        <v>45828</v>
      </c>
      <c r="D1178" t="inlineStr">
        <is>
          <t>DALARNAS LÄN</t>
        </is>
      </c>
      <c r="E1178" t="inlineStr">
        <is>
          <t>LEKSAND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55689-2024</t>
        </is>
      </c>
      <c r="B1179" s="1" t="n">
        <v>45622</v>
      </c>
      <c r="C1179" s="1" t="n">
        <v>45828</v>
      </c>
      <c r="D1179" t="inlineStr">
        <is>
          <t>DALARNAS LÄN</t>
        </is>
      </c>
      <c r="E1179" t="inlineStr">
        <is>
          <t>LEKSAND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55926-2024</t>
        </is>
      </c>
      <c r="B1180" s="1" t="n">
        <v>45623</v>
      </c>
      <c r="C1180" s="1" t="n">
        <v>45828</v>
      </c>
      <c r="D1180" t="inlineStr">
        <is>
          <t>DALARNAS LÄN</t>
        </is>
      </c>
      <c r="E1180" t="inlineStr">
        <is>
          <t>LEKSAND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56016-2024</t>
        </is>
      </c>
      <c r="B1181" s="1" t="n">
        <v>45623</v>
      </c>
      <c r="C1181" s="1" t="n">
        <v>45828</v>
      </c>
      <c r="D1181" t="inlineStr">
        <is>
          <t>DALARNAS LÄN</t>
        </is>
      </c>
      <c r="E1181" t="inlineStr">
        <is>
          <t>LEKSAND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56059-2024</t>
        </is>
      </c>
      <c r="B1182" s="1" t="n">
        <v>45624</v>
      </c>
      <c r="C1182" s="1" t="n">
        <v>45828</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56283-2024</t>
        </is>
      </c>
      <c r="B1183" s="1" t="n">
        <v>45624</v>
      </c>
      <c r="C1183" s="1" t="n">
        <v>45828</v>
      </c>
      <c r="D1183" t="inlineStr">
        <is>
          <t>DALARNAS LÄN</t>
        </is>
      </c>
      <c r="E1183" t="inlineStr">
        <is>
          <t>LEKSAND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56299-2024</t>
        </is>
      </c>
      <c r="B1184" s="1" t="n">
        <v>45624</v>
      </c>
      <c r="C1184" s="1" t="n">
        <v>45828</v>
      </c>
      <c r="D1184" t="inlineStr">
        <is>
          <t>DALARNAS LÄN</t>
        </is>
      </c>
      <c r="E1184" t="inlineStr">
        <is>
          <t>LEKSAND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56610-2024</t>
        </is>
      </c>
      <c r="B1185" s="1" t="n">
        <v>45625</v>
      </c>
      <c r="C1185" s="1" t="n">
        <v>45828</v>
      </c>
      <c r="D1185" t="inlineStr">
        <is>
          <t>DALARNAS LÄN</t>
        </is>
      </c>
      <c r="E1185" t="inlineStr">
        <is>
          <t>LEKSAND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56941-2024</t>
        </is>
      </c>
      <c r="B1186" s="1" t="n">
        <v>45625</v>
      </c>
      <c r="C1186" s="1" t="n">
        <v>45828</v>
      </c>
      <c r="D1186" t="inlineStr">
        <is>
          <t>DALARNAS LÄN</t>
        </is>
      </c>
      <c r="E1186" t="inlineStr">
        <is>
          <t>LEKSAND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56608-2024</t>
        </is>
      </c>
      <c r="B1187" s="1" t="n">
        <v>45625</v>
      </c>
      <c r="C1187" s="1" t="n">
        <v>45828</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56591-2024</t>
        </is>
      </c>
      <c r="B1188" s="1" t="n">
        <v>45625</v>
      </c>
      <c r="C1188" s="1" t="n">
        <v>45828</v>
      </c>
      <c r="D1188" t="inlineStr">
        <is>
          <t>DALARNAS LÄN</t>
        </is>
      </c>
      <c r="E1188" t="inlineStr">
        <is>
          <t>LEKSAND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56641-2024</t>
        </is>
      </c>
      <c r="B1189" s="1" t="n">
        <v>45625</v>
      </c>
      <c r="C1189" s="1" t="n">
        <v>45828</v>
      </c>
      <c r="D1189" t="inlineStr">
        <is>
          <t>DALARNAS LÄN</t>
        </is>
      </c>
      <c r="E1189" t="inlineStr">
        <is>
          <t>LEKSAND</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56943-2024</t>
        </is>
      </c>
      <c r="B1190" s="1" t="n">
        <v>45625</v>
      </c>
      <c r="C1190" s="1" t="n">
        <v>45828</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56950-2024</t>
        </is>
      </c>
      <c r="B1191" s="1" t="n">
        <v>45625</v>
      </c>
      <c r="C1191" s="1" t="n">
        <v>45828</v>
      </c>
      <c r="D1191" t="inlineStr">
        <is>
          <t>DALARNAS LÄN</t>
        </is>
      </c>
      <c r="E1191" t="inlineStr">
        <is>
          <t>LEKSAND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56777-2024</t>
        </is>
      </c>
      <c r="B1192" s="1" t="n">
        <v>45628</v>
      </c>
      <c r="C1192" s="1" t="n">
        <v>45828</v>
      </c>
      <c r="D1192" t="inlineStr">
        <is>
          <t>DALARNAS LÄN</t>
        </is>
      </c>
      <c r="E1192" t="inlineStr">
        <is>
          <t>LEKSAND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56749-2024</t>
        </is>
      </c>
      <c r="B1193" s="1" t="n">
        <v>45628</v>
      </c>
      <c r="C1193" s="1" t="n">
        <v>45828</v>
      </c>
      <c r="D1193" t="inlineStr">
        <is>
          <t>DALARNAS LÄN</t>
        </is>
      </c>
      <c r="E1193" t="inlineStr">
        <is>
          <t>LEKSAND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57599-2024</t>
        </is>
      </c>
      <c r="B1194" s="1" t="n">
        <v>45630</v>
      </c>
      <c r="C1194" s="1" t="n">
        <v>45828</v>
      </c>
      <c r="D1194" t="inlineStr">
        <is>
          <t>DALARNAS LÄN</t>
        </is>
      </c>
      <c r="E1194" t="inlineStr">
        <is>
          <t>LEKSAND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57925-2024</t>
        </is>
      </c>
      <c r="B1195" s="1" t="n">
        <v>45630</v>
      </c>
      <c r="C1195" s="1" t="n">
        <v>45828</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57907-2024</t>
        </is>
      </c>
      <c r="B1196" s="1" t="n">
        <v>45630</v>
      </c>
      <c r="C1196" s="1" t="n">
        <v>45828</v>
      </c>
      <c r="D1196" t="inlineStr">
        <is>
          <t>DALARNAS LÄN</t>
        </is>
      </c>
      <c r="E1196" t="inlineStr">
        <is>
          <t>LEKSAND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57899-2024</t>
        </is>
      </c>
      <c r="B1197" s="1" t="n">
        <v>45630</v>
      </c>
      <c r="C1197" s="1" t="n">
        <v>45828</v>
      </c>
      <c r="D1197" t="inlineStr">
        <is>
          <t>DALARNAS LÄN</t>
        </is>
      </c>
      <c r="E1197" t="inlineStr">
        <is>
          <t>LEKSAND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57933-2024</t>
        </is>
      </c>
      <c r="B1198" s="1" t="n">
        <v>45630</v>
      </c>
      <c r="C1198" s="1" t="n">
        <v>45828</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58555-2024</t>
        </is>
      </c>
      <c r="B1199" s="1" t="n">
        <v>45635</v>
      </c>
      <c r="C1199" s="1" t="n">
        <v>45828</v>
      </c>
      <c r="D1199" t="inlineStr">
        <is>
          <t>DALARNAS LÄN</t>
        </is>
      </c>
      <c r="E1199" t="inlineStr">
        <is>
          <t>LEKSAND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59103-2024</t>
        </is>
      </c>
      <c r="B1200" s="1" t="n">
        <v>45637</v>
      </c>
      <c r="C1200" s="1" t="n">
        <v>45828</v>
      </c>
      <c r="D1200" t="inlineStr">
        <is>
          <t>DALARNAS LÄN</t>
        </is>
      </c>
      <c r="E1200" t="inlineStr">
        <is>
          <t>LEKSAND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59192-2024</t>
        </is>
      </c>
      <c r="B1201" s="1" t="n">
        <v>45637</v>
      </c>
      <c r="C1201" s="1" t="n">
        <v>45828</v>
      </c>
      <c r="D1201" t="inlineStr">
        <is>
          <t>DALARNAS LÄN</t>
        </is>
      </c>
      <c r="E1201" t="inlineStr">
        <is>
          <t>LEKSAND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59260-2024</t>
        </is>
      </c>
      <c r="B1202" s="1" t="n">
        <v>45637</v>
      </c>
      <c r="C1202" s="1" t="n">
        <v>45828</v>
      </c>
      <c r="D1202" t="inlineStr">
        <is>
          <t>DALARNAS LÄN</t>
        </is>
      </c>
      <c r="E1202" t="inlineStr">
        <is>
          <t>LEKSAND</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59199-2024</t>
        </is>
      </c>
      <c r="B1203" s="1" t="n">
        <v>45637</v>
      </c>
      <c r="C1203" s="1" t="n">
        <v>45828</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59236-2024</t>
        </is>
      </c>
      <c r="B1204" s="1" t="n">
        <v>45637</v>
      </c>
      <c r="C1204" s="1" t="n">
        <v>45828</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59266-2024</t>
        </is>
      </c>
      <c r="B1205" s="1" t="n">
        <v>45637</v>
      </c>
      <c r="C1205" s="1" t="n">
        <v>45828</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59840-2024</t>
        </is>
      </c>
      <c r="B1206" s="1" t="n">
        <v>45638</v>
      </c>
      <c r="C1206" s="1" t="n">
        <v>45828</v>
      </c>
      <c r="D1206" t="inlineStr">
        <is>
          <t>DALARNAS LÄN</t>
        </is>
      </c>
      <c r="E1206" t="inlineStr">
        <is>
          <t>LEKSAND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59751-2024</t>
        </is>
      </c>
      <c r="B1207" s="1" t="n">
        <v>45638</v>
      </c>
      <c r="C1207" s="1" t="n">
        <v>45828</v>
      </c>
      <c r="D1207" t="inlineStr">
        <is>
          <t>DALARNAS LÄN</t>
        </is>
      </c>
      <c r="E1207" t="inlineStr">
        <is>
          <t>LEKSAND</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60544-2024</t>
        </is>
      </c>
      <c r="B1208" s="1" t="n">
        <v>45643</v>
      </c>
      <c r="C1208" s="1" t="n">
        <v>45828</v>
      </c>
      <c r="D1208" t="inlineStr">
        <is>
          <t>DALARNAS LÄN</t>
        </is>
      </c>
      <c r="E1208" t="inlineStr">
        <is>
          <t>LEKSAND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60552-2024</t>
        </is>
      </c>
      <c r="B1209" s="1" t="n">
        <v>45643</v>
      </c>
      <c r="C1209" s="1" t="n">
        <v>45828</v>
      </c>
      <c r="D1209" t="inlineStr">
        <is>
          <t>DALARNAS LÄN</t>
        </is>
      </c>
      <c r="E1209" t="inlineStr">
        <is>
          <t>LEKSAND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60489-2024</t>
        </is>
      </c>
      <c r="B1210" s="1" t="n">
        <v>45643</v>
      </c>
      <c r="C1210" s="1" t="n">
        <v>45828</v>
      </c>
      <c r="D1210" t="inlineStr">
        <is>
          <t>DALARNAS LÄN</t>
        </is>
      </c>
      <c r="E1210" t="inlineStr">
        <is>
          <t>LEKSAND</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60906-2024</t>
        </is>
      </c>
      <c r="B1211" s="1" t="n">
        <v>45645</v>
      </c>
      <c r="C1211" s="1" t="n">
        <v>45828</v>
      </c>
      <c r="D1211" t="inlineStr">
        <is>
          <t>DALARNAS LÄN</t>
        </is>
      </c>
      <c r="E1211" t="inlineStr">
        <is>
          <t>LEKSAND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60945-2024</t>
        </is>
      </c>
      <c r="B1212" s="1" t="n">
        <v>45645</v>
      </c>
      <c r="C1212" s="1" t="n">
        <v>45828</v>
      </c>
      <c r="D1212" t="inlineStr">
        <is>
          <t>DALARNAS LÄN</t>
        </is>
      </c>
      <c r="E1212" t="inlineStr">
        <is>
          <t>LEKSAND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60993-2024</t>
        </is>
      </c>
      <c r="B1213" s="1" t="n">
        <v>45645</v>
      </c>
      <c r="C1213" s="1" t="n">
        <v>45828</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60986-2024</t>
        </is>
      </c>
      <c r="B1214" s="1" t="n">
        <v>45645</v>
      </c>
      <c r="C1214" s="1" t="n">
        <v>45828</v>
      </c>
      <c r="D1214" t="inlineStr">
        <is>
          <t>DALARNAS LÄN</t>
        </is>
      </c>
      <c r="E1214" t="inlineStr">
        <is>
          <t>LEKSAND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61554-2024</t>
        </is>
      </c>
      <c r="B1215" s="1" t="n">
        <v>45646</v>
      </c>
      <c r="C1215" s="1" t="n">
        <v>45828</v>
      </c>
      <c r="D1215" t="inlineStr">
        <is>
          <t>DALARNAS LÄN</t>
        </is>
      </c>
      <c r="E1215" t="inlineStr">
        <is>
          <t>LEKSAND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61573-2024</t>
        </is>
      </c>
      <c r="B1216" s="1" t="n">
        <v>45646</v>
      </c>
      <c r="C1216" s="1" t="n">
        <v>45828</v>
      </c>
      <c r="D1216" t="inlineStr">
        <is>
          <t>DALARNAS LÄN</t>
        </is>
      </c>
      <c r="E1216" t="inlineStr">
        <is>
          <t>LEKSAND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62116-2024</t>
        </is>
      </c>
      <c r="B1217" s="1" t="n">
        <v>45646</v>
      </c>
      <c r="C1217" s="1" t="n">
        <v>45828</v>
      </c>
      <c r="D1217" t="inlineStr">
        <is>
          <t>DALARNAS LÄN</t>
        </is>
      </c>
      <c r="E1217" t="inlineStr">
        <is>
          <t>LEKSAND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61680-2024</t>
        </is>
      </c>
      <c r="B1218" s="1" t="n">
        <v>45647</v>
      </c>
      <c r="C1218" s="1" t="n">
        <v>45828</v>
      </c>
      <c r="D1218" t="inlineStr">
        <is>
          <t>DALARNAS LÄN</t>
        </is>
      </c>
      <c r="E1218" t="inlineStr">
        <is>
          <t>LEKSAND</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61714-2024</t>
        </is>
      </c>
      <c r="B1219" s="1" t="n">
        <v>45648</v>
      </c>
      <c r="C1219" s="1" t="n">
        <v>45828</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62130-2024</t>
        </is>
      </c>
      <c r="B1220" s="1" t="n">
        <v>45656</v>
      </c>
      <c r="C1220" s="1" t="n">
        <v>45828</v>
      </c>
      <c r="D1220" t="inlineStr">
        <is>
          <t>DALARNAS LÄN</t>
        </is>
      </c>
      <c r="E1220" t="inlineStr">
        <is>
          <t>LEKSAND</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62161-2024</t>
        </is>
      </c>
      <c r="B1221" s="1" t="n">
        <v>45656</v>
      </c>
      <c r="C1221" s="1" t="n">
        <v>45828</v>
      </c>
      <c r="D1221" t="inlineStr">
        <is>
          <t>DALARNAS LÄN</t>
        </is>
      </c>
      <c r="E1221" t="inlineStr">
        <is>
          <t>LEKSAND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377-2025</t>
        </is>
      </c>
      <c r="B1222" s="1" t="n">
        <v>45662</v>
      </c>
      <c r="C1222" s="1" t="n">
        <v>45828</v>
      </c>
      <c r="D1222" t="inlineStr">
        <is>
          <t>DALARNAS LÄN</t>
        </is>
      </c>
      <c r="E1222" t="inlineStr">
        <is>
          <t>LEKSAND</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471-2025</t>
        </is>
      </c>
      <c r="B1223" s="1" t="n">
        <v>45664</v>
      </c>
      <c r="C1223" s="1" t="n">
        <v>45828</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1182-2025</t>
        </is>
      </c>
      <c r="B1224" s="1" t="n">
        <v>45667</v>
      </c>
      <c r="C1224" s="1" t="n">
        <v>45828</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1267-2025</t>
        </is>
      </c>
      <c r="B1225" s="1" t="n">
        <v>45667</v>
      </c>
      <c r="C1225" s="1" t="n">
        <v>45828</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1984-2025</t>
        </is>
      </c>
      <c r="B1226" s="1" t="n">
        <v>45670</v>
      </c>
      <c r="C1226" s="1" t="n">
        <v>45828</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1983-2025</t>
        </is>
      </c>
      <c r="B1227" s="1" t="n">
        <v>45670</v>
      </c>
      <c r="C1227" s="1" t="n">
        <v>45828</v>
      </c>
      <c r="D1227" t="inlineStr">
        <is>
          <t>DALARNAS LÄN</t>
        </is>
      </c>
      <c r="E1227" t="inlineStr">
        <is>
          <t>LEKSAND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2447-2025</t>
        </is>
      </c>
      <c r="B1228" s="1" t="n">
        <v>45674</v>
      </c>
      <c r="C1228" s="1" t="n">
        <v>45828</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2401-2025</t>
        </is>
      </c>
      <c r="B1229" s="1" t="n">
        <v>45674</v>
      </c>
      <c r="C1229" s="1" t="n">
        <v>45828</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2630-2025</t>
        </is>
      </c>
      <c r="B1230" s="1" t="n">
        <v>45675</v>
      </c>
      <c r="C1230" s="1" t="n">
        <v>45828</v>
      </c>
      <c r="D1230" t="inlineStr">
        <is>
          <t>DALARNAS LÄN</t>
        </is>
      </c>
      <c r="E1230" t="inlineStr">
        <is>
          <t>LEKSAND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2694-2025</t>
        </is>
      </c>
      <c r="B1231" s="1" t="n">
        <v>45677</v>
      </c>
      <c r="C1231" s="1" t="n">
        <v>45828</v>
      </c>
      <c r="D1231" t="inlineStr">
        <is>
          <t>DALARNAS LÄN</t>
        </is>
      </c>
      <c r="E1231" t="inlineStr">
        <is>
          <t>LEKSAND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3309-2025</t>
        </is>
      </c>
      <c r="B1232" s="1" t="n">
        <v>45679</v>
      </c>
      <c r="C1232" s="1" t="n">
        <v>45828</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3183-2025</t>
        </is>
      </c>
      <c r="B1233" s="1" t="n">
        <v>45679</v>
      </c>
      <c r="C1233" s="1" t="n">
        <v>45828</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3198-2025</t>
        </is>
      </c>
      <c r="B1234" s="1" t="n">
        <v>45679</v>
      </c>
      <c r="C1234" s="1" t="n">
        <v>45828</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3201-2025</t>
        </is>
      </c>
      <c r="B1235" s="1" t="n">
        <v>45679</v>
      </c>
      <c r="C1235" s="1" t="n">
        <v>45828</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3500-2025</t>
        </is>
      </c>
      <c r="B1236" s="1" t="n">
        <v>45680</v>
      </c>
      <c r="C1236" s="1" t="n">
        <v>45828</v>
      </c>
      <c r="D1236" t="inlineStr">
        <is>
          <t>DALARNAS LÄN</t>
        </is>
      </c>
      <c r="E1236" t="inlineStr">
        <is>
          <t>LEKSAND</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4794-2025</t>
        </is>
      </c>
      <c r="B1237" s="1" t="n">
        <v>45688</v>
      </c>
      <c r="C1237" s="1" t="n">
        <v>45828</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4974-2025</t>
        </is>
      </c>
      <c r="B1238" s="1" t="n">
        <v>45690</v>
      </c>
      <c r="C1238" s="1" t="n">
        <v>45828</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45828</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45828</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45828</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45828</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45828</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45828</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45828</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45828</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45828</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45828</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45828</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45828</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45828</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45828</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45828</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45828</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45828</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45828</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45828</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45828</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45828</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45828</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45828</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45828</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45828</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45828</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45828</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45828</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45828</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45828</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45828</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45828</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45828</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45828</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45828</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45828</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45828</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45828</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45828</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45828</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45828</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45828</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45828</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45828</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45828</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45828</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45828</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45828</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45828</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45828</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45828</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45828</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45828</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45828</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45828</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45828</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45828</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45828</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45828</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45828</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45828</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45828</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21916-2025</t>
        </is>
      </c>
      <c r="B1301" s="1" t="n">
        <v>45784</v>
      </c>
      <c r="C1301" s="1" t="n">
        <v>45828</v>
      </c>
      <c r="D1301" t="inlineStr">
        <is>
          <t>DALARNAS LÄN</t>
        </is>
      </c>
      <c r="E1301" t="inlineStr">
        <is>
          <t>LEKSAND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45828</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45828</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45828</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45828</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45828</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45828</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45828</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22947-2025</t>
        </is>
      </c>
      <c r="B1309" s="1" t="n">
        <v>45790</v>
      </c>
      <c r="C1309" s="1" t="n">
        <v>45828</v>
      </c>
      <c r="D1309" t="inlineStr">
        <is>
          <t>DALARNAS LÄN</t>
        </is>
      </c>
      <c r="E1309" t="inlineStr">
        <is>
          <t>LEKSAND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45828</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45828</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23892-2025</t>
        </is>
      </c>
      <c r="B1312" s="1" t="n">
        <v>45793</v>
      </c>
      <c r="C1312" s="1" t="n">
        <v>45828</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45828</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23852-2025</t>
        </is>
      </c>
      <c r="B1314" s="1" t="n">
        <v>45793</v>
      </c>
      <c r="C1314" s="1" t="n">
        <v>45828</v>
      </c>
      <c r="D1314" t="inlineStr">
        <is>
          <t>DALARNAS LÄN</t>
        </is>
      </c>
      <c r="E1314" t="inlineStr">
        <is>
          <t>LEKSAND</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45828</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24188-2025</t>
        </is>
      </c>
      <c r="B1316" s="1" t="n">
        <v>45796</v>
      </c>
      <c r="C1316" s="1" t="n">
        <v>45828</v>
      </c>
      <c r="D1316" t="inlineStr">
        <is>
          <t>DALARNAS LÄN</t>
        </is>
      </c>
      <c r="E1316" t="inlineStr">
        <is>
          <t>LEKSAND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24369-2025</t>
        </is>
      </c>
      <c r="B1317" s="1" t="n">
        <v>45797</v>
      </c>
      <c r="C1317" s="1" t="n">
        <v>45828</v>
      </c>
      <c r="D1317" t="inlineStr">
        <is>
          <t>DALARNAS LÄN</t>
        </is>
      </c>
      <c r="E1317" t="inlineStr">
        <is>
          <t>LEKSAND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24317-2025</t>
        </is>
      </c>
      <c r="B1318" s="1" t="n">
        <v>45797</v>
      </c>
      <c r="C1318" s="1" t="n">
        <v>45828</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24373-2025</t>
        </is>
      </c>
      <c r="B1319" s="1" t="n">
        <v>45797</v>
      </c>
      <c r="C1319" s="1" t="n">
        <v>45828</v>
      </c>
      <c r="D1319" t="inlineStr">
        <is>
          <t>DALARNAS LÄN</t>
        </is>
      </c>
      <c r="E1319" t="inlineStr">
        <is>
          <t>LEKSAND</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24714-2025</t>
        </is>
      </c>
      <c r="B1320" s="1" t="n">
        <v>45799</v>
      </c>
      <c r="C1320" s="1" t="n">
        <v>45828</v>
      </c>
      <c r="D1320" t="inlineStr">
        <is>
          <t>DALARNAS LÄN</t>
        </is>
      </c>
      <c r="E1320" t="inlineStr">
        <is>
          <t>LEKSAND</t>
        </is>
      </c>
      <c r="F1320" t="inlineStr">
        <is>
          <t>Bergvik skog väst AB</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24711-2025</t>
        </is>
      </c>
      <c r="B1321" s="1" t="n">
        <v>45798</v>
      </c>
      <c r="C1321" s="1" t="n">
        <v>45828</v>
      </c>
      <c r="D1321" t="inlineStr">
        <is>
          <t>DALARNAS LÄN</t>
        </is>
      </c>
      <c r="E1321" t="inlineStr">
        <is>
          <t>LEKSAND</t>
        </is>
      </c>
      <c r="F1321" t="inlineStr">
        <is>
          <t>Bergvik skog väst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24715-2025</t>
        </is>
      </c>
      <c r="B1322" s="1" t="n">
        <v>45799</v>
      </c>
      <c r="C1322" s="1" t="n">
        <v>45828</v>
      </c>
      <c r="D1322" t="inlineStr">
        <is>
          <t>DALARNAS LÄN</t>
        </is>
      </c>
      <c r="E1322" t="inlineStr">
        <is>
          <t>LEKSAND</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45828</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45828</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45828</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45828</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26421-2025</t>
        </is>
      </c>
      <c r="B1327" s="1" t="n">
        <v>45807</v>
      </c>
      <c r="C1327" s="1" t="n">
        <v>45828</v>
      </c>
      <c r="D1327" t="inlineStr">
        <is>
          <t>DALARNAS LÄN</t>
        </is>
      </c>
      <c r="E1327" t="inlineStr">
        <is>
          <t>LEKSAND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26423-2025</t>
        </is>
      </c>
      <c r="B1328" s="1" t="n">
        <v>45807</v>
      </c>
      <c r="C1328" s="1" t="n">
        <v>45828</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27183-2025</t>
        </is>
      </c>
      <c r="B1329" s="1" t="n">
        <v>45812</v>
      </c>
      <c r="C1329" s="1" t="n">
        <v>45828</v>
      </c>
      <c r="D1329" t="inlineStr">
        <is>
          <t>DALARNAS LÄN</t>
        </is>
      </c>
      <c r="E1329" t="inlineStr">
        <is>
          <t>LEKSAND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27323-2025</t>
        </is>
      </c>
      <c r="B1330" s="1" t="n">
        <v>45812</v>
      </c>
      <c r="C1330" s="1" t="n">
        <v>45828</v>
      </c>
      <c r="D1330" t="inlineStr">
        <is>
          <t>DALARNAS LÄN</t>
        </is>
      </c>
      <c r="E1330" t="inlineStr">
        <is>
          <t>LEKSAND</t>
        </is>
      </c>
      <c r="F1330" t="inlineStr">
        <is>
          <t>Bergvik skog väst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27329-2025</t>
        </is>
      </c>
      <c r="B1331" s="1" t="n">
        <v>45812</v>
      </c>
      <c r="C1331" s="1" t="n">
        <v>45828</v>
      </c>
      <c r="D1331" t="inlineStr">
        <is>
          <t>DALARNAS LÄN</t>
        </is>
      </c>
      <c r="E1331" t="inlineStr">
        <is>
          <t>LEKSAND</t>
        </is>
      </c>
      <c r="F1331" t="inlineStr">
        <is>
          <t>Bergvik skog väst AB</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27332-2025</t>
        </is>
      </c>
      <c r="B1332" s="1" t="n">
        <v>45812</v>
      </c>
      <c r="C1332" s="1" t="n">
        <v>45828</v>
      </c>
      <c r="D1332" t="inlineStr">
        <is>
          <t>DALARNAS LÄN</t>
        </is>
      </c>
      <c r="E1332" t="inlineStr">
        <is>
          <t>LEKSAND</t>
        </is>
      </c>
      <c r="F1332" t="inlineStr">
        <is>
          <t>Bergvik skog väst AB</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27262-2025</t>
        </is>
      </c>
      <c r="B1333" s="1" t="n">
        <v>45812</v>
      </c>
      <c r="C1333" s="1" t="n">
        <v>45828</v>
      </c>
      <c r="D1333" t="inlineStr">
        <is>
          <t>DALARNAS LÄN</t>
        </is>
      </c>
      <c r="E1333" t="inlineStr">
        <is>
          <t>LEKSAND</t>
        </is>
      </c>
      <c r="F1333" t="inlineStr">
        <is>
          <t>Bergvik skog väst AB</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27680-2025</t>
        </is>
      </c>
      <c r="B1334" s="1" t="n">
        <v>45813</v>
      </c>
      <c r="C1334" s="1" t="n">
        <v>45828</v>
      </c>
      <c r="D1334" t="inlineStr">
        <is>
          <t>DALARNAS LÄN</t>
        </is>
      </c>
      <c r="E1334" t="inlineStr">
        <is>
          <t>LEKSAND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27705-2025</t>
        </is>
      </c>
      <c r="B1335" s="1" t="n">
        <v>45813</v>
      </c>
      <c r="C1335" s="1" t="n">
        <v>45828</v>
      </c>
      <c r="D1335" t="inlineStr">
        <is>
          <t>DALARNAS LÄN</t>
        </is>
      </c>
      <c r="E1335" t="inlineStr">
        <is>
          <t>LEKSAND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27682-2025</t>
        </is>
      </c>
      <c r="B1336" s="1" t="n">
        <v>45813</v>
      </c>
      <c r="C1336" s="1" t="n">
        <v>45828</v>
      </c>
      <c r="D1336" t="inlineStr">
        <is>
          <t>DALARNAS LÄN</t>
        </is>
      </c>
      <c r="E1336" t="inlineStr">
        <is>
          <t>LEKSAND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27984-2025</t>
        </is>
      </c>
      <c r="B1337" s="1" t="n">
        <v>45817</v>
      </c>
      <c r="C1337" s="1" t="n">
        <v>45828</v>
      </c>
      <c r="D1337" t="inlineStr">
        <is>
          <t>DALARNAS LÄN</t>
        </is>
      </c>
      <c r="E1337" t="inlineStr">
        <is>
          <t>LEKSAND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28488-2025</t>
        </is>
      </c>
      <c r="B1338" s="1" t="n">
        <v>45818</v>
      </c>
      <c r="C1338" s="1" t="n">
        <v>45828</v>
      </c>
      <c r="D1338" t="inlineStr">
        <is>
          <t>DALARNAS LÄN</t>
        </is>
      </c>
      <c r="E1338" t="inlineStr">
        <is>
          <t>LEKSAND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28499-2025</t>
        </is>
      </c>
      <c r="B1339" s="1" t="n">
        <v>45818</v>
      </c>
      <c r="C1339" s="1" t="n">
        <v>45828</v>
      </c>
      <c r="D1339" t="inlineStr">
        <is>
          <t>DALARNAS LÄN</t>
        </is>
      </c>
      <c r="E1339" t="inlineStr">
        <is>
          <t>LEKSAND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28505-2025</t>
        </is>
      </c>
      <c r="B1340" s="1" t="n">
        <v>45818</v>
      </c>
      <c r="C1340" s="1" t="n">
        <v>45828</v>
      </c>
      <c r="D1340" t="inlineStr">
        <is>
          <t>DALARNAS LÄN</t>
        </is>
      </c>
      <c r="E1340" t="inlineStr">
        <is>
          <t>LEKSAND</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28458-2025</t>
        </is>
      </c>
      <c r="B1341" s="1" t="n">
        <v>45819</v>
      </c>
      <c r="C1341" s="1" t="n">
        <v>45828</v>
      </c>
      <c r="D1341" t="inlineStr">
        <is>
          <t>DALARNAS LÄN</t>
        </is>
      </c>
      <c r="E1341" t="inlineStr">
        <is>
          <t>LEKSAND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28770-2025</t>
        </is>
      </c>
      <c r="B1342" s="1" t="n">
        <v>45820</v>
      </c>
      <c r="C1342" s="1" t="n">
        <v>45828</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29005-2025</t>
        </is>
      </c>
      <c r="B1343" s="1" t="n">
        <v>45821</v>
      </c>
      <c r="C1343" s="1" t="n">
        <v>45828</v>
      </c>
      <c r="D1343" t="inlineStr">
        <is>
          <t>DALARNAS LÄN</t>
        </is>
      </c>
      <c r="E1343" t="inlineStr">
        <is>
          <t>LEKSAND</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28985-2025</t>
        </is>
      </c>
      <c r="B1344" s="1" t="n">
        <v>45821</v>
      </c>
      <c r="C1344" s="1" t="n">
        <v>45828</v>
      </c>
      <c r="D1344" t="inlineStr">
        <is>
          <t>DALARNAS LÄN</t>
        </is>
      </c>
      <c r="E1344" t="inlineStr">
        <is>
          <t>LEKSAND</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29553-2025</t>
        </is>
      </c>
      <c r="B1345" s="1" t="n">
        <v>45825</v>
      </c>
      <c r="C1345" s="1" t="n">
        <v>45828</v>
      </c>
      <c r="D1345" t="inlineStr">
        <is>
          <t>DALARNAS LÄN</t>
        </is>
      </c>
      <c r="E1345" t="inlineStr">
        <is>
          <t>LEKSAND</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29729-2025</t>
        </is>
      </c>
      <c r="B1346" s="1" t="n">
        <v>45825</v>
      </c>
      <c r="C1346" s="1" t="n">
        <v>45828</v>
      </c>
      <c r="D1346" t="inlineStr">
        <is>
          <t>DALARNAS LÄN</t>
        </is>
      </c>
      <c r="E1346" t="inlineStr">
        <is>
          <t>LEKSAND</t>
        </is>
      </c>
      <c r="F1346" t="inlineStr">
        <is>
          <t>Bergvik skog väst AB</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30254-2025</t>
        </is>
      </c>
      <c r="B1347" s="1" t="n">
        <v>45827</v>
      </c>
      <c r="C1347" s="1" t="n">
        <v>45828</v>
      </c>
      <c r="D1347" t="inlineStr">
        <is>
          <t>DALARNAS LÄN</t>
        </is>
      </c>
      <c r="E1347" t="inlineStr">
        <is>
          <t>LEKSAND</t>
        </is>
      </c>
      <c r="G1347" t="n">
        <v>3.5</v>
      </c>
      <c r="H1347" t="n">
        <v>0</v>
      </c>
      <c r="I1347" t="n">
        <v>0</v>
      </c>
      <c r="J1347" t="n">
        <v>0</v>
      </c>
      <c r="K1347" t="n">
        <v>0</v>
      </c>
      <c r="L1347" t="n">
        <v>0</v>
      </c>
      <c r="M1347" t="n">
        <v>0</v>
      </c>
      <c r="N1347" t="n">
        <v>0</v>
      </c>
      <c r="O1347" t="n">
        <v>0</v>
      </c>
      <c r="P1347" t="n">
        <v>0</v>
      </c>
      <c r="Q1347" t="n">
        <v>0</v>
      </c>
      <c r="R1347" s="2" t="inlineStr"/>
    </row>
    <row r="1348">
      <c r="A1348" t="inlineStr">
        <is>
          <t>A 30224-2025</t>
        </is>
      </c>
      <c r="B1348" s="1" t="n">
        <v>45827</v>
      </c>
      <c r="C1348" s="1" t="n">
        <v>45828</v>
      </c>
      <c r="D1348" t="inlineStr">
        <is>
          <t>DALARNAS LÄN</t>
        </is>
      </c>
      <c r="E1348" t="inlineStr">
        <is>
          <t>LEKSAND</t>
        </is>
      </c>
      <c r="G1348" t="n">
        <v>14.6</v>
      </c>
      <c r="H1348" t="n">
        <v>0</v>
      </c>
      <c r="I1348" t="n">
        <v>0</v>
      </c>
      <c r="J1348" t="n">
        <v>0</v>
      </c>
      <c r="K1348" t="n">
        <v>0</v>
      </c>
      <c r="L1348" t="n">
        <v>0</v>
      </c>
      <c r="M1348" t="n">
        <v>0</v>
      </c>
      <c r="N1348" t="n">
        <v>0</v>
      </c>
      <c r="O1348" t="n">
        <v>0</v>
      </c>
      <c r="P1348" t="n">
        <v>0</v>
      </c>
      <c r="Q1348" t="n">
        <v>0</v>
      </c>
      <c r="R1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2025-06-20T19:19:09Z</dcterms:created>
  <dcterms:modified xmlns:dcterms="http://purl.org/dc/terms/" xmlns:xsi="http://www.w3.org/2001/XMLSchema-instance" xsi:type="dcterms:W3CDTF">2025-06-20T19:19:10Z</dcterms:modified>
</cp:coreProperties>
</file>