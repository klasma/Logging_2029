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46081</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46081</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46081</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46081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46081</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46081</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46081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46081</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46081</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46081</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46081</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46081</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46081</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46081</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46081</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46081</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46081</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46081</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46081</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46081</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46081</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46081</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46081</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164-2024</t>
        </is>
      </c>
      <c r="B35" s="1" t="n">
        <v>45294.49954861111</v>
      </c>
      <c r="C35" s="1" t="n">
        <v>46081</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46081</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34993-2025</t>
        </is>
      </c>
      <c r="B37" s="1" t="n">
        <v>45849.82383101852</v>
      </c>
      <c r="C37" s="1" t="n">
        <v>46081</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46081</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53633-2024</t>
        </is>
      </c>
      <c r="B39" s="1" t="n">
        <v>45614.83726851852</v>
      </c>
      <c r="C39" s="1" t="n">
        <v>46081</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45375-2025</t>
        </is>
      </c>
      <c r="B40" s="1" t="n">
        <v>45922.39347222223</v>
      </c>
      <c r="C40" s="1" t="n">
        <v>46081</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47601-2025</t>
        </is>
      </c>
      <c r="B41" s="1" t="n">
        <v>45931.46008101852</v>
      </c>
      <c r="C41" s="1" t="n">
        <v>46081</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4974-2025</t>
        </is>
      </c>
      <c r="B42" s="1" t="n">
        <v>45690.8478587963</v>
      </c>
      <c r="C42" s="1" t="n">
        <v>46081</v>
      </c>
      <c r="D42" t="inlineStr">
        <is>
          <t>DALARNAS LÄN</t>
        </is>
      </c>
      <c r="E42" t="inlineStr">
        <is>
          <t>LEKSAND</t>
        </is>
      </c>
      <c r="G42" t="n">
        <v>0.9</v>
      </c>
      <c r="H42" t="n">
        <v>1</v>
      </c>
      <c r="I42" t="n">
        <v>0</v>
      </c>
      <c r="J42" t="n">
        <v>1</v>
      </c>
      <c r="K42" t="n">
        <v>0</v>
      </c>
      <c r="L42" t="n">
        <v>0</v>
      </c>
      <c r="M42" t="n">
        <v>0</v>
      </c>
      <c r="N42" t="n">
        <v>0</v>
      </c>
      <c r="O42" t="n">
        <v>1</v>
      </c>
      <c r="P42" t="n">
        <v>0</v>
      </c>
      <c r="Q42" t="n">
        <v>1</v>
      </c>
      <c r="R42" s="2" t="inlineStr">
        <is>
          <t>Spillkråka</t>
        </is>
      </c>
      <c r="S42">
        <f>HYPERLINK("https://klasma.github.io/Logging_2029/artfynd/A 4974-2025 artfynd.xlsx", "A 4974-2025")</f>
        <v/>
      </c>
      <c r="T42">
        <f>HYPERLINK("https://klasma.github.io/Logging_2029/kartor/A 4974-2025 karta.png", "A 4974-2025")</f>
        <v/>
      </c>
      <c r="V42">
        <f>HYPERLINK("https://klasma.github.io/Logging_2029/klagomål/A 4974-2025 FSC-klagomål.docx", "A 4974-2025")</f>
        <v/>
      </c>
      <c r="W42">
        <f>HYPERLINK("https://klasma.github.io/Logging_2029/klagomålsmail/A 4974-2025 FSC-klagomål mail.docx", "A 4974-2025")</f>
        <v/>
      </c>
      <c r="X42">
        <f>HYPERLINK("https://klasma.github.io/Logging_2029/tillsyn/A 4974-2025 tillsynsbegäran.docx", "A 4974-2025")</f>
        <v/>
      </c>
      <c r="Y42">
        <f>HYPERLINK("https://klasma.github.io/Logging_2029/tillsynsmail/A 4974-2025 tillsynsbegäran mail.docx", "A 4974-2025")</f>
        <v/>
      </c>
      <c r="Z42">
        <f>HYPERLINK("https://klasma.github.io/Logging_2029/fåglar/A 4974-2025 prioriterade fågelarter.docx", "A 4974-2025")</f>
        <v/>
      </c>
    </row>
    <row r="43" ht="15" customHeight="1">
      <c r="A43" t="inlineStr">
        <is>
          <t>A 16333-2023</t>
        </is>
      </c>
      <c r="B43" s="1" t="n">
        <v>45028</v>
      </c>
      <c r="C43" s="1" t="n">
        <v>46081</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46081</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41873-2022</t>
        </is>
      </c>
      <c r="B45" s="1" t="n">
        <v>44829</v>
      </c>
      <c r="C45" s="1" t="n">
        <v>46081</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11218-2023</t>
        </is>
      </c>
      <c r="B46" s="1" t="n">
        <v>44992.62401620371</v>
      </c>
      <c r="C46" s="1" t="n">
        <v>46081</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36778-2025</t>
        </is>
      </c>
      <c r="B47" s="1" t="n">
        <v>45873</v>
      </c>
      <c r="C47" s="1" t="n">
        <v>46081</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57760-2025</t>
        </is>
      </c>
      <c r="B48" s="1" t="n">
        <v>45981</v>
      </c>
      <c r="C48" s="1" t="n">
        <v>46081</v>
      </c>
      <c r="D48" t="inlineStr">
        <is>
          <t>DALARNAS LÄN</t>
        </is>
      </c>
      <c r="E48" t="inlineStr">
        <is>
          <t>LEKSAND</t>
        </is>
      </c>
      <c r="G48" t="n">
        <v>3.9</v>
      </c>
      <c r="H48" t="n">
        <v>1</v>
      </c>
      <c r="I48" t="n">
        <v>0</v>
      </c>
      <c r="J48" t="n">
        <v>1</v>
      </c>
      <c r="K48" t="n">
        <v>0</v>
      </c>
      <c r="L48" t="n">
        <v>0</v>
      </c>
      <c r="M48" t="n">
        <v>0</v>
      </c>
      <c r="N48" t="n">
        <v>0</v>
      </c>
      <c r="O48" t="n">
        <v>1</v>
      </c>
      <c r="P48" t="n">
        <v>0</v>
      </c>
      <c r="Q48" t="n">
        <v>1</v>
      </c>
      <c r="R48" s="2" t="inlineStr">
        <is>
          <t>Duvhök</t>
        </is>
      </c>
      <c r="S48">
        <f>HYPERLINK("https://klasma.github.io/Logging_2029/artfynd/A 57760-2025 artfynd.xlsx", "A 57760-2025")</f>
        <v/>
      </c>
      <c r="T48">
        <f>HYPERLINK("https://klasma.github.io/Logging_2029/kartor/A 57760-2025 karta.png", "A 57760-2025")</f>
        <v/>
      </c>
      <c r="V48">
        <f>HYPERLINK("https://klasma.github.io/Logging_2029/klagomål/A 57760-2025 FSC-klagomål.docx", "A 57760-2025")</f>
        <v/>
      </c>
      <c r="W48">
        <f>HYPERLINK("https://klasma.github.io/Logging_2029/klagomålsmail/A 57760-2025 FSC-klagomål mail.docx", "A 57760-2025")</f>
        <v/>
      </c>
      <c r="X48">
        <f>HYPERLINK("https://klasma.github.io/Logging_2029/tillsyn/A 57760-2025 tillsynsbegäran.docx", "A 57760-2025")</f>
        <v/>
      </c>
      <c r="Y48">
        <f>HYPERLINK("https://klasma.github.io/Logging_2029/tillsynsmail/A 57760-2025 tillsynsbegäran mail.docx", "A 57760-2025")</f>
        <v/>
      </c>
      <c r="Z48">
        <f>HYPERLINK("https://klasma.github.io/Logging_2029/fåglar/A 57760-2025 prioriterade fågelarter.docx", "A 57760-2025")</f>
        <v/>
      </c>
    </row>
    <row r="49" ht="15" customHeight="1">
      <c r="A49" t="inlineStr">
        <is>
          <t>A 33318-2023</t>
        </is>
      </c>
      <c r="B49" s="1" t="n">
        <v>45127</v>
      </c>
      <c r="C49" s="1" t="n">
        <v>46081</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Sparvuggla</t>
        </is>
      </c>
      <c r="S49">
        <f>HYPERLINK("https://klasma.github.io/Logging_2029/artfynd/A 33318-2023 artfynd.xlsx", "A 33318-2023")</f>
        <v/>
      </c>
      <c r="T49">
        <f>HYPERLINK("https://klasma.github.io/Logging_2029/kartor/A 33318-2023 karta.png", "A 33318-2023")</f>
        <v/>
      </c>
      <c r="V49">
        <f>HYPERLINK("https://klasma.github.io/Logging_2029/klagomål/A 33318-2023 FSC-klagomål.docx", "A 33318-2023")</f>
        <v/>
      </c>
      <c r="W49">
        <f>HYPERLINK("https://klasma.github.io/Logging_2029/klagomålsmail/A 33318-2023 FSC-klagomål mail.docx", "A 33318-2023")</f>
        <v/>
      </c>
      <c r="X49">
        <f>HYPERLINK("https://klasma.github.io/Logging_2029/tillsyn/A 33318-2023 tillsynsbegäran.docx", "A 33318-2023")</f>
        <v/>
      </c>
      <c r="Y49">
        <f>HYPERLINK("https://klasma.github.io/Logging_2029/tillsynsmail/A 33318-2023 tillsynsbegäran mail.docx", "A 33318-2023")</f>
        <v/>
      </c>
      <c r="Z49">
        <f>HYPERLINK("https://klasma.github.io/Logging_2029/fåglar/A 33318-2023 prioriterade fågelarter.docx", "A 33318-2023")</f>
        <v/>
      </c>
    </row>
    <row r="50" ht="15" customHeight="1">
      <c r="A50" t="inlineStr">
        <is>
          <t>A 3061-2026</t>
        </is>
      </c>
      <c r="B50" s="1" t="n">
        <v>46039.95699074074</v>
      </c>
      <c r="C50" s="1" t="n">
        <v>46081</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3061-2026 artfynd.xlsx", "A 3061-2026")</f>
        <v/>
      </c>
      <c r="T50">
        <f>HYPERLINK("https://klasma.github.io/Logging_2029/kartor/A 3061-2026 karta.png", "A 3061-2026")</f>
        <v/>
      </c>
      <c r="V50">
        <f>HYPERLINK("https://klasma.github.io/Logging_2029/klagomål/A 3061-2026 FSC-klagomål.docx", "A 3061-2026")</f>
        <v/>
      </c>
      <c r="W50">
        <f>HYPERLINK("https://klasma.github.io/Logging_2029/klagomålsmail/A 3061-2026 FSC-klagomål mail.docx", "A 3061-2026")</f>
        <v/>
      </c>
      <c r="X50">
        <f>HYPERLINK("https://klasma.github.io/Logging_2029/tillsyn/A 3061-2026 tillsynsbegäran.docx", "A 3061-2026")</f>
        <v/>
      </c>
      <c r="Y50">
        <f>HYPERLINK("https://klasma.github.io/Logging_2029/tillsynsmail/A 3061-2026 tillsynsbegäran mail.docx", "A 3061-2026")</f>
        <v/>
      </c>
    </row>
    <row r="51" ht="15" customHeight="1">
      <c r="A51" t="inlineStr">
        <is>
          <t>A 55633-2024</t>
        </is>
      </c>
      <c r="B51" s="1" t="n">
        <v>45621</v>
      </c>
      <c r="C51" s="1" t="n">
        <v>46081</v>
      </c>
      <c r="D51" t="inlineStr">
        <is>
          <t>DALARNAS LÄN</t>
        </is>
      </c>
      <c r="E51" t="inlineStr">
        <is>
          <t>LEKSAND</t>
        </is>
      </c>
      <c r="G51" t="n">
        <v>7.8</v>
      </c>
      <c r="H51" t="n">
        <v>0</v>
      </c>
      <c r="I51" t="n">
        <v>0</v>
      </c>
      <c r="J51" t="n">
        <v>1</v>
      </c>
      <c r="K51" t="n">
        <v>0</v>
      </c>
      <c r="L51" t="n">
        <v>0</v>
      </c>
      <c r="M51" t="n">
        <v>0</v>
      </c>
      <c r="N51" t="n">
        <v>0</v>
      </c>
      <c r="O51" t="n">
        <v>1</v>
      </c>
      <c r="P51" t="n">
        <v>0</v>
      </c>
      <c r="Q51" t="n">
        <v>1</v>
      </c>
      <c r="R51" s="2" t="inlineStr">
        <is>
          <t>Ullticka</t>
        </is>
      </c>
      <c r="S51">
        <f>HYPERLINK("https://klasma.github.io/Logging_2029/artfynd/A 55633-2024 artfynd.xlsx", "A 55633-2024")</f>
        <v/>
      </c>
      <c r="T51">
        <f>HYPERLINK("https://klasma.github.io/Logging_2029/kartor/A 55633-2024 karta.png", "A 55633-2024")</f>
        <v/>
      </c>
      <c r="V51">
        <f>HYPERLINK("https://klasma.github.io/Logging_2029/klagomål/A 55633-2024 FSC-klagomål.docx", "A 55633-2024")</f>
        <v/>
      </c>
      <c r="W51">
        <f>HYPERLINK("https://klasma.github.io/Logging_2029/klagomålsmail/A 55633-2024 FSC-klagomål mail.docx", "A 55633-2024")</f>
        <v/>
      </c>
      <c r="X51">
        <f>HYPERLINK("https://klasma.github.io/Logging_2029/tillsyn/A 55633-2024 tillsynsbegäran.docx", "A 55633-2024")</f>
        <v/>
      </c>
      <c r="Y51">
        <f>HYPERLINK("https://klasma.github.io/Logging_2029/tillsynsmail/A 55633-2024 tillsynsbegäran mail.docx", "A 55633-2024")</f>
        <v/>
      </c>
    </row>
    <row r="52" ht="15" customHeight="1">
      <c r="A52" t="inlineStr">
        <is>
          <t>A 52600-2024</t>
        </is>
      </c>
      <c r="B52" s="1" t="n">
        <v>45609</v>
      </c>
      <c r="C52" s="1" t="n">
        <v>46081</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6636-2026</t>
        </is>
      </c>
      <c r="B53" s="1" t="n">
        <v>46056.52956018518</v>
      </c>
      <c r="C53" s="1" t="n">
        <v>46081</v>
      </c>
      <c r="D53" t="inlineStr">
        <is>
          <t>DALARNAS LÄN</t>
        </is>
      </c>
      <c r="E53" t="inlineStr">
        <is>
          <t>LEKSAND</t>
        </is>
      </c>
      <c r="G53" t="n">
        <v>2.5</v>
      </c>
      <c r="H53" t="n">
        <v>1</v>
      </c>
      <c r="I53" t="n">
        <v>0</v>
      </c>
      <c r="J53" t="n">
        <v>0</v>
      </c>
      <c r="K53" t="n">
        <v>1</v>
      </c>
      <c r="L53" t="n">
        <v>0</v>
      </c>
      <c r="M53" t="n">
        <v>0</v>
      </c>
      <c r="N53" t="n">
        <v>0</v>
      </c>
      <c r="O53" t="n">
        <v>1</v>
      </c>
      <c r="P53" t="n">
        <v>1</v>
      </c>
      <c r="Q53" t="n">
        <v>1</v>
      </c>
      <c r="R53" s="2" t="inlineStr">
        <is>
          <t>Knärot</t>
        </is>
      </c>
      <c r="S53">
        <f>HYPERLINK("https://klasma.github.io/Logging_2029/artfynd/A 6636-2026 artfynd.xlsx", "A 6636-2026")</f>
        <v/>
      </c>
      <c r="T53">
        <f>HYPERLINK("https://klasma.github.io/Logging_2029/kartor/A 6636-2026 karta.png", "A 6636-2026")</f>
        <v/>
      </c>
      <c r="U53">
        <f>HYPERLINK("https://klasma.github.io/Logging_2029/knärot/A 6636-2026 karta knärot.png", "A 6636-2026")</f>
        <v/>
      </c>
      <c r="V53">
        <f>HYPERLINK("https://klasma.github.io/Logging_2029/klagomål/A 6636-2026 FSC-klagomål.docx", "A 6636-2026")</f>
        <v/>
      </c>
      <c r="W53">
        <f>HYPERLINK("https://klasma.github.io/Logging_2029/klagomålsmail/A 6636-2026 FSC-klagomål mail.docx", "A 6636-2026")</f>
        <v/>
      </c>
      <c r="X53">
        <f>HYPERLINK("https://klasma.github.io/Logging_2029/tillsyn/A 6636-2026 tillsynsbegäran.docx", "A 6636-2026")</f>
        <v/>
      </c>
      <c r="Y53">
        <f>HYPERLINK("https://klasma.github.io/Logging_2029/tillsynsmail/A 6636-2026 tillsynsbegäran mail.docx", "A 6636-2026")</f>
        <v/>
      </c>
    </row>
    <row r="54" ht="15" customHeight="1">
      <c r="A54" t="inlineStr">
        <is>
          <t>A 59205-2023</t>
        </is>
      </c>
      <c r="B54" s="1" t="n">
        <v>45251</v>
      </c>
      <c r="C54" s="1" t="n">
        <v>46081</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366-2026</t>
        </is>
      </c>
      <c r="B55" s="1" t="n">
        <v>46027</v>
      </c>
      <c r="C55" s="1" t="n">
        <v>46081</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5428-2026</t>
        </is>
      </c>
      <c r="B56" s="1" t="n">
        <v>46050</v>
      </c>
      <c r="C56" s="1" t="n">
        <v>46081</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6029-2025</t>
        </is>
      </c>
      <c r="B57" s="1" t="n">
        <v>45695</v>
      </c>
      <c r="C57" s="1" t="n">
        <v>46081</v>
      </c>
      <c r="D57" t="inlineStr">
        <is>
          <t>DALARNAS LÄN</t>
        </is>
      </c>
      <c r="E57" t="inlineStr">
        <is>
          <t>LEKSAND</t>
        </is>
      </c>
      <c r="G57" t="n">
        <v>3.5</v>
      </c>
      <c r="H57" t="n">
        <v>1</v>
      </c>
      <c r="I57" t="n">
        <v>0</v>
      </c>
      <c r="J57" t="n">
        <v>1</v>
      </c>
      <c r="K57" t="n">
        <v>0</v>
      </c>
      <c r="L57" t="n">
        <v>0</v>
      </c>
      <c r="M57" t="n">
        <v>0</v>
      </c>
      <c r="N57" t="n">
        <v>0</v>
      </c>
      <c r="O57" t="n">
        <v>1</v>
      </c>
      <c r="P57" t="n">
        <v>0</v>
      </c>
      <c r="Q57" t="n">
        <v>1</v>
      </c>
      <c r="R57" s="2" t="inlineStr">
        <is>
          <t>Spillkråka</t>
        </is>
      </c>
      <c r="S57">
        <f>HYPERLINK("https://klasma.github.io/Logging_2029/artfynd/A 6029-2025 artfynd.xlsx", "A 6029-2025")</f>
        <v/>
      </c>
      <c r="T57">
        <f>HYPERLINK("https://klasma.github.io/Logging_2029/kartor/A 6029-2025 karta.png", "A 6029-2025")</f>
        <v/>
      </c>
      <c r="V57">
        <f>HYPERLINK("https://klasma.github.io/Logging_2029/klagomål/A 6029-2025 FSC-klagomål.docx", "A 6029-2025")</f>
        <v/>
      </c>
      <c r="W57">
        <f>HYPERLINK("https://klasma.github.io/Logging_2029/klagomålsmail/A 6029-2025 FSC-klagomål mail.docx", "A 6029-2025")</f>
        <v/>
      </c>
      <c r="X57">
        <f>HYPERLINK("https://klasma.github.io/Logging_2029/tillsyn/A 6029-2025 tillsynsbegäran.docx", "A 6029-2025")</f>
        <v/>
      </c>
      <c r="Y57">
        <f>HYPERLINK("https://klasma.github.io/Logging_2029/tillsynsmail/A 6029-2025 tillsynsbegäran mail.docx", "A 6029-2025")</f>
        <v/>
      </c>
      <c r="Z57">
        <f>HYPERLINK("https://klasma.github.io/Logging_2029/fåglar/A 6029-2025 prioriterade fågelarter.docx", "A 6029-2025")</f>
        <v/>
      </c>
    </row>
    <row r="58" ht="15" customHeight="1">
      <c r="A58" t="inlineStr">
        <is>
          <t>A 16735-2025</t>
        </is>
      </c>
      <c r="B58" s="1" t="n">
        <v>45754.54314814815</v>
      </c>
      <c r="C58" s="1" t="n">
        <v>46081</v>
      </c>
      <c r="D58" t="inlineStr">
        <is>
          <t>DALARNAS LÄN</t>
        </is>
      </c>
      <c r="E58" t="inlineStr">
        <is>
          <t>LEKSAND</t>
        </is>
      </c>
      <c r="G58" t="n">
        <v>1.8</v>
      </c>
      <c r="H58" t="n">
        <v>1</v>
      </c>
      <c r="I58" t="n">
        <v>0</v>
      </c>
      <c r="J58" t="n">
        <v>0</v>
      </c>
      <c r="K58" t="n">
        <v>0</v>
      </c>
      <c r="L58" t="n">
        <v>0</v>
      </c>
      <c r="M58" t="n">
        <v>0</v>
      </c>
      <c r="N58" t="n">
        <v>0</v>
      </c>
      <c r="O58" t="n">
        <v>0</v>
      </c>
      <c r="P58" t="n">
        <v>0</v>
      </c>
      <c r="Q58" t="n">
        <v>1</v>
      </c>
      <c r="R58" s="2" t="inlineStr">
        <is>
          <t>Gröngöling</t>
        </is>
      </c>
      <c r="S58">
        <f>HYPERLINK("https://klasma.github.io/Logging_2029/artfynd/A 16735-2025 artfynd.xlsx", "A 16735-2025")</f>
        <v/>
      </c>
      <c r="T58">
        <f>HYPERLINK("https://klasma.github.io/Logging_2029/kartor/A 16735-2025 karta.png", "A 16735-2025")</f>
        <v/>
      </c>
      <c r="V58">
        <f>HYPERLINK("https://klasma.github.io/Logging_2029/klagomål/A 16735-2025 FSC-klagomål.docx", "A 16735-2025")</f>
        <v/>
      </c>
      <c r="W58">
        <f>HYPERLINK("https://klasma.github.io/Logging_2029/klagomålsmail/A 16735-2025 FSC-klagomål mail.docx", "A 16735-2025")</f>
        <v/>
      </c>
      <c r="X58">
        <f>HYPERLINK("https://klasma.github.io/Logging_2029/tillsyn/A 16735-2025 tillsynsbegäran.docx", "A 16735-2025")</f>
        <v/>
      </c>
      <c r="Y58">
        <f>HYPERLINK("https://klasma.github.io/Logging_2029/tillsynsmail/A 16735-2025 tillsynsbegäran mail.docx", "A 16735-2025")</f>
        <v/>
      </c>
      <c r="Z58">
        <f>HYPERLINK("https://klasma.github.io/Logging_2029/fåglar/A 16735-2025 prioriterade fågelarter.docx", "A 16735-2025")</f>
        <v/>
      </c>
    </row>
    <row r="59" ht="15" customHeight="1">
      <c r="A59" t="inlineStr">
        <is>
          <t>A 23137-2022</t>
        </is>
      </c>
      <c r="B59" s="1" t="n">
        <v>44719</v>
      </c>
      <c r="C59" s="1" t="n">
        <v>46081</v>
      </c>
      <c r="D59" t="inlineStr">
        <is>
          <t>DALARNAS LÄN</t>
        </is>
      </c>
      <c r="E59" t="inlineStr">
        <is>
          <t>LEKSAND</t>
        </is>
      </c>
      <c r="G59" t="n">
        <v>3</v>
      </c>
      <c r="H59" t="n">
        <v>0</v>
      </c>
      <c r="I59" t="n">
        <v>0</v>
      </c>
      <c r="J59" t="n">
        <v>0</v>
      </c>
      <c r="K59" t="n">
        <v>1</v>
      </c>
      <c r="L59" t="n">
        <v>0</v>
      </c>
      <c r="M59" t="n">
        <v>0</v>
      </c>
      <c r="N59" t="n">
        <v>0</v>
      </c>
      <c r="O59" t="n">
        <v>1</v>
      </c>
      <c r="P59" t="n">
        <v>1</v>
      </c>
      <c r="Q59" t="n">
        <v>1</v>
      </c>
      <c r="R59" s="2" t="inlineStr">
        <is>
          <t>Koppartaggsvamp</t>
        </is>
      </c>
      <c r="S59">
        <f>HYPERLINK("https://klasma.github.io/Logging_2029/artfynd/A 23137-2022 artfynd.xlsx", "A 23137-2022")</f>
        <v/>
      </c>
      <c r="T59">
        <f>HYPERLINK("https://klasma.github.io/Logging_2029/kartor/A 23137-2022 karta.png", "A 23137-2022")</f>
        <v/>
      </c>
      <c r="V59">
        <f>HYPERLINK("https://klasma.github.io/Logging_2029/klagomål/A 23137-2022 FSC-klagomål.docx", "A 23137-2022")</f>
        <v/>
      </c>
      <c r="W59">
        <f>HYPERLINK("https://klasma.github.io/Logging_2029/klagomålsmail/A 23137-2022 FSC-klagomål mail.docx", "A 23137-2022")</f>
        <v/>
      </c>
      <c r="X59">
        <f>HYPERLINK("https://klasma.github.io/Logging_2029/tillsyn/A 23137-2022 tillsynsbegäran.docx", "A 23137-2022")</f>
        <v/>
      </c>
      <c r="Y59">
        <f>HYPERLINK("https://klasma.github.io/Logging_2029/tillsynsmail/A 23137-2022 tillsynsbegäran mail.docx", "A 23137-2022")</f>
        <v/>
      </c>
    </row>
    <row r="60" ht="15" customHeight="1">
      <c r="A60" t="inlineStr">
        <is>
          <t>A 31124-2024</t>
        </is>
      </c>
      <c r="B60" s="1" t="n">
        <v>45502.62886574074</v>
      </c>
      <c r="C60" s="1" t="n">
        <v>46081</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46081</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46081</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46081</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46081</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46081</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46081</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46081</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46081</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46081</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46081</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46081</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46081</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46081</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46081</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46081</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63831-2021</t>
        </is>
      </c>
      <c r="B76" s="1" t="n">
        <v>44509.58097222223</v>
      </c>
      <c r="C76" s="1" t="n">
        <v>46081</v>
      </c>
      <c r="D76" t="inlineStr">
        <is>
          <t>DALARNAS LÄN</t>
        </is>
      </c>
      <c r="E76" t="inlineStr">
        <is>
          <t>LEKSAND</t>
        </is>
      </c>
      <c r="F76" t="inlineStr">
        <is>
          <t>Bergvik skog väst AB</t>
        </is>
      </c>
      <c r="G76" t="n">
        <v>2.6</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46081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46081</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46081</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46081</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46081</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53293-2022</t>
        </is>
      </c>
      <c r="B82" s="1" t="n">
        <v>44877</v>
      </c>
      <c r="C82" s="1" t="n">
        <v>46081</v>
      </c>
      <c r="D82" t="inlineStr">
        <is>
          <t>DALARNAS LÄN</t>
        </is>
      </c>
      <c r="E82" t="inlineStr">
        <is>
          <t>LEKSAND</t>
        </is>
      </c>
      <c r="G82" t="n">
        <v>0.4</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46081</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46081</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46081</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46081</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46081</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46081</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46081</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46081</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46081</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46081</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46081</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46081</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46081</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46081</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46081</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46081</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46081</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46081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46081</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46081</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46081</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46081</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46081</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46081</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46081</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46081</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46081</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46081</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46081</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46081</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46081</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46081</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46081</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32635-2021</t>
        </is>
      </c>
      <c r="B116" s="1" t="n">
        <v>44374</v>
      </c>
      <c r="C116" s="1" t="n">
        <v>46081</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45040-2021</t>
        </is>
      </c>
      <c r="B117" s="1" t="n">
        <v>44438</v>
      </c>
      <c r="C117" s="1" t="n">
        <v>46081</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46081</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28128-2022</t>
        </is>
      </c>
      <c r="B119" s="1" t="n">
        <v>44746.50628472222</v>
      </c>
      <c r="C119" s="1" t="n">
        <v>46081</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14797-2025</t>
        </is>
      </c>
      <c r="B120" s="1" t="n">
        <v>45742.90363425926</v>
      </c>
      <c r="C120" s="1" t="n">
        <v>46081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46081</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46081</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46081</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13161-2024</t>
        </is>
      </c>
      <c r="B124" s="1" t="n">
        <v>45386.38972222222</v>
      </c>
      <c r="C124" s="1" t="n">
        <v>46081</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59826-2023</t>
        </is>
      </c>
      <c r="B125" s="1" t="n">
        <v>45254</v>
      </c>
      <c r="C125" s="1" t="n">
        <v>46081</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7417-2024</t>
        </is>
      </c>
      <c r="B126" s="1" t="n">
        <v>45345.62378472222</v>
      </c>
      <c r="C126" s="1" t="n">
        <v>46081</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46081</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46081</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19559-2023</t>
        </is>
      </c>
      <c r="B129" s="1" t="n">
        <v>45050</v>
      </c>
      <c r="C129" s="1" t="n">
        <v>46081</v>
      </c>
      <c r="D129" t="inlineStr">
        <is>
          <t>DALARNAS LÄN</t>
        </is>
      </c>
      <c r="E129" t="inlineStr">
        <is>
          <t>LEKSAND</t>
        </is>
      </c>
      <c r="G129" t="n">
        <v>0.1</v>
      </c>
      <c r="H129" t="n">
        <v>0</v>
      </c>
      <c r="I129" t="n">
        <v>0</v>
      </c>
      <c r="J129" t="n">
        <v>0</v>
      </c>
      <c r="K129" t="n">
        <v>0</v>
      </c>
      <c r="L129" t="n">
        <v>0</v>
      </c>
      <c r="M129" t="n">
        <v>0</v>
      </c>
      <c r="N129" t="n">
        <v>0</v>
      </c>
      <c r="O129" t="n">
        <v>0</v>
      </c>
      <c r="P129" t="n">
        <v>0</v>
      </c>
      <c r="Q129" t="n">
        <v>0</v>
      </c>
      <c r="R129" s="2" t="inlineStr"/>
    </row>
    <row r="130" ht="15" customHeight="1">
      <c r="A130" t="inlineStr">
        <is>
          <t>A 6758-2024</t>
        </is>
      </c>
      <c r="B130" s="1" t="n">
        <v>45342.46857638889</v>
      </c>
      <c r="C130" s="1" t="n">
        <v>46081</v>
      </c>
      <c r="D130" t="inlineStr">
        <is>
          <t>DALARNAS LÄN</t>
        </is>
      </c>
      <c r="E130" t="inlineStr">
        <is>
          <t>LEKSAND</t>
        </is>
      </c>
      <c r="F130" t="inlineStr">
        <is>
          <t>Bergvik skog väst AB</t>
        </is>
      </c>
      <c r="G130" t="n">
        <v>6.2</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46081</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46081</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46081</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51857-2022</t>
        </is>
      </c>
      <c r="B134" s="1" t="n">
        <v>44867</v>
      </c>
      <c r="C134" s="1" t="n">
        <v>46081</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46081</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46081</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33072-2021</t>
        </is>
      </c>
      <c r="B137" s="1" t="n">
        <v>44375</v>
      </c>
      <c r="C137" s="1" t="n">
        <v>46081</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15968-2025</t>
        </is>
      </c>
      <c r="B138" s="1" t="n">
        <v>45749.54818287037</v>
      </c>
      <c r="C138" s="1" t="n">
        <v>46081</v>
      </c>
      <c r="D138" t="inlineStr">
        <is>
          <t>DALARNAS LÄN</t>
        </is>
      </c>
      <c r="E138" t="inlineStr">
        <is>
          <t>LEKSAND</t>
        </is>
      </c>
      <c r="G138" t="n">
        <v>3.2</v>
      </c>
      <c r="H138" t="n">
        <v>0</v>
      </c>
      <c r="I138" t="n">
        <v>0</v>
      </c>
      <c r="J138" t="n">
        <v>0</v>
      </c>
      <c r="K138" t="n">
        <v>0</v>
      </c>
      <c r="L138" t="n">
        <v>0</v>
      </c>
      <c r="M138" t="n">
        <v>0</v>
      </c>
      <c r="N138" t="n">
        <v>0</v>
      </c>
      <c r="O138" t="n">
        <v>0</v>
      </c>
      <c r="P138" t="n">
        <v>0</v>
      </c>
      <c r="Q138" t="n">
        <v>0</v>
      </c>
      <c r="R138" s="2" t="inlineStr"/>
    </row>
    <row r="139" ht="15" customHeight="1">
      <c r="A139" t="inlineStr">
        <is>
          <t>A 16005-2025</t>
        </is>
      </c>
      <c r="B139" s="1" t="n">
        <v>45749.59765046297</v>
      </c>
      <c r="C139" s="1" t="n">
        <v>46081</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8046-2024</t>
        </is>
      </c>
      <c r="B140" s="1" t="n">
        <v>45351.31555555556</v>
      </c>
      <c r="C140" s="1" t="n">
        <v>46081</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412-2024</t>
        </is>
      </c>
      <c r="B141" s="1" t="n">
        <v>45296</v>
      </c>
      <c r="C141" s="1" t="n">
        <v>46081</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59673-2023</t>
        </is>
      </c>
      <c r="B142" s="1" t="n">
        <v>45255.44603009259</v>
      </c>
      <c r="C142" s="1" t="n">
        <v>46081</v>
      </c>
      <c r="D142" t="inlineStr">
        <is>
          <t>DALARNAS LÄN</t>
        </is>
      </c>
      <c r="E142" t="inlineStr">
        <is>
          <t>LEKSAND</t>
        </is>
      </c>
      <c r="G142" t="n">
        <v>12.2</v>
      </c>
      <c r="H142" t="n">
        <v>0</v>
      </c>
      <c r="I142" t="n">
        <v>0</v>
      </c>
      <c r="J142" t="n">
        <v>0</v>
      </c>
      <c r="K142" t="n">
        <v>0</v>
      </c>
      <c r="L142" t="n">
        <v>0</v>
      </c>
      <c r="M142" t="n">
        <v>0</v>
      </c>
      <c r="N142" t="n">
        <v>0</v>
      </c>
      <c r="O142" t="n">
        <v>0</v>
      </c>
      <c r="P142" t="n">
        <v>0</v>
      </c>
      <c r="Q142" t="n">
        <v>0</v>
      </c>
      <c r="R142" s="2" t="inlineStr"/>
    </row>
    <row r="143" ht="15" customHeight="1">
      <c r="A143" t="inlineStr">
        <is>
          <t>A 23068-2024</t>
        </is>
      </c>
      <c r="B143" s="1" t="n">
        <v>45450.45521990741</v>
      </c>
      <c r="C143" s="1" t="n">
        <v>46081</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40755-2024</t>
        </is>
      </c>
      <c r="B144" s="1" t="n">
        <v>45558.45815972222</v>
      </c>
      <c r="C144" s="1" t="n">
        <v>46081</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23615-2024</t>
        </is>
      </c>
      <c r="B145" s="1" t="n">
        <v>45454.43050925926</v>
      </c>
      <c r="C145" s="1" t="n">
        <v>46081</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22281-2024</t>
        </is>
      </c>
      <c r="B146" s="1" t="n">
        <v>45446.54756944445</v>
      </c>
      <c r="C146" s="1" t="n">
        <v>46081</v>
      </c>
      <c r="D146" t="inlineStr">
        <is>
          <t>DALARNAS LÄN</t>
        </is>
      </c>
      <c r="E146" t="inlineStr">
        <is>
          <t>LEKSAND</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17726-2024</t>
        </is>
      </c>
      <c r="B147" s="1" t="n">
        <v>45418.55609953704</v>
      </c>
      <c r="C147" s="1" t="n">
        <v>46081</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5738-2023</t>
        </is>
      </c>
      <c r="B148" s="1" t="n">
        <v>44962</v>
      </c>
      <c r="C148" s="1" t="n">
        <v>46081</v>
      </c>
      <c r="D148" t="inlineStr">
        <is>
          <t>DALARNAS LÄN</t>
        </is>
      </c>
      <c r="E148" t="inlineStr">
        <is>
          <t>LEKSAND</t>
        </is>
      </c>
      <c r="G148" t="n">
        <v>0.2</v>
      </c>
      <c r="H148" t="n">
        <v>0</v>
      </c>
      <c r="I148" t="n">
        <v>0</v>
      </c>
      <c r="J148" t="n">
        <v>0</v>
      </c>
      <c r="K148" t="n">
        <v>0</v>
      </c>
      <c r="L148" t="n">
        <v>0</v>
      </c>
      <c r="M148" t="n">
        <v>0</v>
      </c>
      <c r="N148" t="n">
        <v>0</v>
      </c>
      <c r="O148" t="n">
        <v>0</v>
      </c>
      <c r="P148" t="n">
        <v>0</v>
      </c>
      <c r="Q148" t="n">
        <v>0</v>
      </c>
      <c r="R148" s="2" t="inlineStr"/>
    </row>
    <row r="149" ht="15" customHeight="1">
      <c r="A149" t="inlineStr">
        <is>
          <t>A 5570-2024</t>
        </is>
      </c>
      <c r="B149" s="1" t="n">
        <v>45334</v>
      </c>
      <c r="C149" s="1" t="n">
        <v>46081</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60692-2023</t>
        </is>
      </c>
      <c r="B150" s="1" t="n">
        <v>45260.50008101852</v>
      </c>
      <c r="C150" s="1" t="n">
        <v>46081</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2517-2024</t>
        </is>
      </c>
      <c r="B151" s="1" t="n">
        <v>45313</v>
      </c>
      <c r="C151" s="1" t="n">
        <v>46081</v>
      </c>
      <c r="D151" t="inlineStr">
        <is>
          <t>DALARNAS LÄN</t>
        </is>
      </c>
      <c r="E151" t="inlineStr">
        <is>
          <t>LEKSAND</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43693-2022</t>
        </is>
      </c>
      <c r="B152" s="1" t="n">
        <v>44837.6369212963</v>
      </c>
      <c r="C152" s="1" t="n">
        <v>46081</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43735-2022</t>
        </is>
      </c>
      <c r="B153" s="1" t="n">
        <v>44837.70210648148</v>
      </c>
      <c r="C153" s="1" t="n">
        <v>46081</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23283-2024</t>
        </is>
      </c>
      <c r="B154" s="1" t="n">
        <v>45453</v>
      </c>
      <c r="C154" s="1" t="n">
        <v>46081</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4121-2024</t>
        </is>
      </c>
      <c r="B155" s="1" t="n">
        <v>45323</v>
      </c>
      <c r="C155" s="1" t="n">
        <v>46081</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47121-2021</t>
        </is>
      </c>
      <c r="B156" s="1" t="n">
        <v>44446</v>
      </c>
      <c r="C156" s="1" t="n">
        <v>46081</v>
      </c>
      <c r="D156" t="inlineStr">
        <is>
          <t>DALARNAS LÄN</t>
        </is>
      </c>
      <c r="E156" t="inlineStr">
        <is>
          <t>LEKSAND</t>
        </is>
      </c>
      <c r="G156" t="n">
        <v>3.5</v>
      </c>
      <c r="H156" t="n">
        <v>0</v>
      </c>
      <c r="I156" t="n">
        <v>0</v>
      </c>
      <c r="J156" t="n">
        <v>0</v>
      </c>
      <c r="K156" t="n">
        <v>0</v>
      </c>
      <c r="L156" t="n">
        <v>0</v>
      </c>
      <c r="M156" t="n">
        <v>0</v>
      </c>
      <c r="N156" t="n">
        <v>0</v>
      </c>
      <c r="O156" t="n">
        <v>0</v>
      </c>
      <c r="P156" t="n">
        <v>0</v>
      </c>
      <c r="Q156" t="n">
        <v>0</v>
      </c>
      <c r="R156" s="2" t="inlineStr"/>
    </row>
    <row r="157" ht="15" customHeight="1">
      <c r="A157" t="inlineStr">
        <is>
          <t>A 32688-2024</t>
        </is>
      </c>
      <c r="B157" s="1" t="n">
        <v>45515.83091435185</v>
      </c>
      <c r="C157" s="1" t="n">
        <v>46081</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46081</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46081</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61614-2023</t>
        </is>
      </c>
      <c r="B160" s="1" t="n">
        <v>45261</v>
      </c>
      <c r="C160" s="1" t="n">
        <v>46081</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26062-2024</t>
        </is>
      </c>
      <c r="B161" s="1" t="n">
        <v>45468.3509375</v>
      </c>
      <c r="C161" s="1" t="n">
        <v>46081</v>
      </c>
      <c r="D161" t="inlineStr">
        <is>
          <t>DALARNAS LÄN</t>
        </is>
      </c>
      <c r="E161" t="inlineStr">
        <is>
          <t>LEKSAND</t>
        </is>
      </c>
      <c r="F161" t="inlineStr">
        <is>
          <t>Övriga statliga verk och myndigheter</t>
        </is>
      </c>
      <c r="G161" t="n">
        <v>6.4</v>
      </c>
      <c r="H161" t="n">
        <v>0</v>
      </c>
      <c r="I161" t="n">
        <v>0</v>
      </c>
      <c r="J161" t="n">
        <v>0</v>
      </c>
      <c r="K161" t="n">
        <v>0</v>
      </c>
      <c r="L161" t="n">
        <v>0</v>
      </c>
      <c r="M161" t="n">
        <v>0</v>
      </c>
      <c r="N161" t="n">
        <v>0</v>
      </c>
      <c r="O161" t="n">
        <v>0</v>
      </c>
      <c r="P161" t="n">
        <v>0</v>
      </c>
      <c r="Q161" t="n">
        <v>0</v>
      </c>
      <c r="R161" s="2" t="inlineStr"/>
    </row>
    <row r="162" ht="15" customHeight="1">
      <c r="A162" t="inlineStr">
        <is>
          <t>A 34585-2024</t>
        </is>
      </c>
      <c r="B162" s="1" t="n">
        <v>45526.37697916666</v>
      </c>
      <c r="C162" s="1" t="n">
        <v>46081</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63514-2023</t>
        </is>
      </c>
      <c r="B163" s="1" t="n">
        <v>45274</v>
      </c>
      <c r="C163" s="1" t="n">
        <v>46081</v>
      </c>
      <c r="D163" t="inlineStr">
        <is>
          <t>DALARNAS LÄN</t>
        </is>
      </c>
      <c r="E163" t="inlineStr">
        <is>
          <t>LEKSAND</t>
        </is>
      </c>
      <c r="G163" t="n">
        <v>1</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46081</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46081</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46081</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30204-2024</t>
        </is>
      </c>
      <c r="B167" s="1" t="n">
        <v>45490.35402777778</v>
      </c>
      <c r="C167" s="1" t="n">
        <v>46081</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5582-2024</t>
        </is>
      </c>
      <c r="B168" s="1" t="n">
        <v>45334</v>
      </c>
      <c r="C168" s="1" t="n">
        <v>46081</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5584-2024</t>
        </is>
      </c>
      <c r="B169" s="1" t="n">
        <v>45334</v>
      </c>
      <c r="C169" s="1" t="n">
        <v>46081</v>
      </c>
      <c r="D169" t="inlineStr">
        <is>
          <t>DALARNAS LÄN</t>
        </is>
      </c>
      <c r="E169" t="inlineStr">
        <is>
          <t>LEKSAND</t>
        </is>
      </c>
      <c r="F169" t="inlineStr">
        <is>
          <t>Kyrkan</t>
        </is>
      </c>
      <c r="G169" t="n">
        <v>0.4</v>
      </c>
      <c r="H169" t="n">
        <v>0</v>
      </c>
      <c r="I169" t="n">
        <v>0</v>
      </c>
      <c r="J169" t="n">
        <v>0</v>
      </c>
      <c r="K169" t="n">
        <v>0</v>
      </c>
      <c r="L169" t="n">
        <v>0</v>
      </c>
      <c r="M169" t="n">
        <v>0</v>
      </c>
      <c r="N169" t="n">
        <v>0</v>
      </c>
      <c r="O169" t="n">
        <v>0</v>
      </c>
      <c r="P169" t="n">
        <v>0</v>
      </c>
      <c r="Q169" t="n">
        <v>0</v>
      </c>
      <c r="R169" s="2" t="inlineStr"/>
    </row>
    <row r="170" ht="15" customHeight="1">
      <c r="A170" t="inlineStr">
        <is>
          <t>A 40752-2024</t>
        </is>
      </c>
      <c r="B170" s="1" t="n">
        <v>45558.45638888889</v>
      </c>
      <c r="C170" s="1" t="n">
        <v>46081</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19618-2024</t>
        </is>
      </c>
      <c r="B171" s="1" t="n">
        <v>45432.32896990741</v>
      </c>
      <c r="C171" s="1" t="n">
        <v>46081</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58244-2024</t>
        </is>
      </c>
      <c r="B172" s="1" t="n">
        <v>45631</v>
      </c>
      <c r="C172" s="1" t="n">
        <v>46081</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8743-2023</t>
        </is>
      </c>
      <c r="B173" s="1" t="n">
        <v>44978</v>
      </c>
      <c r="C173" s="1" t="n">
        <v>46081</v>
      </c>
      <c r="D173" t="inlineStr">
        <is>
          <t>DALARNAS LÄN</t>
        </is>
      </c>
      <c r="E173" t="inlineStr">
        <is>
          <t>LEKSAND</t>
        </is>
      </c>
      <c r="G173" t="n">
        <v>3</v>
      </c>
      <c r="H173" t="n">
        <v>0</v>
      </c>
      <c r="I173" t="n">
        <v>0</v>
      </c>
      <c r="J173" t="n">
        <v>0</v>
      </c>
      <c r="K173" t="n">
        <v>0</v>
      </c>
      <c r="L173" t="n">
        <v>0</v>
      </c>
      <c r="M173" t="n">
        <v>0</v>
      </c>
      <c r="N173" t="n">
        <v>0</v>
      </c>
      <c r="O173" t="n">
        <v>0</v>
      </c>
      <c r="P173" t="n">
        <v>0</v>
      </c>
      <c r="Q173" t="n">
        <v>0</v>
      </c>
      <c r="R173" s="2" t="inlineStr"/>
    </row>
    <row r="174" ht="15" customHeight="1">
      <c r="A174" t="inlineStr">
        <is>
          <t>A 62161-2024</t>
        </is>
      </c>
      <c r="B174" s="1" t="n">
        <v>45656.86009259259</v>
      </c>
      <c r="C174" s="1" t="n">
        <v>46081</v>
      </c>
      <c r="D174" t="inlineStr">
        <is>
          <t>DALARNAS LÄN</t>
        </is>
      </c>
      <c r="E174" t="inlineStr">
        <is>
          <t>LEKSAND</t>
        </is>
      </c>
      <c r="G174" t="n">
        <v>2</v>
      </c>
      <c r="H174" t="n">
        <v>0</v>
      </c>
      <c r="I174" t="n">
        <v>0</v>
      </c>
      <c r="J174" t="n">
        <v>0</v>
      </c>
      <c r="K174" t="n">
        <v>0</v>
      </c>
      <c r="L174" t="n">
        <v>0</v>
      </c>
      <c r="M174" t="n">
        <v>0</v>
      </c>
      <c r="N174" t="n">
        <v>0</v>
      </c>
      <c r="O174" t="n">
        <v>0</v>
      </c>
      <c r="P174" t="n">
        <v>0</v>
      </c>
      <c r="Q174" t="n">
        <v>0</v>
      </c>
      <c r="R174" s="2" t="inlineStr"/>
    </row>
    <row r="175" ht="15" customHeight="1">
      <c r="A175" t="inlineStr">
        <is>
          <t>A 11606-2025</t>
        </is>
      </c>
      <c r="B175" s="1" t="n">
        <v>45727</v>
      </c>
      <c r="C175" s="1" t="n">
        <v>46081</v>
      </c>
      <c r="D175" t="inlineStr">
        <is>
          <t>DALARNAS LÄN</t>
        </is>
      </c>
      <c r="E175" t="inlineStr">
        <is>
          <t>LEKSAND</t>
        </is>
      </c>
      <c r="G175" t="n">
        <v>2.3</v>
      </c>
      <c r="H175" t="n">
        <v>0</v>
      </c>
      <c r="I175" t="n">
        <v>0</v>
      </c>
      <c r="J175" t="n">
        <v>0</v>
      </c>
      <c r="K175" t="n">
        <v>0</v>
      </c>
      <c r="L175" t="n">
        <v>0</v>
      </c>
      <c r="M175" t="n">
        <v>0</v>
      </c>
      <c r="N175" t="n">
        <v>0</v>
      </c>
      <c r="O175" t="n">
        <v>0</v>
      </c>
      <c r="P175" t="n">
        <v>0</v>
      </c>
      <c r="Q175" t="n">
        <v>0</v>
      </c>
      <c r="R175" s="2" t="inlineStr"/>
    </row>
    <row r="176" ht="15" customHeight="1">
      <c r="A176" t="inlineStr">
        <is>
          <t>A 63544-2023</t>
        </is>
      </c>
      <c r="B176" s="1" t="n">
        <v>45275</v>
      </c>
      <c r="C176" s="1" t="n">
        <v>46081</v>
      </c>
      <c r="D176" t="inlineStr">
        <is>
          <t>DALARNAS LÄN</t>
        </is>
      </c>
      <c r="E176" t="inlineStr">
        <is>
          <t>LEKSAND</t>
        </is>
      </c>
      <c r="G176" t="n">
        <v>0.3</v>
      </c>
      <c r="H176" t="n">
        <v>0</v>
      </c>
      <c r="I176" t="n">
        <v>0</v>
      </c>
      <c r="J176" t="n">
        <v>0</v>
      </c>
      <c r="K176" t="n">
        <v>0</v>
      </c>
      <c r="L176" t="n">
        <v>0</v>
      </c>
      <c r="M176" t="n">
        <v>0</v>
      </c>
      <c r="N176" t="n">
        <v>0</v>
      </c>
      <c r="O176" t="n">
        <v>0</v>
      </c>
      <c r="P176" t="n">
        <v>0</v>
      </c>
      <c r="Q176" t="n">
        <v>0</v>
      </c>
      <c r="R176" s="2" t="inlineStr"/>
    </row>
    <row r="177" ht="15" customHeight="1">
      <c r="A177" t="inlineStr">
        <is>
          <t>A 21954-2023</t>
        </is>
      </c>
      <c r="B177" s="1" t="n">
        <v>45068</v>
      </c>
      <c r="C177" s="1" t="n">
        <v>46081</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28032-2024</t>
        </is>
      </c>
      <c r="B178" s="1" t="n">
        <v>45476.49346064815</v>
      </c>
      <c r="C178" s="1" t="n">
        <v>46081</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19550-2023</t>
        </is>
      </c>
      <c r="B179" s="1" t="n">
        <v>45049</v>
      </c>
      <c r="C179" s="1" t="n">
        <v>46081</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33593-2024</t>
        </is>
      </c>
      <c r="B180" s="1" t="n">
        <v>45520.36055555556</v>
      </c>
      <c r="C180" s="1" t="n">
        <v>46081</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47203-2023</t>
        </is>
      </c>
      <c r="B181" s="1" t="n">
        <v>45202</v>
      </c>
      <c r="C181" s="1" t="n">
        <v>46081</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9105-2024</t>
        </is>
      </c>
      <c r="B182" s="1" t="n">
        <v>45357</v>
      </c>
      <c r="C182" s="1" t="n">
        <v>46081</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50447-2023</t>
        </is>
      </c>
      <c r="B183" s="1" t="n">
        <v>45216.72185185185</v>
      </c>
      <c r="C183" s="1" t="n">
        <v>46081</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60945-2024</t>
        </is>
      </c>
      <c r="B184" s="1" t="n">
        <v>45645.37893518519</v>
      </c>
      <c r="C184" s="1" t="n">
        <v>46081</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61787-2022</t>
        </is>
      </c>
      <c r="B185" s="1" t="n">
        <v>44917</v>
      </c>
      <c r="C185" s="1" t="n">
        <v>46081</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38498-2025</t>
        </is>
      </c>
      <c r="B186" s="1" t="n">
        <v>45884.3706712963</v>
      </c>
      <c r="C186" s="1" t="n">
        <v>46081</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28913-2024</t>
        </is>
      </c>
      <c r="B187" s="1" t="n">
        <v>45480.75318287037</v>
      </c>
      <c r="C187" s="1" t="n">
        <v>46081</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39921-2024</t>
        </is>
      </c>
      <c r="B188" s="1" t="n">
        <v>45553</v>
      </c>
      <c r="C188" s="1" t="n">
        <v>46081</v>
      </c>
      <c r="D188" t="inlineStr">
        <is>
          <t>DALARNAS LÄN</t>
        </is>
      </c>
      <c r="E188" t="inlineStr">
        <is>
          <t>LEKSAND</t>
        </is>
      </c>
      <c r="G188" t="n">
        <v>1.2</v>
      </c>
      <c r="H188" t="n">
        <v>0</v>
      </c>
      <c r="I188" t="n">
        <v>0</v>
      </c>
      <c r="J188" t="n">
        <v>0</v>
      </c>
      <c r="K188" t="n">
        <v>0</v>
      </c>
      <c r="L188" t="n">
        <v>0</v>
      </c>
      <c r="M188" t="n">
        <v>0</v>
      </c>
      <c r="N188" t="n">
        <v>0</v>
      </c>
      <c r="O188" t="n">
        <v>0</v>
      </c>
      <c r="P188" t="n">
        <v>0</v>
      </c>
      <c r="Q188" t="n">
        <v>0</v>
      </c>
      <c r="R188" s="2" t="inlineStr"/>
    </row>
    <row r="189" ht="15" customHeight="1">
      <c r="A189" t="inlineStr">
        <is>
          <t>A 41015-2024</t>
        </is>
      </c>
      <c r="B189" s="1" t="n">
        <v>45559.32537037037</v>
      </c>
      <c r="C189" s="1" t="n">
        <v>46081</v>
      </c>
      <c r="D189" t="inlineStr">
        <is>
          <t>DALARNAS LÄN</t>
        </is>
      </c>
      <c r="E189" t="inlineStr">
        <is>
          <t>LEKSAND</t>
        </is>
      </c>
      <c r="G189" t="n">
        <v>1.6</v>
      </c>
      <c r="H189" t="n">
        <v>0</v>
      </c>
      <c r="I189" t="n">
        <v>0</v>
      </c>
      <c r="J189" t="n">
        <v>0</v>
      </c>
      <c r="K189" t="n">
        <v>0</v>
      </c>
      <c r="L189" t="n">
        <v>0</v>
      </c>
      <c r="M189" t="n">
        <v>0</v>
      </c>
      <c r="N189" t="n">
        <v>0</v>
      </c>
      <c r="O189" t="n">
        <v>0</v>
      </c>
      <c r="P189" t="n">
        <v>0</v>
      </c>
      <c r="Q189" t="n">
        <v>0</v>
      </c>
      <c r="R189" s="2" t="inlineStr"/>
    </row>
    <row r="190" ht="15" customHeight="1">
      <c r="A190" t="inlineStr">
        <is>
          <t>A 6050-2023</t>
        </is>
      </c>
      <c r="B190" s="1" t="n">
        <v>44959</v>
      </c>
      <c r="C190" s="1" t="n">
        <v>46081</v>
      </c>
      <c r="D190" t="inlineStr">
        <is>
          <t>DALARNAS LÄN</t>
        </is>
      </c>
      <c r="E190" t="inlineStr">
        <is>
          <t>LEKSAND</t>
        </is>
      </c>
      <c r="G190" t="n">
        <v>6.2</v>
      </c>
      <c r="H190" t="n">
        <v>0</v>
      </c>
      <c r="I190" t="n">
        <v>0</v>
      </c>
      <c r="J190" t="n">
        <v>0</v>
      </c>
      <c r="K190" t="n">
        <v>0</v>
      </c>
      <c r="L190" t="n">
        <v>0</v>
      </c>
      <c r="M190" t="n">
        <v>0</v>
      </c>
      <c r="N190" t="n">
        <v>0</v>
      </c>
      <c r="O190" t="n">
        <v>0</v>
      </c>
      <c r="P190" t="n">
        <v>0</v>
      </c>
      <c r="Q190" t="n">
        <v>0</v>
      </c>
      <c r="R190" s="2" t="inlineStr"/>
    </row>
    <row r="191" ht="15" customHeight="1">
      <c r="A191" t="inlineStr">
        <is>
          <t>A 27791-2023</t>
        </is>
      </c>
      <c r="B191" s="1" t="n">
        <v>45098</v>
      </c>
      <c r="C191" s="1" t="n">
        <v>46081</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14504-2025</t>
        </is>
      </c>
      <c r="B192" s="1" t="n">
        <v>45741</v>
      </c>
      <c r="C192" s="1" t="n">
        <v>46081</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26386-2025</t>
        </is>
      </c>
      <c r="B193" s="1" t="n">
        <v>45806</v>
      </c>
      <c r="C193" s="1" t="n">
        <v>46081</v>
      </c>
      <c r="D193" t="inlineStr">
        <is>
          <t>DALARNAS LÄN</t>
        </is>
      </c>
      <c r="E193" t="inlineStr">
        <is>
          <t>LEKSAND</t>
        </is>
      </c>
      <c r="F193" t="inlineStr">
        <is>
          <t>Bergvik skog väst AB</t>
        </is>
      </c>
      <c r="G193" t="n">
        <v>26.3</v>
      </c>
      <c r="H193" t="n">
        <v>0</v>
      </c>
      <c r="I193" t="n">
        <v>0</v>
      </c>
      <c r="J193" t="n">
        <v>0</v>
      </c>
      <c r="K193" t="n">
        <v>0</v>
      </c>
      <c r="L193" t="n">
        <v>0</v>
      </c>
      <c r="M193" t="n">
        <v>0</v>
      </c>
      <c r="N193" t="n">
        <v>0</v>
      </c>
      <c r="O193" t="n">
        <v>0</v>
      </c>
      <c r="P193" t="n">
        <v>0</v>
      </c>
      <c r="Q193" t="n">
        <v>0</v>
      </c>
      <c r="R193" s="2" t="inlineStr"/>
    </row>
    <row r="194" ht="15" customHeight="1">
      <c r="A194" t="inlineStr">
        <is>
          <t>A 47640-2024</t>
        </is>
      </c>
      <c r="B194" s="1" t="n">
        <v>45588.36508101852</v>
      </c>
      <c r="C194" s="1" t="n">
        <v>46081</v>
      </c>
      <c r="D194" t="inlineStr">
        <is>
          <t>DALARNAS LÄN</t>
        </is>
      </c>
      <c r="E194" t="inlineStr">
        <is>
          <t>LEKSAND</t>
        </is>
      </c>
      <c r="G194" t="n">
        <v>9.1</v>
      </c>
      <c r="H194" t="n">
        <v>0</v>
      </c>
      <c r="I194" t="n">
        <v>0</v>
      </c>
      <c r="J194" t="n">
        <v>0</v>
      </c>
      <c r="K194" t="n">
        <v>0</v>
      </c>
      <c r="L194" t="n">
        <v>0</v>
      </c>
      <c r="M194" t="n">
        <v>0</v>
      </c>
      <c r="N194" t="n">
        <v>0</v>
      </c>
      <c r="O194" t="n">
        <v>0</v>
      </c>
      <c r="P194" t="n">
        <v>0</v>
      </c>
      <c r="Q194" t="n">
        <v>0</v>
      </c>
      <c r="R194" s="2" t="inlineStr"/>
    </row>
    <row r="195" ht="15" customHeight="1">
      <c r="A195" t="inlineStr">
        <is>
          <t>A 25329-2022</t>
        </is>
      </c>
      <c r="B195" s="1" t="n">
        <v>44731.8799537037</v>
      </c>
      <c r="C195" s="1" t="n">
        <v>46081</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40007-2024</t>
        </is>
      </c>
      <c r="B196" s="1" t="n">
        <v>45553.6516550926</v>
      </c>
      <c r="C196" s="1" t="n">
        <v>46081</v>
      </c>
      <c r="D196" t="inlineStr">
        <is>
          <t>DALARNAS LÄN</t>
        </is>
      </c>
      <c r="E196" t="inlineStr">
        <is>
          <t>LEKSAND</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32072-2024</t>
        </is>
      </c>
      <c r="B197" s="1" t="n">
        <v>45510.98405092592</v>
      </c>
      <c r="C197" s="1" t="n">
        <v>46081</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26423-2025</t>
        </is>
      </c>
      <c r="B198" s="1" t="n">
        <v>45807.37829861111</v>
      </c>
      <c r="C198" s="1" t="n">
        <v>46081</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7897-2025</t>
        </is>
      </c>
      <c r="B199" s="1" t="n">
        <v>45707.30969907407</v>
      </c>
      <c r="C199" s="1" t="n">
        <v>46081</v>
      </c>
      <c r="D199" t="inlineStr">
        <is>
          <t>DALARNAS LÄN</t>
        </is>
      </c>
      <c r="E199" t="inlineStr">
        <is>
          <t>LEKSAND</t>
        </is>
      </c>
      <c r="G199" t="n">
        <v>3.1</v>
      </c>
      <c r="H199" t="n">
        <v>0</v>
      </c>
      <c r="I199" t="n">
        <v>0</v>
      </c>
      <c r="J199" t="n">
        <v>0</v>
      </c>
      <c r="K199" t="n">
        <v>0</v>
      </c>
      <c r="L199" t="n">
        <v>0</v>
      </c>
      <c r="M199" t="n">
        <v>0</v>
      </c>
      <c r="N199" t="n">
        <v>0</v>
      </c>
      <c r="O199" t="n">
        <v>0</v>
      </c>
      <c r="P199" t="n">
        <v>0</v>
      </c>
      <c r="Q199" t="n">
        <v>0</v>
      </c>
      <c r="R199" s="2" t="inlineStr"/>
    </row>
    <row r="200" ht="15" customHeight="1">
      <c r="A200" t="inlineStr">
        <is>
          <t>A 27323-2025</t>
        </is>
      </c>
      <c r="B200" s="1" t="n">
        <v>45812.60392361111</v>
      </c>
      <c r="C200" s="1" t="n">
        <v>46081</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13165-2023</t>
        </is>
      </c>
      <c r="B201" s="1" t="n">
        <v>45002.57731481481</v>
      </c>
      <c r="C201" s="1" t="n">
        <v>46081</v>
      </c>
      <c r="D201" t="inlineStr">
        <is>
          <t>DALARNAS LÄN</t>
        </is>
      </c>
      <c r="E201" t="inlineStr">
        <is>
          <t>LEKSAND</t>
        </is>
      </c>
      <c r="G201" t="n">
        <v>2.4</v>
      </c>
      <c r="H201" t="n">
        <v>0</v>
      </c>
      <c r="I201" t="n">
        <v>0</v>
      </c>
      <c r="J201" t="n">
        <v>0</v>
      </c>
      <c r="K201" t="n">
        <v>0</v>
      </c>
      <c r="L201" t="n">
        <v>0</v>
      </c>
      <c r="M201" t="n">
        <v>0</v>
      </c>
      <c r="N201" t="n">
        <v>0</v>
      </c>
      <c r="O201" t="n">
        <v>0</v>
      </c>
      <c r="P201" t="n">
        <v>0</v>
      </c>
      <c r="Q201" t="n">
        <v>0</v>
      </c>
      <c r="R201" s="2" t="inlineStr"/>
    </row>
    <row r="202" ht="15" customHeight="1">
      <c r="A202" t="inlineStr">
        <is>
          <t>A 38721-2025</t>
        </is>
      </c>
      <c r="B202" s="1" t="n">
        <v>45886.83605324074</v>
      </c>
      <c r="C202" s="1" t="n">
        <v>46081</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7467-2023</t>
        </is>
      </c>
      <c r="B203" s="1" t="n">
        <v>44966</v>
      </c>
      <c r="C203" s="1" t="n">
        <v>46081</v>
      </c>
      <c r="D203" t="inlineStr">
        <is>
          <t>DALARNAS LÄN</t>
        </is>
      </c>
      <c r="E203" t="inlineStr">
        <is>
          <t>LEKSAND</t>
        </is>
      </c>
      <c r="G203" t="n">
        <v>2.4</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46081</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39546-2025</t>
        </is>
      </c>
      <c r="B205" s="1" t="n">
        <v>45890.45706018519</v>
      </c>
      <c r="C205" s="1" t="n">
        <v>46081</v>
      </c>
      <c r="D205" t="inlineStr">
        <is>
          <t>DALARNAS LÄN</t>
        </is>
      </c>
      <c r="E205" t="inlineStr">
        <is>
          <t>LEKSAND</t>
        </is>
      </c>
      <c r="G205" t="n">
        <v>4.6</v>
      </c>
      <c r="H205" t="n">
        <v>0</v>
      </c>
      <c r="I205" t="n">
        <v>0</v>
      </c>
      <c r="J205" t="n">
        <v>0</v>
      </c>
      <c r="K205" t="n">
        <v>0</v>
      </c>
      <c r="L205" t="n">
        <v>0</v>
      </c>
      <c r="M205" t="n">
        <v>0</v>
      </c>
      <c r="N205" t="n">
        <v>0</v>
      </c>
      <c r="O205" t="n">
        <v>0</v>
      </c>
      <c r="P205" t="n">
        <v>0</v>
      </c>
      <c r="Q205" t="n">
        <v>0</v>
      </c>
      <c r="R205" s="2" t="inlineStr"/>
    </row>
    <row r="206" ht="15" customHeight="1">
      <c r="A206" t="inlineStr">
        <is>
          <t>A 39572-2025</t>
        </is>
      </c>
      <c r="B206" s="1" t="n">
        <v>45890</v>
      </c>
      <c r="C206" s="1" t="n">
        <v>46081</v>
      </c>
      <c r="D206" t="inlineStr">
        <is>
          <t>DALARNAS LÄN</t>
        </is>
      </c>
      <c r="E206" t="inlineStr">
        <is>
          <t>LEKSAND</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27183-2025</t>
        </is>
      </c>
      <c r="B207" s="1" t="n">
        <v>45812.36097222222</v>
      </c>
      <c r="C207" s="1" t="n">
        <v>46081</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27262-2025</t>
        </is>
      </c>
      <c r="B208" s="1" t="n">
        <v>45812</v>
      </c>
      <c r="C208" s="1" t="n">
        <v>46081</v>
      </c>
      <c r="D208" t="inlineStr">
        <is>
          <t>DALARNAS LÄN</t>
        </is>
      </c>
      <c r="E208" t="inlineStr">
        <is>
          <t>LEKSAND</t>
        </is>
      </c>
      <c r="F208" t="inlineStr">
        <is>
          <t>Bergvik skog väst AB</t>
        </is>
      </c>
      <c r="G208" t="n">
        <v>7.7</v>
      </c>
      <c r="H208" t="n">
        <v>0</v>
      </c>
      <c r="I208" t="n">
        <v>0</v>
      </c>
      <c r="J208" t="n">
        <v>0</v>
      </c>
      <c r="K208" t="n">
        <v>0</v>
      </c>
      <c r="L208" t="n">
        <v>0</v>
      </c>
      <c r="M208" t="n">
        <v>0</v>
      </c>
      <c r="N208" t="n">
        <v>0</v>
      </c>
      <c r="O208" t="n">
        <v>0</v>
      </c>
      <c r="P208" t="n">
        <v>0</v>
      </c>
      <c r="Q208" t="n">
        <v>0</v>
      </c>
      <c r="R208" s="2" t="inlineStr"/>
    </row>
    <row r="209" ht="15" customHeight="1">
      <c r="A209" t="inlineStr">
        <is>
          <t>A 27329-2025</t>
        </is>
      </c>
      <c r="B209" s="1" t="n">
        <v>45812.60864583333</v>
      </c>
      <c r="C209" s="1" t="n">
        <v>46081</v>
      </c>
      <c r="D209" t="inlineStr">
        <is>
          <t>DALARNAS LÄN</t>
        </is>
      </c>
      <c r="E209" t="inlineStr">
        <is>
          <t>LEKSAND</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27332-2025</t>
        </is>
      </c>
      <c r="B210" s="1" t="n">
        <v>45812.61265046296</v>
      </c>
      <c r="C210" s="1" t="n">
        <v>46081</v>
      </c>
      <c r="D210" t="inlineStr">
        <is>
          <t>DALARNAS LÄN</t>
        </is>
      </c>
      <c r="E210" t="inlineStr">
        <is>
          <t>LEKSAND</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28592-2023</t>
        </is>
      </c>
      <c r="B211" s="1" t="n">
        <v>45103</v>
      </c>
      <c r="C211" s="1" t="n">
        <v>46081</v>
      </c>
      <c r="D211" t="inlineStr">
        <is>
          <t>DALARNAS LÄN</t>
        </is>
      </c>
      <c r="E211" t="inlineStr">
        <is>
          <t>LEKSAND</t>
        </is>
      </c>
      <c r="G211" t="n">
        <v>0.5</v>
      </c>
      <c r="H211" t="n">
        <v>0</v>
      </c>
      <c r="I211" t="n">
        <v>0</v>
      </c>
      <c r="J211" t="n">
        <v>0</v>
      </c>
      <c r="K211" t="n">
        <v>0</v>
      </c>
      <c r="L211" t="n">
        <v>0</v>
      </c>
      <c r="M211" t="n">
        <v>0</v>
      </c>
      <c r="N211" t="n">
        <v>0</v>
      </c>
      <c r="O211" t="n">
        <v>0</v>
      </c>
      <c r="P211" t="n">
        <v>0</v>
      </c>
      <c r="Q211" t="n">
        <v>0</v>
      </c>
      <c r="R211" s="2" t="inlineStr"/>
    </row>
    <row r="212" ht="15" customHeight="1">
      <c r="A212" t="inlineStr">
        <is>
          <t>A 39569-2025</t>
        </is>
      </c>
      <c r="B212" s="1" t="n">
        <v>45890</v>
      </c>
      <c r="C212" s="1" t="n">
        <v>46081</v>
      </c>
      <c r="D212" t="inlineStr">
        <is>
          <t>DALARNAS LÄN</t>
        </is>
      </c>
      <c r="E212" t="inlineStr">
        <is>
          <t>LEKSAND</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27682-2025</t>
        </is>
      </c>
      <c r="B213" s="1" t="n">
        <v>45813.64782407408</v>
      </c>
      <c r="C213" s="1" t="n">
        <v>46081</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27705-2025</t>
        </is>
      </c>
      <c r="B214" s="1" t="n">
        <v>45813</v>
      </c>
      <c r="C214" s="1" t="n">
        <v>46081</v>
      </c>
      <c r="D214" t="inlineStr">
        <is>
          <t>DALARNAS LÄN</t>
        </is>
      </c>
      <c r="E214" t="inlineStr">
        <is>
          <t>LEKSAND</t>
        </is>
      </c>
      <c r="G214" t="n">
        <v>0.8</v>
      </c>
      <c r="H214" t="n">
        <v>0</v>
      </c>
      <c r="I214" t="n">
        <v>0</v>
      </c>
      <c r="J214" t="n">
        <v>0</v>
      </c>
      <c r="K214" t="n">
        <v>0</v>
      </c>
      <c r="L214" t="n">
        <v>0</v>
      </c>
      <c r="M214" t="n">
        <v>0</v>
      </c>
      <c r="N214" t="n">
        <v>0</v>
      </c>
      <c r="O214" t="n">
        <v>0</v>
      </c>
      <c r="P214" t="n">
        <v>0</v>
      </c>
      <c r="Q214" t="n">
        <v>0</v>
      </c>
      <c r="R214" s="2" t="inlineStr"/>
    </row>
    <row r="215" ht="15" customHeight="1">
      <c r="A215" t="inlineStr">
        <is>
          <t>A 27680-2025</t>
        </is>
      </c>
      <c r="B215" s="1" t="n">
        <v>45813.64618055556</v>
      </c>
      <c r="C215" s="1" t="n">
        <v>46081</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39516-2025</t>
        </is>
      </c>
      <c r="B216" s="1" t="n">
        <v>45890.42633101852</v>
      </c>
      <c r="C216" s="1" t="n">
        <v>46081</v>
      </c>
      <c r="D216" t="inlineStr">
        <is>
          <t>DALARNAS LÄN</t>
        </is>
      </c>
      <c r="E216" t="inlineStr">
        <is>
          <t>LEKSAND</t>
        </is>
      </c>
      <c r="G216" t="n">
        <v>3.6</v>
      </c>
      <c r="H216" t="n">
        <v>0</v>
      </c>
      <c r="I216" t="n">
        <v>0</v>
      </c>
      <c r="J216" t="n">
        <v>0</v>
      </c>
      <c r="K216" t="n">
        <v>0</v>
      </c>
      <c r="L216" t="n">
        <v>0</v>
      </c>
      <c r="M216" t="n">
        <v>0</v>
      </c>
      <c r="N216" t="n">
        <v>0</v>
      </c>
      <c r="O216" t="n">
        <v>0</v>
      </c>
      <c r="P216" t="n">
        <v>0</v>
      </c>
      <c r="Q216" t="n">
        <v>0</v>
      </c>
      <c r="R216" s="2" t="inlineStr"/>
    </row>
    <row r="217" ht="15" customHeight="1">
      <c r="A217" t="inlineStr">
        <is>
          <t>A 28483-2025</t>
        </is>
      </c>
      <c r="B217" s="1" t="n">
        <v>45818</v>
      </c>
      <c r="C217" s="1" t="n">
        <v>46081</v>
      </c>
      <c r="D217" t="inlineStr">
        <is>
          <t>DALARNAS LÄN</t>
        </is>
      </c>
      <c r="E217" t="inlineStr">
        <is>
          <t>LEKSAND</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39660-2025</t>
        </is>
      </c>
      <c r="B218" s="1" t="n">
        <v>45890.63006944444</v>
      </c>
      <c r="C218" s="1" t="n">
        <v>46081</v>
      </c>
      <c r="D218" t="inlineStr">
        <is>
          <t>DALARNAS LÄN</t>
        </is>
      </c>
      <c r="E218" t="inlineStr">
        <is>
          <t>LEKSAND</t>
        </is>
      </c>
      <c r="F218" t="inlineStr">
        <is>
          <t>Bergvik skog väst AB</t>
        </is>
      </c>
      <c r="G218" t="n">
        <v>5.8</v>
      </c>
      <c r="H218" t="n">
        <v>0</v>
      </c>
      <c r="I218" t="n">
        <v>0</v>
      </c>
      <c r="J218" t="n">
        <v>0</v>
      </c>
      <c r="K218" t="n">
        <v>0</v>
      </c>
      <c r="L218" t="n">
        <v>0</v>
      </c>
      <c r="M218" t="n">
        <v>0</v>
      </c>
      <c r="N218" t="n">
        <v>0</v>
      </c>
      <c r="O218" t="n">
        <v>0</v>
      </c>
      <c r="P218" t="n">
        <v>0</v>
      </c>
      <c r="Q218" t="n">
        <v>0</v>
      </c>
      <c r="R218" s="2" t="inlineStr"/>
    </row>
    <row r="219" ht="15" customHeight="1">
      <c r="A219" t="inlineStr">
        <is>
          <t>A 39693-2025</t>
        </is>
      </c>
      <c r="B219" s="1" t="n">
        <v>45890.68304398148</v>
      </c>
      <c r="C219" s="1" t="n">
        <v>46081</v>
      </c>
      <c r="D219" t="inlineStr">
        <is>
          <t>DALARNAS LÄN</t>
        </is>
      </c>
      <c r="E219" t="inlineStr">
        <is>
          <t>LEKSAND</t>
        </is>
      </c>
      <c r="G219" t="n">
        <v>3.1</v>
      </c>
      <c r="H219" t="n">
        <v>0</v>
      </c>
      <c r="I219" t="n">
        <v>0</v>
      </c>
      <c r="J219" t="n">
        <v>0</v>
      </c>
      <c r="K219" t="n">
        <v>0</v>
      </c>
      <c r="L219" t="n">
        <v>0</v>
      </c>
      <c r="M219" t="n">
        <v>0</v>
      </c>
      <c r="N219" t="n">
        <v>0</v>
      </c>
      <c r="O219" t="n">
        <v>0</v>
      </c>
      <c r="P219" t="n">
        <v>0</v>
      </c>
      <c r="Q219" t="n">
        <v>0</v>
      </c>
      <c r="R219" s="2" t="inlineStr"/>
    </row>
    <row r="220" ht="15" customHeight="1">
      <c r="A220" t="inlineStr">
        <is>
          <t>A 2630-2025</t>
        </is>
      </c>
      <c r="B220" s="1" t="n">
        <v>45675.85865740741</v>
      </c>
      <c r="C220" s="1" t="n">
        <v>46081</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28505-2025</t>
        </is>
      </c>
      <c r="B221" s="1" t="n">
        <v>45818</v>
      </c>
      <c r="C221" s="1" t="n">
        <v>46081</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28499-2025</t>
        </is>
      </c>
      <c r="B222" s="1" t="n">
        <v>45818</v>
      </c>
      <c r="C222" s="1" t="n">
        <v>46081</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27984-2025</t>
        </is>
      </c>
      <c r="B223" s="1" t="n">
        <v>45817.57710648148</v>
      </c>
      <c r="C223" s="1" t="n">
        <v>46081</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41169-2024</t>
        </is>
      </c>
      <c r="B224" s="1" t="n">
        <v>45559.48637731482</v>
      </c>
      <c r="C224" s="1" t="n">
        <v>46081</v>
      </c>
      <c r="D224" t="inlineStr">
        <is>
          <t>DALARNAS LÄN</t>
        </is>
      </c>
      <c r="E224" t="inlineStr">
        <is>
          <t>LEKSAND</t>
        </is>
      </c>
      <c r="G224" t="n">
        <v>8.9</v>
      </c>
      <c r="H224" t="n">
        <v>0</v>
      </c>
      <c r="I224" t="n">
        <v>0</v>
      </c>
      <c r="J224" t="n">
        <v>0</v>
      </c>
      <c r="K224" t="n">
        <v>0</v>
      </c>
      <c r="L224" t="n">
        <v>0</v>
      </c>
      <c r="M224" t="n">
        <v>0</v>
      </c>
      <c r="N224" t="n">
        <v>0</v>
      </c>
      <c r="O224" t="n">
        <v>0</v>
      </c>
      <c r="P224" t="n">
        <v>0</v>
      </c>
      <c r="Q224" t="n">
        <v>0</v>
      </c>
      <c r="R224" s="2" t="inlineStr"/>
    </row>
    <row r="225" ht="15" customHeight="1">
      <c r="A225" t="inlineStr">
        <is>
          <t>A 13063-2023</t>
        </is>
      </c>
      <c r="B225" s="1" t="n">
        <v>45001</v>
      </c>
      <c r="C225" s="1" t="n">
        <v>46081</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28488-2025</t>
        </is>
      </c>
      <c r="B226" s="1" t="n">
        <v>45818</v>
      </c>
      <c r="C226" s="1" t="n">
        <v>46081</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42727-2024</t>
        </is>
      </c>
      <c r="B227" s="1" t="n">
        <v>45566</v>
      </c>
      <c r="C227" s="1" t="n">
        <v>46081</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36444-2023</t>
        </is>
      </c>
      <c r="B228" s="1" t="n">
        <v>45152.63138888889</v>
      </c>
      <c r="C228" s="1" t="n">
        <v>46081</v>
      </c>
      <c r="D228" t="inlineStr">
        <is>
          <t>DALARNAS LÄN</t>
        </is>
      </c>
      <c r="E228" t="inlineStr">
        <is>
          <t>LEKSAND</t>
        </is>
      </c>
      <c r="G228" t="n">
        <v>0.5</v>
      </c>
      <c r="H228" t="n">
        <v>0</v>
      </c>
      <c r="I228" t="n">
        <v>0</v>
      </c>
      <c r="J228" t="n">
        <v>0</v>
      </c>
      <c r="K228" t="n">
        <v>0</v>
      </c>
      <c r="L228" t="n">
        <v>0</v>
      </c>
      <c r="M228" t="n">
        <v>0</v>
      </c>
      <c r="N228" t="n">
        <v>0</v>
      </c>
      <c r="O228" t="n">
        <v>0</v>
      </c>
      <c r="P228" t="n">
        <v>0</v>
      </c>
      <c r="Q228" t="n">
        <v>0</v>
      </c>
      <c r="R228" s="2" t="inlineStr"/>
    </row>
    <row r="229" ht="15" customHeight="1">
      <c r="A229" t="inlineStr">
        <is>
          <t>A 40407-2024</t>
        </is>
      </c>
      <c r="B229" s="1" t="n">
        <v>45555</v>
      </c>
      <c r="C229" s="1" t="n">
        <v>46081</v>
      </c>
      <c r="D229" t="inlineStr">
        <is>
          <t>DALARNAS LÄN</t>
        </is>
      </c>
      <c r="E229" t="inlineStr">
        <is>
          <t>LEKSAND</t>
        </is>
      </c>
      <c r="G229" t="n">
        <v>1.4</v>
      </c>
      <c r="H229" t="n">
        <v>0</v>
      </c>
      <c r="I229" t="n">
        <v>0</v>
      </c>
      <c r="J229" t="n">
        <v>0</v>
      </c>
      <c r="K229" t="n">
        <v>0</v>
      </c>
      <c r="L229" t="n">
        <v>0</v>
      </c>
      <c r="M229" t="n">
        <v>0</v>
      </c>
      <c r="N229" t="n">
        <v>0</v>
      </c>
      <c r="O229" t="n">
        <v>0</v>
      </c>
      <c r="P229" t="n">
        <v>0</v>
      </c>
      <c r="Q229" t="n">
        <v>0</v>
      </c>
      <c r="R229" s="2" t="inlineStr"/>
    </row>
    <row r="230" ht="15" customHeight="1">
      <c r="A230" t="inlineStr">
        <is>
          <t>A 28770-2025</t>
        </is>
      </c>
      <c r="B230" s="1" t="n">
        <v>45820</v>
      </c>
      <c r="C230" s="1" t="n">
        <v>46081</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28458-2025</t>
        </is>
      </c>
      <c r="B231" s="1" t="n">
        <v>45819.413125</v>
      </c>
      <c r="C231" s="1" t="n">
        <v>46081</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29005-2025</t>
        </is>
      </c>
      <c r="B232" s="1" t="n">
        <v>45821.39326388889</v>
      </c>
      <c r="C232" s="1" t="n">
        <v>46081</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46628-2024</t>
        </is>
      </c>
      <c r="B233" s="1" t="n">
        <v>45583.33195601852</v>
      </c>
      <c r="C233" s="1" t="n">
        <v>46081</v>
      </c>
      <c r="D233" t="inlineStr">
        <is>
          <t>DALARNAS LÄN</t>
        </is>
      </c>
      <c r="E233" t="inlineStr">
        <is>
          <t>LEKSAND</t>
        </is>
      </c>
      <c r="G233" t="n">
        <v>0.2</v>
      </c>
      <c r="H233" t="n">
        <v>0</v>
      </c>
      <c r="I233" t="n">
        <v>0</v>
      </c>
      <c r="J233" t="n">
        <v>0</v>
      </c>
      <c r="K233" t="n">
        <v>0</v>
      </c>
      <c r="L233" t="n">
        <v>0</v>
      </c>
      <c r="M233" t="n">
        <v>0</v>
      </c>
      <c r="N233" t="n">
        <v>0</v>
      </c>
      <c r="O233" t="n">
        <v>0</v>
      </c>
      <c r="P233" t="n">
        <v>0</v>
      </c>
      <c r="Q233" t="n">
        <v>0</v>
      </c>
      <c r="R233" s="2" t="inlineStr"/>
    </row>
    <row r="234" ht="15" customHeight="1">
      <c r="A234" t="inlineStr">
        <is>
          <t>A 28985-2025</t>
        </is>
      </c>
      <c r="B234" s="1" t="n">
        <v>45821.36862268519</v>
      </c>
      <c r="C234" s="1" t="n">
        <v>46081</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9141-2023</t>
        </is>
      </c>
      <c r="B235" s="1" t="n">
        <v>44974</v>
      </c>
      <c r="C235" s="1" t="n">
        <v>46081</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54844-2021</t>
        </is>
      </c>
      <c r="B236" s="1" t="n">
        <v>44474.30614583333</v>
      </c>
      <c r="C236" s="1" t="n">
        <v>46081</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8211-2023</t>
        </is>
      </c>
      <c r="B237" s="1" t="n">
        <v>44974</v>
      </c>
      <c r="C237" s="1" t="n">
        <v>46081</v>
      </c>
      <c r="D237" t="inlineStr">
        <is>
          <t>DALARNAS LÄN</t>
        </is>
      </c>
      <c r="E237" t="inlineStr">
        <is>
          <t>LEKSAND</t>
        </is>
      </c>
      <c r="G237" t="n">
        <v>5.2</v>
      </c>
      <c r="H237" t="n">
        <v>0</v>
      </c>
      <c r="I237" t="n">
        <v>0</v>
      </c>
      <c r="J237" t="n">
        <v>0</v>
      </c>
      <c r="K237" t="n">
        <v>0</v>
      </c>
      <c r="L237" t="n">
        <v>0</v>
      </c>
      <c r="M237" t="n">
        <v>0</v>
      </c>
      <c r="N237" t="n">
        <v>0</v>
      </c>
      <c r="O237" t="n">
        <v>0</v>
      </c>
      <c r="P237" t="n">
        <v>0</v>
      </c>
      <c r="Q237" t="n">
        <v>0</v>
      </c>
      <c r="R237" s="2" t="inlineStr"/>
    </row>
    <row r="238" ht="15" customHeight="1">
      <c r="A238" t="inlineStr">
        <is>
          <t>A 40517-2025</t>
        </is>
      </c>
      <c r="B238" s="1" t="n">
        <v>45896.36368055556</v>
      </c>
      <c r="C238" s="1" t="n">
        <v>46081</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40513-2025</t>
        </is>
      </c>
      <c r="B239" s="1" t="n">
        <v>45896.35100694445</v>
      </c>
      <c r="C239" s="1" t="n">
        <v>46081</v>
      </c>
      <c r="D239" t="inlineStr">
        <is>
          <t>DALARNAS LÄN</t>
        </is>
      </c>
      <c r="E239" t="inlineStr">
        <is>
          <t>LEKSAND</t>
        </is>
      </c>
      <c r="G239" t="n">
        <v>7.1</v>
      </c>
      <c r="H239" t="n">
        <v>0</v>
      </c>
      <c r="I239" t="n">
        <v>0</v>
      </c>
      <c r="J239" t="n">
        <v>0</v>
      </c>
      <c r="K239" t="n">
        <v>0</v>
      </c>
      <c r="L239" t="n">
        <v>0</v>
      </c>
      <c r="M239" t="n">
        <v>0</v>
      </c>
      <c r="N239" t="n">
        <v>0</v>
      </c>
      <c r="O239" t="n">
        <v>0</v>
      </c>
      <c r="P239" t="n">
        <v>0</v>
      </c>
      <c r="Q239" t="n">
        <v>0</v>
      </c>
      <c r="R239" s="2" t="inlineStr"/>
    </row>
    <row r="240" ht="15" customHeight="1">
      <c r="A240" t="inlineStr">
        <is>
          <t>A 29729-2025</t>
        </is>
      </c>
      <c r="B240" s="1" t="n">
        <v>45825.58077546296</v>
      </c>
      <c r="C240" s="1" t="n">
        <v>46081</v>
      </c>
      <c r="D240" t="inlineStr">
        <is>
          <t>DALARNAS LÄN</t>
        </is>
      </c>
      <c r="E240" t="inlineStr">
        <is>
          <t>LEKSAND</t>
        </is>
      </c>
      <c r="F240" t="inlineStr">
        <is>
          <t>Bergvik skog väst AB</t>
        </is>
      </c>
      <c r="G240" t="n">
        <v>4.3</v>
      </c>
      <c r="H240" t="n">
        <v>0</v>
      </c>
      <c r="I240" t="n">
        <v>0</v>
      </c>
      <c r="J240" t="n">
        <v>0</v>
      </c>
      <c r="K240" t="n">
        <v>0</v>
      </c>
      <c r="L240" t="n">
        <v>0</v>
      </c>
      <c r="M240" t="n">
        <v>0</v>
      </c>
      <c r="N240" t="n">
        <v>0</v>
      </c>
      <c r="O240" t="n">
        <v>0</v>
      </c>
      <c r="P240" t="n">
        <v>0</v>
      </c>
      <c r="Q240" t="n">
        <v>0</v>
      </c>
      <c r="R240" s="2" t="inlineStr"/>
    </row>
    <row r="241" ht="15" customHeight="1">
      <c r="A241" t="inlineStr">
        <is>
          <t>A 46665-2023</t>
        </is>
      </c>
      <c r="B241" s="1" t="n">
        <v>45198.47399305556</v>
      </c>
      <c r="C241" s="1" t="n">
        <v>46081</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29553-2025</t>
        </is>
      </c>
      <c r="B242" s="1" t="n">
        <v>45825.35315972222</v>
      </c>
      <c r="C242" s="1" t="n">
        <v>46081</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41237-2025</t>
        </is>
      </c>
      <c r="B243" s="1" t="n">
        <v>45898.59570601852</v>
      </c>
      <c r="C243" s="1" t="n">
        <v>46081</v>
      </c>
      <c r="D243" t="inlineStr">
        <is>
          <t>DALARNAS LÄN</t>
        </is>
      </c>
      <c r="E243" t="inlineStr">
        <is>
          <t>LEKSAND</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41248-2025</t>
        </is>
      </c>
      <c r="B244" s="1" t="n">
        <v>45898.60199074074</v>
      </c>
      <c r="C244" s="1" t="n">
        <v>46081</v>
      </c>
      <c r="D244" t="inlineStr">
        <is>
          <t>DALARNAS LÄN</t>
        </is>
      </c>
      <c r="E244" t="inlineStr">
        <is>
          <t>LEKSAND</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41308-2025</t>
        </is>
      </c>
      <c r="B245" s="1" t="n">
        <v>45898</v>
      </c>
      <c r="C245" s="1" t="n">
        <v>46081</v>
      </c>
      <c r="D245" t="inlineStr">
        <is>
          <t>DALARNAS LÄN</t>
        </is>
      </c>
      <c r="E245" t="inlineStr">
        <is>
          <t>LEKSAND</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30254-2025</t>
        </is>
      </c>
      <c r="B246" s="1" t="n">
        <v>45827.42336805556</v>
      </c>
      <c r="C246" s="1" t="n">
        <v>46081</v>
      </c>
      <c r="D246" t="inlineStr">
        <is>
          <t>DALARNAS LÄN</t>
        </is>
      </c>
      <c r="E246" t="inlineStr">
        <is>
          <t>LEKSAND</t>
        </is>
      </c>
      <c r="G246" t="n">
        <v>3.5</v>
      </c>
      <c r="H246" t="n">
        <v>0</v>
      </c>
      <c r="I246" t="n">
        <v>0</v>
      </c>
      <c r="J246" t="n">
        <v>0</v>
      </c>
      <c r="K246" t="n">
        <v>0</v>
      </c>
      <c r="L246" t="n">
        <v>0</v>
      </c>
      <c r="M246" t="n">
        <v>0</v>
      </c>
      <c r="N246" t="n">
        <v>0</v>
      </c>
      <c r="O246" t="n">
        <v>0</v>
      </c>
      <c r="P246" t="n">
        <v>0</v>
      </c>
      <c r="Q246" t="n">
        <v>0</v>
      </c>
      <c r="R246" s="2" t="inlineStr"/>
    </row>
    <row r="247" ht="15" customHeight="1">
      <c r="A247" t="inlineStr">
        <is>
          <t>A 14615-2024</t>
        </is>
      </c>
      <c r="B247" s="1" t="n">
        <v>45397.26047453703</v>
      </c>
      <c r="C247" s="1" t="n">
        <v>46081</v>
      </c>
      <c r="D247" t="inlineStr">
        <is>
          <t>DALARNAS LÄN</t>
        </is>
      </c>
      <c r="E247" t="inlineStr">
        <is>
          <t>LEKSAND</t>
        </is>
      </c>
      <c r="G247" t="n">
        <v>0.4</v>
      </c>
      <c r="H247" t="n">
        <v>0</v>
      </c>
      <c r="I247" t="n">
        <v>0</v>
      </c>
      <c r="J247" t="n">
        <v>0</v>
      </c>
      <c r="K247" t="n">
        <v>0</v>
      </c>
      <c r="L247" t="n">
        <v>0</v>
      </c>
      <c r="M247" t="n">
        <v>0</v>
      </c>
      <c r="N247" t="n">
        <v>0</v>
      </c>
      <c r="O247" t="n">
        <v>0</v>
      </c>
      <c r="P247" t="n">
        <v>0</v>
      </c>
      <c r="Q247" t="n">
        <v>0</v>
      </c>
      <c r="R247" s="2" t="inlineStr"/>
    </row>
    <row r="248" ht="15" customHeight="1">
      <c r="A248" t="inlineStr">
        <is>
          <t>A 41380-2025</t>
        </is>
      </c>
      <c r="B248" s="1" t="n">
        <v>45900.92826388889</v>
      </c>
      <c r="C248" s="1" t="n">
        <v>46081</v>
      </c>
      <c r="D248" t="inlineStr">
        <is>
          <t>DALARNAS LÄN</t>
        </is>
      </c>
      <c r="E248" t="inlineStr">
        <is>
          <t>LEKSAND</t>
        </is>
      </c>
      <c r="G248" t="n">
        <v>1.4</v>
      </c>
      <c r="H248" t="n">
        <v>0</v>
      </c>
      <c r="I248" t="n">
        <v>0</v>
      </c>
      <c r="J248" t="n">
        <v>0</v>
      </c>
      <c r="K248" t="n">
        <v>0</v>
      </c>
      <c r="L248" t="n">
        <v>0</v>
      </c>
      <c r="M248" t="n">
        <v>0</v>
      </c>
      <c r="N248" t="n">
        <v>0</v>
      </c>
      <c r="O248" t="n">
        <v>0</v>
      </c>
      <c r="P248" t="n">
        <v>0</v>
      </c>
      <c r="Q248" t="n">
        <v>0</v>
      </c>
      <c r="R248" s="2" t="inlineStr"/>
    </row>
    <row r="249" ht="15" customHeight="1">
      <c r="A249" t="inlineStr">
        <is>
          <t>A 41335-2025</t>
        </is>
      </c>
      <c r="B249" s="1" t="n">
        <v>45899.36747685185</v>
      </c>
      <c r="C249" s="1" t="n">
        <v>46081</v>
      </c>
      <c r="D249" t="inlineStr">
        <is>
          <t>DALARNAS LÄN</t>
        </is>
      </c>
      <c r="E249" t="inlineStr">
        <is>
          <t>LEKSAND</t>
        </is>
      </c>
      <c r="G249" t="n">
        <v>5.9</v>
      </c>
      <c r="H249" t="n">
        <v>0</v>
      </c>
      <c r="I249" t="n">
        <v>0</v>
      </c>
      <c r="J249" t="n">
        <v>0</v>
      </c>
      <c r="K249" t="n">
        <v>0</v>
      </c>
      <c r="L249" t="n">
        <v>0</v>
      </c>
      <c r="M249" t="n">
        <v>0</v>
      </c>
      <c r="N249" t="n">
        <v>0</v>
      </c>
      <c r="O249" t="n">
        <v>0</v>
      </c>
      <c r="P249" t="n">
        <v>0</v>
      </c>
      <c r="Q249" t="n">
        <v>0</v>
      </c>
      <c r="R249" s="2" t="inlineStr"/>
    </row>
    <row r="250" ht="15" customHeight="1">
      <c r="A250" t="inlineStr">
        <is>
          <t>A 41487-2025</t>
        </is>
      </c>
      <c r="B250" s="1" t="n">
        <v>45901.4815625</v>
      </c>
      <c r="C250" s="1" t="n">
        <v>46081</v>
      </c>
      <c r="D250" t="inlineStr">
        <is>
          <t>DALARNAS LÄN</t>
        </is>
      </c>
      <c r="E250" t="inlineStr">
        <is>
          <t>LEKSAND</t>
        </is>
      </c>
      <c r="F250" t="inlineStr">
        <is>
          <t>Bergvik skog väst AB</t>
        </is>
      </c>
      <c r="G250" t="n">
        <v>7.3</v>
      </c>
      <c r="H250" t="n">
        <v>0</v>
      </c>
      <c r="I250" t="n">
        <v>0</v>
      </c>
      <c r="J250" t="n">
        <v>0</v>
      </c>
      <c r="K250" t="n">
        <v>0</v>
      </c>
      <c r="L250" t="n">
        <v>0</v>
      </c>
      <c r="M250" t="n">
        <v>0</v>
      </c>
      <c r="N250" t="n">
        <v>0</v>
      </c>
      <c r="O250" t="n">
        <v>0</v>
      </c>
      <c r="P250" t="n">
        <v>0</v>
      </c>
      <c r="Q250" t="n">
        <v>0</v>
      </c>
      <c r="R250" s="2" t="inlineStr"/>
    </row>
    <row r="251" ht="15" customHeight="1">
      <c r="A251" t="inlineStr">
        <is>
          <t>A 30863-2024</t>
        </is>
      </c>
      <c r="B251" s="1" t="n">
        <v>45497.71074074074</v>
      </c>
      <c r="C251" s="1" t="n">
        <v>46081</v>
      </c>
      <c r="D251" t="inlineStr">
        <is>
          <t>DALARNAS LÄN</t>
        </is>
      </c>
      <c r="E251" t="inlineStr">
        <is>
          <t>LEKSAND</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23892-2025</t>
        </is>
      </c>
      <c r="B252" s="1" t="n">
        <v>45793</v>
      </c>
      <c r="C252" s="1" t="n">
        <v>46081</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30917-2025</t>
        </is>
      </c>
      <c r="B253" s="1" t="n">
        <v>45832.37989583334</v>
      </c>
      <c r="C253" s="1" t="n">
        <v>46081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54289-2023</t>
        </is>
      </c>
      <c r="B254" s="1" t="n">
        <v>45232.71193287037</v>
      </c>
      <c r="C254" s="1" t="n">
        <v>46081</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31179-2025</t>
        </is>
      </c>
      <c r="B255" s="1" t="n">
        <v>45832.67648148148</v>
      </c>
      <c r="C255" s="1" t="n">
        <v>46081</v>
      </c>
      <c r="D255" t="inlineStr">
        <is>
          <t>DALARNAS LÄN</t>
        </is>
      </c>
      <c r="E255" t="inlineStr">
        <is>
          <t>LEKSAND</t>
        </is>
      </c>
      <c r="G255" t="n">
        <v>4.7</v>
      </c>
      <c r="H255" t="n">
        <v>0</v>
      </c>
      <c r="I255" t="n">
        <v>0</v>
      </c>
      <c r="J255" t="n">
        <v>0</v>
      </c>
      <c r="K255" t="n">
        <v>0</v>
      </c>
      <c r="L255" t="n">
        <v>0</v>
      </c>
      <c r="M255" t="n">
        <v>0</v>
      </c>
      <c r="N255" t="n">
        <v>0</v>
      </c>
      <c r="O255" t="n">
        <v>0</v>
      </c>
      <c r="P255" t="n">
        <v>0</v>
      </c>
      <c r="Q255" t="n">
        <v>0</v>
      </c>
      <c r="R255" s="2" t="inlineStr"/>
    </row>
    <row r="256" ht="15" customHeight="1">
      <c r="A256" t="inlineStr">
        <is>
          <t>A 30969-2025</t>
        </is>
      </c>
      <c r="B256" s="1" t="n">
        <v>45832.45914351852</v>
      </c>
      <c r="C256" s="1" t="n">
        <v>46081</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30911-2025</t>
        </is>
      </c>
      <c r="B257" s="1" t="n">
        <v>45832.37547453704</v>
      </c>
      <c r="C257" s="1" t="n">
        <v>46081</v>
      </c>
      <c r="D257" t="inlineStr">
        <is>
          <t>DALARNAS LÄN</t>
        </is>
      </c>
      <c r="E257" t="inlineStr">
        <is>
          <t>LEKSAND</t>
        </is>
      </c>
      <c r="G257" t="n">
        <v>0.5</v>
      </c>
      <c r="H257" t="n">
        <v>0</v>
      </c>
      <c r="I257" t="n">
        <v>0</v>
      </c>
      <c r="J257" t="n">
        <v>0</v>
      </c>
      <c r="K257" t="n">
        <v>0</v>
      </c>
      <c r="L257" t="n">
        <v>0</v>
      </c>
      <c r="M257" t="n">
        <v>0</v>
      </c>
      <c r="N257" t="n">
        <v>0</v>
      </c>
      <c r="O257" t="n">
        <v>0</v>
      </c>
      <c r="P257" t="n">
        <v>0</v>
      </c>
      <c r="Q257" t="n">
        <v>0</v>
      </c>
      <c r="R257" s="2" t="inlineStr"/>
    </row>
    <row r="258" ht="15" customHeight="1">
      <c r="A258" t="inlineStr">
        <is>
          <t>A 30920-2025</t>
        </is>
      </c>
      <c r="B258" s="1" t="n">
        <v>45832.38484953704</v>
      </c>
      <c r="C258" s="1" t="n">
        <v>46081</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29157-2022</t>
        </is>
      </c>
      <c r="B259" s="1" t="n">
        <v>44750.48355324074</v>
      </c>
      <c r="C259" s="1" t="n">
        <v>46081</v>
      </c>
      <c r="D259" t="inlineStr">
        <is>
          <t>DALARNAS LÄN</t>
        </is>
      </c>
      <c r="E259" t="inlineStr">
        <is>
          <t>LEKSAND</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30916-2025</t>
        </is>
      </c>
      <c r="B260" s="1" t="n">
        <v>45832.37885416667</v>
      </c>
      <c r="C260" s="1" t="n">
        <v>46081</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42284-2025</t>
        </is>
      </c>
      <c r="B261" s="1" t="n">
        <v>45903</v>
      </c>
      <c r="C261" s="1" t="n">
        <v>46081</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46081</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31189-2025</t>
        </is>
      </c>
      <c r="B263" s="1" t="n">
        <v>45832.6799537037</v>
      </c>
      <c r="C263" s="1" t="n">
        <v>46081</v>
      </c>
      <c r="D263" t="inlineStr">
        <is>
          <t>DALARNAS LÄN</t>
        </is>
      </c>
      <c r="E263" t="inlineStr">
        <is>
          <t>LEKSAND</t>
        </is>
      </c>
      <c r="G263" t="n">
        <v>5</v>
      </c>
      <c r="H263" t="n">
        <v>0</v>
      </c>
      <c r="I263" t="n">
        <v>0</v>
      </c>
      <c r="J263" t="n">
        <v>0</v>
      </c>
      <c r="K263" t="n">
        <v>0</v>
      </c>
      <c r="L263" t="n">
        <v>0</v>
      </c>
      <c r="M263" t="n">
        <v>0</v>
      </c>
      <c r="N263" t="n">
        <v>0</v>
      </c>
      <c r="O263" t="n">
        <v>0</v>
      </c>
      <c r="P263" t="n">
        <v>0</v>
      </c>
      <c r="Q263" t="n">
        <v>0</v>
      </c>
      <c r="R263" s="2" t="inlineStr"/>
    </row>
    <row r="264" ht="15" customHeight="1">
      <c r="A264" t="inlineStr">
        <is>
          <t>A 31619-2025</t>
        </is>
      </c>
      <c r="B264" s="1" t="n">
        <v>45833</v>
      </c>
      <c r="C264" s="1" t="n">
        <v>46081</v>
      </c>
      <c r="D264" t="inlineStr">
        <is>
          <t>DALARNAS LÄN</t>
        </is>
      </c>
      <c r="E264" t="inlineStr">
        <is>
          <t>LEKSAND</t>
        </is>
      </c>
      <c r="G264" t="n">
        <v>2.5</v>
      </c>
      <c r="H264" t="n">
        <v>0</v>
      </c>
      <c r="I264" t="n">
        <v>0</v>
      </c>
      <c r="J264" t="n">
        <v>0</v>
      </c>
      <c r="K264" t="n">
        <v>0</v>
      </c>
      <c r="L264" t="n">
        <v>0</v>
      </c>
      <c r="M264" t="n">
        <v>0</v>
      </c>
      <c r="N264" t="n">
        <v>0</v>
      </c>
      <c r="O264" t="n">
        <v>0</v>
      </c>
      <c r="P264" t="n">
        <v>0</v>
      </c>
      <c r="Q264" t="n">
        <v>0</v>
      </c>
      <c r="R264" s="2" t="inlineStr"/>
    </row>
    <row r="265" ht="15" customHeight="1">
      <c r="A265" t="inlineStr">
        <is>
          <t>A 31446-2025</t>
        </is>
      </c>
      <c r="B265" s="1" t="n">
        <v>45833</v>
      </c>
      <c r="C265" s="1" t="n">
        <v>46081</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31787-2025</t>
        </is>
      </c>
      <c r="B266" s="1" t="n">
        <v>45834</v>
      </c>
      <c r="C266" s="1" t="n">
        <v>46081</v>
      </c>
      <c r="D266" t="inlineStr">
        <is>
          <t>DALARNAS LÄN</t>
        </is>
      </c>
      <c r="E266" t="inlineStr">
        <is>
          <t>LEKSAND</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31493-2025</t>
        </is>
      </c>
      <c r="B267" s="1" t="n">
        <v>45833</v>
      </c>
      <c r="C267" s="1" t="n">
        <v>46081</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12356-2023</t>
        </is>
      </c>
      <c r="B268" s="1" t="n">
        <v>44998</v>
      </c>
      <c r="C268" s="1" t="n">
        <v>46081</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42402-2025</t>
        </is>
      </c>
      <c r="B269" s="1" t="n">
        <v>45905.3753125</v>
      </c>
      <c r="C269" s="1" t="n">
        <v>46081</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46081</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41046-2024</t>
        </is>
      </c>
      <c r="B271" s="1" t="n">
        <v>45559.36677083333</v>
      </c>
      <c r="C271" s="1" t="n">
        <v>46081</v>
      </c>
      <c r="D271" t="inlineStr">
        <is>
          <t>DALARNAS LÄN</t>
        </is>
      </c>
      <c r="E271" t="inlineStr">
        <is>
          <t>LEKSAND</t>
        </is>
      </c>
      <c r="G271" t="n">
        <v>1.9</v>
      </c>
      <c r="H271" t="n">
        <v>0</v>
      </c>
      <c r="I271" t="n">
        <v>0</v>
      </c>
      <c r="J271" t="n">
        <v>0</v>
      </c>
      <c r="K271" t="n">
        <v>0</v>
      </c>
      <c r="L271" t="n">
        <v>0</v>
      </c>
      <c r="M271" t="n">
        <v>0</v>
      </c>
      <c r="N271" t="n">
        <v>0</v>
      </c>
      <c r="O271" t="n">
        <v>0</v>
      </c>
      <c r="P271" t="n">
        <v>0</v>
      </c>
      <c r="Q271" t="n">
        <v>0</v>
      </c>
      <c r="R271" s="2" t="inlineStr"/>
    </row>
    <row r="272" ht="15" customHeight="1">
      <c r="A272" t="inlineStr">
        <is>
          <t>A 56016-2024</t>
        </is>
      </c>
      <c r="B272" s="1" t="n">
        <v>45623.87737268519</v>
      </c>
      <c r="C272" s="1" t="n">
        <v>46081</v>
      </c>
      <c r="D272" t="inlineStr">
        <is>
          <t>DALARNAS LÄN</t>
        </is>
      </c>
      <c r="E272" t="inlineStr">
        <is>
          <t>LEKSAND</t>
        </is>
      </c>
      <c r="G272" t="n">
        <v>6.1</v>
      </c>
      <c r="H272" t="n">
        <v>0</v>
      </c>
      <c r="I272" t="n">
        <v>0</v>
      </c>
      <c r="J272" t="n">
        <v>0</v>
      </c>
      <c r="K272" t="n">
        <v>0</v>
      </c>
      <c r="L272" t="n">
        <v>0</v>
      </c>
      <c r="M272" t="n">
        <v>0</v>
      </c>
      <c r="N272" t="n">
        <v>0</v>
      </c>
      <c r="O272" t="n">
        <v>0</v>
      </c>
      <c r="P272" t="n">
        <v>0</v>
      </c>
      <c r="Q272" t="n">
        <v>0</v>
      </c>
      <c r="R272" s="2" t="inlineStr"/>
    </row>
    <row r="273" ht="15" customHeight="1">
      <c r="A273" t="inlineStr">
        <is>
          <t>A 32593-2025</t>
        </is>
      </c>
      <c r="B273" s="1" t="n">
        <v>45838</v>
      </c>
      <c r="C273" s="1" t="n">
        <v>46081</v>
      </c>
      <c r="D273" t="inlineStr">
        <is>
          <t>DALARNAS LÄN</t>
        </is>
      </c>
      <c r="E273" t="inlineStr">
        <is>
          <t>LEKSAND</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32661-2025</t>
        </is>
      </c>
      <c r="B274" s="1" t="n">
        <v>45838.67953703704</v>
      </c>
      <c r="C274" s="1" t="n">
        <v>46081</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32301-2025</t>
        </is>
      </c>
      <c r="B275" s="1" t="n">
        <v>45835</v>
      </c>
      <c r="C275" s="1" t="n">
        <v>46081</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24714-2025</t>
        </is>
      </c>
      <c r="B276" s="1" t="n">
        <v>45798.96927083333</v>
      </c>
      <c r="C276" s="1" t="n">
        <v>46081</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55926-2024</t>
        </is>
      </c>
      <c r="B277" s="1" t="n">
        <v>45623.601875</v>
      </c>
      <c r="C277" s="1" t="n">
        <v>46081</v>
      </c>
      <c r="D277" t="inlineStr">
        <is>
          <t>DALARNAS LÄN</t>
        </is>
      </c>
      <c r="E277" t="inlineStr">
        <is>
          <t>LEKSAND</t>
        </is>
      </c>
      <c r="G277" t="n">
        <v>0.6</v>
      </c>
      <c r="H277" t="n">
        <v>0</v>
      </c>
      <c r="I277" t="n">
        <v>0</v>
      </c>
      <c r="J277" t="n">
        <v>0</v>
      </c>
      <c r="K277" t="n">
        <v>0</v>
      </c>
      <c r="L277" t="n">
        <v>0</v>
      </c>
      <c r="M277" t="n">
        <v>0</v>
      </c>
      <c r="N277" t="n">
        <v>0</v>
      </c>
      <c r="O277" t="n">
        <v>0</v>
      </c>
      <c r="P277" t="n">
        <v>0</v>
      </c>
      <c r="Q277" t="n">
        <v>0</v>
      </c>
      <c r="R277" s="2" t="inlineStr"/>
    </row>
    <row r="278" ht="15" customHeight="1">
      <c r="A278" t="inlineStr">
        <is>
          <t>A 32653-2025</t>
        </is>
      </c>
      <c r="B278" s="1" t="n">
        <v>45838</v>
      </c>
      <c r="C278" s="1" t="n">
        <v>46081</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16293-2025</t>
        </is>
      </c>
      <c r="B279" s="1" t="n">
        <v>45751.33447916667</v>
      </c>
      <c r="C279" s="1" t="n">
        <v>46081</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31945-2025</t>
        </is>
      </c>
      <c r="B280" s="1" t="n">
        <v>45835</v>
      </c>
      <c r="C280" s="1" t="n">
        <v>46081</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51860-2024</t>
        </is>
      </c>
      <c r="B281" s="1" t="n">
        <v>45607.54511574074</v>
      </c>
      <c r="C281" s="1" t="n">
        <v>46081</v>
      </c>
      <c r="D281" t="inlineStr">
        <is>
          <t>DALARNAS LÄN</t>
        </is>
      </c>
      <c r="E281" t="inlineStr">
        <is>
          <t>LEKSAND</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12363-2023</t>
        </is>
      </c>
      <c r="B282" s="1" t="n">
        <v>44998</v>
      </c>
      <c r="C282" s="1" t="n">
        <v>46081</v>
      </c>
      <c r="D282" t="inlineStr">
        <is>
          <t>DALARNAS LÄN</t>
        </is>
      </c>
      <c r="E282" t="inlineStr">
        <is>
          <t>LEKSAND</t>
        </is>
      </c>
      <c r="G282" t="n">
        <v>10</v>
      </c>
      <c r="H282" t="n">
        <v>0</v>
      </c>
      <c r="I282" t="n">
        <v>0</v>
      </c>
      <c r="J282" t="n">
        <v>0</v>
      </c>
      <c r="K282" t="n">
        <v>0</v>
      </c>
      <c r="L282" t="n">
        <v>0</v>
      </c>
      <c r="M282" t="n">
        <v>0</v>
      </c>
      <c r="N282" t="n">
        <v>0</v>
      </c>
      <c r="O282" t="n">
        <v>0</v>
      </c>
      <c r="P282" t="n">
        <v>0</v>
      </c>
      <c r="Q282" t="n">
        <v>0</v>
      </c>
      <c r="R282" s="2" t="inlineStr"/>
    </row>
    <row r="283" ht="15" customHeight="1">
      <c r="A283" t="inlineStr">
        <is>
          <t>A 33160-2025</t>
        </is>
      </c>
      <c r="B283" s="1" t="n">
        <v>45840</v>
      </c>
      <c r="C283" s="1" t="n">
        <v>46081</v>
      </c>
      <c r="D283" t="inlineStr">
        <is>
          <t>DALARNAS LÄN</t>
        </is>
      </c>
      <c r="E283" t="inlineStr">
        <is>
          <t>LEKSAND</t>
        </is>
      </c>
      <c r="G283" t="n">
        <v>2.3</v>
      </c>
      <c r="H283" t="n">
        <v>0</v>
      </c>
      <c r="I283" t="n">
        <v>0</v>
      </c>
      <c r="J283" t="n">
        <v>0</v>
      </c>
      <c r="K283" t="n">
        <v>0</v>
      </c>
      <c r="L283" t="n">
        <v>0</v>
      </c>
      <c r="M283" t="n">
        <v>0</v>
      </c>
      <c r="N283" t="n">
        <v>0</v>
      </c>
      <c r="O283" t="n">
        <v>0</v>
      </c>
      <c r="P283" t="n">
        <v>0</v>
      </c>
      <c r="Q283" t="n">
        <v>0</v>
      </c>
      <c r="R283" s="2" t="inlineStr"/>
    </row>
    <row r="284" ht="15" customHeight="1">
      <c r="A284" t="inlineStr">
        <is>
          <t>A 15020-2023</t>
        </is>
      </c>
      <c r="B284" s="1" t="n">
        <v>45015.6196412037</v>
      </c>
      <c r="C284" s="1" t="n">
        <v>46081</v>
      </c>
      <c r="D284" t="inlineStr">
        <is>
          <t>DALARNAS LÄN</t>
        </is>
      </c>
      <c r="E284" t="inlineStr">
        <is>
          <t>LEKSAND</t>
        </is>
      </c>
      <c r="G284" t="n">
        <v>2.6</v>
      </c>
      <c r="H284" t="n">
        <v>0</v>
      </c>
      <c r="I284" t="n">
        <v>0</v>
      </c>
      <c r="J284" t="n">
        <v>0</v>
      </c>
      <c r="K284" t="n">
        <v>0</v>
      </c>
      <c r="L284" t="n">
        <v>0</v>
      </c>
      <c r="M284" t="n">
        <v>0</v>
      </c>
      <c r="N284" t="n">
        <v>0</v>
      </c>
      <c r="O284" t="n">
        <v>0</v>
      </c>
      <c r="P284" t="n">
        <v>0</v>
      </c>
      <c r="Q284" t="n">
        <v>0</v>
      </c>
      <c r="R284" s="2" t="inlineStr"/>
    </row>
    <row r="285" ht="15" customHeight="1">
      <c r="A285" t="inlineStr">
        <is>
          <t>A 32855-2025</t>
        </is>
      </c>
      <c r="B285" s="1" t="n">
        <v>45839.57643518518</v>
      </c>
      <c r="C285" s="1" t="n">
        <v>46081</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23323-2023</t>
        </is>
      </c>
      <c r="B286" s="1" t="n">
        <v>45076</v>
      </c>
      <c r="C286" s="1" t="n">
        <v>46081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10299-2024</t>
        </is>
      </c>
      <c r="B287" s="1" t="n">
        <v>45365.50425925926</v>
      </c>
      <c r="C287" s="1" t="n">
        <v>46081</v>
      </c>
      <c r="D287" t="inlineStr">
        <is>
          <t>DALARNAS LÄN</t>
        </is>
      </c>
      <c r="E287" t="inlineStr">
        <is>
          <t>LEKSAND</t>
        </is>
      </c>
      <c r="G287" t="n">
        <v>3.6</v>
      </c>
      <c r="H287" t="n">
        <v>0</v>
      </c>
      <c r="I287" t="n">
        <v>0</v>
      </c>
      <c r="J287" t="n">
        <v>0</v>
      </c>
      <c r="K287" t="n">
        <v>0</v>
      </c>
      <c r="L287" t="n">
        <v>0</v>
      </c>
      <c r="M287" t="n">
        <v>0</v>
      </c>
      <c r="N287" t="n">
        <v>0</v>
      </c>
      <c r="O287" t="n">
        <v>0</v>
      </c>
      <c r="P287" t="n">
        <v>0</v>
      </c>
      <c r="Q287" t="n">
        <v>0</v>
      </c>
      <c r="R287" s="2" t="inlineStr"/>
    </row>
    <row r="288" ht="15" customHeight="1">
      <c r="A288" t="inlineStr">
        <is>
          <t>A 55643-2024</t>
        </is>
      </c>
      <c r="B288" s="1" t="n">
        <v>45621</v>
      </c>
      <c r="C288" s="1" t="n">
        <v>46081</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43195-2025</t>
        </is>
      </c>
      <c r="B289" s="1" t="n">
        <v>45910.4294212963</v>
      </c>
      <c r="C289" s="1" t="n">
        <v>46081</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60129-2023</t>
        </is>
      </c>
      <c r="B290" s="1" t="n">
        <v>45258.49056712963</v>
      </c>
      <c r="C290" s="1" t="n">
        <v>46081</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16137-2023</t>
        </is>
      </c>
      <c r="B291" s="1" t="n">
        <v>45027</v>
      </c>
      <c r="C291" s="1" t="n">
        <v>46081</v>
      </c>
      <c r="D291" t="inlineStr">
        <is>
          <t>DALARNAS LÄN</t>
        </is>
      </c>
      <c r="E291" t="inlineStr">
        <is>
          <t>LEKSAND</t>
        </is>
      </c>
      <c r="G291" t="n">
        <v>1.6</v>
      </c>
      <c r="H291" t="n">
        <v>0</v>
      </c>
      <c r="I291" t="n">
        <v>0</v>
      </c>
      <c r="J291" t="n">
        <v>0</v>
      </c>
      <c r="K291" t="n">
        <v>0</v>
      </c>
      <c r="L291" t="n">
        <v>0</v>
      </c>
      <c r="M291" t="n">
        <v>0</v>
      </c>
      <c r="N291" t="n">
        <v>0</v>
      </c>
      <c r="O291" t="n">
        <v>0</v>
      </c>
      <c r="P291" t="n">
        <v>0</v>
      </c>
      <c r="Q291" t="n">
        <v>0</v>
      </c>
      <c r="R291" s="2" t="inlineStr"/>
    </row>
    <row r="292" ht="15" customHeight="1">
      <c r="A292" t="inlineStr">
        <is>
          <t>A 56283-2024</t>
        </is>
      </c>
      <c r="B292" s="1" t="n">
        <v>45624.67864583333</v>
      </c>
      <c r="C292" s="1" t="n">
        <v>46081</v>
      </c>
      <c r="D292" t="inlineStr">
        <is>
          <t>DALARNAS LÄN</t>
        </is>
      </c>
      <c r="E292" t="inlineStr">
        <is>
          <t>LEKSAND</t>
        </is>
      </c>
      <c r="G292" t="n">
        <v>1.3</v>
      </c>
      <c r="H292" t="n">
        <v>0</v>
      </c>
      <c r="I292" t="n">
        <v>0</v>
      </c>
      <c r="J292" t="n">
        <v>0</v>
      </c>
      <c r="K292" t="n">
        <v>0</v>
      </c>
      <c r="L292" t="n">
        <v>0</v>
      </c>
      <c r="M292" t="n">
        <v>0</v>
      </c>
      <c r="N292" t="n">
        <v>0</v>
      </c>
      <c r="O292" t="n">
        <v>0</v>
      </c>
      <c r="P292" t="n">
        <v>0</v>
      </c>
      <c r="Q292" t="n">
        <v>0</v>
      </c>
      <c r="R292" s="2" t="inlineStr"/>
    </row>
    <row r="293" ht="15" customHeight="1">
      <c r="A293" t="inlineStr">
        <is>
          <t>A 56299-2024</t>
        </is>
      </c>
      <c r="B293" s="1" t="n">
        <v>45624.68607638889</v>
      </c>
      <c r="C293" s="1" t="n">
        <v>46081</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33804-2025</t>
        </is>
      </c>
      <c r="B294" s="1" t="n">
        <v>45842</v>
      </c>
      <c r="C294" s="1" t="n">
        <v>46081</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43077-2024</t>
        </is>
      </c>
      <c r="B295" s="1" t="n">
        <v>45567.50030092592</v>
      </c>
      <c r="C295" s="1" t="n">
        <v>46081</v>
      </c>
      <c r="D295" t="inlineStr">
        <is>
          <t>DALARNAS LÄN</t>
        </is>
      </c>
      <c r="E295" t="inlineStr">
        <is>
          <t>LEKSAND</t>
        </is>
      </c>
      <c r="G295" t="n">
        <v>1.6</v>
      </c>
      <c r="H295" t="n">
        <v>0</v>
      </c>
      <c r="I295" t="n">
        <v>0</v>
      </c>
      <c r="J295" t="n">
        <v>0</v>
      </c>
      <c r="K295" t="n">
        <v>0</v>
      </c>
      <c r="L295" t="n">
        <v>0</v>
      </c>
      <c r="M295" t="n">
        <v>0</v>
      </c>
      <c r="N295" t="n">
        <v>0</v>
      </c>
      <c r="O295" t="n">
        <v>0</v>
      </c>
      <c r="P295" t="n">
        <v>0</v>
      </c>
      <c r="Q295" t="n">
        <v>0</v>
      </c>
      <c r="R295" s="2" t="inlineStr"/>
    </row>
    <row r="296" ht="15" customHeight="1">
      <c r="A296" t="inlineStr">
        <is>
          <t>A 43830-2025</t>
        </is>
      </c>
      <c r="B296" s="1" t="n">
        <v>45912</v>
      </c>
      <c r="C296" s="1" t="n">
        <v>46081</v>
      </c>
      <c r="D296" t="inlineStr">
        <is>
          <t>DALARNAS LÄN</t>
        </is>
      </c>
      <c r="E296" t="inlineStr">
        <is>
          <t>LEKSAND</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43630-2025</t>
        </is>
      </c>
      <c r="B297" s="1" t="n">
        <v>45911.70278935185</v>
      </c>
      <c r="C297" s="1" t="n">
        <v>46081</v>
      </c>
      <c r="D297" t="inlineStr">
        <is>
          <t>DALARNAS LÄN</t>
        </is>
      </c>
      <c r="E297" t="inlineStr">
        <is>
          <t>LEKSAND</t>
        </is>
      </c>
      <c r="G297" t="n">
        <v>4.7</v>
      </c>
      <c r="H297" t="n">
        <v>0</v>
      </c>
      <c r="I297" t="n">
        <v>0</v>
      </c>
      <c r="J297" t="n">
        <v>0</v>
      </c>
      <c r="K297" t="n">
        <v>0</v>
      </c>
      <c r="L297" t="n">
        <v>0</v>
      </c>
      <c r="M297" t="n">
        <v>0</v>
      </c>
      <c r="N297" t="n">
        <v>0</v>
      </c>
      <c r="O297" t="n">
        <v>0</v>
      </c>
      <c r="P297" t="n">
        <v>0</v>
      </c>
      <c r="Q297" t="n">
        <v>0</v>
      </c>
      <c r="R297" s="2" t="inlineStr"/>
    </row>
    <row r="298" ht="15" customHeight="1">
      <c r="A298" t="inlineStr">
        <is>
          <t>A 43607-2025</t>
        </is>
      </c>
      <c r="B298" s="1" t="n">
        <v>45911.66873842593</v>
      </c>
      <c r="C298" s="1" t="n">
        <v>46081</v>
      </c>
      <c r="D298" t="inlineStr">
        <is>
          <t>DALARNAS LÄN</t>
        </is>
      </c>
      <c r="E298" t="inlineStr">
        <is>
          <t>LEKSAND</t>
        </is>
      </c>
      <c r="G298" t="n">
        <v>7.3</v>
      </c>
      <c r="H298" t="n">
        <v>0</v>
      </c>
      <c r="I298" t="n">
        <v>0</v>
      </c>
      <c r="J298" t="n">
        <v>0</v>
      </c>
      <c r="K298" t="n">
        <v>0</v>
      </c>
      <c r="L298" t="n">
        <v>0</v>
      </c>
      <c r="M298" t="n">
        <v>0</v>
      </c>
      <c r="N298" t="n">
        <v>0</v>
      </c>
      <c r="O298" t="n">
        <v>0</v>
      </c>
      <c r="P298" t="n">
        <v>0</v>
      </c>
      <c r="Q298" t="n">
        <v>0</v>
      </c>
      <c r="R298" s="2" t="inlineStr"/>
    </row>
    <row r="299" ht="15" customHeight="1">
      <c r="A299" t="inlineStr">
        <is>
          <t>A 43629-2025</t>
        </is>
      </c>
      <c r="B299" s="1" t="n">
        <v>45911.70180555555</v>
      </c>
      <c r="C299" s="1" t="n">
        <v>46081</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46081</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43875-2025</t>
        </is>
      </c>
      <c r="B301" s="1" t="n">
        <v>45912.67685185185</v>
      </c>
      <c r="C301" s="1" t="n">
        <v>46081</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43888-2025</t>
        </is>
      </c>
      <c r="B302" s="1" t="n">
        <v>45912</v>
      </c>
      <c r="C302" s="1" t="n">
        <v>46081</v>
      </c>
      <c r="D302" t="inlineStr">
        <is>
          <t>DALARNAS LÄN</t>
        </is>
      </c>
      <c r="E302" t="inlineStr">
        <is>
          <t>LEKSAND</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24005-2024</t>
        </is>
      </c>
      <c r="B303" s="1" t="n">
        <v>45456.39239583333</v>
      </c>
      <c r="C303" s="1" t="n">
        <v>46081</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1984-2025</t>
        </is>
      </c>
      <c r="B304" s="1" t="n">
        <v>45670</v>
      </c>
      <c r="C304" s="1" t="n">
        <v>46081</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59199-2024</t>
        </is>
      </c>
      <c r="B305" s="1" t="n">
        <v>45637</v>
      </c>
      <c r="C305" s="1" t="n">
        <v>46081</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34789-2025</t>
        </is>
      </c>
      <c r="B306" s="1" t="n">
        <v>45848</v>
      </c>
      <c r="C306" s="1" t="n">
        <v>46081</v>
      </c>
      <c r="D306" t="inlineStr">
        <is>
          <t>DALARNAS LÄN</t>
        </is>
      </c>
      <c r="E306" t="inlineStr">
        <is>
          <t>LEKSAND</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41896-2024</t>
        </is>
      </c>
      <c r="B307" s="1" t="n">
        <v>45561.51310185185</v>
      </c>
      <c r="C307" s="1" t="n">
        <v>46081</v>
      </c>
      <c r="D307" t="inlineStr">
        <is>
          <t>DALARNAS LÄN</t>
        </is>
      </c>
      <c r="E307" t="inlineStr">
        <is>
          <t>LEKSAND</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33310-2023</t>
        </is>
      </c>
      <c r="B308" s="1" t="n">
        <v>45127.82231481482</v>
      </c>
      <c r="C308" s="1" t="n">
        <v>46081</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57899-2024</t>
        </is>
      </c>
      <c r="B309" s="1" t="n">
        <v>45630</v>
      </c>
      <c r="C309" s="1" t="n">
        <v>46081</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34537-2025</t>
        </is>
      </c>
      <c r="B310" s="1" t="n">
        <v>45847</v>
      </c>
      <c r="C310" s="1" t="n">
        <v>46081</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11110-2023</t>
        </is>
      </c>
      <c r="B311" s="1" t="n">
        <v>44992</v>
      </c>
      <c r="C311" s="1" t="n">
        <v>46081</v>
      </c>
      <c r="D311" t="inlineStr">
        <is>
          <t>DALARNAS LÄN</t>
        </is>
      </c>
      <c r="E311" t="inlineStr">
        <is>
          <t>LEKSAND</t>
        </is>
      </c>
      <c r="G311" t="n">
        <v>11.2</v>
      </c>
      <c r="H311" t="n">
        <v>0</v>
      </c>
      <c r="I311" t="n">
        <v>0</v>
      </c>
      <c r="J311" t="n">
        <v>0</v>
      </c>
      <c r="K311" t="n">
        <v>0</v>
      </c>
      <c r="L311" t="n">
        <v>0</v>
      </c>
      <c r="M311" t="n">
        <v>0</v>
      </c>
      <c r="N311" t="n">
        <v>0</v>
      </c>
      <c r="O311" t="n">
        <v>0</v>
      </c>
      <c r="P311" t="n">
        <v>0</v>
      </c>
      <c r="Q311" t="n">
        <v>0</v>
      </c>
      <c r="R311" s="2" t="inlineStr"/>
    </row>
    <row r="312" ht="15" customHeight="1">
      <c r="A312" t="inlineStr">
        <is>
          <t>A 56753-2023</t>
        </is>
      </c>
      <c r="B312" s="1" t="n">
        <v>45244.37094907407</v>
      </c>
      <c r="C312" s="1" t="n">
        <v>46081</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43628-2025</t>
        </is>
      </c>
      <c r="B313" s="1" t="n">
        <v>45911.70060185185</v>
      </c>
      <c r="C313" s="1" t="n">
        <v>46081</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35094-2025</t>
        </is>
      </c>
      <c r="B314" s="1" t="n">
        <v>45852</v>
      </c>
      <c r="C314" s="1" t="n">
        <v>46081</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44516-2025</t>
        </is>
      </c>
      <c r="B315" s="1" t="n">
        <v>45916.70982638889</v>
      </c>
      <c r="C315" s="1" t="n">
        <v>46081</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46081</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57933-2024</t>
        </is>
      </c>
      <c r="B317" s="1" t="n">
        <v>45630</v>
      </c>
      <c r="C317" s="1" t="n">
        <v>46081</v>
      </c>
      <c r="D317" t="inlineStr">
        <is>
          <t>DALARNAS LÄN</t>
        </is>
      </c>
      <c r="E317" t="inlineStr">
        <is>
          <t>LEKSAND</t>
        </is>
      </c>
      <c r="G317" t="n">
        <v>1.1</v>
      </c>
      <c r="H317" t="n">
        <v>0</v>
      </c>
      <c r="I317" t="n">
        <v>0</v>
      </c>
      <c r="J317" t="n">
        <v>0</v>
      </c>
      <c r="K317" t="n">
        <v>0</v>
      </c>
      <c r="L317" t="n">
        <v>0</v>
      </c>
      <c r="M317" t="n">
        <v>0</v>
      </c>
      <c r="N317" t="n">
        <v>0</v>
      </c>
      <c r="O317" t="n">
        <v>0</v>
      </c>
      <c r="P317" t="n">
        <v>0</v>
      </c>
      <c r="Q317" t="n">
        <v>0</v>
      </c>
      <c r="R317" s="2" t="inlineStr"/>
    </row>
    <row r="318" ht="15" customHeight="1">
      <c r="A318" t="inlineStr">
        <is>
          <t>A 11403-2023</t>
        </is>
      </c>
      <c r="B318" s="1" t="n">
        <v>44993</v>
      </c>
      <c r="C318" s="1" t="n">
        <v>46081</v>
      </c>
      <c r="D318" t="inlineStr">
        <is>
          <t>DALARNAS LÄN</t>
        </is>
      </c>
      <c r="E318" t="inlineStr">
        <is>
          <t>LEKSAND</t>
        </is>
      </c>
      <c r="G318" t="n">
        <v>0.1</v>
      </c>
      <c r="H318" t="n">
        <v>0</v>
      </c>
      <c r="I318" t="n">
        <v>0</v>
      </c>
      <c r="J318" t="n">
        <v>0</v>
      </c>
      <c r="K318" t="n">
        <v>0</v>
      </c>
      <c r="L318" t="n">
        <v>0</v>
      </c>
      <c r="M318" t="n">
        <v>0</v>
      </c>
      <c r="N318" t="n">
        <v>0</v>
      </c>
      <c r="O318" t="n">
        <v>0</v>
      </c>
      <c r="P318" t="n">
        <v>0</v>
      </c>
      <c r="Q318" t="n">
        <v>0</v>
      </c>
      <c r="R318" s="2" t="inlineStr"/>
    </row>
    <row r="319" ht="15" customHeight="1">
      <c r="A319" t="inlineStr">
        <is>
          <t>A 34965-2025</t>
        </is>
      </c>
      <c r="B319" s="1" t="n">
        <v>45849</v>
      </c>
      <c r="C319" s="1" t="n">
        <v>46081</v>
      </c>
      <c r="D319" t="inlineStr">
        <is>
          <t>DALARNAS LÄN</t>
        </is>
      </c>
      <c r="E319" t="inlineStr">
        <is>
          <t>LEKSAND</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34966-2025</t>
        </is>
      </c>
      <c r="B320" s="1" t="n">
        <v>45849</v>
      </c>
      <c r="C320" s="1" t="n">
        <v>46081</v>
      </c>
      <c r="D320" t="inlineStr">
        <is>
          <t>DALARNAS LÄN</t>
        </is>
      </c>
      <c r="E320" t="inlineStr">
        <is>
          <t>LEKSAND</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22683-2022</t>
        </is>
      </c>
      <c r="B321" s="1" t="n">
        <v>44714</v>
      </c>
      <c r="C321" s="1" t="n">
        <v>46081</v>
      </c>
      <c r="D321" t="inlineStr">
        <is>
          <t>DALARNAS LÄN</t>
        </is>
      </c>
      <c r="E321" t="inlineStr">
        <is>
          <t>LEKSAND</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52755-2024</t>
        </is>
      </c>
      <c r="B322" s="1" t="n">
        <v>45610.50217592593</v>
      </c>
      <c r="C322" s="1" t="n">
        <v>46081</v>
      </c>
      <c r="D322" t="inlineStr">
        <is>
          <t>DALARNAS LÄN</t>
        </is>
      </c>
      <c r="E322" t="inlineStr">
        <is>
          <t>LEKSAND</t>
        </is>
      </c>
      <c r="G322" t="n">
        <v>1.3</v>
      </c>
      <c r="H322" t="n">
        <v>0</v>
      </c>
      <c r="I322" t="n">
        <v>0</v>
      </c>
      <c r="J322" t="n">
        <v>0</v>
      </c>
      <c r="K322" t="n">
        <v>0</v>
      </c>
      <c r="L322" t="n">
        <v>0</v>
      </c>
      <c r="M322" t="n">
        <v>0</v>
      </c>
      <c r="N322" t="n">
        <v>0</v>
      </c>
      <c r="O322" t="n">
        <v>0</v>
      </c>
      <c r="P322" t="n">
        <v>0</v>
      </c>
      <c r="Q322" t="n">
        <v>0</v>
      </c>
      <c r="R322" s="2" t="inlineStr"/>
    </row>
    <row r="323" ht="15" customHeight="1">
      <c r="A323" t="inlineStr">
        <is>
          <t>A 6846-2023</t>
        </is>
      </c>
      <c r="B323" s="1" t="n">
        <v>44967.43953703704</v>
      </c>
      <c r="C323" s="1" t="n">
        <v>46081</v>
      </c>
      <c r="D323" t="inlineStr">
        <is>
          <t>DALARNAS LÄN</t>
        </is>
      </c>
      <c r="E323" t="inlineStr">
        <is>
          <t>LEKSAND</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44237-2025</t>
        </is>
      </c>
      <c r="B324" s="1" t="n">
        <v>45915.6677199074</v>
      </c>
      <c r="C324" s="1" t="n">
        <v>46081</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13705-2021</t>
        </is>
      </c>
      <c r="B325" s="1" t="n">
        <v>44274</v>
      </c>
      <c r="C325" s="1" t="n">
        <v>46081</v>
      </c>
      <c r="D325" t="inlineStr">
        <is>
          <t>DALARNAS LÄN</t>
        </is>
      </c>
      <c r="E325" t="inlineStr">
        <is>
          <t>LEKSAND</t>
        </is>
      </c>
      <c r="G325" t="n">
        <v>3.8</v>
      </c>
      <c r="H325" t="n">
        <v>0</v>
      </c>
      <c r="I325" t="n">
        <v>0</v>
      </c>
      <c r="J325" t="n">
        <v>0</v>
      </c>
      <c r="K325" t="n">
        <v>0</v>
      </c>
      <c r="L325" t="n">
        <v>0</v>
      </c>
      <c r="M325" t="n">
        <v>0</v>
      </c>
      <c r="N325" t="n">
        <v>0</v>
      </c>
      <c r="O325" t="n">
        <v>0</v>
      </c>
      <c r="P325" t="n">
        <v>0</v>
      </c>
      <c r="Q325" t="n">
        <v>0</v>
      </c>
      <c r="R325" s="2" t="inlineStr"/>
    </row>
    <row r="326" ht="15" customHeight="1">
      <c r="A326" t="inlineStr">
        <is>
          <t>A 35746-2025</t>
        </is>
      </c>
      <c r="B326" s="1" t="n">
        <v>45860</v>
      </c>
      <c r="C326" s="1" t="n">
        <v>46081</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44948-2025</t>
        </is>
      </c>
      <c r="B327" s="1" t="n">
        <v>45918.60555555556</v>
      </c>
      <c r="C327" s="1" t="n">
        <v>46081</v>
      </c>
      <c r="D327" t="inlineStr">
        <is>
          <t>DALARNAS LÄN</t>
        </is>
      </c>
      <c r="E327" t="inlineStr">
        <is>
          <t>LEKSAND</t>
        </is>
      </c>
      <c r="G327" t="n">
        <v>5.1</v>
      </c>
      <c r="H327" t="n">
        <v>0</v>
      </c>
      <c r="I327" t="n">
        <v>0</v>
      </c>
      <c r="J327" t="n">
        <v>0</v>
      </c>
      <c r="K327" t="n">
        <v>0</v>
      </c>
      <c r="L327" t="n">
        <v>0</v>
      </c>
      <c r="M327" t="n">
        <v>0</v>
      </c>
      <c r="N327" t="n">
        <v>0</v>
      </c>
      <c r="O327" t="n">
        <v>0</v>
      </c>
      <c r="P327" t="n">
        <v>0</v>
      </c>
      <c r="Q327" t="n">
        <v>0</v>
      </c>
      <c r="R327" s="2" t="inlineStr"/>
    </row>
    <row r="328" ht="15" customHeight="1">
      <c r="A328" t="inlineStr">
        <is>
          <t>A 6030-2025</t>
        </is>
      </c>
      <c r="B328" s="1" t="n">
        <v>45695</v>
      </c>
      <c r="C328" s="1" t="n">
        <v>46081</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35866-2025</t>
        </is>
      </c>
      <c r="B329" s="1" t="n">
        <v>45861</v>
      </c>
      <c r="C329" s="1" t="n">
        <v>46081</v>
      </c>
      <c r="D329" t="inlineStr">
        <is>
          <t>DALARNAS LÄN</t>
        </is>
      </c>
      <c r="E329" t="inlineStr">
        <is>
          <t>LEKSAND</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44672-2025</t>
        </is>
      </c>
      <c r="B330" s="1" t="n">
        <v>45917.56780092593</v>
      </c>
      <c r="C330" s="1" t="n">
        <v>46081</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45101-2025</t>
        </is>
      </c>
      <c r="B331" s="1" t="n">
        <v>45919.39679398148</v>
      </c>
      <c r="C331" s="1" t="n">
        <v>46081</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35998-2025</t>
        </is>
      </c>
      <c r="B332" s="1" t="n">
        <v>45863.51550925926</v>
      </c>
      <c r="C332" s="1" t="n">
        <v>46081</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36021-2025</t>
        </is>
      </c>
      <c r="B333" s="1" t="n">
        <v>45863.72346064815</v>
      </c>
      <c r="C333" s="1" t="n">
        <v>46081</v>
      </c>
      <c r="D333" t="inlineStr">
        <is>
          <t>DALARNAS LÄN</t>
        </is>
      </c>
      <c r="E333" t="inlineStr">
        <is>
          <t>LEKSAND</t>
        </is>
      </c>
      <c r="G333" t="n">
        <v>1.9</v>
      </c>
      <c r="H333" t="n">
        <v>0</v>
      </c>
      <c r="I333" t="n">
        <v>0</v>
      </c>
      <c r="J333" t="n">
        <v>0</v>
      </c>
      <c r="K333" t="n">
        <v>0</v>
      </c>
      <c r="L333" t="n">
        <v>0</v>
      </c>
      <c r="M333" t="n">
        <v>0</v>
      </c>
      <c r="N333" t="n">
        <v>0</v>
      </c>
      <c r="O333" t="n">
        <v>0</v>
      </c>
      <c r="P333" t="n">
        <v>0</v>
      </c>
      <c r="Q333" t="n">
        <v>0</v>
      </c>
      <c r="R333" s="2" t="inlineStr"/>
    </row>
    <row r="334" ht="15" customHeight="1">
      <c r="A334" t="inlineStr">
        <is>
          <t>A 36020-2025</t>
        </is>
      </c>
      <c r="B334" s="1" t="n">
        <v>45863</v>
      </c>
      <c r="C334" s="1" t="n">
        <v>46081</v>
      </c>
      <c r="D334" t="inlineStr">
        <is>
          <t>DALARNAS LÄN</t>
        </is>
      </c>
      <c r="E334" t="inlineStr">
        <is>
          <t>LEKSAND</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53981-2024</t>
        </is>
      </c>
      <c r="B335" s="1" t="n">
        <v>45615</v>
      </c>
      <c r="C335" s="1" t="n">
        <v>46081</v>
      </c>
      <c r="D335" t="inlineStr">
        <is>
          <t>DALARNAS LÄN</t>
        </is>
      </c>
      <c r="E335" t="inlineStr">
        <is>
          <t>LEKSAND</t>
        </is>
      </c>
      <c r="G335" t="n">
        <v>5.4</v>
      </c>
      <c r="H335" t="n">
        <v>0</v>
      </c>
      <c r="I335" t="n">
        <v>0</v>
      </c>
      <c r="J335" t="n">
        <v>0</v>
      </c>
      <c r="K335" t="n">
        <v>0</v>
      </c>
      <c r="L335" t="n">
        <v>0</v>
      </c>
      <c r="M335" t="n">
        <v>0</v>
      </c>
      <c r="N335" t="n">
        <v>0</v>
      </c>
      <c r="O335" t="n">
        <v>0</v>
      </c>
      <c r="P335" t="n">
        <v>0</v>
      </c>
      <c r="Q335" t="n">
        <v>0</v>
      </c>
      <c r="R335" s="2" t="inlineStr"/>
    </row>
    <row r="336" ht="15" customHeight="1">
      <c r="A336" t="inlineStr">
        <is>
          <t>A 36017-2025</t>
        </is>
      </c>
      <c r="B336" s="1" t="n">
        <v>45863</v>
      </c>
      <c r="C336" s="1" t="n">
        <v>46081</v>
      </c>
      <c r="D336" t="inlineStr">
        <is>
          <t>DALARNAS LÄN</t>
        </is>
      </c>
      <c r="E336" t="inlineStr">
        <is>
          <t>LEKSAND</t>
        </is>
      </c>
      <c r="F336" t="inlineStr">
        <is>
          <t>Bergvik skog väst AB</t>
        </is>
      </c>
      <c r="G336" t="n">
        <v>17.9</v>
      </c>
      <c r="H336" t="n">
        <v>0</v>
      </c>
      <c r="I336" t="n">
        <v>0</v>
      </c>
      <c r="J336" t="n">
        <v>0</v>
      </c>
      <c r="K336" t="n">
        <v>0</v>
      </c>
      <c r="L336" t="n">
        <v>0</v>
      </c>
      <c r="M336" t="n">
        <v>0</v>
      </c>
      <c r="N336" t="n">
        <v>0</v>
      </c>
      <c r="O336" t="n">
        <v>0</v>
      </c>
      <c r="P336" t="n">
        <v>0</v>
      </c>
      <c r="Q336" t="n">
        <v>0</v>
      </c>
      <c r="R336" s="2" t="inlineStr"/>
    </row>
    <row r="337" ht="15" customHeight="1">
      <c r="A337" t="inlineStr">
        <is>
          <t>A 36190-2025</t>
        </is>
      </c>
      <c r="B337" s="1" t="n">
        <v>45867</v>
      </c>
      <c r="C337" s="1" t="n">
        <v>46081</v>
      </c>
      <c r="D337" t="inlineStr">
        <is>
          <t>DALARNAS LÄN</t>
        </is>
      </c>
      <c r="E337" t="inlineStr">
        <is>
          <t>LEKSAND</t>
        </is>
      </c>
      <c r="G337" t="n">
        <v>0.6</v>
      </c>
      <c r="H337" t="n">
        <v>0</v>
      </c>
      <c r="I337" t="n">
        <v>0</v>
      </c>
      <c r="J337" t="n">
        <v>0</v>
      </c>
      <c r="K337" t="n">
        <v>0</v>
      </c>
      <c r="L337" t="n">
        <v>0</v>
      </c>
      <c r="M337" t="n">
        <v>0</v>
      </c>
      <c r="N337" t="n">
        <v>0</v>
      </c>
      <c r="O337" t="n">
        <v>0</v>
      </c>
      <c r="P337" t="n">
        <v>0</v>
      </c>
      <c r="Q337" t="n">
        <v>0</v>
      </c>
      <c r="R337" s="2" t="inlineStr"/>
    </row>
    <row r="338" ht="15" customHeight="1">
      <c r="A338" t="inlineStr">
        <is>
          <t>A 17589-2025</t>
        </is>
      </c>
      <c r="B338" s="1" t="n">
        <v>45757.67844907408</v>
      </c>
      <c r="C338" s="1" t="n">
        <v>46081</v>
      </c>
      <c r="D338" t="inlineStr">
        <is>
          <t>DALARNAS LÄN</t>
        </is>
      </c>
      <c r="E338" t="inlineStr">
        <is>
          <t>LEKSAND</t>
        </is>
      </c>
      <c r="G338" t="n">
        <v>5.8</v>
      </c>
      <c r="H338" t="n">
        <v>0</v>
      </c>
      <c r="I338" t="n">
        <v>0</v>
      </c>
      <c r="J338" t="n">
        <v>0</v>
      </c>
      <c r="K338" t="n">
        <v>0</v>
      </c>
      <c r="L338" t="n">
        <v>0</v>
      </c>
      <c r="M338" t="n">
        <v>0</v>
      </c>
      <c r="N338" t="n">
        <v>0</v>
      </c>
      <c r="O338" t="n">
        <v>0</v>
      </c>
      <c r="P338" t="n">
        <v>0</v>
      </c>
      <c r="Q338" t="n">
        <v>0</v>
      </c>
      <c r="R338" s="2" t="inlineStr"/>
    </row>
    <row r="339" ht="15" customHeight="1">
      <c r="A339" t="inlineStr">
        <is>
          <t>A 45300-2025</t>
        </is>
      </c>
      <c r="B339" s="1" t="n">
        <v>45921.30490740741</v>
      </c>
      <c r="C339" s="1" t="n">
        <v>46081</v>
      </c>
      <c r="D339" t="inlineStr">
        <is>
          <t>DALARNAS LÄN</t>
        </is>
      </c>
      <c r="E339" t="inlineStr">
        <is>
          <t>LEKSAND</t>
        </is>
      </c>
      <c r="G339" t="n">
        <v>2.3</v>
      </c>
      <c r="H339" t="n">
        <v>0</v>
      </c>
      <c r="I339" t="n">
        <v>0</v>
      </c>
      <c r="J339" t="n">
        <v>0</v>
      </c>
      <c r="K339" t="n">
        <v>0</v>
      </c>
      <c r="L339" t="n">
        <v>0</v>
      </c>
      <c r="M339" t="n">
        <v>0</v>
      </c>
      <c r="N339" t="n">
        <v>0</v>
      </c>
      <c r="O339" t="n">
        <v>0</v>
      </c>
      <c r="P339" t="n">
        <v>0</v>
      </c>
      <c r="Q339" t="n">
        <v>0</v>
      </c>
      <c r="R339" s="2" t="inlineStr"/>
    </row>
    <row r="340" ht="15" customHeight="1">
      <c r="A340" t="inlineStr">
        <is>
          <t>A 45381-2025</t>
        </is>
      </c>
      <c r="B340" s="1" t="n">
        <v>45922.39989583333</v>
      </c>
      <c r="C340" s="1" t="n">
        <v>46081</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45318-2025</t>
        </is>
      </c>
      <c r="B341" s="1" t="n">
        <v>45921.85230324074</v>
      </c>
      <c r="C341" s="1" t="n">
        <v>46081</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11740-2025</t>
        </is>
      </c>
      <c r="B342" s="1" t="n">
        <v>45727.62582175926</v>
      </c>
      <c r="C342" s="1" t="n">
        <v>46081</v>
      </c>
      <c r="D342" t="inlineStr">
        <is>
          <t>DALARNAS LÄN</t>
        </is>
      </c>
      <c r="E342" t="inlineStr">
        <is>
          <t>LEKSAND</t>
        </is>
      </c>
      <c r="F342" t="inlineStr">
        <is>
          <t>Övriga Aktiebolag</t>
        </is>
      </c>
      <c r="G342" t="n">
        <v>1.3</v>
      </c>
      <c r="H342" t="n">
        <v>0</v>
      </c>
      <c r="I342" t="n">
        <v>0</v>
      </c>
      <c r="J342" t="n">
        <v>0</v>
      </c>
      <c r="K342" t="n">
        <v>0</v>
      </c>
      <c r="L342" t="n">
        <v>0</v>
      </c>
      <c r="M342" t="n">
        <v>0</v>
      </c>
      <c r="N342" t="n">
        <v>0</v>
      </c>
      <c r="O342" t="n">
        <v>0</v>
      </c>
      <c r="P342" t="n">
        <v>0</v>
      </c>
      <c r="Q342" t="n">
        <v>0</v>
      </c>
      <c r="R342" s="2" t="inlineStr"/>
    </row>
    <row r="343" ht="15" customHeight="1">
      <c r="A343" t="inlineStr">
        <is>
          <t>A 46176-2025</t>
        </is>
      </c>
      <c r="B343" s="1" t="n">
        <v>45924.65101851852</v>
      </c>
      <c r="C343" s="1" t="n">
        <v>46081</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36540-2025</t>
        </is>
      </c>
      <c r="B344" s="1" t="n">
        <v>45869.63885416667</v>
      </c>
      <c r="C344" s="1" t="n">
        <v>46081</v>
      </c>
      <c r="D344" t="inlineStr">
        <is>
          <t>DALARNAS LÄN</t>
        </is>
      </c>
      <c r="E344" t="inlineStr">
        <is>
          <t>LEKSAND</t>
        </is>
      </c>
      <c r="G344" t="n">
        <v>0.6</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46081</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46483-2025</t>
        </is>
      </c>
      <c r="B346" s="1" t="n">
        <v>45925.70248842592</v>
      </c>
      <c r="C346" s="1" t="n">
        <v>46081</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164-2023</t>
        </is>
      </c>
      <c r="B347" s="1" t="n">
        <v>44918</v>
      </c>
      <c r="C347" s="1" t="n">
        <v>46081</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46978-2025</t>
        </is>
      </c>
      <c r="B348" s="1" t="n">
        <v>45929.51811342593</v>
      </c>
      <c r="C348" s="1" t="n">
        <v>46081</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51677-2024</t>
        </is>
      </c>
      <c r="B349" s="1" t="n">
        <v>45607.30265046296</v>
      </c>
      <c r="C349" s="1" t="n">
        <v>46081</v>
      </c>
      <c r="D349" t="inlineStr">
        <is>
          <t>DALARNAS LÄN</t>
        </is>
      </c>
      <c r="E349" t="inlineStr">
        <is>
          <t>LEKSAND</t>
        </is>
      </c>
      <c r="G349" t="n">
        <v>3.4</v>
      </c>
      <c r="H349" t="n">
        <v>0</v>
      </c>
      <c r="I349" t="n">
        <v>0</v>
      </c>
      <c r="J349" t="n">
        <v>0</v>
      </c>
      <c r="K349" t="n">
        <v>0</v>
      </c>
      <c r="L349" t="n">
        <v>0</v>
      </c>
      <c r="M349" t="n">
        <v>0</v>
      </c>
      <c r="N349" t="n">
        <v>0</v>
      </c>
      <c r="O349" t="n">
        <v>0</v>
      </c>
      <c r="P349" t="n">
        <v>0</v>
      </c>
      <c r="Q349" t="n">
        <v>0</v>
      </c>
      <c r="R349" s="2" t="inlineStr"/>
    </row>
    <row r="350" ht="15" customHeight="1">
      <c r="A350" t="inlineStr">
        <is>
          <t>A 44491-2023</t>
        </is>
      </c>
      <c r="B350" s="1" t="n">
        <v>45183</v>
      </c>
      <c r="C350" s="1" t="n">
        <v>46081</v>
      </c>
      <c r="D350" t="inlineStr">
        <is>
          <t>DALARNAS LÄN</t>
        </is>
      </c>
      <c r="E350" t="inlineStr">
        <is>
          <t>LEKSAND</t>
        </is>
      </c>
      <c r="G350" t="n">
        <v>2.6</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46081</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33001-2023</t>
        </is>
      </c>
      <c r="B352" s="1" t="n">
        <v>45125</v>
      </c>
      <c r="C352" s="1" t="n">
        <v>46081</v>
      </c>
      <c r="D352" t="inlineStr">
        <is>
          <t>DALARNAS LÄN</t>
        </is>
      </c>
      <c r="E352" t="inlineStr">
        <is>
          <t>LEKSAND</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46949-2025</t>
        </is>
      </c>
      <c r="B353" s="1" t="n">
        <v>45929.46811342592</v>
      </c>
      <c r="C353" s="1" t="n">
        <v>46081</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33674-2023</t>
        </is>
      </c>
      <c r="B354" s="1" t="n">
        <v>45132</v>
      </c>
      <c r="C354" s="1" t="n">
        <v>46081</v>
      </c>
      <c r="D354" t="inlineStr">
        <is>
          <t>DALARNAS LÄN</t>
        </is>
      </c>
      <c r="E354" t="inlineStr">
        <is>
          <t>LEKSAND</t>
        </is>
      </c>
      <c r="G354" t="n">
        <v>0.6</v>
      </c>
      <c r="H354" t="n">
        <v>0</v>
      </c>
      <c r="I354" t="n">
        <v>0</v>
      </c>
      <c r="J354" t="n">
        <v>0</v>
      </c>
      <c r="K354" t="n">
        <v>0</v>
      </c>
      <c r="L354" t="n">
        <v>0</v>
      </c>
      <c r="M354" t="n">
        <v>0</v>
      </c>
      <c r="N354" t="n">
        <v>0</v>
      </c>
      <c r="O354" t="n">
        <v>0</v>
      </c>
      <c r="P354" t="n">
        <v>0</v>
      </c>
      <c r="Q354" t="n">
        <v>0</v>
      </c>
      <c r="R354" s="2" t="inlineStr"/>
    </row>
    <row r="355" ht="15" customHeight="1">
      <c r="A355" t="inlineStr">
        <is>
          <t>A 16135-2023</t>
        </is>
      </c>
      <c r="B355" s="1" t="n">
        <v>45027.63717592593</v>
      </c>
      <c r="C355" s="1" t="n">
        <v>46081</v>
      </c>
      <c r="D355" t="inlineStr">
        <is>
          <t>DALARNAS LÄN</t>
        </is>
      </c>
      <c r="E355" t="inlineStr">
        <is>
          <t>LEKSAND</t>
        </is>
      </c>
      <c r="G355" t="n">
        <v>4.9</v>
      </c>
      <c r="H355" t="n">
        <v>0</v>
      </c>
      <c r="I355" t="n">
        <v>0</v>
      </c>
      <c r="J355" t="n">
        <v>0</v>
      </c>
      <c r="K355" t="n">
        <v>0</v>
      </c>
      <c r="L355" t="n">
        <v>0</v>
      </c>
      <c r="M355" t="n">
        <v>0</v>
      </c>
      <c r="N355" t="n">
        <v>0</v>
      </c>
      <c r="O355" t="n">
        <v>0</v>
      </c>
      <c r="P355" t="n">
        <v>0</v>
      </c>
      <c r="Q355" t="n">
        <v>0</v>
      </c>
      <c r="R355" s="2" t="inlineStr"/>
    </row>
    <row r="356" ht="15" customHeight="1">
      <c r="A356" t="inlineStr">
        <is>
          <t>A 30198-2024</t>
        </is>
      </c>
      <c r="B356" s="1" t="n">
        <v>45490.34765046297</v>
      </c>
      <c r="C356" s="1" t="n">
        <v>46081</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10373-2023</t>
        </is>
      </c>
      <c r="B357" s="1" t="n">
        <v>44987</v>
      </c>
      <c r="C357" s="1" t="n">
        <v>46081</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46081</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46081</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37508-2025</t>
        </is>
      </c>
      <c r="B360" s="1" t="n">
        <v>45877.66282407408</v>
      </c>
      <c r="C360" s="1" t="n">
        <v>46081</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33566-2023</t>
        </is>
      </c>
      <c r="B361" s="1" t="n">
        <v>45131.64390046296</v>
      </c>
      <c r="C361" s="1" t="n">
        <v>46081</v>
      </c>
      <c r="D361" t="inlineStr">
        <is>
          <t>DALARNAS LÄN</t>
        </is>
      </c>
      <c r="E361" t="inlineStr">
        <is>
          <t>LEKSAND</t>
        </is>
      </c>
      <c r="G361" t="n">
        <v>0.9</v>
      </c>
      <c r="H361" t="n">
        <v>0</v>
      </c>
      <c r="I361" t="n">
        <v>0</v>
      </c>
      <c r="J361" t="n">
        <v>0</v>
      </c>
      <c r="K361" t="n">
        <v>0</v>
      </c>
      <c r="L361" t="n">
        <v>0</v>
      </c>
      <c r="M361" t="n">
        <v>0</v>
      </c>
      <c r="N361" t="n">
        <v>0</v>
      </c>
      <c r="O361" t="n">
        <v>0</v>
      </c>
      <c r="P361" t="n">
        <v>0</v>
      </c>
      <c r="Q361" t="n">
        <v>0</v>
      </c>
      <c r="R361" s="2" t="inlineStr"/>
    </row>
    <row r="362" ht="15" customHeight="1">
      <c r="A362" t="inlineStr">
        <is>
          <t>A 16592-2023</t>
        </is>
      </c>
      <c r="B362" s="1" t="n">
        <v>45030</v>
      </c>
      <c r="C362" s="1" t="n">
        <v>46081</v>
      </c>
      <c r="D362" t="inlineStr">
        <is>
          <t>DALARNAS LÄN</t>
        </is>
      </c>
      <c r="E362" t="inlineStr">
        <is>
          <t>LEKSAND</t>
        </is>
      </c>
      <c r="G362" t="n">
        <v>11.5</v>
      </c>
      <c r="H362" t="n">
        <v>0</v>
      </c>
      <c r="I362" t="n">
        <v>0</v>
      </c>
      <c r="J362" t="n">
        <v>0</v>
      </c>
      <c r="K362" t="n">
        <v>0</v>
      </c>
      <c r="L362" t="n">
        <v>0</v>
      </c>
      <c r="M362" t="n">
        <v>0</v>
      </c>
      <c r="N362" t="n">
        <v>0</v>
      </c>
      <c r="O362" t="n">
        <v>0</v>
      </c>
      <c r="P362" t="n">
        <v>0</v>
      </c>
      <c r="Q362" t="n">
        <v>0</v>
      </c>
      <c r="R362" s="2" t="inlineStr"/>
    </row>
    <row r="363" ht="15" customHeight="1">
      <c r="A363" t="inlineStr">
        <is>
          <t>A 7395-2025</t>
        </is>
      </c>
      <c r="B363" s="1" t="n">
        <v>45705.34516203704</v>
      </c>
      <c r="C363" s="1" t="n">
        <v>46081</v>
      </c>
      <c r="D363" t="inlineStr">
        <is>
          <t>DALARNAS LÄN</t>
        </is>
      </c>
      <c r="E363" t="inlineStr">
        <is>
          <t>LEKSAND</t>
        </is>
      </c>
      <c r="G363" t="n">
        <v>1.8</v>
      </c>
      <c r="H363" t="n">
        <v>0</v>
      </c>
      <c r="I363" t="n">
        <v>0</v>
      </c>
      <c r="J363" t="n">
        <v>0</v>
      </c>
      <c r="K363" t="n">
        <v>0</v>
      </c>
      <c r="L363" t="n">
        <v>0</v>
      </c>
      <c r="M363" t="n">
        <v>0</v>
      </c>
      <c r="N363" t="n">
        <v>0</v>
      </c>
      <c r="O363" t="n">
        <v>0</v>
      </c>
      <c r="P363" t="n">
        <v>0</v>
      </c>
      <c r="Q363" t="n">
        <v>0</v>
      </c>
      <c r="R363" s="2" t="inlineStr"/>
    </row>
    <row r="364" ht="15" customHeight="1">
      <c r="A364" t="inlineStr">
        <is>
          <t>A 31971-2024</t>
        </is>
      </c>
      <c r="B364" s="1" t="n">
        <v>45510.55171296297</v>
      </c>
      <c r="C364" s="1" t="n">
        <v>46081</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37996-2025</t>
        </is>
      </c>
      <c r="B365" s="1" t="n">
        <v>45881.8299537037</v>
      </c>
      <c r="C365" s="1" t="n">
        <v>46081</v>
      </c>
      <c r="D365" t="inlineStr">
        <is>
          <t>DALARNAS LÄN</t>
        </is>
      </c>
      <c r="E365" t="inlineStr">
        <is>
          <t>LEKSAND</t>
        </is>
      </c>
      <c r="G365" t="n">
        <v>4.2</v>
      </c>
      <c r="H365" t="n">
        <v>0</v>
      </c>
      <c r="I365" t="n">
        <v>0</v>
      </c>
      <c r="J365" t="n">
        <v>0</v>
      </c>
      <c r="K365" t="n">
        <v>0</v>
      </c>
      <c r="L365" t="n">
        <v>0</v>
      </c>
      <c r="M365" t="n">
        <v>0</v>
      </c>
      <c r="N365" t="n">
        <v>0</v>
      </c>
      <c r="O365" t="n">
        <v>0</v>
      </c>
      <c r="P365" t="n">
        <v>0</v>
      </c>
      <c r="Q365" t="n">
        <v>0</v>
      </c>
      <c r="R365" s="2" t="inlineStr"/>
    </row>
    <row r="366" ht="15" customHeight="1">
      <c r="A366" t="inlineStr">
        <is>
          <t>A 61546-2021</t>
        </is>
      </c>
      <c r="B366" s="1" t="n">
        <v>44501</v>
      </c>
      <c r="C366" s="1" t="n">
        <v>46081</v>
      </c>
      <c r="D366" t="inlineStr">
        <is>
          <t>DALARNAS LÄN</t>
        </is>
      </c>
      <c r="E366" t="inlineStr">
        <is>
          <t>LEKSAND</t>
        </is>
      </c>
      <c r="G366" t="n">
        <v>3</v>
      </c>
      <c r="H366" t="n">
        <v>0</v>
      </c>
      <c r="I366" t="n">
        <v>0</v>
      </c>
      <c r="J366" t="n">
        <v>0</v>
      </c>
      <c r="K366" t="n">
        <v>0</v>
      </c>
      <c r="L366" t="n">
        <v>0</v>
      </c>
      <c r="M366" t="n">
        <v>0</v>
      </c>
      <c r="N366" t="n">
        <v>0</v>
      </c>
      <c r="O366" t="n">
        <v>0</v>
      </c>
      <c r="P366" t="n">
        <v>0</v>
      </c>
      <c r="Q366" t="n">
        <v>0</v>
      </c>
      <c r="R366" s="2" t="inlineStr"/>
    </row>
    <row r="367" ht="15" customHeight="1">
      <c r="A367" t="inlineStr">
        <is>
          <t>A 38090-2025</t>
        </is>
      </c>
      <c r="B367" s="1" t="n">
        <v>45882.48440972222</v>
      </c>
      <c r="C367" s="1" t="n">
        <v>46081</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7653-2025</t>
        </is>
      </c>
      <c r="B368" s="1" t="n">
        <v>45705.95238425926</v>
      </c>
      <c r="C368" s="1" t="n">
        <v>46081</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41853-2023</t>
        </is>
      </c>
      <c r="B369" s="1" t="n">
        <v>45176.62483796296</v>
      </c>
      <c r="C369" s="1" t="n">
        <v>46081</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62116-2024</t>
        </is>
      </c>
      <c r="B370" s="1" t="n">
        <v>45646</v>
      </c>
      <c r="C370" s="1" t="n">
        <v>46081</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45934.67564814815</v>
      </c>
      <c r="C371" s="1" t="n">
        <v>46081</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15986-2025</t>
        </is>
      </c>
      <c r="B372" s="1" t="n">
        <v>45749.57331018519</v>
      </c>
      <c r="C372" s="1" t="n">
        <v>46081</v>
      </c>
      <c r="D372" t="inlineStr">
        <is>
          <t>DALARNAS LÄN</t>
        </is>
      </c>
      <c r="E372" t="inlineStr">
        <is>
          <t>LEKSAND</t>
        </is>
      </c>
      <c r="G372" t="n">
        <v>2.7</v>
      </c>
      <c r="H372" t="n">
        <v>0</v>
      </c>
      <c r="I372" t="n">
        <v>0</v>
      </c>
      <c r="J372" t="n">
        <v>0</v>
      </c>
      <c r="K372" t="n">
        <v>0</v>
      </c>
      <c r="L372" t="n">
        <v>0</v>
      </c>
      <c r="M372" t="n">
        <v>0</v>
      </c>
      <c r="N372" t="n">
        <v>0</v>
      </c>
      <c r="O372" t="n">
        <v>0</v>
      </c>
      <c r="P372" t="n">
        <v>0</v>
      </c>
      <c r="Q372" t="n">
        <v>0</v>
      </c>
      <c r="R372" s="2" t="inlineStr"/>
    </row>
    <row r="373" ht="15" customHeight="1">
      <c r="A373" t="inlineStr">
        <is>
          <t>A 62295-2023</t>
        </is>
      </c>
      <c r="B373" s="1" t="n">
        <v>45267</v>
      </c>
      <c r="C373" s="1" t="n">
        <v>46081</v>
      </c>
      <c r="D373" t="inlineStr">
        <is>
          <t>DALARNAS LÄN</t>
        </is>
      </c>
      <c r="E373" t="inlineStr">
        <is>
          <t>LEKSAND</t>
        </is>
      </c>
      <c r="G373" t="n">
        <v>2.5</v>
      </c>
      <c r="H373" t="n">
        <v>0</v>
      </c>
      <c r="I373" t="n">
        <v>0</v>
      </c>
      <c r="J373" t="n">
        <v>0</v>
      </c>
      <c r="K373" t="n">
        <v>0</v>
      </c>
      <c r="L373" t="n">
        <v>0</v>
      </c>
      <c r="M373" t="n">
        <v>0</v>
      </c>
      <c r="N373" t="n">
        <v>0</v>
      </c>
      <c r="O373" t="n">
        <v>0</v>
      </c>
      <c r="P373" t="n">
        <v>0</v>
      </c>
      <c r="Q373" t="n">
        <v>0</v>
      </c>
      <c r="R373" s="2" t="inlineStr"/>
    </row>
    <row r="374" ht="15" customHeight="1">
      <c r="A374" t="inlineStr">
        <is>
          <t>A 57927-2024</t>
        </is>
      </c>
      <c r="B374" s="1" t="n">
        <v>45630</v>
      </c>
      <c r="C374" s="1" t="n">
        <v>46081</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57930-2024</t>
        </is>
      </c>
      <c r="B375" s="1" t="n">
        <v>45630</v>
      </c>
      <c r="C375" s="1" t="n">
        <v>46081</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48829-2025</t>
        </is>
      </c>
      <c r="B376" s="1" t="n">
        <v>45936</v>
      </c>
      <c r="C376" s="1" t="n">
        <v>46081</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10771-2024</t>
        </is>
      </c>
      <c r="B377" s="1" t="n">
        <v>45369.57342592593</v>
      </c>
      <c r="C377" s="1" t="n">
        <v>46081</v>
      </c>
      <c r="D377" t="inlineStr">
        <is>
          <t>DALARNAS LÄN</t>
        </is>
      </c>
      <c r="E377" t="inlineStr">
        <is>
          <t>LEKSAND</t>
        </is>
      </c>
      <c r="G377" t="n">
        <v>0.4</v>
      </c>
      <c r="H377" t="n">
        <v>0</v>
      </c>
      <c r="I377" t="n">
        <v>0</v>
      </c>
      <c r="J377" t="n">
        <v>0</v>
      </c>
      <c r="K377" t="n">
        <v>0</v>
      </c>
      <c r="L377" t="n">
        <v>0</v>
      </c>
      <c r="M377" t="n">
        <v>0</v>
      </c>
      <c r="N377" t="n">
        <v>0</v>
      </c>
      <c r="O377" t="n">
        <v>0</v>
      </c>
      <c r="P377" t="n">
        <v>0</v>
      </c>
      <c r="Q377" t="n">
        <v>0</v>
      </c>
      <c r="R377" s="2" t="inlineStr"/>
    </row>
    <row r="378" ht="15" customHeight="1">
      <c r="A378" t="inlineStr">
        <is>
          <t>A 48824-2025</t>
        </is>
      </c>
      <c r="B378" s="1" t="n">
        <v>45937.37949074074</v>
      </c>
      <c r="C378" s="1" t="n">
        <v>46081</v>
      </c>
      <c r="D378" t="inlineStr">
        <is>
          <t>DALARNAS LÄN</t>
        </is>
      </c>
      <c r="E378" t="inlineStr">
        <is>
          <t>LEKSAND</t>
        </is>
      </c>
      <c r="G378" t="n">
        <v>6.3</v>
      </c>
      <c r="H378" t="n">
        <v>0</v>
      </c>
      <c r="I378" t="n">
        <v>0</v>
      </c>
      <c r="J378" t="n">
        <v>0</v>
      </c>
      <c r="K378" t="n">
        <v>0</v>
      </c>
      <c r="L378" t="n">
        <v>0</v>
      </c>
      <c r="M378" t="n">
        <v>0</v>
      </c>
      <c r="N378" t="n">
        <v>0</v>
      </c>
      <c r="O378" t="n">
        <v>0</v>
      </c>
      <c r="P378" t="n">
        <v>0</v>
      </c>
      <c r="Q378" t="n">
        <v>0</v>
      </c>
      <c r="R378" s="2" t="inlineStr"/>
    </row>
    <row r="379" ht="15" customHeight="1">
      <c r="A379" t="inlineStr">
        <is>
          <t>A 49209-2025</t>
        </is>
      </c>
      <c r="B379" s="1" t="n">
        <v>45938.43589120371</v>
      </c>
      <c r="C379" s="1" t="n">
        <v>46081</v>
      </c>
      <c r="D379" t="inlineStr">
        <is>
          <t>DALARNAS LÄN</t>
        </is>
      </c>
      <c r="E379" t="inlineStr">
        <is>
          <t>LEKSAND</t>
        </is>
      </c>
      <c r="G379" t="n">
        <v>4.8</v>
      </c>
      <c r="H379" t="n">
        <v>0</v>
      </c>
      <c r="I379" t="n">
        <v>0</v>
      </c>
      <c r="J379" t="n">
        <v>0</v>
      </c>
      <c r="K379" t="n">
        <v>0</v>
      </c>
      <c r="L379" t="n">
        <v>0</v>
      </c>
      <c r="M379" t="n">
        <v>0</v>
      </c>
      <c r="N379" t="n">
        <v>0</v>
      </c>
      <c r="O379" t="n">
        <v>0</v>
      </c>
      <c r="P379" t="n">
        <v>0</v>
      </c>
      <c r="Q379" t="n">
        <v>0</v>
      </c>
      <c r="R379" s="2" t="inlineStr"/>
    </row>
    <row r="380" ht="15" customHeight="1">
      <c r="A380" t="inlineStr">
        <is>
          <t>A 48922-2025</t>
        </is>
      </c>
      <c r="B380" s="1" t="n">
        <v>45937.50077546296</v>
      </c>
      <c r="C380" s="1" t="n">
        <v>46081</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49076-2025</t>
        </is>
      </c>
      <c r="B381" s="1" t="n">
        <v>45937.65601851852</v>
      </c>
      <c r="C381" s="1" t="n">
        <v>46081</v>
      </c>
      <c r="D381" t="inlineStr">
        <is>
          <t>DALARNAS LÄN</t>
        </is>
      </c>
      <c r="E381" t="inlineStr">
        <is>
          <t>LEKSAND</t>
        </is>
      </c>
      <c r="G381" t="n">
        <v>1</v>
      </c>
      <c r="H381" t="n">
        <v>0</v>
      </c>
      <c r="I381" t="n">
        <v>0</v>
      </c>
      <c r="J381" t="n">
        <v>0</v>
      </c>
      <c r="K381" t="n">
        <v>0</v>
      </c>
      <c r="L381" t="n">
        <v>0</v>
      </c>
      <c r="M381" t="n">
        <v>0</v>
      </c>
      <c r="N381" t="n">
        <v>0</v>
      </c>
      <c r="O381" t="n">
        <v>0</v>
      </c>
      <c r="P381" t="n">
        <v>0</v>
      </c>
      <c r="Q381" t="n">
        <v>0</v>
      </c>
      <c r="R381" s="2" t="inlineStr"/>
    </row>
    <row r="382" ht="15" customHeight="1">
      <c r="A382" t="inlineStr">
        <is>
          <t>A 46834-2023</t>
        </is>
      </c>
      <c r="B382" s="1" t="n">
        <v>45199.35668981481</v>
      </c>
      <c r="C382" s="1" t="n">
        <v>46081</v>
      </c>
      <c r="D382" t="inlineStr">
        <is>
          <t>DALARNAS LÄN</t>
        </is>
      </c>
      <c r="E382" t="inlineStr">
        <is>
          <t>LEKSAND</t>
        </is>
      </c>
      <c r="G382" t="n">
        <v>16.3</v>
      </c>
      <c r="H382" t="n">
        <v>0</v>
      </c>
      <c r="I382" t="n">
        <v>0</v>
      </c>
      <c r="J382" t="n">
        <v>0</v>
      </c>
      <c r="K382" t="n">
        <v>0</v>
      </c>
      <c r="L382" t="n">
        <v>0</v>
      </c>
      <c r="M382" t="n">
        <v>0</v>
      </c>
      <c r="N382" t="n">
        <v>0</v>
      </c>
      <c r="O382" t="n">
        <v>0</v>
      </c>
      <c r="P382" t="n">
        <v>0</v>
      </c>
      <c r="Q382" t="n">
        <v>0</v>
      </c>
      <c r="R382" s="2" t="inlineStr"/>
    </row>
    <row r="383" ht="15" customHeight="1">
      <c r="A383" t="inlineStr">
        <is>
          <t>A 49212-2025</t>
        </is>
      </c>
      <c r="B383" s="1" t="n">
        <v>45938.43855324074</v>
      </c>
      <c r="C383" s="1" t="n">
        <v>46081</v>
      </c>
      <c r="D383" t="inlineStr">
        <is>
          <t>DALARNAS LÄN</t>
        </is>
      </c>
      <c r="E383" t="inlineStr">
        <is>
          <t>LEKSAND</t>
        </is>
      </c>
      <c r="G383" t="n">
        <v>2</v>
      </c>
      <c r="H383" t="n">
        <v>0</v>
      </c>
      <c r="I383" t="n">
        <v>0</v>
      </c>
      <c r="J383" t="n">
        <v>0</v>
      </c>
      <c r="K383" t="n">
        <v>0</v>
      </c>
      <c r="L383" t="n">
        <v>0</v>
      </c>
      <c r="M383" t="n">
        <v>0</v>
      </c>
      <c r="N383" t="n">
        <v>0</v>
      </c>
      <c r="O383" t="n">
        <v>0</v>
      </c>
      <c r="P383" t="n">
        <v>0</v>
      </c>
      <c r="Q383" t="n">
        <v>0</v>
      </c>
      <c r="R383" s="2" t="inlineStr"/>
    </row>
    <row r="384" ht="15" customHeight="1">
      <c r="A384" t="inlineStr">
        <is>
          <t>A 1983-2025</t>
        </is>
      </c>
      <c r="B384" s="1" t="n">
        <v>45670</v>
      </c>
      <c r="C384" s="1" t="n">
        <v>46081</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21402-2023</t>
        </is>
      </c>
      <c r="B385" s="1" t="n">
        <v>45061</v>
      </c>
      <c r="C385" s="1" t="n">
        <v>46081</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19296-2024</t>
        </is>
      </c>
      <c r="B386" s="1" t="n">
        <v>45428.69438657408</v>
      </c>
      <c r="C386" s="1" t="n">
        <v>46081</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43142-2024</t>
        </is>
      </c>
      <c r="B387" s="1" t="n">
        <v>45567.62144675926</v>
      </c>
      <c r="C387" s="1" t="n">
        <v>46081</v>
      </c>
      <c r="D387" t="inlineStr">
        <is>
          <t>DALARNAS LÄN</t>
        </is>
      </c>
      <c r="E387" t="inlineStr">
        <is>
          <t>LEKSAND</t>
        </is>
      </c>
      <c r="F387" t="inlineStr">
        <is>
          <t>Bergvik skog väst AB</t>
        </is>
      </c>
      <c r="G387" t="n">
        <v>2.9</v>
      </c>
      <c r="H387" t="n">
        <v>0</v>
      </c>
      <c r="I387" t="n">
        <v>0</v>
      </c>
      <c r="J387" t="n">
        <v>0</v>
      </c>
      <c r="K387" t="n">
        <v>0</v>
      </c>
      <c r="L387" t="n">
        <v>0</v>
      </c>
      <c r="M387" t="n">
        <v>0</v>
      </c>
      <c r="N387" t="n">
        <v>0</v>
      </c>
      <c r="O387" t="n">
        <v>0</v>
      </c>
      <c r="P387" t="n">
        <v>0</v>
      </c>
      <c r="Q387" t="n">
        <v>0</v>
      </c>
      <c r="R387" s="2" t="inlineStr"/>
    </row>
    <row r="388" ht="15" customHeight="1">
      <c r="A388" t="inlineStr">
        <is>
          <t>A 47673-2023</t>
        </is>
      </c>
      <c r="B388" s="1" t="n">
        <v>45203</v>
      </c>
      <c r="C388" s="1" t="n">
        <v>46081</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59718-2023</t>
        </is>
      </c>
      <c r="B389" s="1" t="n">
        <v>45257</v>
      </c>
      <c r="C389" s="1" t="n">
        <v>46081</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1775-2022</t>
        </is>
      </c>
      <c r="B390" s="1" t="n">
        <v>44574</v>
      </c>
      <c r="C390" s="1" t="n">
        <v>46081</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30994-2023</t>
        </is>
      </c>
      <c r="B391" s="1" t="n">
        <v>45113</v>
      </c>
      <c r="C391" s="1" t="n">
        <v>46081</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49505-2025</t>
        </is>
      </c>
      <c r="B392" s="1" t="n">
        <v>45939.37564814815</v>
      </c>
      <c r="C392" s="1" t="n">
        <v>46081</v>
      </c>
      <c r="D392" t="inlineStr">
        <is>
          <t>DALARNAS LÄN</t>
        </is>
      </c>
      <c r="E392" t="inlineStr">
        <is>
          <t>LEKSAND</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57665-2023</t>
        </is>
      </c>
      <c r="B393" s="1" t="n">
        <v>45246</v>
      </c>
      <c r="C393" s="1" t="n">
        <v>46081</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50332-2025</t>
        </is>
      </c>
      <c r="B394" s="1" t="n">
        <v>45944.47092592593</v>
      </c>
      <c r="C394" s="1" t="n">
        <v>46081</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51480-2022</t>
        </is>
      </c>
      <c r="B395" s="1" t="n">
        <v>44869.57961805556</v>
      </c>
      <c r="C395" s="1" t="n">
        <v>46081</v>
      </c>
      <c r="D395" t="inlineStr">
        <is>
          <t>DALARNAS LÄN</t>
        </is>
      </c>
      <c r="E395" t="inlineStr">
        <is>
          <t>LEKSAND</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43237-2024</t>
        </is>
      </c>
      <c r="B396" s="1" t="n">
        <v>45567</v>
      </c>
      <c r="C396" s="1" t="n">
        <v>46081</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34482-2022</t>
        </is>
      </c>
      <c r="B397" s="1" t="n">
        <v>44792</v>
      </c>
      <c r="C397" s="1" t="n">
        <v>46081</v>
      </c>
      <c r="D397" t="inlineStr">
        <is>
          <t>DALARNAS LÄN</t>
        </is>
      </c>
      <c r="E397" t="inlineStr">
        <is>
          <t>LEKSAND</t>
        </is>
      </c>
      <c r="G397" t="n">
        <v>2.6</v>
      </c>
      <c r="H397" t="n">
        <v>0</v>
      </c>
      <c r="I397" t="n">
        <v>0</v>
      </c>
      <c r="J397" t="n">
        <v>0</v>
      </c>
      <c r="K397" t="n">
        <v>0</v>
      </c>
      <c r="L397" t="n">
        <v>0</v>
      </c>
      <c r="M397" t="n">
        <v>0</v>
      </c>
      <c r="N397" t="n">
        <v>0</v>
      </c>
      <c r="O397" t="n">
        <v>0</v>
      </c>
      <c r="P397" t="n">
        <v>0</v>
      </c>
      <c r="Q397" t="n">
        <v>0</v>
      </c>
      <c r="R397" s="2" t="inlineStr"/>
    </row>
    <row r="398" ht="15" customHeight="1">
      <c r="A398" t="inlineStr">
        <is>
          <t>A 17485-2025</t>
        </is>
      </c>
      <c r="B398" s="1" t="n">
        <v>45757.49976851852</v>
      </c>
      <c r="C398" s="1" t="n">
        <v>46081</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30595-2023</t>
        </is>
      </c>
      <c r="B399" s="1" t="n">
        <v>45112</v>
      </c>
      <c r="C399" s="1" t="n">
        <v>46081</v>
      </c>
      <c r="D399" t="inlineStr">
        <is>
          <t>DALARNAS LÄN</t>
        </is>
      </c>
      <c r="E399" t="inlineStr">
        <is>
          <t>LEKSAND</t>
        </is>
      </c>
      <c r="G399" t="n">
        <v>1.1</v>
      </c>
      <c r="H399" t="n">
        <v>0</v>
      </c>
      <c r="I399" t="n">
        <v>0</v>
      </c>
      <c r="J399" t="n">
        <v>0</v>
      </c>
      <c r="K399" t="n">
        <v>0</v>
      </c>
      <c r="L399" t="n">
        <v>0</v>
      </c>
      <c r="M399" t="n">
        <v>0</v>
      </c>
      <c r="N399" t="n">
        <v>0</v>
      </c>
      <c r="O399" t="n">
        <v>0</v>
      </c>
      <c r="P399" t="n">
        <v>0</v>
      </c>
      <c r="Q399" t="n">
        <v>0</v>
      </c>
      <c r="R399" s="2" t="inlineStr"/>
    </row>
    <row r="400" ht="15" customHeight="1">
      <c r="A400" t="inlineStr">
        <is>
          <t>A 56943-2024</t>
        </is>
      </c>
      <c r="B400" s="1" t="n">
        <v>45625</v>
      </c>
      <c r="C400" s="1" t="n">
        <v>46081</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15257-2025</t>
        </is>
      </c>
      <c r="B401" s="1" t="n">
        <v>45744</v>
      </c>
      <c r="C401" s="1" t="n">
        <v>46081</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50704-2025</t>
        </is>
      </c>
      <c r="B402" s="1" t="n">
        <v>45946.27984953704</v>
      </c>
      <c r="C402" s="1" t="n">
        <v>46081</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24142-2021</t>
        </is>
      </c>
      <c r="B403" s="1" t="n">
        <v>44336</v>
      </c>
      <c r="C403" s="1" t="n">
        <v>46081</v>
      </c>
      <c r="D403" t="inlineStr">
        <is>
          <t>DALARNAS LÄN</t>
        </is>
      </c>
      <c r="E403" t="inlineStr">
        <is>
          <t>LEKSAND</t>
        </is>
      </c>
      <c r="F403" t="inlineStr">
        <is>
          <t>Bergvik skog väst AB</t>
        </is>
      </c>
      <c r="G403" t="n">
        <v>18.9</v>
      </c>
      <c r="H403" t="n">
        <v>0</v>
      </c>
      <c r="I403" t="n">
        <v>0</v>
      </c>
      <c r="J403" t="n">
        <v>0</v>
      </c>
      <c r="K403" t="n">
        <v>0</v>
      </c>
      <c r="L403" t="n">
        <v>0</v>
      </c>
      <c r="M403" t="n">
        <v>0</v>
      </c>
      <c r="N403" t="n">
        <v>0</v>
      </c>
      <c r="O403" t="n">
        <v>0</v>
      </c>
      <c r="P403" t="n">
        <v>0</v>
      </c>
      <c r="Q403" t="n">
        <v>0</v>
      </c>
      <c r="R403" s="2" t="inlineStr"/>
    </row>
    <row r="404" ht="15" customHeight="1">
      <c r="A404" t="inlineStr">
        <is>
          <t>A 6028-2025</t>
        </is>
      </c>
      <c r="B404" s="1" t="n">
        <v>45695</v>
      </c>
      <c r="C404" s="1" t="n">
        <v>46081</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16815-2025</t>
        </is>
      </c>
      <c r="B405" s="1" t="n">
        <v>45754</v>
      </c>
      <c r="C405" s="1" t="n">
        <v>46081</v>
      </c>
      <c r="D405" t="inlineStr">
        <is>
          <t>DALARNAS LÄN</t>
        </is>
      </c>
      <c r="E405" t="inlineStr">
        <is>
          <t>LEKSAND</t>
        </is>
      </c>
      <c r="G405" t="n">
        <v>2.8</v>
      </c>
      <c r="H405" t="n">
        <v>0</v>
      </c>
      <c r="I405" t="n">
        <v>0</v>
      </c>
      <c r="J405" t="n">
        <v>0</v>
      </c>
      <c r="K405" t="n">
        <v>0</v>
      </c>
      <c r="L405" t="n">
        <v>0</v>
      </c>
      <c r="M405" t="n">
        <v>0</v>
      </c>
      <c r="N405" t="n">
        <v>0</v>
      </c>
      <c r="O405" t="n">
        <v>0</v>
      </c>
      <c r="P405" t="n">
        <v>0</v>
      </c>
      <c r="Q405" t="n">
        <v>0</v>
      </c>
      <c r="R405" s="2" t="inlineStr"/>
    </row>
    <row r="406" ht="15" customHeight="1">
      <c r="A406" t="inlineStr">
        <is>
          <t>A 61208-2023</t>
        </is>
      </c>
      <c r="B406" s="1" t="n">
        <v>45260</v>
      </c>
      <c r="C406" s="1" t="n">
        <v>46081</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52977-2022</t>
        </is>
      </c>
      <c r="B407" s="1" t="n">
        <v>44875</v>
      </c>
      <c r="C407" s="1" t="n">
        <v>46081</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25921-2024</t>
        </is>
      </c>
      <c r="B408" s="1" t="n">
        <v>45467.6053587963</v>
      </c>
      <c r="C408" s="1" t="n">
        <v>46081</v>
      </c>
      <c r="D408" t="inlineStr">
        <is>
          <t>DALARNAS LÄN</t>
        </is>
      </c>
      <c r="E408" t="inlineStr">
        <is>
          <t>LEKSAND</t>
        </is>
      </c>
      <c r="G408" t="n">
        <v>2.8</v>
      </c>
      <c r="H408" t="n">
        <v>0</v>
      </c>
      <c r="I408" t="n">
        <v>0</v>
      </c>
      <c r="J408" t="n">
        <v>0</v>
      </c>
      <c r="K408" t="n">
        <v>0</v>
      </c>
      <c r="L408" t="n">
        <v>0</v>
      </c>
      <c r="M408" t="n">
        <v>0</v>
      </c>
      <c r="N408" t="n">
        <v>0</v>
      </c>
      <c r="O408" t="n">
        <v>0</v>
      </c>
      <c r="P408" t="n">
        <v>0</v>
      </c>
      <c r="Q408" t="n">
        <v>0</v>
      </c>
      <c r="R408" s="2" t="inlineStr"/>
    </row>
    <row r="409" ht="15" customHeight="1">
      <c r="A409" t="inlineStr">
        <is>
          <t>A 32726-2025</t>
        </is>
      </c>
      <c r="B409" s="1" t="n">
        <v>45839.3969212963</v>
      </c>
      <c r="C409" s="1" t="n">
        <v>46081</v>
      </c>
      <c r="D409" t="inlineStr">
        <is>
          <t>DALARNAS LÄN</t>
        </is>
      </c>
      <c r="E409" t="inlineStr">
        <is>
          <t>LEKSAND</t>
        </is>
      </c>
      <c r="F409" t="inlineStr">
        <is>
          <t>Bergvik skog väst AB</t>
        </is>
      </c>
      <c r="G409" t="n">
        <v>2.5</v>
      </c>
      <c r="H409" t="n">
        <v>0</v>
      </c>
      <c r="I409" t="n">
        <v>0</v>
      </c>
      <c r="J409" t="n">
        <v>0</v>
      </c>
      <c r="K409" t="n">
        <v>0</v>
      </c>
      <c r="L409" t="n">
        <v>0</v>
      </c>
      <c r="M409" t="n">
        <v>0</v>
      </c>
      <c r="N409" t="n">
        <v>0</v>
      </c>
      <c r="O409" t="n">
        <v>0</v>
      </c>
      <c r="P409" t="n">
        <v>0</v>
      </c>
      <c r="Q409" t="n">
        <v>0</v>
      </c>
      <c r="R409" s="2" t="inlineStr"/>
    </row>
    <row r="410" ht="15" customHeight="1">
      <c r="A410" t="inlineStr">
        <is>
          <t>A 28892-2022</t>
        </is>
      </c>
      <c r="B410" s="1" t="n">
        <v>44749</v>
      </c>
      <c r="C410" s="1" t="n">
        <v>46081</v>
      </c>
      <c r="D410" t="inlineStr">
        <is>
          <t>DALARNAS LÄN</t>
        </is>
      </c>
      <c r="E410" t="inlineStr">
        <is>
          <t>LEKSAND</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320-2023</t>
        </is>
      </c>
      <c r="B411" s="1" t="n">
        <v>44929</v>
      </c>
      <c r="C411" s="1" t="n">
        <v>46081</v>
      </c>
      <c r="D411" t="inlineStr">
        <is>
          <t>DALARNAS LÄN</t>
        </is>
      </c>
      <c r="E411" t="inlineStr">
        <is>
          <t>LEKSAND</t>
        </is>
      </c>
      <c r="F411" t="inlineStr">
        <is>
          <t>Övriga Aktiebolag</t>
        </is>
      </c>
      <c r="G411" t="n">
        <v>5.4</v>
      </c>
      <c r="H411" t="n">
        <v>0</v>
      </c>
      <c r="I411" t="n">
        <v>0</v>
      </c>
      <c r="J411" t="n">
        <v>0</v>
      </c>
      <c r="K411" t="n">
        <v>0</v>
      </c>
      <c r="L411" t="n">
        <v>0</v>
      </c>
      <c r="M411" t="n">
        <v>0</v>
      </c>
      <c r="N411" t="n">
        <v>0</v>
      </c>
      <c r="O411" t="n">
        <v>0</v>
      </c>
      <c r="P411" t="n">
        <v>0</v>
      </c>
      <c r="Q411" t="n">
        <v>0</v>
      </c>
      <c r="R411" s="2" t="inlineStr"/>
    </row>
    <row r="412" ht="15" customHeight="1">
      <c r="A412" t="inlineStr">
        <is>
          <t>A 12581-2025</t>
        </is>
      </c>
      <c r="B412" s="1" t="n">
        <v>45732.62201388889</v>
      </c>
      <c r="C412" s="1" t="n">
        <v>46081</v>
      </c>
      <c r="D412" t="inlineStr">
        <is>
          <t>DALARNAS LÄN</t>
        </is>
      </c>
      <c r="E412" t="inlineStr">
        <is>
          <t>LEKSAND</t>
        </is>
      </c>
      <c r="G412" t="n">
        <v>5.1</v>
      </c>
      <c r="H412" t="n">
        <v>0</v>
      </c>
      <c r="I412" t="n">
        <v>0</v>
      </c>
      <c r="J412" t="n">
        <v>0</v>
      </c>
      <c r="K412" t="n">
        <v>0</v>
      </c>
      <c r="L412" t="n">
        <v>0</v>
      </c>
      <c r="M412" t="n">
        <v>0</v>
      </c>
      <c r="N412" t="n">
        <v>0</v>
      </c>
      <c r="O412" t="n">
        <v>0</v>
      </c>
      <c r="P412" t="n">
        <v>0</v>
      </c>
      <c r="Q412" t="n">
        <v>0</v>
      </c>
      <c r="R412" s="2" t="inlineStr"/>
    </row>
    <row r="413" ht="15" customHeight="1">
      <c r="A413" t="inlineStr">
        <is>
          <t>A 12620-2025</t>
        </is>
      </c>
      <c r="B413" s="1" t="n">
        <v>45733.35498842593</v>
      </c>
      <c r="C413" s="1" t="n">
        <v>46081</v>
      </c>
      <c r="D413" t="inlineStr">
        <is>
          <t>DALARNAS LÄN</t>
        </is>
      </c>
      <c r="E413" t="inlineStr">
        <is>
          <t>LEKSAND</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12623-2025</t>
        </is>
      </c>
      <c r="B414" s="1" t="n">
        <v>45733.36079861111</v>
      </c>
      <c r="C414" s="1" t="n">
        <v>46081</v>
      </c>
      <c r="D414" t="inlineStr">
        <is>
          <t>DALARNAS LÄN</t>
        </is>
      </c>
      <c r="E414" t="inlineStr">
        <is>
          <t>LEKSAND</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32666-2023</t>
        </is>
      </c>
      <c r="B415" s="1" t="n">
        <v>45121</v>
      </c>
      <c r="C415" s="1" t="n">
        <v>46081</v>
      </c>
      <c r="D415" t="inlineStr">
        <is>
          <t>DALARNAS LÄN</t>
        </is>
      </c>
      <c r="E415" t="inlineStr">
        <is>
          <t>LEKSAND</t>
        </is>
      </c>
      <c r="G415" t="n">
        <v>9.9</v>
      </c>
      <c r="H415" t="n">
        <v>0</v>
      </c>
      <c r="I415" t="n">
        <v>0</v>
      </c>
      <c r="J415" t="n">
        <v>0</v>
      </c>
      <c r="K415" t="n">
        <v>0</v>
      </c>
      <c r="L415" t="n">
        <v>0</v>
      </c>
      <c r="M415" t="n">
        <v>0</v>
      </c>
      <c r="N415" t="n">
        <v>0</v>
      </c>
      <c r="O415" t="n">
        <v>0</v>
      </c>
      <c r="P415" t="n">
        <v>0</v>
      </c>
      <c r="Q415" t="n">
        <v>0</v>
      </c>
      <c r="R415" s="2" t="inlineStr"/>
    </row>
    <row r="416" ht="15" customHeight="1">
      <c r="A416" t="inlineStr">
        <is>
          <t>A 5231-2024</t>
        </is>
      </c>
      <c r="B416" s="1" t="n">
        <v>45330</v>
      </c>
      <c r="C416" s="1" t="n">
        <v>46081</v>
      </c>
      <c r="D416" t="inlineStr">
        <is>
          <t>DALARNAS LÄN</t>
        </is>
      </c>
      <c r="E416" t="inlineStr">
        <is>
          <t>LEKSAND</t>
        </is>
      </c>
      <c r="F416" t="inlineStr">
        <is>
          <t>Bergvik skog väst AB</t>
        </is>
      </c>
      <c r="G416" t="n">
        <v>11.2</v>
      </c>
      <c r="H416" t="n">
        <v>0</v>
      </c>
      <c r="I416" t="n">
        <v>0</v>
      </c>
      <c r="J416" t="n">
        <v>0</v>
      </c>
      <c r="K416" t="n">
        <v>0</v>
      </c>
      <c r="L416" t="n">
        <v>0</v>
      </c>
      <c r="M416" t="n">
        <v>0</v>
      </c>
      <c r="N416" t="n">
        <v>0</v>
      </c>
      <c r="O416" t="n">
        <v>0</v>
      </c>
      <c r="P416" t="n">
        <v>0</v>
      </c>
      <c r="Q416" t="n">
        <v>0</v>
      </c>
      <c r="R416" s="2" t="inlineStr"/>
    </row>
    <row r="417" ht="15" customHeight="1">
      <c r="A417" t="inlineStr">
        <is>
          <t>A 51663-2025</t>
        </is>
      </c>
      <c r="B417" s="1" t="n">
        <v>45951</v>
      </c>
      <c r="C417" s="1" t="n">
        <v>46081</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23896-2024</t>
        </is>
      </c>
      <c r="B418" s="1" t="n">
        <v>45455.6758449074</v>
      </c>
      <c r="C418" s="1" t="n">
        <v>46081</v>
      </c>
      <c r="D418" t="inlineStr">
        <is>
          <t>DALARNAS LÄN</t>
        </is>
      </c>
      <c r="E418" t="inlineStr">
        <is>
          <t>LEKSAND</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51728-2025</t>
        </is>
      </c>
      <c r="B419" s="1" t="n">
        <v>45951</v>
      </c>
      <c r="C419" s="1" t="n">
        <v>46081</v>
      </c>
      <c r="D419" t="inlineStr">
        <is>
          <t>DALARNAS LÄN</t>
        </is>
      </c>
      <c r="E419" t="inlineStr">
        <is>
          <t>LEKSAND</t>
        </is>
      </c>
      <c r="F419" t="inlineStr">
        <is>
          <t>Bergvik skog väst AB</t>
        </is>
      </c>
      <c r="G419" t="n">
        <v>14.2</v>
      </c>
      <c r="H419" t="n">
        <v>0</v>
      </c>
      <c r="I419" t="n">
        <v>0</v>
      </c>
      <c r="J419" t="n">
        <v>0</v>
      </c>
      <c r="K419" t="n">
        <v>0</v>
      </c>
      <c r="L419" t="n">
        <v>0</v>
      </c>
      <c r="M419" t="n">
        <v>0</v>
      </c>
      <c r="N419" t="n">
        <v>0</v>
      </c>
      <c r="O419" t="n">
        <v>0</v>
      </c>
      <c r="P419" t="n">
        <v>0</v>
      </c>
      <c r="Q419" t="n">
        <v>0</v>
      </c>
      <c r="R419" s="2" t="inlineStr"/>
    </row>
    <row r="420" ht="15" customHeight="1">
      <c r="A420" t="inlineStr">
        <is>
          <t>A 28578-2023</t>
        </is>
      </c>
      <c r="B420" s="1" t="n">
        <v>45103</v>
      </c>
      <c r="C420" s="1" t="n">
        <v>46081</v>
      </c>
      <c r="D420" t="inlineStr">
        <is>
          <t>DALARNAS LÄN</t>
        </is>
      </c>
      <c r="E420" t="inlineStr">
        <is>
          <t>LEKSAND</t>
        </is>
      </c>
      <c r="G420" t="n">
        <v>4.4</v>
      </c>
      <c r="H420" t="n">
        <v>0</v>
      </c>
      <c r="I420" t="n">
        <v>0</v>
      </c>
      <c r="J420" t="n">
        <v>0</v>
      </c>
      <c r="K420" t="n">
        <v>0</v>
      </c>
      <c r="L420" t="n">
        <v>0</v>
      </c>
      <c r="M420" t="n">
        <v>0</v>
      </c>
      <c r="N420" t="n">
        <v>0</v>
      </c>
      <c r="O420" t="n">
        <v>0</v>
      </c>
      <c r="P420" t="n">
        <v>0</v>
      </c>
      <c r="Q420" t="n">
        <v>0</v>
      </c>
      <c r="R420" s="2" t="inlineStr"/>
    </row>
    <row r="421" ht="15" customHeight="1">
      <c r="A421" t="inlineStr">
        <is>
          <t>A 61288-2022</t>
        </is>
      </c>
      <c r="B421" s="1" t="n">
        <v>44915</v>
      </c>
      <c r="C421" s="1" t="n">
        <v>46081</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20936-2023</t>
        </is>
      </c>
      <c r="B422" s="1" t="n">
        <v>45061</v>
      </c>
      <c r="C422" s="1" t="n">
        <v>46081</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51768-2025</t>
        </is>
      </c>
      <c r="B423" s="1" t="n">
        <v>45951.64041666667</v>
      </c>
      <c r="C423" s="1" t="n">
        <v>46081</v>
      </c>
      <c r="D423" t="inlineStr">
        <is>
          <t>DALARNAS LÄN</t>
        </is>
      </c>
      <c r="E423" t="inlineStr">
        <is>
          <t>LEKSAND</t>
        </is>
      </c>
      <c r="G423" t="n">
        <v>1.2</v>
      </c>
      <c r="H423" t="n">
        <v>0</v>
      </c>
      <c r="I423" t="n">
        <v>0</v>
      </c>
      <c r="J423" t="n">
        <v>0</v>
      </c>
      <c r="K423" t="n">
        <v>0</v>
      </c>
      <c r="L423" t="n">
        <v>0</v>
      </c>
      <c r="M423" t="n">
        <v>0</v>
      </c>
      <c r="N423" t="n">
        <v>0</v>
      </c>
      <c r="O423" t="n">
        <v>0</v>
      </c>
      <c r="P423" t="n">
        <v>0</v>
      </c>
      <c r="Q423" t="n">
        <v>0</v>
      </c>
      <c r="R423" s="2" t="inlineStr"/>
    </row>
    <row r="424" ht="15" customHeight="1">
      <c r="A424" t="inlineStr">
        <is>
          <t>A 51926-2025</t>
        </is>
      </c>
      <c r="B424" s="1" t="n">
        <v>45952.49537037037</v>
      </c>
      <c r="C424" s="1" t="n">
        <v>46081</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60338-2025</t>
        </is>
      </c>
      <c r="B425" s="1" t="n">
        <v>45993</v>
      </c>
      <c r="C425" s="1" t="n">
        <v>46081</v>
      </c>
      <c r="D425" t="inlineStr">
        <is>
          <t>DALARNAS LÄN</t>
        </is>
      </c>
      <c r="E425" t="inlineStr">
        <is>
          <t>LEKSAND</t>
        </is>
      </c>
      <c r="G425" t="n">
        <v>2.5</v>
      </c>
      <c r="H425" t="n">
        <v>0</v>
      </c>
      <c r="I425" t="n">
        <v>0</v>
      </c>
      <c r="J425" t="n">
        <v>0</v>
      </c>
      <c r="K425" t="n">
        <v>0</v>
      </c>
      <c r="L425" t="n">
        <v>0</v>
      </c>
      <c r="M425" t="n">
        <v>0</v>
      </c>
      <c r="N425" t="n">
        <v>0</v>
      </c>
      <c r="O425" t="n">
        <v>0</v>
      </c>
      <c r="P425" t="n">
        <v>0</v>
      </c>
      <c r="Q425" t="n">
        <v>0</v>
      </c>
      <c r="R425" s="2" t="inlineStr"/>
    </row>
    <row r="426" ht="15" customHeight="1">
      <c r="A426" t="inlineStr">
        <is>
          <t>A 17377-2025</t>
        </is>
      </c>
      <c r="B426" s="1" t="n">
        <v>45756.983125</v>
      </c>
      <c r="C426" s="1" t="n">
        <v>46081</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61269-2022</t>
        </is>
      </c>
      <c r="B427" s="1" t="n">
        <v>44909</v>
      </c>
      <c r="C427" s="1" t="n">
        <v>46081</v>
      </c>
      <c r="D427" t="inlineStr">
        <is>
          <t>DALARNAS LÄN</t>
        </is>
      </c>
      <c r="E427" t="inlineStr">
        <is>
          <t>LEKSAND</t>
        </is>
      </c>
      <c r="G427" t="n">
        <v>4.2</v>
      </c>
      <c r="H427" t="n">
        <v>0</v>
      </c>
      <c r="I427" t="n">
        <v>0</v>
      </c>
      <c r="J427" t="n">
        <v>0</v>
      </c>
      <c r="K427" t="n">
        <v>0</v>
      </c>
      <c r="L427" t="n">
        <v>0</v>
      </c>
      <c r="M427" t="n">
        <v>0</v>
      </c>
      <c r="N427" t="n">
        <v>0</v>
      </c>
      <c r="O427" t="n">
        <v>0</v>
      </c>
      <c r="P427" t="n">
        <v>0</v>
      </c>
      <c r="Q427" t="n">
        <v>0</v>
      </c>
      <c r="R427" s="2" t="inlineStr"/>
    </row>
    <row r="428" ht="15" customHeight="1">
      <c r="A428" t="inlineStr">
        <is>
          <t>A 53817-2023</t>
        </is>
      </c>
      <c r="B428" s="1" t="n">
        <v>45231.40488425926</v>
      </c>
      <c r="C428" s="1" t="n">
        <v>46081</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52671-2025</t>
        </is>
      </c>
      <c r="B429" s="1" t="n">
        <v>45955.98113425926</v>
      </c>
      <c r="C429" s="1" t="n">
        <v>46081</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28633-2023</t>
        </is>
      </c>
      <c r="B430" s="1" t="n">
        <v>45103.61575231481</v>
      </c>
      <c r="C430" s="1" t="n">
        <v>46081</v>
      </c>
      <c r="D430" t="inlineStr">
        <is>
          <t>DALARNAS LÄN</t>
        </is>
      </c>
      <c r="E430" t="inlineStr">
        <is>
          <t>LEKSAND</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53190-2025</t>
        </is>
      </c>
      <c r="B431" s="1" t="n">
        <v>45958.56283564815</v>
      </c>
      <c r="C431" s="1" t="n">
        <v>46081</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46081</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41840-2024</t>
        </is>
      </c>
      <c r="B433" s="1" t="n">
        <v>45561.42170138889</v>
      </c>
      <c r="C433" s="1" t="n">
        <v>46081</v>
      </c>
      <c r="D433" t="inlineStr">
        <is>
          <t>DALARNAS LÄN</t>
        </is>
      </c>
      <c r="E433" t="inlineStr">
        <is>
          <t>LEKSAND</t>
        </is>
      </c>
      <c r="G433" t="n">
        <v>0.4</v>
      </c>
      <c r="H433" t="n">
        <v>0</v>
      </c>
      <c r="I433" t="n">
        <v>0</v>
      </c>
      <c r="J433" t="n">
        <v>0</v>
      </c>
      <c r="K433" t="n">
        <v>0</v>
      </c>
      <c r="L433" t="n">
        <v>0</v>
      </c>
      <c r="M433" t="n">
        <v>0</v>
      </c>
      <c r="N433" t="n">
        <v>0</v>
      </c>
      <c r="O433" t="n">
        <v>0</v>
      </c>
      <c r="P433" t="n">
        <v>0</v>
      </c>
      <c r="Q433" t="n">
        <v>0</v>
      </c>
      <c r="R433" s="2" t="inlineStr"/>
    </row>
    <row r="434" ht="15" customHeight="1">
      <c r="A434" t="inlineStr">
        <is>
          <t>A 33143-2024</t>
        </is>
      </c>
      <c r="B434" s="1" t="n">
        <v>45518</v>
      </c>
      <c r="C434" s="1" t="n">
        <v>46081</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53041-2025</t>
        </is>
      </c>
      <c r="B435" s="1" t="n">
        <v>45958.35487268519</v>
      </c>
      <c r="C435" s="1" t="n">
        <v>46081</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53243-2025</t>
        </is>
      </c>
      <c r="B436" s="1" t="n">
        <v>45958.6442824074</v>
      </c>
      <c r="C436" s="1" t="n">
        <v>46081</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53438-2025</t>
        </is>
      </c>
      <c r="B437" s="1" t="n">
        <v>45959.63711805556</v>
      </c>
      <c r="C437" s="1" t="n">
        <v>46081</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471-2025</t>
        </is>
      </c>
      <c r="B438" s="1" t="n">
        <v>45664.43394675926</v>
      </c>
      <c r="C438" s="1" t="n">
        <v>46081</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53619-2025</t>
        </is>
      </c>
      <c r="B439" s="1" t="n">
        <v>45960</v>
      </c>
      <c r="C439" s="1" t="n">
        <v>46081</v>
      </c>
      <c r="D439" t="inlineStr">
        <is>
          <t>DALARNAS LÄN</t>
        </is>
      </c>
      <c r="E439" t="inlineStr">
        <is>
          <t>LEKSAND</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53718-2025</t>
        </is>
      </c>
      <c r="B440" s="1" t="n">
        <v>45960.61840277778</v>
      </c>
      <c r="C440" s="1" t="n">
        <v>46081</v>
      </c>
      <c r="D440" t="inlineStr">
        <is>
          <t>DALARNAS LÄN</t>
        </is>
      </c>
      <c r="E440" t="inlineStr">
        <is>
          <t>LEKSAND</t>
        </is>
      </c>
      <c r="G440" t="n">
        <v>7.5</v>
      </c>
      <c r="H440" t="n">
        <v>0</v>
      </c>
      <c r="I440" t="n">
        <v>0</v>
      </c>
      <c r="J440" t="n">
        <v>0</v>
      </c>
      <c r="K440" t="n">
        <v>0</v>
      </c>
      <c r="L440" t="n">
        <v>0</v>
      </c>
      <c r="M440" t="n">
        <v>0</v>
      </c>
      <c r="N440" t="n">
        <v>0</v>
      </c>
      <c r="O440" t="n">
        <v>0</v>
      </c>
      <c r="P440" t="n">
        <v>0</v>
      </c>
      <c r="Q440" t="n">
        <v>0</v>
      </c>
      <c r="R440" s="2" t="inlineStr"/>
    </row>
    <row r="441" ht="15" customHeight="1">
      <c r="A441" t="inlineStr">
        <is>
          <t>A 54015-2025</t>
        </is>
      </c>
      <c r="B441" s="1" t="n">
        <v>45961.64158564815</v>
      </c>
      <c r="C441" s="1" t="n">
        <v>46081</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54120-2025</t>
        </is>
      </c>
      <c r="B442" s="1" t="n">
        <v>45964.45040509259</v>
      </c>
      <c r="C442" s="1" t="n">
        <v>46081</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53804-2025</t>
        </is>
      </c>
      <c r="B443" s="1" t="n">
        <v>45960.83247685185</v>
      </c>
      <c r="C443" s="1" t="n">
        <v>46081</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54125-2025</t>
        </is>
      </c>
      <c r="B444" s="1" t="n">
        <v>45964.45671296296</v>
      </c>
      <c r="C444" s="1" t="n">
        <v>46081</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53836-2025</t>
        </is>
      </c>
      <c r="B445" s="1" t="n">
        <v>45961.3475462963</v>
      </c>
      <c r="C445" s="1" t="n">
        <v>46081</v>
      </c>
      <c r="D445" t="inlineStr">
        <is>
          <t>DALARNAS LÄN</t>
        </is>
      </c>
      <c r="E445" t="inlineStr">
        <is>
          <t>LEKSAND</t>
        </is>
      </c>
      <c r="G445" t="n">
        <v>3.5</v>
      </c>
      <c r="H445" t="n">
        <v>0</v>
      </c>
      <c r="I445" t="n">
        <v>0</v>
      </c>
      <c r="J445" t="n">
        <v>0</v>
      </c>
      <c r="K445" t="n">
        <v>0</v>
      </c>
      <c r="L445" t="n">
        <v>0</v>
      </c>
      <c r="M445" t="n">
        <v>0</v>
      </c>
      <c r="N445" t="n">
        <v>0</v>
      </c>
      <c r="O445" t="n">
        <v>0</v>
      </c>
      <c r="P445" t="n">
        <v>0</v>
      </c>
      <c r="Q445" t="n">
        <v>0</v>
      </c>
      <c r="R445" s="2" t="inlineStr"/>
    </row>
    <row r="446" ht="15" customHeight="1">
      <c r="A446" t="inlineStr">
        <is>
          <t>A 53838-2025</t>
        </is>
      </c>
      <c r="B446" s="1" t="n">
        <v>45961.34895833334</v>
      </c>
      <c r="C446" s="1" t="n">
        <v>46081</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54779-2025</t>
        </is>
      </c>
      <c r="B447" s="1" t="n">
        <v>45966.61672453704</v>
      </c>
      <c r="C447" s="1" t="n">
        <v>46081</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54815-2025</t>
        </is>
      </c>
      <c r="B448" s="1" t="n">
        <v>45966.65237268519</v>
      </c>
      <c r="C448" s="1" t="n">
        <v>46081</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11128-2023</t>
        </is>
      </c>
      <c r="B449" s="1" t="n">
        <v>44992</v>
      </c>
      <c r="C449" s="1" t="n">
        <v>46081</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60024-2023</t>
        </is>
      </c>
      <c r="B450" s="1" t="n">
        <v>45258</v>
      </c>
      <c r="C450" s="1" t="n">
        <v>46081</v>
      </c>
      <c r="D450" t="inlineStr">
        <is>
          <t>DALARNAS LÄN</t>
        </is>
      </c>
      <c r="E450" t="inlineStr">
        <is>
          <t>LEKSAND</t>
        </is>
      </c>
      <c r="G450" t="n">
        <v>4.2</v>
      </c>
      <c r="H450" t="n">
        <v>0</v>
      </c>
      <c r="I450" t="n">
        <v>0</v>
      </c>
      <c r="J450" t="n">
        <v>0</v>
      </c>
      <c r="K450" t="n">
        <v>0</v>
      </c>
      <c r="L450" t="n">
        <v>0</v>
      </c>
      <c r="M450" t="n">
        <v>0</v>
      </c>
      <c r="N450" t="n">
        <v>0</v>
      </c>
      <c r="O450" t="n">
        <v>0</v>
      </c>
      <c r="P450" t="n">
        <v>0</v>
      </c>
      <c r="Q450" t="n">
        <v>0</v>
      </c>
      <c r="R450" s="2" t="inlineStr"/>
    </row>
    <row r="451" ht="15" customHeight="1">
      <c r="A451" t="inlineStr">
        <is>
          <t>A 11859-2024</t>
        </is>
      </c>
      <c r="B451" s="1" t="n">
        <v>45376.44569444445</v>
      </c>
      <c r="C451" s="1" t="n">
        <v>46081</v>
      </c>
      <c r="D451" t="inlineStr">
        <is>
          <t>DALARNAS LÄN</t>
        </is>
      </c>
      <c r="E451" t="inlineStr">
        <is>
          <t>LEKSAND</t>
        </is>
      </c>
      <c r="G451" t="n">
        <v>2.1</v>
      </c>
      <c r="H451" t="n">
        <v>0</v>
      </c>
      <c r="I451" t="n">
        <v>0</v>
      </c>
      <c r="J451" t="n">
        <v>0</v>
      </c>
      <c r="K451" t="n">
        <v>0</v>
      </c>
      <c r="L451" t="n">
        <v>0</v>
      </c>
      <c r="M451" t="n">
        <v>0</v>
      </c>
      <c r="N451" t="n">
        <v>0</v>
      </c>
      <c r="O451" t="n">
        <v>0</v>
      </c>
      <c r="P451" t="n">
        <v>0</v>
      </c>
      <c r="Q451" t="n">
        <v>0</v>
      </c>
      <c r="R451" s="2" t="inlineStr"/>
    </row>
    <row r="452" ht="15" customHeight="1">
      <c r="A452" t="inlineStr">
        <is>
          <t>A 62133-2023</t>
        </is>
      </c>
      <c r="B452" s="1" t="n">
        <v>45267.35582175926</v>
      </c>
      <c r="C452" s="1" t="n">
        <v>46081</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58495-2023</t>
        </is>
      </c>
      <c r="B453" s="1" t="n">
        <v>45251</v>
      </c>
      <c r="C453" s="1" t="n">
        <v>46081</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54440-2025</t>
        </is>
      </c>
      <c r="B454" s="1" t="n">
        <v>45965.50385416667</v>
      </c>
      <c r="C454" s="1" t="n">
        <v>46081</v>
      </c>
      <c r="D454" t="inlineStr">
        <is>
          <t>DALARNAS LÄN</t>
        </is>
      </c>
      <c r="E454" t="inlineStr">
        <is>
          <t>LEKSAND</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43158-2025</t>
        </is>
      </c>
      <c r="B455" s="1" t="n">
        <v>45910.35496527778</v>
      </c>
      <c r="C455" s="1" t="n">
        <v>46081</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54295-2025</t>
        </is>
      </c>
      <c r="B456" s="1" t="n">
        <v>45964.87122685185</v>
      </c>
      <c r="C456" s="1" t="n">
        <v>46081</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6039-2023</t>
        </is>
      </c>
      <c r="B457" s="1" t="n">
        <v>44959</v>
      </c>
      <c r="C457" s="1" t="n">
        <v>46081</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54752-2025</t>
        </is>
      </c>
      <c r="B458" s="1" t="n">
        <v>45966.5916087963</v>
      </c>
      <c r="C458" s="1" t="n">
        <v>46081</v>
      </c>
      <c r="D458" t="inlineStr">
        <is>
          <t>DALARNAS LÄN</t>
        </is>
      </c>
      <c r="E458" t="inlineStr">
        <is>
          <t>LEKSAND</t>
        </is>
      </c>
      <c r="G458" t="n">
        <v>0.3</v>
      </c>
      <c r="H458" t="n">
        <v>0</v>
      </c>
      <c r="I458" t="n">
        <v>0</v>
      </c>
      <c r="J458" t="n">
        <v>0</v>
      </c>
      <c r="K458" t="n">
        <v>0</v>
      </c>
      <c r="L458" t="n">
        <v>0</v>
      </c>
      <c r="M458" t="n">
        <v>0</v>
      </c>
      <c r="N458" t="n">
        <v>0</v>
      </c>
      <c r="O458" t="n">
        <v>0</v>
      </c>
      <c r="P458" t="n">
        <v>0</v>
      </c>
      <c r="Q458" t="n">
        <v>0</v>
      </c>
      <c r="R458" s="2" t="inlineStr"/>
    </row>
    <row r="459" ht="15" customHeight="1">
      <c r="A459" t="inlineStr">
        <is>
          <t>A 54767-2025</t>
        </is>
      </c>
      <c r="B459" s="1" t="n">
        <v>45966.60414351852</v>
      </c>
      <c r="C459" s="1" t="n">
        <v>46081</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54785-2025</t>
        </is>
      </c>
      <c r="B460" s="1" t="n">
        <v>45966.62619212963</v>
      </c>
      <c r="C460" s="1" t="n">
        <v>46081</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54805-2025</t>
        </is>
      </c>
      <c r="B461" s="1" t="n">
        <v>45966.64165509259</v>
      </c>
      <c r="C461" s="1" t="n">
        <v>46081</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22517-2024</t>
        </is>
      </c>
      <c r="B462" s="1" t="n">
        <v>45447.40143518519</v>
      </c>
      <c r="C462" s="1" t="n">
        <v>46081</v>
      </c>
      <c r="D462" t="inlineStr">
        <is>
          <t>DALARNAS LÄN</t>
        </is>
      </c>
      <c r="E462" t="inlineStr">
        <is>
          <t>LEKSAND</t>
        </is>
      </c>
      <c r="G462" t="n">
        <v>0.4</v>
      </c>
      <c r="H462" t="n">
        <v>0</v>
      </c>
      <c r="I462" t="n">
        <v>0</v>
      </c>
      <c r="J462" t="n">
        <v>0</v>
      </c>
      <c r="K462" t="n">
        <v>0</v>
      </c>
      <c r="L462" t="n">
        <v>0</v>
      </c>
      <c r="M462" t="n">
        <v>0</v>
      </c>
      <c r="N462" t="n">
        <v>0</v>
      </c>
      <c r="O462" t="n">
        <v>0</v>
      </c>
      <c r="P462" t="n">
        <v>0</v>
      </c>
      <c r="Q462" t="n">
        <v>0</v>
      </c>
      <c r="R462" s="2" t="inlineStr"/>
    </row>
    <row r="463" ht="15" customHeight="1">
      <c r="A463" t="inlineStr">
        <is>
          <t>A 54293-2025</t>
        </is>
      </c>
      <c r="B463" s="1" t="n">
        <v>45964.86651620371</v>
      </c>
      <c r="C463" s="1" t="n">
        <v>46081</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52801-2023</t>
        </is>
      </c>
      <c r="B464" s="1" t="n">
        <v>45219</v>
      </c>
      <c r="C464" s="1" t="n">
        <v>46081</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45768-2023</t>
        </is>
      </c>
      <c r="B465" s="1" t="n">
        <v>45195</v>
      </c>
      <c r="C465" s="1" t="n">
        <v>46081</v>
      </c>
      <c r="D465" t="inlineStr">
        <is>
          <t>DALARNAS LÄN</t>
        </is>
      </c>
      <c r="E465" t="inlineStr">
        <is>
          <t>LEKSAND</t>
        </is>
      </c>
      <c r="G465" t="n">
        <v>0.4</v>
      </c>
      <c r="H465" t="n">
        <v>0</v>
      </c>
      <c r="I465" t="n">
        <v>0</v>
      </c>
      <c r="J465" t="n">
        <v>0</v>
      </c>
      <c r="K465" t="n">
        <v>0</v>
      </c>
      <c r="L465" t="n">
        <v>0</v>
      </c>
      <c r="M465" t="n">
        <v>0</v>
      </c>
      <c r="N465" t="n">
        <v>0</v>
      </c>
      <c r="O465" t="n">
        <v>0</v>
      </c>
      <c r="P465" t="n">
        <v>0</v>
      </c>
      <c r="Q465" t="n">
        <v>0</v>
      </c>
      <c r="R465" s="2" t="inlineStr"/>
    </row>
    <row r="466" ht="15" customHeight="1">
      <c r="A466" t="inlineStr">
        <is>
          <t>A 54789-2025</t>
        </is>
      </c>
      <c r="B466" s="1" t="n">
        <v>45966</v>
      </c>
      <c r="C466" s="1" t="n">
        <v>46081</v>
      </c>
      <c r="D466" t="inlineStr">
        <is>
          <t>DALARNAS LÄN</t>
        </is>
      </c>
      <c r="E466" t="inlineStr">
        <is>
          <t>LEKSAND</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54494-2025</t>
        </is>
      </c>
      <c r="B467" s="1" t="n">
        <v>45965.59965277778</v>
      </c>
      <c r="C467" s="1" t="n">
        <v>46081</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41306-2024</t>
        </is>
      </c>
      <c r="B468" s="1" t="n">
        <v>45559.62550925926</v>
      </c>
      <c r="C468" s="1" t="n">
        <v>46081</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36450-2023</t>
        </is>
      </c>
      <c r="B469" s="1" t="n">
        <v>45152.64842592592</v>
      </c>
      <c r="C469" s="1" t="n">
        <v>46081</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1458-2024</t>
        </is>
      </c>
      <c r="B470" s="1" t="n">
        <v>45303</v>
      </c>
      <c r="C470" s="1" t="n">
        <v>46081</v>
      </c>
      <c r="D470" t="inlineStr">
        <is>
          <t>DALARNAS LÄN</t>
        </is>
      </c>
      <c r="E470" t="inlineStr">
        <is>
          <t>LEKSAND</t>
        </is>
      </c>
      <c r="G470" t="n">
        <v>2</v>
      </c>
      <c r="H470" t="n">
        <v>0</v>
      </c>
      <c r="I470" t="n">
        <v>0</v>
      </c>
      <c r="J470" t="n">
        <v>0</v>
      </c>
      <c r="K470" t="n">
        <v>0</v>
      </c>
      <c r="L470" t="n">
        <v>0</v>
      </c>
      <c r="M470" t="n">
        <v>0</v>
      </c>
      <c r="N470" t="n">
        <v>0</v>
      </c>
      <c r="O470" t="n">
        <v>0</v>
      </c>
      <c r="P470" t="n">
        <v>0</v>
      </c>
      <c r="Q470" t="n">
        <v>0</v>
      </c>
      <c r="R470" s="2" t="inlineStr"/>
    </row>
    <row r="471" ht="15" customHeight="1">
      <c r="A471" t="inlineStr">
        <is>
          <t>A 1461-2024</t>
        </is>
      </c>
      <c r="B471" s="1" t="n">
        <v>45303</v>
      </c>
      <c r="C471" s="1" t="n">
        <v>46081</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3737-2023</t>
        </is>
      </c>
      <c r="B472" s="1" t="n">
        <v>44951.42983796296</v>
      </c>
      <c r="C472" s="1" t="n">
        <v>46081</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11678-2023</t>
        </is>
      </c>
      <c r="B473" s="1" t="n">
        <v>44994</v>
      </c>
      <c r="C473" s="1" t="n">
        <v>46081</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13288-2023</t>
        </is>
      </c>
      <c r="B474" s="1" t="n">
        <v>45004.8160300926</v>
      </c>
      <c r="C474" s="1" t="n">
        <v>46081</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11869-2024</t>
        </is>
      </c>
      <c r="B475" s="1" t="n">
        <v>45376.45800925926</v>
      </c>
      <c r="C475" s="1" t="n">
        <v>46081</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27520-2023</t>
        </is>
      </c>
      <c r="B476" s="1" t="n">
        <v>45097</v>
      </c>
      <c r="C476" s="1" t="n">
        <v>46081</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30169-2023</t>
        </is>
      </c>
      <c r="B477" s="1" t="n">
        <v>45110</v>
      </c>
      <c r="C477" s="1" t="n">
        <v>46081</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37952-2024</t>
        </is>
      </c>
      <c r="B478" s="1" t="n">
        <v>45544.5200462963</v>
      </c>
      <c r="C478" s="1" t="n">
        <v>46081</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55493-2025</t>
        </is>
      </c>
      <c r="B479" s="1" t="n">
        <v>45971.57913194445</v>
      </c>
      <c r="C479" s="1" t="n">
        <v>46081</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3352-2024</t>
        </is>
      </c>
      <c r="B480" s="1" t="n">
        <v>45317</v>
      </c>
      <c r="C480" s="1" t="n">
        <v>46081</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55784-2025</t>
        </is>
      </c>
      <c r="B481" s="1" t="n">
        <v>45972.63765046297</v>
      </c>
      <c r="C481" s="1" t="n">
        <v>46081</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31391-2024</t>
        </is>
      </c>
      <c r="B482" s="1" t="n">
        <v>45505.46616898148</v>
      </c>
      <c r="C482" s="1" t="n">
        <v>46081</v>
      </c>
      <c r="D482" t="inlineStr">
        <is>
          <t>DALARNAS LÄN</t>
        </is>
      </c>
      <c r="E482" t="inlineStr">
        <is>
          <t>LEKSAND</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56161-2025</t>
        </is>
      </c>
      <c r="B483" s="1" t="n">
        <v>45974.37554398148</v>
      </c>
      <c r="C483" s="1" t="n">
        <v>46081</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56331-2025</t>
        </is>
      </c>
      <c r="B484" s="1" t="n">
        <v>45974.64157407408</v>
      </c>
      <c r="C484" s="1" t="n">
        <v>46081</v>
      </c>
      <c r="D484" t="inlineStr">
        <is>
          <t>DALARNAS LÄN</t>
        </is>
      </c>
      <c r="E484" t="inlineStr">
        <is>
          <t>LEKSAND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11004-2023</t>
        </is>
      </c>
      <c r="B485" s="1" t="n">
        <v>44986</v>
      </c>
      <c r="C485" s="1" t="n">
        <v>46081</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27244-2023</t>
        </is>
      </c>
      <c r="B486" s="1" t="n">
        <v>45096</v>
      </c>
      <c r="C486" s="1" t="n">
        <v>46081</v>
      </c>
      <c r="D486" t="inlineStr">
        <is>
          <t>DALARNAS LÄN</t>
        </is>
      </c>
      <c r="E486" t="inlineStr">
        <is>
          <t>LEKSAND</t>
        </is>
      </c>
      <c r="G486" t="n">
        <v>5</v>
      </c>
      <c r="H486" t="n">
        <v>0</v>
      </c>
      <c r="I486" t="n">
        <v>0</v>
      </c>
      <c r="J486" t="n">
        <v>0</v>
      </c>
      <c r="K486" t="n">
        <v>0</v>
      </c>
      <c r="L486" t="n">
        <v>0</v>
      </c>
      <c r="M486" t="n">
        <v>0</v>
      </c>
      <c r="N486" t="n">
        <v>0</v>
      </c>
      <c r="O486" t="n">
        <v>0</v>
      </c>
      <c r="P486" t="n">
        <v>0</v>
      </c>
      <c r="Q486" t="n">
        <v>0</v>
      </c>
      <c r="R486" s="2" t="inlineStr"/>
    </row>
    <row r="487" ht="15" customHeight="1">
      <c r="A487" t="inlineStr">
        <is>
          <t>A 56514-2025</t>
        </is>
      </c>
      <c r="B487" s="1" t="n">
        <v>45975.45502314815</v>
      </c>
      <c r="C487" s="1" t="n">
        <v>46081</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56960-2025</t>
        </is>
      </c>
      <c r="B488" s="1" t="n">
        <v>45978.65903935185</v>
      </c>
      <c r="C488" s="1" t="n">
        <v>46081</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56517-2025</t>
        </is>
      </c>
      <c r="B489" s="1" t="n">
        <v>45975.45777777778</v>
      </c>
      <c r="C489" s="1" t="n">
        <v>46081</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56623-2025</t>
        </is>
      </c>
      <c r="B490" s="1" t="n">
        <v>45975.60164351852</v>
      </c>
      <c r="C490" s="1" t="n">
        <v>46081</v>
      </c>
      <c r="D490" t="inlineStr">
        <is>
          <t>DALARNAS LÄN</t>
        </is>
      </c>
      <c r="E490" t="inlineStr">
        <is>
          <t>LEKSAND</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18107-2025</t>
        </is>
      </c>
      <c r="B491" s="1" t="n">
        <v>45761.55939814815</v>
      </c>
      <c r="C491" s="1" t="n">
        <v>46081</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16051-2023</t>
        </is>
      </c>
      <c r="B492" s="1" t="n">
        <v>45027</v>
      </c>
      <c r="C492" s="1" t="n">
        <v>46081</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56059-2024</t>
        </is>
      </c>
      <c r="B493" s="1" t="n">
        <v>45624.36729166667</v>
      </c>
      <c r="C493" s="1" t="n">
        <v>46081</v>
      </c>
      <c r="D493" t="inlineStr">
        <is>
          <t>DALARNAS LÄN</t>
        </is>
      </c>
      <c r="E493" t="inlineStr">
        <is>
          <t>LEKSAND</t>
        </is>
      </c>
      <c r="G493" t="n">
        <v>3.1</v>
      </c>
      <c r="H493" t="n">
        <v>0</v>
      </c>
      <c r="I493" t="n">
        <v>0</v>
      </c>
      <c r="J493" t="n">
        <v>0</v>
      </c>
      <c r="K493" t="n">
        <v>0</v>
      </c>
      <c r="L493" t="n">
        <v>0</v>
      </c>
      <c r="M493" t="n">
        <v>0</v>
      </c>
      <c r="N493" t="n">
        <v>0</v>
      </c>
      <c r="O493" t="n">
        <v>0</v>
      </c>
      <c r="P493" t="n">
        <v>0</v>
      </c>
      <c r="Q493" t="n">
        <v>0</v>
      </c>
      <c r="R493" s="2" t="inlineStr"/>
    </row>
    <row r="494" ht="15" customHeight="1">
      <c r="A494" t="inlineStr">
        <is>
          <t>A 57267-2025</t>
        </is>
      </c>
      <c r="B494" s="1" t="n">
        <v>45979.67476851852</v>
      </c>
      <c r="C494" s="1" t="n">
        <v>46081</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2579-2022</t>
        </is>
      </c>
      <c r="B495" s="1" t="n">
        <v>44580</v>
      </c>
      <c r="C495" s="1" t="n">
        <v>46081</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57223-2025</t>
        </is>
      </c>
      <c r="B496" s="1" t="n">
        <v>45979.61486111111</v>
      </c>
      <c r="C496" s="1" t="n">
        <v>46081</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57231-2025</t>
        </is>
      </c>
      <c r="B497" s="1" t="n">
        <v>45979.62025462963</v>
      </c>
      <c r="C497" s="1" t="n">
        <v>46081</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49395-2024</t>
        </is>
      </c>
      <c r="B498" s="1" t="n">
        <v>45595</v>
      </c>
      <c r="C498" s="1" t="n">
        <v>46081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57962-2025</t>
        </is>
      </c>
      <c r="B499" s="1" t="n">
        <v>45982.37767361111</v>
      </c>
      <c r="C499" s="1" t="n">
        <v>46081</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57869-2025</t>
        </is>
      </c>
      <c r="B500" s="1" t="n">
        <v>45981.65211805556</v>
      </c>
      <c r="C500" s="1" t="n">
        <v>46081</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58114-2025</t>
        </is>
      </c>
      <c r="B501" s="1" t="n">
        <v>45982.60335648148</v>
      </c>
      <c r="C501" s="1" t="n">
        <v>46081</v>
      </c>
      <c r="D501" t="inlineStr">
        <is>
          <t>DALARNAS LÄN</t>
        </is>
      </c>
      <c r="E501" t="inlineStr">
        <is>
          <t>LEKSAND</t>
        </is>
      </c>
      <c r="G501" t="n">
        <v>3</v>
      </c>
      <c r="H501" t="n">
        <v>0</v>
      </c>
      <c r="I501" t="n">
        <v>0</v>
      </c>
      <c r="J501" t="n">
        <v>0</v>
      </c>
      <c r="K501" t="n">
        <v>0</v>
      </c>
      <c r="L501" t="n">
        <v>0</v>
      </c>
      <c r="M501" t="n">
        <v>0</v>
      </c>
      <c r="N501" t="n">
        <v>0</v>
      </c>
      <c r="O501" t="n">
        <v>0</v>
      </c>
      <c r="P501" t="n">
        <v>0</v>
      </c>
      <c r="Q501" t="n">
        <v>0</v>
      </c>
      <c r="R501" s="2" t="inlineStr"/>
    </row>
    <row r="502" ht="15" customHeight="1">
      <c r="A502" t="inlineStr">
        <is>
          <t>A 57688-2025</t>
        </is>
      </c>
      <c r="B502" s="1" t="n">
        <v>45981.44429398148</v>
      </c>
      <c r="C502" s="1" t="n">
        <v>46081</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58921-2025</t>
        </is>
      </c>
      <c r="B503" s="1" t="n">
        <v>45986</v>
      </c>
      <c r="C503" s="1" t="n">
        <v>46081</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58449-2025</t>
        </is>
      </c>
      <c r="B504" s="1" t="n">
        <v>45985.62520833333</v>
      </c>
      <c r="C504" s="1" t="n">
        <v>46081</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53122-2023</t>
        </is>
      </c>
      <c r="B505" s="1" t="n">
        <v>45228</v>
      </c>
      <c r="C505" s="1" t="n">
        <v>46081</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58519-2025</t>
        </is>
      </c>
      <c r="B506" s="1" t="n">
        <v>45985.70894675926</v>
      </c>
      <c r="C506" s="1" t="n">
        <v>46081</v>
      </c>
      <c r="D506" t="inlineStr">
        <is>
          <t>DALARNAS LÄN</t>
        </is>
      </c>
      <c r="E506" t="inlineStr">
        <is>
          <t>LEKSAND</t>
        </is>
      </c>
      <c r="G506" t="n">
        <v>0.9</v>
      </c>
      <c r="H506" t="n">
        <v>0</v>
      </c>
      <c r="I506" t="n">
        <v>0</v>
      </c>
      <c r="J506" t="n">
        <v>0</v>
      </c>
      <c r="K506" t="n">
        <v>0</v>
      </c>
      <c r="L506" t="n">
        <v>0</v>
      </c>
      <c r="M506" t="n">
        <v>0</v>
      </c>
      <c r="N506" t="n">
        <v>0</v>
      </c>
      <c r="O506" t="n">
        <v>0</v>
      </c>
      <c r="P506" t="n">
        <v>0</v>
      </c>
      <c r="Q506" t="n">
        <v>0</v>
      </c>
      <c r="R506" s="2" t="inlineStr"/>
    </row>
    <row r="507" ht="15" customHeight="1">
      <c r="A507" t="inlineStr">
        <is>
          <t>A 33317-2023</t>
        </is>
      </c>
      <c r="B507" s="1" t="n">
        <v>45127.84586805556</v>
      </c>
      <c r="C507" s="1" t="n">
        <v>46081</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54677-2025</t>
        </is>
      </c>
      <c r="B508" s="1" t="n">
        <v>45966</v>
      </c>
      <c r="C508" s="1" t="n">
        <v>46081</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58516-2025</t>
        </is>
      </c>
      <c r="B509" s="1" t="n">
        <v>45985.70596064815</v>
      </c>
      <c r="C509" s="1" t="n">
        <v>46081</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58626-2025</t>
        </is>
      </c>
      <c r="B510" s="1" t="n">
        <v>45986.47667824074</v>
      </c>
      <c r="C510" s="1" t="n">
        <v>46081</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58376-2025</t>
        </is>
      </c>
      <c r="B511" s="1" t="n">
        <v>45985.53180555555</v>
      </c>
      <c r="C511" s="1" t="n">
        <v>46081</v>
      </c>
      <c r="D511" t="inlineStr">
        <is>
          <t>DALARNAS LÄN</t>
        </is>
      </c>
      <c r="E511" t="inlineStr">
        <is>
          <t>LEKSAND</t>
        </is>
      </c>
      <c r="G511" t="n">
        <v>5.7</v>
      </c>
      <c r="H511" t="n">
        <v>0</v>
      </c>
      <c r="I511" t="n">
        <v>0</v>
      </c>
      <c r="J511" t="n">
        <v>0</v>
      </c>
      <c r="K511" t="n">
        <v>0</v>
      </c>
      <c r="L511" t="n">
        <v>0</v>
      </c>
      <c r="M511" t="n">
        <v>0</v>
      </c>
      <c r="N511" t="n">
        <v>0</v>
      </c>
      <c r="O511" t="n">
        <v>0</v>
      </c>
      <c r="P511" t="n">
        <v>0</v>
      </c>
      <c r="Q511" t="n">
        <v>0</v>
      </c>
      <c r="R511" s="2" t="inlineStr"/>
    </row>
    <row r="512" ht="15" customHeight="1">
      <c r="A512" t="inlineStr">
        <is>
          <t>A 58900-2025</t>
        </is>
      </c>
      <c r="B512" s="1" t="n">
        <v>45987</v>
      </c>
      <c r="C512" s="1" t="n">
        <v>46081</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59083-2025</t>
        </is>
      </c>
      <c r="B513" s="1" t="n">
        <v>45988</v>
      </c>
      <c r="C513" s="1" t="n">
        <v>46081</v>
      </c>
      <c r="D513" t="inlineStr">
        <is>
          <t>DALARNAS LÄN</t>
        </is>
      </c>
      <c r="E513" t="inlineStr">
        <is>
          <t>LEKSAND</t>
        </is>
      </c>
      <c r="F513" t="inlineStr">
        <is>
          <t>Bergvik skog väst AB</t>
        </is>
      </c>
      <c r="G513" t="n">
        <v>2.7</v>
      </c>
      <c r="H513" t="n">
        <v>0</v>
      </c>
      <c r="I513" t="n">
        <v>0</v>
      </c>
      <c r="J513" t="n">
        <v>0</v>
      </c>
      <c r="K513" t="n">
        <v>0</v>
      </c>
      <c r="L513" t="n">
        <v>0</v>
      </c>
      <c r="M513" t="n">
        <v>0</v>
      </c>
      <c r="N513" t="n">
        <v>0</v>
      </c>
      <c r="O513" t="n">
        <v>0</v>
      </c>
      <c r="P513" t="n">
        <v>0</v>
      </c>
      <c r="Q513" t="n">
        <v>0</v>
      </c>
      <c r="R513" s="2" t="inlineStr"/>
      <c r="U513">
        <f>HYPERLINK("https://klasma.github.io/Logging_2029/knärot/A 59083-2025 karta knärot.png", "A 59083-2025")</f>
        <v/>
      </c>
      <c r="V513">
        <f>HYPERLINK("https://klasma.github.io/Logging_2029/klagomål/A 59083-2025 FSC-klagomål.docx", "A 59083-2025")</f>
        <v/>
      </c>
      <c r="W513">
        <f>HYPERLINK("https://klasma.github.io/Logging_2029/klagomålsmail/A 59083-2025 FSC-klagomål mail.docx", "A 59083-2025")</f>
        <v/>
      </c>
      <c r="X513">
        <f>HYPERLINK("https://klasma.github.io/Logging_2029/tillsyn/A 59083-2025 tillsynsbegäran.docx", "A 59083-2025")</f>
        <v/>
      </c>
      <c r="Y513">
        <f>HYPERLINK("https://klasma.github.io/Logging_2029/tillsynsmail/A 59083-2025 tillsynsbegäran mail.docx", "A 59083-2025")</f>
        <v/>
      </c>
    </row>
    <row r="514" ht="15" customHeight="1">
      <c r="A514" t="inlineStr">
        <is>
          <t>A 40009-2024</t>
        </is>
      </c>
      <c r="B514" s="1" t="n">
        <v>45553.65361111111</v>
      </c>
      <c r="C514" s="1" t="n">
        <v>46081</v>
      </c>
      <c r="D514" t="inlineStr">
        <is>
          <t>DALARNAS LÄN</t>
        </is>
      </c>
      <c r="E514" t="inlineStr">
        <is>
          <t>LEKSAND</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52572-2024</t>
        </is>
      </c>
      <c r="B515" s="1" t="n">
        <v>45609.66488425926</v>
      </c>
      <c r="C515" s="1" t="n">
        <v>46081</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59106-2025</t>
        </is>
      </c>
      <c r="B516" s="1" t="n">
        <v>45988.46891203704</v>
      </c>
      <c r="C516" s="1" t="n">
        <v>46081</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45001.49347222222</v>
      </c>
      <c r="C517" s="1" t="n">
        <v>46081</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45428.69106481481</v>
      </c>
      <c r="C518" s="1" t="n">
        <v>46081</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59638-2025</t>
        </is>
      </c>
      <c r="B519" s="1" t="n">
        <v>45992.41105324074</v>
      </c>
      <c r="C519" s="1" t="n">
        <v>46081</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9781-2024</t>
        </is>
      </c>
      <c r="B520" s="1" t="n">
        <v>45362.66299768518</v>
      </c>
      <c r="C520" s="1" t="n">
        <v>46081</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63513-2023</t>
        </is>
      </c>
      <c r="B521" s="1" t="n">
        <v>45274</v>
      </c>
      <c r="C521" s="1" t="n">
        <v>46081</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40230-2023</t>
        </is>
      </c>
      <c r="B522" s="1" t="n">
        <v>45169.46887731482</v>
      </c>
      <c r="C522" s="1" t="n">
        <v>46081</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41934-2025</t>
        </is>
      </c>
      <c r="B523" s="1" t="n">
        <v>45903</v>
      </c>
      <c r="C523" s="1" t="n">
        <v>46081</v>
      </c>
      <c r="D523" t="inlineStr">
        <is>
          <t>DALARNAS LÄN</t>
        </is>
      </c>
      <c r="E523" t="inlineStr">
        <is>
          <t>LEKSAND</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39819-2024</t>
        </is>
      </c>
      <c r="B524" s="1" t="n">
        <v>45553.38774305556</v>
      </c>
      <c r="C524" s="1" t="n">
        <v>46081</v>
      </c>
      <c r="D524" t="inlineStr">
        <is>
          <t>DALARNAS LÄN</t>
        </is>
      </c>
      <c r="E524" t="inlineStr">
        <is>
          <t>LEKSAND</t>
        </is>
      </c>
      <c r="F524" t="inlineStr">
        <is>
          <t>Bergvik skog väst AB</t>
        </is>
      </c>
      <c r="G524" t="n">
        <v>3.7</v>
      </c>
      <c r="H524" t="n">
        <v>0</v>
      </c>
      <c r="I524" t="n">
        <v>0</v>
      </c>
      <c r="J524" t="n">
        <v>0</v>
      </c>
      <c r="K524" t="n">
        <v>0</v>
      </c>
      <c r="L524" t="n">
        <v>0</v>
      </c>
      <c r="M524" t="n">
        <v>0</v>
      </c>
      <c r="N524" t="n">
        <v>0</v>
      </c>
      <c r="O524" t="n">
        <v>0</v>
      </c>
      <c r="P524" t="n">
        <v>0</v>
      </c>
      <c r="Q524" t="n">
        <v>0</v>
      </c>
      <c r="R524" s="2" t="inlineStr"/>
    </row>
    <row r="525" ht="15" customHeight="1">
      <c r="A525" t="inlineStr">
        <is>
          <t>A 60067-2025</t>
        </is>
      </c>
      <c r="B525" s="1" t="n">
        <v>45993.66039351852</v>
      </c>
      <c r="C525" s="1" t="n">
        <v>46081</v>
      </c>
      <c r="D525" t="inlineStr">
        <is>
          <t>DALARNAS LÄN</t>
        </is>
      </c>
      <c r="E525" t="inlineStr">
        <is>
          <t>LEKSAND</t>
        </is>
      </c>
      <c r="G525" t="n">
        <v>3.3</v>
      </c>
      <c r="H525" t="n">
        <v>0</v>
      </c>
      <c r="I525" t="n">
        <v>0</v>
      </c>
      <c r="J525" t="n">
        <v>0</v>
      </c>
      <c r="K525" t="n">
        <v>0</v>
      </c>
      <c r="L525" t="n">
        <v>0</v>
      </c>
      <c r="M525" t="n">
        <v>0</v>
      </c>
      <c r="N525" t="n">
        <v>0</v>
      </c>
      <c r="O525" t="n">
        <v>0</v>
      </c>
      <c r="P525" t="n">
        <v>0</v>
      </c>
      <c r="Q525" t="n">
        <v>0</v>
      </c>
      <c r="R525" s="2" t="inlineStr"/>
    </row>
    <row r="526" ht="15" customHeight="1">
      <c r="A526" t="inlineStr">
        <is>
          <t>A 60170-2025</t>
        </is>
      </c>
      <c r="B526" s="1" t="n">
        <v>45994.44629629629</v>
      </c>
      <c r="C526" s="1" t="n">
        <v>46081</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52100-2024</t>
        </is>
      </c>
      <c r="B527" s="1" t="n">
        <v>45608.41634259259</v>
      </c>
      <c r="C527" s="1" t="n">
        <v>46081</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4257-2022</t>
        </is>
      </c>
      <c r="B528" s="1" t="n">
        <v>44588</v>
      </c>
      <c r="C528" s="1" t="n">
        <v>46081</v>
      </c>
      <c r="D528" t="inlineStr">
        <is>
          <t>DALARNAS LÄN</t>
        </is>
      </c>
      <c r="E528" t="inlineStr">
        <is>
          <t>LEKSAND</t>
        </is>
      </c>
      <c r="G528" t="n">
        <v>6.8</v>
      </c>
      <c r="H528" t="n">
        <v>0</v>
      </c>
      <c r="I528" t="n">
        <v>0</v>
      </c>
      <c r="J528" t="n">
        <v>0</v>
      </c>
      <c r="K528" t="n">
        <v>0</v>
      </c>
      <c r="L528" t="n">
        <v>0</v>
      </c>
      <c r="M528" t="n">
        <v>0</v>
      </c>
      <c r="N528" t="n">
        <v>0</v>
      </c>
      <c r="O528" t="n">
        <v>0</v>
      </c>
      <c r="P528" t="n">
        <v>0</v>
      </c>
      <c r="Q528" t="n">
        <v>0</v>
      </c>
      <c r="R528" s="2" t="inlineStr"/>
    </row>
    <row r="529" ht="15" customHeight="1">
      <c r="A529" t="inlineStr">
        <is>
          <t>A 31726-2024</t>
        </is>
      </c>
      <c r="B529" s="1" t="n">
        <v>45509.33908564815</v>
      </c>
      <c r="C529" s="1" t="n">
        <v>46081</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60023-2025</t>
        </is>
      </c>
      <c r="B530" s="1" t="n">
        <v>45993.60201388889</v>
      </c>
      <c r="C530" s="1" t="n">
        <v>46081</v>
      </c>
      <c r="D530" t="inlineStr">
        <is>
          <t>DALARNAS LÄN</t>
        </is>
      </c>
      <c r="E530" t="inlineStr">
        <is>
          <t>LEKSAND</t>
        </is>
      </c>
      <c r="G530" t="n">
        <v>6.5</v>
      </c>
      <c r="H530" t="n">
        <v>0</v>
      </c>
      <c r="I530" t="n">
        <v>0</v>
      </c>
      <c r="J530" t="n">
        <v>0</v>
      </c>
      <c r="K530" t="n">
        <v>0</v>
      </c>
      <c r="L530" t="n">
        <v>0</v>
      </c>
      <c r="M530" t="n">
        <v>0</v>
      </c>
      <c r="N530" t="n">
        <v>0</v>
      </c>
      <c r="O530" t="n">
        <v>0</v>
      </c>
      <c r="P530" t="n">
        <v>0</v>
      </c>
      <c r="Q530" t="n">
        <v>0</v>
      </c>
      <c r="R530" s="2" t="inlineStr"/>
    </row>
    <row r="531" ht="15" customHeight="1">
      <c r="A531" t="inlineStr">
        <is>
          <t>A 60614-2025</t>
        </is>
      </c>
      <c r="B531" s="1" t="n">
        <v>45996.36671296296</v>
      </c>
      <c r="C531" s="1" t="n">
        <v>46081</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55512-2024</t>
        </is>
      </c>
      <c r="B532" s="1" t="n">
        <v>45621</v>
      </c>
      <c r="C532" s="1" t="n">
        <v>46081</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52059-2024</t>
        </is>
      </c>
      <c r="B533" s="1" t="n">
        <v>45608.35609953704</v>
      </c>
      <c r="C533" s="1" t="n">
        <v>46081</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60358-2025</t>
        </is>
      </c>
      <c r="B534" s="1" t="n">
        <v>45995.31949074074</v>
      </c>
      <c r="C534" s="1" t="n">
        <v>46081</v>
      </c>
      <c r="D534" t="inlineStr">
        <is>
          <t>DALARNAS LÄN</t>
        </is>
      </c>
      <c r="E534" t="inlineStr">
        <is>
          <t>LEKSAND</t>
        </is>
      </c>
      <c r="G534" t="n">
        <v>2.9</v>
      </c>
      <c r="H534" t="n">
        <v>0</v>
      </c>
      <c r="I534" t="n">
        <v>0</v>
      </c>
      <c r="J534" t="n">
        <v>0</v>
      </c>
      <c r="K534" t="n">
        <v>0</v>
      </c>
      <c r="L534" t="n">
        <v>0</v>
      </c>
      <c r="M534" t="n">
        <v>0</v>
      </c>
      <c r="N534" t="n">
        <v>0</v>
      </c>
      <c r="O534" t="n">
        <v>0</v>
      </c>
      <c r="P534" t="n">
        <v>0</v>
      </c>
      <c r="Q534" t="n">
        <v>0</v>
      </c>
      <c r="R534" s="2" t="inlineStr"/>
    </row>
    <row r="535" ht="15" customHeight="1">
      <c r="A535" t="inlineStr">
        <is>
          <t>A 12992-2022</t>
        </is>
      </c>
      <c r="B535" s="1" t="n">
        <v>44643</v>
      </c>
      <c r="C535" s="1" t="n">
        <v>46081</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60544-2025</t>
        </is>
      </c>
      <c r="B536" s="1" t="n">
        <v>45995.68694444445</v>
      </c>
      <c r="C536" s="1" t="n">
        <v>46081</v>
      </c>
      <c r="D536" t="inlineStr">
        <is>
          <t>DALARNAS LÄN</t>
        </is>
      </c>
      <c r="E536" t="inlineStr">
        <is>
          <t>LEKSAND</t>
        </is>
      </c>
      <c r="G536" t="n">
        <v>4.4</v>
      </c>
      <c r="H536" t="n">
        <v>0</v>
      </c>
      <c r="I536" t="n">
        <v>0</v>
      </c>
      <c r="J536" t="n">
        <v>0</v>
      </c>
      <c r="K536" t="n">
        <v>0</v>
      </c>
      <c r="L536" t="n">
        <v>0</v>
      </c>
      <c r="M536" t="n">
        <v>0</v>
      </c>
      <c r="N536" t="n">
        <v>0</v>
      </c>
      <c r="O536" t="n">
        <v>0</v>
      </c>
      <c r="P536" t="n">
        <v>0</v>
      </c>
      <c r="Q536" t="n">
        <v>0</v>
      </c>
      <c r="R536" s="2" t="inlineStr"/>
    </row>
    <row r="537" ht="15" customHeight="1">
      <c r="A537" t="inlineStr">
        <is>
          <t>A 11712-2025</t>
        </is>
      </c>
      <c r="B537" s="1" t="n">
        <v>45727</v>
      </c>
      <c r="C537" s="1" t="n">
        <v>46081</v>
      </c>
      <c r="D537" t="inlineStr">
        <is>
          <t>DALARNAS LÄN</t>
        </is>
      </c>
      <c r="E537" t="inlineStr">
        <is>
          <t>LEKSAND</t>
        </is>
      </c>
      <c r="G537" t="n">
        <v>6</v>
      </c>
      <c r="H537" t="n">
        <v>0</v>
      </c>
      <c r="I537" t="n">
        <v>0</v>
      </c>
      <c r="J537" t="n">
        <v>0</v>
      </c>
      <c r="K537" t="n">
        <v>0</v>
      </c>
      <c r="L537" t="n">
        <v>0</v>
      </c>
      <c r="M537" t="n">
        <v>0</v>
      </c>
      <c r="N537" t="n">
        <v>0</v>
      </c>
      <c r="O537" t="n">
        <v>0</v>
      </c>
      <c r="P537" t="n">
        <v>0</v>
      </c>
      <c r="Q537" t="n">
        <v>0</v>
      </c>
      <c r="R537" s="2" t="inlineStr"/>
    </row>
    <row r="538" ht="15" customHeight="1">
      <c r="A538" t="inlineStr">
        <is>
          <t>A 3525-2026</t>
        </is>
      </c>
      <c r="B538" s="1" t="n">
        <v>46042.60645833334</v>
      </c>
      <c r="C538" s="1" t="n">
        <v>46081</v>
      </c>
      <c r="D538" t="inlineStr">
        <is>
          <t>DALARNAS LÄN</t>
        </is>
      </c>
      <c r="E538" t="inlineStr">
        <is>
          <t>LEKSAND</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3144-2026</t>
        </is>
      </c>
      <c r="B539" s="1" t="n">
        <v>46041.40858796296</v>
      </c>
      <c r="C539" s="1" t="n">
        <v>46081</v>
      </c>
      <c r="D539" t="inlineStr">
        <is>
          <t>DALARNAS LÄN</t>
        </is>
      </c>
      <c r="E539" t="inlineStr">
        <is>
          <t>LEKSAND</t>
        </is>
      </c>
      <c r="G539" t="n">
        <v>4.8</v>
      </c>
      <c r="H539" t="n">
        <v>0</v>
      </c>
      <c r="I539" t="n">
        <v>0</v>
      </c>
      <c r="J539" t="n">
        <v>0</v>
      </c>
      <c r="K539" t="n">
        <v>0</v>
      </c>
      <c r="L539" t="n">
        <v>0</v>
      </c>
      <c r="M539" t="n">
        <v>0</v>
      </c>
      <c r="N539" t="n">
        <v>0</v>
      </c>
      <c r="O539" t="n">
        <v>0</v>
      </c>
      <c r="P539" t="n">
        <v>0</v>
      </c>
      <c r="Q539" t="n">
        <v>0</v>
      </c>
      <c r="R539" s="2" t="inlineStr"/>
    </row>
    <row r="540" ht="15" customHeight="1">
      <c r="A540" t="inlineStr">
        <is>
          <t>A 24003-2024</t>
        </is>
      </c>
      <c r="B540" s="1" t="n">
        <v>45456.39003472222</v>
      </c>
      <c r="C540" s="1" t="n">
        <v>46081</v>
      </c>
      <c r="D540" t="inlineStr">
        <is>
          <t>DALARNAS LÄN</t>
        </is>
      </c>
      <c r="E540" t="inlineStr">
        <is>
          <t>LEKSAND</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40642-2023</t>
        </is>
      </c>
      <c r="B541" s="1" t="n">
        <v>45169</v>
      </c>
      <c r="C541" s="1" t="n">
        <v>46081</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47854-2023</t>
        </is>
      </c>
      <c r="B542" s="1" t="n">
        <v>45198</v>
      </c>
      <c r="C542" s="1" t="n">
        <v>46081</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3244-2026</t>
        </is>
      </c>
      <c r="B543" s="1" t="n">
        <v>46041.5733912037</v>
      </c>
      <c r="C543" s="1" t="n">
        <v>46081</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39136-2023</t>
        </is>
      </c>
      <c r="B544" s="1" t="n">
        <v>45165</v>
      </c>
      <c r="C544" s="1" t="n">
        <v>46081</v>
      </c>
      <c r="D544" t="inlineStr">
        <is>
          <t>DALARNAS LÄN</t>
        </is>
      </c>
      <c r="E544" t="inlineStr">
        <is>
          <t>LEKSAND</t>
        </is>
      </c>
      <c r="G544" t="n">
        <v>0.3</v>
      </c>
      <c r="H544" t="n">
        <v>0</v>
      </c>
      <c r="I544" t="n">
        <v>0</v>
      </c>
      <c r="J544" t="n">
        <v>0</v>
      </c>
      <c r="K544" t="n">
        <v>0</v>
      </c>
      <c r="L544" t="n">
        <v>0</v>
      </c>
      <c r="M544" t="n">
        <v>0</v>
      </c>
      <c r="N544" t="n">
        <v>0</v>
      </c>
      <c r="O544" t="n">
        <v>0</v>
      </c>
      <c r="P544" t="n">
        <v>0</v>
      </c>
      <c r="Q544" t="n">
        <v>0</v>
      </c>
      <c r="R544" s="2" t="inlineStr"/>
    </row>
    <row r="545" ht="15" customHeight="1">
      <c r="A545" t="inlineStr">
        <is>
          <t>A 3240-2026</t>
        </is>
      </c>
      <c r="B545" s="1" t="n">
        <v>46041.56834490741</v>
      </c>
      <c r="C545" s="1" t="n">
        <v>46081</v>
      </c>
      <c r="D545" t="inlineStr">
        <is>
          <t>DALARNAS LÄN</t>
        </is>
      </c>
      <c r="E545" t="inlineStr">
        <is>
          <t>LEKSAND</t>
        </is>
      </c>
      <c r="G545" t="n">
        <v>6.1</v>
      </c>
      <c r="H545" t="n">
        <v>0</v>
      </c>
      <c r="I545" t="n">
        <v>0</v>
      </c>
      <c r="J545" t="n">
        <v>0</v>
      </c>
      <c r="K545" t="n">
        <v>0</v>
      </c>
      <c r="L545" t="n">
        <v>0</v>
      </c>
      <c r="M545" t="n">
        <v>0</v>
      </c>
      <c r="N545" t="n">
        <v>0</v>
      </c>
      <c r="O545" t="n">
        <v>0</v>
      </c>
      <c r="P545" t="n">
        <v>0</v>
      </c>
      <c r="Q545" t="n">
        <v>0</v>
      </c>
      <c r="R545" s="2" t="inlineStr"/>
    </row>
    <row r="546" ht="15" customHeight="1">
      <c r="A546" t="inlineStr">
        <is>
          <t>A 44469-2024</t>
        </is>
      </c>
      <c r="B546" s="1" t="n">
        <v>45574</v>
      </c>
      <c r="C546" s="1" t="n">
        <v>46081</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52293-2024</t>
        </is>
      </c>
      <c r="B547" s="1" t="n">
        <v>45608.71297453704</v>
      </c>
      <c r="C547" s="1" t="n">
        <v>46081</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46876-2023</t>
        </is>
      </c>
      <c r="B548" s="1" t="n">
        <v>45200</v>
      </c>
      <c r="C548" s="1" t="n">
        <v>46081</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3978-2026</t>
        </is>
      </c>
      <c r="B549" s="1" t="n">
        <v>46044.36024305555</v>
      </c>
      <c r="C549" s="1" t="n">
        <v>46081</v>
      </c>
      <c r="D549" t="inlineStr">
        <is>
          <t>DALARNAS LÄN</t>
        </is>
      </c>
      <c r="E549" t="inlineStr">
        <is>
          <t>LEKSAND</t>
        </is>
      </c>
      <c r="G549" t="n">
        <v>1.2</v>
      </c>
      <c r="H549" t="n">
        <v>0</v>
      </c>
      <c r="I549" t="n">
        <v>0</v>
      </c>
      <c r="J549" t="n">
        <v>0</v>
      </c>
      <c r="K549" t="n">
        <v>0</v>
      </c>
      <c r="L549" t="n">
        <v>0</v>
      </c>
      <c r="M549" t="n">
        <v>0</v>
      </c>
      <c r="N549" t="n">
        <v>0</v>
      </c>
      <c r="O549" t="n">
        <v>0</v>
      </c>
      <c r="P549" t="n">
        <v>0</v>
      </c>
      <c r="Q549" t="n">
        <v>0</v>
      </c>
      <c r="R549" s="2" t="inlineStr"/>
    </row>
    <row r="550" ht="15" customHeight="1">
      <c r="A550" t="inlineStr">
        <is>
          <t>A 9857-2025</t>
        </is>
      </c>
      <c r="B550" s="1" t="n">
        <v>45716.62609953704</v>
      </c>
      <c r="C550" s="1" t="n">
        <v>46081</v>
      </c>
      <c r="D550" t="inlineStr">
        <is>
          <t>DALARNAS LÄN</t>
        </is>
      </c>
      <c r="E550" t="inlineStr">
        <is>
          <t>LEKSAND</t>
        </is>
      </c>
      <c r="G550" t="n">
        <v>1.7</v>
      </c>
      <c r="H550" t="n">
        <v>0</v>
      </c>
      <c r="I550" t="n">
        <v>0</v>
      </c>
      <c r="J550" t="n">
        <v>0</v>
      </c>
      <c r="K550" t="n">
        <v>0</v>
      </c>
      <c r="L550" t="n">
        <v>0</v>
      </c>
      <c r="M550" t="n">
        <v>0</v>
      </c>
      <c r="N550" t="n">
        <v>0</v>
      </c>
      <c r="O550" t="n">
        <v>0</v>
      </c>
      <c r="P550" t="n">
        <v>0</v>
      </c>
      <c r="Q550" t="n">
        <v>0</v>
      </c>
      <c r="R550" s="2" t="inlineStr"/>
    </row>
    <row r="551" ht="15" customHeight="1">
      <c r="A551" t="inlineStr">
        <is>
          <t>A 61491-2025</t>
        </is>
      </c>
      <c r="B551" s="1" t="n">
        <v>46001.63854166667</v>
      </c>
      <c r="C551" s="1" t="n">
        <v>46081</v>
      </c>
      <c r="D551" t="inlineStr">
        <is>
          <t>DALARNAS LÄN</t>
        </is>
      </c>
      <c r="E551" t="inlineStr">
        <is>
          <t>LEKSAND</t>
        </is>
      </c>
      <c r="G551" t="n">
        <v>1.8</v>
      </c>
      <c r="H551" t="n">
        <v>0</v>
      </c>
      <c r="I551" t="n">
        <v>0</v>
      </c>
      <c r="J551" t="n">
        <v>0</v>
      </c>
      <c r="K551" t="n">
        <v>0</v>
      </c>
      <c r="L551" t="n">
        <v>0</v>
      </c>
      <c r="M551" t="n">
        <v>0</v>
      </c>
      <c r="N551" t="n">
        <v>0</v>
      </c>
      <c r="O551" t="n">
        <v>0</v>
      </c>
      <c r="P551" t="n">
        <v>0</v>
      </c>
      <c r="Q551" t="n">
        <v>0</v>
      </c>
      <c r="R551" s="2" t="inlineStr"/>
    </row>
    <row r="552" ht="15" customHeight="1">
      <c r="A552" t="inlineStr">
        <is>
          <t>A 3968-2026</t>
        </is>
      </c>
      <c r="B552" s="1" t="n">
        <v>46044.35184027778</v>
      </c>
      <c r="C552" s="1" t="n">
        <v>46081</v>
      </c>
      <c r="D552" t="inlineStr">
        <is>
          <t>DALARNAS LÄN</t>
        </is>
      </c>
      <c r="E552" t="inlineStr">
        <is>
          <t>LEKSAND</t>
        </is>
      </c>
      <c r="G552" t="n">
        <v>2.3</v>
      </c>
      <c r="H552" t="n">
        <v>0</v>
      </c>
      <c r="I552" t="n">
        <v>0</v>
      </c>
      <c r="J552" t="n">
        <v>0</v>
      </c>
      <c r="K552" t="n">
        <v>0</v>
      </c>
      <c r="L552" t="n">
        <v>0</v>
      </c>
      <c r="M552" t="n">
        <v>0</v>
      </c>
      <c r="N552" t="n">
        <v>0</v>
      </c>
      <c r="O552" t="n">
        <v>0</v>
      </c>
      <c r="P552" t="n">
        <v>0</v>
      </c>
      <c r="Q552" t="n">
        <v>0</v>
      </c>
      <c r="R552" s="2" t="inlineStr"/>
    </row>
    <row r="553" ht="15" customHeight="1">
      <c r="A553" t="inlineStr">
        <is>
          <t>A 40181-2023</t>
        </is>
      </c>
      <c r="B553" s="1" t="n">
        <v>45169</v>
      </c>
      <c r="C553" s="1" t="n">
        <v>46081</v>
      </c>
      <c r="D553" t="inlineStr">
        <is>
          <t>DALARNAS LÄN</t>
        </is>
      </c>
      <c r="E553" t="inlineStr">
        <is>
          <t>LEKSAND</t>
        </is>
      </c>
      <c r="G553" t="n">
        <v>2.8</v>
      </c>
      <c r="H553" t="n">
        <v>0</v>
      </c>
      <c r="I553" t="n">
        <v>0</v>
      </c>
      <c r="J553" t="n">
        <v>0</v>
      </c>
      <c r="K553" t="n">
        <v>0</v>
      </c>
      <c r="L553" t="n">
        <v>0</v>
      </c>
      <c r="M553" t="n">
        <v>0</v>
      </c>
      <c r="N553" t="n">
        <v>0</v>
      </c>
      <c r="O553" t="n">
        <v>0</v>
      </c>
      <c r="P553" t="n">
        <v>0</v>
      </c>
      <c r="Q553" t="n">
        <v>0</v>
      </c>
      <c r="R553" s="2" t="inlineStr"/>
    </row>
    <row r="554" ht="15" customHeight="1">
      <c r="A554" t="inlineStr">
        <is>
          <t>A 61684-2025</t>
        </is>
      </c>
      <c r="B554" s="1" t="n">
        <v>46002.49790509259</v>
      </c>
      <c r="C554" s="1" t="n">
        <v>46081</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3728-2026</t>
        </is>
      </c>
      <c r="B555" s="1" t="n">
        <v>46043.50650462963</v>
      </c>
      <c r="C555" s="1" t="n">
        <v>46081</v>
      </c>
      <c r="D555" t="inlineStr">
        <is>
          <t>DALARNAS LÄN</t>
        </is>
      </c>
      <c r="E555" t="inlineStr">
        <is>
          <t>LEKSAND</t>
        </is>
      </c>
      <c r="G555" t="n">
        <v>7</v>
      </c>
      <c r="H555" t="n">
        <v>0</v>
      </c>
      <c r="I555" t="n">
        <v>0</v>
      </c>
      <c r="J555" t="n">
        <v>0</v>
      </c>
      <c r="K555" t="n">
        <v>0</v>
      </c>
      <c r="L555" t="n">
        <v>0</v>
      </c>
      <c r="M555" t="n">
        <v>0</v>
      </c>
      <c r="N555" t="n">
        <v>0</v>
      </c>
      <c r="O555" t="n">
        <v>0</v>
      </c>
      <c r="P555" t="n">
        <v>0</v>
      </c>
      <c r="Q555" t="n">
        <v>0</v>
      </c>
      <c r="R555" s="2" t="inlineStr"/>
    </row>
    <row r="556" ht="15" customHeight="1">
      <c r="A556" t="inlineStr">
        <is>
          <t>A 4210-2026</t>
        </is>
      </c>
      <c r="B556" s="1" t="n">
        <v>46044.72825231482</v>
      </c>
      <c r="C556" s="1" t="n">
        <v>46081</v>
      </c>
      <c r="D556" t="inlineStr">
        <is>
          <t>DALARNAS LÄN</t>
        </is>
      </c>
      <c r="E556" t="inlineStr">
        <is>
          <t>LEKSAND</t>
        </is>
      </c>
      <c r="G556" t="n">
        <v>4.2</v>
      </c>
      <c r="H556" t="n">
        <v>0</v>
      </c>
      <c r="I556" t="n">
        <v>0</v>
      </c>
      <c r="J556" t="n">
        <v>0</v>
      </c>
      <c r="K556" t="n">
        <v>0</v>
      </c>
      <c r="L556" t="n">
        <v>0</v>
      </c>
      <c r="M556" t="n">
        <v>0</v>
      </c>
      <c r="N556" t="n">
        <v>0</v>
      </c>
      <c r="O556" t="n">
        <v>0</v>
      </c>
      <c r="P556" t="n">
        <v>0</v>
      </c>
      <c r="Q556" t="n">
        <v>0</v>
      </c>
      <c r="R556" s="2" t="inlineStr"/>
    </row>
    <row r="557" ht="15" customHeight="1">
      <c r="A557" t="inlineStr">
        <is>
          <t>A 1267-2025</t>
        </is>
      </c>
      <c r="B557" s="1" t="n">
        <v>45667</v>
      </c>
      <c r="C557" s="1" t="n">
        <v>46081</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3723-2026</t>
        </is>
      </c>
      <c r="B558" s="1" t="n">
        <v>46043.49631944444</v>
      </c>
      <c r="C558" s="1" t="n">
        <v>46081</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3734-2026</t>
        </is>
      </c>
      <c r="B559" s="1" t="n">
        <v>46043.5185300926</v>
      </c>
      <c r="C559" s="1" t="n">
        <v>46081</v>
      </c>
      <c r="D559" t="inlineStr">
        <is>
          <t>DALARNAS LÄN</t>
        </is>
      </c>
      <c r="E559" t="inlineStr">
        <is>
          <t>LEKSAND</t>
        </is>
      </c>
      <c r="G559" t="n">
        <v>7.2</v>
      </c>
      <c r="H559" t="n">
        <v>0</v>
      </c>
      <c r="I559" t="n">
        <v>0</v>
      </c>
      <c r="J559" t="n">
        <v>0</v>
      </c>
      <c r="K559" t="n">
        <v>0</v>
      </c>
      <c r="L559" t="n">
        <v>0</v>
      </c>
      <c r="M559" t="n">
        <v>0</v>
      </c>
      <c r="N559" t="n">
        <v>0</v>
      </c>
      <c r="O559" t="n">
        <v>0</v>
      </c>
      <c r="P559" t="n">
        <v>0</v>
      </c>
      <c r="Q559" t="n">
        <v>0</v>
      </c>
      <c r="R559" s="2" t="inlineStr"/>
    </row>
    <row r="560" ht="15" customHeight="1">
      <c r="A560" t="inlineStr">
        <is>
          <t>A 42230-2023</t>
        </is>
      </c>
      <c r="B560" s="1" t="n">
        <v>45180</v>
      </c>
      <c r="C560" s="1" t="n">
        <v>46081</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3183-2025</t>
        </is>
      </c>
      <c r="B561" s="1" t="n">
        <v>45679.40298611111</v>
      </c>
      <c r="C561" s="1" t="n">
        <v>46081</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59751-2024</t>
        </is>
      </c>
      <c r="B562" s="1" t="n">
        <v>45638</v>
      </c>
      <c r="C562" s="1" t="n">
        <v>46081</v>
      </c>
      <c r="D562" t="inlineStr">
        <is>
          <t>DALARNAS LÄN</t>
        </is>
      </c>
      <c r="E562" t="inlineStr">
        <is>
          <t>LEKSAND</t>
        </is>
      </c>
      <c r="G562" t="n">
        <v>5.2</v>
      </c>
      <c r="H562" t="n">
        <v>0</v>
      </c>
      <c r="I562" t="n">
        <v>0</v>
      </c>
      <c r="J562" t="n">
        <v>0</v>
      </c>
      <c r="K562" t="n">
        <v>0</v>
      </c>
      <c r="L562" t="n">
        <v>0</v>
      </c>
      <c r="M562" t="n">
        <v>0</v>
      </c>
      <c r="N562" t="n">
        <v>0</v>
      </c>
      <c r="O562" t="n">
        <v>0</v>
      </c>
      <c r="P562" t="n">
        <v>0</v>
      </c>
      <c r="Q562" t="n">
        <v>0</v>
      </c>
      <c r="R562" s="2" t="inlineStr"/>
    </row>
    <row r="563" ht="15" customHeight="1">
      <c r="A563" t="inlineStr">
        <is>
          <t>A 54917-2024</t>
        </is>
      </c>
      <c r="B563" s="1" t="n">
        <v>45618.69581018519</v>
      </c>
      <c r="C563" s="1" t="n">
        <v>46081</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19700-2025</t>
        </is>
      </c>
      <c r="B564" s="1" t="n">
        <v>45771.32445601852</v>
      </c>
      <c r="C564" s="1" t="n">
        <v>46081</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3834-2026</t>
        </is>
      </c>
      <c r="B565" s="1" t="n">
        <v>46043.59221064814</v>
      </c>
      <c r="C565" s="1" t="n">
        <v>46081</v>
      </c>
      <c r="D565" t="inlineStr">
        <is>
          <t>DALARNAS LÄN</t>
        </is>
      </c>
      <c r="E565" t="inlineStr">
        <is>
          <t>LEKSAND</t>
        </is>
      </c>
      <c r="G565" t="n">
        <v>14.4</v>
      </c>
      <c r="H565" t="n">
        <v>0</v>
      </c>
      <c r="I565" t="n">
        <v>0</v>
      </c>
      <c r="J565" t="n">
        <v>0</v>
      </c>
      <c r="K565" t="n">
        <v>0</v>
      </c>
      <c r="L565" t="n">
        <v>0</v>
      </c>
      <c r="M565" t="n">
        <v>0</v>
      </c>
      <c r="N565" t="n">
        <v>0</v>
      </c>
      <c r="O565" t="n">
        <v>0</v>
      </c>
      <c r="P565" t="n">
        <v>0</v>
      </c>
      <c r="Q565" t="n">
        <v>0</v>
      </c>
      <c r="R565" s="2" t="inlineStr"/>
    </row>
    <row r="566" ht="15" customHeight="1">
      <c r="A566" t="inlineStr">
        <is>
          <t>A 62301-2025</t>
        </is>
      </c>
      <c r="B566" s="1" t="n">
        <v>46006.65743055556</v>
      </c>
      <c r="C566" s="1" t="n">
        <v>46081</v>
      </c>
      <c r="D566" t="inlineStr">
        <is>
          <t>DALARNAS LÄN</t>
        </is>
      </c>
      <c r="E566" t="inlineStr">
        <is>
          <t>LEKSAND</t>
        </is>
      </c>
      <c r="G566" t="n">
        <v>2.4</v>
      </c>
      <c r="H566" t="n">
        <v>0</v>
      </c>
      <c r="I566" t="n">
        <v>0</v>
      </c>
      <c r="J566" t="n">
        <v>0</v>
      </c>
      <c r="K566" t="n">
        <v>0</v>
      </c>
      <c r="L566" t="n">
        <v>0</v>
      </c>
      <c r="M566" t="n">
        <v>0</v>
      </c>
      <c r="N566" t="n">
        <v>0</v>
      </c>
      <c r="O566" t="n">
        <v>0</v>
      </c>
      <c r="P566" t="n">
        <v>0</v>
      </c>
      <c r="Q566" t="n">
        <v>0</v>
      </c>
      <c r="R566" s="2" t="inlineStr"/>
    </row>
    <row r="567" ht="15" customHeight="1">
      <c r="A567" t="inlineStr">
        <is>
          <t>A 62306-2025</t>
        </is>
      </c>
      <c r="B567" s="1" t="n">
        <v>46006.66878472222</v>
      </c>
      <c r="C567" s="1" t="n">
        <v>46081</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62337-2025</t>
        </is>
      </c>
      <c r="B568" s="1" t="n">
        <v>46006</v>
      </c>
      <c r="C568" s="1" t="n">
        <v>46081</v>
      </c>
      <c r="D568" t="inlineStr">
        <is>
          <t>DALARNAS LÄN</t>
        </is>
      </c>
      <c r="E568" t="inlineStr">
        <is>
          <t>LEKSAND</t>
        </is>
      </c>
      <c r="G568" t="n">
        <v>1.9</v>
      </c>
      <c r="H568" t="n">
        <v>0</v>
      </c>
      <c r="I568" t="n">
        <v>0</v>
      </c>
      <c r="J568" t="n">
        <v>0</v>
      </c>
      <c r="K568" t="n">
        <v>0</v>
      </c>
      <c r="L568" t="n">
        <v>0</v>
      </c>
      <c r="M568" t="n">
        <v>0</v>
      </c>
      <c r="N568" t="n">
        <v>0</v>
      </c>
      <c r="O568" t="n">
        <v>0</v>
      </c>
      <c r="P568" t="n">
        <v>0</v>
      </c>
      <c r="Q568" t="n">
        <v>0</v>
      </c>
      <c r="R568" s="2" t="inlineStr"/>
    </row>
    <row r="569" ht="15" customHeight="1">
      <c r="A569" t="inlineStr">
        <is>
          <t>A 4553-2026</t>
        </is>
      </c>
      <c r="B569" s="1" t="n">
        <v>46047.57818287037</v>
      </c>
      <c r="C569" s="1" t="n">
        <v>46081</v>
      </c>
      <c r="D569" t="inlineStr">
        <is>
          <t>DALARNAS LÄN</t>
        </is>
      </c>
      <c r="E569" t="inlineStr">
        <is>
          <t>LEKSAND</t>
        </is>
      </c>
      <c r="G569" t="n">
        <v>22.9</v>
      </c>
      <c r="H569" t="n">
        <v>0</v>
      </c>
      <c r="I569" t="n">
        <v>0</v>
      </c>
      <c r="J569" t="n">
        <v>0</v>
      </c>
      <c r="K569" t="n">
        <v>0</v>
      </c>
      <c r="L569" t="n">
        <v>0</v>
      </c>
      <c r="M569" t="n">
        <v>0</v>
      </c>
      <c r="N569" t="n">
        <v>0</v>
      </c>
      <c r="O569" t="n">
        <v>0</v>
      </c>
      <c r="P569" t="n">
        <v>0</v>
      </c>
      <c r="Q569" t="n">
        <v>0</v>
      </c>
      <c r="R569" s="2" t="inlineStr"/>
    </row>
    <row r="570" ht="15" customHeight="1">
      <c r="A570" t="inlineStr">
        <is>
          <t>A 8045-2024</t>
        </is>
      </c>
      <c r="B570" s="1" t="n">
        <v>45351.31371527778</v>
      </c>
      <c r="C570" s="1" t="n">
        <v>46081</v>
      </c>
      <c r="D570" t="inlineStr">
        <is>
          <t>DALARNAS LÄN</t>
        </is>
      </c>
      <c r="E570" t="inlineStr">
        <is>
          <t>LEKSAND</t>
        </is>
      </c>
      <c r="G570" t="n">
        <v>6.7</v>
      </c>
      <c r="H570" t="n">
        <v>0</v>
      </c>
      <c r="I570" t="n">
        <v>0</v>
      </c>
      <c r="J570" t="n">
        <v>0</v>
      </c>
      <c r="K570" t="n">
        <v>0</v>
      </c>
      <c r="L570" t="n">
        <v>0</v>
      </c>
      <c r="M570" t="n">
        <v>0</v>
      </c>
      <c r="N570" t="n">
        <v>0</v>
      </c>
      <c r="O570" t="n">
        <v>0</v>
      </c>
      <c r="P570" t="n">
        <v>0</v>
      </c>
      <c r="Q570" t="n">
        <v>0</v>
      </c>
      <c r="R570" s="2" t="inlineStr"/>
    </row>
    <row r="571" ht="15" customHeight="1">
      <c r="A571" t="inlineStr">
        <is>
          <t>A 57013-2023</t>
        </is>
      </c>
      <c r="B571" s="1" t="n">
        <v>45244</v>
      </c>
      <c r="C571" s="1" t="n">
        <v>46081</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62322-2025</t>
        </is>
      </c>
      <c r="B572" s="1" t="n">
        <v>46006</v>
      </c>
      <c r="C572" s="1" t="n">
        <v>46081</v>
      </c>
      <c r="D572" t="inlineStr">
        <is>
          <t>DALARNAS LÄN</t>
        </is>
      </c>
      <c r="E572" t="inlineStr">
        <is>
          <t>LEKSAND</t>
        </is>
      </c>
      <c r="G572" t="n">
        <v>1.7</v>
      </c>
      <c r="H572" t="n">
        <v>0</v>
      </c>
      <c r="I572" t="n">
        <v>0</v>
      </c>
      <c r="J572" t="n">
        <v>0</v>
      </c>
      <c r="K572" t="n">
        <v>0</v>
      </c>
      <c r="L572" t="n">
        <v>0</v>
      </c>
      <c r="M572" t="n">
        <v>0</v>
      </c>
      <c r="N572" t="n">
        <v>0</v>
      </c>
      <c r="O572" t="n">
        <v>0</v>
      </c>
      <c r="P572" t="n">
        <v>0</v>
      </c>
      <c r="Q572" t="n">
        <v>0</v>
      </c>
      <c r="R572" s="2" t="inlineStr"/>
    </row>
    <row r="573" ht="15" customHeight="1">
      <c r="A573" t="inlineStr">
        <is>
          <t>A 4667-2026</t>
        </is>
      </c>
      <c r="B573" s="1" t="n">
        <v>46048.41368055555</v>
      </c>
      <c r="C573" s="1" t="n">
        <v>46081</v>
      </c>
      <c r="D573" t="inlineStr">
        <is>
          <t>DALARNAS LÄN</t>
        </is>
      </c>
      <c r="E573" t="inlineStr">
        <is>
          <t>LEKSAND</t>
        </is>
      </c>
      <c r="F573" t="inlineStr">
        <is>
          <t>Kommuner</t>
        </is>
      </c>
      <c r="G573" t="n">
        <v>1.6</v>
      </c>
      <c r="H573" t="n">
        <v>0</v>
      </c>
      <c r="I573" t="n">
        <v>0</v>
      </c>
      <c r="J573" t="n">
        <v>0</v>
      </c>
      <c r="K573" t="n">
        <v>0</v>
      </c>
      <c r="L573" t="n">
        <v>0</v>
      </c>
      <c r="M573" t="n">
        <v>0</v>
      </c>
      <c r="N573" t="n">
        <v>0</v>
      </c>
      <c r="O573" t="n">
        <v>0</v>
      </c>
      <c r="P573" t="n">
        <v>0</v>
      </c>
      <c r="Q573" t="n">
        <v>0</v>
      </c>
      <c r="R573" s="2" t="inlineStr"/>
    </row>
    <row r="574" ht="15" customHeight="1">
      <c r="A574" t="inlineStr">
        <is>
          <t>A 37832-2023</t>
        </is>
      </c>
      <c r="B574" s="1" t="n">
        <v>45160.3479050926</v>
      </c>
      <c r="C574" s="1" t="n">
        <v>46081</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4338-2026</t>
        </is>
      </c>
      <c r="B575" s="1" t="n">
        <v>46045.5033912037</v>
      </c>
      <c r="C575" s="1" t="n">
        <v>46081</v>
      </c>
      <c r="D575" t="inlineStr">
        <is>
          <t>DALARNAS LÄN</t>
        </is>
      </c>
      <c r="E575" t="inlineStr">
        <is>
          <t>LEKSAND</t>
        </is>
      </c>
      <c r="G575" t="n">
        <v>6.9</v>
      </c>
      <c r="H575" t="n">
        <v>0</v>
      </c>
      <c r="I575" t="n">
        <v>0</v>
      </c>
      <c r="J575" t="n">
        <v>0</v>
      </c>
      <c r="K575" t="n">
        <v>0</v>
      </c>
      <c r="L575" t="n">
        <v>0</v>
      </c>
      <c r="M575" t="n">
        <v>0</v>
      </c>
      <c r="N575" t="n">
        <v>0</v>
      </c>
      <c r="O575" t="n">
        <v>0</v>
      </c>
      <c r="P575" t="n">
        <v>0</v>
      </c>
      <c r="Q575" t="n">
        <v>0</v>
      </c>
      <c r="R575" s="2" t="inlineStr"/>
    </row>
    <row r="576" ht="15" customHeight="1">
      <c r="A576" t="inlineStr">
        <is>
          <t>A 4476-2026</t>
        </is>
      </c>
      <c r="B576" s="1" t="n">
        <v>46045.66344907408</v>
      </c>
      <c r="C576" s="1" t="n">
        <v>46081</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18040-2024</t>
        </is>
      </c>
      <c r="B577" s="1" t="n">
        <v>45420.36664351852</v>
      </c>
      <c r="C577" s="1" t="n">
        <v>46081</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6778-2025</t>
        </is>
      </c>
      <c r="B578" s="1" t="n">
        <v>45700.64615740741</v>
      </c>
      <c r="C578" s="1" t="n">
        <v>46081</v>
      </c>
      <c r="D578" t="inlineStr">
        <is>
          <t>DALARNAS LÄN</t>
        </is>
      </c>
      <c r="E578" t="inlineStr">
        <is>
          <t>LEKSAND</t>
        </is>
      </c>
      <c r="G578" t="n">
        <v>2.4</v>
      </c>
      <c r="H578" t="n">
        <v>0</v>
      </c>
      <c r="I578" t="n">
        <v>0</v>
      </c>
      <c r="J578" t="n">
        <v>0</v>
      </c>
      <c r="K578" t="n">
        <v>0</v>
      </c>
      <c r="L578" t="n">
        <v>0</v>
      </c>
      <c r="M578" t="n">
        <v>0</v>
      </c>
      <c r="N578" t="n">
        <v>0</v>
      </c>
      <c r="O578" t="n">
        <v>0</v>
      </c>
      <c r="P578" t="n">
        <v>0</v>
      </c>
      <c r="Q578" t="n">
        <v>0</v>
      </c>
      <c r="R578" s="2" t="inlineStr"/>
    </row>
    <row r="579" ht="15" customHeight="1">
      <c r="A579" t="inlineStr">
        <is>
          <t>A 59271-2025</t>
        </is>
      </c>
      <c r="B579" s="1" t="n">
        <v>45988.68571759259</v>
      </c>
      <c r="C579" s="1" t="n">
        <v>46081</v>
      </c>
      <c r="D579" t="inlineStr">
        <is>
          <t>DALARNAS LÄN</t>
        </is>
      </c>
      <c r="E579" t="inlineStr">
        <is>
          <t>LEKSAND</t>
        </is>
      </c>
      <c r="G579" t="n">
        <v>2.2</v>
      </c>
      <c r="H579" t="n">
        <v>0</v>
      </c>
      <c r="I579" t="n">
        <v>0</v>
      </c>
      <c r="J579" t="n">
        <v>0</v>
      </c>
      <c r="K579" t="n">
        <v>0</v>
      </c>
      <c r="L579" t="n">
        <v>0</v>
      </c>
      <c r="M579" t="n">
        <v>0</v>
      </c>
      <c r="N579" t="n">
        <v>0</v>
      </c>
      <c r="O579" t="n">
        <v>0</v>
      </c>
      <c r="P579" t="n">
        <v>0</v>
      </c>
      <c r="Q579" t="n">
        <v>0</v>
      </c>
      <c r="R579" s="2" t="inlineStr"/>
    </row>
    <row r="580" ht="15" customHeight="1">
      <c r="A580" t="inlineStr">
        <is>
          <t>A 62549-2025</t>
        </is>
      </c>
      <c r="B580" s="1" t="n">
        <v>46007.66886574074</v>
      </c>
      <c r="C580" s="1" t="n">
        <v>46081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62556-2025</t>
        </is>
      </c>
      <c r="B581" s="1" t="n">
        <v>46007.68230324074</v>
      </c>
      <c r="C581" s="1" t="n">
        <v>46081</v>
      </c>
      <c r="D581" t="inlineStr">
        <is>
          <t>DALARNAS LÄN</t>
        </is>
      </c>
      <c r="E581" t="inlineStr">
        <is>
          <t>LEKSAND</t>
        </is>
      </c>
      <c r="G581" t="n">
        <v>0.7</v>
      </c>
      <c r="H581" t="n">
        <v>0</v>
      </c>
      <c r="I581" t="n">
        <v>0</v>
      </c>
      <c r="J581" t="n">
        <v>0</v>
      </c>
      <c r="K581" t="n">
        <v>0</v>
      </c>
      <c r="L581" t="n">
        <v>0</v>
      </c>
      <c r="M581" t="n">
        <v>0</v>
      </c>
      <c r="N581" t="n">
        <v>0</v>
      </c>
      <c r="O581" t="n">
        <v>0</v>
      </c>
      <c r="P581" t="n">
        <v>0</v>
      </c>
      <c r="Q581" t="n">
        <v>0</v>
      </c>
      <c r="R581" s="2" t="inlineStr"/>
    </row>
    <row r="582" ht="15" customHeight="1">
      <c r="A582" t="inlineStr">
        <is>
          <t>A 62560-2025</t>
        </is>
      </c>
      <c r="B582" s="1" t="n">
        <v>46007.68733796296</v>
      </c>
      <c r="C582" s="1" t="n">
        <v>46081</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43419-2024</t>
        </is>
      </c>
      <c r="B583" s="1" t="n">
        <v>45568</v>
      </c>
      <c r="C583" s="1" t="n">
        <v>46081</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62557-2025</t>
        </is>
      </c>
      <c r="B584" s="1" t="n">
        <v>46007.68412037037</v>
      </c>
      <c r="C584" s="1" t="n">
        <v>46081</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39595-2023</t>
        </is>
      </c>
      <c r="B585" s="1" t="n">
        <v>45167</v>
      </c>
      <c r="C585" s="1" t="n">
        <v>46081</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5022-2026</t>
        </is>
      </c>
      <c r="B586" s="1" t="n">
        <v>46049.44449074074</v>
      </c>
      <c r="C586" s="1" t="n">
        <v>46081</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62574-2025</t>
        </is>
      </c>
      <c r="B587" s="1" t="n">
        <v>46007.73261574074</v>
      </c>
      <c r="C587" s="1" t="n">
        <v>46081</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4982-2026</t>
        </is>
      </c>
      <c r="B588" s="1" t="n">
        <v>46049.37361111111</v>
      </c>
      <c r="C588" s="1" t="n">
        <v>46081</v>
      </c>
      <c r="D588" t="inlineStr">
        <is>
          <t>DALARNAS LÄN</t>
        </is>
      </c>
      <c r="E588" t="inlineStr">
        <is>
          <t>LEKSAND</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24481-2024</t>
        </is>
      </c>
      <c r="B589" s="1" t="n">
        <v>45459.36460648148</v>
      </c>
      <c r="C589" s="1" t="n">
        <v>46081</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17606-2024</t>
        </is>
      </c>
      <c r="B590" s="1" t="n">
        <v>45415</v>
      </c>
      <c r="C590" s="1" t="n">
        <v>46081</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62525-2025</t>
        </is>
      </c>
      <c r="B591" s="1" t="n">
        <v>46007.63509259259</v>
      </c>
      <c r="C591" s="1" t="n">
        <v>46081</v>
      </c>
      <c r="D591" t="inlineStr">
        <is>
          <t>DALARNAS LÄN</t>
        </is>
      </c>
      <c r="E591" t="inlineStr">
        <is>
          <t>LEKSAND</t>
        </is>
      </c>
      <c r="G591" t="n">
        <v>5.7</v>
      </c>
      <c r="H591" t="n">
        <v>0</v>
      </c>
      <c r="I591" t="n">
        <v>0</v>
      </c>
      <c r="J591" t="n">
        <v>0</v>
      </c>
      <c r="K591" t="n">
        <v>0</v>
      </c>
      <c r="L591" t="n">
        <v>0</v>
      </c>
      <c r="M591" t="n">
        <v>0</v>
      </c>
      <c r="N591" t="n">
        <v>0</v>
      </c>
      <c r="O591" t="n">
        <v>0</v>
      </c>
      <c r="P591" t="n">
        <v>0</v>
      </c>
      <c r="Q591" t="n">
        <v>0</v>
      </c>
      <c r="R591" s="2" t="inlineStr"/>
    </row>
    <row r="592" ht="15" customHeight="1">
      <c r="A592" t="inlineStr">
        <is>
          <t>A 5040-2026</t>
        </is>
      </c>
      <c r="B592" s="1" t="n">
        <v>46049.46439814815</v>
      </c>
      <c r="C592" s="1" t="n">
        <v>46081</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5120-2026</t>
        </is>
      </c>
      <c r="B593" s="1" t="n">
        <v>46049.57993055556</v>
      </c>
      <c r="C593" s="1" t="n">
        <v>46081</v>
      </c>
      <c r="D593" t="inlineStr">
        <is>
          <t>DALARNAS LÄN</t>
        </is>
      </c>
      <c r="E593" t="inlineStr">
        <is>
          <t>LEKSAND</t>
        </is>
      </c>
      <c r="G593" t="n">
        <v>4.1</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46081</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5541-2026</t>
        </is>
      </c>
      <c r="B595" s="1" t="n">
        <v>46050.67326388889</v>
      </c>
      <c r="C595" s="1" t="n">
        <v>46081</v>
      </c>
      <c r="D595" t="inlineStr">
        <is>
          <t>DALARNAS LÄN</t>
        </is>
      </c>
      <c r="E595" t="inlineStr">
        <is>
          <t>LEKSAND</t>
        </is>
      </c>
      <c r="G595" t="n">
        <v>2</v>
      </c>
      <c r="H595" t="n">
        <v>0</v>
      </c>
      <c r="I595" t="n">
        <v>0</v>
      </c>
      <c r="J595" t="n">
        <v>0</v>
      </c>
      <c r="K595" t="n">
        <v>0</v>
      </c>
      <c r="L595" t="n">
        <v>0</v>
      </c>
      <c r="M595" t="n">
        <v>0</v>
      </c>
      <c r="N595" t="n">
        <v>0</v>
      </c>
      <c r="O595" t="n">
        <v>0</v>
      </c>
      <c r="P595" t="n">
        <v>0</v>
      </c>
      <c r="Q595" t="n">
        <v>0</v>
      </c>
      <c r="R595" s="2" t="inlineStr"/>
    </row>
    <row r="596" ht="15" customHeight="1">
      <c r="A596" t="inlineStr">
        <is>
          <t>A 61054-2023</t>
        </is>
      </c>
      <c r="B596" s="1" t="n">
        <v>45261</v>
      </c>
      <c r="C596" s="1" t="n">
        <v>46081</v>
      </c>
      <c r="D596" t="inlineStr">
        <is>
          <t>DALARNAS LÄN</t>
        </is>
      </c>
      <c r="E596" t="inlineStr">
        <is>
          <t>LEKSAND</t>
        </is>
      </c>
      <c r="G596" t="n">
        <v>0.4</v>
      </c>
      <c r="H596" t="n">
        <v>0</v>
      </c>
      <c r="I596" t="n">
        <v>0</v>
      </c>
      <c r="J596" t="n">
        <v>0</v>
      </c>
      <c r="K596" t="n">
        <v>0</v>
      </c>
      <c r="L596" t="n">
        <v>0</v>
      </c>
      <c r="M596" t="n">
        <v>0</v>
      </c>
      <c r="N596" t="n">
        <v>0</v>
      </c>
      <c r="O596" t="n">
        <v>0</v>
      </c>
      <c r="P596" t="n">
        <v>0</v>
      </c>
      <c r="Q596" t="n">
        <v>0</v>
      </c>
      <c r="R596" s="2" t="inlineStr"/>
    </row>
    <row r="597" ht="15" customHeight="1">
      <c r="A597" t="inlineStr">
        <is>
          <t>A 61056-2023</t>
        </is>
      </c>
      <c r="B597" s="1" t="n">
        <v>45261</v>
      </c>
      <c r="C597" s="1" t="n">
        <v>46081</v>
      </c>
      <c r="D597" t="inlineStr">
        <is>
          <t>DALARNAS LÄN</t>
        </is>
      </c>
      <c r="E597" t="inlineStr">
        <is>
          <t>LEKSAND</t>
        </is>
      </c>
      <c r="G597" t="n">
        <v>0.3</v>
      </c>
      <c r="H597" t="n">
        <v>0</v>
      </c>
      <c r="I597" t="n">
        <v>0</v>
      </c>
      <c r="J597" t="n">
        <v>0</v>
      </c>
      <c r="K597" t="n">
        <v>0</v>
      </c>
      <c r="L597" t="n">
        <v>0</v>
      </c>
      <c r="M597" t="n">
        <v>0</v>
      </c>
      <c r="N597" t="n">
        <v>0</v>
      </c>
      <c r="O597" t="n">
        <v>0</v>
      </c>
      <c r="P597" t="n">
        <v>0</v>
      </c>
      <c r="Q597" t="n">
        <v>0</v>
      </c>
      <c r="R597" s="2" t="inlineStr"/>
    </row>
    <row r="598" ht="15" customHeight="1">
      <c r="A598" t="inlineStr">
        <is>
          <t>A 62863-2025</t>
        </is>
      </c>
      <c r="B598" s="1" t="n">
        <v>46008.78130787037</v>
      </c>
      <c r="C598" s="1" t="n">
        <v>46081</v>
      </c>
      <c r="D598" t="inlineStr">
        <is>
          <t>DALARNAS LÄN</t>
        </is>
      </c>
      <c r="E598" t="inlineStr">
        <is>
          <t>LEKSAND</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46081</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5989-2026</t>
        </is>
      </c>
      <c r="B600" s="1" t="n">
        <v>46052.56319444445</v>
      </c>
      <c r="C600" s="1" t="n">
        <v>46081</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58877-2023</t>
        </is>
      </c>
      <c r="B601" s="1" t="n">
        <v>45252</v>
      </c>
      <c r="C601" s="1" t="n">
        <v>46081</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46081</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6038-2026</t>
        </is>
      </c>
      <c r="B603" s="1" t="n">
        <v>46052.62013888889</v>
      </c>
      <c r="C603" s="1" t="n">
        <v>46081</v>
      </c>
      <c r="D603" t="inlineStr">
        <is>
          <t>DALARNAS LÄN</t>
        </is>
      </c>
      <c r="E603" t="inlineStr">
        <is>
          <t>LEKSAND</t>
        </is>
      </c>
      <c r="G603" t="n">
        <v>5.1</v>
      </c>
      <c r="H603" t="n">
        <v>0</v>
      </c>
      <c r="I603" t="n">
        <v>0</v>
      </c>
      <c r="J603" t="n">
        <v>0</v>
      </c>
      <c r="K603" t="n">
        <v>0</v>
      </c>
      <c r="L603" t="n">
        <v>0</v>
      </c>
      <c r="M603" t="n">
        <v>0</v>
      </c>
      <c r="N603" t="n">
        <v>0</v>
      </c>
      <c r="O603" t="n">
        <v>0</v>
      </c>
      <c r="P603" t="n">
        <v>0</v>
      </c>
      <c r="Q603" t="n">
        <v>0</v>
      </c>
      <c r="R603" s="2" t="inlineStr"/>
    </row>
    <row r="604" ht="15" customHeight="1">
      <c r="A604" t="inlineStr">
        <is>
          <t>A 60040-2023</t>
        </is>
      </c>
      <c r="B604" s="1" t="n">
        <v>45256</v>
      </c>
      <c r="C604" s="1" t="n">
        <v>46081</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46081</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46081</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63260-2025</t>
        </is>
      </c>
      <c r="B607" s="1" t="n">
        <v>46010.55725694444</v>
      </c>
      <c r="C607" s="1" t="n">
        <v>46081</v>
      </c>
      <c r="D607" t="inlineStr">
        <is>
          <t>DALARNAS LÄN</t>
        </is>
      </c>
      <c r="E607" t="inlineStr">
        <is>
          <t>LEKSAND</t>
        </is>
      </c>
      <c r="G607" t="n">
        <v>11.7</v>
      </c>
      <c r="H607" t="n">
        <v>0</v>
      </c>
      <c r="I607" t="n">
        <v>0</v>
      </c>
      <c r="J607" t="n">
        <v>0</v>
      </c>
      <c r="K607" t="n">
        <v>0</v>
      </c>
      <c r="L607" t="n">
        <v>0</v>
      </c>
      <c r="M607" t="n">
        <v>0</v>
      </c>
      <c r="N607" t="n">
        <v>0</v>
      </c>
      <c r="O607" t="n">
        <v>0</v>
      </c>
      <c r="P607" t="n">
        <v>0</v>
      </c>
      <c r="Q607" t="n">
        <v>0</v>
      </c>
      <c r="R607" s="2" t="inlineStr"/>
    </row>
    <row r="608" ht="15" customHeight="1">
      <c r="A608" t="inlineStr">
        <is>
          <t>A 5933-2026</t>
        </is>
      </c>
      <c r="B608" s="1" t="n">
        <v>46052.47052083333</v>
      </c>
      <c r="C608" s="1" t="n">
        <v>46081</v>
      </c>
      <c r="D608" t="inlineStr">
        <is>
          <t>DALARNAS LÄN</t>
        </is>
      </c>
      <c r="E608" t="inlineStr">
        <is>
          <t>LEKSAND</t>
        </is>
      </c>
      <c r="F608" t="inlineStr">
        <is>
          <t>Bergvik skog väst AB</t>
        </is>
      </c>
      <c r="G608" t="n">
        <v>14.4</v>
      </c>
      <c r="H608" t="n">
        <v>0</v>
      </c>
      <c r="I608" t="n">
        <v>0</v>
      </c>
      <c r="J608" t="n">
        <v>0</v>
      </c>
      <c r="K608" t="n">
        <v>0</v>
      </c>
      <c r="L608" t="n">
        <v>0</v>
      </c>
      <c r="M608" t="n">
        <v>0</v>
      </c>
      <c r="N608" t="n">
        <v>0</v>
      </c>
      <c r="O608" t="n">
        <v>0</v>
      </c>
      <c r="P608" t="n">
        <v>0</v>
      </c>
      <c r="Q608" t="n">
        <v>0</v>
      </c>
      <c r="R608" s="2" t="inlineStr"/>
    </row>
    <row r="609" ht="15" customHeight="1">
      <c r="A609" t="inlineStr">
        <is>
          <t>A 63360-2025</t>
        </is>
      </c>
      <c r="B609" s="1" t="n">
        <v>46010.67482638889</v>
      </c>
      <c r="C609" s="1" t="n">
        <v>46081</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6212-2026</t>
        </is>
      </c>
      <c r="B610" s="1" t="n">
        <v>46055.42487268519</v>
      </c>
      <c r="C610" s="1" t="n">
        <v>46081</v>
      </c>
      <c r="D610" t="inlineStr">
        <is>
          <t>DALARNAS LÄN</t>
        </is>
      </c>
      <c r="E610" t="inlineStr">
        <is>
          <t>LEKSAND</t>
        </is>
      </c>
      <c r="G610" t="n">
        <v>3</v>
      </c>
      <c r="H610" t="n">
        <v>0</v>
      </c>
      <c r="I610" t="n">
        <v>0</v>
      </c>
      <c r="J610" t="n">
        <v>0</v>
      </c>
      <c r="K610" t="n">
        <v>0</v>
      </c>
      <c r="L610" t="n">
        <v>0</v>
      </c>
      <c r="M610" t="n">
        <v>0</v>
      </c>
      <c r="N610" t="n">
        <v>0</v>
      </c>
      <c r="O610" t="n">
        <v>0</v>
      </c>
      <c r="P610" t="n">
        <v>0</v>
      </c>
      <c r="Q610" t="n">
        <v>0</v>
      </c>
      <c r="R610" s="2" t="inlineStr"/>
    </row>
    <row r="611" ht="15" customHeight="1">
      <c r="A611" t="inlineStr">
        <is>
          <t>A 6245-2026</t>
        </is>
      </c>
      <c r="B611" s="1" t="n">
        <v>46055.4678125</v>
      </c>
      <c r="C611" s="1" t="n">
        <v>46081</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6463-2026</t>
        </is>
      </c>
      <c r="B612" s="1" t="n">
        <v>46056.30674768519</v>
      </c>
      <c r="C612" s="1" t="n">
        <v>46081</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22681-2022</t>
        </is>
      </c>
      <c r="B613" s="1" t="n">
        <v>44714.50961805556</v>
      </c>
      <c r="C613" s="1" t="n">
        <v>46081</v>
      </c>
      <c r="D613" t="inlineStr">
        <is>
          <t>DALARNAS LÄN</t>
        </is>
      </c>
      <c r="E613" t="inlineStr">
        <is>
          <t>LEKSAND</t>
        </is>
      </c>
      <c r="F613" t="inlineStr">
        <is>
          <t>Bergvik skog väst AB</t>
        </is>
      </c>
      <c r="G613" t="n">
        <v>2.8</v>
      </c>
      <c r="H613" t="n">
        <v>0</v>
      </c>
      <c r="I613" t="n">
        <v>0</v>
      </c>
      <c r="J613" t="n">
        <v>0</v>
      </c>
      <c r="K613" t="n">
        <v>0</v>
      </c>
      <c r="L613" t="n">
        <v>0</v>
      </c>
      <c r="M613" t="n">
        <v>0</v>
      </c>
      <c r="N613" t="n">
        <v>0</v>
      </c>
      <c r="O613" t="n">
        <v>0</v>
      </c>
      <c r="P613" t="n">
        <v>0</v>
      </c>
      <c r="Q613" t="n">
        <v>0</v>
      </c>
      <c r="R613" s="2" t="inlineStr"/>
    </row>
    <row r="614" ht="15" customHeight="1">
      <c r="A614" t="inlineStr">
        <is>
          <t>A 5691-2026</t>
        </is>
      </c>
      <c r="B614" s="1" t="n">
        <v>46051.49348379629</v>
      </c>
      <c r="C614" s="1" t="n">
        <v>46081</v>
      </c>
      <c r="D614" t="inlineStr">
        <is>
          <t>DALARNAS LÄN</t>
        </is>
      </c>
      <c r="E614" t="inlineStr">
        <is>
          <t>LEKSAND</t>
        </is>
      </c>
      <c r="G614" t="n">
        <v>2.9</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46081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45197.59344907408</v>
      </c>
      <c r="C616" s="1" t="n">
        <v>46081</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58674-2025</t>
        </is>
      </c>
      <c r="B617" s="1" t="n">
        <v>45986.55810185185</v>
      </c>
      <c r="C617" s="1" t="n">
        <v>46081</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54682-2023</t>
        </is>
      </c>
      <c r="B618" s="1" t="n">
        <v>45235.90439814814</v>
      </c>
      <c r="C618" s="1" t="n">
        <v>46081</v>
      </c>
      <c r="D618" t="inlineStr">
        <is>
          <t>DALARNAS LÄN</t>
        </is>
      </c>
      <c r="E618" t="inlineStr">
        <is>
          <t>LEKSAND</t>
        </is>
      </c>
      <c r="G618" t="n">
        <v>1.5</v>
      </c>
      <c r="H618" t="n">
        <v>0</v>
      </c>
      <c r="I618" t="n">
        <v>0</v>
      </c>
      <c r="J618" t="n">
        <v>0</v>
      </c>
      <c r="K618" t="n">
        <v>0</v>
      </c>
      <c r="L618" t="n">
        <v>0</v>
      </c>
      <c r="M618" t="n">
        <v>0</v>
      </c>
      <c r="N618" t="n">
        <v>0</v>
      </c>
      <c r="O618" t="n">
        <v>0</v>
      </c>
      <c r="P618" t="n">
        <v>0</v>
      </c>
      <c r="Q618" t="n">
        <v>0</v>
      </c>
      <c r="R618" s="2" t="inlineStr"/>
    </row>
    <row r="619" ht="15" customHeight="1">
      <c r="A619" t="inlineStr">
        <is>
          <t>A 63592-2025</t>
        </is>
      </c>
      <c r="B619" s="1" t="n">
        <v>46013.89994212963</v>
      </c>
      <c r="C619" s="1" t="n">
        <v>46081</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6937-2026</t>
        </is>
      </c>
      <c r="B620" s="1" t="n">
        <v>46057.56020833334</v>
      </c>
      <c r="C620" s="1" t="n">
        <v>46081</v>
      </c>
      <c r="D620" t="inlineStr">
        <is>
          <t>DALARNAS LÄN</t>
        </is>
      </c>
      <c r="E620" t="inlineStr">
        <is>
          <t>LEKSAND</t>
        </is>
      </c>
      <c r="F620" t="inlineStr">
        <is>
          <t>Bergvik skog väst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1463-2024</t>
        </is>
      </c>
      <c r="B621" s="1" t="n">
        <v>45303</v>
      </c>
      <c r="C621" s="1" t="n">
        <v>46081</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6926-2026</t>
        </is>
      </c>
      <c r="B622" s="1" t="n">
        <v>46057</v>
      </c>
      <c r="C622" s="1" t="n">
        <v>46081</v>
      </c>
      <c r="D622" t="inlineStr">
        <is>
          <t>DALARNAS LÄN</t>
        </is>
      </c>
      <c r="E622" t="inlineStr">
        <is>
          <t>LEKSAND</t>
        </is>
      </c>
      <c r="F622" t="inlineStr">
        <is>
          <t>Bergvik skog väst AB</t>
        </is>
      </c>
      <c r="G622" t="n">
        <v>22.7</v>
      </c>
      <c r="H622" t="n">
        <v>0</v>
      </c>
      <c r="I622" t="n">
        <v>0</v>
      </c>
      <c r="J622" t="n">
        <v>0</v>
      </c>
      <c r="K622" t="n">
        <v>0</v>
      </c>
      <c r="L622" t="n">
        <v>0</v>
      </c>
      <c r="M622" t="n">
        <v>0</v>
      </c>
      <c r="N622" t="n">
        <v>0</v>
      </c>
      <c r="O622" t="n">
        <v>0</v>
      </c>
      <c r="P622" t="n">
        <v>0</v>
      </c>
      <c r="Q622" t="n">
        <v>0</v>
      </c>
      <c r="R622" s="2" t="inlineStr"/>
    </row>
    <row r="623" ht="15" customHeight="1">
      <c r="A623" t="inlineStr">
        <is>
          <t>A 63792-2025</t>
        </is>
      </c>
      <c r="B623" s="1" t="n">
        <v>46019</v>
      </c>
      <c r="C623" s="1" t="n">
        <v>46081</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63906-2025</t>
        </is>
      </c>
      <c r="B624" s="1" t="n">
        <v>46020</v>
      </c>
      <c r="C624" s="1" t="n">
        <v>46081</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4184-2026</t>
        </is>
      </c>
      <c r="B625" s="1" t="n">
        <v>46044</v>
      </c>
      <c r="C625" s="1" t="n">
        <v>46081</v>
      </c>
      <c r="D625" t="inlineStr">
        <is>
          <t>DALARNAS LÄN</t>
        </is>
      </c>
      <c r="E625" t="inlineStr">
        <is>
          <t>LEKSAND</t>
        </is>
      </c>
      <c r="G625" t="n">
        <v>6</v>
      </c>
      <c r="H625" t="n">
        <v>0</v>
      </c>
      <c r="I625" t="n">
        <v>0</v>
      </c>
      <c r="J625" t="n">
        <v>0</v>
      </c>
      <c r="K625" t="n">
        <v>0</v>
      </c>
      <c r="L625" t="n">
        <v>0</v>
      </c>
      <c r="M625" t="n">
        <v>0</v>
      </c>
      <c r="N625" t="n">
        <v>0</v>
      </c>
      <c r="O625" t="n">
        <v>0</v>
      </c>
      <c r="P625" t="n">
        <v>0</v>
      </c>
      <c r="Q625" t="n">
        <v>0</v>
      </c>
      <c r="R625" s="2" t="inlineStr"/>
    </row>
    <row r="626" ht="15" customHeight="1">
      <c r="A626" t="inlineStr">
        <is>
          <t>A 6658-2026</t>
        </is>
      </c>
      <c r="B626" s="1" t="n">
        <v>46056</v>
      </c>
      <c r="C626" s="1" t="n">
        <v>46081</v>
      </c>
      <c r="D626" t="inlineStr">
        <is>
          <t>DALARNAS LÄN</t>
        </is>
      </c>
      <c r="E626" t="inlineStr">
        <is>
          <t>LEKSAND</t>
        </is>
      </c>
      <c r="F626" t="inlineStr">
        <is>
          <t>Bergvik skog väst AB</t>
        </is>
      </c>
      <c r="G626" t="n">
        <v>25</v>
      </c>
      <c r="H626" t="n">
        <v>0</v>
      </c>
      <c r="I626" t="n">
        <v>0</v>
      </c>
      <c r="J626" t="n">
        <v>0</v>
      </c>
      <c r="K626" t="n">
        <v>0</v>
      </c>
      <c r="L626" t="n">
        <v>0</v>
      </c>
      <c r="M626" t="n">
        <v>0</v>
      </c>
      <c r="N626" t="n">
        <v>0</v>
      </c>
      <c r="O626" t="n">
        <v>0</v>
      </c>
      <c r="P626" t="n">
        <v>0</v>
      </c>
      <c r="Q626" t="n">
        <v>0</v>
      </c>
      <c r="R626" s="2" t="inlineStr"/>
    </row>
    <row r="627" ht="15" customHeight="1">
      <c r="A627" t="inlineStr">
        <is>
          <t>A 30000-2023</t>
        </is>
      </c>
      <c r="B627" s="1" t="n">
        <v>45109.71128472222</v>
      </c>
      <c r="C627" s="1" t="n">
        <v>46081</v>
      </c>
      <c r="D627" t="inlineStr">
        <is>
          <t>DALARNAS LÄN</t>
        </is>
      </c>
      <c r="E627" t="inlineStr">
        <is>
          <t>LEKSAND</t>
        </is>
      </c>
      <c r="G627" t="n">
        <v>1.1</v>
      </c>
      <c r="H627" t="n">
        <v>0</v>
      </c>
      <c r="I627" t="n">
        <v>0</v>
      </c>
      <c r="J627" t="n">
        <v>0</v>
      </c>
      <c r="K627" t="n">
        <v>0</v>
      </c>
      <c r="L627" t="n">
        <v>0</v>
      </c>
      <c r="M627" t="n">
        <v>0</v>
      </c>
      <c r="N627" t="n">
        <v>0</v>
      </c>
      <c r="O627" t="n">
        <v>0</v>
      </c>
      <c r="P627" t="n">
        <v>0</v>
      </c>
      <c r="Q627" t="n">
        <v>0</v>
      </c>
      <c r="R627" s="2" t="inlineStr"/>
    </row>
    <row r="628" ht="15" customHeight="1">
      <c r="A628" t="inlineStr">
        <is>
          <t>A 7606-2026</t>
        </is>
      </c>
      <c r="B628" s="1" t="n">
        <v>46062.30232638889</v>
      </c>
      <c r="C628" s="1" t="n">
        <v>46081</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3516-2026</t>
        </is>
      </c>
      <c r="B629" s="1" t="n">
        <v>46042</v>
      </c>
      <c r="C629" s="1" t="n">
        <v>46081</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17282-2025</t>
        </is>
      </c>
      <c r="B630" s="1" t="n">
        <v>45756.57114583333</v>
      </c>
      <c r="C630" s="1" t="n">
        <v>46081</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12923-2025</t>
        </is>
      </c>
      <c r="B631" s="1" t="n">
        <v>45734.29193287037</v>
      </c>
      <c r="C631" s="1" t="n">
        <v>46081</v>
      </c>
      <c r="D631" t="inlineStr">
        <is>
          <t>DALARNAS LÄN</t>
        </is>
      </c>
      <c r="E631" t="inlineStr">
        <is>
          <t>LEKSAND</t>
        </is>
      </c>
      <c r="G631" t="n">
        <v>7.2</v>
      </c>
      <c r="H631" t="n">
        <v>0</v>
      </c>
      <c r="I631" t="n">
        <v>0</v>
      </c>
      <c r="J631" t="n">
        <v>0</v>
      </c>
      <c r="K631" t="n">
        <v>0</v>
      </c>
      <c r="L631" t="n">
        <v>0</v>
      </c>
      <c r="M631" t="n">
        <v>0</v>
      </c>
      <c r="N631" t="n">
        <v>0</v>
      </c>
      <c r="O631" t="n">
        <v>0</v>
      </c>
      <c r="P631" t="n">
        <v>0</v>
      </c>
      <c r="Q631" t="n">
        <v>0</v>
      </c>
      <c r="R631" s="2" t="inlineStr"/>
    </row>
    <row r="632" ht="15" customHeight="1">
      <c r="A632" t="inlineStr">
        <is>
          <t>A 2820-2024</t>
        </is>
      </c>
      <c r="B632" s="1" t="n">
        <v>45314.76287037037</v>
      </c>
      <c r="C632" s="1" t="n">
        <v>46081</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2822-2024</t>
        </is>
      </c>
      <c r="B633" s="1" t="n">
        <v>45314.76622685185</v>
      </c>
      <c r="C633" s="1" t="n">
        <v>46081</v>
      </c>
      <c r="D633" t="inlineStr">
        <is>
          <t>DALARNAS LÄN</t>
        </is>
      </c>
      <c r="E633" t="inlineStr">
        <is>
          <t>LEKSAND</t>
        </is>
      </c>
      <c r="G633" t="n">
        <v>1.6</v>
      </c>
      <c r="H633" t="n">
        <v>0</v>
      </c>
      <c r="I633" t="n">
        <v>0</v>
      </c>
      <c r="J633" t="n">
        <v>0</v>
      </c>
      <c r="K633" t="n">
        <v>0</v>
      </c>
      <c r="L633" t="n">
        <v>0</v>
      </c>
      <c r="M633" t="n">
        <v>0</v>
      </c>
      <c r="N633" t="n">
        <v>0</v>
      </c>
      <c r="O633" t="n">
        <v>0</v>
      </c>
      <c r="P633" t="n">
        <v>0</v>
      </c>
      <c r="Q633" t="n">
        <v>0</v>
      </c>
      <c r="R633" s="2" t="inlineStr"/>
    </row>
    <row r="634" ht="15" customHeight="1">
      <c r="A634" t="inlineStr">
        <is>
          <t>A 51320-2023</t>
        </is>
      </c>
      <c r="B634" s="1" t="n">
        <v>45219.57456018519</v>
      </c>
      <c r="C634" s="1" t="n">
        <v>46081</v>
      </c>
      <c r="D634" t="inlineStr">
        <is>
          <t>DALARNAS LÄN</t>
        </is>
      </c>
      <c r="E634" t="inlineStr">
        <is>
          <t>LEKSAND</t>
        </is>
      </c>
      <c r="G634" t="n">
        <v>2.1</v>
      </c>
      <c r="H634" t="n">
        <v>0</v>
      </c>
      <c r="I634" t="n">
        <v>0</v>
      </c>
      <c r="J634" t="n">
        <v>0</v>
      </c>
      <c r="K634" t="n">
        <v>0</v>
      </c>
      <c r="L634" t="n">
        <v>0</v>
      </c>
      <c r="M634" t="n">
        <v>0</v>
      </c>
      <c r="N634" t="n">
        <v>0</v>
      </c>
      <c r="O634" t="n">
        <v>0</v>
      </c>
      <c r="P634" t="n">
        <v>0</v>
      </c>
      <c r="Q634" t="n">
        <v>0</v>
      </c>
      <c r="R634" s="2" t="inlineStr"/>
    </row>
    <row r="635" ht="15" customHeight="1">
      <c r="A635" t="inlineStr">
        <is>
          <t>A 63905-2025</t>
        </is>
      </c>
      <c r="B635" s="1" t="n">
        <v>46020</v>
      </c>
      <c r="C635" s="1" t="n">
        <v>46081</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12621-2025</t>
        </is>
      </c>
      <c r="B636" s="1" t="n">
        <v>45733.3575</v>
      </c>
      <c r="C636" s="1" t="n">
        <v>46081</v>
      </c>
      <c r="D636" t="inlineStr">
        <is>
          <t>DALARNAS LÄN</t>
        </is>
      </c>
      <c r="E636" t="inlineStr">
        <is>
          <t>LEKSAND</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63890-2025</t>
        </is>
      </c>
      <c r="B637" s="1" t="n">
        <v>46020.63613425926</v>
      </c>
      <c r="C637" s="1" t="n">
        <v>46081</v>
      </c>
      <c r="D637" t="inlineStr">
        <is>
          <t>DALARNAS LÄN</t>
        </is>
      </c>
      <c r="E637" t="inlineStr">
        <is>
          <t>LEKSAND</t>
        </is>
      </c>
      <c r="G637" t="n">
        <v>3.3</v>
      </c>
      <c r="H637" t="n">
        <v>0</v>
      </c>
      <c r="I637" t="n">
        <v>0</v>
      </c>
      <c r="J637" t="n">
        <v>0</v>
      </c>
      <c r="K637" t="n">
        <v>0</v>
      </c>
      <c r="L637" t="n">
        <v>0</v>
      </c>
      <c r="M637" t="n">
        <v>0</v>
      </c>
      <c r="N637" t="n">
        <v>0</v>
      </c>
      <c r="O637" t="n">
        <v>0</v>
      </c>
      <c r="P637" t="n">
        <v>0</v>
      </c>
      <c r="Q637" t="n">
        <v>0</v>
      </c>
      <c r="R637" s="2" t="inlineStr"/>
    </row>
    <row r="638" ht="15" customHeight="1">
      <c r="A638" t="inlineStr">
        <is>
          <t>A 63894-2025</t>
        </is>
      </c>
      <c r="B638" s="1" t="n">
        <v>46020.6441087963</v>
      </c>
      <c r="C638" s="1" t="n">
        <v>46081</v>
      </c>
      <c r="D638" t="inlineStr">
        <is>
          <t>DALARNAS LÄN</t>
        </is>
      </c>
      <c r="E638" t="inlineStr">
        <is>
          <t>LEKSAND</t>
        </is>
      </c>
      <c r="G638" t="n">
        <v>0.8</v>
      </c>
      <c r="H638" t="n">
        <v>0</v>
      </c>
      <c r="I638" t="n">
        <v>0</v>
      </c>
      <c r="J638" t="n">
        <v>0</v>
      </c>
      <c r="K638" t="n">
        <v>0</v>
      </c>
      <c r="L638" t="n">
        <v>0</v>
      </c>
      <c r="M638" t="n">
        <v>0</v>
      </c>
      <c r="N638" t="n">
        <v>0</v>
      </c>
      <c r="O638" t="n">
        <v>0</v>
      </c>
      <c r="P638" t="n">
        <v>0</v>
      </c>
      <c r="Q638" t="n">
        <v>0</v>
      </c>
      <c r="R638" s="2" t="inlineStr"/>
    </row>
    <row r="639" ht="15" customHeight="1">
      <c r="A639" t="inlineStr">
        <is>
          <t>A 63898-2025</t>
        </is>
      </c>
      <c r="B639" s="1" t="n">
        <v>46020</v>
      </c>
      <c r="C639" s="1" t="n">
        <v>46081</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63757-2025</t>
        </is>
      </c>
      <c r="B640" s="1" t="n">
        <v>46018.42364583333</v>
      </c>
      <c r="C640" s="1" t="n">
        <v>46081</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63961-2025</t>
        </is>
      </c>
      <c r="B641" s="1" t="n">
        <v>46020</v>
      </c>
      <c r="C641" s="1" t="n">
        <v>46081</v>
      </c>
      <c r="D641" t="inlineStr">
        <is>
          <t>DALARNAS LÄN</t>
        </is>
      </c>
      <c r="E641" t="inlineStr">
        <is>
          <t>LEKSAND</t>
        </is>
      </c>
      <c r="F641" t="inlineStr">
        <is>
          <t>Övriga Aktiebolag</t>
        </is>
      </c>
      <c r="G641" t="n">
        <v>3.7</v>
      </c>
      <c r="H641" t="n">
        <v>0</v>
      </c>
      <c r="I641" t="n">
        <v>0</v>
      </c>
      <c r="J641" t="n">
        <v>0</v>
      </c>
      <c r="K641" t="n">
        <v>0</v>
      </c>
      <c r="L641" t="n">
        <v>0</v>
      </c>
      <c r="M641" t="n">
        <v>0</v>
      </c>
      <c r="N641" t="n">
        <v>0</v>
      </c>
      <c r="O641" t="n">
        <v>0</v>
      </c>
      <c r="P641" t="n">
        <v>0</v>
      </c>
      <c r="Q641" t="n">
        <v>0</v>
      </c>
      <c r="R641" s="2" t="inlineStr"/>
    </row>
    <row r="642" ht="15" customHeight="1">
      <c r="A642" t="inlineStr">
        <is>
          <t>A 51377-2023</t>
        </is>
      </c>
      <c r="B642" s="1" t="n">
        <v>45219</v>
      </c>
      <c r="C642" s="1" t="n">
        <v>46081</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63969-2025</t>
        </is>
      </c>
      <c r="B643" s="1" t="n">
        <v>46021</v>
      </c>
      <c r="C643" s="1" t="n">
        <v>46081</v>
      </c>
      <c r="D643" t="inlineStr">
        <is>
          <t>DALARNAS LÄN</t>
        </is>
      </c>
      <c r="E643" t="inlineStr">
        <is>
          <t>LEKSAND</t>
        </is>
      </c>
      <c r="G643" t="n">
        <v>1.5</v>
      </c>
      <c r="H643" t="n">
        <v>0</v>
      </c>
      <c r="I643" t="n">
        <v>0</v>
      </c>
      <c r="J643" t="n">
        <v>0</v>
      </c>
      <c r="K643" t="n">
        <v>0</v>
      </c>
      <c r="L643" t="n">
        <v>0</v>
      </c>
      <c r="M643" t="n">
        <v>0</v>
      </c>
      <c r="N643" t="n">
        <v>0</v>
      </c>
      <c r="O643" t="n">
        <v>0</v>
      </c>
      <c r="P643" t="n">
        <v>0</v>
      </c>
      <c r="Q643" t="n">
        <v>0</v>
      </c>
      <c r="R643" s="2" t="inlineStr"/>
    </row>
    <row r="644" ht="15" customHeight="1">
      <c r="A644" t="inlineStr">
        <is>
          <t>A 59859-2023</t>
        </is>
      </c>
      <c r="B644" s="1" t="n">
        <v>45257</v>
      </c>
      <c r="C644" s="1" t="n">
        <v>46081</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19330-2025</t>
        </is>
      </c>
      <c r="B645" s="1" t="n">
        <v>45769</v>
      </c>
      <c r="C645" s="1" t="n">
        <v>46081</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64096-2025</t>
        </is>
      </c>
      <c r="B646" s="1" t="n">
        <v>46021</v>
      </c>
      <c r="C646" s="1" t="n">
        <v>46081</v>
      </c>
      <c r="D646" t="inlineStr">
        <is>
          <t>DALARNAS LÄN</t>
        </is>
      </c>
      <c r="E646" t="inlineStr">
        <is>
          <t>LEKSAND</t>
        </is>
      </c>
      <c r="G646" t="n">
        <v>4.5</v>
      </c>
      <c r="H646" t="n">
        <v>0</v>
      </c>
      <c r="I646" t="n">
        <v>0</v>
      </c>
      <c r="J646" t="n">
        <v>0</v>
      </c>
      <c r="K646" t="n">
        <v>0</v>
      </c>
      <c r="L646" t="n">
        <v>0</v>
      </c>
      <c r="M646" t="n">
        <v>0</v>
      </c>
      <c r="N646" t="n">
        <v>0</v>
      </c>
      <c r="O646" t="n">
        <v>0</v>
      </c>
      <c r="P646" t="n">
        <v>0</v>
      </c>
      <c r="Q646" t="n">
        <v>0</v>
      </c>
      <c r="R646" s="2" t="inlineStr"/>
    </row>
    <row r="647" ht="15" customHeight="1">
      <c r="A647" t="inlineStr">
        <is>
          <t>A 45943-2022</t>
        </is>
      </c>
      <c r="B647" s="1" t="n">
        <v>44846.64418981481</v>
      </c>
      <c r="C647" s="1" t="n">
        <v>46081</v>
      </c>
      <c r="D647" t="inlineStr">
        <is>
          <t>DALARNAS LÄN</t>
        </is>
      </c>
      <c r="E647" t="inlineStr">
        <is>
          <t>LEKSAND</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63972-2025</t>
        </is>
      </c>
      <c r="B648" s="1" t="n">
        <v>46021</v>
      </c>
      <c r="C648" s="1" t="n">
        <v>46081</v>
      </c>
      <c r="D648" t="inlineStr">
        <is>
          <t>DALARNAS LÄN</t>
        </is>
      </c>
      <c r="E648" t="inlineStr">
        <is>
          <t>LEKSAND</t>
        </is>
      </c>
      <c r="F648" t="inlineStr">
        <is>
          <t>Övriga Aktiebolag</t>
        </is>
      </c>
      <c r="G648" t="n">
        <v>1.5</v>
      </c>
      <c r="H648" t="n">
        <v>0</v>
      </c>
      <c r="I648" t="n">
        <v>0</v>
      </c>
      <c r="J648" t="n">
        <v>0</v>
      </c>
      <c r="K648" t="n">
        <v>0</v>
      </c>
      <c r="L648" t="n">
        <v>0</v>
      </c>
      <c r="M648" t="n">
        <v>0</v>
      </c>
      <c r="N648" t="n">
        <v>0</v>
      </c>
      <c r="O648" t="n">
        <v>0</v>
      </c>
      <c r="P648" t="n">
        <v>0</v>
      </c>
      <c r="Q648" t="n">
        <v>0</v>
      </c>
      <c r="R648" s="2" t="inlineStr"/>
    </row>
    <row r="649" ht="15" customHeight="1">
      <c r="A649" t="inlineStr">
        <is>
          <t>A 8211-2026</t>
        </is>
      </c>
      <c r="B649" s="1" t="n">
        <v>46064</v>
      </c>
      <c r="C649" s="1" t="n">
        <v>46081</v>
      </c>
      <c r="D649" t="inlineStr">
        <is>
          <t>DALARNAS LÄN</t>
        </is>
      </c>
      <c r="E649" t="inlineStr">
        <is>
          <t>LEKSAND</t>
        </is>
      </c>
      <c r="G649" t="n">
        <v>4.9</v>
      </c>
      <c r="H649" t="n">
        <v>0</v>
      </c>
      <c r="I649" t="n">
        <v>0</v>
      </c>
      <c r="J649" t="n">
        <v>0</v>
      </c>
      <c r="K649" t="n">
        <v>0</v>
      </c>
      <c r="L649" t="n">
        <v>0</v>
      </c>
      <c r="M649" t="n">
        <v>0</v>
      </c>
      <c r="N649" t="n">
        <v>0</v>
      </c>
      <c r="O649" t="n">
        <v>0</v>
      </c>
      <c r="P649" t="n">
        <v>0</v>
      </c>
      <c r="Q649" t="n">
        <v>0</v>
      </c>
      <c r="R649" s="2" t="inlineStr"/>
    </row>
    <row r="650" ht="15" customHeight="1">
      <c r="A650" t="inlineStr">
        <is>
          <t>A 63967-2025</t>
        </is>
      </c>
      <c r="B650" s="1" t="n">
        <v>46021.31668981481</v>
      </c>
      <c r="C650" s="1" t="n">
        <v>46081</v>
      </c>
      <c r="D650" t="inlineStr">
        <is>
          <t>DALARNAS LÄN</t>
        </is>
      </c>
      <c r="E650" t="inlineStr">
        <is>
          <t>LEKSAND</t>
        </is>
      </c>
      <c r="G650" t="n">
        <v>6.4</v>
      </c>
      <c r="H650" t="n">
        <v>0</v>
      </c>
      <c r="I650" t="n">
        <v>0</v>
      </c>
      <c r="J650" t="n">
        <v>0</v>
      </c>
      <c r="K650" t="n">
        <v>0</v>
      </c>
      <c r="L650" t="n">
        <v>0</v>
      </c>
      <c r="M650" t="n">
        <v>0</v>
      </c>
      <c r="N650" t="n">
        <v>0</v>
      </c>
      <c r="O650" t="n">
        <v>0</v>
      </c>
      <c r="P650" t="n">
        <v>0</v>
      </c>
      <c r="Q650" t="n">
        <v>0</v>
      </c>
      <c r="R650" s="2" t="inlineStr"/>
    </row>
    <row r="651" ht="15" customHeight="1">
      <c r="A651" t="inlineStr">
        <is>
          <t>A 64099-2025</t>
        </is>
      </c>
      <c r="B651" s="1" t="n">
        <v>46021</v>
      </c>
      <c r="C651" s="1" t="n">
        <v>46081</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64101-2025</t>
        </is>
      </c>
      <c r="B652" s="1" t="n">
        <v>46021</v>
      </c>
      <c r="C652" s="1" t="n">
        <v>46081</v>
      </c>
      <c r="D652" t="inlineStr">
        <is>
          <t>DALARNAS LÄN</t>
        </is>
      </c>
      <c r="E652" t="inlineStr">
        <is>
          <t>LEKSAND</t>
        </is>
      </c>
      <c r="G652" t="n">
        <v>2.9</v>
      </c>
      <c r="H652" t="n">
        <v>0</v>
      </c>
      <c r="I652" t="n">
        <v>0</v>
      </c>
      <c r="J652" t="n">
        <v>0</v>
      </c>
      <c r="K652" t="n">
        <v>0</v>
      </c>
      <c r="L652" t="n">
        <v>0</v>
      </c>
      <c r="M652" t="n">
        <v>0</v>
      </c>
      <c r="N652" t="n">
        <v>0</v>
      </c>
      <c r="O652" t="n">
        <v>0</v>
      </c>
      <c r="P652" t="n">
        <v>0</v>
      </c>
      <c r="Q652" t="n">
        <v>0</v>
      </c>
      <c r="R652" s="2" t="inlineStr"/>
    </row>
    <row r="653" ht="15" customHeight="1">
      <c r="A653" t="inlineStr">
        <is>
          <t>A 3831-2026</t>
        </is>
      </c>
      <c r="B653" s="1" t="n">
        <v>46043</v>
      </c>
      <c r="C653" s="1" t="n">
        <v>46081</v>
      </c>
      <c r="D653" t="inlineStr">
        <is>
          <t>DALARNAS LÄN</t>
        </is>
      </c>
      <c r="E653" t="inlineStr">
        <is>
          <t>LEKSAND</t>
        </is>
      </c>
      <c r="G653" t="n">
        <v>1.7</v>
      </c>
      <c r="H653" t="n">
        <v>0</v>
      </c>
      <c r="I653" t="n">
        <v>0</v>
      </c>
      <c r="J653" t="n">
        <v>0</v>
      </c>
      <c r="K653" t="n">
        <v>0</v>
      </c>
      <c r="L653" t="n">
        <v>0</v>
      </c>
      <c r="M653" t="n">
        <v>0</v>
      </c>
      <c r="N653" t="n">
        <v>0</v>
      </c>
      <c r="O653" t="n">
        <v>0</v>
      </c>
      <c r="P653" t="n">
        <v>0</v>
      </c>
      <c r="Q653" t="n">
        <v>0</v>
      </c>
      <c r="R653" s="2" t="inlineStr"/>
    </row>
    <row r="654" ht="15" customHeight="1">
      <c r="A654" t="inlineStr">
        <is>
          <t>A 63968-2025</t>
        </is>
      </c>
      <c r="B654" s="1" t="n">
        <v>46021.32299768519</v>
      </c>
      <c r="C654" s="1" t="n">
        <v>46081</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60878-2023</t>
        </is>
      </c>
      <c r="B655" s="1" t="n">
        <v>45259</v>
      </c>
      <c r="C655" s="1" t="n">
        <v>46081</v>
      </c>
      <c r="D655" t="inlineStr">
        <is>
          <t>DALARNAS LÄN</t>
        </is>
      </c>
      <c r="E655" t="inlineStr">
        <is>
          <t>LEKSAND</t>
        </is>
      </c>
      <c r="G655" t="n">
        <v>0.6</v>
      </c>
      <c r="H655" t="n">
        <v>0</v>
      </c>
      <c r="I655" t="n">
        <v>0</v>
      </c>
      <c r="J655" t="n">
        <v>0</v>
      </c>
      <c r="K655" t="n">
        <v>0</v>
      </c>
      <c r="L655" t="n">
        <v>0</v>
      </c>
      <c r="M655" t="n">
        <v>0</v>
      </c>
      <c r="N655" t="n">
        <v>0</v>
      </c>
      <c r="O655" t="n">
        <v>0</v>
      </c>
      <c r="P655" t="n">
        <v>0</v>
      </c>
      <c r="Q655" t="n">
        <v>0</v>
      </c>
      <c r="R655" s="2" t="inlineStr"/>
    </row>
    <row r="656" ht="15" customHeight="1">
      <c r="A656" t="inlineStr">
        <is>
          <t>A 5586-2026</t>
        </is>
      </c>
      <c r="B656" s="1" t="n">
        <v>46051</v>
      </c>
      <c r="C656" s="1" t="n">
        <v>46081</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46081</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139-2026</t>
        </is>
      </c>
      <c r="B658" s="1" t="n">
        <v>46024</v>
      </c>
      <c r="C658" s="1" t="n">
        <v>46081</v>
      </c>
      <c r="D658" t="inlineStr">
        <is>
          <t>DALARNAS LÄN</t>
        </is>
      </c>
      <c r="E658" t="inlineStr">
        <is>
          <t>LEKSAND</t>
        </is>
      </c>
      <c r="G658" t="n">
        <v>4</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46081</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4280-2026</t>
        </is>
      </c>
      <c r="B660" s="1" t="n">
        <v>46044</v>
      </c>
      <c r="C660" s="1" t="n">
        <v>46081</v>
      </c>
      <c r="D660" t="inlineStr">
        <is>
          <t>DALARNAS LÄN</t>
        </is>
      </c>
      <c r="E660" t="inlineStr">
        <is>
          <t>LEKSAND</t>
        </is>
      </c>
      <c r="G660" t="n">
        <v>7.2</v>
      </c>
      <c r="H660" t="n">
        <v>0</v>
      </c>
      <c r="I660" t="n">
        <v>0</v>
      </c>
      <c r="J660" t="n">
        <v>0</v>
      </c>
      <c r="K660" t="n">
        <v>0</v>
      </c>
      <c r="L660" t="n">
        <v>0</v>
      </c>
      <c r="M660" t="n">
        <v>0</v>
      </c>
      <c r="N660" t="n">
        <v>0</v>
      </c>
      <c r="O660" t="n">
        <v>0</v>
      </c>
      <c r="P660" t="n">
        <v>0</v>
      </c>
      <c r="Q660" t="n">
        <v>0</v>
      </c>
      <c r="R660" s="2" t="inlineStr"/>
    </row>
    <row r="661" ht="15" customHeight="1">
      <c r="A661" t="inlineStr">
        <is>
          <t>A 1719-2024</t>
        </is>
      </c>
      <c r="B661" s="1" t="n">
        <v>45307</v>
      </c>
      <c r="C661" s="1" t="n">
        <v>46081</v>
      </c>
      <c r="D661" t="inlineStr">
        <is>
          <t>DALARNAS LÄN</t>
        </is>
      </c>
      <c r="E661" t="inlineStr">
        <is>
          <t>LEKSAND</t>
        </is>
      </c>
      <c r="G661" t="n">
        <v>2.8</v>
      </c>
      <c r="H661" t="n">
        <v>0</v>
      </c>
      <c r="I661" t="n">
        <v>0</v>
      </c>
      <c r="J661" t="n">
        <v>0</v>
      </c>
      <c r="K661" t="n">
        <v>0</v>
      </c>
      <c r="L661" t="n">
        <v>0</v>
      </c>
      <c r="M661" t="n">
        <v>0</v>
      </c>
      <c r="N661" t="n">
        <v>0</v>
      </c>
      <c r="O661" t="n">
        <v>0</v>
      </c>
      <c r="P661" t="n">
        <v>0</v>
      </c>
      <c r="Q661" t="n">
        <v>0</v>
      </c>
      <c r="R661" s="2" t="inlineStr"/>
    </row>
    <row r="662" ht="15" customHeight="1">
      <c r="A662" t="inlineStr">
        <is>
          <t>A 16744-2025</t>
        </is>
      </c>
      <c r="B662" s="1" t="n">
        <v>45754</v>
      </c>
      <c r="C662" s="1" t="n">
        <v>46081</v>
      </c>
      <c r="D662" t="inlineStr">
        <is>
          <t>DALARNAS LÄN</t>
        </is>
      </c>
      <c r="E662" t="inlineStr">
        <is>
          <t>LEKSAND</t>
        </is>
      </c>
      <c r="F662" t="inlineStr">
        <is>
          <t>Bergvik skog väst AB</t>
        </is>
      </c>
      <c r="G662" t="n">
        <v>1.8</v>
      </c>
      <c r="H662" t="n">
        <v>0</v>
      </c>
      <c r="I662" t="n">
        <v>0</v>
      </c>
      <c r="J662" t="n">
        <v>0</v>
      </c>
      <c r="K662" t="n">
        <v>0</v>
      </c>
      <c r="L662" t="n">
        <v>0</v>
      </c>
      <c r="M662" t="n">
        <v>0</v>
      </c>
      <c r="N662" t="n">
        <v>0</v>
      </c>
      <c r="O662" t="n">
        <v>0</v>
      </c>
      <c r="P662" t="n">
        <v>0</v>
      </c>
      <c r="Q662" t="n">
        <v>0</v>
      </c>
      <c r="R662" s="2" t="inlineStr"/>
    </row>
    <row r="663" ht="15" customHeight="1">
      <c r="A663" t="inlineStr">
        <is>
          <t>A 8726-2026</t>
        </is>
      </c>
      <c r="B663" s="1" t="n">
        <v>46066.49141203704</v>
      </c>
      <c r="C663" s="1" t="n">
        <v>46081</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4460-2026</t>
        </is>
      </c>
      <c r="B664" s="1" t="n">
        <v>46045.64884259259</v>
      </c>
      <c r="C664" s="1" t="n">
        <v>46081</v>
      </c>
      <c r="D664" t="inlineStr">
        <is>
          <t>DALARNAS LÄN</t>
        </is>
      </c>
      <c r="E664" t="inlineStr">
        <is>
          <t>LEKSAND</t>
        </is>
      </c>
      <c r="G664" t="n">
        <v>11.6</v>
      </c>
      <c r="H664" t="n">
        <v>0</v>
      </c>
      <c r="I664" t="n">
        <v>0</v>
      </c>
      <c r="J664" t="n">
        <v>0</v>
      </c>
      <c r="K664" t="n">
        <v>0</v>
      </c>
      <c r="L664" t="n">
        <v>0</v>
      </c>
      <c r="M664" t="n">
        <v>0</v>
      </c>
      <c r="N664" t="n">
        <v>0</v>
      </c>
      <c r="O664" t="n">
        <v>0</v>
      </c>
      <c r="P664" t="n">
        <v>0</v>
      </c>
      <c r="Q664" t="n">
        <v>0</v>
      </c>
      <c r="R664" s="2" t="inlineStr"/>
    </row>
    <row r="665" ht="15" customHeight="1">
      <c r="A665" t="inlineStr">
        <is>
          <t>A 22349-2024</t>
        </is>
      </c>
      <c r="B665" s="1" t="n">
        <v>45446</v>
      </c>
      <c r="C665" s="1" t="n">
        <v>46081</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11617-2024</t>
        </is>
      </c>
      <c r="B666" s="1" t="n">
        <v>45373.42898148148</v>
      </c>
      <c r="C666" s="1" t="n">
        <v>46081</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5597-2026</t>
        </is>
      </c>
      <c r="B667" s="1" t="n">
        <v>46051</v>
      </c>
      <c r="C667" s="1" t="n">
        <v>46081</v>
      </c>
      <c r="D667" t="inlineStr">
        <is>
          <t>DALARNAS LÄN</t>
        </is>
      </c>
      <c r="E667" t="inlineStr">
        <is>
          <t>LEKSAND</t>
        </is>
      </c>
      <c r="G667" t="n">
        <v>1.6</v>
      </c>
      <c r="H667" t="n">
        <v>0</v>
      </c>
      <c r="I667" t="n">
        <v>0</v>
      </c>
      <c r="J667" t="n">
        <v>0</v>
      </c>
      <c r="K667" t="n">
        <v>0</v>
      </c>
      <c r="L667" t="n">
        <v>0</v>
      </c>
      <c r="M667" t="n">
        <v>0</v>
      </c>
      <c r="N667" t="n">
        <v>0</v>
      </c>
      <c r="O667" t="n">
        <v>0</v>
      </c>
      <c r="P667" t="n">
        <v>0</v>
      </c>
      <c r="Q667" t="n">
        <v>0</v>
      </c>
      <c r="R667" s="2" t="inlineStr"/>
    </row>
    <row r="668" ht="15" customHeight="1">
      <c r="A668" t="inlineStr">
        <is>
          <t>A 61953-2023</t>
        </is>
      </c>
      <c r="B668" s="1" t="n">
        <v>45266</v>
      </c>
      <c r="C668" s="1" t="n">
        <v>46081</v>
      </c>
      <c r="D668" t="inlineStr">
        <is>
          <t>DALARNAS LÄN</t>
        </is>
      </c>
      <c r="E668" t="inlineStr">
        <is>
          <t>LEKSAND</t>
        </is>
      </c>
      <c r="G668" t="n">
        <v>0.1</v>
      </c>
      <c r="H668" t="n">
        <v>0</v>
      </c>
      <c r="I668" t="n">
        <v>0</v>
      </c>
      <c r="J668" t="n">
        <v>0</v>
      </c>
      <c r="K668" t="n">
        <v>0</v>
      </c>
      <c r="L668" t="n">
        <v>0</v>
      </c>
      <c r="M668" t="n">
        <v>0</v>
      </c>
      <c r="N668" t="n">
        <v>0</v>
      </c>
      <c r="O668" t="n">
        <v>0</v>
      </c>
      <c r="P668" t="n">
        <v>0</v>
      </c>
      <c r="Q668" t="n">
        <v>0</v>
      </c>
      <c r="R668" s="2" t="inlineStr"/>
    </row>
    <row r="669" ht="15" customHeight="1">
      <c r="A669" t="inlineStr">
        <is>
          <t>A 58619-2022</t>
        </is>
      </c>
      <c r="B669" s="1" t="n">
        <v>44902.59579861111</v>
      </c>
      <c r="C669" s="1" t="n">
        <v>46081</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5590-2026</t>
        </is>
      </c>
      <c r="B670" s="1" t="n">
        <v>46051</v>
      </c>
      <c r="C670" s="1" t="n">
        <v>46081</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94-2026</t>
        </is>
      </c>
      <c r="B671" s="1" t="n">
        <v>46024.49158564815</v>
      </c>
      <c r="C671" s="1" t="n">
        <v>46081</v>
      </c>
      <c r="D671" t="inlineStr">
        <is>
          <t>DALARNAS LÄN</t>
        </is>
      </c>
      <c r="E671" t="inlineStr">
        <is>
          <t>LEKSAND</t>
        </is>
      </c>
      <c r="G671" t="n">
        <v>2.6</v>
      </c>
      <c r="H671" t="n">
        <v>0</v>
      </c>
      <c r="I671" t="n">
        <v>0</v>
      </c>
      <c r="J671" t="n">
        <v>0</v>
      </c>
      <c r="K671" t="n">
        <v>0</v>
      </c>
      <c r="L671" t="n">
        <v>0</v>
      </c>
      <c r="M671" t="n">
        <v>0</v>
      </c>
      <c r="N671" t="n">
        <v>0</v>
      </c>
      <c r="O671" t="n">
        <v>0</v>
      </c>
      <c r="P671" t="n">
        <v>0</v>
      </c>
      <c r="Q671" t="n">
        <v>0</v>
      </c>
      <c r="R671" s="2" t="inlineStr"/>
    </row>
    <row r="672" ht="15" customHeight="1">
      <c r="A672" t="inlineStr">
        <is>
          <t>A 20946-2023</t>
        </is>
      </c>
      <c r="B672" s="1" t="n">
        <v>45061</v>
      </c>
      <c r="C672" s="1" t="n">
        <v>46081</v>
      </c>
      <c r="D672" t="inlineStr">
        <is>
          <t>DALARNAS LÄN</t>
        </is>
      </c>
      <c r="E672" t="inlineStr">
        <is>
          <t>LEKSAND</t>
        </is>
      </c>
      <c r="G672" t="n">
        <v>2.7</v>
      </c>
      <c r="H672" t="n">
        <v>0</v>
      </c>
      <c r="I672" t="n">
        <v>0</v>
      </c>
      <c r="J672" t="n">
        <v>0</v>
      </c>
      <c r="K672" t="n">
        <v>0</v>
      </c>
      <c r="L672" t="n">
        <v>0</v>
      </c>
      <c r="M672" t="n">
        <v>0</v>
      </c>
      <c r="N672" t="n">
        <v>0</v>
      </c>
      <c r="O672" t="n">
        <v>0</v>
      </c>
      <c r="P672" t="n">
        <v>0</v>
      </c>
      <c r="Q672" t="n">
        <v>0</v>
      </c>
      <c r="R672" s="2" t="inlineStr"/>
    </row>
    <row r="673" ht="15" customHeight="1">
      <c r="A673" t="inlineStr">
        <is>
          <t>A 61225-2023</t>
        </is>
      </c>
      <c r="B673" s="1" t="n">
        <v>45264</v>
      </c>
      <c r="C673" s="1" t="n">
        <v>46081</v>
      </c>
      <c r="D673" t="inlineStr">
        <is>
          <t>DALARNAS LÄN</t>
        </is>
      </c>
      <c r="E673" t="inlineStr">
        <is>
          <t>LEKSAND</t>
        </is>
      </c>
      <c r="G673" t="n">
        <v>7</v>
      </c>
      <c r="H673" t="n">
        <v>0</v>
      </c>
      <c r="I673" t="n">
        <v>0</v>
      </c>
      <c r="J673" t="n">
        <v>0</v>
      </c>
      <c r="K673" t="n">
        <v>0</v>
      </c>
      <c r="L673" t="n">
        <v>0</v>
      </c>
      <c r="M673" t="n">
        <v>0</v>
      </c>
      <c r="N673" t="n">
        <v>0</v>
      </c>
      <c r="O673" t="n">
        <v>0</v>
      </c>
      <c r="P673" t="n">
        <v>0</v>
      </c>
      <c r="Q673" t="n">
        <v>0</v>
      </c>
      <c r="R673" s="2" t="inlineStr"/>
    </row>
    <row r="674" ht="15" customHeight="1">
      <c r="A674" t="inlineStr">
        <is>
          <t>A 133-2026</t>
        </is>
      </c>
      <c r="B674" s="1" t="n">
        <v>46024.60450231482</v>
      </c>
      <c r="C674" s="1" t="n">
        <v>46081</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61252-2023</t>
        </is>
      </c>
      <c r="B675" s="1" t="n">
        <v>45261</v>
      </c>
      <c r="C675" s="1" t="n">
        <v>46081</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4847-2026</t>
        </is>
      </c>
      <c r="B676" s="1" t="n">
        <v>46048</v>
      </c>
      <c r="C676" s="1" t="n">
        <v>46081</v>
      </c>
      <c r="D676" t="inlineStr">
        <is>
          <t>DALARNAS LÄN</t>
        </is>
      </c>
      <c r="E676" t="inlineStr">
        <is>
          <t>LEKSAND</t>
        </is>
      </c>
      <c r="G676" t="n">
        <v>5.2</v>
      </c>
      <c r="H676" t="n">
        <v>0</v>
      </c>
      <c r="I676" t="n">
        <v>0</v>
      </c>
      <c r="J676" t="n">
        <v>0</v>
      </c>
      <c r="K676" t="n">
        <v>0</v>
      </c>
      <c r="L676" t="n">
        <v>0</v>
      </c>
      <c r="M676" t="n">
        <v>0</v>
      </c>
      <c r="N676" t="n">
        <v>0</v>
      </c>
      <c r="O676" t="n">
        <v>0</v>
      </c>
      <c r="P676" t="n">
        <v>0</v>
      </c>
      <c r="Q676" t="n">
        <v>0</v>
      </c>
      <c r="R676" s="2" t="inlineStr"/>
    </row>
    <row r="677" ht="15" customHeight="1">
      <c r="A677" t="inlineStr">
        <is>
          <t>A 14617-2024</t>
        </is>
      </c>
      <c r="B677" s="1" t="n">
        <v>45397</v>
      </c>
      <c r="C677" s="1" t="n">
        <v>46081</v>
      </c>
      <c r="D677" t="inlineStr">
        <is>
          <t>DALARNAS LÄN</t>
        </is>
      </c>
      <c r="E677" t="inlineStr">
        <is>
          <t>LEKSAND</t>
        </is>
      </c>
      <c r="G677" t="n">
        <v>0.2</v>
      </c>
      <c r="H677" t="n">
        <v>0</v>
      </c>
      <c r="I677" t="n">
        <v>0</v>
      </c>
      <c r="J677" t="n">
        <v>0</v>
      </c>
      <c r="K677" t="n">
        <v>0</v>
      </c>
      <c r="L677" t="n">
        <v>0</v>
      </c>
      <c r="M677" t="n">
        <v>0</v>
      </c>
      <c r="N677" t="n">
        <v>0</v>
      </c>
      <c r="O677" t="n">
        <v>0</v>
      </c>
      <c r="P677" t="n">
        <v>0</v>
      </c>
      <c r="Q677" t="n">
        <v>0</v>
      </c>
      <c r="R677" s="2" t="inlineStr"/>
    </row>
    <row r="678" ht="15" customHeight="1">
      <c r="A678" t="inlineStr">
        <is>
          <t>A 46141-2022</t>
        </is>
      </c>
      <c r="B678" s="1" t="n">
        <v>44846</v>
      </c>
      <c r="C678" s="1" t="n">
        <v>46081</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9360-2026</t>
        </is>
      </c>
      <c r="B679" s="1" t="n">
        <v>46070.72917824074</v>
      </c>
      <c r="C679" s="1" t="n">
        <v>46081</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319-2026</t>
        </is>
      </c>
      <c r="B680" s="1" t="n">
        <v>46027</v>
      </c>
      <c r="C680" s="1" t="n">
        <v>46081</v>
      </c>
      <c r="D680" t="inlineStr">
        <is>
          <t>DALARNAS LÄN</t>
        </is>
      </c>
      <c r="E680" t="inlineStr">
        <is>
          <t>LEKSAND</t>
        </is>
      </c>
      <c r="G680" t="n">
        <v>12.9</v>
      </c>
      <c r="H680" t="n">
        <v>0</v>
      </c>
      <c r="I680" t="n">
        <v>0</v>
      </c>
      <c r="J680" t="n">
        <v>0</v>
      </c>
      <c r="K680" t="n">
        <v>0</v>
      </c>
      <c r="L680" t="n">
        <v>0</v>
      </c>
      <c r="M680" t="n">
        <v>0</v>
      </c>
      <c r="N680" t="n">
        <v>0</v>
      </c>
      <c r="O680" t="n">
        <v>0</v>
      </c>
      <c r="P680" t="n">
        <v>0</v>
      </c>
      <c r="Q680" t="n">
        <v>0</v>
      </c>
      <c r="R680" s="2" t="inlineStr"/>
    </row>
    <row r="681" ht="15" customHeight="1">
      <c r="A681" t="inlineStr">
        <is>
          <t>A 62993-2023</t>
        </is>
      </c>
      <c r="B681" s="1" t="n">
        <v>45272</v>
      </c>
      <c r="C681" s="1" t="n">
        <v>46081</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9163-2026</t>
        </is>
      </c>
      <c r="B682" s="1" t="n">
        <v>46070.34811342593</v>
      </c>
      <c r="C682" s="1" t="n">
        <v>46081</v>
      </c>
      <c r="D682" t="inlineStr">
        <is>
          <t>DALARNAS LÄN</t>
        </is>
      </c>
      <c r="E682" t="inlineStr">
        <is>
          <t>LEKSAND</t>
        </is>
      </c>
      <c r="G682" t="n">
        <v>2.2</v>
      </c>
      <c r="H682" t="n">
        <v>0</v>
      </c>
      <c r="I682" t="n">
        <v>0</v>
      </c>
      <c r="J682" t="n">
        <v>0</v>
      </c>
      <c r="K682" t="n">
        <v>0</v>
      </c>
      <c r="L682" t="n">
        <v>0</v>
      </c>
      <c r="M682" t="n">
        <v>0</v>
      </c>
      <c r="N682" t="n">
        <v>0</v>
      </c>
      <c r="O682" t="n">
        <v>0</v>
      </c>
      <c r="P682" t="n">
        <v>0</v>
      </c>
      <c r="Q682" t="n">
        <v>0</v>
      </c>
      <c r="R682" s="2" t="inlineStr"/>
    </row>
    <row r="683" ht="15" customHeight="1">
      <c r="A683" t="inlineStr">
        <is>
          <t>A 9170-2026</t>
        </is>
      </c>
      <c r="B683" s="1" t="n">
        <v>46070.36207175926</v>
      </c>
      <c r="C683" s="1" t="n">
        <v>46081</v>
      </c>
      <c r="D683" t="inlineStr">
        <is>
          <t>DALARNAS LÄN</t>
        </is>
      </c>
      <c r="E683" t="inlineStr">
        <is>
          <t>LEKSAND</t>
        </is>
      </c>
      <c r="G683" t="n">
        <v>2.9</v>
      </c>
      <c r="H683" t="n">
        <v>0</v>
      </c>
      <c r="I683" t="n">
        <v>0</v>
      </c>
      <c r="J683" t="n">
        <v>0</v>
      </c>
      <c r="K683" t="n">
        <v>0</v>
      </c>
      <c r="L683" t="n">
        <v>0</v>
      </c>
      <c r="M683" t="n">
        <v>0</v>
      </c>
      <c r="N683" t="n">
        <v>0</v>
      </c>
      <c r="O683" t="n">
        <v>0</v>
      </c>
      <c r="P683" t="n">
        <v>0</v>
      </c>
      <c r="Q683" t="n">
        <v>0</v>
      </c>
      <c r="R683" s="2" t="inlineStr"/>
    </row>
    <row r="684" ht="15" customHeight="1">
      <c r="A684" t="inlineStr">
        <is>
          <t>A 581-2026</t>
        </is>
      </c>
      <c r="B684" s="1" t="n">
        <v>46029.48001157407</v>
      </c>
      <c r="C684" s="1" t="n">
        <v>46081</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989-2026</t>
        </is>
      </c>
      <c r="B685" s="1" t="n">
        <v>46030</v>
      </c>
      <c r="C685" s="1" t="n">
        <v>46081</v>
      </c>
      <c r="D685" t="inlineStr">
        <is>
          <t>DALARNAS LÄN</t>
        </is>
      </c>
      <c r="E685" t="inlineStr">
        <is>
          <t>LEKSAND</t>
        </is>
      </c>
      <c r="G685" t="n">
        <v>3.9</v>
      </c>
      <c r="H685" t="n">
        <v>0</v>
      </c>
      <c r="I685" t="n">
        <v>0</v>
      </c>
      <c r="J685" t="n">
        <v>0</v>
      </c>
      <c r="K685" t="n">
        <v>0</v>
      </c>
      <c r="L685" t="n">
        <v>0</v>
      </c>
      <c r="M685" t="n">
        <v>0</v>
      </c>
      <c r="N685" t="n">
        <v>0</v>
      </c>
      <c r="O685" t="n">
        <v>0</v>
      </c>
      <c r="P685" t="n">
        <v>0</v>
      </c>
      <c r="Q685" t="n">
        <v>0</v>
      </c>
      <c r="R685" s="2" t="inlineStr"/>
    </row>
    <row r="686" ht="15" customHeight="1">
      <c r="A686" t="inlineStr">
        <is>
          <t>A 593-2026</t>
        </is>
      </c>
      <c r="B686" s="1" t="n">
        <v>46029</v>
      </c>
      <c r="C686" s="1" t="n">
        <v>46081</v>
      </c>
      <c r="D686" t="inlineStr">
        <is>
          <t>DALARNAS LÄN</t>
        </is>
      </c>
      <c r="E686" t="inlineStr">
        <is>
          <t>LEKSAND</t>
        </is>
      </c>
      <c r="G686" t="n">
        <v>1.8</v>
      </c>
      <c r="H686" t="n">
        <v>0</v>
      </c>
      <c r="I686" t="n">
        <v>0</v>
      </c>
      <c r="J686" t="n">
        <v>0</v>
      </c>
      <c r="K686" t="n">
        <v>0</v>
      </c>
      <c r="L686" t="n">
        <v>0</v>
      </c>
      <c r="M686" t="n">
        <v>0</v>
      </c>
      <c r="N686" t="n">
        <v>0</v>
      </c>
      <c r="O686" t="n">
        <v>0</v>
      </c>
      <c r="P686" t="n">
        <v>0</v>
      </c>
      <c r="Q686" t="n">
        <v>0</v>
      </c>
      <c r="R686" s="2" t="inlineStr"/>
    </row>
    <row r="687" ht="15" customHeight="1">
      <c r="A687" t="inlineStr">
        <is>
          <t>A 61933-2023</t>
        </is>
      </c>
      <c r="B687" s="1" t="n">
        <v>45266</v>
      </c>
      <c r="C687" s="1" t="n">
        <v>46081</v>
      </c>
      <c r="D687" t="inlineStr">
        <is>
          <t>DALARNAS LÄN</t>
        </is>
      </c>
      <c r="E687" t="inlineStr">
        <is>
          <t>LEKSAND</t>
        </is>
      </c>
      <c r="G687" t="n">
        <v>0.2</v>
      </c>
      <c r="H687" t="n">
        <v>0</v>
      </c>
      <c r="I687" t="n">
        <v>0</v>
      </c>
      <c r="J687" t="n">
        <v>0</v>
      </c>
      <c r="K687" t="n">
        <v>0</v>
      </c>
      <c r="L687" t="n">
        <v>0</v>
      </c>
      <c r="M687" t="n">
        <v>0</v>
      </c>
      <c r="N687" t="n">
        <v>0</v>
      </c>
      <c r="O687" t="n">
        <v>0</v>
      </c>
      <c r="P687" t="n">
        <v>0</v>
      </c>
      <c r="Q687" t="n">
        <v>0</v>
      </c>
      <c r="R687" s="2" t="inlineStr"/>
    </row>
    <row r="688" ht="15" customHeight="1">
      <c r="A688" t="inlineStr">
        <is>
          <t>A 720-2026</t>
        </is>
      </c>
      <c r="B688" s="1" t="n">
        <v>46029.635</v>
      </c>
      <c r="C688" s="1" t="n">
        <v>46081</v>
      </c>
      <c r="D688" t="inlineStr">
        <is>
          <t>DALARNAS LÄN</t>
        </is>
      </c>
      <c r="E688" t="inlineStr">
        <is>
          <t>LEKSAND</t>
        </is>
      </c>
      <c r="G688" t="n">
        <v>6.7</v>
      </c>
      <c r="H688" t="n">
        <v>0</v>
      </c>
      <c r="I688" t="n">
        <v>0</v>
      </c>
      <c r="J688" t="n">
        <v>0</v>
      </c>
      <c r="K688" t="n">
        <v>0</v>
      </c>
      <c r="L688" t="n">
        <v>0</v>
      </c>
      <c r="M688" t="n">
        <v>0</v>
      </c>
      <c r="N688" t="n">
        <v>0</v>
      </c>
      <c r="O688" t="n">
        <v>0</v>
      </c>
      <c r="P688" t="n">
        <v>0</v>
      </c>
      <c r="Q688" t="n">
        <v>0</v>
      </c>
      <c r="R688" s="2" t="inlineStr"/>
    </row>
    <row r="689" ht="15" customHeight="1">
      <c r="A689" t="inlineStr">
        <is>
          <t>A 33198-2022</t>
        </is>
      </c>
      <c r="B689" s="1" t="n">
        <v>44785.68597222222</v>
      </c>
      <c r="C689" s="1" t="n">
        <v>46081</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15619-2025</t>
        </is>
      </c>
      <c r="B690" s="1" t="n">
        <v>45747</v>
      </c>
      <c r="C690" s="1" t="n">
        <v>46081</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46931-2023</t>
        </is>
      </c>
      <c r="B691" s="1" t="n">
        <v>45201</v>
      </c>
      <c r="C691" s="1" t="n">
        <v>46081</v>
      </c>
      <c r="D691" t="inlineStr">
        <is>
          <t>DALARNAS LÄN</t>
        </is>
      </c>
      <c r="E691" t="inlineStr">
        <is>
          <t>LEKSAND</t>
        </is>
      </c>
      <c r="G691" t="n">
        <v>1.4</v>
      </c>
      <c r="H691" t="n">
        <v>0</v>
      </c>
      <c r="I691" t="n">
        <v>0</v>
      </c>
      <c r="J691" t="n">
        <v>0</v>
      </c>
      <c r="K691" t="n">
        <v>0</v>
      </c>
      <c r="L691" t="n">
        <v>0</v>
      </c>
      <c r="M691" t="n">
        <v>0</v>
      </c>
      <c r="N691" t="n">
        <v>0</v>
      </c>
      <c r="O691" t="n">
        <v>0</v>
      </c>
      <c r="P691" t="n">
        <v>0</v>
      </c>
      <c r="Q691" t="n">
        <v>0</v>
      </c>
      <c r="R691" s="2" t="inlineStr"/>
    </row>
    <row r="692" ht="15" customHeight="1">
      <c r="A692" t="inlineStr">
        <is>
          <t>A 9541-2026</t>
        </is>
      </c>
      <c r="B692" s="1" t="n">
        <v>46071.62190972222</v>
      </c>
      <c r="C692" s="1" t="n">
        <v>46081</v>
      </c>
      <c r="D692" t="inlineStr">
        <is>
          <t>DALARNAS LÄN</t>
        </is>
      </c>
      <c r="E692" t="inlineStr">
        <is>
          <t>LEKSAND</t>
        </is>
      </c>
      <c r="G692" t="n">
        <v>10.8</v>
      </c>
      <c r="H692" t="n">
        <v>0</v>
      </c>
      <c r="I692" t="n">
        <v>0</v>
      </c>
      <c r="J692" t="n">
        <v>0</v>
      </c>
      <c r="K692" t="n">
        <v>0</v>
      </c>
      <c r="L692" t="n">
        <v>0</v>
      </c>
      <c r="M692" t="n">
        <v>0</v>
      </c>
      <c r="N692" t="n">
        <v>0</v>
      </c>
      <c r="O692" t="n">
        <v>0</v>
      </c>
      <c r="P692" t="n">
        <v>0</v>
      </c>
      <c r="Q692" t="n">
        <v>0</v>
      </c>
      <c r="R692" s="2" t="inlineStr"/>
    </row>
    <row r="693" ht="15" customHeight="1">
      <c r="A693" t="inlineStr">
        <is>
          <t>A 17483-2025</t>
        </is>
      </c>
      <c r="B693" s="1" t="n">
        <v>45757.49408564815</v>
      </c>
      <c r="C693" s="1" t="n">
        <v>46081</v>
      </c>
      <c r="D693" t="inlineStr">
        <is>
          <t>DALARNAS LÄN</t>
        </is>
      </c>
      <c r="E693" t="inlineStr">
        <is>
          <t>LEKSAND</t>
        </is>
      </c>
      <c r="G693" t="n">
        <v>4.1</v>
      </c>
      <c r="H693" t="n">
        <v>0</v>
      </c>
      <c r="I693" t="n">
        <v>0</v>
      </c>
      <c r="J693" t="n">
        <v>0</v>
      </c>
      <c r="K693" t="n">
        <v>0</v>
      </c>
      <c r="L693" t="n">
        <v>0</v>
      </c>
      <c r="M693" t="n">
        <v>0</v>
      </c>
      <c r="N693" t="n">
        <v>0</v>
      </c>
      <c r="O693" t="n">
        <v>0</v>
      </c>
      <c r="P693" t="n">
        <v>0</v>
      </c>
      <c r="Q693" t="n">
        <v>0</v>
      </c>
      <c r="R693" s="2" t="inlineStr"/>
    </row>
    <row r="694" ht="15" customHeight="1">
      <c r="A694" t="inlineStr">
        <is>
          <t>A 519-2026</t>
        </is>
      </c>
      <c r="B694" s="1" t="n">
        <v>46029.44658564815</v>
      </c>
      <c r="C694" s="1" t="n">
        <v>46081</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521-2026</t>
        </is>
      </c>
      <c r="B695" s="1" t="n">
        <v>46029.44782407407</v>
      </c>
      <c r="C695" s="1" t="n">
        <v>46081</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17759-2023</t>
        </is>
      </c>
      <c r="B696" s="1" t="n">
        <v>45037.48765046296</v>
      </c>
      <c r="C696" s="1" t="n">
        <v>46081</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43220-2024</t>
        </is>
      </c>
      <c r="B697" s="1" t="n">
        <v>45567.86112268519</v>
      </c>
      <c r="C697" s="1" t="n">
        <v>46081</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435-2026</t>
        </is>
      </c>
      <c r="B698" s="1" t="n">
        <v>46029.33446759259</v>
      </c>
      <c r="C698" s="1" t="n">
        <v>46081</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55015-2024</t>
        </is>
      </c>
      <c r="B699" s="1" t="n">
        <v>45621.35554398148</v>
      </c>
      <c r="C699" s="1" t="n">
        <v>46081</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34039-2024</t>
        </is>
      </c>
      <c r="B700" s="1" t="n">
        <v>45523.5974537037</v>
      </c>
      <c r="C700" s="1" t="n">
        <v>46081</v>
      </c>
      <c r="D700" t="inlineStr">
        <is>
          <t>DALARNAS LÄN</t>
        </is>
      </c>
      <c r="E700" t="inlineStr">
        <is>
          <t>LEKSAND</t>
        </is>
      </c>
      <c r="G700" t="n">
        <v>7.1</v>
      </c>
      <c r="H700" t="n">
        <v>0</v>
      </c>
      <c r="I700" t="n">
        <v>0</v>
      </c>
      <c r="J700" t="n">
        <v>0</v>
      </c>
      <c r="K700" t="n">
        <v>0</v>
      </c>
      <c r="L700" t="n">
        <v>0</v>
      </c>
      <c r="M700" t="n">
        <v>0</v>
      </c>
      <c r="N700" t="n">
        <v>0</v>
      </c>
      <c r="O700" t="n">
        <v>0</v>
      </c>
      <c r="P700" t="n">
        <v>0</v>
      </c>
      <c r="Q700" t="n">
        <v>0</v>
      </c>
      <c r="R700" s="2" t="inlineStr"/>
    </row>
    <row r="701" ht="15" customHeight="1">
      <c r="A701" t="inlineStr">
        <is>
          <t>A 46505-2023</t>
        </is>
      </c>
      <c r="B701" s="1" t="n">
        <v>45197</v>
      </c>
      <c r="C701" s="1" t="n">
        <v>46081</v>
      </c>
      <c r="D701" t="inlineStr">
        <is>
          <t>DALARNAS LÄN</t>
        </is>
      </c>
      <c r="E701" t="inlineStr">
        <is>
          <t>LEKSAND</t>
        </is>
      </c>
      <c r="G701" t="n">
        <v>2.3</v>
      </c>
      <c r="H701" t="n">
        <v>0</v>
      </c>
      <c r="I701" t="n">
        <v>0</v>
      </c>
      <c r="J701" t="n">
        <v>0</v>
      </c>
      <c r="K701" t="n">
        <v>0</v>
      </c>
      <c r="L701" t="n">
        <v>0</v>
      </c>
      <c r="M701" t="n">
        <v>0</v>
      </c>
      <c r="N701" t="n">
        <v>0</v>
      </c>
      <c r="O701" t="n">
        <v>0</v>
      </c>
      <c r="P701" t="n">
        <v>0</v>
      </c>
      <c r="Q701" t="n">
        <v>0</v>
      </c>
      <c r="R701" s="2" t="inlineStr"/>
    </row>
    <row r="702" ht="15" customHeight="1">
      <c r="A702" t="inlineStr">
        <is>
          <t>A 489-2026</t>
        </is>
      </c>
      <c r="B702" s="1" t="n">
        <v>46029.42424768519</v>
      </c>
      <c r="C702" s="1" t="n">
        <v>46081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481-2024</t>
        </is>
      </c>
      <c r="B703" s="1" t="n">
        <v>45298</v>
      </c>
      <c r="C703" s="1" t="n">
        <v>46081</v>
      </c>
      <c r="D703" t="inlineStr">
        <is>
          <t>DALARNAS LÄN</t>
        </is>
      </c>
      <c r="E703" t="inlineStr">
        <is>
          <t>LEKSAND</t>
        </is>
      </c>
      <c r="G703" t="n">
        <v>7</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45216.43444444444</v>
      </c>
      <c r="C704" s="1" t="n">
        <v>46081</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10081-2026</t>
        </is>
      </c>
      <c r="B705" s="1" t="n">
        <v>46073</v>
      </c>
      <c r="C705" s="1" t="n">
        <v>46081</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1149-2026</t>
        </is>
      </c>
      <c r="B706" s="1" t="n">
        <v>46030.92302083333</v>
      </c>
      <c r="C706" s="1" t="n">
        <v>46081</v>
      </c>
      <c r="D706" t="inlineStr">
        <is>
          <t>DALARNAS LÄN</t>
        </is>
      </c>
      <c r="E706" t="inlineStr">
        <is>
          <t>LEKSAND</t>
        </is>
      </c>
      <c r="G706" t="n">
        <v>11.7</v>
      </c>
      <c r="H706" t="n">
        <v>0</v>
      </c>
      <c r="I706" t="n">
        <v>0</v>
      </c>
      <c r="J706" t="n">
        <v>0</v>
      </c>
      <c r="K706" t="n">
        <v>0</v>
      </c>
      <c r="L706" t="n">
        <v>0</v>
      </c>
      <c r="M706" t="n">
        <v>0</v>
      </c>
      <c r="N706" t="n">
        <v>0</v>
      </c>
      <c r="O706" t="n">
        <v>0</v>
      </c>
      <c r="P706" t="n">
        <v>0</v>
      </c>
      <c r="Q706" t="n">
        <v>0</v>
      </c>
      <c r="R706" s="2" t="inlineStr"/>
    </row>
    <row r="707" ht="15" customHeight="1">
      <c r="A707" t="inlineStr">
        <is>
          <t>A 16197-2024</t>
        </is>
      </c>
      <c r="B707" s="1" t="n">
        <v>45406.70356481482</v>
      </c>
      <c r="C707" s="1" t="n">
        <v>46081</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5453-2025</t>
        </is>
      </c>
      <c r="B708" s="1" t="n">
        <v>45692.95231481481</v>
      </c>
      <c r="C708" s="1" t="n">
        <v>46081</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57925-2024</t>
        </is>
      </c>
      <c r="B709" s="1" t="n">
        <v>45630</v>
      </c>
      <c r="C709" s="1" t="n">
        <v>46081</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27445-2024</t>
        </is>
      </c>
      <c r="B710" s="1" t="n">
        <v>45474.42474537037</v>
      </c>
      <c r="C710" s="1" t="n">
        <v>46081</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27446-2024</t>
        </is>
      </c>
      <c r="B711" s="1" t="n">
        <v>45474.42671296297</v>
      </c>
      <c r="C711" s="1" t="n">
        <v>46081</v>
      </c>
      <c r="D711" t="inlineStr">
        <is>
          <t>DALARNAS LÄN</t>
        </is>
      </c>
      <c r="E711" t="inlineStr">
        <is>
          <t>LEKSAND</t>
        </is>
      </c>
      <c r="G711" t="n">
        <v>2.9</v>
      </c>
      <c r="H711" t="n">
        <v>0</v>
      </c>
      <c r="I711" t="n">
        <v>0</v>
      </c>
      <c r="J711" t="n">
        <v>0</v>
      </c>
      <c r="K711" t="n">
        <v>0</v>
      </c>
      <c r="L711" t="n">
        <v>0</v>
      </c>
      <c r="M711" t="n">
        <v>0</v>
      </c>
      <c r="N711" t="n">
        <v>0</v>
      </c>
      <c r="O711" t="n">
        <v>0</v>
      </c>
      <c r="P711" t="n">
        <v>0</v>
      </c>
      <c r="Q711" t="n">
        <v>0</v>
      </c>
      <c r="R711" s="2" t="inlineStr"/>
    </row>
    <row r="712" ht="15" customHeight="1">
      <c r="A712" t="inlineStr">
        <is>
          <t>A 18837-2023</t>
        </is>
      </c>
      <c r="B712" s="1" t="n">
        <v>45044.42940972222</v>
      </c>
      <c r="C712" s="1" t="n">
        <v>46081</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17730-2024</t>
        </is>
      </c>
      <c r="B713" s="1" t="n">
        <v>45418</v>
      </c>
      <c r="C713" s="1" t="n">
        <v>46081</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1441-2026</t>
        </is>
      </c>
      <c r="B714" s="1" t="n">
        <v>46032</v>
      </c>
      <c r="C714" s="1" t="n">
        <v>46081</v>
      </c>
      <c r="D714" t="inlineStr">
        <is>
          <t>DALARNAS LÄN</t>
        </is>
      </c>
      <c r="E714" t="inlineStr">
        <is>
          <t>LEKSAND</t>
        </is>
      </c>
      <c r="G714" t="n">
        <v>4.9</v>
      </c>
      <c r="H714" t="n">
        <v>0</v>
      </c>
      <c r="I714" t="n">
        <v>0</v>
      </c>
      <c r="J714" t="n">
        <v>0</v>
      </c>
      <c r="K714" t="n">
        <v>0</v>
      </c>
      <c r="L714" t="n">
        <v>0</v>
      </c>
      <c r="M714" t="n">
        <v>0</v>
      </c>
      <c r="N714" t="n">
        <v>0</v>
      </c>
      <c r="O714" t="n">
        <v>0</v>
      </c>
      <c r="P714" t="n">
        <v>0</v>
      </c>
      <c r="Q714" t="n">
        <v>0</v>
      </c>
      <c r="R714" s="2" t="inlineStr"/>
    </row>
    <row r="715" ht="15" customHeight="1">
      <c r="A715" t="inlineStr">
        <is>
          <t>A 64933-2023</t>
        </is>
      </c>
      <c r="B715" s="1" t="n">
        <v>45282</v>
      </c>
      <c r="C715" s="1" t="n">
        <v>46081</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367-2026</t>
        </is>
      </c>
      <c r="B716" s="1" t="n">
        <v>46027</v>
      </c>
      <c r="C716" s="1" t="n">
        <v>46081</v>
      </c>
      <c r="D716" t="inlineStr">
        <is>
          <t>DALARNAS LÄN</t>
        </is>
      </c>
      <c r="E716" t="inlineStr">
        <is>
          <t>LEKSAND</t>
        </is>
      </c>
      <c r="G716" t="n">
        <v>4.3</v>
      </c>
      <c r="H716" t="n">
        <v>0</v>
      </c>
      <c r="I716" t="n">
        <v>0</v>
      </c>
      <c r="J716" t="n">
        <v>0</v>
      </c>
      <c r="K716" t="n">
        <v>0</v>
      </c>
      <c r="L716" t="n">
        <v>0</v>
      </c>
      <c r="M716" t="n">
        <v>0</v>
      </c>
      <c r="N716" t="n">
        <v>0</v>
      </c>
      <c r="O716" t="n">
        <v>0</v>
      </c>
      <c r="P716" t="n">
        <v>0</v>
      </c>
      <c r="Q716" t="n">
        <v>0</v>
      </c>
      <c r="R716" s="2" t="inlineStr"/>
    </row>
    <row r="717" ht="15" customHeight="1">
      <c r="A717" t="inlineStr">
        <is>
          <t>A 1220-2026</t>
        </is>
      </c>
      <c r="B717" s="1" t="n">
        <v>46031.40140046296</v>
      </c>
      <c r="C717" s="1" t="n">
        <v>46081</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368-2026</t>
        </is>
      </c>
      <c r="B718" s="1" t="n">
        <v>46027</v>
      </c>
      <c r="C718" s="1" t="n">
        <v>46081</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39620-2024</t>
        </is>
      </c>
      <c r="B719" s="1" t="n">
        <v>45552.43163194445</v>
      </c>
      <c r="C719" s="1" t="n">
        <v>46081</v>
      </c>
      <c r="D719" t="inlineStr">
        <is>
          <t>DALARNAS LÄN</t>
        </is>
      </c>
      <c r="E719" t="inlineStr">
        <is>
          <t>LEKSAND</t>
        </is>
      </c>
      <c r="G719" t="n">
        <v>2.3</v>
      </c>
      <c r="H719" t="n">
        <v>0</v>
      </c>
      <c r="I719" t="n">
        <v>0</v>
      </c>
      <c r="J719" t="n">
        <v>0</v>
      </c>
      <c r="K719" t="n">
        <v>0</v>
      </c>
      <c r="L719" t="n">
        <v>0</v>
      </c>
      <c r="M719" t="n">
        <v>0</v>
      </c>
      <c r="N719" t="n">
        <v>0</v>
      </c>
      <c r="O719" t="n">
        <v>0</v>
      </c>
      <c r="P719" t="n">
        <v>0</v>
      </c>
      <c r="Q719" t="n">
        <v>0</v>
      </c>
      <c r="R719" s="2" t="inlineStr"/>
    </row>
    <row r="720" ht="15" customHeight="1">
      <c r="A720" t="inlineStr">
        <is>
          <t>A 57907-2024</t>
        </is>
      </c>
      <c r="B720" s="1" t="n">
        <v>45630</v>
      </c>
      <c r="C720" s="1" t="n">
        <v>46081</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9858-2026</t>
        </is>
      </c>
      <c r="B721" s="1" t="n">
        <v>46072.9233912037</v>
      </c>
      <c r="C721" s="1" t="n">
        <v>46081</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59236-2024</t>
        </is>
      </c>
      <c r="B722" s="1" t="n">
        <v>45637.58795138889</v>
      </c>
      <c r="C722" s="1" t="n">
        <v>46081</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34038-2024</t>
        </is>
      </c>
      <c r="B723" s="1" t="n">
        <v>45523.59578703704</v>
      </c>
      <c r="C723" s="1" t="n">
        <v>46081</v>
      </c>
      <c r="D723" t="inlineStr">
        <is>
          <t>DALARNAS LÄN</t>
        </is>
      </c>
      <c r="E723" t="inlineStr">
        <is>
          <t>LEKSAND</t>
        </is>
      </c>
      <c r="G723" t="n">
        <v>0.3</v>
      </c>
      <c r="H723" t="n">
        <v>0</v>
      </c>
      <c r="I723" t="n">
        <v>0</v>
      </c>
      <c r="J723" t="n">
        <v>0</v>
      </c>
      <c r="K723" t="n">
        <v>0</v>
      </c>
      <c r="L723" t="n">
        <v>0</v>
      </c>
      <c r="M723" t="n">
        <v>0</v>
      </c>
      <c r="N723" t="n">
        <v>0</v>
      </c>
      <c r="O723" t="n">
        <v>0</v>
      </c>
      <c r="P723" t="n">
        <v>0</v>
      </c>
      <c r="Q723" t="n">
        <v>0</v>
      </c>
      <c r="R723" s="2" t="inlineStr"/>
    </row>
    <row r="724" ht="15" customHeight="1">
      <c r="A724" t="inlineStr">
        <is>
          <t>A 34041-2024</t>
        </is>
      </c>
      <c r="B724" s="1" t="n">
        <v>45523.59895833334</v>
      </c>
      <c r="C724" s="1" t="n">
        <v>46081</v>
      </c>
      <c r="D724" t="inlineStr">
        <is>
          <t>DALARNAS LÄN</t>
        </is>
      </c>
      <c r="E724" t="inlineStr">
        <is>
          <t>LEKSAND</t>
        </is>
      </c>
      <c r="G724" t="n">
        <v>4</v>
      </c>
      <c r="H724" t="n">
        <v>0</v>
      </c>
      <c r="I724" t="n">
        <v>0</v>
      </c>
      <c r="J724" t="n">
        <v>0</v>
      </c>
      <c r="K724" t="n">
        <v>0</v>
      </c>
      <c r="L724" t="n">
        <v>0</v>
      </c>
      <c r="M724" t="n">
        <v>0</v>
      </c>
      <c r="N724" t="n">
        <v>0</v>
      </c>
      <c r="O724" t="n">
        <v>0</v>
      </c>
      <c r="P724" t="n">
        <v>0</v>
      </c>
      <c r="Q724" t="n">
        <v>0</v>
      </c>
      <c r="R724" s="2" t="inlineStr"/>
    </row>
    <row r="725" ht="15" customHeight="1">
      <c r="A725" t="inlineStr">
        <is>
          <t>A 1968-2026</t>
        </is>
      </c>
      <c r="B725" s="1" t="n">
        <v>46035.63878472222</v>
      </c>
      <c r="C725" s="1" t="n">
        <v>46081</v>
      </c>
      <c r="D725" t="inlineStr">
        <is>
          <t>DALARNAS LÄN</t>
        </is>
      </c>
      <c r="E725" t="inlineStr">
        <is>
          <t>LEKSAND</t>
        </is>
      </c>
      <c r="G725" t="n">
        <v>2.8</v>
      </c>
      <c r="H725" t="n">
        <v>0</v>
      </c>
      <c r="I725" t="n">
        <v>0</v>
      </c>
      <c r="J725" t="n">
        <v>0</v>
      </c>
      <c r="K725" t="n">
        <v>0</v>
      </c>
      <c r="L725" t="n">
        <v>0</v>
      </c>
      <c r="M725" t="n">
        <v>0</v>
      </c>
      <c r="N725" t="n">
        <v>0</v>
      </c>
      <c r="O725" t="n">
        <v>0</v>
      </c>
      <c r="P725" t="n">
        <v>0</v>
      </c>
      <c r="Q725" t="n">
        <v>0</v>
      </c>
      <c r="R725" s="2" t="inlineStr"/>
    </row>
    <row r="726" ht="15" customHeight="1">
      <c r="A726" t="inlineStr">
        <is>
          <t>A 1995-2026</t>
        </is>
      </c>
      <c r="B726" s="1" t="n">
        <v>46035.67491898148</v>
      </c>
      <c r="C726" s="1" t="n">
        <v>46081</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1946-2026</t>
        </is>
      </c>
      <c r="B727" s="1" t="n">
        <v>46035</v>
      </c>
      <c r="C727" s="1" t="n">
        <v>46081</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9802-2026</t>
        </is>
      </c>
      <c r="B728" s="1" t="n">
        <v>46072</v>
      </c>
      <c r="C728" s="1" t="n">
        <v>46081</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10833-2023</t>
        </is>
      </c>
      <c r="B729" s="1" t="n">
        <v>44990</v>
      </c>
      <c r="C729" s="1" t="n">
        <v>46081</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8969-2026</t>
        </is>
      </c>
      <c r="B730" s="1" t="n">
        <v>46069</v>
      </c>
      <c r="C730" s="1" t="n">
        <v>46081</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2048-2026</t>
        </is>
      </c>
      <c r="B731" s="1" t="n">
        <v>46035.84534722222</v>
      </c>
      <c r="C731" s="1" t="n">
        <v>46081</v>
      </c>
      <c r="D731" t="inlineStr">
        <is>
          <t>DALARNAS LÄN</t>
        </is>
      </c>
      <c r="E731" t="inlineStr">
        <is>
          <t>LEKSAND</t>
        </is>
      </c>
      <c r="G731" t="n">
        <v>2.7</v>
      </c>
      <c r="H731" t="n">
        <v>0</v>
      </c>
      <c r="I731" t="n">
        <v>0</v>
      </c>
      <c r="J731" t="n">
        <v>0</v>
      </c>
      <c r="K731" t="n">
        <v>0</v>
      </c>
      <c r="L731" t="n">
        <v>0</v>
      </c>
      <c r="M731" t="n">
        <v>0</v>
      </c>
      <c r="N731" t="n">
        <v>0</v>
      </c>
      <c r="O731" t="n">
        <v>0</v>
      </c>
      <c r="P731" t="n">
        <v>0</v>
      </c>
      <c r="Q731" t="n">
        <v>0</v>
      </c>
      <c r="R731" s="2" t="inlineStr"/>
    </row>
    <row r="732" ht="15" customHeight="1">
      <c r="A732" t="inlineStr">
        <is>
          <t>A 1960-2026</t>
        </is>
      </c>
      <c r="B732" s="1" t="n">
        <v>46035</v>
      </c>
      <c r="C732" s="1" t="n">
        <v>46081</v>
      </c>
      <c r="D732" t="inlineStr">
        <is>
          <t>DALARNAS LÄN</t>
        </is>
      </c>
      <c r="E732" t="inlineStr">
        <is>
          <t>LEKSAND</t>
        </is>
      </c>
      <c r="G732" t="n">
        <v>4.3</v>
      </c>
      <c r="H732" t="n">
        <v>0</v>
      </c>
      <c r="I732" t="n">
        <v>0</v>
      </c>
      <c r="J732" t="n">
        <v>0</v>
      </c>
      <c r="K732" t="n">
        <v>0</v>
      </c>
      <c r="L732" t="n">
        <v>0</v>
      </c>
      <c r="M732" t="n">
        <v>0</v>
      </c>
      <c r="N732" t="n">
        <v>0</v>
      </c>
      <c r="O732" t="n">
        <v>0</v>
      </c>
      <c r="P732" t="n">
        <v>0</v>
      </c>
      <c r="Q732" t="n">
        <v>0</v>
      </c>
      <c r="R732" s="2" t="inlineStr"/>
    </row>
    <row r="733" ht="15" customHeight="1">
      <c r="A733" t="inlineStr">
        <is>
          <t>A 1950-2026</t>
        </is>
      </c>
      <c r="B733" s="1" t="n">
        <v>46035</v>
      </c>
      <c r="C733" s="1" t="n">
        <v>46081</v>
      </c>
      <c r="D733" t="inlineStr">
        <is>
          <t>DALARNAS LÄN</t>
        </is>
      </c>
      <c r="E733" t="inlineStr">
        <is>
          <t>LEKSAND</t>
        </is>
      </c>
      <c r="G733" t="n">
        <v>5.3</v>
      </c>
      <c r="H733" t="n">
        <v>0</v>
      </c>
      <c r="I733" t="n">
        <v>0</v>
      </c>
      <c r="J733" t="n">
        <v>0</v>
      </c>
      <c r="K733" t="n">
        <v>0</v>
      </c>
      <c r="L733" t="n">
        <v>0</v>
      </c>
      <c r="M733" t="n">
        <v>0</v>
      </c>
      <c r="N733" t="n">
        <v>0</v>
      </c>
      <c r="O733" t="n">
        <v>0</v>
      </c>
      <c r="P733" t="n">
        <v>0</v>
      </c>
      <c r="Q733" t="n">
        <v>0</v>
      </c>
      <c r="R733" s="2" t="inlineStr"/>
    </row>
    <row r="734" ht="15" customHeight="1">
      <c r="A734" t="inlineStr">
        <is>
          <t>A 17233-2023</t>
        </is>
      </c>
      <c r="B734" s="1" t="n">
        <v>45035</v>
      </c>
      <c r="C734" s="1" t="n">
        <v>46081</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16231-2021</t>
        </is>
      </c>
      <c r="B735" s="1" t="n">
        <v>44292</v>
      </c>
      <c r="C735" s="1" t="n">
        <v>46081</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6249-2026</t>
        </is>
      </c>
      <c r="B736" s="1" t="n">
        <v>46055.47015046296</v>
      </c>
      <c r="C736" s="1" t="n">
        <v>46081</v>
      </c>
      <c r="D736" t="inlineStr">
        <is>
          <t>DALARNAS LÄN</t>
        </is>
      </c>
      <c r="E736" t="inlineStr">
        <is>
          <t>LEKSAND</t>
        </is>
      </c>
      <c r="G736" t="n">
        <v>3.4</v>
      </c>
      <c r="H736" t="n">
        <v>0</v>
      </c>
      <c r="I736" t="n">
        <v>0</v>
      </c>
      <c r="J736" t="n">
        <v>0</v>
      </c>
      <c r="K736" t="n">
        <v>0</v>
      </c>
      <c r="L736" t="n">
        <v>0</v>
      </c>
      <c r="M736" t="n">
        <v>0</v>
      </c>
      <c r="N736" t="n">
        <v>0</v>
      </c>
      <c r="O736" t="n">
        <v>0</v>
      </c>
      <c r="P736" t="n">
        <v>0</v>
      </c>
      <c r="Q736" t="n">
        <v>0</v>
      </c>
      <c r="R736" s="2" t="inlineStr"/>
    </row>
    <row r="737" ht="15" customHeight="1">
      <c r="A737" t="inlineStr">
        <is>
          <t>A 5615-2026</t>
        </is>
      </c>
      <c r="B737" s="1" t="n">
        <v>46051</v>
      </c>
      <c r="C737" s="1" t="n">
        <v>46081</v>
      </c>
      <c r="D737" t="inlineStr">
        <is>
          <t>DALARNAS LÄN</t>
        </is>
      </c>
      <c r="E737" t="inlineStr">
        <is>
          <t>LEKSAND</t>
        </is>
      </c>
      <c r="G737" t="n">
        <v>1.7</v>
      </c>
      <c r="H737" t="n">
        <v>0</v>
      </c>
      <c r="I737" t="n">
        <v>0</v>
      </c>
      <c r="J737" t="n">
        <v>0</v>
      </c>
      <c r="K737" t="n">
        <v>0</v>
      </c>
      <c r="L737" t="n">
        <v>0</v>
      </c>
      <c r="M737" t="n">
        <v>0</v>
      </c>
      <c r="N737" t="n">
        <v>0</v>
      </c>
      <c r="O737" t="n">
        <v>0</v>
      </c>
      <c r="P737" t="n">
        <v>0</v>
      </c>
      <c r="Q737" t="n">
        <v>0</v>
      </c>
      <c r="R737" s="2" t="inlineStr"/>
    </row>
    <row r="738" ht="15" customHeight="1">
      <c r="A738" t="inlineStr">
        <is>
          <t>A 2068-2026</t>
        </is>
      </c>
      <c r="B738" s="1" t="n">
        <v>46036.27943287037</v>
      </c>
      <c r="C738" s="1" t="n">
        <v>46081</v>
      </c>
      <c r="D738" t="inlineStr">
        <is>
          <t>DALARNAS LÄN</t>
        </is>
      </c>
      <c r="E738" t="inlineStr">
        <is>
          <t>LEKSAND</t>
        </is>
      </c>
      <c r="F738" t="inlineStr">
        <is>
          <t>Övriga Aktiebolag</t>
        </is>
      </c>
      <c r="G738" t="n">
        <v>15.5</v>
      </c>
      <c r="H738" t="n">
        <v>0</v>
      </c>
      <c r="I738" t="n">
        <v>0</v>
      </c>
      <c r="J738" t="n">
        <v>0</v>
      </c>
      <c r="K738" t="n">
        <v>0</v>
      </c>
      <c r="L738" t="n">
        <v>0</v>
      </c>
      <c r="M738" t="n">
        <v>0</v>
      </c>
      <c r="N738" t="n">
        <v>0</v>
      </c>
      <c r="O738" t="n">
        <v>0</v>
      </c>
      <c r="P738" t="n">
        <v>0</v>
      </c>
      <c r="Q738" t="n">
        <v>0</v>
      </c>
      <c r="R738" s="2" t="inlineStr"/>
    </row>
    <row r="739" ht="15" customHeight="1">
      <c r="A739" t="inlineStr">
        <is>
          <t>A 12857-2023</t>
        </is>
      </c>
      <c r="B739" s="1" t="n">
        <v>45001.5000462963</v>
      </c>
      <c r="C739" s="1" t="n">
        <v>46081</v>
      </c>
      <c r="D739" t="inlineStr">
        <is>
          <t>DALARNAS LÄN</t>
        </is>
      </c>
      <c r="E739" t="inlineStr">
        <is>
          <t>LEKSAND</t>
        </is>
      </c>
      <c r="G739" t="n">
        <v>0.2</v>
      </c>
      <c r="H739" t="n">
        <v>0</v>
      </c>
      <c r="I739" t="n">
        <v>0</v>
      </c>
      <c r="J739" t="n">
        <v>0</v>
      </c>
      <c r="K739" t="n">
        <v>0</v>
      </c>
      <c r="L739" t="n">
        <v>0</v>
      </c>
      <c r="M739" t="n">
        <v>0</v>
      </c>
      <c r="N739" t="n">
        <v>0</v>
      </c>
      <c r="O739" t="n">
        <v>0</v>
      </c>
      <c r="P739" t="n">
        <v>0</v>
      </c>
      <c r="Q739" t="n">
        <v>0</v>
      </c>
      <c r="R739" s="2" t="inlineStr"/>
    </row>
    <row r="740" ht="15" customHeight="1">
      <c r="A740" t="inlineStr">
        <is>
          <t>A 9644-2026</t>
        </is>
      </c>
      <c r="B740" s="1" t="n">
        <v>46072</v>
      </c>
      <c r="C740" s="1" t="n">
        <v>46081</v>
      </c>
      <c r="D740" t="inlineStr">
        <is>
          <t>DALARNAS LÄN</t>
        </is>
      </c>
      <c r="E740" t="inlineStr">
        <is>
          <t>LEKSAND</t>
        </is>
      </c>
      <c r="G740" t="n">
        <v>3.5</v>
      </c>
      <c r="H740" t="n">
        <v>0</v>
      </c>
      <c r="I740" t="n">
        <v>0</v>
      </c>
      <c r="J740" t="n">
        <v>0</v>
      </c>
      <c r="K740" t="n">
        <v>0</v>
      </c>
      <c r="L740" t="n">
        <v>0</v>
      </c>
      <c r="M740" t="n">
        <v>0</v>
      </c>
      <c r="N740" t="n">
        <v>0</v>
      </c>
      <c r="O740" t="n">
        <v>0</v>
      </c>
      <c r="P740" t="n">
        <v>0</v>
      </c>
      <c r="Q740" t="n">
        <v>0</v>
      </c>
      <c r="R740" s="2" t="inlineStr"/>
    </row>
    <row r="741" ht="15" customHeight="1">
      <c r="A741" t="inlineStr">
        <is>
          <t>A 28674-2024</t>
        </is>
      </c>
      <c r="B741" s="1" t="n">
        <v>45478.47863425926</v>
      </c>
      <c r="C741" s="1" t="n">
        <v>46081</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1899-2026</t>
        </is>
      </c>
      <c r="B742" s="1" t="n">
        <v>46035</v>
      </c>
      <c r="C742" s="1" t="n">
        <v>46081</v>
      </c>
      <c r="D742" t="inlineStr">
        <is>
          <t>DALARNAS LÄN</t>
        </is>
      </c>
      <c r="E742" t="inlineStr">
        <is>
          <t>LEKSAND</t>
        </is>
      </c>
      <c r="G742" t="n">
        <v>3.6</v>
      </c>
      <c r="H742" t="n">
        <v>0</v>
      </c>
      <c r="I742" t="n">
        <v>0</v>
      </c>
      <c r="J742" t="n">
        <v>0</v>
      </c>
      <c r="K742" t="n">
        <v>0</v>
      </c>
      <c r="L742" t="n">
        <v>0</v>
      </c>
      <c r="M742" t="n">
        <v>0</v>
      </c>
      <c r="N742" t="n">
        <v>0</v>
      </c>
      <c r="O742" t="n">
        <v>0</v>
      </c>
      <c r="P742" t="n">
        <v>0</v>
      </c>
      <c r="Q742" t="n">
        <v>0</v>
      </c>
      <c r="R742" s="2" t="inlineStr"/>
    </row>
    <row r="743" ht="15" customHeight="1">
      <c r="A743" t="inlineStr">
        <is>
          <t>A 19622-2024</t>
        </is>
      </c>
      <c r="B743" s="1" t="n">
        <v>45432.33592592592</v>
      </c>
      <c r="C743" s="1" t="n">
        <v>46081</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1983-2026</t>
        </is>
      </c>
      <c r="B744" s="1" t="n">
        <v>46035</v>
      </c>
      <c r="C744" s="1" t="n">
        <v>46081</v>
      </c>
      <c r="D744" t="inlineStr">
        <is>
          <t>DALARNAS LÄN</t>
        </is>
      </c>
      <c r="E744" t="inlineStr">
        <is>
          <t>LEKSAND</t>
        </is>
      </c>
      <c r="G744" t="n">
        <v>2.3</v>
      </c>
      <c r="H744" t="n">
        <v>0</v>
      </c>
      <c r="I744" t="n">
        <v>0</v>
      </c>
      <c r="J744" t="n">
        <v>0</v>
      </c>
      <c r="K744" t="n">
        <v>0</v>
      </c>
      <c r="L744" t="n">
        <v>0</v>
      </c>
      <c r="M744" t="n">
        <v>0</v>
      </c>
      <c r="N744" t="n">
        <v>0</v>
      </c>
      <c r="O744" t="n">
        <v>0</v>
      </c>
      <c r="P744" t="n">
        <v>0</v>
      </c>
      <c r="Q744" t="n">
        <v>0</v>
      </c>
      <c r="R744" s="2" t="inlineStr"/>
    </row>
    <row r="745" ht="15" customHeight="1">
      <c r="A745" t="inlineStr">
        <is>
          <t>A 2373-2026</t>
        </is>
      </c>
      <c r="B745" s="1" t="n">
        <v>46036.64986111111</v>
      </c>
      <c r="C745" s="1" t="n">
        <v>46081</v>
      </c>
      <c r="D745" t="inlineStr">
        <is>
          <t>DALARNAS LÄN</t>
        </is>
      </c>
      <c r="E745" t="inlineStr">
        <is>
          <t>LEKSAND</t>
        </is>
      </c>
      <c r="G745" t="n">
        <v>2.3</v>
      </c>
      <c r="H745" t="n">
        <v>0</v>
      </c>
      <c r="I745" t="n">
        <v>0</v>
      </c>
      <c r="J745" t="n">
        <v>0</v>
      </c>
      <c r="K745" t="n">
        <v>0</v>
      </c>
      <c r="L745" t="n">
        <v>0</v>
      </c>
      <c r="M745" t="n">
        <v>0</v>
      </c>
      <c r="N745" t="n">
        <v>0</v>
      </c>
      <c r="O745" t="n">
        <v>0</v>
      </c>
      <c r="P745" t="n">
        <v>0</v>
      </c>
      <c r="Q745" t="n">
        <v>0</v>
      </c>
      <c r="R745" s="2" t="inlineStr"/>
    </row>
    <row r="746" ht="15" customHeight="1">
      <c r="A746" t="inlineStr">
        <is>
          <t>A 10659-2026</t>
        </is>
      </c>
      <c r="B746" s="1" t="n">
        <v>46078.36622685185</v>
      </c>
      <c r="C746" s="1" t="n">
        <v>46081</v>
      </c>
      <c r="D746" t="inlineStr">
        <is>
          <t>DALARNAS LÄN</t>
        </is>
      </c>
      <c r="E746" t="inlineStr">
        <is>
          <t>LEKSAND</t>
        </is>
      </c>
      <c r="G746" t="n">
        <v>2.7</v>
      </c>
      <c r="H746" t="n">
        <v>0</v>
      </c>
      <c r="I746" t="n">
        <v>0</v>
      </c>
      <c r="J746" t="n">
        <v>0</v>
      </c>
      <c r="K746" t="n">
        <v>0</v>
      </c>
      <c r="L746" t="n">
        <v>0</v>
      </c>
      <c r="M746" t="n">
        <v>0</v>
      </c>
      <c r="N746" t="n">
        <v>0</v>
      </c>
      <c r="O746" t="n">
        <v>0</v>
      </c>
      <c r="P746" t="n">
        <v>0</v>
      </c>
      <c r="Q746" t="n">
        <v>0</v>
      </c>
      <c r="R746" s="2" t="inlineStr"/>
    </row>
    <row r="747" ht="15" customHeight="1">
      <c r="A747" t="inlineStr">
        <is>
          <t>A 2397-2026</t>
        </is>
      </c>
      <c r="B747" s="1" t="n">
        <v>46036.67840277778</v>
      </c>
      <c r="C747" s="1" t="n">
        <v>46081</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4885-2026</t>
        </is>
      </c>
      <c r="B748" s="1" t="n">
        <v>46048</v>
      </c>
      <c r="C748" s="1" t="n">
        <v>46081</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27317-2021</t>
        </is>
      </c>
      <c r="B749" s="1" t="n">
        <v>44351</v>
      </c>
      <c r="C749" s="1" t="n">
        <v>46081</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61055-2023</t>
        </is>
      </c>
      <c r="B750" s="1" t="n">
        <v>45261</v>
      </c>
      <c r="C750" s="1" t="n">
        <v>46081</v>
      </c>
      <c r="D750" t="inlineStr">
        <is>
          <t>DALARNAS LÄN</t>
        </is>
      </c>
      <c r="E750" t="inlineStr">
        <is>
          <t>LEKSAND</t>
        </is>
      </c>
      <c r="G750" t="n">
        <v>0.3</v>
      </c>
      <c r="H750" t="n">
        <v>0</v>
      </c>
      <c r="I750" t="n">
        <v>0</v>
      </c>
      <c r="J750" t="n">
        <v>0</v>
      </c>
      <c r="K750" t="n">
        <v>0</v>
      </c>
      <c r="L750" t="n">
        <v>0</v>
      </c>
      <c r="M750" t="n">
        <v>0</v>
      </c>
      <c r="N750" t="n">
        <v>0</v>
      </c>
      <c r="O750" t="n">
        <v>0</v>
      </c>
      <c r="P750" t="n">
        <v>0</v>
      </c>
      <c r="Q750" t="n">
        <v>0</v>
      </c>
      <c r="R750" s="2" t="inlineStr"/>
    </row>
    <row r="751" ht="15" customHeight="1">
      <c r="A751" t="inlineStr">
        <is>
          <t>A 2853-2026</t>
        </is>
      </c>
      <c r="B751" s="1" t="n">
        <v>46038.48278935185</v>
      </c>
      <c r="C751" s="1" t="n">
        <v>46081</v>
      </c>
      <c r="D751" t="inlineStr">
        <is>
          <t>DALARNAS LÄN</t>
        </is>
      </c>
      <c r="E751" t="inlineStr">
        <is>
          <t>LEKSAND</t>
        </is>
      </c>
      <c r="G751" t="n">
        <v>1.4</v>
      </c>
      <c r="H751" t="n">
        <v>0</v>
      </c>
      <c r="I751" t="n">
        <v>0</v>
      </c>
      <c r="J751" t="n">
        <v>0</v>
      </c>
      <c r="K751" t="n">
        <v>0</v>
      </c>
      <c r="L751" t="n">
        <v>0</v>
      </c>
      <c r="M751" t="n">
        <v>0</v>
      </c>
      <c r="N751" t="n">
        <v>0</v>
      </c>
      <c r="O751" t="n">
        <v>0</v>
      </c>
      <c r="P751" t="n">
        <v>0</v>
      </c>
      <c r="Q751" t="n">
        <v>0</v>
      </c>
      <c r="R751" s="2" t="inlineStr"/>
    </row>
    <row r="752" ht="15" customHeight="1">
      <c r="A752" t="inlineStr">
        <is>
          <t>A 10743-2024</t>
        </is>
      </c>
      <c r="B752" s="1" t="n">
        <v>45369.52167824074</v>
      </c>
      <c r="C752" s="1" t="n">
        <v>46081</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57536-2025</t>
        </is>
      </c>
      <c r="B753" s="1" t="n">
        <v>45980.64287037037</v>
      </c>
      <c r="C753" s="1" t="n">
        <v>46081</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10975-2026</t>
        </is>
      </c>
      <c r="B754" s="1" t="n">
        <v>46079.46068287037</v>
      </c>
      <c r="C754" s="1" t="n">
        <v>46081</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10367-2023</t>
        </is>
      </c>
      <c r="B755" s="1" t="n">
        <v>44987</v>
      </c>
      <c r="C755" s="1" t="n">
        <v>46081</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9851-2026</t>
        </is>
      </c>
      <c r="B756" s="1" t="n">
        <v>46072</v>
      </c>
      <c r="C756" s="1" t="n">
        <v>46081</v>
      </c>
      <c r="D756" t="inlineStr">
        <is>
          <t>DALARNAS LÄN</t>
        </is>
      </c>
      <c r="E756" t="inlineStr">
        <is>
          <t>LEKSAND</t>
        </is>
      </c>
      <c r="G756" t="n">
        <v>5.6</v>
      </c>
      <c r="H756" t="n">
        <v>0</v>
      </c>
      <c r="I756" t="n">
        <v>0</v>
      </c>
      <c r="J756" t="n">
        <v>0</v>
      </c>
      <c r="K756" t="n">
        <v>0</v>
      </c>
      <c r="L756" t="n">
        <v>0</v>
      </c>
      <c r="M756" t="n">
        <v>0</v>
      </c>
      <c r="N756" t="n">
        <v>0</v>
      </c>
      <c r="O756" t="n">
        <v>0</v>
      </c>
      <c r="P756" t="n">
        <v>0</v>
      </c>
      <c r="Q756" t="n">
        <v>0</v>
      </c>
      <c r="R756" s="2" t="inlineStr"/>
    </row>
    <row r="757" ht="15" customHeight="1">
      <c r="A757" t="inlineStr">
        <is>
          <t>A 1946-2024</t>
        </is>
      </c>
      <c r="B757" s="1" t="n">
        <v>45308</v>
      </c>
      <c r="C757" s="1" t="n">
        <v>46081</v>
      </c>
      <c r="D757" t="inlineStr">
        <is>
          <t>DALARNAS LÄN</t>
        </is>
      </c>
      <c r="E757" t="inlineStr">
        <is>
          <t>LEKSAND</t>
        </is>
      </c>
      <c r="G757" t="n">
        <v>2.3</v>
      </c>
      <c r="H757" t="n">
        <v>0</v>
      </c>
      <c r="I757" t="n">
        <v>0</v>
      </c>
      <c r="J757" t="n">
        <v>0</v>
      </c>
      <c r="K757" t="n">
        <v>0</v>
      </c>
      <c r="L757" t="n">
        <v>0</v>
      </c>
      <c r="M757" t="n">
        <v>0</v>
      </c>
      <c r="N757" t="n">
        <v>0</v>
      </c>
      <c r="O757" t="n">
        <v>0</v>
      </c>
      <c r="P757" t="n">
        <v>0</v>
      </c>
      <c r="Q757" t="n">
        <v>0</v>
      </c>
      <c r="R757" s="2" t="inlineStr"/>
    </row>
    <row r="758" ht="15" customHeight="1">
      <c r="A758" t="inlineStr">
        <is>
          <t>A 11303-2026</t>
        </is>
      </c>
      <c r="B758" s="1" t="n">
        <v>46080.63587962963</v>
      </c>
      <c r="C758" s="1" t="n">
        <v>46081</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59763-2023</t>
        </is>
      </c>
      <c r="B759" s="1" t="n">
        <v>45257</v>
      </c>
      <c r="C759" s="1" t="n">
        <v>46081</v>
      </c>
      <c r="D759" t="inlineStr">
        <is>
          <t>DALARNAS LÄN</t>
        </is>
      </c>
      <c r="E759" t="inlineStr">
        <is>
          <t>LEKSAND</t>
        </is>
      </c>
      <c r="G759" t="n">
        <v>1.6</v>
      </c>
      <c r="H759" t="n">
        <v>0</v>
      </c>
      <c r="I759" t="n">
        <v>0</v>
      </c>
      <c r="J759" t="n">
        <v>0</v>
      </c>
      <c r="K759" t="n">
        <v>0</v>
      </c>
      <c r="L759" t="n">
        <v>0</v>
      </c>
      <c r="M759" t="n">
        <v>0</v>
      </c>
      <c r="N759" t="n">
        <v>0</v>
      </c>
      <c r="O759" t="n">
        <v>0</v>
      </c>
      <c r="P759" t="n">
        <v>0</v>
      </c>
      <c r="Q759" t="n">
        <v>0</v>
      </c>
      <c r="R759" s="2" t="inlineStr"/>
    </row>
    <row r="760" ht="15" customHeight="1">
      <c r="A760" t="inlineStr">
        <is>
          <t>A 17533-2023</t>
        </is>
      </c>
      <c r="B760" s="1" t="n">
        <v>45036</v>
      </c>
      <c r="C760" s="1" t="n">
        <v>46081</v>
      </c>
      <c r="D760" t="inlineStr">
        <is>
          <t>DALARNAS LÄN</t>
        </is>
      </c>
      <c r="E760" t="inlineStr">
        <is>
          <t>LEKSAND</t>
        </is>
      </c>
      <c r="G760" t="n">
        <v>3</v>
      </c>
      <c r="H760" t="n">
        <v>0</v>
      </c>
      <c r="I760" t="n">
        <v>0</v>
      </c>
      <c r="J760" t="n">
        <v>0</v>
      </c>
      <c r="K760" t="n">
        <v>0</v>
      </c>
      <c r="L760" t="n">
        <v>0</v>
      </c>
      <c r="M760" t="n">
        <v>0</v>
      </c>
      <c r="N760" t="n">
        <v>0</v>
      </c>
      <c r="O760" t="n">
        <v>0</v>
      </c>
      <c r="P760" t="n">
        <v>0</v>
      </c>
      <c r="Q760" t="n">
        <v>0</v>
      </c>
      <c r="R760" s="2" t="inlineStr"/>
    </row>
    <row r="761" ht="15" customHeight="1">
      <c r="A761" t="inlineStr">
        <is>
          <t>A 49397-2024</t>
        </is>
      </c>
      <c r="B761" s="1" t="n">
        <v>45595</v>
      </c>
      <c r="C761" s="1" t="n">
        <v>46081</v>
      </c>
      <c r="D761" t="inlineStr">
        <is>
          <t>DALARNAS LÄN</t>
        </is>
      </c>
      <c r="E761" t="inlineStr">
        <is>
          <t>LEKSAND</t>
        </is>
      </c>
      <c r="G761" t="n">
        <v>4.3</v>
      </c>
      <c r="H761" t="n">
        <v>0</v>
      </c>
      <c r="I761" t="n">
        <v>0</v>
      </c>
      <c r="J761" t="n">
        <v>0</v>
      </c>
      <c r="K761" t="n">
        <v>0</v>
      </c>
      <c r="L761" t="n">
        <v>0</v>
      </c>
      <c r="M761" t="n">
        <v>0</v>
      </c>
      <c r="N761" t="n">
        <v>0</v>
      </c>
      <c r="O761" t="n">
        <v>0</v>
      </c>
      <c r="P761" t="n">
        <v>0</v>
      </c>
      <c r="Q761" t="n">
        <v>0</v>
      </c>
      <c r="R761" s="2" t="inlineStr"/>
    </row>
    <row r="762" ht="15" customHeight="1">
      <c r="A762" t="inlineStr">
        <is>
          <t>A 6027-2025</t>
        </is>
      </c>
      <c r="B762" s="1" t="n">
        <v>45695</v>
      </c>
      <c r="C762" s="1" t="n">
        <v>46081</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53717-2023</t>
        </is>
      </c>
      <c r="B763" s="1" t="n">
        <v>45230</v>
      </c>
      <c r="C763" s="1" t="n">
        <v>46081</v>
      </c>
      <c r="D763" t="inlineStr">
        <is>
          <t>DALARNAS LÄN</t>
        </is>
      </c>
      <c r="E763" t="inlineStr">
        <is>
          <t>LEKSAND</t>
        </is>
      </c>
      <c r="G763" t="n">
        <v>2.4</v>
      </c>
      <c r="H763" t="n">
        <v>0</v>
      </c>
      <c r="I763" t="n">
        <v>0</v>
      </c>
      <c r="J763" t="n">
        <v>0</v>
      </c>
      <c r="K763" t="n">
        <v>0</v>
      </c>
      <c r="L763" t="n">
        <v>0</v>
      </c>
      <c r="M763" t="n">
        <v>0</v>
      </c>
      <c r="N763" t="n">
        <v>0</v>
      </c>
      <c r="O763" t="n">
        <v>0</v>
      </c>
      <c r="P763" t="n">
        <v>0</v>
      </c>
      <c r="Q763" t="n">
        <v>0</v>
      </c>
      <c r="R763" s="2" t="inlineStr"/>
    </row>
    <row r="764" ht="15" customHeight="1">
      <c r="A764" t="inlineStr">
        <is>
          <t>A 43470-2024</t>
        </is>
      </c>
      <c r="B764" s="1" t="n">
        <v>45568</v>
      </c>
      <c r="C764" s="1" t="n">
        <v>46081</v>
      </c>
      <c r="D764" t="inlineStr">
        <is>
          <t>DALARNAS LÄN</t>
        </is>
      </c>
      <c r="E764" t="inlineStr">
        <is>
          <t>LEKSAND</t>
        </is>
      </c>
      <c r="G764" t="n">
        <v>3.1</v>
      </c>
      <c r="H764" t="n">
        <v>0</v>
      </c>
      <c r="I764" t="n">
        <v>0</v>
      </c>
      <c r="J764" t="n">
        <v>0</v>
      </c>
      <c r="K764" t="n">
        <v>0</v>
      </c>
      <c r="L764" t="n">
        <v>0</v>
      </c>
      <c r="M764" t="n">
        <v>0</v>
      </c>
      <c r="N764" t="n">
        <v>0</v>
      </c>
      <c r="O764" t="n">
        <v>0</v>
      </c>
      <c r="P764" t="n">
        <v>0</v>
      </c>
      <c r="Q764" t="n">
        <v>0</v>
      </c>
      <c r="R764" s="2" t="inlineStr"/>
    </row>
    <row r="765" ht="15" customHeight="1">
      <c r="A765" t="inlineStr">
        <is>
          <t>A 60873-2023</t>
        </is>
      </c>
      <c r="B765" s="1" t="n">
        <v>45261.03266203704</v>
      </c>
      <c r="C765" s="1" t="n">
        <v>46081</v>
      </c>
      <c r="D765" t="inlineStr">
        <is>
          <t>DALARNAS LÄN</t>
        </is>
      </c>
      <c r="E765" t="inlineStr">
        <is>
          <t>LEKSAND</t>
        </is>
      </c>
      <c r="G765" t="n">
        <v>5.2</v>
      </c>
      <c r="H765" t="n">
        <v>0</v>
      </c>
      <c r="I765" t="n">
        <v>0</v>
      </c>
      <c r="J765" t="n">
        <v>0</v>
      </c>
      <c r="K765" t="n">
        <v>0</v>
      </c>
      <c r="L765" t="n">
        <v>0</v>
      </c>
      <c r="M765" t="n">
        <v>0</v>
      </c>
      <c r="N765" t="n">
        <v>0</v>
      </c>
      <c r="O765" t="n">
        <v>0</v>
      </c>
      <c r="P765" t="n">
        <v>0</v>
      </c>
      <c r="Q765" t="n">
        <v>0</v>
      </c>
      <c r="R765" s="2" t="inlineStr"/>
    </row>
    <row r="766" ht="15" customHeight="1">
      <c r="A766" t="inlineStr">
        <is>
          <t>A 54914-2024</t>
        </is>
      </c>
      <c r="B766" s="1" t="n">
        <v>45618.69380787037</v>
      </c>
      <c r="C766" s="1" t="n">
        <v>46081</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167-2023</t>
        </is>
      </c>
      <c r="B767" s="1" t="n">
        <v>44918</v>
      </c>
      <c r="C767" s="1" t="n">
        <v>46081</v>
      </c>
      <c r="D767" t="inlineStr">
        <is>
          <t>DALARNAS LÄN</t>
        </is>
      </c>
      <c r="E767" t="inlineStr">
        <is>
          <t>LEKSAND</t>
        </is>
      </c>
      <c r="G767" t="n">
        <v>0.5</v>
      </c>
      <c r="H767" t="n">
        <v>0</v>
      </c>
      <c r="I767" t="n">
        <v>0</v>
      </c>
      <c r="J767" t="n">
        <v>0</v>
      </c>
      <c r="K767" t="n">
        <v>0</v>
      </c>
      <c r="L767" t="n">
        <v>0</v>
      </c>
      <c r="M767" t="n">
        <v>0</v>
      </c>
      <c r="N767" t="n">
        <v>0</v>
      </c>
      <c r="O767" t="n">
        <v>0</v>
      </c>
      <c r="P767" t="n">
        <v>0</v>
      </c>
      <c r="Q767" t="n">
        <v>0</v>
      </c>
      <c r="R767" s="2" t="inlineStr"/>
    </row>
    <row r="768" ht="15" customHeight="1">
      <c r="A768" t="inlineStr">
        <is>
          <t>A 56950-2024</t>
        </is>
      </c>
      <c r="B768" s="1" t="n">
        <v>45625</v>
      </c>
      <c r="C768" s="1" t="n">
        <v>46081</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9938-2023</t>
        </is>
      </c>
      <c r="B769" s="1" t="n">
        <v>44985</v>
      </c>
      <c r="C769" s="1" t="n">
        <v>46081</v>
      </c>
      <c r="D769" t="inlineStr">
        <is>
          <t>DALARNAS LÄN</t>
        </is>
      </c>
      <c r="E769" t="inlineStr">
        <is>
          <t>LEKSAND</t>
        </is>
      </c>
      <c r="G769" t="n">
        <v>3.1</v>
      </c>
      <c r="H769" t="n">
        <v>0</v>
      </c>
      <c r="I769" t="n">
        <v>0</v>
      </c>
      <c r="J769" t="n">
        <v>0</v>
      </c>
      <c r="K769" t="n">
        <v>0</v>
      </c>
      <c r="L769" t="n">
        <v>0</v>
      </c>
      <c r="M769" t="n">
        <v>0</v>
      </c>
      <c r="N769" t="n">
        <v>0</v>
      </c>
      <c r="O769" t="n">
        <v>0</v>
      </c>
      <c r="P769" t="n">
        <v>0</v>
      </c>
      <c r="Q769" t="n">
        <v>0</v>
      </c>
      <c r="R769" s="2" t="inlineStr"/>
    </row>
    <row r="770" ht="15" customHeight="1">
      <c r="A770" t="inlineStr">
        <is>
          <t>A 59103-2024</t>
        </is>
      </c>
      <c r="B770" s="1" t="n">
        <v>45637.34184027778</v>
      </c>
      <c r="C770" s="1" t="n">
        <v>46081</v>
      </c>
      <c r="D770" t="inlineStr">
        <is>
          <t>DALARNAS LÄN</t>
        </is>
      </c>
      <c r="E770" t="inlineStr">
        <is>
          <t>LEKSAND</t>
        </is>
      </c>
      <c r="G770" t="n">
        <v>1.5</v>
      </c>
      <c r="H770" t="n">
        <v>0</v>
      </c>
      <c r="I770" t="n">
        <v>0</v>
      </c>
      <c r="J770" t="n">
        <v>0</v>
      </c>
      <c r="K770" t="n">
        <v>0</v>
      </c>
      <c r="L770" t="n">
        <v>0</v>
      </c>
      <c r="M770" t="n">
        <v>0</v>
      </c>
      <c r="N770" t="n">
        <v>0</v>
      </c>
      <c r="O770" t="n">
        <v>0</v>
      </c>
      <c r="P770" t="n">
        <v>0</v>
      </c>
      <c r="Q770" t="n">
        <v>0</v>
      </c>
      <c r="R770" s="2" t="inlineStr"/>
    </row>
    <row r="771" ht="15" customHeight="1">
      <c r="A771" t="inlineStr">
        <is>
          <t>A 70099-2021</t>
        </is>
      </c>
      <c r="B771" s="1" t="n">
        <v>44533</v>
      </c>
      <c r="C771" s="1" t="n">
        <v>46081</v>
      </c>
      <c r="D771" t="inlineStr">
        <is>
          <t>DALARNAS LÄN</t>
        </is>
      </c>
      <c r="E771" t="inlineStr">
        <is>
          <t>LEKSAND</t>
        </is>
      </c>
      <c r="G771" t="n">
        <v>2.8</v>
      </c>
      <c r="H771" t="n">
        <v>0</v>
      </c>
      <c r="I771" t="n">
        <v>0</v>
      </c>
      <c r="J771" t="n">
        <v>0</v>
      </c>
      <c r="K771" t="n">
        <v>0</v>
      </c>
      <c r="L771" t="n">
        <v>0</v>
      </c>
      <c r="M771" t="n">
        <v>0</v>
      </c>
      <c r="N771" t="n">
        <v>0</v>
      </c>
      <c r="O771" t="n">
        <v>0</v>
      </c>
      <c r="P771" t="n">
        <v>0</v>
      </c>
      <c r="Q771" t="n">
        <v>0</v>
      </c>
      <c r="R771" s="2" t="inlineStr"/>
    </row>
    <row r="772" ht="15" customHeight="1">
      <c r="A772" t="inlineStr">
        <is>
          <t>A 13401-2023</t>
        </is>
      </c>
      <c r="B772" s="1" t="n">
        <v>45005</v>
      </c>
      <c r="C772" s="1" t="n">
        <v>46081</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60113-2022</t>
        </is>
      </c>
      <c r="B773" s="1" t="n">
        <v>44909</v>
      </c>
      <c r="C773" s="1" t="n">
        <v>46081</v>
      </c>
      <c r="D773" t="inlineStr">
        <is>
          <t>DALARNAS LÄN</t>
        </is>
      </c>
      <c r="E773" t="inlineStr">
        <is>
          <t>LEKSAND</t>
        </is>
      </c>
      <c r="G773" t="n">
        <v>3.7</v>
      </c>
      <c r="H773" t="n">
        <v>0</v>
      </c>
      <c r="I773" t="n">
        <v>0</v>
      </c>
      <c r="J773" t="n">
        <v>0</v>
      </c>
      <c r="K773" t="n">
        <v>0</v>
      </c>
      <c r="L773" t="n">
        <v>0</v>
      </c>
      <c r="M773" t="n">
        <v>0</v>
      </c>
      <c r="N773" t="n">
        <v>0</v>
      </c>
      <c r="O773" t="n">
        <v>0</v>
      </c>
      <c r="P773" t="n">
        <v>0</v>
      </c>
      <c r="Q773" t="n">
        <v>0</v>
      </c>
      <c r="R773" s="2" t="inlineStr"/>
    </row>
    <row r="774" ht="15" customHeight="1">
      <c r="A774" t="inlineStr">
        <is>
          <t>A 15173-2025</t>
        </is>
      </c>
      <c r="B774" s="1" t="n">
        <v>45744.50858796296</v>
      </c>
      <c r="C774" s="1" t="n">
        <v>46081</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30611-2023</t>
        </is>
      </c>
      <c r="B775" s="1" t="n">
        <v>45112</v>
      </c>
      <c r="C775" s="1" t="n">
        <v>46081</v>
      </c>
      <c r="D775" t="inlineStr">
        <is>
          <t>DALARNAS LÄN</t>
        </is>
      </c>
      <c r="E775" t="inlineStr">
        <is>
          <t>LEKSAND</t>
        </is>
      </c>
      <c r="G775" t="n">
        <v>3.1</v>
      </c>
      <c r="H775" t="n">
        <v>0</v>
      </c>
      <c r="I775" t="n">
        <v>0</v>
      </c>
      <c r="J775" t="n">
        <v>0</v>
      </c>
      <c r="K775" t="n">
        <v>0</v>
      </c>
      <c r="L775" t="n">
        <v>0</v>
      </c>
      <c r="M775" t="n">
        <v>0</v>
      </c>
      <c r="N775" t="n">
        <v>0</v>
      </c>
      <c r="O775" t="n">
        <v>0</v>
      </c>
      <c r="P775" t="n">
        <v>0</v>
      </c>
      <c r="Q775" t="n">
        <v>0</v>
      </c>
      <c r="R775" s="2" t="inlineStr"/>
    </row>
    <row r="776" ht="15" customHeight="1">
      <c r="A776" t="inlineStr">
        <is>
          <t>A 31254-2023</t>
        </is>
      </c>
      <c r="B776" s="1" t="n">
        <v>45114</v>
      </c>
      <c r="C776" s="1" t="n">
        <v>46081</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62306-2023</t>
        </is>
      </c>
      <c r="B777" s="1" t="n">
        <v>45266</v>
      </c>
      <c r="C777" s="1" t="n">
        <v>46081</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30175-2023</t>
        </is>
      </c>
      <c r="B778" s="1" t="n">
        <v>45110</v>
      </c>
      <c r="C778" s="1" t="n">
        <v>46081</v>
      </c>
      <c r="D778" t="inlineStr">
        <is>
          <t>DALARNAS LÄN</t>
        </is>
      </c>
      <c r="E778" t="inlineStr">
        <is>
          <t>LEKSAND</t>
        </is>
      </c>
      <c r="G778" t="n">
        <v>0.5</v>
      </c>
      <c r="H778" t="n">
        <v>0</v>
      </c>
      <c r="I778" t="n">
        <v>0</v>
      </c>
      <c r="J778" t="n">
        <v>0</v>
      </c>
      <c r="K778" t="n">
        <v>0</v>
      </c>
      <c r="L778" t="n">
        <v>0</v>
      </c>
      <c r="M778" t="n">
        <v>0</v>
      </c>
      <c r="N778" t="n">
        <v>0</v>
      </c>
      <c r="O778" t="n">
        <v>0</v>
      </c>
      <c r="P778" t="n">
        <v>0</v>
      </c>
      <c r="Q778" t="n">
        <v>0</v>
      </c>
      <c r="R778" s="2" t="inlineStr"/>
    </row>
    <row r="779" ht="15" customHeight="1">
      <c r="A779" t="inlineStr">
        <is>
          <t>A 28921-2023</t>
        </is>
      </c>
      <c r="B779" s="1" t="n">
        <v>45104</v>
      </c>
      <c r="C779" s="1" t="n">
        <v>46081</v>
      </c>
      <c r="D779" t="inlineStr">
        <is>
          <t>DALARNAS LÄN</t>
        </is>
      </c>
      <c r="E779" t="inlineStr">
        <is>
          <t>LEKSAND</t>
        </is>
      </c>
      <c r="G779" t="n">
        <v>4.4</v>
      </c>
      <c r="H779" t="n">
        <v>0</v>
      </c>
      <c r="I779" t="n">
        <v>0</v>
      </c>
      <c r="J779" t="n">
        <v>0</v>
      </c>
      <c r="K779" t="n">
        <v>0</v>
      </c>
      <c r="L779" t="n">
        <v>0</v>
      </c>
      <c r="M779" t="n">
        <v>0</v>
      </c>
      <c r="N779" t="n">
        <v>0</v>
      </c>
      <c r="O779" t="n">
        <v>0</v>
      </c>
      <c r="P779" t="n">
        <v>0</v>
      </c>
      <c r="Q779" t="n">
        <v>0</v>
      </c>
      <c r="R779" s="2" t="inlineStr"/>
    </row>
    <row r="780" ht="15" customHeight="1">
      <c r="A780" t="inlineStr">
        <is>
          <t>A 8940-2023</t>
        </is>
      </c>
      <c r="B780" s="1" t="n">
        <v>44974</v>
      </c>
      <c r="C780" s="1" t="n">
        <v>46081</v>
      </c>
      <c r="D780" t="inlineStr">
        <is>
          <t>DALARNAS LÄN</t>
        </is>
      </c>
      <c r="E780" t="inlineStr">
        <is>
          <t>LEKSAND</t>
        </is>
      </c>
      <c r="G780" t="n">
        <v>1.5</v>
      </c>
      <c r="H780" t="n">
        <v>0</v>
      </c>
      <c r="I780" t="n">
        <v>0</v>
      </c>
      <c r="J780" t="n">
        <v>0</v>
      </c>
      <c r="K780" t="n">
        <v>0</v>
      </c>
      <c r="L780" t="n">
        <v>0</v>
      </c>
      <c r="M780" t="n">
        <v>0</v>
      </c>
      <c r="N780" t="n">
        <v>0</v>
      </c>
      <c r="O780" t="n">
        <v>0</v>
      </c>
      <c r="P780" t="n">
        <v>0</v>
      </c>
      <c r="Q780" t="n">
        <v>0</v>
      </c>
      <c r="R780" s="2" t="inlineStr"/>
    </row>
    <row r="781" ht="15" customHeight="1">
      <c r="A781" t="inlineStr">
        <is>
          <t>A 9459-2023</t>
        </is>
      </c>
      <c r="B781" s="1" t="n">
        <v>44977</v>
      </c>
      <c r="C781" s="1" t="n">
        <v>46081</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56941-2024</t>
        </is>
      </c>
      <c r="B782" s="1" t="n">
        <v>45625</v>
      </c>
      <c r="C782" s="1" t="n">
        <v>46081</v>
      </c>
      <c r="D782" t="inlineStr">
        <is>
          <t>DALARNAS LÄN</t>
        </is>
      </c>
      <c r="E782" t="inlineStr">
        <is>
          <t>LEKSAND</t>
        </is>
      </c>
      <c r="G782" t="n">
        <v>1.8</v>
      </c>
      <c r="H782" t="n">
        <v>0</v>
      </c>
      <c r="I782" t="n">
        <v>0</v>
      </c>
      <c r="J782" t="n">
        <v>0</v>
      </c>
      <c r="K782" t="n">
        <v>0</v>
      </c>
      <c r="L782" t="n">
        <v>0</v>
      </c>
      <c r="M782" t="n">
        <v>0</v>
      </c>
      <c r="N782" t="n">
        <v>0</v>
      </c>
      <c r="O782" t="n">
        <v>0</v>
      </c>
      <c r="P782" t="n">
        <v>0</v>
      </c>
      <c r="Q782" t="n">
        <v>0</v>
      </c>
      <c r="R782" s="2" t="inlineStr"/>
    </row>
    <row r="783" ht="15" customHeight="1">
      <c r="A783" t="inlineStr">
        <is>
          <t>A 48721-2023</t>
        </is>
      </c>
      <c r="B783" s="1" t="n">
        <v>45203</v>
      </c>
      <c r="C783" s="1" t="n">
        <v>46081</v>
      </c>
      <c r="D783" t="inlineStr">
        <is>
          <t>DALARNAS LÄN</t>
        </is>
      </c>
      <c r="E783" t="inlineStr">
        <is>
          <t>LEKSAND</t>
        </is>
      </c>
      <c r="G783" t="n">
        <v>2.9</v>
      </c>
      <c r="H783" t="n">
        <v>0</v>
      </c>
      <c r="I783" t="n">
        <v>0</v>
      </c>
      <c r="J783" t="n">
        <v>0</v>
      </c>
      <c r="K783" t="n">
        <v>0</v>
      </c>
      <c r="L783" t="n">
        <v>0</v>
      </c>
      <c r="M783" t="n">
        <v>0</v>
      </c>
      <c r="N783" t="n">
        <v>0</v>
      </c>
      <c r="O783" t="n">
        <v>0</v>
      </c>
      <c r="P783" t="n">
        <v>0</v>
      </c>
      <c r="Q783" t="n">
        <v>0</v>
      </c>
      <c r="R783" s="2" t="inlineStr"/>
    </row>
    <row r="784" ht="15" customHeight="1">
      <c r="A784" t="inlineStr">
        <is>
          <t>A 33463-2023</t>
        </is>
      </c>
      <c r="B784" s="1" t="n">
        <v>45131</v>
      </c>
      <c r="C784" s="1" t="n">
        <v>46081</v>
      </c>
      <c r="D784" t="inlineStr">
        <is>
          <t>DALARNAS LÄN</t>
        </is>
      </c>
      <c r="E784" t="inlineStr">
        <is>
          <t>LEKSAND</t>
        </is>
      </c>
      <c r="G784" t="n">
        <v>0.7</v>
      </c>
      <c r="H784" t="n">
        <v>0</v>
      </c>
      <c r="I784" t="n">
        <v>0</v>
      </c>
      <c r="J784" t="n">
        <v>0</v>
      </c>
      <c r="K784" t="n">
        <v>0</v>
      </c>
      <c r="L784" t="n">
        <v>0</v>
      </c>
      <c r="M784" t="n">
        <v>0</v>
      </c>
      <c r="N784" t="n">
        <v>0</v>
      </c>
      <c r="O784" t="n">
        <v>0</v>
      </c>
      <c r="P784" t="n">
        <v>0</v>
      </c>
      <c r="Q784" t="n">
        <v>0</v>
      </c>
      <c r="R784" s="2" t="inlineStr"/>
    </row>
    <row r="785" ht="15" customHeight="1">
      <c r="A785" t="inlineStr">
        <is>
          <t>A 8755-2023</t>
        </is>
      </c>
      <c r="B785" s="1" t="n">
        <v>44978</v>
      </c>
      <c r="C785" s="1" t="n">
        <v>46081</v>
      </c>
      <c r="D785" t="inlineStr">
        <is>
          <t>DALARNAS LÄN</t>
        </is>
      </c>
      <c r="E785" t="inlineStr">
        <is>
          <t>LEKSAND</t>
        </is>
      </c>
      <c r="G785" t="n">
        <v>2.3</v>
      </c>
      <c r="H785" t="n">
        <v>0</v>
      </c>
      <c r="I785" t="n">
        <v>0</v>
      </c>
      <c r="J785" t="n">
        <v>0</v>
      </c>
      <c r="K785" t="n">
        <v>0</v>
      </c>
      <c r="L785" t="n">
        <v>0</v>
      </c>
      <c r="M785" t="n">
        <v>0</v>
      </c>
      <c r="N785" t="n">
        <v>0</v>
      </c>
      <c r="O785" t="n">
        <v>0</v>
      </c>
      <c r="P785" t="n">
        <v>0</v>
      </c>
      <c r="Q785" t="n">
        <v>0</v>
      </c>
      <c r="R785" s="2" t="inlineStr"/>
    </row>
    <row r="786" ht="15" customHeight="1">
      <c r="A786" t="inlineStr">
        <is>
          <t>A 59840-2024</t>
        </is>
      </c>
      <c r="B786" s="1" t="n">
        <v>45638</v>
      </c>
      <c r="C786" s="1" t="n">
        <v>46081</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10967-2023</t>
        </is>
      </c>
      <c r="B787" s="1" t="n">
        <v>44991.58001157407</v>
      </c>
      <c r="C787" s="1" t="n">
        <v>46081</v>
      </c>
      <c r="D787" t="inlineStr">
        <is>
          <t>DALARNAS LÄN</t>
        </is>
      </c>
      <c r="E787" t="inlineStr">
        <is>
          <t>LEKSAND</t>
        </is>
      </c>
      <c r="G787" t="n">
        <v>0.5</v>
      </c>
      <c r="H787" t="n">
        <v>0</v>
      </c>
      <c r="I787" t="n">
        <v>0</v>
      </c>
      <c r="J787" t="n">
        <v>0</v>
      </c>
      <c r="K787" t="n">
        <v>0</v>
      </c>
      <c r="L787" t="n">
        <v>0</v>
      </c>
      <c r="M787" t="n">
        <v>0</v>
      </c>
      <c r="N787" t="n">
        <v>0</v>
      </c>
      <c r="O787" t="n">
        <v>0</v>
      </c>
      <c r="P787" t="n">
        <v>0</v>
      </c>
      <c r="Q787" t="n">
        <v>0</v>
      </c>
      <c r="R787" s="2" t="inlineStr"/>
    </row>
    <row r="788" ht="15" customHeight="1">
      <c r="A788" t="inlineStr">
        <is>
          <t>A 10974-2023</t>
        </is>
      </c>
      <c r="B788" s="1" t="n">
        <v>44991.59049768518</v>
      </c>
      <c r="C788" s="1" t="n">
        <v>46081</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55516-2024</t>
        </is>
      </c>
      <c r="B789" s="1" t="n">
        <v>45621</v>
      </c>
      <c r="C789" s="1" t="n">
        <v>46081</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30858-2024</t>
        </is>
      </c>
      <c r="B790" s="1" t="n">
        <v>45497.67601851852</v>
      </c>
      <c r="C790" s="1" t="n">
        <v>46081</v>
      </c>
      <c r="D790" t="inlineStr">
        <is>
          <t>DALARNAS LÄN</t>
        </is>
      </c>
      <c r="E790" t="inlineStr">
        <is>
          <t>LEKSAND</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11015-2022</t>
        </is>
      </c>
      <c r="B791" s="1" t="n">
        <v>44628.52340277778</v>
      </c>
      <c r="C791" s="1" t="n">
        <v>46081</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12582-2025</t>
        </is>
      </c>
      <c r="B792" s="1" t="n">
        <v>45732.62988425926</v>
      </c>
      <c r="C792" s="1" t="n">
        <v>46081</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1182-2025</t>
        </is>
      </c>
      <c r="B793" s="1" t="n">
        <v>45667.35712962963</v>
      </c>
      <c r="C793" s="1" t="n">
        <v>46081</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1519-2024</t>
        </is>
      </c>
      <c r="B794" s="1" t="n">
        <v>45306</v>
      </c>
      <c r="C794" s="1" t="n">
        <v>46081</v>
      </c>
      <c r="D794" t="inlineStr">
        <is>
          <t>DALARNAS LÄN</t>
        </is>
      </c>
      <c r="E794" t="inlineStr">
        <is>
          <t>LEKSAND</t>
        </is>
      </c>
      <c r="G794" t="n">
        <v>3.3</v>
      </c>
      <c r="H794" t="n">
        <v>0</v>
      </c>
      <c r="I794" t="n">
        <v>0</v>
      </c>
      <c r="J794" t="n">
        <v>0</v>
      </c>
      <c r="K794" t="n">
        <v>0</v>
      </c>
      <c r="L794" t="n">
        <v>0</v>
      </c>
      <c r="M794" t="n">
        <v>0</v>
      </c>
      <c r="N794" t="n">
        <v>0</v>
      </c>
      <c r="O794" t="n">
        <v>0</v>
      </c>
      <c r="P794" t="n">
        <v>0</v>
      </c>
      <c r="Q794" t="n">
        <v>0</v>
      </c>
      <c r="R794" s="2" t="inlineStr"/>
    </row>
    <row r="795" ht="15" customHeight="1">
      <c r="A795" t="inlineStr">
        <is>
          <t>A 71817-2021</t>
        </is>
      </c>
      <c r="B795" s="1" t="n">
        <v>44543.59780092593</v>
      </c>
      <c r="C795" s="1" t="n">
        <v>46081</v>
      </c>
      <c r="D795" t="inlineStr">
        <is>
          <t>DALARNAS LÄN</t>
        </is>
      </c>
      <c r="E795" t="inlineStr">
        <is>
          <t>LEKSAND</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32-2024</t>
        </is>
      </c>
      <c r="B796" s="1" t="n">
        <v>45293</v>
      </c>
      <c r="C796" s="1" t="n">
        <v>46081</v>
      </c>
      <c r="D796" t="inlineStr">
        <is>
          <t>DALARNAS LÄN</t>
        </is>
      </c>
      <c r="E796" t="inlineStr">
        <is>
          <t>LEKSAND</t>
        </is>
      </c>
      <c r="G796" t="n">
        <v>0.6</v>
      </c>
      <c r="H796" t="n">
        <v>0</v>
      </c>
      <c r="I796" t="n">
        <v>0</v>
      </c>
      <c r="J796" t="n">
        <v>0</v>
      </c>
      <c r="K796" t="n">
        <v>0</v>
      </c>
      <c r="L796" t="n">
        <v>0</v>
      </c>
      <c r="M796" t="n">
        <v>0</v>
      </c>
      <c r="N796" t="n">
        <v>0</v>
      </c>
      <c r="O796" t="n">
        <v>0</v>
      </c>
      <c r="P796" t="n">
        <v>0</v>
      </c>
      <c r="Q796" t="n">
        <v>0</v>
      </c>
      <c r="R796" s="2" t="inlineStr"/>
    </row>
    <row r="797" ht="15" customHeight="1">
      <c r="A797" t="inlineStr">
        <is>
          <t>A 36932-2023</t>
        </is>
      </c>
      <c r="B797" s="1" t="n">
        <v>45154</v>
      </c>
      <c r="C797" s="1" t="n">
        <v>46081</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23663-2024</t>
        </is>
      </c>
      <c r="B798" s="1" t="n">
        <v>45454.57049768518</v>
      </c>
      <c r="C798" s="1" t="n">
        <v>46081</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33180-2024</t>
        </is>
      </c>
      <c r="B799" s="1" t="n">
        <v>45518.44481481481</v>
      </c>
      <c r="C799" s="1" t="n">
        <v>46081</v>
      </c>
      <c r="D799" t="inlineStr">
        <is>
          <t>DALARNAS LÄN</t>
        </is>
      </c>
      <c r="E799" t="inlineStr">
        <is>
          <t>LEKSAND</t>
        </is>
      </c>
      <c r="G799" t="n">
        <v>7.6</v>
      </c>
      <c r="H799" t="n">
        <v>0</v>
      </c>
      <c r="I799" t="n">
        <v>0</v>
      </c>
      <c r="J799" t="n">
        <v>0</v>
      </c>
      <c r="K799" t="n">
        <v>0</v>
      </c>
      <c r="L799" t="n">
        <v>0</v>
      </c>
      <c r="M799" t="n">
        <v>0</v>
      </c>
      <c r="N799" t="n">
        <v>0</v>
      </c>
      <c r="O799" t="n">
        <v>0</v>
      </c>
      <c r="P799" t="n">
        <v>0</v>
      </c>
      <c r="Q799" t="n">
        <v>0</v>
      </c>
      <c r="R799" s="2" t="inlineStr"/>
    </row>
    <row r="800" ht="15" customHeight="1">
      <c r="A800" t="inlineStr">
        <is>
          <t>A 60715-2022</t>
        </is>
      </c>
      <c r="B800" s="1" t="n">
        <v>44912</v>
      </c>
      <c r="C800" s="1" t="n">
        <v>46081</v>
      </c>
      <c r="D800" t="inlineStr">
        <is>
          <t>DALARNAS LÄN</t>
        </is>
      </c>
      <c r="E800" t="inlineStr">
        <is>
          <t>LEKSAND</t>
        </is>
      </c>
      <c r="G800" t="n">
        <v>1</v>
      </c>
      <c r="H800" t="n">
        <v>0</v>
      </c>
      <c r="I800" t="n">
        <v>0</v>
      </c>
      <c r="J800" t="n">
        <v>0</v>
      </c>
      <c r="K800" t="n">
        <v>0</v>
      </c>
      <c r="L800" t="n">
        <v>0</v>
      </c>
      <c r="M800" t="n">
        <v>0</v>
      </c>
      <c r="N800" t="n">
        <v>0</v>
      </c>
      <c r="O800" t="n">
        <v>0</v>
      </c>
      <c r="P800" t="n">
        <v>0</v>
      </c>
      <c r="Q800" t="n">
        <v>0</v>
      </c>
      <c r="R800" s="2" t="inlineStr"/>
    </row>
    <row r="801" ht="15" customHeight="1">
      <c r="A801" t="inlineStr">
        <is>
          <t>A 11092-2023</t>
        </is>
      </c>
      <c r="B801" s="1" t="n">
        <v>44992</v>
      </c>
      <c r="C801" s="1" t="n">
        <v>46081</v>
      </c>
      <c r="D801" t="inlineStr">
        <is>
          <t>DALARNAS LÄN</t>
        </is>
      </c>
      <c r="E801" t="inlineStr">
        <is>
          <t>LEKSAND</t>
        </is>
      </c>
      <c r="G801" t="n">
        <v>0.5</v>
      </c>
      <c r="H801" t="n">
        <v>0</v>
      </c>
      <c r="I801" t="n">
        <v>0</v>
      </c>
      <c r="J801" t="n">
        <v>0</v>
      </c>
      <c r="K801" t="n">
        <v>0</v>
      </c>
      <c r="L801" t="n">
        <v>0</v>
      </c>
      <c r="M801" t="n">
        <v>0</v>
      </c>
      <c r="N801" t="n">
        <v>0</v>
      </c>
      <c r="O801" t="n">
        <v>0</v>
      </c>
      <c r="P801" t="n">
        <v>0</v>
      </c>
      <c r="Q801" t="n">
        <v>0</v>
      </c>
      <c r="R801" s="2" t="inlineStr"/>
    </row>
    <row r="802" ht="15" customHeight="1">
      <c r="A802" t="inlineStr">
        <is>
          <t>A 15882-2023</t>
        </is>
      </c>
      <c r="B802" s="1" t="n">
        <v>45022</v>
      </c>
      <c r="C802" s="1" t="n">
        <v>46081</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1443-2024</t>
        </is>
      </c>
      <c r="B803" s="1" t="n">
        <v>45303</v>
      </c>
      <c r="C803" s="1" t="n">
        <v>46081</v>
      </c>
      <c r="D803" t="inlineStr">
        <is>
          <t>DALARNAS LÄN</t>
        </is>
      </c>
      <c r="E803" t="inlineStr">
        <is>
          <t>LEKSAND</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1457-2024</t>
        </is>
      </c>
      <c r="B804" s="1" t="n">
        <v>45303</v>
      </c>
      <c r="C804" s="1" t="n">
        <v>46081</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1215-2024</t>
        </is>
      </c>
      <c r="B805" s="1" t="n">
        <v>45302</v>
      </c>
      <c r="C805" s="1" t="n">
        <v>46081</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53464-2024</t>
        </is>
      </c>
      <c r="B806" s="1" t="n">
        <v>45611</v>
      </c>
      <c r="C806" s="1" t="n">
        <v>46081</v>
      </c>
      <c r="D806" t="inlineStr">
        <is>
          <t>DALARNAS LÄN</t>
        </is>
      </c>
      <c r="E806" t="inlineStr">
        <is>
          <t>LEKSAND</t>
        </is>
      </c>
      <c r="G806" t="n">
        <v>1.7</v>
      </c>
      <c r="H806" t="n">
        <v>0</v>
      </c>
      <c r="I806" t="n">
        <v>0</v>
      </c>
      <c r="J806" t="n">
        <v>0</v>
      </c>
      <c r="K806" t="n">
        <v>0</v>
      </c>
      <c r="L806" t="n">
        <v>0</v>
      </c>
      <c r="M806" t="n">
        <v>0</v>
      </c>
      <c r="N806" t="n">
        <v>0</v>
      </c>
      <c r="O806" t="n">
        <v>0</v>
      </c>
      <c r="P806" t="n">
        <v>0</v>
      </c>
      <c r="Q806" t="n">
        <v>0</v>
      </c>
      <c r="R806" s="2" t="inlineStr"/>
    </row>
    <row r="807" ht="15" customHeight="1">
      <c r="A807" t="inlineStr">
        <is>
          <t>A 56330-2022</t>
        </is>
      </c>
      <c r="B807" s="1" t="n">
        <v>44890.62630787037</v>
      </c>
      <c r="C807" s="1" t="n">
        <v>46081</v>
      </c>
      <c r="D807" t="inlineStr">
        <is>
          <t>DALARNAS LÄN</t>
        </is>
      </c>
      <c r="E807" t="inlineStr">
        <is>
          <t>LEKSAND</t>
        </is>
      </c>
      <c r="G807" t="n">
        <v>4.9</v>
      </c>
      <c r="H807" t="n">
        <v>0</v>
      </c>
      <c r="I807" t="n">
        <v>0</v>
      </c>
      <c r="J807" t="n">
        <v>0</v>
      </c>
      <c r="K807" t="n">
        <v>0</v>
      </c>
      <c r="L807" t="n">
        <v>0</v>
      </c>
      <c r="M807" t="n">
        <v>0</v>
      </c>
      <c r="N807" t="n">
        <v>0</v>
      </c>
      <c r="O807" t="n">
        <v>0</v>
      </c>
      <c r="P807" t="n">
        <v>0</v>
      </c>
      <c r="Q807" t="n">
        <v>0</v>
      </c>
      <c r="R807" s="2" t="inlineStr"/>
    </row>
    <row r="808" ht="15" customHeight="1">
      <c r="A808" t="inlineStr">
        <is>
          <t>A 2140-2024</t>
        </is>
      </c>
      <c r="B808" s="1" t="n">
        <v>45309</v>
      </c>
      <c r="C808" s="1" t="n">
        <v>46081</v>
      </c>
      <c r="D808" t="inlineStr">
        <is>
          <t>DALARNAS LÄN</t>
        </is>
      </c>
      <c r="E808" t="inlineStr">
        <is>
          <t>LEKSAND</t>
        </is>
      </c>
      <c r="G808" t="n">
        <v>1.5</v>
      </c>
      <c r="H808" t="n">
        <v>0</v>
      </c>
      <c r="I808" t="n">
        <v>0</v>
      </c>
      <c r="J808" t="n">
        <v>0</v>
      </c>
      <c r="K808" t="n">
        <v>0</v>
      </c>
      <c r="L808" t="n">
        <v>0</v>
      </c>
      <c r="M808" t="n">
        <v>0</v>
      </c>
      <c r="N808" t="n">
        <v>0</v>
      </c>
      <c r="O808" t="n">
        <v>0</v>
      </c>
      <c r="P808" t="n">
        <v>0</v>
      </c>
      <c r="Q808" t="n">
        <v>0</v>
      </c>
      <c r="R808" s="2" t="inlineStr"/>
    </row>
    <row r="809" ht="15" customHeight="1">
      <c r="A809" t="inlineStr">
        <is>
          <t>A 2694-2025</t>
        </is>
      </c>
      <c r="B809" s="1" t="n">
        <v>45677.38246527778</v>
      </c>
      <c r="C809" s="1" t="n">
        <v>46081</v>
      </c>
      <c r="D809" t="inlineStr">
        <is>
          <t>DALARNAS LÄN</t>
        </is>
      </c>
      <c r="E809" t="inlineStr">
        <is>
          <t>LEKSAND</t>
        </is>
      </c>
      <c r="G809" t="n">
        <v>1</v>
      </c>
      <c r="H809" t="n">
        <v>0</v>
      </c>
      <c r="I809" t="n">
        <v>0</v>
      </c>
      <c r="J809" t="n">
        <v>0</v>
      </c>
      <c r="K809" t="n">
        <v>0</v>
      </c>
      <c r="L809" t="n">
        <v>0</v>
      </c>
      <c r="M809" t="n">
        <v>0</v>
      </c>
      <c r="N809" t="n">
        <v>0</v>
      </c>
      <c r="O809" t="n">
        <v>0</v>
      </c>
      <c r="P809" t="n">
        <v>0</v>
      </c>
      <c r="Q809" t="n">
        <v>0</v>
      </c>
      <c r="R809" s="2" t="inlineStr"/>
    </row>
    <row r="810" ht="15" customHeight="1">
      <c r="A810" t="inlineStr">
        <is>
          <t>A 18176-2024</t>
        </is>
      </c>
      <c r="B810" s="1" t="n">
        <v>45420.63901620371</v>
      </c>
      <c r="C810" s="1" t="n">
        <v>46081</v>
      </c>
      <c r="D810" t="inlineStr">
        <is>
          <t>DALARNAS LÄN</t>
        </is>
      </c>
      <c r="E810" t="inlineStr">
        <is>
          <t>LEKSAND</t>
        </is>
      </c>
      <c r="F810" t="inlineStr">
        <is>
          <t>Bergvik skog väst AB</t>
        </is>
      </c>
      <c r="G810" t="n">
        <v>0.9</v>
      </c>
      <c r="H810" t="n">
        <v>0</v>
      </c>
      <c r="I810" t="n">
        <v>0</v>
      </c>
      <c r="J810" t="n">
        <v>0</v>
      </c>
      <c r="K810" t="n">
        <v>0</v>
      </c>
      <c r="L810" t="n">
        <v>0</v>
      </c>
      <c r="M810" t="n">
        <v>0</v>
      </c>
      <c r="N810" t="n">
        <v>0</v>
      </c>
      <c r="O810" t="n">
        <v>0</v>
      </c>
      <c r="P810" t="n">
        <v>0</v>
      </c>
      <c r="Q810" t="n">
        <v>0</v>
      </c>
      <c r="R810" s="2" t="inlineStr"/>
    </row>
    <row r="811" ht="15" customHeight="1">
      <c r="A811" t="inlineStr">
        <is>
          <t>A 55268-2024</t>
        </is>
      </c>
      <c r="B811" s="1" t="n">
        <v>45621.61266203703</v>
      </c>
      <c r="C811" s="1" t="n">
        <v>46081</v>
      </c>
      <c r="D811" t="inlineStr">
        <is>
          <t>DALARNAS LÄN</t>
        </is>
      </c>
      <c r="E811" t="inlineStr">
        <is>
          <t>LEKSAND</t>
        </is>
      </c>
      <c r="G811" t="n">
        <v>4.2</v>
      </c>
      <c r="H811" t="n">
        <v>0</v>
      </c>
      <c r="I811" t="n">
        <v>0</v>
      </c>
      <c r="J811" t="n">
        <v>0</v>
      </c>
      <c r="K811" t="n">
        <v>0</v>
      </c>
      <c r="L811" t="n">
        <v>0</v>
      </c>
      <c r="M811" t="n">
        <v>0</v>
      </c>
      <c r="N811" t="n">
        <v>0</v>
      </c>
      <c r="O811" t="n">
        <v>0</v>
      </c>
      <c r="P811" t="n">
        <v>0</v>
      </c>
      <c r="Q811" t="n">
        <v>0</v>
      </c>
      <c r="R811" s="2" t="inlineStr"/>
    </row>
    <row r="812" ht="15" customHeight="1">
      <c r="A812" t="inlineStr">
        <is>
          <t>A 62130-2024</t>
        </is>
      </c>
      <c r="B812" s="1" t="n">
        <v>45656.61827546296</v>
      </c>
      <c r="C812" s="1" t="n">
        <v>46081</v>
      </c>
      <c r="D812" t="inlineStr">
        <is>
          <t>DALARNAS LÄN</t>
        </is>
      </c>
      <c r="E812" t="inlineStr">
        <is>
          <t>LEKSAND</t>
        </is>
      </c>
      <c r="G812" t="n">
        <v>11.4</v>
      </c>
      <c r="H812" t="n">
        <v>0</v>
      </c>
      <c r="I812" t="n">
        <v>0</v>
      </c>
      <c r="J812" t="n">
        <v>0</v>
      </c>
      <c r="K812" t="n">
        <v>0</v>
      </c>
      <c r="L812" t="n">
        <v>0</v>
      </c>
      <c r="M812" t="n">
        <v>0</v>
      </c>
      <c r="N812" t="n">
        <v>0</v>
      </c>
      <c r="O812" t="n">
        <v>0</v>
      </c>
      <c r="P812" t="n">
        <v>0</v>
      </c>
      <c r="Q812" t="n">
        <v>0</v>
      </c>
      <c r="R812" s="2" t="inlineStr"/>
    </row>
    <row r="813" ht="15" customHeight="1">
      <c r="A813" t="inlineStr">
        <is>
          <t>A 30998-2023</t>
        </is>
      </c>
      <c r="B813" s="1" t="n">
        <v>45113.54193287037</v>
      </c>
      <c r="C813" s="1" t="n">
        <v>46081</v>
      </c>
      <c r="D813" t="inlineStr">
        <is>
          <t>DALARNAS LÄN</t>
        </is>
      </c>
      <c r="E813" t="inlineStr">
        <is>
          <t>LEKSAND</t>
        </is>
      </c>
      <c r="G813" t="n">
        <v>0.5</v>
      </c>
      <c r="H813" t="n">
        <v>0</v>
      </c>
      <c r="I813" t="n">
        <v>0</v>
      </c>
      <c r="J813" t="n">
        <v>0</v>
      </c>
      <c r="K813" t="n">
        <v>0</v>
      </c>
      <c r="L813" t="n">
        <v>0</v>
      </c>
      <c r="M813" t="n">
        <v>0</v>
      </c>
      <c r="N813" t="n">
        <v>0</v>
      </c>
      <c r="O813" t="n">
        <v>0</v>
      </c>
      <c r="P813" t="n">
        <v>0</v>
      </c>
      <c r="Q813" t="n">
        <v>0</v>
      </c>
      <c r="R813" s="2" t="inlineStr"/>
    </row>
    <row r="814" ht="15" customHeight="1">
      <c r="A814" t="inlineStr">
        <is>
          <t>A 6519-2025</t>
        </is>
      </c>
      <c r="B814" s="1" t="n">
        <v>45699</v>
      </c>
      <c r="C814" s="1" t="n">
        <v>46081</v>
      </c>
      <c r="D814" t="inlineStr">
        <is>
          <t>DALARNAS LÄN</t>
        </is>
      </c>
      <c r="E814" t="inlineStr">
        <is>
          <t>LEKSAND</t>
        </is>
      </c>
      <c r="G814" t="n">
        <v>0.8</v>
      </c>
      <c r="H814" t="n">
        <v>0</v>
      </c>
      <c r="I814" t="n">
        <v>0</v>
      </c>
      <c r="J814" t="n">
        <v>0</v>
      </c>
      <c r="K814" t="n">
        <v>0</v>
      </c>
      <c r="L814" t="n">
        <v>0</v>
      </c>
      <c r="M814" t="n">
        <v>0</v>
      </c>
      <c r="N814" t="n">
        <v>0</v>
      </c>
      <c r="O814" t="n">
        <v>0</v>
      </c>
      <c r="P814" t="n">
        <v>0</v>
      </c>
      <c r="Q814" t="n">
        <v>0</v>
      </c>
      <c r="R814" s="2" t="inlineStr"/>
    </row>
    <row r="815" ht="15" customHeight="1">
      <c r="A815" t="inlineStr">
        <is>
          <t>A 9143-2023</t>
        </is>
      </c>
      <c r="B815" s="1" t="n">
        <v>44974</v>
      </c>
      <c r="C815" s="1" t="n">
        <v>46081</v>
      </c>
      <c r="D815" t="inlineStr">
        <is>
          <t>DALARNAS LÄN</t>
        </is>
      </c>
      <c r="E815" t="inlineStr">
        <is>
          <t>LEKSAND</t>
        </is>
      </c>
      <c r="G815" t="n">
        <v>4.3</v>
      </c>
      <c r="H815" t="n">
        <v>0</v>
      </c>
      <c r="I815" t="n">
        <v>0</v>
      </c>
      <c r="J815" t="n">
        <v>0</v>
      </c>
      <c r="K815" t="n">
        <v>0</v>
      </c>
      <c r="L815" t="n">
        <v>0</v>
      </c>
      <c r="M815" t="n">
        <v>0</v>
      </c>
      <c r="N815" t="n">
        <v>0</v>
      </c>
      <c r="O815" t="n">
        <v>0</v>
      </c>
      <c r="P815" t="n">
        <v>0</v>
      </c>
      <c r="Q815" t="n">
        <v>0</v>
      </c>
      <c r="R815" s="2" t="inlineStr"/>
    </row>
    <row r="816" ht="15" customHeight="1">
      <c r="A816" t="inlineStr">
        <is>
          <t>A 36262-2023</t>
        </is>
      </c>
      <c r="B816" s="1" t="n">
        <v>45151.9096875</v>
      </c>
      <c r="C816" s="1" t="n">
        <v>46081</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60095-2022</t>
        </is>
      </c>
      <c r="B817" s="1" t="n">
        <v>44909</v>
      </c>
      <c r="C817" s="1" t="n">
        <v>46081</v>
      </c>
      <c r="D817" t="inlineStr">
        <is>
          <t>DALARNAS LÄN</t>
        </is>
      </c>
      <c r="E817" t="inlineStr">
        <is>
          <t>LEKSAND</t>
        </is>
      </c>
      <c r="G817" t="n">
        <v>2.4</v>
      </c>
      <c r="H817" t="n">
        <v>0</v>
      </c>
      <c r="I817" t="n">
        <v>0</v>
      </c>
      <c r="J817" t="n">
        <v>0</v>
      </c>
      <c r="K817" t="n">
        <v>0</v>
      </c>
      <c r="L817" t="n">
        <v>0</v>
      </c>
      <c r="M817" t="n">
        <v>0</v>
      </c>
      <c r="N817" t="n">
        <v>0</v>
      </c>
      <c r="O817" t="n">
        <v>0</v>
      </c>
      <c r="P817" t="n">
        <v>0</v>
      </c>
      <c r="Q817" t="n">
        <v>0</v>
      </c>
      <c r="R817" s="2" t="inlineStr"/>
    </row>
    <row r="818" ht="15" customHeight="1">
      <c r="A818" t="inlineStr">
        <is>
          <t>A 38117-2023</t>
        </is>
      </c>
      <c r="B818" s="1" t="n">
        <v>45161</v>
      </c>
      <c r="C818" s="1" t="n">
        <v>46081</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11418-2023</t>
        </is>
      </c>
      <c r="B819" s="1" t="n">
        <v>44993</v>
      </c>
      <c r="C819" s="1" t="n">
        <v>46081</v>
      </c>
      <c r="D819" t="inlineStr">
        <is>
          <t>DALARNAS LÄN</t>
        </is>
      </c>
      <c r="E819" t="inlineStr">
        <is>
          <t>LEKSAND</t>
        </is>
      </c>
      <c r="G819" t="n">
        <v>2.7</v>
      </c>
      <c r="H819" t="n">
        <v>0</v>
      </c>
      <c r="I819" t="n">
        <v>0</v>
      </c>
      <c r="J819" t="n">
        <v>0</v>
      </c>
      <c r="K819" t="n">
        <v>0</v>
      </c>
      <c r="L819" t="n">
        <v>0</v>
      </c>
      <c r="M819" t="n">
        <v>0</v>
      </c>
      <c r="N819" t="n">
        <v>0</v>
      </c>
      <c r="O819" t="n">
        <v>0</v>
      </c>
      <c r="P819" t="n">
        <v>0</v>
      </c>
      <c r="Q819" t="n">
        <v>0</v>
      </c>
      <c r="R819" s="2" t="inlineStr"/>
    </row>
    <row r="820" ht="15" customHeight="1">
      <c r="A820" t="inlineStr">
        <is>
          <t>A 39558-2023</t>
        </is>
      </c>
      <c r="B820" s="1" t="n">
        <v>45167.38664351852</v>
      </c>
      <c r="C820" s="1" t="n">
        <v>46081</v>
      </c>
      <c r="D820" t="inlineStr">
        <is>
          <t>DALARNAS LÄN</t>
        </is>
      </c>
      <c r="E820" t="inlineStr">
        <is>
          <t>LEKSAND</t>
        </is>
      </c>
      <c r="G820" t="n">
        <v>39.9</v>
      </c>
      <c r="H820" t="n">
        <v>0</v>
      </c>
      <c r="I820" t="n">
        <v>0</v>
      </c>
      <c r="J820" t="n">
        <v>0</v>
      </c>
      <c r="K820" t="n">
        <v>0</v>
      </c>
      <c r="L820" t="n">
        <v>0</v>
      </c>
      <c r="M820" t="n">
        <v>0</v>
      </c>
      <c r="N820" t="n">
        <v>0</v>
      </c>
      <c r="O820" t="n">
        <v>0</v>
      </c>
      <c r="P820" t="n">
        <v>0</v>
      </c>
      <c r="Q820" t="n">
        <v>0</v>
      </c>
      <c r="R820" s="2" t="inlineStr"/>
    </row>
    <row r="821" ht="15" customHeight="1">
      <c r="A821" t="inlineStr">
        <is>
          <t>A 43231-2024</t>
        </is>
      </c>
      <c r="B821" s="1" t="n">
        <v>45567.89709490741</v>
      </c>
      <c r="C821" s="1" t="n">
        <v>46081</v>
      </c>
      <c r="D821" t="inlineStr">
        <is>
          <t>DALARNAS LÄN</t>
        </is>
      </c>
      <c r="E821" t="inlineStr">
        <is>
          <t>LEKSAND</t>
        </is>
      </c>
      <c r="G821" t="n">
        <v>1.9</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46081</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53799-2023</t>
        </is>
      </c>
      <c r="B823" s="1" t="n">
        <v>45231.35564814815</v>
      </c>
      <c r="C823" s="1" t="n">
        <v>46081</v>
      </c>
      <c r="D823" t="inlineStr">
        <is>
          <t>DALARNAS LÄN</t>
        </is>
      </c>
      <c r="E823" t="inlineStr">
        <is>
          <t>LEKSAND</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40193-2024</t>
        </is>
      </c>
      <c r="B824" s="1" t="n">
        <v>45554.5734375</v>
      </c>
      <c r="C824" s="1" t="n">
        <v>46081</v>
      </c>
      <c r="D824" t="inlineStr">
        <is>
          <t>DALARNAS LÄN</t>
        </is>
      </c>
      <c r="E824" t="inlineStr">
        <is>
          <t>LEKSAND</t>
        </is>
      </c>
      <c r="F824" t="inlineStr">
        <is>
          <t>Övriga statliga verk och myndigheter</t>
        </is>
      </c>
      <c r="G824" t="n">
        <v>1</v>
      </c>
      <c r="H824" t="n">
        <v>0</v>
      </c>
      <c r="I824" t="n">
        <v>0</v>
      </c>
      <c r="J824" t="n">
        <v>0</v>
      </c>
      <c r="K824" t="n">
        <v>0</v>
      </c>
      <c r="L824" t="n">
        <v>0</v>
      </c>
      <c r="M824" t="n">
        <v>0</v>
      </c>
      <c r="N824" t="n">
        <v>0</v>
      </c>
      <c r="O824" t="n">
        <v>0</v>
      </c>
      <c r="P824" t="n">
        <v>0</v>
      </c>
      <c r="Q824" t="n">
        <v>0</v>
      </c>
      <c r="R824" s="2" t="inlineStr"/>
    </row>
    <row r="825" ht="15" customHeight="1">
      <c r="A825" t="inlineStr">
        <is>
          <t>A 31728-2024</t>
        </is>
      </c>
      <c r="B825" s="1" t="n">
        <v>45509.34517361111</v>
      </c>
      <c r="C825" s="1" t="n">
        <v>46081</v>
      </c>
      <c r="D825" t="inlineStr">
        <is>
          <t>DALARNAS LÄN</t>
        </is>
      </c>
      <c r="E825" t="inlineStr">
        <is>
          <t>LEKSAND</t>
        </is>
      </c>
      <c r="G825" t="n">
        <v>1.2</v>
      </c>
      <c r="H825" t="n">
        <v>0</v>
      </c>
      <c r="I825" t="n">
        <v>0</v>
      </c>
      <c r="J825" t="n">
        <v>0</v>
      </c>
      <c r="K825" t="n">
        <v>0</v>
      </c>
      <c r="L825" t="n">
        <v>0</v>
      </c>
      <c r="M825" t="n">
        <v>0</v>
      </c>
      <c r="N825" t="n">
        <v>0</v>
      </c>
      <c r="O825" t="n">
        <v>0</v>
      </c>
      <c r="P825" t="n">
        <v>0</v>
      </c>
      <c r="Q825" t="n">
        <v>0</v>
      </c>
      <c r="R825" s="2" t="inlineStr"/>
    </row>
    <row r="826" ht="15" customHeight="1">
      <c r="A826" t="inlineStr">
        <is>
          <t>A 32394-2024</t>
        </is>
      </c>
      <c r="B826" s="1" t="n">
        <v>45512.64349537037</v>
      </c>
      <c r="C826" s="1" t="n">
        <v>46081</v>
      </c>
      <c r="D826" t="inlineStr">
        <is>
          <t>DALARNAS LÄN</t>
        </is>
      </c>
      <c r="E826" t="inlineStr">
        <is>
          <t>LEKSAND</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43221-2024</t>
        </is>
      </c>
      <c r="B827" s="1" t="n">
        <v>45567.86695601852</v>
      </c>
      <c r="C827" s="1" t="n">
        <v>46081</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21839-2022</t>
        </is>
      </c>
      <c r="B828" s="1" t="n">
        <v>44711</v>
      </c>
      <c r="C828" s="1" t="n">
        <v>46081</v>
      </c>
      <c r="D828" t="inlineStr">
        <is>
          <t>DALARNAS LÄN</t>
        </is>
      </c>
      <c r="E828" t="inlineStr">
        <is>
          <t>LEKSAND</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22388-2024</t>
        </is>
      </c>
      <c r="B829" s="1" t="n">
        <v>45446</v>
      </c>
      <c r="C829" s="1" t="n">
        <v>46081</v>
      </c>
      <c r="D829" t="inlineStr">
        <is>
          <t>DALARNAS LÄN</t>
        </is>
      </c>
      <c r="E829" t="inlineStr">
        <is>
          <t>LEKSAND</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15120-2023</t>
        </is>
      </c>
      <c r="B830" s="1" t="n">
        <v>45016.46484953703</v>
      </c>
      <c r="C830" s="1" t="n">
        <v>46081</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17413-2023</t>
        </is>
      </c>
      <c r="B831" s="1" t="n">
        <v>45035</v>
      </c>
      <c r="C831" s="1" t="n">
        <v>46081</v>
      </c>
      <c r="D831" t="inlineStr">
        <is>
          <t>DALARNAS LÄN</t>
        </is>
      </c>
      <c r="E831" t="inlineStr">
        <is>
          <t>LEKSAND</t>
        </is>
      </c>
      <c r="G831" t="n">
        <v>1.7</v>
      </c>
      <c r="H831" t="n">
        <v>0</v>
      </c>
      <c r="I831" t="n">
        <v>0</v>
      </c>
      <c r="J831" t="n">
        <v>0</v>
      </c>
      <c r="K831" t="n">
        <v>0</v>
      </c>
      <c r="L831" t="n">
        <v>0</v>
      </c>
      <c r="M831" t="n">
        <v>0</v>
      </c>
      <c r="N831" t="n">
        <v>0</v>
      </c>
      <c r="O831" t="n">
        <v>0</v>
      </c>
      <c r="P831" t="n">
        <v>0</v>
      </c>
      <c r="Q831" t="n">
        <v>0</v>
      </c>
      <c r="R831" s="2" t="inlineStr"/>
    </row>
    <row r="832" ht="15" customHeight="1">
      <c r="A832" t="inlineStr">
        <is>
          <t>A 9138-2023</t>
        </is>
      </c>
      <c r="B832" s="1" t="n">
        <v>44974</v>
      </c>
      <c r="C832" s="1" t="n">
        <v>46081</v>
      </c>
      <c r="D832" t="inlineStr">
        <is>
          <t>DALARNAS LÄN</t>
        </is>
      </c>
      <c r="E832" t="inlineStr">
        <is>
          <t>LEKSAND</t>
        </is>
      </c>
      <c r="G832" t="n">
        <v>4.6</v>
      </c>
      <c r="H832" t="n">
        <v>0</v>
      </c>
      <c r="I832" t="n">
        <v>0</v>
      </c>
      <c r="J832" t="n">
        <v>0</v>
      </c>
      <c r="K832" t="n">
        <v>0</v>
      </c>
      <c r="L832" t="n">
        <v>0</v>
      </c>
      <c r="M832" t="n">
        <v>0</v>
      </c>
      <c r="N832" t="n">
        <v>0</v>
      </c>
      <c r="O832" t="n">
        <v>0</v>
      </c>
      <c r="P832" t="n">
        <v>0</v>
      </c>
      <c r="Q832" t="n">
        <v>0</v>
      </c>
      <c r="R832" s="2" t="inlineStr"/>
    </row>
    <row r="833" ht="15" customHeight="1">
      <c r="A833" t="inlineStr">
        <is>
          <t>A 61680-2024</t>
        </is>
      </c>
      <c r="B833" s="1" t="n">
        <v>45647.42890046296</v>
      </c>
      <c r="C833" s="1" t="n">
        <v>46081</v>
      </c>
      <c r="D833" t="inlineStr">
        <is>
          <t>DALARNAS LÄN</t>
        </is>
      </c>
      <c r="E833" t="inlineStr">
        <is>
          <t>LEKSAND</t>
        </is>
      </c>
      <c r="G833" t="n">
        <v>3.6</v>
      </c>
      <c r="H833" t="n">
        <v>0</v>
      </c>
      <c r="I833" t="n">
        <v>0</v>
      </c>
      <c r="J833" t="n">
        <v>0</v>
      </c>
      <c r="K833" t="n">
        <v>0</v>
      </c>
      <c r="L833" t="n">
        <v>0</v>
      </c>
      <c r="M833" t="n">
        <v>0</v>
      </c>
      <c r="N833" t="n">
        <v>0</v>
      </c>
      <c r="O833" t="n">
        <v>0</v>
      </c>
      <c r="P833" t="n">
        <v>0</v>
      </c>
      <c r="Q833" t="n">
        <v>0</v>
      </c>
      <c r="R833" s="2" t="inlineStr"/>
    </row>
    <row r="834" ht="15" customHeight="1">
      <c r="A834" t="inlineStr">
        <is>
          <t>A 54911-2024</t>
        </is>
      </c>
      <c r="B834" s="1" t="n">
        <v>45618.68929398148</v>
      </c>
      <c r="C834" s="1" t="n">
        <v>46081</v>
      </c>
      <c r="D834" t="inlineStr">
        <is>
          <t>DALARNAS LÄN</t>
        </is>
      </c>
      <c r="E834" t="inlineStr">
        <is>
          <t>LEKSAND</t>
        </is>
      </c>
      <c r="G834" t="n">
        <v>0.9</v>
      </c>
      <c r="H834" t="n">
        <v>0</v>
      </c>
      <c r="I834" t="n">
        <v>0</v>
      </c>
      <c r="J834" t="n">
        <v>0</v>
      </c>
      <c r="K834" t="n">
        <v>0</v>
      </c>
      <c r="L834" t="n">
        <v>0</v>
      </c>
      <c r="M834" t="n">
        <v>0</v>
      </c>
      <c r="N834" t="n">
        <v>0</v>
      </c>
      <c r="O834" t="n">
        <v>0</v>
      </c>
      <c r="P834" t="n">
        <v>0</v>
      </c>
      <c r="Q834" t="n">
        <v>0</v>
      </c>
      <c r="R834" s="2" t="inlineStr"/>
    </row>
    <row r="835" ht="15" customHeight="1">
      <c r="A835" t="inlineStr">
        <is>
          <t>A 16611-2024</t>
        </is>
      </c>
      <c r="B835" s="1" t="n">
        <v>45408.55504629629</v>
      </c>
      <c r="C835" s="1" t="n">
        <v>46081</v>
      </c>
      <c r="D835" t="inlineStr">
        <is>
          <t>DALARNAS LÄN</t>
        </is>
      </c>
      <c r="E835" t="inlineStr">
        <is>
          <t>LEKSAND</t>
        </is>
      </c>
      <c r="G835" t="n">
        <v>5.9</v>
      </c>
      <c r="H835" t="n">
        <v>0</v>
      </c>
      <c r="I835" t="n">
        <v>0</v>
      </c>
      <c r="J835" t="n">
        <v>0</v>
      </c>
      <c r="K835" t="n">
        <v>0</v>
      </c>
      <c r="L835" t="n">
        <v>0</v>
      </c>
      <c r="M835" t="n">
        <v>0</v>
      </c>
      <c r="N835" t="n">
        <v>0</v>
      </c>
      <c r="O835" t="n">
        <v>0</v>
      </c>
      <c r="P835" t="n">
        <v>0</v>
      </c>
      <c r="Q835" t="n">
        <v>0</v>
      </c>
      <c r="R835" s="2" t="inlineStr"/>
    </row>
    <row r="836" ht="15" customHeight="1">
      <c r="A836" t="inlineStr">
        <is>
          <t>A 5574-2024</t>
        </is>
      </c>
      <c r="B836" s="1" t="n">
        <v>45334</v>
      </c>
      <c r="C836" s="1" t="n">
        <v>46081</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45512-2023</t>
        </is>
      </c>
      <c r="B837" s="1" t="n">
        <v>45194.49178240741</v>
      </c>
      <c r="C837" s="1" t="n">
        <v>46081</v>
      </c>
      <c r="D837" t="inlineStr">
        <is>
          <t>DALARNAS LÄN</t>
        </is>
      </c>
      <c r="E837" t="inlineStr">
        <is>
          <t>LEKSAND</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45296.45545138889</v>
      </c>
      <c r="C838" s="1" t="n">
        <v>46081</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7778-2025</t>
        </is>
      </c>
      <c r="B839" s="1" t="n">
        <v>45706</v>
      </c>
      <c r="C839" s="1" t="n">
        <v>46081</v>
      </c>
      <c r="D839" t="inlineStr">
        <is>
          <t>DALARNAS LÄN</t>
        </is>
      </c>
      <c r="E839" t="inlineStr">
        <is>
          <t>LEKSAND</t>
        </is>
      </c>
      <c r="G839" t="n">
        <v>2.2</v>
      </c>
      <c r="H839" t="n">
        <v>0</v>
      </c>
      <c r="I839" t="n">
        <v>0</v>
      </c>
      <c r="J839" t="n">
        <v>0</v>
      </c>
      <c r="K839" t="n">
        <v>0</v>
      </c>
      <c r="L839" t="n">
        <v>0</v>
      </c>
      <c r="M839" t="n">
        <v>0</v>
      </c>
      <c r="N839" t="n">
        <v>0</v>
      </c>
      <c r="O839" t="n">
        <v>0</v>
      </c>
      <c r="P839" t="n">
        <v>0</v>
      </c>
      <c r="Q839" t="n">
        <v>0</v>
      </c>
      <c r="R839" s="2" t="inlineStr"/>
    </row>
    <row r="840" ht="15" customHeight="1">
      <c r="A840" t="inlineStr">
        <is>
          <t>A 19590-2023</t>
        </is>
      </c>
      <c r="B840" s="1" t="n">
        <v>45049</v>
      </c>
      <c r="C840" s="1" t="n">
        <v>46081</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39807-2024</t>
        </is>
      </c>
      <c r="B841" s="1" t="n">
        <v>45553.35763888889</v>
      </c>
      <c r="C841" s="1" t="n">
        <v>46081</v>
      </c>
      <c r="D841" t="inlineStr">
        <is>
          <t>DALARNAS LÄN</t>
        </is>
      </c>
      <c r="E841" t="inlineStr">
        <is>
          <t>LEKSAND</t>
        </is>
      </c>
      <c r="F841" t="inlineStr">
        <is>
          <t>Bergvik skog väst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31850-2024</t>
        </is>
      </c>
      <c r="B842" s="1" t="n">
        <v>45509.67334490741</v>
      </c>
      <c r="C842" s="1" t="n">
        <v>46081</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11277-2025</t>
        </is>
      </c>
      <c r="B843" s="1" t="n">
        <v>45726.41565972222</v>
      </c>
      <c r="C843" s="1" t="n">
        <v>46081</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325-2023</t>
        </is>
      </c>
      <c r="B844" s="1" t="n">
        <v>44929</v>
      </c>
      <c r="C844" s="1" t="n">
        <v>46081</v>
      </c>
      <c r="D844" t="inlineStr">
        <is>
          <t>DALARNAS LÄN</t>
        </is>
      </c>
      <c r="E844" t="inlineStr">
        <is>
          <t>LEKSAND</t>
        </is>
      </c>
      <c r="F844" t="inlineStr">
        <is>
          <t>Övriga Aktiebolag</t>
        </is>
      </c>
      <c r="G844" t="n">
        <v>7.1</v>
      </c>
      <c r="H844" t="n">
        <v>0</v>
      </c>
      <c r="I844" t="n">
        <v>0</v>
      </c>
      <c r="J844" t="n">
        <v>0</v>
      </c>
      <c r="K844" t="n">
        <v>0</v>
      </c>
      <c r="L844" t="n">
        <v>0</v>
      </c>
      <c r="M844" t="n">
        <v>0</v>
      </c>
      <c r="N844" t="n">
        <v>0</v>
      </c>
      <c r="O844" t="n">
        <v>0</v>
      </c>
      <c r="P844" t="n">
        <v>0</v>
      </c>
      <c r="Q844" t="n">
        <v>0</v>
      </c>
      <c r="R844" s="2" t="inlineStr"/>
    </row>
    <row r="845" ht="15" customHeight="1">
      <c r="A845" t="inlineStr">
        <is>
          <t>A 11678-2025</t>
        </is>
      </c>
      <c r="B845" s="1" t="n">
        <v>45726</v>
      </c>
      <c r="C845" s="1" t="n">
        <v>46081</v>
      </c>
      <c r="D845" t="inlineStr">
        <is>
          <t>DALARNAS LÄN</t>
        </is>
      </c>
      <c r="E845" t="inlineStr">
        <is>
          <t>LEKSAND</t>
        </is>
      </c>
      <c r="G845" t="n">
        <v>9.4</v>
      </c>
      <c r="H845" t="n">
        <v>0</v>
      </c>
      <c r="I845" t="n">
        <v>0</v>
      </c>
      <c r="J845" t="n">
        <v>0</v>
      </c>
      <c r="K845" t="n">
        <v>0</v>
      </c>
      <c r="L845" t="n">
        <v>0</v>
      </c>
      <c r="M845" t="n">
        <v>0</v>
      </c>
      <c r="N845" t="n">
        <v>0</v>
      </c>
      <c r="O845" t="n">
        <v>0</v>
      </c>
      <c r="P845" t="n">
        <v>0</v>
      </c>
      <c r="Q845" t="n">
        <v>0</v>
      </c>
      <c r="R845" s="2" t="inlineStr"/>
    </row>
    <row r="846" ht="15" customHeight="1">
      <c r="A846" t="inlineStr">
        <is>
          <t>A 28630-2023</t>
        </is>
      </c>
      <c r="B846" s="1" t="n">
        <v>45103.61003472222</v>
      </c>
      <c r="C846" s="1" t="n">
        <v>46081</v>
      </c>
      <c r="D846" t="inlineStr">
        <is>
          <t>DALARNAS LÄN</t>
        </is>
      </c>
      <c r="E846" t="inlineStr">
        <is>
          <t>LEKSAND</t>
        </is>
      </c>
      <c r="F846" t="inlineStr">
        <is>
          <t>Bergvik skog väst AB</t>
        </is>
      </c>
      <c r="G846" t="n">
        <v>0.3</v>
      </c>
      <c r="H846" t="n">
        <v>0</v>
      </c>
      <c r="I846" t="n">
        <v>0</v>
      </c>
      <c r="J846" t="n">
        <v>0</v>
      </c>
      <c r="K846" t="n">
        <v>0</v>
      </c>
      <c r="L846" t="n">
        <v>0</v>
      </c>
      <c r="M846" t="n">
        <v>0</v>
      </c>
      <c r="N846" t="n">
        <v>0</v>
      </c>
      <c r="O846" t="n">
        <v>0</v>
      </c>
      <c r="P846" t="n">
        <v>0</v>
      </c>
      <c r="Q846" t="n">
        <v>0</v>
      </c>
      <c r="R846" s="2" t="inlineStr"/>
    </row>
    <row r="847" ht="15" customHeight="1">
      <c r="A847" t="inlineStr">
        <is>
          <t>A 7759-2025</t>
        </is>
      </c>
      <c r="B847" s="1" t="n">
        <v>45706.53827546296</v>
      </c>
      <c r="C847" s="1" t="n">
        <v>46081</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17078-2023</t>
        </is>
      </c>
      <c r="B848" s="1" t="n">
        <v>45034</v>
      </c>
      <c r="C848" s="1" t="n">
        <v>46081</v>
      </c>
      <c r="D848" t="inlineStr">
        <is>
          <t>DALARNAS LÄN</t>
        </is>
      </c>
      <c r="E848" t="inlineStr">
        <is>
          <t>LEKSAND</t>
        </is>
      </c>
      <c r="G848" t="n">
        <v>0.5</v>
      </c>
      <c r="H848" t="n">
        <v>0</v>
      </c>
      <c r="I848" t="n">
        <v>0</v>
      </c>
      <c r="J848" t="n">
        <v>0</v>
      </c>
      <c r="K848" t="n">
        <v>0</v>
      </c>
      <c r="L848" t="n">
        <v>0</v>
      </c>
      <c r="M848" t="n">
        <v>0</v>
      </c>
      <c r="N848" t="n">
        <v>0</v>
      </c>
      <c r="O848" t="n">
        <v>0</v>
      </c>
      <c r="P848" t="n">
        <v>0</v>
      </c>
      <c r="Q848" t="n">
        <v>0</v>
      </c>
      <c r="R848" s="2" t="inlineStr"/>
    </row>
    <row r="849" ht="15" customHeight="1">
      <c r="A849" t="inlineStr">
        <is>
          <t>A 14865-2025</t>
        </is>
      </c>
      <c r="B849" s="1" t="n">
        <v>45743.43929398148</v>
      </c>
      <c r="C849" s="1" t="n">
        <v>46081</v>
      </c>
      <c r="D849" t="inlineStr">
        <is>
          <t>DALARNAS LÄN</t>
        </is>
      </c>
      <c r="E849" t="inlineStr">
        <is>
          <t>LEKSAND</t>
        </is>
      </c>
      <c r="G849" t="n">
        <v>0.9</v>
      </c>
      <c r="H849" t="n">
        <v>0</v>
      </c>
      <c r="I849" t="n">
        <v>0</v>
      </c>
      <c r="J849" t="n">
        <v>0</v>
      </c>
      <c r="K849" t="n">
        <v>0</v>
      </c>
      <c r="L849" t="n">
        <v>0</v>
      </c>
      <c r="M849" t="n">
        <v>0</v>
      </c>
      <c r="N849" t="n">
        <v>0</v>
      </c>
      <c r="O849" t="n">
        <v>0</v>
      </c>
      <c r="P849" t="n">
        <v>0</v>
      </c>
      <c r="Q849" t="n">
        <v>0</v>
      </c>
      <c r="R849" s="2" t="inlineStr"/>
    </row>
    <row r="850" ht="15" customHeight="1">
      <c r="A850" t="inlineStr">
        <is>
          <t>A 16854-2025</t>
        </is>
      </c>
      <c r="B850" s="1" t="n">
        <v>45754.72883101852</v>
      </c>
      <c r="C850" s="1" t="n">
        <v>46081</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5847-2025</t>
        </is>
      </c>
      <c r="B851" s="1" t="n">
        <v>45695.30824074074</v>
      </c>
      <c r="C851" s="1" t="n">
        <v>46081</v>
      </c>
      <c r="D851" t="inlineStr">
        <is>
          <t>DALARNAS LÄN</t>
        </is>
      </c>
      <c r="E851" t="inlineStr">
        <is>
          <t>LEKSAND</t>
        </is>
      </c>
      <c r="G851" t="n">
        <v>2.6</v>
      </c>
      <c r="H851" t="n">
        <v>0</v>
      </c>
      <c r="I851" t="n">
        <v>0</v>
      </c>
      <c r="J851" t="n">
        <v>0</v>
      </c>
      <c r="K851" t="n">
        <v>0</v>
      </c>
      <c r="L851" t="n">
        <v>0</v>
      </c>
      <c r="M851" t="n">
        <v>0</v>
      </c>
      <c r="N851" t="n">
        <v>0</v>
      </c>
      <c r="O851" t="n">
        <v>0</v>
      </c>
      <c r="P851" t="n">
        <v>0</v>
      </c>
      <c r="Q851" t="n">
        <v>0</v>
      </c>
      <c r="R851" s="2" t="inlineStr"/>
    </row>
    <row r="852" ht="15" customHeight="1">
      <c r="A852" t="inlineStr">
        <is>
          <t>A 5873-2025</t>
        </is>
      </c>
      <c r="B852" s="1" t="n">
        <v>45695.36715277778</v>
      </c>
      <c r="C852" s="1" t="n">
        <v>46081</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18481-2024</t>
        </is>
      </c>
      <c r="B853" s="1" t="n">
        <v>45425.52193287037</v>
      </c>
      <c r="C853" s="1" t="n">
        <v>46081</v>
      </c>
      <c r="D853" t="inlineStr">
        <is>
          <t>DALARNAS LÄN</t>
        </is>
      </c>
      <c r="E853" t="inlineStr">
        <is>
          <t>LEKSAND</t>
        </is>
      </c>
      <c r="G853" t="n">
        <v>0.9</v>
      </c>
      <c r="H853" t="n">
        <v>0</v>
      </c>
      <c r="I853" t="n">
        <v>0</v>
      </c>
      <c r="J853" t="n">
        <v>0</v>
      </c>
      <c r="K853" t="n">
        <v>0</v>
      </c>
      <c r="L853" t="n">
        <v>0</v>
      </c>
      <c r="M853" t="n">
        <v>0</v>
      </c>
      <c r="N853" t="n">
        <v>0</v>
      </c>
      <c r="O853" t="n">
        <v>0</v>
      </c>
      <c r="P853" t="n">
        <v>0</v>
      </c>
      <c r="Q853" t="n">
        <v>0</v>
      </c>
      <c r="R853" s="2" t="inlineStr"/>
    </row>
    <row r="854" ht="15" customHeight="1">
      <c r="A854" t="inlineStr">
        <is>
          <t>A 18484-2024</t>
        </is>
      </c>
      <c r="B854" s="1" t="n">
        <v>45425.52559027778</v>
      </c>
      <c r="C854" s="1" t="n">
        <v>46081</v>
      </c>
      <c r="D854" t="inlineStr">
        <is>
          <t>DALARNAS LÄN</t>
        </is>
      </c>
      <c r="E854" t="inlineStr">
        <is>
          <t>LEKSAND</t>
        </is>
      </c>
      <c r="G854" t="n">
        <v>2</v>
      </c>
      <c r="H854" t="n">
        <v>0</v>
      </c>
      <c r="I854" t="n">
        <v>0</v>
      </c>
      <c r="J854" t="n">
        <v>0</v>
      </c>
      <c r="K854" t="n">
        <v>0</v>
      </c>
      <c r="L854" t="n">
        <v>0</v>
      </c>
      <c r="M854" t="n">
        <v>0</v>
      </c>
      <c r="N854" t="n">
        <v>0</v>
      </c>
      <c r="O854" t="n">
        <v>0</v>
      </c>
      <c r="P854" t="n">
        <v>0</v>
      </c>
      <c r="Q854" t="n">
        <v>0</v>
      </c>
      <c r="R854" s="2" t="inlineStr"/>
    </row>
    <row r="855" ht="15" customHeight="1">
      <c r="A855" t="inlineStr">
        <is>
          <t>A 53193-2024</t>
        </is>
      </c>
      <c r="B855" s="1" t="n">
        <v>45610</v>
      </c>
      <c r="C855" s="1" t="n">
        <v>46081</v>
      </c>
      <c r="D855" t="inlineStr">
        <is>
          <t>DALARNAS LÄN</t>
        </is>
      </c>
      <c r="E855" t="inlineStr">
        <is>
          <t>LEKSAND</t>
        </is>
      </c>
      <c r="G855" t="n">
        <v>1.4</v>
      </c>
      <c r="H855" t="n">
        <v>0</v>
      </c>
      <c r="I855" t="n">
        <v>0</v>
      </c>
      <c r="J855" t="n">
        <v>0</v>
      </c>
      <c r="K855" t="n">
        <v>0</v>
      </c>
      <c r="L855" t="n">
        <v>0</v>
      </c>
      <c r="M855" t="n">
        <v>0</v>
      </c>
      <c r="N855" t="n">
        <v>0</v>
      </c>
      <c r="O855" t="n">
        <v>0</v>
      </c>
      <c r="P855" t="n">
        <v>0</v>
      </c>
      <c r="Q855" t="n">
        <v>0</v>
      </c>
      <c r="R855" s="2" t="inlineStr"/>
    </row>
    <row r="856" ht="15" customHeight="1">
      <c r="A856" t="inlineStr">
        <is>
          <t>A 11080-2023</t>
        </is>
      </c>
      <c r="B856" s="1" t="n">
        <v>44992</v>
      </c>
      <c r="C856" s="1" t="n">
        <v>46081</v>
      </c>
      <c r="D856" t="inlineStr">
        <is>
          <t>DALARNAS LÄN</t>
        </is>
      </c>
      <c r="E856" t="inlineStr">
        <is>
          <t>LEKSAND</t>
        </is>
      </c>
      <c r="G856" t="n">
        <v>6.9</v>
      </c>
      <c r="H856" t="n">
        <v>0</v>
      </c>
      <c r="I856" t="n">
        <v>0</v>
      </c>
      <c r="J856" t="n">
        <v>0</v>
      </c>
      <c r="K856" t="n">
        <v>0</v>
      </c>
      <c r="L856" t="n">
        <v>0</v>
      </c>
      <c r="M856" t="n">
        <v>0</v>
      </c>
      <c r="N856" t="n">
        <v>0</v>
      </c>
      <c r="O856" t="n">
        <v>0</v>
      </c>
      <c r="P856" t="n">
        <v>0</v>
      </c>
      <c r="Q856" t="n">
        <v>0</v>
      </c>
      <c r="R856" s="2" t="inlineStr"/>
    </row>
    <row r="857" ht="15" customHeight="1">
      <c r="A857" t="inlineStr">
        <is>
          <t>A 26957-2023</t>
        </is>
      </c>
      <c r="B857" s="1" t="n">
        <v>45093</v>
      </c>
      <c r="C857" s="1" t="n">
        <v>46081</v>
      </c>
      <c r="D857" t="inlineStr">
        <is>
          <t>DALARNAS LÄN</t>
        </is>
      </c>
      <c r="E857" t="inlineStr">
        <is>
          <t>LEKSAND</t>
        </is>
      </c>
      <c r="G857" t="n">
        <v>1.1</v>
      </c>
      <c r="H857" t="n">
        <v>0</v>
      </c>
      <c r="I857" t="n">
        <v>0</v>
      </c>
      <c r="J857" t="n">
        <v>0</v>
      </c>
      <c r="K857" t="n">
        <v>0</v>
      </c>
      <c r="L857" t="n">
        <v>0</v>
      </c>
      <c r="M857" t="n">
        <v>0</v>
      </c>
      <c r="N857" t="n">
        <v>0</v>
      </c>
      <c r="O857" t="n">
        <v>0</v>
      </c>
      <c r="P857" t="n">
        <v>0</v>
      </c>
      <c r="Q857" t="n">
        <v>0</v>
      </c>
      <c r="R857" s="2" t="inlineStr"/>
    </row>
    <row r="858" ht="15" customHeight="1">
      <c r="A858" t="inlineStr">
        <is>
          <t>A 19371-2024</t>
        </is>
      </c>
      <c r="B858" s="1" t="n">
        <v>45429.34969907408</v>
      </c>
      <c r="C858" s="1" t="n">
        <v>46081</v>
      </c>
      <c r="D858" t="inlineStr">
        <is>
          <t>DALARNAS LÄN</t>
        </is>
      </c>
      <c r="E858" t="inlineStr">
        <is>
          <t>LEKSAND</t>
        </is>
      </c>
      <c r="G858" t="n">
        <v>0.6</v>
      </c>
      <c r="H858" t="n">
        <v>0</v>
      </c>
      <c r="I858" t="n">
        <v>0</v>
      </c>
      <c r="J858" t="n">
        <v>0</v>
      </c>
      <c r="K858" t="n">
        <v>0</v>
      </c>
      <c r="L858" t="n">
        <v>0</v>
      </c>
      <c r="M858" t="n">
        <v>0</v>
      </c>
      <c r="N858" t="n">
        <v>0</v>
      </c>
      <c r="O858" t="n">
        <v>0</v>
      </c>
      <c r="P858" t="n">
        <v>0</v>
      </c>
      <c r="Q858" t="n">
        <v>0</v>
      </c>
      <c r="R858" s="2" t="inlineStr"/>
    </row>
    <row r="859" ht="15" customHeight="1">
      <c r="A859" t="inlineStr">
        <is>
          <t>A 7827-2024</t>
        </is>
      </c>
      <c r="B859" s="1" t="n">
        <v>45349.7467824074</v>
      </c>
      <c r="C859" s="1" t="n">
        <v>46081</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49405-2024</t>
        </is>
      </c>
      <c r="B860" s="1" t="n">
        <v>45595</v>
      </c>
      <c r="C860" s="1" t="n">
        <v>46081</v>
      </c>
      <c r="D860" t="inlineStr">
        <is>
          <t>DALARNAS LÄN</t>
        </is>
      </c>
      <c r="E860" t="inlineStr">
        <is>
          <t>LEKSAND</t>
        </is>
      </c>
      <c r="G860" t="n">
        <v>0.7</v>
      </c>
      <c r="H860" t="n">
        <v>0</v>
      </c>
      <c r="I860" t="n">
        <v>0</v>
      </c>
      <c r="J860" t="n">
        <v>0</v>
      </c>
      <c r="K860" t="n">
        <v>0</v>
      </c>
      <c r="L860" t="n">
        <v>0</v>
      </c>
      <c r="M860" t="n">
        <v>0</v>
      </c>
      <c r="N860" t="n">
        <v>0</v>
      </c>
      <c r="O860" t="n">
        <v>0</v>
      </c>
      <c r="P860" t="n">
        <v>0</v>
      </c>
      <c r="Q860" t="n">
        <v>0</v>
      </c>
      <c r="R860" s="2" t="inlineStr"/>
    </row>
    <row r="861" ht="15" customHeight="1">
      <c r="A861" t="inlineStr">
        <is>
          <t>A 20683-2025</t>
        </is>
      </c>
      <c r="B861" s="1" t="n">
        <v>45776</v>
      </c>
      <c r="C861" s="1" t="n">
        <v>46081</v>
      </c>
      <c r="D861" t="inlineStr">
        <is>
          <t>DALARNAS LÄN</t>
        </is>
      </c>
      <c r="E861" t="inlineStr">
        <is>
          <t>LEKSAND</t>
        </is>
      </c>
      <c r="F861" t="inlineStr">
        <is>
          <t>Bergvik skog väst AB</t>
        </is>
      </c>
      <c r="G861" t="n">
        <v>4.1</v>
      </c>
      <c r="H861" t="n">
        <v>0</v>
      </c>
      <c r="I861" t="n">
        <v>0</v>
      </c>
      <c r="J861" t="n">
        <v>0</v>
      </c>
      <c r="K861" t="n">
        <v>0</v>
      </c>
      <c r="L861" t="n">
        <v>0</v>
      </c>
      <c r="M861" t="n">
        <v>0</v>
      </c>
      <c r="N861" t="n">
        <v>0</v>
      </c>
      <c r="O861" t="n">
        <v>0</v>
      </c>
      <c r="P861" t="n">
        <v>0</v>
      </c>
      <c r="Q861" t="n">
        <v>0</v>
      </c>
      <c r="R861" s="2" t="inlineStr"/>
    </row>
    <row r="862" ht="15" customHeight="1">
      <c r="A862" t="inlineStr">
        <is>
          <t>A 20937-2025</t>
        </is>
      </c>
      <c r="B862" s="1" t="n">
        <v>45777.42769675926</v>
      </c>
      <c r="C862" s="1" t="n">
        <v>46081</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21457-2025</t>
        </is>
      </c>
      <c r="B863" s="1" t="n">
        <v>45782.55451388889</v>
      </c>
      <c r="C863" s="1" t="n">
        <v>46081</v>
      </c>
      <c r="D863" t="inlineStr">
        <is>
          <t>DALARNAS LÄN</t>
        </is>
      </c>
      <c r="E863" t="inlineStr">
        <is>
          <t>LEKSAND</t>
        </is>
      </c>
      <c r="G863" t="n">
        <v>1</v>
      </c>
      <c r="H863" t="n">
        <v>0</v>
      </c>
      <c r="I863" t="n">
        <v>0</v>
      </c>
      <c r="J863" t="n">
        <v>0</v>
      </c>
      <c r="K863" t="n">
        <v>0</v>
      </c>
      <c r="L863" t="n">
        <v>0</v>
      </c>
      <c r="M863" t="n">
        <v>0</v>
      </c>
      <c r="N863" t="n">
        <v>0</v>
      </c>
      <c r="O863" t="n">
        <v>0</v>
      </c>
      <c r="P863" t="n">
        <v>0</v>
      </c>
      <c r="Q863" t="n">
        <v>0</v>
      </c>
      <c r="R863" s="2" t="inlineStr"/>
    </row>
    <row r="864" ht="15" customHeight="1">
      <c r="A864" t="inlineStr">
        <is>
          <t>A 21230-2025</t>
        </is>
      </c>
      <c r="B864" s="1" t="n">
        <v>45779.54589120371</v>
      </c>
      <c r="C864" s="1" t="n">
        <v>46081</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21193-2025</t>
        </is>
      </c>
      <c r="B865" s="1" t="n">
        <v>45779.46675925926</v>
      </c>
      <c r="C865" s="1" t="n">
        <v>46081</v>
      </c>
      <c r="D865" t="inlineStr">
        <is>
          <t>DALARNAS LÄN</t>
        </is>
      </c>
      <c r="E865" t="inlineStr">
        <is>
          <t>LEKSAND</t>
        </is>
      </c>
      <c r="G865" t="n">
        <v>3.7</v>
      </c>
      <c r="H865" t="n">
        <v>0</v>
      </c>
      <c r="I865" t="n">
        <v>0</v>
      </c>
      <c r="J865" t="n">
        <v>0</v>
      </c>
      <c r="K865" t="n">
        <v>0</v>
      </c>
      <c r="L865" t="n">
        <v>0</v>
      </c>
      <c r="M865" t="n">
        <v>0</v>
      </c>
      <c r="N865" t="n">
        <v>0</v>
      </c>
      <c r="O865" t="n">
        <v>0</v>
      </c>
      <c r="P865" t="n">
        <v>0</v>
      </c>
      <c r="Q865" t="n">
        <v>0</v>
      </c>
      <c r="R865" s="2" t="inlineStr"/>
    </row>
    <row r="866" ht="15" customHeight="1">
      <c r="A866" t="inlineStr">
        <is>
          <t>A 11872-2024</t>
        </is>
      </c>
      <c r="B866" s="1" t="n">
        <v>45376.46833333333</v>
      </c>
      <c r="C866" s="1" t="n">
        <v>46081</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21600-2025</t>
        </is>
      </c>
      <c r="B867" s="1" t="n">
        <v>45783.3521875</v>
      </c>
      <c r="C867" s="1" t="n">
        <v>46081</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40627-2023</t>
        </is>
      </c>
      <c r="B868" s="1" t="n">
        <v>45170</v>
      </c>
      <c r="C868" s="1" t="n">
        <v>46081</v>
      </c>
      <c r="D868" t="inlineStr">
        <is>
          <t>DALARNAS LÄN</t>
        </is>
      </c>
      <c r="E868" t="inlineStr">
        <is>
          <t>LEKSAND</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21916-2025</t>
        </is>
      </c>
      <c r="B869" s="1" t="n">
        <v>45784.50115740741</v>
      </c>
      <c r="C869" s="1" t="n">
        <v>46081</v>
      </c>
      <c r="D869" t="inlineStr">
        <is>
          <t>DALARNAS LÄN</t>
        </is>
      </c>
      <c r="E869" t="inlineStr">
        <is>
          <t>LEKSAND</t>
        </is>
      </c>
      <c r="G869" t="n">
        <v>2.6</v>
      </c>
      <c r="H869" t="n">
        <v>0</v>
      </c>
      <c r="I869" t="n">
        <v>0</v>
      </c>
      <c r="J869" t="n">
        <v>0</v>
      </c>
      <c r="K869" t="n">
        <v>0</v>
      </c>
      <c r="L869" t="n">
        <v>0</v>
      </c>
      <c r="M869" t="n">
        <v>0</v>
      </c>
      <c r="N869" t="n">
        <v>0</v>
      </c>
      <c r="O869" t="n">
        <v>0</v>
      </c>
      <c r="P869" t="n">
        <v>0</v>
      </c>
      <c r="Q869" t="n">
        <v>0</v>
      </c>
      <c r="R869" s="2" t="inlineStr"/>
    </row>
    <row r="870" ht="15" customHeight="1">
      <c r="A870" t="inlineStr">
        <is>
          <t>A 14967-2023</t>
        </is>
      </c>
      <c r="B870" s="1" t="n">
        <v>45015</v>
      </c>
      <c r="C870" s="1" t="n">
        <v>46081</v>
      </c>
      <c r="D870" t="inlineStr">
        <is>
          <t>DALARNAS LÄN</t>
        </is>
      </c>
      <c r="E870" t="inlineStr">
        <is>
          <t>LEKSAND</t>
        </is>
      </c>
      <c r="G870" t="n">
        <v>1.4</v>
      </c>
      <c r="H870" t="n">
        <v>0</v>
      </c>
      <c r="I870" t="n">
        <v>0</v>
      </c>
      <c r="J870" t="n">
        <v>0</v>
      </c>
      <c r="K870" t="n">
        <v>0</v>
      </c>
      <c r="L870" t="n">
        <v>0</v>
      </c>
      <c r="M870" t="n">
        <v>0</v>
      </c>
      <c r="N870" t="n">
        <v>0</v>
      </c>
      <c r="O870" t="n">
        <v>0</v>
      </c>
      <c r="P870" t="n">
        <v>0</v>
      </c>
      <c r="Q870" t="n">
        <v>0</v>
      </c>
      <c r="R870" s="2" t="inlineStr"/>
    </row>
    <row r="871" ht="15" customHeight="1">
      <c r="A871" t="inlineStr">
        <is>
          <t>A 62307-2023</t>
        </is>
      </c>
      <c r="B871" s="1" t="n">
        <v>45266</v>
      </c>
      <c r="C871" s="1" t="n">
        <v>46081</v>
      </c>
      <c r="D871" t="inlineStr">
        <is>
          <t>DALARNAS LÄN</t>
        </is>
      </c>
      <c r="E871" t="inlineStr">
        <is>
          <t>LEKSAND</t>
        </is>
      </c>
      <c r="G871" t="n">
        <v>3.9</v>
      </c>
      <c r="H871" t="n">
        <v>0</v>
      </c>
      <c r="I871" t="n">
        <v>0</v>
      </c>
      <c r="J871" t="n">
        <v>0</v>
      </c>
      <c r="K871" t="n">
        <v>0</v>
      </c>
      <c r="L871" t="n">
        <v>0</v>
      </c>
      <c r="M871" t="n">
        <v>0</v>
      </c>
      <c r="N871" t="n">
        <v>0</v>
      </c>
      <c r="O871" t="n">
        <v>0</v>
      </c>
      <c r="P871" t="n">
        <v>0</v>
      </c>
      <c r="Q871" t="n">
        <v>0</v>
      </c>
      <c r="R871" s="2" t="inlineStr"/>
    </row>
    <row r="872" ht="15" customHeight="1">
      <c r="A872" t="inlineStr">
        <is>
          <t>A 61554-2024</t>
        </is>
      </c>
      <c r="B872" s="1" t="n">
        <v>45646.60748842593</v>
      </c>
      <c r="C872" s="1" t="n">
        <v>46081</v>
      </c>
      <c r="D872" t="inlineStr">
        <is>
          <t>DALARNAS LÄN</t>
        </is>
      </c>
      <c r="E872" t="inlineStr">
        <is>
          <t>LEKSAND</t>
        </is>
      </c>
      <c r="G872" t="n">
        <v>2.6</v>
      </c>
      <c r="H872" t="n">
        <v>0</v>
      </c>
      <c r="I872" t="n">
        <v>0</v>
      </c>
      <c r="J872" t="n">
        <v>0</v>
      </c>
      <c r="K872" t="n">
        <v>0</v>
      </c>
      <c r="L872" t="n">
        <v>0</v>
      </c>
      <c r="M872" t="n">
        <v>0</v>
      </c>
      <c r="N872" t="n">
        <v>0</v>
      </c>
      <c r="O872" t="n">
        <v>0</v>
      </c>
      <c r="P872" t="n">
        <v>0</v>
      </c>
      <c r="Q872" t="n">
        <v>0</v>
      </c>
      <c r="R872" s="2" t="inlineStr"/>
    </row>
    <row r="873" ht="15" customHeight="1">
      <c r="A873" t="inlineStr">
        <is>
          <t>A 36534-2024</t>
        </is>
      </c>
      <c r="B873" s="1" t="n">
        <v>45537.45143518518</v>
      </c>
      <c r="C873" s="1" t="n">
        <v>46081</v>
      </c>
      <c r="D873" t="inlineStr">
        <is>
          <t>DALARNAS LÄN</t>
        </is>
      </c>
      <c r="E873" t="inlineStr">
        <is>
          <t>LEKSAND</t>
        </is>
      </c>
      <c r="G873" t="n">
        <v>4</v>
      </c>
      <c r="H873" t="n">
        <v>0</v>
      </c>
      <c r="I873" t="n">
        <v>0</v>
      </c>
      <c r="J873" t="n">
        <v>0</v>
      </c>
      <c r="K873" t="n">
        <v>0</v>
      </c>
      <c r="L873" t="n">
        <v>0</v>
      </c>
      <c r="M873" t="n">
        <v>0</v>
      </c>
      <c r="N873" t="n">
        <v>0</v>
      </c>
      <c r="O873" t="n">
        <v>0</v>
      </c>
      <c r="P873" t="n">
        <v>0</v>
      </c>
      <c r="Q873" t="n">
        <v>0</v>
      </c>
      <c r="R873" s="2" t="inlineStr"/>
    </row>
    <row r="874" ht="15" customHeight="1">
      <c r="A874" t="inlineStr">
        <is>
          <t>A 34244-2024</t>
        </is>
      </c>
      <c r="B874" s="1" t="n">
        <v>45524.58349537037</v>
      </c>
      <c r="C874" s="1" t="n">
        <v>46081</v>
      </c>
      <c r="D874" t="inlineStr">
        <is>
          <t>DALARNAS LÄN</t>
        </is>
      </c>
      <c r="E874" t="inlineStr">
        <is>
          <t>LEKSAND</t>
        </is>
      </c>
      <c r="G874" t="n">
        <v>1.5</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45350.30831018519</v>
      </c>
      <c r="C875" s="1" t="n">
        <v>46081</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22080-2025</t>
        </is>
      </c>
      <c r="B876" s="1" t="n">
        <v>45785</v>
      </c>
      <c r="C876" s="1" t="n">
        <v>46081</v>
      </c>
      <c r="D876" t="inlineStr">
        <is>
          <t>DALARNAS LÄN</t>
        </is>
      </c>
      <c r="E876" t="inlineStr">
        <is>
          <t>LEKSAND</t>
        </is>
      </c>
      <c r="G876" t="n">
        <v>7</v>
      </c>
      <c r="H876" t="n">
        <v>0</v>
      </c>
      <c r="I876" t="n">
        <v>0</v>
      </c>
      <c r="J876" t="n">
        <v>0</v>
      </c>
      <c r="K876" t="n">
        <v>0</v>
      </c>
      <c r="L876" t="n">
        <v>0</v>
      </c>
      <c r="M876" t="n">
        <v>0</v>
      </c>
      <c r="N876" t="n">
        <v>0</v>
      </c>
      <c r="O876" t="n">
        <v>0</v>
      </c>
      <c r="P876" t="n">
        <v>0</v>
      </c>
      <c r="Q876" t="n">
        <v>0</v>
      </c>
      <c r="R876" s="2" t="inlineStr"/>
    </row>
    <row r="877" ht="15" customHeight="1">
      <c r="A877" t="inlineStr">
        <is>
          <t>A 22536-2025</t>
        </is>
      </c>
      <c r="B877" s="1" t="n">
        <v>45787.33037037037</v>
      </c>
      <c r="C877" s="1" t="n">
        <v>46081</v>
      </c>
      <c r="D877" t="inlineStr">
        <is>
          <t>DALARNAS LÄN</t>
        </is>
      </c>
      <c r="E877" t="inlineStr">
        <is>
          <t>LEKSAND</t>
        </is>
      </c>
      <c r="G877" t="n">
        <v>1.8</v>
      </c>
      <c r="H877" t="n">
        <v>0</v>
      </c>
      <c r="I877" t="n">
        <v>0</v>
      </c>
      <c r="J877" t="n">
        <v>0</v>
      </c>
      <c r="K877" t="n">
        <v>0</v>
      </c>
      <c r="L877" t="n">
        <v>0</v>
      </c>
      <c r="M877" t="n">
        <v>0</v>
      </c>
      <c r="N877" t="n">
        <v>0</v>
      </c>
      <c r="O877" t="n">
        <v>0</v>
      </c>
      <c r="P877" t="n">
        <v>0</v>
      </c>
      <c r="Q877" t="n">
        <v>0</v>
      </c>
      <c r="R877" s="2" t="inlineStr"/>
    </row>
    <row r="878" ht="15" customHeight="1">
      <c r="A878" t="inlineStr">
        <is>
          <t>A 60042-2023</t>
        </is>
      </c>
      <c r="B878" s="1" t="n">
        <v>45256</v>
      </c>
      <c r="C878" s="1" t="n">
        <v>46081</v>
      </c>
      <c r="D878" t="inlineStr">
        <is>
          <t>DALARNAS LÄN</t>
        </is>
      </c>
      <c r="E878" t="inlineStr">
        <is>
          <t>LEKSAND</t>
        </is>
      </c>
      <c r="G878" t="n">
        <v>2</v>
      </c>
      <c r="H878" t="n">
        <v>0</v>
      </c>
      <c r="I878" t="n">
        <v>0</v>
      </c>
      <c r="J878" t="n">
        <v>0</v>
      </c>
      <c r="K878" t="n">
        <v>0</v>
      </c>
      <c r="L878" t="n">
        <v>0</v>
      </c>
      <c r="M878" t="n">
        <v>0</v>
      </c>
      <c r="N878" t="n">
        <v>0</v>
      </c>
      <c r="O878" t="n">
        <v>0</v>
      </c>
      <c r="P878" t="n">
        <v>0</v>
      </c>
      <c r="Q878" t="n">
        <v>0</v>
      </c>
      <c r="R878" s="2" t="inlineStr"/>
    </row>
    <row r="879" ht="15" customHeight="1">
      <c r="A879" t="inlineStr">
        <is>
          <t>A 22876-2025</t>
        </is>
      </c>
      <c r="B879" s="1" t="n">
        <v>45790.3728587963</v>
      </c>
      <c r="C879" s="1" t="n">
        <v>46081</v>
      </c>
      <c r="D879" t="inlineStr">
        <is>
          <t>DALARNAS LÄN</t>
        </is>
      </c>
      <c r="E879" t="inlineStr">
        <is>
          <t>LEKSAND</t>
        </is>
      </c>
      <c r="G879" t="n">
        <v>5.9</v>
      </c>
      <c r="H879" t="n">
        <v>0</v>
      </c>
      <c r="I879" t="n">
        <v>0</v>
      </c>
      <c r="J879" t="n">
        <v>0</v>
      </c>
      <c r="K879" t="n">
        <v>0</v>
      </c>
      <c r="L879" t="n">
        <v>0</v>
      </c>
      <c r="M879" t="n">
        <v>0</v>
      </c>
      <c r="N879" t="n">
        <v>0</v>
      </c>
      <c r="O879" t="n">
        <v>0</v>
      </c>
      <c r="P879" t="n">
        <v>0</v>
      </c>
      <c r="Q879" t="n">
        <v>0</v>
      </c>
      <c r="R879" s="2" t="inlineStr"/>
    </row>
    <row r="880" ht="15" customHeight="1">
      <c r="A880" t="inlineStr">
        <is>
          <t>A 23517-2025</t>
        </is>
      </c>
      <c r="B880" s="1" t="n">
        <v>45792</v>
      </c>
      <c r="C880" s="1" t="n">
        <v>46081</v>
      </c>
      <c r="D880" t="inlineStr">
        <is>
          <t>DALARNAS LÄN</t>
        </is>
      </c>
      <c r="E880" t="inlineStr">
        <is>
          <t>LEKSAND</t>
        </is>
      </c>
      <c r="G880" t="n">
        <v>2.2</v>
      </c>
      <c r="H880" t="n">
        <v>0</v>
      </c>
      <c r="I880" t="n">
        <v>0</v>
      </c>
      <c r="J880" t="n">
        <v>0</v>
      </c>
      <c r="K880" t="n">
        <v>0</v>
      </c>
      <c r="L880" t="n">
        <v>0</v>
      </c>
      <c r="M880" t="n">
        <v>0</v>
      </c>
      <c r="N880" t="n">
        <v>0</v>
      </c>
      <c r="O880" t="n">
        <v>0</v>
      </c>
      <c r="P880" t="n">
        <v>0</v>
      </c>
      <c r="Q880" t="n">
        <v>0</v>
      </c>
      <c r="R880" s="2" t="inlineStr"/>
    </row>
    <row r="881" ht="15" customHeight="1">
      <c r="A881" t="inlineStr">
        <is>
          <t>A 23058-2025</t>
        </is>
      </c>
      <c r="B881" s="1" t="n">
        <v>45790.78076388889</v>
      </c>
      <c r="C881" s="1" t="n">
        <v>46081</v>
      </c>
      <c r="D881" t="inlineStr">
        <is>
          <t>DALARNAS LÄN</t>
        </is>
      </c>
      <c r="E881" t="inlineStr">
        <is>
          <t>LEKSAND</t>
        </is>
      </c>
      <c r="G881" t="n">
        <v>6.7</v>
      </c>
      <c r="H881" t="n">
        <v>0</v>
      </c>
      <c r="I881" t="n">
        <v>0</v>
      </c>
      <c r="J881" t="n">
        <v>0</v>
      </c>
      <c r="K881" t="n">
        <v>0</v>
      </c>
      <c r="L881" t="n">
        <v>0</v>
      </c>
      <c r="M881" t="n">
        <v>0</v>
      </c>
      <c r="N881" t="n">
        <v>0</v>
      </c>
      <c r="O881" t="n">
        <v>0</v>
      </c>
      <c r="P881" t="n">
        <v>0</v>
      </c>
      <c r="Q881" t="n">
        <v>0</v>
      </c>
      <c r="R881" s="2" t="inlineStr"/>
    </row>
    <row r="882" ht="15" customHeight="1">
      <c r="A882" t="inlineStr">
        <is>
          <t>A 23076-2025</t>
        </is>
      </c>
      <c r="B882" s="1" t="n">
        <v>45790.90960648148</v>
      </c>
      <c r="C882" s="1" t="n">
        <v>46081</v>
      </c>
      <c r="D882" t="inlineStr">
        <is>
          <t>DALARNAS LÄN</t>
        </is>
      </c>
      <c r="E882" t="inlineStr">
        <is>
          <t>LEKSAND</t>
        </is>
      </c>
      <c r="G882" t="n">
        <v>0.9</v>
      </c>
      <c r="H882" t="n">
        <v>0</v>
      </c>
      <c r="I882" t="n">
        <v>0</v>
      </c>
      <c r="J882" t="n">
        <v>0</v>
      </c>
      <c r="K882" t="n">
        <v>0</v>
      </c>
      <c r="L882" t="n">
        <v>0</v>
      </c>
      <c r="M882" t="n">
        <v>0</v>
      </c>
      <c r="N882" t="n">
        <v>0</v>
      </c>
      <c r="O882" t="n">
        <v>0</v>
      </c>
      <c r="P882" t="n">
        <v>0</v>
      </c>
      <c r="Q882" t="n">
        <v>0</v>
      </c>
      <c r="R882" s="2" t="inlineStr"/>
    </row>
    <row r="883" ht="15" customHeight="1">
      <c r="A883" t="inlineStr">
        <is>
          <t>A 57468-2023</t>
        </is>
      </c>
      <c r="B883" s="1" t="n">
        <v>45246</v>
      </c>
      <c r="C883" s="1" t="n">
        <v>46081</v>
      </c>
      <c r="D883" t="inlineStr">
        <is>
          <t>DALARNAS LÄN</t>
        </is>
      </c>
      <c r="E883" t="inlineStr">
        <is>
          <t>LEKSAND</t>
        </is>
      </c>
      <c r="G883" t="n">
        <v>4.6</v>
      </c>
      <c r="H883" t="n">
        <v>0</v>
      </c>
      <c r="I883" t="n">
        <v>0</v>
      </c>
      <c r="J883" t="n">
        <v>0</v>
      </c>
      <c r="K883" t="n">
        <v>0</v>
      </c>
      <c r="L883" t="n">
        <v>0</v>
      </c>
      <c r="M883" t="n">
        <v>0</v>
      </c>
      <c r="N883" t="n">
        <v>0</v>
      </c>
      <c r="O883" t="n">
        <v>0</v>
      </c>
      <c r="P883" t="n">
        <v>0</v>
      </c>
      <c r="Q883" t="n">
        <v>0</v>
      </c>
      <c r="R883" s="2" t="inlineStr"/>
    </row>
    <row r="884" ht="15" customHeight="1">
      <c r="A884" t="inlineStr">
        <is>
          <t>A 44822-2024</t>
        </is>
      </c>
      <c r="B884" s="1" t="n">
        <v>45574.6646412037</v>
      </c>
      <c r="C884" s="1" t="n">
        <v>46081</v>
      </c>
      <c r="D884" t="inlineStr">
        <is>
          <t>DALARNAS LÄN</t>
        </is>
      </c>
      <c r="E884" t="inlineStr">
        <is>
          <t>LEKSAND</t>
        </is>
      </c>
      <c r="G884" t="n">
        <v>1</v>
      </c>
      <c r="H884" t="n">
        <v>0</v>
      </c>
      <c r="I884" t="n">
        <v>0</v>
      </c>
      <c r="J884" t="n">
        <v>0</v>
      </c>
      <c r="K884" t="n">
        <v>0</v>
      </c>
      <c r="L884" t="n">
        <v>0</v>
      </c>
      <c r="M884" t="n">
        <v>0</v>
      </c>
      <c r="N884" t="n">
        <v>0</v>
      </c>
      <c r="O884" t="n">
        <v>0</v>
      </c>
      <c r="P884" t="n">
        <v>0</v>
      </c>
      <c r="Q884" t="n">
        <v>0</v>
      </c>
      <c r="R884" s="2" t="inlineStr"/>
    </row>
    <row r="885" ht="15" customHeight="1">
      <c r="A885" t="inlineStr">
        <is>
          <t>A 49499-2024</t>
        </is>
      </c>
      <c r="B885" s="1" t="n">
        <v>45596</v>
      </c>
      <c r="C885" s="1" t="n">
        <v>46081</v>
      </c>
      <c r="D885" t="inlineStr">
        <is>
          <t>DALARNAS LÄN</t>
        </is>
      </c>
      <c r="E885" t="inlineStr">
        <is>
          <t>LEKSAND</t>
        </is>
      </c>
      <c r="G885" t="n">
        <v>1</v>
      </c>
      <c r="H885" t="n">
        <v>0</v>
      </c>
      <c r="I885" t="n">
        <v>0</v>
      </c>
      <c r="J885" t="n">
        <v>0</v>
      </c>
      <c r="K885" t="n">
        <v>0</v>
      </c>
      <c r="L885" t="n">
        <v>0</v>
      </c>
      <c r="M885" t="n">
        <v>0</v>
      </c>
      <c r="N885" t="n">
        <v>0</v>
      </c>
      <c r="O885" t="n">
        <v>0</v>
      </c>
      <c r="P885" t="n">
        <v>0</v>
      </c>
      <c r="Q885" t="n">
        <v>0</v>
      </c>
      <c r="R885" s="2" t="inlineStr"/>
    </row>
    <row r="886" ht="15" customHeight="1">
      <c r="A886" t="inlineStr">
        <is>
          <t>A 23855-2025</t>
        </is>
      </c>
      <c r="B886" s="1" t="n">
        <v>45793.65900462963</v>
      </c>
      <c r="C886" s="1" t="n">
        <v>46081</v>
      </c>
      <c r="D886" t="inlineStr">
        <is>
          <t>DALARNAS LÄN</t>
        </is>
      </c>
      <c r="E886" t="inlineStr">
        <is>
          <t>LEKSAND</t>
        </is>
      </c>
      <c r="G886" t="n">
        <v>0.6</v>
      </c>
      <c r="H886" t="n">
        <v>0</v>
      </c>
      <c r="I886" t="n">
        <v>0</v>
      </c>
      <c r="J886" t="n">
        <v>0</v>
      </c>
      <c r="K886" t="n">
        <v>0</v>
      </c>
      <c r="L886" t="n">
        <v>0</v>
      </c>
      <c r="M886" t="n">
        <v>0</v>
      </c>
      <c r="N886" t="n">
        <v>0</v>
      </c>
      <c r="O886" t="n">
        <v>0</v>
      </c>
      <c r="P886" t="n">
        <v>0</v>
      </c>
      <c r="Q886" t="n">
        <v>0</v>
      </c>
      <c r="R886" s="2" t="inlineStr"/>
    </row>
    <row r="887" ht="15" customHeight="1">
      <c r="A887" t="inlineStr">
        <is>
          <t>A 24919-2024</t>
        </is>
      </c>
      <c r="B887" s="1" t="n">
        <v>45461.60636574074</v>
      </c>
      <c r="C887" s="1" t="n">
        <v>46081</v>
      </c>
      <c r="D887" t="inlineStr">
        <is>
          <t>DALARNAS LÄN</t>
        </is>
      </c>
      <c r="E887" t="inlineStr">
        <is>
          <t>LEKSAND</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7450-2023</t>
        </is>
      </c>
      <c r="B888" s="1" t="n">
        <v>44971</v>
      </c>
      <c r="C888" s="1" t="n">
        <v>46081</v>
      </c>
      <c r="D888" t="inlineStr">
        <is>
          <t>DALARNAS LÄN</t>
        </is>
      </c>
      <c r="E888" t="inlineStr">
        <is>
          <t>LEKSAND</t>
        </is>
      </c>
      <c r="G888" t="n">
        <v>3</v>
      </c>
      <c r="H888" t="n">
        <v>0</v>
      </c>
      <c r="I888" t="n">
        <v>0</v>
      </c>
      <c r="J888" t="n">
        <v>0</v>
      </c>
      <c r="K888" t="n">
        <v>0</v>
      </c>
      <c r="L888" t="n">
        <v>0</v>
      </c>
      <c r="M888" t="n">
        <v>0</v>
      </c>
      <c r="N888" t="n">
        <v>0</v>
      </c>
      <c r="O888" t="n">
        <v>0</v>
      </c>
      <c r="P888" t="n">
        <v>0</v>
      </c>
      <c r="Q888" t="n">
        <v>0</v>
      </c>
      <c r="R888" s="2" t="inlineStr"/>
    </row>
    <row r="889" ht="15" customHeight="1">
      <c r="A889" t="inlineStr">
        <is>
          <t>A 23891-2025</t>
        </is>
      </c>
      <c r="B889" s="1" t="n">
        <v>45793</v>
      </c>
      <c r="C889" s="1" t="n">
        <v>46081</v>
      </c>
      <c r="D889" t="inlineStr">
        <is>
          <t>DALARNAS LÄN</t>
        </is>
      </c>
      <c r="E889" t="inlineStr">
        <is>
          <t>LEKSAND</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24187-2025</t>
        </is>
      </c>
      <c r="B890" s="1" t="n">
        <v>45796</v>
      </c>
      <c r="C890" s="1" t="n">
        <v>46081</v>
      </c>
      <c r="D890" t="inlineStr">
        <is>
          <t>DALARNAS LÄN</t>
        </is>
      </c>
      <c r="E890" t="inlineStr">
        <is>
          <t>LEKSAND</t>
        </is>
      </c>
      <c r="G890" t="n">
        <v>2.1</v>
      </c>
      <c r="H890" t="n">
        <v>0</v>
      </c>
      <c r="I890" t="n">
        <v>0</v>
      </c>
      <c r="J890" t="n">
        <v>0</v>
      </c>
      <c r="K890" t="n">
        <v>0</v>
      </c>
      <c r="L890" t="n">
        <v>0</v>
      </c>
      <c r="M890" t="n">
        <v>0</v>
      </c>
      <c r="N890" t="n">
        <v>0</v>
      </c>
      <c r="O890" t="n">
        <v>0</v>
      </c>
      <c r="P890" t="n">
        <v>0</v>
      </c>
      <c r="Q890" t="n">
        <v>0</v>
      </c>
      <c r="R890" s="2" t="inlineStr"/>
    </row>
    <row r="891" ht="15" customHeight="1">
      <c r="A891" t="inlineStr">
        <is>
          <t>A 24188-2025</t>
        </is>
      </c>
      <c r="B891" s="1" t="n">
        <v>45796</v>
      </c>
      <c r="C891" s="1" t="n">
        <v>46081</v>
      </c>
      <c r="D891" t="inlineStr">
        <is>
          <t>DALARNAS LÄN</t>
        </is>
      </c>
      <c r="E891" t="inlineStr">
        <is>
          <t>LEKSAND</t>
        </is>
      </c>
      <c r="G891" t="n">
        <v>0.9</v>
      </c>
      <c r="H891" t="n">
        <v>0</v>
      </c>
      <c r="I891" t="n">
        <v>0</v>
      </c>
      <c r="J891" t="n">
        <v>0</v>
      </c>
      <c r="K891" t="n">
        <v>0</v>
      </c>
      <c r="L891" t="n">
        <v>0</v>
      </c>
      <c r="M891" t="n">
        <v>0</v>
      </c>
      <c r="N891" t="n">
        <v>0</v>
      </c>
      <c r="O891" t="n">
        <v>0</v>
      </c>
      <c r="P891" t="n">
        <v>0</v>
      </c>
      <c r="Q891" t="n">
        <v>0</v>
      </c>
      <c r="R891" s="2" t="inlineStr"/>
    </row>
    <row r="892" ht="15" customHeight="1">
      <c r="A892" t="inlineStr">
        <is>
          <t>A 56211-2023</t>
        </is>
      </c>
      <c r="B892" s="1" t="n">
        <v>45240</v>
      </c>
      <c r="C892" s="1" t="n">
        <v>46081</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24373-2025</t>
        </is>
      </c>
      <c r="B893" s="1" t="n">
        <v>45797.61113425926</v>
      </c>
      <c r="C893" s="1" t="n">
        <v>46081</v>
      </c>
      <c r="D893" t="inlineStr">
        <is>
          <t>DALARNAS LÄN</t>
        </is>
      </c>
      <c r="E893" t="inlineStr">
        <is>
          <t>LEKSAND</t>
        </is>
      </c>
      <c r="G893" t="n">
        <v>2.4</v>
      </c>
      <c r="H893" t="n">
        <v>0</v>
      </c>
      <c r="I893" t="n">
        <v>0</v>
      </c>
      <c r="J893" t="n">
        <v>0</v>
      </c>
      <c r="K893" t="n">
        <v>0</v>
      </c>
      <c r="L893" t="n">
        <v>0</v>
      </c>
      <c r="M893" t="n">
        <v>0</v>
      </c>
      <c r="N893" t="n">
        <v>0</v>
      </c>
      <c r="O893" t="n">
        <v>0</v>
      </c>
      <c r="P893" t="n">
        <v>0</v>
      </c>
      <c r="Q893" t="n">
        <v>0</v>
      </c>
      <c r="R893" s="2" t="inlineStr"/>
    </row>
    <row r="894" ht="15" customHeight="1">
      <c r="A894" t="inlineStr">
        <is>
          <t>A 40868-2024</t>
        </is>
      </c>
      <c r="B894" s="1" t="n">
        <v>45558</v>
      </c>
      <c r="C894" s="1" t="n">
        <v>46081</v>
      </c>
      <c r="D894" t="inlineStr">
        <is>
          <t>DALARNAS LÄN</t>
        </is>
      </c>
      <c r="E894" t="inlineStr">
        <is>
          <t>LEKSAND</t>
        </is>
      </c>
      <c r="G894" t="n">
        <v>0.8</v>
      </c>
      <c r="H894" t="n">
        <v>0</v>
      </c>
      <c r="I894" t="n">
        <v>0</v>
      </c>
      <c r="J894" t="n">
        <v>0</v>
      </c>
      <c r="K894" t="n">
        <v>0</v>
      </c>
      <c r="L894" t="n">
        <v>0</v>
      </c>
      <c r="M894" t="n">
        <v>0</v>
      </c>
      <c r="N894" t="n">
        <v>0</v>
      </c>
      <c r="O894" t="n">
        <v>0</v>
      </c>
      <c r="P894" t="n">
        <v>0</v>
      </c>
      <c r="Q894" t="n">
        <v>0</v>
      </c>
      <c r="R894" s="2" t="inlineStr"/>
    </row>
    <row r="895" ht="15" customHeight="1">
      <c r="A895" t="inlineStr">
        <is>
          <t>A 22646-2025</t>
        </is>
      </c>
      <c r="B895" s="1" t="n">
        <v>45786</v>
      </c>
      <c r="C895" s="1" t="n">
        <v>46081</v>
      </c>
      <c r="D895" t="inlineStr">
        <is>
          <t>DALARNAS LÄN</t>
        </is>
      </c>
      <c r="E895" t="inlineStr">
        <is>
          <t>LEKSAND</t>
        </is>
      </c>
      <c r="F895" t="inlineStr">
        <is>
          <t>Kommuner</t>
        </is>
      </c>
      <c r="G895" t="n">
        <v>1.6</v>
      </c>
      <c r="H895" t="n">
        <v>0</v>
      </c>
      <c r="I895" t="n">
        <v>0</v>
      </c>
      <c r="J895" t="n">
        <v>0</v>
      </c>
      <c r="K895" t="n">
        <v>0</v>
      </c>
      <c r="L895" t="n">
        <v>0</v>
      </c>
      <c r="M895" t="n">
        <v>0</v>
      </c>
      <c r="N895" t="n">
        <v>0</v>
      </c>
      <c r="O895" t="n">
        <v>0</v>
      </c>
      <c r="P895" t="n">
        <v>0</v>
      </c>
      <c r="Q895" t="n">
        <v>0</v>
      </c>
      <c r="R895" s="2" t="inlineStr"/>
    </row>
    <row r="896" ht="15" customHeight="1">
      <c r="A896" t="inlineStr">
        <is>
          <t>A 24369-2025</t>
        </is>
      </c>
      <c r="B896" s="1" t="n">
        <v>45797.60731481481</v>
      </c>
      <c r="C896" s="1" t="n">
        <v>46081</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24715-2025</t>
        </is>
      </c>
      <c r="B897" s="1" t="n">
        <v>45798.97899305556</v>
      </c>
      <c r="C897" s="1" t="n">
        <v>46081</v>
      </c>
      <c r="D897" t="inlineStr">
        <is>
          <t>DALARNAS LÄN</t>
        </is>
      </c>
      <c r="E897" t="inlineStr">
        <is>
          <t>LEKSAND</t>
        </is>
      </c>
      <c r="G897" t="n">
        <v>8.4</v>
      </c>
      <c r="H897" t="n">
        <v>0</v>
      </c>
      <c r="I897" t="n">
        <v>0</v>
      </c>
      <c r="J897" t="n">
        <v>0</v>
      </c>
      <c r="K897" t="n">
        <v>0</v>
      </c>
      <c r="L897" t="n">
        <v>0</v>
      </c>
      <c r="M897" t="n">
        <v>0</v>
      </c>
      <c r="N897" t="n">
        <v>0</v>
      </c>
      <c r="O897" t="n">
        <v>0</v>
      </c>
      <c r="P897" t="n">
        <v>0</v>
      </c>
      <c r="Q897" t="n">
        <v>0</v>
      </c>
      <c r="R897" s="2" t="inlineStr"/>
    </row>
    <row r="898" ht="15" customHeight="1">
      <c r="A898" t="inlineStr">
        <is>
          <t>A 25096-2025</t>
        </is>
      </c>
      <c r="B898" s="1" t="n">
        <v>45800.33868055556</v>
      </c>
      <c r="C898" s="1" t="n">
        <v>46081</v>
      </c>
      <c r="D898" t="inlineStr">
        <is>
          <t>DALARNAS LÄN</t>
        </is>
      </c>
      <c r="E898" t="inlineStr">
        <is>
          <t>LEKSAND</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25105-2025</t>
        </is>
      </c>
      <c r="B899" s="1" t="n">
        <v>45800.34751157407</v>
      </c>
      <c r="C899" s="1" t="n">
        <v>46081</v>
      </c>
      <c r="D899" t="inlineStr">
        <is>
          <t>DALARNAS LÄN</t>
        </is>
      </c>
      <c r="E899" t="inlineStr">
        <is>
          <t>LEKSAND</t>
        </is>
      </c>
      <c r="F899" t="inlineStr">
        <is>
          <t>Bergvik skog väst AB</t>
        </is>
      </c>
      <c r="G899" t="n">
        <v>1.8</v>
      </c>
      <c r="H899" t="n">
        <v>0</v>
      </c>
      <c r="I899" t="n">
        <v>0</v>
      </c>
      <c r="J899" t="n">
        <v>0</v>
      </c>
      <c r="K899" t="n">
        <v>0</v>
      </c>
      <c r="L899" t="n">
        <v>0</v>
      </c>
      <c r="M899" t="n">
        <v>0</v>
      </c>
      <c r="N899" t="n">
        <v>0</v>
      </c>
      <c r="O899" t="n">
        <v>0</v>
      </c>
      <c r="P899" t="n">
        <v>0</v>
      </c>
      <c r="Q899" t="n">
        <v>0</v>
      </c>
      <c r="R899" s="2" t="inlineStr"/>
    </row>
    <row r="900" ht="15" customHeight="1">
      <c r="A900" t="inlineStr">
        <is>
          <t>A 31255-2023</t>
        </is>
      </c>
      <c r="B900" s="1" t="n">
        <v>45114.36729166667</v>
      </c>
      <c r="C900" s="1" t="n">
        <v>46081</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c r="A901" t="inlineStr">
        <is>
          <t>A 25610-2025</t>
        </is>
      </c>
      <c r="B901" s="1" t="n">
        <v>45803.56033564815</v>
      </c>
      <c r="C901" s="1" t="n">
        <v>46081</v>
      </c>
      <c r="D901" t="inlineStr">
        <is>
          <t>DALARNAS LÄN</t>
        </is>
      </c>
      <c r="E901" t="inlineStr">
        <is>
          <t>LEKSAND</t>
        </is>
      </c>
      <c r="G901" t="n">
        <v>5.2</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2026-02-28T11:07:22Z</dcterms:created>
  <dcterms:modified xmlns:dcterms="http://purl.org/dc/terms/" xmlns:xsi="http://www.w3.org/2001/XMLSchema-instance" xsi:type="dcterms:W3CDTF">2026-02-28T11:07:23Z</dcterms:modified>
</cp:coreProperties>
</file>