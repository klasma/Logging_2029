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46003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46003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46003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46003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46003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46003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46003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46003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46003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46003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46003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46003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46003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46003</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46003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46003</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46003</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46003</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46003</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46003</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46003</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46003</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59111-2024</t>
        </is>
      </c>
      <c r="B24" s="1" t="n">
        <v>45637.36484953704</v>
      </c>
      <c r="C24" s="1" t="n">
        <v>46003</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46003</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9408-2024</t>
        </is>
      </c>
      <c r="B26" s="1" t="n">
        <v>45358</v>
      </c>
      <c r="C26" s="1" t="n">
        <v>46003</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46003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55519-2021</t>
        </is>
      </c>
      <c r="B28" s="1" t="n">
        <v>44475</v>
      </c>
      <c r="C28" s="1" t="n">
        <v>46003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35865-2025</t>
        </is>
      </c>
      <c r="B29" s="1" t="n">
        <v>45861.7066087963</v>
      </c>
      <c r="C29" s="1" t="n">
        <v>46003</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46003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55633-2024</t>
        </is>
      </c>
      <c r="B31" s="1" t="n">
        <v>45621</v>
      </c>
      <c r="C31" s="1" t="n">
        <v>46003</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52600-2024</t>
        </is>
      </c>
      <c r="B32" s="1" t="n">
        <v>45609</v>
      </c>
      <c r="C32" s="1" t="n">
        <v>46003</v>
      </c>
      <c r="D32" t="inlineStr">
        <is>
          <t>DALARNAS LÄN</t>
        </is>
      </c>
      <c r="E32" t="inlineStr">
        <is>
          <t>LEKSAND</t>
        </is>
      </c>
      <c r="G32" t="n">
        <v>3.4</v>
      </c>
      <c r="H32" t="n">
        <v>1</v>
      </c>
      <c r="I32" t="n">
        <v>0</v>
      </c>
      <c r="J32" t="n">
        <v>0</v>
      </c>
      <c r="K32" t="n">
        <v>0</v>
      </c>
      <c r="L32" t="n">
        <v>0</v>
      </c>
      <c r="M32" t="n">
        <v>0</v>
      </c>
      <c r="N32" t="n">
        <v>0</v>
      </c>
      <c r="O32" t="n">
        <v>0</v>
      </c>
      <c r="P32" t="n">
        <v>0</v>
      </c>
      <c r="Q32" t="n">
        <v>1</v>
      </c>
      <c r="R32" s="2" t="inlineStr">
        <is>
          <t>Fläcknycklar</t>
        </is>
      </c>
      <c r="S32">
        <f>HYPERLINK("https://klasma.github.io/Logging_2029/artfynd/A 52600-2024 artfynd.xlsx", "A 52600-2024")</f>
        <v/>
      </c>
      <c r="T32">
        <f>HYPERLINK("https://klasma.github.io/Logging_2029/kartor/A 52600-2024 karta.png", "A 52600-2024")</f>
        <v/>
      </c>
      <c r="V32">
        <f>HYPERLINK("https://klasma.github.io/Logging_2029/klagomål/A 52600-2024 FSC-klagomål.docx", "A 52600-2024")</f>
        <v/>
      </c>
      <c r="W32">
        <f>HYPERLINK("https://klasma.github.io/Logging_2029/klagomålsmail/A 52600-2024 FSC-klagomål mail.docx", "A 52600-2024")</f>
        <v/>
      </c>
      <c r="X32">
        <f>HYPERLINK("https://klasma.github.io/Logging_2029/tillsyn/A 52600-2024 tillsynsbegäran.docx", "A 52600-2024")</f>
        <v/>
      </c>
      <c r="Y32">
        <f>HYPERLINK("https://klasma.github.io/Logging_2029/tillsynsmail/A 52600-2024 tillsynsbegäran mail.docx", "A 52600-2024")</f>
        <v/>
      </c>
    </row>
    <row r="33" ht="15" customHeight="1">
      <c r="A33" t="inlineStr">
        <is>
          <t>A 16735-2025</t>
        </is>
      </c>
      <c r="B33" s="1" t="n">
        <v>45754.54314814815</v>
      </c>
      <c r="C33" s="1" t="n">
        <v>46003</v>
      </c>
      <c r="D33" t="inlineStr">
        <is>
          <t>DALARNAS LÄN</t>
        </is>
      </c>
      <c r="E33" t="inlineStr">
        <is>
          <t>LEKSAND</t>
        </is>
      </c>
      <c r="G33" t="n">
        <v>1.8</v>
      </c>
      <c r="H33" t="n">
        <v>1</v>
      </c>
      <c r="I33" t="n">
        <v>0</v>
      </c>
      <c r="J33" t="n">
        <v>0</v>
      </c>
      <c r="K33" t="n">
        <v>0</v>
      </c>
      <c r="L33" t="n">
        <v>0</v>
      </c>
      <c r="M33" t="n">
        <v>0</v>
      </c>
      <c r="N33" t="n">
        <v>0</v>
      </c>
      <c r="O33" t="n">
        <v>0</v>
      </c>
      <c r="P33" t="n">
        <v>0</v>
      </c>
      <c r="Q33" t="n">
        <v>1</v>
      </c>
      <c r="R33" s="2" t="inlineStr">
        <is>
          <t>Gröngöling</t>
        </is>
      </c>
      <c r="S33">
        <f>HYPERLINK("https://klasma.github.io/Logging_2029/artfynd/A 16735-2025 artfynd.xlsx", "A 16735-2025")</f>
        <v/>
      </c>
      <c r="T33">
        <f>HYPERLINK("https://klasma.github.io/Logging_2029/kartor/A 16735-2025 karta.png", "A 16735-2025")</f>
        <v/>
      </c>
      <c r="V33">
        <f>HYPERLINK("https://klasma.github.io/Logging_2029/klagomål/A 16735-2025 FSC-klagomål.docx", "A 16735-2025")</f>
        <v/>
      </c>
      <c r="W33">
        <f>HYPERLINK("https://klasma.github.io/Logging_2029/klagomålsmail/A 16735-2025 FSC-klagomål mail.docx", "A 16735-2025")</f>
        <v/>
      </c>
      <c r="X33">
        <f>HYPERLINK("https://klasma.github.io/Logging_2029/tillsyn/A 16735-2025 tillsynsbegäran.docx", "A 16735-2025")</f>
        <v/>
      </c>
      <c r="Y33">
        <f>HYPERLINK("https://klasma.github.io/Logging_2029/tillsynsmail/A 16735-2025 tillsynsbegäran mail.docx", "A 16735-2025")</f>
        <v/>
      </c>
      <c r="Z33">
        <f>HYPERLINK("https://klasma.github.io/Logging_2029/fåglar/A 16735-2025 prioriterade fågelarter.docx", "A 16735-2025")</f>
        <v/>
      </c>
    </row>
    <row r="34" ht="15" customHeight="1">
      <c r="A34" t="inlineStr">
        <is>
          <t>A 53633-2024</t>
        </is>
      </c>
      <c r="B34" s="1" t="n">
        <v>45614.83726851852</v>
      </c>
      <c r="C34" s="1" t="n">
        <v>46003</v>
      </c>
      <c r="D34" t="inlineStr">
        <is>
          <t>DALARNAS LÄN</t>
        </is>
      </c>
      <c r="E34" t="inlineStr">
        <is>
          <t>LEKSAND</t>
        </is>
      </c>
      <c r="G34" t="n">
        <v>1.6</v>
      </c>
      <c r="H34" t="n">
        <v>1</v>
      </c>
      <c r="I34" t="n">
        <v>0</v>
      </c>
      <c r="J34" t="n">
        <v>1</v>
      </c>
      <c r="K34" t="n">
        <v>0</v>
      </c>
      <c r="L34" t="n">
        <v>0</v>
      </c>
      <c r="M34" t="n">
        <v>0</v>
      </c>
      <c r="N34" t="n">
        <v>0</v>
      </c>
      <c r="O34" t="n">
        <v>1</v>
      </c>
      <c r="P34" t="n">
        <v>0</v>
      </c>
      <c r="Q34" t="n">
        <v>1</v>
      </c>
      <c r="R34" s="2" t="inlineStr">
        <is>
          <t>Tretåig hackspett</t>
        </is>
      </c>
      <c r="S34">
        <f>HYPERLINK("https://klasma.github.io/Logging_2029/artfynd/A 53633-2024 artfynd.xlsx", "A 53633-2024")</f>
        <v/>
      </c>
      <c r="T34">
        <f>HYPERLINK("https://klasma.github.io/Logging_2029/kartor/A 53633-2024 karta.png", "A 53633-2024")</f>
        <v/>
      </c>
      <c r="V34">
        <f>HYPERLINK("https://klasma.github.io/Logging_2029/klagomål/A 53633-2024 FSC-klagomål.docx", "A 53633-2024")</f>
        <v/>
      </c>
      <c r="W34">
        <f>HYPERLINK("https://klasma.github.io/Logging_2029/klagomålsmail/A 53633-2024 FSC-klagomål mail.docx", "A 53633-2024")</f>
        <v/>
      </c>
      <c r="X34">
        <f>HYPERLINK("https://klasma.github.io/Logging_2029/tillsyn/A 53633-2024 tillsynsbegäran.docx", "A 53633-2024")</f>
        <v/>
      </c>
      <c r="Y34">
        <f>HYPERLINK("https://klasma.github.io/Logging_2029/tillsynsmail/A 53633-2024 tillsynsbegäran mail.docx", "A 53633-2024")</f>
        <v/>
      </c>
      <c r="Z34">
        <f>HYPERLINK("https://klasma.github.io/Logging_2029/fåglar/A 53633-2024 prioriterade fågelarter.docx", "A 53633-2024")</f>
        <v/>
      </c>
    </row>
    <row r="35" ht="15" customHeight="1">
      <c r="A35" t="inlineStr">
        <is>
          <t>A 59205-2023</t>
        </is>
      </c>
      <c r="B35" s="1" t="n">
        <v>45251</v>
      </c>
      <c r="C35" s="1" t="n">
        <v>46003</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164-2024</t>
        </is>
      </c>
      <c r="B36" s="1" t="n">
        <v>45294.49954861111</v>
      </c>
      <c r="C36" s="1" t="n">
        <v>46003</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23137-2022</t>
        </is>
      </c>
      <c r="B37" s="1" t="n">
        <v>44719</v>
      </c>
      <c r="C37" s="1" t="n">
        <v>46003</v>
      </c>
      <c r="D37" t="inlineStr">
        <is>
          <t>DALARNAS LÄN</t>
        </is>
      </c>
      <c r="E37" t="inlineStr">
        <is>
          <t>LEKSAND</t>
        </is>
      </c>
      <c r="G37" t="n">
        <v>3</v>
      </c>
      <c r="H37" t="n">
        <v>0</v>
      </c>
      <c r="I37" t="n">
        <v>0</v>
      </c>
      <c r="J37" t="n">
        <v>0</v>
      </c>
      <c r="K37" t="n">
        <v>1</v>
      </c>
      <c r="L37" t="n">
        <v>0</v>
      </c>
      <c r="M37" t="n">
        <v>0</v>
      </c>
      <c r="N37" t="n">
        <v>0</v>
      </c>
      <c r="O37" t="n">
        <v>1</v>
      </c>
      <c r="P37" t="n">
        <v>1</v>
      </c>
      <c r="Q37" t="n">
        <v>1</v>
      </c>
      <c r="R37" s="2" t="inlineStr">
        <is>
          <t>Koppartaggsvamp</t>
        </is>
      </c>
      <c r="S37">
        <f>HYPERLINK("https://klasma.github.io/Logging_2029/artfynd/A 23137-2022 artfynd.xlsx", "A 23137-2022")</f>
        <v/>
      </c>
      <c r="T37">
        <f>HYPERLINK("https://klasma.github.io/Logging_2029/kartor/A 23137-2022 karta.png", "A 23137-2022")</f>
        <v/>
      </c>
      <c r="V37">
        <f>HYPERLINK("https://klasma.github.io/Logging_2029/klagomål/A 23137-2022 FSC-klagomål.docx", "A 23137-2022")</f>
        <v/>
      </c>
      <c r="W37">
        <f>HYPERLINK("https://klasma.github.io/Logging_2029/klagomålsmail/A 23137-2022 FSC-klagomål mail.docx", "A 23137-2022")</f>
        <v/>
      </c>
      <c r="X37">
        <f>HYPERLINK("https://klasma.github.io/Logging_2029/tillsyn/A 23137-2022 tillsynsbegäran.docx", "A 23137-2022")</f>
        <v/>
      </c>
      <c r="Y37">
        <f>HYPERLINK("https://klasma.github.io/Logging_2029/tillsynsmail/A 23137-2022 tillsynsbegäran mail.docx", "A 23137-2022")</f>
        <v/>
      </c>
    </row>
    <row r="38" ht="15" customHeight="1">
      <c r="A38" t="inlineStr">
        <is>
          <t>A 4974-2025</t>
        </is>
      </c>
      <c r="B38" s="1" t="n">
        <v>45690.8478587963</v>
      </c>
      <c r="C38" s="1" t="n">
        <v>46003</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46003</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26287-2023</t>
        </is>
      </c>
      <c r="B40" s="1" t="n">
        <v>45091</v>
      </c>
      <c r="C40" s="1" t="n">
        <v>46003</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41873-2022</t>
        </is>
      </c>
      <c r="B41" s="1" t="n">
        <v>44829</v>
      </c>
      <c r="C41" s="1" t="n">
        <v>46003</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31124-2024</t>
        </is>
      </c>
      <c r="B42" s="1" t="n">
        <v>45502.62886574074</v>
      </c>
      <c r="C42" s="1" t="n">
        <v>46003</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11218-2023</t>
        </is>
      </c>
      <c r="B43" s="1" t="n">
        <v>44992.62401620371</v>
      </c>
      <c r="C43" s="1" t="n">
        <v>46003</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6029-2025</t>
        </is>
      </c>
      <c r="B44" s="1" t="n">
        <v>45695</v>
      </c>
      <c r="C44" s="1" t="n">
        <v>46003</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45375-2025</t>
        </is>
      </c>
      <c r="B45" s="1" t="n">
        <v>45922.39347222223</v>
      </c>
      <c r="C45" s="1" t="n">
        <v>46003</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47601-2025</t>
        </is>
      </c>
      <c r="B46" s="1" t="n">
        <v>45931.46008101852</v>
      </c>
      <c r="C46" s="1" t="n">
        <v>46003</v>
      </c>
      <c r="D46" t="inlineStr">
        <is>
          <t>DALARNAS LÄN</t>
        </is>
      </c>
      <c r="E46" t="inlineStr">
        <is>
          <t>LEKSAND</t>
        </is>
      </c>
      <c r="G46" t="n">
        <v>1.9</v>
      </c>
      <c r="H46" t="n">
        <v>0</v>
      </c>
      <c r="I46" t="n">
        <v>1</v>
      </c>
      <c r="J46" t="n">
        <v>0</v>
      </c>
      <c r="K46" t="n">
        <v>0</v>
      </c>
      <c r="L46" t="n">
        <v>0</v>
      </c>
      <c r="M46" t="n">
        <v>0</v>
      </c>
      <c r="N46" t="n">
        <v>0</v>
      </c>
      <c r="O46" t="n">
        <v>0</v>
      </c>
      <c r="P46" t="n">
        <v>0</v>
      </c>
      <c r="Q46" t="n">
        <v>1</v>
      </c>
      <c r="R46" s="2" t="inlineStr">
        <is>
          <t>Vågbandad barkbock</t>
        </is>
      </c>
      <c r="S46">
        <f>HYPERLINK("https://klasma.github.io/Logging_2029/artfynd/A 47601-2025 artfynd.xlsx", "A 47601-2025")</f>
        <v/>
      </c>
      <c r="T46">
        <f>HYPERLINK("https://klasma.github.io/Logging_2029/kartor/A 47601-2025 karta.png", "A 47601-2025")</f>
        <v/>
      </c>
      <c r="V46">
        <f>HYPERLINK("https://klasma.github.io/Logging_2029/klagomål/A 47601-2025 FSC-klagomål.docx", "A 47601-2025")</f>
        <v/>
      </c>
      <c r="W46">
        <f>HYPERLINK("https://klasma.github.io/Logging_2029/klagomålsmail/A 47601-2025 FSC-klagomål mail.docx", "A 47601-2025")</f>
        <v/>
      </c>
      <c r="X46">
        <f>HYPERLINK("https://klasma.github.io/Logging_2029/tillsyn/A 47601-2025 tillsynsbegäran.docx", "A 47601-2025")</f>
        <v/>
      </c>
      <c r="Y46">
        <f>HYPERLINK("https://klasma.github.io/Logging_2029/tillsynsmail/A 47601-2025 tillsynsbegäran mail.docx", "A 47601-2025")</f>
        <v/>
      </c>
    </row>
    <row r="47" ht="15" customHeight="1">
      <c r="A47" t="inlineStr">
        <is>
          <t>A 31951-2025</t>
        </is>
      </c>
      <c r="B47" s="1" t="n">
        <v>45835.33481481481</v>
      </c>
      <c r="C47" s="1" t="n">
        <v>46003</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34993-2025</t>
        </is>
      </c>
      <c r="B48" s="1" t="n">
        <v>45849.82383101852</v>
      </c>
      <c r="C48" s="1" t="n">
        <v>46003</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46003</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36778-2025</t>
        </is>
      </c>
      <c r="B50" s="1" t="n">
        <v>45873</v>
      </c>
      <c r="C50" s="1" t="n">
        <v>46003</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1078-2021</t>
        </is>
      </c>
      <c r="B51" s="1" t="n">
        <v>44207</v>
      </c>
      <c r="C51" s="1" t="n">
        <v>46003</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46003</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46003</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46003</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46003</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46003</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46003</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46003</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46003</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46003</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46003</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46003</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46003</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46003</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46003</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46003</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46003</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46003</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46003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46003</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46003</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46003</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46003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46003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70026-2021</t>
        </is>
      </c>
      <c r="B75" s="1" t="n">
        <v>44533</v>
      </c>
      <c r="C75" s="1" t="n">
        <v>46003</v>
      </c>
      <c r="D75" t="inlineStr">
        <is>
          <t>DALARNAS LÄN</t>
        </is>
      </c>
      <c r="E75" t="inlineStr">
        <is>
          <t>LEKSAND</t>
        </is>
      </c>
      <c r="G75" t="n">
        <v>0.9</v>
      </c>
      <c r="H75" t="n">
        <v>0</v>
      </c>
      <c r="I75" t="n">
        <v>0</v>
      </c>
      <c r="J75" t="n">
        <v>0</v>
      </c>
      <c r="K75" t="n">
        <v>0</v>
      </c>
      <c r="L75" t="n">
        <v>0</v>
      </c>
      <c r="M75" t="n">
        <v>0</v>
      </c>
      <c r="N75" t="n">
        <v>0</v>
      </c>
      <c r="O75" t="n">
        <v>0</v>
      </c>
      <c r="P75" t="n">
        <v>0</v>
      </c>
      <c r="Q75" t="n">
        <v>0</v>
      </c>
      <c r="R75" s="2" t="inlineStr"/>
    </row>
    <row r="76" ht="15" customHeight="1">
      <c r="A76" t="inlineStr">
        <is>
          <t>A 50219-2022</t>
        </is>
      </c>
      <c r="B76" s="1" t="n">
        <v>44865.64244212963</v>
      </c>
      <c r="C76" s="1" t="n">
        <v>46003</v>
      </c>
      <c r="D76" t="inlineStr">
        <is>
          <t>DALARNAS LÄN</t>
        </is>
      </c>
      <c r="E76" t="inlineStr">
        <is>
          <t>LEKSAND</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26289-2022</t>
        </is>
      </c>
      <c r="B77" s="1" t="n">
        <v>44735</v>
      </c>
      <c r="C77" s="1" t="n">
        <v>46003</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34317-2022</t>
        </is>
      </c>
      <c r="B78" s="1" t="n">
        <v>44792.38814814815</v>
      </c>
      <c r="C78" s="1" t="n">
        <v>46003</v>
      </c>
      <c r="D78" t="inlineStr">
        <is>
          <t>DALARNAS LÄN</t>
        </is>
      </c>
      <c r="E78" t="inlineStr">
        <is>
          <t>LEKSAND</t>
        </is>
      </c>
      <c r="G78" t="n">
        <v>0.8</v>
      </c>
      <c r="H78" t="n">
        <v>0</v>
      </c>
      <c r="I78" t="n">
        <v>0</v>
      </c>
      <c r="J78" t="n">
        <v>0</v>
      </c>
      <c r="K78" t="n">
        <v>0</v>
      </c>
      <c r="L78" t="n">
        <v>0</v>
      </c>
      <c r="M78" t="n">
        <v>0</v>
      </c>
      <c r="N78" t="n">
        <v>0</v>
      </c>
      <c r="O78" t="n">
        <v>0</v>
      </c>
      <c r="P78" t="n">
        <v>0</v>
      </c>
      <c r="Q78" t="n">
        <v>0</v>
      </c>
      <c r="R78" s="2" t="inlineStr"/>
    </row>
    <row r="79" ht="15" customHeight="1">
      <c r="A79" t="inlineStr">
        <is>
          <t>A 36956-2021</t>
        </is>
      </c>
      <c r="B79" s="1" t="n">
        <v>44393.55643518519</v>
      </c>
      <c r="C79" s="1" t="n">
        <v>46003</v>
      </c>
      <c r="D79" t="inlineStr">
        <is>
          <t>DALARNAS LÄN</t>
        </is>
      </c>
      <c r="E79" t="inlineStr">
        <is>
          <t>LEKSAND</t>
        </is>
      </c>
      <c r="G79" t="n">
        <v>4.1</v>
      </c>
      <c r="H79" t="n">
        <v>0</v>
      </c>
      <c r="I79" t="n">
        <v>0</v>
      </c>
      <c r="J79" t="n">
        <v>0</v>
      </c>
      <c r="K79" t="n">
        <v>0</v>
      </c>
      <c r="L79" t="n">
        <v>0</v>
      </c>
      <c r="M79" t="n">
        <v>0</v>
      </c>
      <c r="N79" t="n">
        <v>0</v>
      </c>
      <c r="O79" t="n">
        <v>0</v>
      </c>
      <c r="P79" t="n">
        <v>0</v>
      </c>
      <c r="Q79" t="n">
        <v>0</v>
      </c>
      <c r="R79" s="2" t="inlineStr"/>
    </row>
    <row r="80" ht="15" customHeight="1">
      <c r="A80" t="inlineStr">
        <is>
          <t>A 18870-2022</t>
        </is>
      </c>
      <c r="B80" s="1" t="n">
        <v>44690.50725694445</v>
      </c>
      <c r="C80" s="1" t="n">
        <v>46003</v>
      </c>
      <c r="D80" t="inlineStr">
        <is>
          <t>DALARNAS LÄN</t>
        </is>
      </c>
      <c r="E80" t="inlineStr">
        <is>
          <t>LEKSAND</t>
        </is>
      </c>
      <c r="F80" t="inlineStr">
        <is>
          <t>Övriga Aktiebolag</t>
        </is>
      </c>
      <c r="G80" t="n">
        <v>3.1</v>
      </c>
      <c r="H80" t="n">
        <v>0</v>
      </c>
      <c r="I80" t="n">
        <v>0</v>
      </c>
      <c r="J80" t="n">
        <v>0</v>
      </c>
      <c r="K80" t="n">
        <v>0</v>
      </c>
      <c r="L80" t="n">
        <v>0</v>
      </c>
      <c r="M80" t="n">
        <v>0</v>
      </c>
      <c r="N80" t="n">
        <v>0</v>
      </c>
      <c r="O80" t="n">
        <v>0</v>
      </c>
      <c r="P80" t="n">
        <v>0</v>
      </c>
      <c r="Q80" t="n">
        <v>0</v>
      </c>
      <c r="R80" s="2" t="inlineStr"/>
    </row>
    <row r="81" ht="15" customHeight="1">
      <c r="A81" t="inlineStr">
        <is>
          <t>A 37073-2021</t>
        </is>
      </c>
      <c r="B81" s="1" t="n">
        <v>44394</v>
      </c>
      <c r="C81" s="1" t="n">
        <v>46003</v>
      </c>
      <c r="D81" t="inlineStr">
        <is>
          <t>DALARNAS LÄN</t>
        </is>
      </c>
      <c r="E81" t="inlineStr">
        <is>
          <t>LEKSAND</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46672-2022</t>
        </is>
      </c>
      <c r="B82" s="1" t="n">
        <v>44851</v>
      </c>
      <c r="C82" s="1" t="n">
        <v>46003</v>
      </c>
      <c r="D82" t="inlineStr">
        <is>
          <t>DALARNAS LÄN</t>
        </is>
      </c>
      <c r="E82" t="inlineStr">
        <is>
          <t>LEKSAND</t>
        </is>
      </c>
      <c r="G82" t="n">
        <v>0.7</v>
      </c>
      <c r="H82" t="n">
        <v>0</v>
      </c>
      <c r="I82" t="n">
        <v>0</v>
      </c>
      <c r="J82" t="n">
        <v>0</v>
      </c>
      <c r="K82" t="n">
        <v>0</v>
      </c>
      <c r="L82" t="n">
        <v>0</v>
      </c>
      <c r="M82" t="n">
        <v>0</v>
      </c>
      <c r="N82" t="n">
        <v>0</v>
      </c>
      <c r="O82" t="n">
        <v>0</v>
      </c>
      <c r="P82" t="n">
        <v>0</v>
      </c>
      <c r="Q82" t="n">
        <v>0</v>
      </c>
      <c r="R82" s="2" t="inlineStr"/>
    </row>
    <row r="83" ht="15" customHeight="1">
      <c r="A83" t="inlineStr">
        <is>
          <t>A 18140-2022</t>
        </is>
      </c>
      <c r="B83" s="1" t="n">
        <v>44684.58278935185</v>
      </c>
      <c r="C83" s="1" t="n">
        <v>46003</v>
      </c>
      <c r="D83" t="inlineStr">
        <is>
          <t>DALARNAS LÄN</t>
        </is>
      </c>
      <c r="E83" t="inlineStr">
        <is>
          <t>LEKSAND</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46003</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46003</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43410-2021</t>
        </is>
      </c>
      <c r="B86" s="1" t="n">
        <v>44432.60814814815</v>
      </c>
      <c r="C86" s="1" t="n">
        <v>46003</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72155-2021</t>
        </is>
      </c>
      <c r="B87" s="1" t="n">
        <v>44543</v>
      </c>
      <c r="C87" s="1" t="n">
        <v>46003</v>
      </c>
      <c r="D87" t="inlineStr">
        <is>
          <t>DALARNAS LÄN</t>
        </is>
      </c>
      <c r="E87" t="inlineStr">
        <is>
          <t>LEKSAND</t>
        </is>
      </c>
      <c r="G87" t="n">
        <v>2.5</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46003</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46003</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19677-2021</t>
        </is>
      </c>
      <c r="B90" s="1" t="n">
        <v>44312</v>
      </c>
      <c r="C90" s="1" t="n">
        <v>46003</v>
      </c>
      <c r="D90" t="inlineStr">
        <is>
          <t>DALARNAS LÄN</t>
        </is>
      </c>
      <c r="E90" t="inlineStr">
        <is>
          <t>LEKSAND</t>
        </is>
      </c>
      <c r="F90" t="inlineStr">
        <is>
          <t>Bergvik skog väst AB</t>
        </is>
      </c>
      <c r="G90" t="n">
        <v>3.1</v>
      </c>
      <c r="H90" t="n">
        <v>0</v>
      </c>
      <c r="I90" t="n">
        <v>0</v>
      </c>
      <c r="J90" t="n">
        <v>0</v>
      </c>
      <c r="K90" t="n">
        <v>0</v>
      </c>
      <c r="L90" t="n">
        <v>0</v>
      </c>
      <c r="M90" t="n">
        <v>0</v>
      </c>
      <c r="N90" t="n">
        <v>0</v>
      </c>
      <c r="O90" t="n">
        <v>0</v>
      </c>
      <c r="P90" t="n">
        <v>0</v>
      </c>
      <c r="Q90" t="n">
        <v>0</v>
      </c>
      <c r="R90" s="2" t="inlineStr"/>
    </row>
    <row r="91" ht="15" customHeight="1">
      <c r="A91" t="inlineStr">
        <is>
          <t>A 45155-2021</t>
        </is>
      </c>
      <c r="B91" s="1" t="n">
        <v>44439</v>
      </c>
      <c r="C91" s="1" t="n">
        <v>46003</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49581-2022</t>
        </is>
      </c>
      <c r="B92" s="1" t="n">
        <v>44862.36287037037</v>
      </c>
      <c r="C92" s="1" t="n">
        <v>46003</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46003</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40584-2021</t>
        </is>
      </c>
      <c r="B94" s="1" t="n">
        <v>44420</v>
      </c>
      <c r="C94" s="1" t="n">
        <v>46003</v>
      </c>
      <c r="D94" t="inlineStr">
        <is>
          <t>DALARNAS LÄN</t>
        </is>
      </c>
      <c r="E94" t="inlineStr">
        <is>
          <t>LEKSAND</t>
        </is>
      </c>
      <c r="G94" t="n">
        <v>6</v>
      </c>
      <c r="H94" t="n">
        <v>0</v>
      </c>
      <c r="I94" t="n">
        <v>0</v>
      </c>
      <c r="J94" t="n">
        <v>0</v>
      </c>
      <c r="K94" t="n">
        <v>0</v>
      </c>
      <c r="L94" t="n">
        <v>0</v>
      </c>
      <c r="M94" t="n">
        <v>0</v>
      </c>
      <c r="N94" t="n">
        <v>0</v>
      </c>
      <c r="O94" t="n">
        <v>0</v>
      </c>
      <c r="P94" t="n">
        <v>0</v>
      </c>
      <c r="Q94" t="n">
        <v>0</v>
      </c>
      <c r="R94" s="2" t="inlineStr"/>
    </row>
    <row r="95" ht="15" customHeight="1">
      <c r="A95" t="inlineStr">
        <is>
          <t>A 35080-2022</t>
        </is>
      </c>
      <c r="B95" s="1" t="n">
        <v>44797</v>
      </c>
      <c r="C95" s="1" t="n">
        <v>46003</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70098-2021</t>
        </is>
      </c>
      <c r="B96" s="1" t="n">
        <v>44533</v>
      </c>
      <c r="C96" s="1" t="n">
        <v>46003</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32635-2021</t>
        </is>
      </c>
      <c r="B97" s="1" t="n">
        <v>44374</v>
      </c>
      <c r="C97" s="1" t="n">
        <v>46003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46003</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21965-2021</t>
        </is>
      </c>
      <c r="B99" s="1" t="n">
        <v>44323</v>
      </c>
      <c r="C99" s="1" t="n">
        <v>46003</v>
      </c>
      <c r="D99" t="inlineStr">
        <is>
          <t>DALARNAS LÄN</t>
        </is>
      </c>
      <c r="E99" t="inlineStr">
        <is>
          <t>LEKSAND</t>
        </is>
      </c>
      <c r="G99" t="n">
        <v>0.5</v>
      </c>
      <c r="H99" t="n">
        <v>0</v>
      </c>
      <c r="I99" t="n">
        <v>0</v>
      </c>
      <c r="J99" t="n">
        <v>0</v>
      </c>
      <c r="K99" t="n">
        <v>0</v>
      </c>
      <c r="L99" t="n">
        <v>0</v>
      </c>
      <c r="M99" t="n">
        <v>0</v>
      </c>
      <c r="N99" t="n">
        <v>0</v>
      </c>
      <c r="O99" t="n">
        <v>0</v>
      </c>
      <c r="P99" t="n">
        <v>0</v>
      </c>
      <c r="Q99" t="n">
        <v>0</v>
      </c>
      <c r="R99" s="2" t="inlineStr"/>
    </row>
    <row r="100" ht="15" customHeight="1">
      <c r="A100" t="inlineStr">
        <is>
          <t>A 21969-2021</t>
        </is>
      </c>
      <c r="B100" s="1" t="n">
        <v>44323</v>
      </c>
      <c r="C100" s="1" t="n">
        <v>46003</v>
      </c>
      <c r="D100" t="inlineStr">
        <is>
          <t>DALARNAS LÄN</t>
        </is>
      </c>
      <c r="E100" t="inlineStr">
        <is>
          <t>LEKSAND</t>
        </is>
      </c>
      <c r="G100" t="n">
        <v>3.8</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46003</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45040-2021</t>
        </is>
      </c>
      <c r="B102" s="1" t="n">
        <v>44438</v>
      </c>
      <c r="C102" s="1" t="n">
        <v>46003</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70296-2021</t>
        </is>
      </c>
      <c r="B103" s="1" t="n">
        <v>44536.40434027778</v>
      </c>
      <c r="C103" s="1" t="n">
        <v>46003</v>
      </c>
      <c r="D103" t="inlineStr">
        <is>
          <t>DALARNAS LÄN</t>
        </is>
      </c>
      <c r="E103" t="inlineStr">
        <is>
          <t>LEKSAND</t>
        </is>
      </c>
      <c r="G103" t="n">
        <v>2.7</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46003</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14140-2022</t>
        </is>
      </c>
      <c r="B105" s="1" t="n">
        <v>44651</v>
      </c>
      <c r="C105" s="1" t="n">
        <v>46003</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30449-2022</t>
        </is>
      </c>
      <c r="B106" s="1" t="n">
        <v>44761.59276620371</v>
      </c>
      <c r="C106" s="1" t="n">
        <v>46003</v>
      </c>
      <c r="D106" t="inlineStr">
        <is>
          <t>DALARNAS LÄN</t>
        </is>
      </c>
      <c r="E106" t="inlineStr">
        <is>
          <t>LEKSAND</t>
        </is>
      </c>
      <c r="G106" t="n">
        <v>5.7</v>
      </c>
      <c r="H106" t="n">
        <v>0</v>
      </c>
      <c r="I106" t="n">
        <v>0</v>
      </c>
      <c r="J106" t="n">
        <v>0</v>
      </c>
      <c r="K106" t="n">
        <v>0</v>
      </c>
      <c r="L106" t="n">
        <v>0</v>
      </c>
      <c r="M106" t="n">
        <v>0</v>
      </c>
      <c r="N106" t="n">
        <v>0</v>
      </c>
      <c r="O106" t="n">
        <v>0</v>
      </c>
      <c r="P106" t="n">
        <v>0</v>
      </c>
      <c r="Q106" t="n">
        <v>0</v>
      </c>
      <c r="R106" s="2" t="inlineStr"/>
    </row>
    <row r="107" ht="15" customHeight="1">
      <c r="A107" t="inlineStr">
        <is>
          <t>A 19559-2023</t>
        </is>
      </c>
      <c r="B107" s="1" t="n">
        <v>45050</v>
      </c>
      <c r="C107" s="1" t="n">
        <v>46003</v>
      </c>
      <c r="D107" t="inlineStr">
        <is>
          <t>DALARNAS LÄN</t>
        </is>
      </c>
      <c r="E107" t="inlineStr">
        <is>
          <t>LEKSAND</t>
        </is>
      </c>
      <c r="G107" t="n">
        <v>0.1</v>
      </c>
      <c r="H107" t="n">
        <v>0</v>
      </c>
      <c r="I107" t="n">
        <v>0</v>
      </c>
      <c r="J107" t="n">
        <v>0</v>
      </c>
      <c r="K107" t="n">
        <v>0</v>
      </c>
      <c r="L107" t="n">
        <v>0</v>
      </c>
      <c r="M107" t="n">
        <v>0</v>
      </c>
      <c r="N107" t="n">
        <v>0</v>
      </c>
      <c r="O107" t="n">
        <v>0</v>
      </c>
      <c r="P107" t="n">
        <v>0</v>
      </c>
      <c r="Q107" t="n">
        <v>0</v>
      </c>
      <c r="R107" s="2" t="inlineStr"/>
    </row>
    <row r="108" ht="15" customHeight="1">
      <c r="A108" t="inlineStr">
        <is>
          <t>A 40009-2024</t>
        </is>
      </c>
      <c r="B108" s="1" t="n">
        <v>45553.65361111111</v>
      </c>
      <c r="C108" s="1" t="n">
        <v>46003</v>
      </c>
      <c r="D108" t="inlineStr">
        <is>
          <t>DALARNAS LÄN</t>
        </is>
      </c>
      <c r="E108" t="inlineStr">
        <is>
          <t>LEKSAND</t>
        </is>
      </c>
      <c r="F108" t="inlineStr">
        <is>
          <t>Bergvik skog väst AB</t>
        </is>
      </c>
      <c r="G108" t="n">
        <v>3</v>
      </c>
      <c r="H108" t="n">
        <v>0</v>
      </c>
      <c r="I108" t="n">
        <v>0</v>
      </c>
      <c r="J108" t="n">
        <v>0</v>
      </c>
      <c r="K108" t="n">
        <v>0</v>
      </c>
      <c r="L108" t="n">
        <v>0</v>
      </c>
      <c r="M108" t="n">
        <v>0</v>
      </c>
      <c r="N108" t="n">
        <v>0</v>
      </c>
      <c r="O108" t="n">
        <v>0</v>
      </c>
      <c r="P108" t="n">
        <v>0</v>
      </c>
      <c r="Q108" t="n">
        <v>0</v>
      </c>
      <c r="R108" s="2" t="inlineStr"/>
    </row>
    <row r="109" ht="15" customHeight="1">
      <c r="A109" t="inlineStr">
        <is>
          <t>A 8046-2024</t>
        </is>
      </c>
      <c r="B109" s="1" t="n">
        <v>45351.31555555556</v>
      </c>
      <c r="C109" s="1" t="n">
        <v>46003</v>
      </c>
      <c r="D109" t="inlineStr">
        <is>
          <t>DALARNAS LÄN</t>
        </is>
      </c>
      <c r="E109" t="inlineStr">
        <is>
          <t>LEKSAND</t>
        </is>
      </c>
      <c r="G109" t="n">
        <v>2.9</v>
      </c>
      <c r="H109" t="n">
        <v>0</v>
      </c>
      <c r="I109" t="n">
        <v>0</v>
      </c>
      <c r="J109" t="n">
        <v>0</v>
      </c>
      <c r="K109" t="n">
        <v>0</v>
      </c>
      <c r="L109" t="n">
        <v>0</v>
      </c>
      <c r="M109" t="n">
        <v>0</v>
      </c>
      <c r="N109" t="n">
        <v>0</v>
      </c>
      <c r="O109" t="n">
        <v>0</v>
      </c>
      <c r="P109" t="n">
        <v>0</v>
      </c>
      <c r="Q109" t="n">
        <v>0</v>
      </c>
      <c r="R109" s="2" t="inlineStr"/>
    </row>
    <row r="110" ht="15" customHeight="1">
      <c r="A110" t="inlineStr">
        <is>
          <t>A 52572-2024</t>
        </is>
      </c>
      <c r="B110" s="1" t="n">
        <v>45609.66488425926</v>
      </c>
      <c r="C110" s="1" t="n">
        <v>46003</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46628-2024</t>
        </is>
      </c>
      <c r="B111" s="1" t="n">
        <v>45583.33195601852</v>
      </c>
      <c r="C111" s="1" t="n">
        <v>46003</v>
      </c>
      <c r="D111" t="inlineStr">
        <is>
          <t>DALARNAS LÄN</t>
        </is>
      </c>
      <c r="E111" t="inlineStr">
        <is>
          <t>LEKSAND</t>
        </is>
      </c>
      <c r="G111" t="n">
        <v>0.2</v>
      </c>
      <c r="H111" t="n">
        <v>0</v>
      </c>
      <c r="I111" t="n">
        <v>0</v>
      </c>
      <c r="J111" t="n">
        <v>0</v>
      </c>
      <c r="K111" t="n">
        <v>0</v>
      </c>
      <c r="L111" t="n">
        <v>0</v>
      </c>
      <c r="M111" t="n">
        <v>0</v>
      </c>
      <c r="N111" t="n">
        <v>0</v>
      </c>
      <c r="O111" t="n">
        <v>0</v>
      </c>
      <c r="P111" t="n">
        <v>0</v>
      </c>
      <c r="Q111" t="n">
        <v>0</v>
      </c>
      <c r="R111" s="2" t="inlineStr"/>
    </row>
    <row r="112" ht="15" customHeight="1">
      <c r="A112" t="inlineStr">
        <is>
          <t>A 12851-2023</t>
        </is>
      </c>
      <c r="B112" s="1" t="n">
        <v>45001.49347222222</v>
      </c>
      <c r="C112" s="1" t="n">
        <v>46003</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19295-2024</t>
        </is>
      </c>
      <c r="B113" s="1" t="n">
        <v>45428.69106481481</v>
      </c>
      <c r="C113" s="1" t="n">
        <v>46003</v>
      </c>
      <c r="D113" t="inlineStr">
        <is>
          <t>DALARNAS LÄN</t>
        </is>
      </c>
      <c r="E113" t="inlineStr">
        <is>
          <t>LEKSAND</t>
        </is>
      </c>
      <c r="G113" t="n">
        <v>1.6</v>
      </c>
      <c r="H113" t="n">
        <v>0</v>
      </c>
      <c r="I113" t="n">
        <v>0</v>
      </c>
      <c r="J113" t="n">
        <v>0</v>
      </c>
      <c r="K113" t="n">
        <v>0</v>
      </c>
      <c r="L113" t="n">
        <v>0</v>
      </c>
      <c r="M113" t="n">
        <v>0</v>
      </c>
      <c r="N113" t="n">
        <v>0</v>
      </c>
      <c r="O113" t="n">
        <v>0</v>
      </c>
      <c r="P113" t="n">
        <v>0</v>
      </c>
      <c r="Q113" t="n">
        <v>0</v>
      </c>
      <c r="R113" s="2" t="inlineStr"/>
    </row>
    <row r="114" ht="15" customHeight="1">
      <c r="A114" t="inlineStr">
        <is>
          <t>A 9141-2023</t>
        </is>
      </c>
      <c r="B114" s="1" t="n">
        <v>44974</v>
      </c>
      <c r="C114" s="1" t="n">
        <v>46003</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14797-2025</t>
        </is>
      </c>
      <c r="B115" s="1" t="n">
        <v>45742.90363425926</v>
      </c>
      <c r="C115" s="1" t="n">
        <v>46003</v>
      </c>
      <c r="D115" t="inlineStr">
        <is>
          <t>DALARNAS LÄN</t>
        </is>
      </c>
      <c r="E115" t="inlineStr">
        <is>
          <t>LEKSAND</t>
        </is>
      </c>
      <c r="G115" t="n">
        <v>1.4</v>
      </c>
      <c r="H115" t="n">
        <v>0</v>
      </c>
      <c r="I115" t="n">
        <v>0</v>
      </c>
      <c r="J115" t="n">
        <v>0</v>
      </c>
      <c r="K115" t="n">
        <v>0</v>
      </c>
      <c r="L115" t="n">
        <v>0</v>
      </c>
      <c r="M115" t="n">
        <v>0</v>
      </c>
      <c r="N115" t="n">
        <v>0</v>
      </c>
      <c r="O115" t="n">
        <v>0</v>
      </c>
      <c r="P115" t="n">
        <v>0</v>
      </c>
      <c r="Q115" t="n">
        <v>0</v>
      </c>
      <c r="R115" s="2" t="inlineStr"/>
    </row>
    <row r="116" ht="15" customHeight="1">
      <c r="A116" t="inlineStr">
        <is>
          <t>A 54844-2021</t>
        </is>
      </c>
      <c r="B116" s="1" t="n">
        <v>44474.30614583333</v>
      </c>
      <c r="C116" s="1" t="n">
        <v>46003</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46003</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40165-2022</t>
        </is>
      </c>
      <c r="B118" s="1" t="n">
        <v>44820.56857638889</v>
      </c>
      <c r="C118" s="1" t="n">
        <v>46003</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8211-2023</t>
        </is>
      </c>
      <c r="B119" s="1" t="n">
        <v>44974</v>
      </c>
      <c r="C119" s="1" t="n">
        <v>46003</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9781-2024</t>
        </is>
      </c>
      <c r="B120" s="1" t="n">
        <v>45362.66299768518</v>
      </c>
      <c r="C120" s="1" t="n">
        <v>46003</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46003</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63513-2023</t>
        </is>
      </c>
      <c r="B122" s="1" t="n">
        <v>45274</v>
      </c>
      <c r="C122" s="1" t="n">
        <v>46003</v>
      </c>
      <c r="D122" t="inlineStr">
        <is>
          <t>DALARNAS LÄN</t>
        </is>
      </c>
      <c r="E122" t="inlineStr">
        <is>
          <t>LEKSAND</t>
        </is>
      </c>
      <c r="G122" t="n">
        <v>2.3</v>
      </c>
      <c r="H122" t="n">
        <v>0</v>
      </c>
      <c r="I122" t="n">
        <v>0</v>
      </c>
      <c r="J122" t="n">
        <v>0</v>
      </c>
      <c r="K122" t="n">
        <v>0</v>
      </c>
      <c r="L122" t="n">
        <v>0</v>
      </c>
      <c r="M122" t="n">
        <v>0</v>
      </c>
      <c r="N122" t="n">
        <v>0</v>
      </c>
      <c r="O122" t="n">
        <v>0</v>
      </c>
      <c r="P122" t="n">
        <v>0</v>
      </c>
      <c r="Q122" t="n">
        <v>0</v>
      </c>
      <c r="R122" s="2" t="inlineStr"/>
    </row>
    <row r="123" ht="15" customHeight="1">
      <c r="A123" t="inlineStr">
        <is>
          <t>A 40230-2023</t>
        </is>
      </c>
      <c r="B123" s="1" t="n">
        <v>45169.46887731482</v>
      </c>
      <c r="C123" s="1" t="n">
        <v>46003</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46665-2023</t>
        </is>
      </c>
      <c r="B124" s="1" t="n">
        <v>45198.47399305556</v>
      </c>
      <c r="C124" s="1" t="n">
        <v>46003</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46003</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39819-2024</t>
        </is>
      </c>
      <c r="B126" s="1" t="n">
        <v>45553.38774305556</v>
      </c>
      <c r="C126" s="1" t="n">
        <v>46003</v>
      </c>
      <c r="D126" t="inlineStr">
        <is>
          <t>DALARNAS LÄN</t>
        </is>
      </c>
      <c r="E126" t="inlineStr">
        <is>
          <t>LEKSAND</t>
        </is>
      </c>
      <c r="F126" t="inlineStr">
        <is>
          <t>Bergvik skog väst AB</t>
        </is>
      </c>
      <c r="G126" t="n">
        <v>3.7</v>
      </c>
      <c r="H126" t="n">
        <v>0</v>
      </c>
      <c r="I126" t="n">
        <v>0</v>
      </c>
      <c r="J126" t="n">
        <v>0</v>
      </c>
      <c r="K126" t="n">
        <v>0</v>
      </c>
      <c r="L126" t="n">
        <v>0</v>
      </c>
      <c r="M126" t="n">
        <v>0</v>
      </c>
      <c r="N126" t="n">
        <v>0</v>
      </c>
      <c r="O126" t="n">
        <v>0</v>
      </c>
      <c r="P126" t="n">
        <v>0</v>
      </c>
      <c r="Q126" t="n">
        <v>0</v>
      </c>
      <c r="R126" s="2" t="inlineStr"/>
    </row>
    <row r="127" ht="15" customHeight="1">
      <c r="A127" t="inlineStr">
        <is>
          <t>A 31915-2024</t>
        </is>
      </c>
      <c r="B127" s="1" t="n">
        <v>45510.38956018518</v>
      </c>
      <c r="C127" s="1" t="n">
        <v>46003</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14615-2024</t>
        </is>
      </c>
      <c r="B128" s="1" t="n">
        <v>45397.26047453703</v>
      </c>
      <c r="C128" s="1" t="n">
        <v>46003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52100-2024</t>
        </is>
      </c>
      <c r="B129" s="1" t="n">
        <v>45608.41634259259</v>
      </c>
      <c r="C129" s="1" t="n">
        <v>46003</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4257-2022</t>
        </is>
      </c>
      <c r="B130" s="1" t="n">
        <v>44588</v>
      </c>
      <c r="C130" s="1" t="n">
        <v>46003</v>
      </c>
      <c r="D130" t="inlineStr">
        <is>
          <t>DALARNAS LÄN</t>
        </is>
      </c>
      <c r="E130" t="inlineStr">
        <is>
          <t>LEKSAND</t>
        </is>
      </c>
      <c r="G130" t="n">
        <v>6.8</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46003</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31726-2024</t>
        </is>
      </c>
      <c r="B132" s="1" t="n">
        <v>45509.33908564815</v>
      </c>
      <c r="C132" s="1" t="n">
        <v>46003</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43275-2022</t>
        </is>
      </c>
      <c r="B133" s="1" t="n">
        <v>44824</v>
      </c>
      <c r="C133" s="1" t="n">
        <v>46003</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43304-2022</t>
        </is>
      </c>
      <c r="B134" s="1" t="n">
        <v>44834</v>
      </c>
      <c r="C134" s="1" t="n">
        <v>46003</v>
      </c>
      <c r="D134" t="inlineStr">
        <is>
          <t>DALARNAS LÄN</t>
        </is>
      </c>
      <c r="E134" t="inlineStr">
        <is>
          <t>LEKSAND</t>
        </is>
      </c>
      <c r="G134" t="n">
        <v>0.9</v>
      </c>
      <c r="H134" t="n">
        <v>0</v>
      </c>
      <c r="I134" t="n">
        <v>0</v>
      </c>
      <c r="J134" t="n">
        <v>0</v>
      </c>
      <c r="K134" t="n">
        <v>0</v>
      </c>
      <c r="L134" t="n">
        <v>0</v>
      </c>
      <c r="M134" t="n">
        <v>0</v>
      </c>
      <c r="N134" t="n">
        <v>0</v>
      </c>
      <c r="O134" t="n">
        <v>0</v>
      </c>
      <c r="P134" t="n">
        <v>0</v>
      </c>
      <c r="Q134" t="n">
        <v>0</v>
      </c>
      <c r="R134" s="2" t="inlineStr"/>
    </row>
    <row r="135" ht="15" customHeight="1">
      <c r="A135" t="inlineStr">
        <is>
          <t>A 7417-2024</t>
        </is>
      </c>
      <c r="B135" s="1" t="n">
        <v>45345.62378472222</v>
      </c>
      <c r="C135" s="1" t="n">
        <v>46003</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30863-2024</t>
        </is>
      </c>
      <c r="B136" s="1" t="n">
        <v>45497.71074074074</v>
      </c>
      <c r="C136" s="1" t="n">
        <v>46003</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13161-2024</t>
        </is>
      </c>
      <c r="B137" s="1" t="n">
        <v>45386.38972222222</v>
      </c>
      <c r="C137" s="1" t="n">
        <v>46003</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55512-2024</t>
        </is>
      </c>
      <c r="B138" s="1" t="n">
        <v>45621</v>
      </c>
      <c r="C138" s="1" t="n">
        <v>46003</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52059-2024</t>
        </is>
      </c>
      <c r="B139" s="1" t="n">
        <v>45608.35609953704</v>
      </c>
      <c r="C139" s="1" t="n">
        <v>46003</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54289-2023</t>
        </is>
      </c>
      <c r="B140" s="1" t="n">
        <v>45232.71193287037</v>
      </c>
      <c r="C140" s="1" t="n">
        <v>46003</v>
      </c>
      <c r="D140" t="inlineStr">
        <is>
          <t>DALARNAS LÄN</t>
        </is>
      </c>
      <c r="E140" t="inlineStr">
        <is>
          <t>LEKSAND</t>
        </is>
      </c>
      <c r="G140" t="n">
        <v>2</v>
      </c>
      <c r="H140" t="n">
        <v>0</v>
      </c>
      <c r="I140" t="n">
        <v>0</v>
      </c>
      <c r="J140" t="n">
        <v>0</v>
      </c>
      <c r="K140" t="n">
        <v>0</v>
      </c>
      <c r="L140" t="n">
        <v>0</v>
      </c>
      <c r="M140" t="n">
        <v>0</v>
      </c>
      <c r="N140" t="n">
        <v>0</v>
      </c>
      <c r="O140" t="n">
        <v>0</v>
      </c>
      <c r="P140" t="n">
        <v>0</v>
      </c>
      <c r="Q140" t="n">
        <v>0</v>
      </c>
      <c r="R140" s="2" t="inlineStr"/>
    </row>
    <row r="141" ht="15" customHeight="1">
      <c r="A141" t="inlineStr">
        <is>
          <t>A 12992-2022</t>
        </is>
      </c>
      <c r="B141" s="1" t="n">
        <v>44643</v>
      </c>
      <c r="C141" s="1" t="n">
        <v>46003</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12290-2024</t>
        </is>
      </c>
      <c r="B142" s="1" t="n">
        <v>45378.57877314815</v>
      </c>
      <c r="C142" s="1" t="n">
        <v>46003</v>
      </c>
      <c r="D142" t="inlineStr">
        <is>
          <t>DALARNAS LÄN</t>
        </is>
      </c>
      <c r="E142" t="inlineStr">
        <is>
          <t>LEKSAND</t>
        </is>
      </c>
      <c r="G142" t="n">
        <v>2.5</v>
      </c>
      <c r="H142" t="n">
        <v>0</v>
      </c>
      <c r="I142" t="n">
        <v>0</v>
      </c>
      <c r="J142" t="n">
        <v>0</v>
      </c>
      <c r="K142" t="n">
        <v>0</v>
      </c>
      <c r="L142" t="n">
        <v>0</v>
      </c>
      <c r="M142" t="n">
        <v>0</v>
      </c>
      <c r="N142" t="n">
        <v>0</v>
      </c>
      <c r="O142" t="n">
        <v>0</v>
      </c>
      <c r="P142" t="n">
        <v>0</v>
      </c>
      <c r="Q142" t="n">
        <v>0</v>
      </c>
      <c r="R142" s="2" t="inlineStr"/>
    </row>
    <row r="143" ht="15" customHeight="1">
      <c r="A143" t="inlineStr">
        <is>
          <t>A 11712-2025</t>
        </is>
      </c>
      <c r="B143" s="1" t="n">
        <v>45727</v>
      </c>
      <c r="C143" s="1" t="n">
        <v>46003</v>
      </c>
      <c r="D143" t="inlineStr">
        <is>
          <t>DALARNAS LÄN</t>
        </is>
      </c>
      <c r="E143" t="inlineStr">
        <is>
          <t>LEKSAND</t>
        </is>
      </c>
      <c r="G143" t="n">
        <v>6</v>
      </c>
      <c r="H143" t="n">
        <v>0</v>
      </c>
      <c r="I143" t="n">
        <v>0</v>
      </c>
      <c r="J143" t="n">
        <v>0</v>
      </c>
      <c r="K143" t="n">
        <v>0</v>
      </c>
      <c r="L143" t="n">
        <v>0</v>
      </c>
      <c r="M143" t="n">
        <v>0</v>
      </c>
      <c r="N143" t="n">
        <v>0</v>
      </c>
      <c r="O143" t="n">
        <v>0</v>
      </c>
      <c r="P143" t="n">
        <v>0</v>
      </c>
      <c r="Q143" t="n">
        <v>0</v>
      </c>
      <c r="R143" s="2" t="inlineStr"/>
    </row>
    <row r="144" ht="15" customHeight="1">
      <c r="A144" t="inlineStr">
        <is>
          <t>A 29157-2022</t>
        </is>
      </c>
      <c r="B144" s="1" t="n">
        <v>44750.48355324074</v>
      </c>
      <c r="C144" s="1" t="n">
        <v>46003</v>
      </c>
      <c r="D144" t="inlineStr">
        <is>
          <t>DALARNAS LÄN</t>
        </is>
      </c>
      <c r="E144" t="inlineStr">
        <is>
          <t>LEKSAND</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19480-2022</t>
        </is>
      </c>
      <c r="B145" s="1" t="n">
        <v>44693</v>
      </c>
      <c r="C145" s="1" t="n">
        <v>46003</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6758-2024</t>
        </is>
      </c>
      <c r="B146" s="1" t="n">
        <v>45342.46857638889</v>
      </c>
      <c r="C146" s="1" t="n">
        <v>46003</v>
      </c>
      <c r="D146" t="inlineStr">
        <is>
          <t>DALARNAS LÄN</t>
        </is>
      </c>
      <c r="E146" t="inlineStr">
        <is>
          <t>LEKSAND</t>
        </is>
      </c>
      <c r="F146" t="inlineStr">
        <is>
          <t>Bergvik skog väst AB</t>
        </is>
      </c>
      <c r="G146" t="n">
        <v>6.2</v>
      </c>
      <c r="H146" t="n">
        <v>0</v>
      </c>
      <c r="I146" t="n">
        <v>0</v>
      </c>
      <c r="J146" t="n">
        <v>0</v>
      </c>
      <c r="K146" t="n">
        <v>0</v>
      </c>
      <c r="L146" t="n">
        <v>0</v>
      </c>
      <c r="M146" t="n">
        <v>0</v>
      </c>
      <c r="N146" t="n">
        <v>0</v>
      </c>
      <c r="O146" t="n">
        <v>0</v>
      </c>
      <c r="P146" t="n">
        <v>0</v>
      </c>
      <c r="Q146" t="n">
        <v>0</v>
      </c>
      <c r="R146" s="2" t="inlineStr"/>
    </row>
    <row r="147" ht="15" customHeight="1">
      <c r="A147" t="inlineStr">
        <is>
          <t>A 14616-2024</t>
        </is>
      </c>
      <c r="B147" s="1" t="n">
        <v>45397.2624537037</v>
      </c>
      <c r="C147" s="1" t="n">
        <v>46003</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45208.58997685185</v>
      </c>
      <c r="C148" s="1" t="n">
        <v>46003</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24003-2024</t>
        </is>
      </c>
      <c r="B149" s="1" t="n">
        <v>45456.39003472222</v>
      </c>
      <c r="C149" s="1" t="n">
        <v>46003</v>
      </c>
      <c r="D149" t="inlineStr">
        <is>
          <t>DALARNAS LÄN</t>
        </is>
      </c>
      <c r="E149" t="inlineStr">
        <is>
          <t>LEKSAND</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67307-2020</t>
        </is>
      </c>
      <c r="B150" s="1" t="n">
        <v>44181</v>
      </c>
      <c r="C150" s="1" t="n">
        <v>46003</v>
      </c>
      <c r="D150" t="inlineStr">
        <is>
          <t>DALARNAS LÄN</t>
        </is>
      </c>
      <c r="E150" t="inlineStr">
        <is>
          <t>LEKSAND</t>
        </is>
      </c>
      <c r="G150" t="n">
        <v>5.9</v>
      </c>
      <c r="H150" t="n">
        <v>0</v>
      </c>
      <c r="I150" t="n">
        <v>0</v>
      </c>
      <c r="J150" t="n">
        <v>0</v>
      </c>
      <c r="K150" t="n">
        <v>0</v>
      </c>
      <c r="L150" t="n">
        <v>0</v>
      </c>
      <c r="M150" t="n">
        <v>0</v>
      </c>
      <c r="N150" t="n">
        <v>0</v>
      </c>
      <c r="O150" t="n">
        <v>0</v>
      </c>
      <c r="P150" t="n">
        <v>0</v>
      </c>
      <c r="Q150" t="n">
        <v>0</v>
      </c>
      <c r="R150" s="2" t="inlineStr"/>
    </row>
    <row r="151" ht="15" customHeight="1">
      <c r="A151" t="inlineStr">
        <is>
          <t>A 40642-2023</t>
        </is>
      </c>
      <c r="B151" s="1" t="n">
        <v>45169</v>
      </c>
      <c r="C151" s="1" t="n">
        <v>46003</v>
      </c>
      <c r="D151" t="inlineStr">
        <is>
          <t>DALARNAS LÄN</t>
        </is>
      </c>
      <c r="E151" t="inlineStr">
        <is>
          <t>LEKSAND</t>
        </is>
      </c>
      <c r="G151" t="n">
        <v>1.9</v>
      </c>
      <c r="H151" t="n">
        <v>0</v>
      </c>
      <c r="I151" t="n">
        <v>0</v>
      </c>
      <c r="J151" t="n">
        <v>0</v>
      </c>
      <c r="K151" t="n">
        <v>0</v>
      </c>
      <c r="L151" t="n">
        <v>0</v>
      </c>
      <c r="M151" t="n">
        <v>0</v>
      </c>
      <c r="N151" t="n">
        <v>0</v>
      </c>
      <c r="O151" t="n">
        <v>0</v>
      </c>
      <c r="P151" t="n">
        <v>0</v>
      </c>
      <c r="Q151" t="n">
        <v>0</v>
      </c>
      <c r="R151" s="2" t="inlineStr"/>
    </row>
    <row r="152" ht="15" customHeight="1">
      <c r="A152" t="inlineStr">
        <is>
          <t>A 25025-2023</t>
        </is>
      </c>
      <c r="B152" s="1" t="n">
        <v>45085.92146990741</v>
      </c>
      <c r="C152" s="1" t="n">
        <v>46003</v>
      </c>
      <c r="D152" t="inlineStr">
        <is>
          <t>DALARNAS LÄN</t>
        </is>
      </c>
      <c r="E152" t="inlineStr">
        <is>
          <t>LEKSAND</t>
        </is>
      </c>
      <c r="G152" t="n">
        <v>3</v>
      </c>
      <c r="H152" t="n">
        <v>0</v>
      </c>
      <c r="I152" t="n">
        <v>0</v>
      </c>
      <c r="J152" t="n">
        <v>0</v>
      </c>
      <c r="K152" t="n">
        <v>0</v>
      </c>
      <c r="L152" t="n">
        <v>0</v>
      </c>
      <c r="M152" t="n">
        <v>0</v>
      </c>
      <c r="N152" t="n">
        <v>0</v>
      </c>
      <c r="O152" t="n">
        <v>0</v>
      </c>
      <c r="P152" t="n">
        <v>0</v>
      </c>
      <c r="Q152" t="n">
        <v>0</v>
      </c>
      <c r="R152" s="2" t="inlineStr"/>
    </row>
    <row r="153" ht="15" customHeight="1">
      <c r="A153" t="inlineStr">
        <is>
          <t>A 25038-2023</t>
        </is>
      </c>
      <c r="B153" s="1" t="n">
        <v>45085</v>
      </c>
      <c r="C153" s="1" t="n">
        <v>46003</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47854-2023</t>
        </is>
      </c>
      <c r="B154" s="1" t="n">
        <v>45198</v>
      </c>
      <c r="C154" s="1" t="n">
        <v>46003</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62279-2021</t>
        </is>
      </c>
      <c r="B155" s="1" t="n">
        <v>44503</v>
      </c>
      <c r="C155" s="1" t="n">
        <v>46003</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39136-2023</t>
        </is>
      </c>
      <c r="B156" s="1" t="n">
        <v>45165</v>
      </c>
      <c r="C156" s="1" t="n">
        <v>46003</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12356-2023</t>
        </is>
      </c>
      <c r="B157" s="1" t="n">
        <v>44998</v>
      </c>
      <c r="C157" s="1" t="n">
        <v>46003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51857-2022</t>
        </is>
      </c>
      <c r="B158" s="1" t="n">
        <v>44867</v>
      </c>
      <c r="C158" s="1" t="n">
        <v>46003</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41046-2024</t>
        </is>
      </c>
      <c r="B159" s="1" t="n">
        <v>45559.36677083333</v>
      </c>
      <c r="C159" s="1" t="n">
        <v>46003</v>
      </c>
      <c r="D159" t="inlineStr">
        <is>
          <t>DALARNAS LÄN</t>
        </is>
      </c>
      <c r="E159" t="inlineStr">
        <is>
          <t>LEKSAND</t>
        </is>
      </c>
      <c r="G159" t="n">
        <v>1.9</v>
      </c>
      <c r="H159" t="n">
        <v>0</v>
      </c>
      <c r="I159" t="n">
        <v>0</v>
      </c>
      <c r="J159" t="n">
        <v>0</v>
      </c>
      <c r="K159" t="n">
        <v>0</v>
      </c>
      <c r="L159" t="n">
        <v>0</v>
      </c>
      <c r="M159" t="n">
        <v>0</v>
      </c>
      <c r="N159" t="n">
        <v>0</v>
      </c>
      <c r="O159" t="n">
        <v>0</v>
      </c>
      <c r="P159" t="n">
        <v>0</v>
      </c>
      <c r="Q159" t="n">
        <v>0</v>
      </c>
      <c r="R159" s="2" t="inlineStr"/>
    </row>
    <row r="160" ht="15" customHeight="1">
      <c r="A160" t="inlineStr">
        <is>
          <t>A 44469-2024</t>
        </is>
      </c>
      <c r="B160" s="1" t="n">
        <v>45574</v>
      </c>
      <c r="C160" s="1" t="n">
        <v>46003</v>
      </c>
      <c r="D160" t="inlineStr">
        <is>
          <t>DALARNAS LÄN</t>
        </is>
      </c>
      <c r="E160" t="inlineStr">
        <is>
          <t>LEKSAND</t>
        </is>
      </c>
      <c r="G160" t="n">
        <v>2</v>
      </c>
      <c r="H160" t="n">
        <v>0</v>
      </c>
      <c r="I160" t="n">
        <v>0</v>
      </c>
      <c r="J160" t="n">
        <v>0</v>
      </c>
      <c r="K160" t="n">
        <v>0</v>
      </c>
      <c r="L160" t="n">
        <v>0</v>
      </c>
      <c r="M160" t="n">
        <v>0</v>
      </c>
      <c r="N160" t="n">
        <v>0</v>
      </c>
      <c r="O160" t="n">
        <v>0</v>
      </c>
      <c r="P160" t="n">
        <v>0</v>
      </c>
      <c r="Q160" t="n">
        <v>0</v>
      </c>
      <c r="R160" s="2" t="inlineStr"/>
    </row>
    <row r="161" ht="15" customHeight="1">
      <c r="A161" t="inlineStr">
        <is>
          <t>A 15968-2025</t>
        </is>
      </c>
      <c r="B161" s="1" t="n">
        <v>45749.54818287037</v>
      </c>
      <c r="C161" s="1" t="n">
        <v>46003</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16005-2025</t>
        </is>
      </c>
      <c r="B162" s="1" t="n">
        <v>45749.59765046297</v>
      </c>
      <c r="C162" s="1" t="n">
        <v>46003</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56016-2024</t>
        </is>
      </c>
      <c r="B163" s="1" t="n">
        <v>45623.87737268519</v>
      </c>
      <c r="C163" s="1" t="n">
        <v>46003</v>
      </c>
      <c r="D163" t="inlineStr">
        <is>
          <t>DALARNAS LÄN</t>
        </is>
      </c>
      <c r="E163" t="inlineStr">
        <is>
          <t>LEKSAND</t>
        </is>
      </c>
      <c r="G163" t="n">
        <v>6.1</v>
      </c>
      <c r="H163" t="n">
        <v>0</v>
      </c>
      <c r="I163" t="n">
        <v>0</v>
      </c>
      <c r="J163" t="n">
        <v>0</v>
      </c>
      <c r="K163" t="n">
        <v>0</v>
      </c>
      <c r="L163" t="n">
        <v>0</v>
      </c>
      <c r="M163" t="n">
        <v>0</v>
      </c>
      <c r="N163" t="n">
        <v>0</v>
      </c>
      <c r="O163" t="n">
        <v>0</v>
      </c>
      <c r="P163" t="n">
        <v>0</v>
      </c>
      <c r="Q163" t="n">
        <v>0</v>
      </c>
      <c r="R163" s="2" t="inlineStr"/>
    </row>
    <row r="164" ht="15" customHeight="1">
      <c r="A164" t="inlineStr">
        <is>
          <t>A 52293-2024</t>
        </is>
      </c>
      <c r="B164" s="1" t="n">
        <v>45608.71297453704</v>
      </c>
      <c r="C164" s="1" t="n">
        <v>46003</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19820-2024</t>
        </is>
      </c>
      <c r="B165" s="1" t="n">
        <v>45433.33907407407</v>
      </c>
      <c r="C165" s="1" t="n">
        <v>46003</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19823-2024</t>
        </is>
      </c>
      <c r="B166" s="1" t="n">
        <v>45433.34469907408</v>
      </c>
      <c r="C166" s="1" t="n">
        <v>46003</v>
      </c>
      <c r="D166" t="inlineStr">
        <is>
          <t>DALARNAS LÄN</t>
        </is>
      </c>
      <c r="E166" t="inlineStr">
        <is>
          <t>LEKSAND</t>
        </is>
      </c>
      <c r="G166" t="n">
        <v>0.3</v>
      </c>
      <c r="H166" t="n">
        <v>0</v>
      </c>
      <c r="I166" t="n">
        <v>0</v>
      </c>
      <c r="J166" t="n">
        <v>0</v>
      </c>
      <c r="K166" t="n">
        <v>0</v>
      </c>
      <c r="L166" t="n">
        <v>0</v>
      </c>
      <c r="M166" t="n">
        <v>0</v>
      </c>
      <c r="N166" t="n">
        <v>0</v>
      </c>
      <c r="O166" t="n">
        <v>0</v>
      </c>
      <c r="P166" t="n">
        <v>0</v>
      </c>
      <c r="Q166" t="n">
        <v>0</v>
      </c>
      <c r="R166" s="2" t="inlineStr"/>
    </row>
    <row r="167" ht="15" customHeight="1">
      <c r="A167" t="inlineStr">
        <is>
          <t>A 46876-2023</t>
        </is>
      </c>
      <c r="B167" s="1" t="n">
        <v>45200</v>
      </c>
      <c r="C167" s="1" t="n">
        <v>46003</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33072-2021</t>
        </is>
      </c>
      <c r="B168" s="1" t="n">
        <v>44375</v>
      </c>
      <c r="C168" s="1" t="n">
        <v>46003</v>
      </c>
      <c r="D168" t="inlineStr">
        <is>
          <t>DALARNAS LÄN</t>
        </is>
      </c>
      <c r="E168" t="inlineStr">
        <is>
          <t>LEKSAND</t>
        </is>
      </c>
      <c r="G168" t="n">
        <v>1.2</v>
      </c>
      <c r="H168" t="n">
        <v>0</v>
      </c>
      <c r="I168" t="n">
        <v>0</v>
      </c>
      <c r="J168" t="n">
        <v>0</v>
      </c>
      <c r="K168" t="n">
        <v>0</v>
      </c>
      <c r="L168" t="n">
        <v>0</v>
      </c>
      <c r="M168" t="n">
        <v>0</v>
      </c>
      <c r="N168" t="n">
        <v>0</v>
      </c>
      <c r="O168" t="n">
        <v>0</v>
      </c>
      <c r="P168" t="n">
        <v>0</v>
      </c>
      <c r="Q168" t="n">
        <v>0</v>
      </c>
      <c r="R168" s="2" t="inlineStr"/>
    </row>
    <row r="169" ht="15" customHeight="1">
      <c r="A169" t="inlineStr">
        <is>
          <t>A 9857-2025</t>
        </is>
      </c>
      <c r="B169" s="1" t="n">
        <v>45716.62609953704</v>
      </c>
      <c r="C169" s="1" t="n">
        <v>46003</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55926-2024</t>
        </is>
      </c>
      <c r="B170" s="1" t="n">
        <v>45623.601875</v>
      </c>
      <c r="C170" s="1" t="n">
        <v>46003</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40181-2023</t>
        </is>
      </c>
      <c r="B171" s="1" t="n">
        <v>45169</v>
      </c>
      <c r="C171" s="1" t="n">
        <v>46003</v>
      </c>
      <c r="D171" t="inlineStr">
        <is>
          <t>DALARNAS LÄN</t>
        </is>
      </c>
      <c r="E171" t="inlineStr">
        <is>
          <t>LEKSAND</t>
        </is>
      </c>
      <c r="G171" t="n">
        <v>2.8</v>
      </c>
      <c r="H171" t="n">
        <v>0</v>
      </c>
      <c r="I171" t="n">
        <v>0</v>
      </c>
      <c r="J171" t="n">
        <v>0</v>
      </c>
      <c r="K171" t="n">
        <v>0</v>
      </c>
      <c r="L171" t="n">
        <v>0</v>
      </c>
      <c r="M171" t="n">
        <v>0</v>
      </c>
      <c r="N171" t="n">
        <v>0</v>
      </c>
      <c r="O171" t="n">
        <v>0</v>
      </c>
      <c r="P171" t="n">
        <v>0</v>
      </c>
      <c r="Q171" t="n">
        <v>0</v>
      </c>
      <c r="R171" s="2" t="inlineStr"/>
    </row>
    <row r="172" ht="15" customHeight="1">
      <c r="A172" t="inlineStr">
        <is>
          <t>A 16293-2025</t>
        </is>
      </c>
      <c r="B172" s="1" t="n">
        <v>45751.33447916667</v>
      </c>
      <c r="C172" s="1" t="n">
        <v>46003</v>
      </c>
      <c r="D172" t="inlineStr">
        <is>
          <t>DALARNAS LÄN</t>
        </is>
      </c>
      <c r="E172" t="inlineStr">
        <is>
          <t>LEKSAND</t>
        </is>
      </c>
      <c r="G172" t="n">
        <v>1.2</v>
      </c>
      <c r="H172" t="n">
        <v>0</v>
      </c>
      <c r="I172" t="n">
        <v>0</v>
      </c>
      <c r="J172" t="n">
        <v>0</v>
      </c>
      <c r="K172" t="n">
        <v>0</v>
      </c>
      <c r="L172" t="n">
        <v>0</v>
      </c>
      <c r="M172" t="n">
        <v>0</v>
      </c>
      <c r="N172" t="n">
        <v>0</v>
      </c>
      <c r="O172" t="n">
        <v>0</v>
      </c>
      <c r="P172" t="n">
        <v>0</v>
      </c>
      <c r="Q172" t="n">
        <v>0</v>
      </c>
      <c r="R172" s="2" t="inlineStr"/>
    </row>
    <row r="173" ht="15" customHeight="1">
      <c r="A173" t="inlineStr">
        <is>
          <t>A 412-2024</t>
        </is>
      </c>
      <c r="B173" s="1" t="n">
        <v>45296</v>
      </c>
      <c r="C173" s="1" t="n">
        <v>46003</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51860-2024</t>
        </is>
      </c>
      <c r="B174" s="1" t="n">
        <v>45607.54511574074</v>
      </c>
      <c r="C174" s="1" t="n">
        <v>46003</v>
      </c>
      <c r="D174" t="inlineStr">
        <is>
          <t>DALARNAS LÄN</t>
        </is>
      </c>
      <c r="E174" t="inlineStr">
        <is>
          <t>LEKSAND</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53799-2023</t>
        </is>
      </c>
      <c r="B175" s="1" t="n">
        <v>45231.35564814815</v>
      </c>
      <c r="C175" s="1" t="n">
        <v>46003</v>
      </c>
      <c r="D175" t="inlineStr">
        <is>
          <t>DALARNAS LÄN</t>
        </is>
      </c>
      <c r="E175" t="inlineStr">
        <is>
          <t>LEKSAND</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59673-2023</t>
        </is>
      </c>
      <c r="B176" s="1" t="n">
        <v>45255.44603009259</v>
      </c>
      <c r="C176" s="1" t="n">
        <v>46003</v>
      </c>
      <c r="D176" t="inlineStr">
        <is>
          <t>DALARNAS LÄN</t>
        </is>
      </c>
      <c r="E176" t="inlineStr">
        <is>
          <t>LEKSAND</t>
        </is>
      </c>
      <c r="G176" t="n">
        <v>12.2</v>
      </c>
      <c r="H176" t="n">
        <v>0</v>
      </c>
      <c r="I176" t="n">
        <v>0</v>
      </c>
      <c r="J176" t="n">
        <v>0</v>
      </c>
      <c r="K176" t="n">
        <v>0</v>
      </c>
      <c r="L176" t="n">
        <v>0</v>
      </c>
      <c r="M176" t="n">
        <v>0</v>
      </c>
      <c r="N176" t="n">
        <v>0</v>
      </c>
      <c r="O176" t="n">
        <v>0</v>
      </c>
      <c r="P176" t="n">
        <v>0</v>
      </c>
      <c r="Q176" t="n">
        <v>0</v>
      </c>
      <c r="R176" s="2" t="inlineStr"/>
    </row>
    <row r="177" ht="15" customHeight="1">
      <c r="A177" t="inlineStr">
        <is>
          <t>A 23068-2024</t>
        </is>
      </c>
      <c r="B177" s="1" t="n">
        <v>45450.45521990741</v>
      </c>
      <c r="C177" s="1" t="n">
        <v>46003</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22281-2024</t>
        </is>
      </c>
      <c r="B178" s="1" t="n">
        <v>45446.54756944445</v>
      </c>
      <c r="C178" s="1" t="n">
        <v>46003</v>
      </c>
      <c r="D178" t="inlineStr">
        <is>
          <t>DALARNAS LÄN</t>
        </is>
      </c>
      <c r="E178" t="inlineStr">
        <is>
          <t>LEKSAND</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40193-2024</t>
        </is>
      </c>
      <c r="B179" s="1" t="n">
        <v>45554.5734375</v>
      </c>
      <c r="C179" s="1" t="n">
        <v>46003</v>
      </c>
      <c r="D179" t="inlineStr">
        <is>
          <t>DALARNAS LÄN</t>
        </is>
      </c>
      <c r="E179" t="inlineStr">
        <is>
          <t>LEKSAND</t>
        </is>
      </c>
      <c r="F179" t="inlineStr">
        <is>
          <t>Övriga statliga verk och myndigheter</t>
        </is>
      </c>
      <c r="G179" t="n">
        <v>1</v>
      </c>
      <c r="H179" t="n">
        <v>0</v>
      </c>
      <c r="I179" t="n">
        <v>0</v>
      </c>
      <c r="J179" t="n">
        <v>0</v>
      </c>
      <c r="K179" t="n">
        <v>0</v>
      </c>
      <c r="L179" t="n">
        <v>0</v>
      </c>
      <c r="M179" t="n">
        <v>0</v>
      </c>
      <c r="N179" t="n">
        <v>0</v>
      </c>
      <c r="O179" t="n">
        <v>0</v>
      </c>
      <c r="P179" t="n">
        <v>0</v>
      </c>
      <c r="Q179" t="n">
        <v>0</v>
      </c>
      <c r="R179" s="2" t="inlineStr"/>
    </row>
    <row r="180" ht="15" customHeight="1">
      <c r="A180" t="inlineStr">
        <is>
          <t>A 1267-2025</t>
        </is>
      </c>
      <c r="B180" s="1" t="n">
        <v>45667</v>
      </c>
      <c r="C180" s="1" t="n">
        <v>46003</v>
      </c>
      <c r="D180" t="inlineStr">
        <is>
          <t>DALARNAS LÄN</t>
        </is>
      </c>
      <c r="E180" t="inlineStr">
        <is>
          <t>LEKSAND</t>
        </is>
      </c>
      <c r="G180" t="n">
        <v>0.8</v>
      </c>
      <c r="H180" t="n">
        <v>0</v>
      </c>
      <c r="I180" t="n">
        <v>0</v>
      </c>
      <c r="J180" t="n">
        <v>0</v>
      </c>
      <c r="K180" t="n">
        <v>0</v>
      </c>
      <c r="L180" t="n">
        <v>0</v>
      </c>
      <c r="M180" t="n">
        <v>0</v>
      </c>
      <c r="N180" t="n">
        <v>0</v>
      </c>
      <c r="O180" t="n">
        <v>0</v>
      </c>
      <c r="P180" t="n">
        <v>0</v>
      </c>
      <c r="Q180" t="n">
        <v>0</v>
      </c>
      <c r="R180" s="2" t="inlineStr"/>
    </row>
    <row r="181" ht="15" customHeight="1">
      <c r="A181" t="inlineStr">
        <is>
          <t>A 12363-2023</t>
        </is>
      </c>
      <c r="B181" s="1" t="n">
        <v>44998</v>
      </c>
      <c r="C181" s="1" t="n">
        <v>46003</v>
      </c>
      <c r="D181" t="inlineStr">
        <is>
          <t>DALARNAS LÄN</t>
        </is>
      </c>
      <c r="E181" t="inlineStr">
        <is>
          <t>LEKSAND</t>
        </is>
      </c>
      <c r="G181" t="n">
        <v>10</v>
      </c>
      <c r="H181" t="n">
        <v>0</v>
      </c>
      <c r="I181" t="n">
        <v>0</v>
      </c>
      <c r="J181" t="n">
        <v>0</v>
      </c>
      <c r="K181" t="n">
        <v>0</v>
      </c>
      <c r="L181" t="n">
        <v>0</v>
      </c>
      <c r="M181" t="n">
        <v>0</v>
      </c>
      <c r="N181" t="n">
        <v>0</v>
      </c>
      <c r="O181" t="n">
        <v>0</v>
      </c>
      <c r="P181" t="n">
        <v>0</v>
      </c>
      <c r="Q181" t="n">
        <v>0</v>
      </c>
      <c r="R181" s="2" t="inlineStr"/>
    </row>
    <row r="182" ht="15" customHeight="1">
      <c r="A182" t="inlineStr">
        <is>
          <t>A 31728-2024</t>
        </is>
      </c>
      <c r="B182" s="1" t="n">
        <v>45509.34517361111</v>
      </c>
      <c r="C182" s="1" t="n">
        <v>46003</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32394-2024</t>
        </is>
      </c>
      <c r="B183" s="1" t="n">
        <v>45512.64349537037</v>
      </c>
      <c r="C183" s="1" t="n">
        <v>46003</v>
      </c>
      <c r="D183" t="inlineStr">
        <is>
          <t>DALARNAS LÄN</t>
        </is>
      </c>
      <c r="E183" t="inlineStr">
        <is>
          <t>LEKSAND</t>
        </is>
      </c>
      <c r="F183" t="inlineStr">
        <is>
          <t>Bergvik skog väst AB</t>
        </is>
      </c>
      <c r="G183" t="n">
        <v>6</v>
      </c>
      <c r="H183" t="n">
        <v>0</v>
      </c>
      <c r="I183" t="n">
        <v>0</v>
      </c>
      <c r="J183" t="n">
        <v>0</v>
      </c>
      <c r="K183" t="n">
        <v>0</v>
      </c>
      <c r="L183" t="n">
        <v>0</v>
      </c>
      <c r="M183" t="n">
        <v>0</v>
      </c>
      <c r="N183" t="n">
        <v>0</v>
      </c>
      <c r="O183" t="n">
        <v>0</v>
      </c>
      <c r="P183" t="n">
        <v>0</v>
      </c>
      <c r="Q183" t="n">
        <v>0</v>
      </c>
      <c r="R183" s="2" t="inlineStr"/>
    </row>
    <row r="184" ht="15" customHeight="1">
      <c r="A184" t="inlineStr">
        <is>
          <t>A 42230-2023</t>
        </is>
      </c>
      <c r="B184" s="1" t="n">
        <v>45180</v>
      </c>
      <c r="C184" s="1" t="n">
        <v>46003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3183-2025</t>
        </is>
      </c>
      <c r="B185" s="1" t="n">
        <v>45679.40298611111</v>
      </c>
      <c r="C185" s="1" t="n">
        <v>46003</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40755-2024</t>
        </is>
      </c>
      <c r="B186" s="1" t="n">
        <v>45558.45815972222</v>
      </c>
      <c r="C186" s="1" t="n">
        <v>46003</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59751-2024</t>
        </is>
      </c>
      <c r="B187" s="1" t="n">
        <v>45638</v>
      </c>
      <c r="C187" s="1" t="n">
        <v>46003</v>
      </c>
      <c r="D187" t="inlineStr">
        <is>
          <t>DALARNAS LÄN</t>
        </is>
      </c>
      <c r="E187" t="inlineStr">
        <is>
          <t>LEKSAND</t>
        </is>
      </c>
      <c r="G187" t="n">
        <v>5.2</v>
      </c>
      <c r="H187" t="n">
        <v>0</v>
      </c>
      <c r="I187" t="n">
        <v>0</v>
      </c>
      <c r="J187" t="n">
        <v>0</v>
      </c>
      <c r="K187" t="n">
        <v>0</v>
      </c>
      <c r="L187" t="n">
        <v>0</v>
      </c>
      <c r="M187" t="n">
        <v>0</v>
      </c>
      <c r="N187" t="n">
        <v>0</v>
      </c>
      <c r="O187" t="n">
        <v>0</v>
      </c>
      <c r="P187" t="n">
        <v>0</v>
      </c>
      <c r="Q187" t="n">
        <v>0</v>
      </c>
      <c r="R187" s="2" t="inlineStr"/>
    </row>
    <row r="188" ht="15" customHeight="1">
      <c r="A188" t="inlineStr">
        <is>
          <t>A 23615-2024</t>
        </is>
      </c>
      <c r="B188" s="1" t="n">
        <v>45454.43050925926</v>
      </c>
      <c r="C188" s="1" t="n">
        <v>46003</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43221-2024</t>
        </is>
      </c>
      <c r="B189" s="1" t="n">
        <v>45567.86695601852</v>
      </c>
      <c r="C189" s="1" t="n">
        <v>46003</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46003</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54917-2024</t>
        </is>
      </c>
      <c r="B191" s="1" t="n">
        <v>45618.69581018519</v>
      </c>
      <c r="C191" s="1" t="n">
        <v>46003</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19700-2025</t>
        </is>
      </c>
      <c r="B192" s="1" t="n">
        <v>45771.32445601852</v>
      </c>
      <c r="C192" s="1" t="n">
        <v>46003</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23323-2023</t>
        </is>
      </c>
      <c r="B193" s="1" t="n">
        <v>45076</v>
      </c>
      <c r="C193" s="1" t="n">
        <v>46003</v>
      </c>
      <c r="D193" t="inlineStr">
        <is>
          <t>DALARNAS LÄN</t>
        </is>
      </c>
      <c r="E193" t="inlineStr">
        <is>
          <t>LEKSAND</t>
        </is>
      </c>
      <c r="G193" t="n">
        <v>1</v>
      </c>
      <c r="H193" t="n">
        <v>0</v>
      </c>
      <c r="I193" t="n">
        <v>0</v>
      </c>
      <c r="J193" t="n">
        <v>0</v>
      </c>
      <c r="K193" t="n">
        <v>0</v>
      </c>
      <c r="L193" t="n">
        <v>0</v>
      </c>
      <c r="M193" t="n">
        <v>0</v>
      </c>
      <c r="N193" t="n">
        <v>0</v>
      </c>
      <c r="O193" t="n">
        <v>0</v>
      </c>
      <c r="P193" t="n">
        <v>0</v>
      </c>
      <c r="Q193" t="n">
        <v>0</v>
      </c>
      <c r="R193" s="2" t="inlineStr"/>
    </row>
    <row r="194" ht="15" customHeight="1">
      <c r="A194" t="inlineStr">
        <is>
          <t>A 10299-2024</t>
        </is>
      </c>
      <c r="B194" s="1" t="n">
        <v>45365.50425925926</v>
      </c>
      <c r="C194" s="1" t="n">
        <v>46003</v>
      </c>
      <c r="D194" t="inlineStr">
        <is>
          <t>DALARNAS LÄN</t>
        </is>
      </c>
      <c r="E194" t="inlineStr">
        <is>
          <t>LEKSAND</t>
        </is>
      </c>
      <c r="G194" t="n">
        <v>3.6</v>
      </c>
      <c r="H194" t="n">
        <v>0</v>
      </c>
      <c r="I194" t="n">
        <v>0</v>
      </c>
      <c r="J194" t="n">
        <v>0</v>
      </c>
      <c r="K194" t="n">
        <v>0</v>
      </c>
      <c r="L194" t="n">
        <v>0</v>
      </c>
      <c r="M194" t="n">
        <v>0</v>
      </c>
      <c r="N194" t="n">
        <v>0</v>
      </c>
      <c r="O194" t="n">
        <v>0</v>
      </c>
      <c r="P194" t="n">
        <v>0</v>
      </c>
      <c r="Q194" t="n">
        <v>0</v>
      </c>
      <c r="R194" s="2" t="inlineStr"/>
    </row>
    <row r="195" ht="15" customHeight="1">
      <c r="A195" t="inlineStr">
        <is>
          <t>A 55643-2024</t>
        </is>
      </c>
      <c r="B195" s="1" t="n">
        <v>45621</v>
      </c>
      <c r="C195" s="1" t="n">
        <v>46003</v>
      </c>
      <c r="D195" t="inlineStr">
        <is>
          <t>DALARNAS LÄN</t>
        </is>
      </c>
      <c r="E195" t="inlineStr">
        <is>
          <t>LEKSAND</t>
        </is>
      </c>
      <c r="G195" t="n">
        <v>1.7</v>
      </c>
      <c r="H195" t="n">
        <v>0</v>
      </c>
      <c r="I195" t="n">
        <v>0</v>
      </c>
      <c r="J195" t="n">
        <v>0</v>
      </c>
      <c r="K195" t="n">
        <v>0</v>
      </c>
      <c r="L195" t="n">
        <v>0</v>
      </c>
      <c r="M195" t="n">
        <v>0</v>
      </c>
      <c r="N195" t="n">
        <v>0</v>
      </c>
      <c r="O195" t="n">
        <v>0</v>
      </c>
      <c r="P195" t="n">
        <v>0</v>
      </c>
      <c r="Q195" t="n">
        <v>0</v>
      </c>
      <c r="R195" s="2" t="inlineStr"/>
    </row>
    <row r="196" ht="15" customHeight="1">
      <c r="A196" t="inlineStr">
        <is>
          <t>A 5738-2023</t>
        </is>
      </c>
      <c r="B196" s="1" t="n">
        <v>44962</v>
      </c>
      <c r="C196" s="1" t="n">
        <v>46003</v>
      </c>
      <c r="D196" t="inlineStr">
        <is>
          <t>DALARNAS LÄN</t>
        </is>
      </c>
      <c r="E196" t="inlineStr">
        <is>
          <t>LEKSAND</t>
        </is>
      </c>
      <c r="G196" t="n">
        <v>0.2</v>
      </c>
      <c r="H196" t="n">
        <v>0</v>
      </c>
      <c r="I196" t="n">
        <v>0</v>
      </c>
      <c r="J196" t="n">
        <v>0</v>
      </c>
      <c r="K196" t="n">
        <v>0</v>
      </c>
      <c r="L196" t="n">
        <v>0</v>
      </c>
      <c r="M196" t="n">
        <v>0</v>
      </c>
      <c r="N196" t="n">
        <v>0</v>
      </c>
      <c r="O196" t="n">
        <v>0</v>
      </c>
      <c r="P196" t="n">
        <v>0</v>
      </c>
      <c r="Q196" t="n">
        <v>0</v>
      </c>
      <c r="R196" s="2" t="inlineStr"/>
    </row>
    <row r="197" ht="15" customHeight="1">
      <c r="A197" t="inlineStr">
        <is>
          <t>A 5570-2024</t>
        </is>
      </c>
      <c r="B197" s="1" t="n">
        <v>45334</v>
      </c>
      <c r="C197" s="1" t="n">
        <v>46003</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43693-2022</t>
        </is>
      </c>
      <c r="B198" s="1" t="n">
        <v>44837.6369212963</v>
      </c>
      <c r="C198" s="1" t="n">
        <v>46003</v>
      </c>
      <c r="D198" t="inlineStr">
        <is>
          <t>DALARNAS LÄN</t>
        </is>
      </c>
      <c r="E198" t="inlineStr">
        <is>
          <t>LEKSAND</t>
        </is>
      </c>
      <c r="G198" t="n">
        <v>2.7</v>
      </c>
      <c r="H198" t="n">
        <v>0</v>
      </c>
      <c r="I198" t="n">
        <v>0</v>
      </c>
      <c r="J198" t="n">
        <v>0</v>
      </c>
      <c r="K198" t="n">
        <v>0</v>
      </c>
      <c r="L198" t="n">
        <v>0</v>
      </c>
      <c r="M198" t="n">
        <v>0</v>
      </c>
      <c r="N198" t="n">
        <v>0</v>
      </c>
      <c r="O198" t="n">
        <v>0</v>
      </c>
      <c r="P198" t="n">
        <v>0</v>
      </c>
      <c r="Q198" t="n">
        <v>0</v>
      </c>
      <c r="R198" s="2" t="inlineStr"/>
    </row>
    <row r="199" ht="15" customHeight="1">
      <c r="A199" t="inlineStr">
        <is>
          <t>A 43735-2022</t>
        </is>
      </c>
      <c r="B199" s="1" t="n">
        <v>44837.70210648148</v>
      </c>
      <c r="C199" s="1" t="n">
        <v>46003</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8045-2024</t>
        </is>
      </c>
      <c r="B200" s="1" t="n">
        <v>45351.31371527778</v>
      </c>
      <c r="C200" s="1" t="n">
        <v>46003</v>
      </c>
      <c r="D200" t="inlineStr">
        <is>
          <t>DALARNAS LÄN</t>
        </is>
      </c>
      <c r="E200" t="inlineStr">
        <is>
          <t>LEKSAND</t>
        </is>
      </c>
      <c r="G200" t="n">
        <v>6.7</v>
      </c>
      <c r="H200" t="n">
        <v>0</v>
      </c>
      <c r="I200" t="n">
        <v>0</v>
      </c>
      <c r="J200" t="n">
        <v>0</v>
      </c>
      <c r="K200" t="n">
        <v>0</v>
      </c>
      <c r="L200" t="n">
        <v>0</v>
      </c>
      <c r="M200" t="n">
        <v>0</v>
      </c>
      <c r="N200" t="n">
        <v>0</v>
      </c>
      <c r="O200" t="n">
        <v>0</v>
      </c>
      <c r="P200" t="n">
        <v>0</v>
      </c>
      <c r="Q200" t="n">
        <v>0</v>
      </c>
      <c r="R200" s="2" t="inlineStr"/>
    </row>
    <row r="201" ht="15" customHeight="1">
      <c r="A201" t="inlineStr">
        <is>
          <t>A 17726-2024</t>
        </is>
      </c>
      <c r="B201" s="1" t="n">
        <v>45418.55609953704</v>
      </c>
      <c r="C201" s="1" t="n">
        <v>46003</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60129-2023</t>
        </is>
      </c>
      <c r="B202" s="1" t="n">
        <v>45258.49056712963</v>
      </c>
      <c r="C202" s="1" t="n">
        <v>46003</v>
      </c>
      <c r="D202" t="inlineStr">
        <is>
          <t>DALARNAS LÄN</t>
        </is>
      </c>
      <c r="E202" t="inlineStr">
        <is>
          <t>LEKSAND</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16137-2023</t>
        </is>
      </c>
      <c r="B203" s="1" t="n">
        <v>45027</v>
      </c>
      <c r="C203" s="1" t="n">
        <v>46003</v>
      </c>
      <c r="D203" t="inlineStr">
        <is>
          <t>DALARNAS LÄN</t>
        </is>
      </c>
      <c r="E203" t="inlineStr">
        <is>
          <t>LEKSAND</t>
        </is>
      </c>
      <c r="G203" t="n">
        <v>1.6</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46003</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776-2021</t>
        </is>
      </c>
      <c r="B205" s="1" t="n">
        <v>44203</v>
      </c>
      <c r="C205" s="1" t="n">
        <v>46003</v>
      </c>
      <c r="D205" t="inlineStr">
        <is>
          <t>DALARNAS LÄN</t>
        </is>
      </c>
      <c r="E205" t="inlineStr">
        <is>
          <t>LEKSAND</t>
        </is>
      </c>
      <c r="G205" t="n">
        <v>21</v>
      </c>
      <c r="H205" t="n">
        <v>0</v>
      </c>
      <c r="I205" t="n">
        <v>0</v>
      </c>
      <c r="J205" t="n">
        <v>0</v>
      </c>
      <c r="K205" t="n">
        <v>0</v>
      </c>
      <c r="L205" t="n">
        <v>0</v>
      </c>
      <c r="M205" t="n">
        <v>0</v>
      </c>
      <c r="N205" t="n">
        <v>0</v>
      </c>
      <c r="O205" t="n">
        <v>0</v>
      </c>
      <c r="P205" t="n">
        <v>0</v>
      </c>
      <c r="Q205" t="n">
        <v>0</v>
      </c>
      <c r="R205" s="2" t="inlineStr"/>
    </row>
    <row r="206" ht="15" customHeight="1">
      <c r="A206" t="inlineStr">
        <is>
          <t>A 56283-2024</t>
        </is>
      </c>
      <c r="B206" s="1" t="n">
        <v>45624.67864583333</v>
      </c>
      <c r="C206" s="1" t="n">
        <v>46003</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56299-2024</t>
        </is>
      </c>
      <c r="B207" s="1" t="n">
        <v>45624.68607638889</v>
      </c>
      <c r="C207" s="1" t="n">
        <v>46003</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57013-2023</t>
        </is>
      </c>
      <c r="B208" s="1" t="n">
        <v>45244</v>
      </c>
      <c r="C208" s="1" t="n">
        <v>46003</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60692-2023</t>
        </is>
      </c>
      <c r="B209" s="1" t="n">
        <v>45260.50008101852</v>
      </c>
      <c r="C209" s="1" t="n">
        <v>46003</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21839-2022</t>
        </is>
      </c>
      <c r="B210" s="1" t="n">
        <v>44711</v>
      </c>
      <c r="C210" s="1" t="n">
        <v>46003</v>
      </c>
      <c r="D210" t="inlineStr">
        <is>
          <t>DALARNAS LÄN</t>
        </is>
      </c>
      <c r="E210" t="inlineStr">
        <is>
          <t>LEKSAND</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43077-2024</t>
        </is>
      </c>
      <c r="B211" s="1" t="n">
        <v>45567.50030092592</v>
      </c>
      <c r="C211" s="1" t="n">
        <v>46003</v>
      </c>
      <c r="D211" t="inlineStr">
        <is>
          <t>DALARNAS LÄN</t>
        </is>
      </c>
      <c r="E211" t="inlineStr">
        <is>
          <t>LEKSAND</t>
        </is>
      </c>
      <c r="G211" t="n">
        <v>1.6</v>
      </c>
      <c r="H211" t="n">
        <v>0</v>
      </c>
      <c r="I211" t="n">
        <v>0</v>
      </c>
      <c r="J211" t="n">
        <v>0</v>
      </c>
      <c r="K211" t="n">
        <v>0</v>
      </c>
      <c r="L211" t="n">
        <v>0</v>
      </c>
      <c r="M211" t="n">
        <v>0</v>
      </c>
      <c r="N211" t="n">
        <v>0</v>
      </c>
      <c r="O211" t="n">
        <v>0</v>
      </c>
      <c r="P211" t="n">
        <v>0</v>
      </c>
      <c r="Q211" t="n">
        <v>0</v>
      </c>
      <c r="R211" s="2" t="inlineStr"/>
    </row>
    <row r="212" ht="15" customHeight="1">
      <c r="A212" t="inlineStr">
        <is>
          <t>A 22388-2024</t>
        </is>
      </c>
      <c r="B212" s="1" t="n">
        <v>45446</v>
      </c>
      <c r="C212" s="1" t="n">
        <v>46003</v>
      </c>
      <c r="D212" t="inlineStr">
        <is>
          <t>DALARNAS LÄN</t>
        </is>
      </c>
      <c r="E212" t="inlineStr">
        <is>
          <t>LEKSAND</t>
        </is>
      </c>
      <c r="F212" t="inlineStr">
        <is>
          <t>Bergvik skog väst AB</t>
        </is>
      </c>
      <c r="G212" t="n">
        <v>5.3</v>
      </c>
      <c r="H212" t="n">
        <v>0</v>
      </c>
      <c r="I212" t="n">
        <v>0</v>
      </c>
      <c r="J212" t="n">
        <v>0</v>
      </c>
      <c r="K212" t="n">
        <v>0</v>
      </c>
      <c r="L212" t="n">
        <v>0</v>
      </c>
      <c r="M212" t="n">
        <v>0</v>
      </c>
      <c r="N212" t="n">
        <v>0</v>
      </c>
      <c r="O212" t="n">
        <v>0</v>
      </c>
      <c r="P212" t="n">
        <v>0</v>
      </c>
      <c r="Q212" t="n">
        <v>0</v>
      </c>
      <c r="R212" s="2" t="inlineStr"/>
    </row>
    <row r="213" ht="15" customHeight="1">
      <c r="A213" t="inlineStr">
        <is>
          <t>A 37832-2023</t>
        </is>
      </c>
      <c r="B213" s="1" t="n">
        <v>45160.3479050926</v>
      </c>
      <c r="C213" s="1" t="n">
        <v>46003</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30204-2024</t>
        </is>
      </c>
      <c r="B214" s="1" t="n">
        <v>45490.35402777778</v>
      </c>
      <c r="C214" s="1" t="n">
        <v>46003</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19618-2024</t>
        </is>
      </c>
      <c r="B215" s="1" t="n">
        <v>45432.32896990741</v>
      </c>
      <c r="C215" s="1" t="n">
        <v>46003</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23283-2024</t>
        </is>
      </c>
      <c r="B216" s="1" t="n">
        <v>45453</v>
      </c>
      <c r="C216" s="1" t="n">
        <v>46003</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18040-2024</t>
        </is>
      </c>
      <c r="B217" s="1" t="n">
        <v>45420.36664351852</v>
      </c>
      <c r="C217" s="1" t="n">
        <v>46003</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46003</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32688-2024</t>
        </is>
      </c>
      <c r="B219" s="1" t="n">
        <v>45515.83091435185</v>
      </c>
      <c r="C219" s="1" t="n">
        <v>46003</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24005-2024</t>
        </is>
      </c>
      <c r="B220" s="1" t="n">
        <v>45456.39239583333</v>
      </c>
      <c r="C220" s="1" t="n">
        <v>46003</v>
      </c>
      <c r="D220" t="inlineStr">
        <is>
          <t>DALARNAS LÄN</t>
        </is>
      </c>
      <c r="E220" t="inlineStr">
        <is>
          <t>LEKSAND</t>
        </is>
      </c>
      <c r="F220" t="inlineStr">
        <is>
          <t>Bergvik skog väst AB</t>
        </is>
      </c>
      <c r="G220" t="n">
        <v>3</v>
      </c>
      <c r="H220" t="n">
        <v>0</v>
      </c>
      <c r="I220" t="n">
        <v>0</v>
      </c>
      <c r="J220" t="n">
        <v>0</v>
      </c>
      <c r="K220" t="n">
        <v>0</v>
      </c>
      <c r="L220" t="n">
        <v>0</v>
      </c>
      <c r="M220" t="n">
        <v>0</v>
      </c>
      <c r="N220" t="n">
        <v>0</v>
      </c>
      <c r="O220" t="n">
        <v>0</v>
      </c>
      <c r="P220" t="n">
        <v>0</v>
      </c>
      <c r="Q220" t="n">
        <v>0</v>
      </c>
      <c r="R220" s="2" t="inlineStr"/>
    </row>
    <row r="221" ht="15" customHeight="1">
      <c r="A221" t="inlineStr">
        <is>
          <t>A 1984-2025</t>
        </is>
      </c>
      <c r="B221" s="1" t="n">
        <v>45670</v>
      </c>
      <c r="C221" s="1" t="n">
        <v>46003</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6778-2025</t>
        </is>
      </c>
      <c r="B222" s="1" t="n">
        <v>45700.64615740741</v>
      </c>
      <c r="C222" s="1" t="n">
        <v>46003</v>
      </c>
      <c r="D222" t="inlineStr">
        <is>
          <t>DALARNAS LÄN</t>
        </is>
      </c>
      <c r="E222" t="inlineStr">
        <is>
          <t>LEKSAND</t>
        </is>
      </c>
      <c r="G222" t="n">
        <v>2.4</v>
      </c>
      <c r="H222" t="n">
        <v>0</v>
      </c>
      <c r="I222" t="n">
        <v>0</v>
      </c>
      <c r="J222" t="n">
        <v>0</v>
      </c>
      <c r="K222" t="n">
        <v>0</v>
      </c>
      <c r="L222" t="n">
        <v>0</v>
      </c>
      <c r="M222" t="n">
        <v>0</v>
      </c>
      <c r="N222" t="n">
        <v>0</v>
      </c>
      <c r="O222" t="n">
        <v>0</v>
      </c>
      <c r="P222" t="n">
        <v>0</v>
      </c>
      <c r="Q222" t="n">
        <v>0</v>
      </c>
      <c r="R222" s="2" t="inlineStr"/>
    </row>
    <row r="223" ht="15" customHeight="1">
      <c r="A223" t="inlineStr">
        <is>
          <t>A 59199-2024</t>
        </is>
      </c>
      <c r="B223" s="1" t="n">
        <v>45637</v>
      </c>
      <c r="C223" s="1" t="n">
        <v>46003</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4121-2024</t>
        </is>
      </c>
      <c r="B224" s="1" t="n">
        <v>45323</v>
      </c>
      <c r="C224" s="1" t="n">
        <v>46003</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72575-2021</t>
        </is>
      </c>
      <c r="B225" s="1" t="n">
        <v>44546</v>
      </c>
      <c r="C225" s="1" t="n">
        <v>46003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72581-2021</t>
        </is>
      </c>
      <c r="B226" s="1" t="n">
        <v>44546.46354166666</v>
      </c>
      <c r="C226" s="1" t="n">
        <v>46003</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33310-2023</t>
        </is>
      </c>
      <c r="B227" s="1" t="n">
        <v>45127.82231481482</v>
      </c>
      <c r="C227" s="1" t="n">
        <v>46003</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57899-2024</t>
        </is>
      </c>
      <c r="B228" s="1" t="n">
        <v>45630</v>
      </c>
      <c r="C228" s="1" t="n">
        <v>46003</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11110-2023</t>
        </is>
      </c>
      <c r="B229" s="1" t="n">
        <v>44992</v>
      </c>
      <c r="C229" s="1" t="n">
        <v>46003</v>
      </c>
      <c r="D229" t="inlineStr">
        <is>
          <t>DALARNAS LÄN</t>
        </is>
      </c>
      <c r="E229" t="inlineStr">
        <is>
          <t>LEKSAND</t>
        </is>
      </c>
      <c r="G229" t="n">
        <v>11.2</v>
      </c>
      <c r="H229" t="n">
        <v>0</v>
      </c>
      <c r="I229" t="n">
        <v>0</v>
      </c>
      <c r="J229" t="n">
        <v>0</v>
      </c>
      <c r="K229" t="n">
        <v>0</v>
      </c>
      <c r="L229" t="n">
        <v>0</v>
      </c>
      <c r="M229" t="n">
        <v>0</v>
      </c>
      <c r="N229" t="n">
        <v>0</v>
      </c>
      <c r="O229" t="n">
        <v>0</v>
      </c>
      <c r="P229" t="n">
        <v>0</v>
      </c>
      <c r="Q229" t="n">
        <v>0</v>
      </c>
      <c r="R229" s="2" t="inlineStr"/>
    </row>
    <row r="230" ht="15" customHeight="1">
      <c r="A230" t="inlineStr">
        <is>
          <t>A 56753-2023</t>
        </is>
      </c>
      <c r="B230" s="1" t="n">
        <v>45244.37094907407</v>
      </c>
      <c r="C230" s="1" t="n">
        <v>46003</v>
      </c>
      <c r="D230" t="inlineStr">
        <is>
          <t>DALARNAS LÄN</t>
        </is>
      </c>
      <c r="E230" t="inlineStr">
        <is>
          <t>LEKSAND</t>
        </is>
      </c>
      <c r="G230" t="n">
        <v>0.5</v>
      </c>
      <c r="H230" t="n">
        <v>0</v>
      </c>
      <c r="I230" t="n">
        <v>0</v>
      </c>
      <c r="J230" t="n">
        <v>0</v>
      </c>
      <c r="K230" t="n">
        <v>0</v>
      </c>
      <c r="L230" t="n">
        <v>0</v>
      </c>
      <c r="M230" t="n">
        <v>0</v>
      </c>
      <c r="N230" t="n">
        <v>0</v>
      </c>
      <c r="O230" t="n">
        <v>0</v>
      </c>
      <c r="P230" t="n">
        <v>0</v>
      </c>
      <c r="Q230" t="n">
        <v>0</v>
      </c>
      <c r="R230" s="2" t="inlineStr"/>
    </row>
    <row r="231" ht="15" customHeight="1">
      <c r="A231" t="inlineStr">
        <is>
          <t>A 43419-2024</t>
        </is>
      </c>
      <c r="B231" s="1" t="n">
        <v>45568</v>
      </c>
      <c r="C231" s="1" t="n">
        <v>46003</v>
      </c>
      <c r="D231" t="inlineStr">
        <is>
          <t>DALARNAS LÄN</t>
        </is>
      </c>
      <c r="E231" t="inlineStr">
        <is>
          <t>LEKSAND</t>
        </is>
      </c>
      <c r="G231" t="n">
        <v>0.4</v>
      </c>
      <c r="H231" t="n">
        <v>0</v>
      </c>
      <c r="I231" t="n">
        <v>0</v>
      </c>
      <c r="J231" t="n">
        <v>0</v>
      </c>
      <c r="K231" t="n">
        <v>0</v>
      </c>
      <c r="L231" t="n">
        <v>0</v>
      </c>
      <c r="M231" t="n">
        <v>0</v>
      </c>
      <c r="N231" t="n">
        <v>0</v>
      </c>
      <c r="O231" t="n">
        <v>0</v>
      </c>
      <c r="P231" t="n">
        <v>0</v>
      </c>
      <c r="Q231" t="n">
        <v>0</v>
      </c>
      <c r="R231" s="2" t="inlineStr"/>
    </row>
    <row r="232" ht="15" customHeight="1">
      <c r="A232" t="inlineStr">
        <is>
          <t>A 61614-2023</t>
        </is>
      </c>
      <c r="B232" s="1" t="n">
        <v>45261</v>
      </c>
      <c r="C232" s="1" t="n">
        <v>46003</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26062-2024</t>
        </is>
      </c>
      <c r="B233" s="1" t="n">
        <v>45468.3509375</v>
      </c>
      <c r="C233" s="1" t="n">
        <v>46003</v>
      </c>
      <c r="D233" t="inlineStr">
        <is>
          <t>DALARNAS LÄN</t>
        </is>
      </c>
      <c r="E233" t="inlineStr">
        <is>
          <t>LEKSAND</t>
        </is>
      </c>
      <c r="F233" t="inlineStr">
        <is>
          <t>Övriga statliga verk och myndigheter</t>
        </is>
      </c>
      <c r="G233" t="n">
        <v>6.4</v>
      </c>
      <c r="H233" t="n">
        <v>0</v>
      </c>
      <c r="I233" t="n">
        <v>0</v>
      </c>
      <c r="J233" t="n">
        <v>0</v>
      </c>
      <c r="K233" t="n">
        <v>0</v>
      </c>
      <c r="L233" t="n">
        <v>0</v>
      </c>
      <c r="M233" t="n">
        <v>0</v>
      </c>
      <c r="N233" t="n">
        <v>0</v>
      </c>
      <c r="O233" t="n">
        <v>0</v>
      </c>
      <c r="P233" t="n">
        <v>0</v>
      </c>
      <c r="Q233" t="n">
        <v>0</v>
      </c>
      <c r="R233" s="2" t="inlineStr"/>
    </row>
    <row r="234" ht="15" customHeight="1">
      <c r="A234" t="inlineStr">
        <is>
          <t>A 39595-2023</t>
        </is>
      </c>
      <c r="B234" s="1" t="n">
        <v>45167</v>
      </c>
      <c r="C234" s="1" t="n">
        <v>46003</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34585-2024</t>
        </is>
      </c>
      <c r="B235" s="1" t="n">
        <v>45526.37697916666</v>
      </c>
      <c r="C235" s="1" t="n">
        <v>46003</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57933-2024</t>
        </is>
      </c>
      <c r="B236" s="1" t="n">
        <v>45630</v>
      </c>
      <c r="C236" s="1" t="n">
        <v>46003</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24481-2024</t>
        </is>
      </c>
      <c r="B237" s="1" t="n">
        <v>45459.36460648148</v>
      </c>
      <c r="C237" s="1" t="n">
        <v>46003</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11403-2023</t>
        </is>
      </c>
      <c r="B238" s="1" t="n">
        <v>44993</v>
      </c>
      <c r="C238" s="1" t="n">
        <v>46003</v>
      </c>
      <c r="D238" t="inlineStr">
        <is>
          <t>DALARNAS LÄN</t>
        </is>
      </c>
      <c r="E238" t="inlineStr">
        <is>
          <t>LEKSAND</t>
        </is>
      </c>
      <c r="G238" t="n">
        <v>0.1</v>
      </c>
      <c r="H238" t="n">
        <v>0</v>
      </c>
      <c r="I238" t="n">
        <v>0</v>
      </c>
      <c r="J238" t="n">
        <v>0</v>
      </c>
      <c r="K238" t="n">
        <v>0</v>
      </c>
      <c r="L238" t="n">
        <v>0</v>
      </c>
      <c r="M238" t="n">
        <v>0</v>
      </c>
      <c r="N238" t="n">
        <v>0</v>
      </c>
      <c r="O238" t="n">
        <v>0</v>
      </c>
      <c r="P238" t="n">
        <v>0</v>
      </c>
      <c r="Q238" t="n">
        <v>0</v>
      </c>
      <c r="R238" s="2" t="inlineStr"/>
    </row>
    <row r="239" ht="15" customHeight="1">
      <c r="A239" t="inlineStr">
        <is>
          <t>A 17606-2024</t>
        </is>
      </c>
      <c r="B239" s="1" t="n">
        <v>45415</v>
      </c>
      <c r="C239" s="1" t="n">
        <v>46003</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63514-2023</t>
        </is>
      </c>
      <c r="B240" s="1" t="n">
        <v>45274</v>
      </c>
      <c r="C240" s="1" t="n">
        <v>46003</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22683-2022</t>
        </is>
      </c>
      <c r="B241" s="1" t="n">
        <v>44714</v>
      </c>
      <c r="C241" s="1" t="n">
        <v>46003</v>
      </c>
      <c r="D241" t="inlineStr">
        <is>
          <t>DALARNAS LÄN</t>
        </is>
      </c>
      <c r="E241" t="inlineStr">
        <is>
          <t>LEKSAND</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52755-2024</t>
        </is>
      </c>
      <c r="B242" s="1" t="n">
        <v>45610.50217592593</v>
      </c>
      <c r="C242" s="1" t="n">
        <v>46003</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15120-2023</t>
        </is>
      </c>
      <c r="B243" s="1" t="n">
        <v>45016.46484953703</v>
      </c>
      <c r="C243" s="1" t="n">
        <v>46003</v>
      </c>
      <c r="D243" t="inlineStr">
        <is>
          <t>DALARNAS LÄN</t>
        </is>
      </c>
      <c r="E243" t="inlineStr">
        <is>
          <t>LEKSAND</t>
        </is>
      </c>
      <c r="G243" t="n">
        <v>2.7</v>
      </c>
      <c r="H243" t="n">
        <v>0</v>
      </c>
      <c r="I243" t="n">
        <v>0</v>
      </c>
      <c r="J243" t="n">
        <v>0</v>
      </c>
      <c r="K243" t="n">
        <v>0</v>
      </c>
      <c r="L243" t="n">
        <v>0</v>
      </c>
      <c r="M243" t="n">
        <v>0</v>
      </c>
      <c r="N243" t="n">
        <v>0</v>
      </c>
      <c r="O243" t="n">
        <v>0</v>
      </c>
      <c r="P243" t="n">
        <v>0</v>
      </c>
      <c r="Q243" t="n">
        <v>0</v>
      </c>
      <c r="R243" s="2" t="inlineStr"/>
    </row>
    <row r="244" ht="15" customHeight="1">
      <c r="A244" t="inlineStr">
        <is>
          <t>A 34033-2024</t>
        </is>
      </c>
      <c r="B244" s="1" t="n">
        <v>45523.59265046296</v>
      </c>
      <c r="C244" s="1" t="n">
        <v>46003</v>
      </c>
      <c r="D244" t="inlineStr">
        <is>
          <t>DALARNAS LÄN</t>
        </is>
      </c>
      <c r="E244" t="inlineStr">
        <is>
          <t>LEKSAND</t>
        </is>
      </c>
      <c r="G244" t="n">
        <v>2.6</v>
      </c>
      <c r="H244" t="n">
        <v>0</v>
      </c>
      <c r="I244" t="n">
        <v>0</v>
      </c>
      <c r="J244" t="n">
        <v>0</v>
      </c>
      <c r="K244" t="n">
        <v>0</v>
      </c>
      <c r="L244" t="n">
        <v>0</v>
      </c>
      <c r="M244" t="n">
        <v>0</v>
      </c>
      <c r="N244" t="n">
        <v>0</v>
      </c>
      <c r="O244" t="n">
        <v>0</v>
      </c>
      <c r="P244" t="n">
        <v>0</v>
      </c>
      <c r="Q244" t="n">
        <v>0</v>
      </c>
      <c r="R244" s="2" t="inlineStr"/>
    </row>
    <row r="245" ht="15" customHeight="1">
      <c r="A245" t="inlineStr">
        <is>
          <t>A 6846-2023</t>
        </is>
      </c>
      <c r="B245" s="1" t="n">
        <v>44967.43953703704</v>
      </c>
      <c r="C245" s="1" t="n">
        <v>46003</v>
      </c>
      <c r="D245" t="inlineStr">
        <is>
          <t>DALARNAS LÄN</t>
        </is>
      </c>
      <c r="E245" t="inlineStr">
        <is>
          <t>LEKSAND</t>
        </is>
      </c>
      <c r="F245" t="inlineStr">
        <is>
          <t>Bergvik skog väst AB</t>
        </is>
      </c>
      <c r="G245" t="n">
        <v>1</v>
      </c>
      <c r="H245" t="n">
        <v>0</v>
      </c>
      <c r="I245" t="n">
        <v>0</v>
      </c>
      <c r="J245" t="n">
        <v>0</v>
      </c>
      <c r="K245" t="n">
        <v>0</v>
      </c>
      <c r="L245" t="n">
        <v>0</v>
      </c>
      <c r="M245" t="n">
        <v>0</v>
      </c>
      <c r="N245" t="n">
        <v>0</v>
      </c>
      <c r="O245" t="n">
        <v>0</v>
      </c>
      <c r="P245" t="n">
        <v>0</v>
      </c>
      <c r="Q245" t="n">
        <v>0</v>
      </c>
      <c r="R245" s="2" t="inlineStr"/>
    </row>
    <row r="246" ht="15" customHeight="1">
      <c r="A246" t="inlineStr">
        <is>
          <t>A 61054-2023</t>
        </is>
      </c>
      <c r="B246" s="1" t="n">
        <v>45261</v>
      </c>
      <c r="C246" s="1" t="n">
        <v>46003</v>
      </c>
      <c r="D246" t="inlineStr">
        <is>
          <t>DALARNAS LÄN</t>
        </is>
      </c>
      <c r="E246" t="inlineStr">
        <is>
          <t>LEKSAND</t>
        </is>
      </c>
      <c r="G246" t="n">
        <v>0.4</v>
      </c>
      <c r="H246" t="n">
        <v>0</v>
      </c>
      <c r="I246" t="n">
        <v>0</v>
      </c>
      <c r="J246" t="n">
        <v>0</v>
      </c>
      <c r="K246" t="n">
        <v>0</v>
      </c>
      <c r="L246" t="n">
        <v>0</v>
      </c>
      <c r="M246" t="n">
        <v>0</v>
      </c>
      <c r="N246" t="n">
        <v>0</v>
      </c>
      <c r="O246" t="n">
        <v>0</v>
      </c>
      <c r="P246" t="n">
        <v>0</v>
      </c>
      <c r="Q246" t="n">
        <v>0</v>
      </c>
      <c r="R246" s="2" t="inlineStr"/>
    </row>
    <row r="247" ht="15" customHeight="1">
      <c r="A247" t="inlineStr">
        <is>
          <t>A 61056-2023</t>
        </is>
      </c>
      <c r="B247" s="1" t="n">
        <v>45261</v>
      </c>
      <c r="C247" s="1" t="n">
        <v>46003</v>
      </c>
      <c r="D247" t="inlineStr">
        <is>
          <t>DALARNAS LÄN</t>
        </is>
      </c>
      <c r="E247" t="inlineStr">
        <is>
          <t>LEKSAND</t>
        </is>
      </c>
      <c r="G247" t="n">
        <v>0.3</v>
      </c>
      <c r="H247" t="n">
        <v>0</v>
      </c>
      <c r="I247" t="n">
        <v>0</v>
      </c>
      <c r="J247" t="n">
        <v>0</v>
      </c>
      <c r="K247" t="n">
        <v>0</v>
      </c>
      <c r="L247" t="n">
        <v>0</v>
      </c>
      <c r="M247" t="n">
        <v>0</v>
      </c>
      <c r="N247" t="n">
        <v>0</v>
      </c>
      <c r="O247" t="n">
        <v>0</v>
      </c>
      <c r="P247" t="n">
        <v>0</v>
      </c>
      <c r="Q247" t="n">
        <v>0</v>
      </c>
      <c r="R247" s="2" t="inlineStr"/>
    </row>
    <row r="248" ht="15" customHeight="1">
      <c r="A248" t="inlineStr">
        <is>
          <t>A 17413-2023</t>
        </is>
      </c>
      <c r="B248" s="1" t="n">
        <v>45035</v>
      </c>
      <c r="C248" s="1" t="n">
        <v>46003</v>
      </c>
      <c r="D248" t="inlineStr">
        <is>
          <t>DALARNAS LÄN</t>
        </is>
      </c>
      <c r="E248" t="inlineStr">
        <is>
          <t>LEKSAND</t>
        </is>
      </c>
      <c r="G248" t="n">
        <v>1.7</v>
      </c>
      <c r="H248" t="n">
        <v>0</v>
      </c>
      <c r="I248" t="n">
        <v>0</v>
      </c>
      <c r="J248" t="n">
        <v>0</v>
      </c>
      <c r="K248" t="n">
        <v>0</v>
      </c>
      <c r="L248" t="n">
        <v>0</v>
      </c>
      <c r="M248" t="n">
        <v>0</v>
      </c>
      <c r="N248" t="n">
        <v>0</v>
      </c>
      <c r="O248" t="n">
        <v>0</v>
      </c>
      <c r="P248" t="n">
        <v>0</v>
      </c>
      <c r="Q248" t="n">
        <v>0</v>
      </c>
      <c r="R248" s="2" t="inlineStr"/>
    </row>
    <row r="249" ht="15" customHeight="1">
      <c r="A249" t="inlineStr">
        <is>
          <t>A 7928-2023</t>
        </is>
      </c>
      <c r="B249" s="1" t="n">
        <v>44973</v>
      </c>
      <c r="C249" s="1" t="n">
        <v>46003</v>
      </c>
      <c r="D249" t="inlineStr">
        <is>
          <t>DALARNAS LÄN</t>
        </is>
      </c>
      <c r="E249" t="inlineStr">
        <is>
          <t>LEKSAND</t>
        </is>
      </c>
      <c r="G249" t="n">
        <v>1.9</v>
      </c>
      <c r="H249" t="n">
        <v>0</v>
      </c>
      <c r="I249" t="n">
        <v>0</v>
      </c>
      <c r="J249" t="n">
        <v>0</v>
      </c>
      <c r="K249" t="n">
        <v>0</v>
      </c>
      <c r="L249" t="n">
        <v>0</v>
      </c>
      <c r="M249" t="n">
        <v>0</v>
      </c>
      <c r="N249" t="n">
        <v>0</v>
      </c>
      <c r="O249" t="n">
        <v>0</v>
      </c>
      <c r="P249" t="n">
        <v>0</v>
      </c>
      <c r="Q249" t="n">
        <v>0</v>
      </c>
      <c r="R249" s="2" t="inlineStr"/>
    </row>
    <row r="250" ht="15" customHeight="1">
      <c r="A250" t="inlineStr">
        <is>
          <t>A 30860-2024</t>
        </is>
      </c>
      <c r="B250" s="1" t="n">
        <v>45497.69108796296</v>
      </c>
      <c r="C250" s="1" t="n">
        <v>46003</v>
      </c>
      <c r="D250" t="inlineStr">
        <is>
          <t>DALARNAS LÄN</t>
        </is>
      </c>
      <c r="E250" t="inlineStr">
        <is>
          <t>LEKSAND</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30864-2024</t>
        </is>
      </c>
      <c r="B251" s="1" t="n">
        <v>45497.71550925926</v>
      </c>
      <c r="C251" s="1" t="n">
        <v>46003</v>
      </c>
      <c r="D251" t="inlineStr">
        <is>
          <t>DALARNAS LÄN</t>
        </is>
      </c>
      <c r="E251" t="inlineStr">
        <is>
          <t>LEKSAND</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7894-2025</t>
        </is>
      </c>
      <c r="B252" s="1" t="n">
        <v>45707.30268518518</v>
      </c>
      <c r="C252" s="1" t="n">
        <v>46003</v>
      </c>
      <c r="D252" t="inlineStr">
        <is>
          <t>DALARNAS LÄN</t>
        </is>
      </c>
      <c r="E252" t="inlineStr">
        <is>
          <t>LEKSAND</t>
        </is>
      </c>
      <c r="G252" t="n">
        <v>1.6</v>
      </c>
      <c r="H252" t="n">
        <v>0</v>
      </c>
      <c r="I252" t="n">
        <v>0</v>
      </c>
      <c r="J252" t="n">
        <v>0</v>
      </c>
      <c r="K252" t="n">
        <v>0</v>
      </c>
      <c r="L252" t="n">
        <v>0</v>
      </c>
      <c r="M252" t="n">
        <v>0</v>
      </c>
      <c r="N252" t="n">
        <v>0</v>
      </c>
      <c r="O252" t="n">
        <v>0</v>
      </c>
      <c r="P252" t="n">
        <v>0</v>
      </c>
      <c r="Q252" t="n">
        <v>0</v>
      </c>
      <c r="R252" s="2" t="inlineStr"/>
    </row>
    <row r="253" ht="15" customHeight="1">
      <c r="A253" t="inlineStr">
        <is>
          <t>A 6030-2025</t>
        </is>
      </c>
      <c r="B253" s="1" t="n">
        <v>45695</v>
      </c>
      <c r="C253" s="1" t="n">
        <v>46003</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58877-2023</t>
        </is>
      </c>
      <c r="B254" s="1" t="n">
        <v>45252</v>
      </c>
      <c r="C254" s="1" t="n">
        <v>46003</v>
      </c>
      <c r="D254" t="inlineStr">
        <is>
          <t>DALARNAS LÄN</t>
        </is>
      </c>
      <c r="E254" t="inlineStr">
        <is>
          <t>LEKSAND</t>
        </is>
      </c>
      <c r="G254" t="n">
        <v>1.9</v>
      </c>
      <c r="H254" t="n">
        <v>0</v>
      </c>
      <c r="I254" t="n">
        <v>0</v>
      </c>
      <c r="J254" t="n">
        <v>0</v>
      </c>
      <c r="K254" t="n">
        <v>0</v>
      </c>
      <c r="L254" t="n">
        <v>0</v>
      </c>
      <c r="M254" t="n">
        <v>0</v>
      </c>
      <c r="N254" t="n">
        <v>0</v>
      </c>
      <c r="O254" t="n">
        <v>0</v>
      </c>
      <c r="P254" t="n">
        <v>0</v>
      </c>
      <c r="Q254" t="n">
        <v>0</v>
      </c>
      <c r="R254" s="2" t="inlineStr"/>
    </row>
    <row r="255" ht="15" customHeight="1">
      <c r="A255" t="inlineStr">
        <is>
          <t>A 17455-2022</t>
        </is>
      </c>
      <c r="B255" s="1" t="n">
        <v>44679.3775</v>
      </c>
      <c r="C255" s="1" t="n">
        <v>46003</v>
      </c>
      <c r="D255" t="inlineStr">
        <is>
          <t>DALARNAS LÄN</t>
        </is>
      </c>
      <c r="E255" t="inlineStr">
        <is>
          <t>LEKSAND</t>
        </is>
      </c>
      <c r="F255" t="inlineStr">
        <is>
          <t>Bergvik skog väst AB</t>
        </is>
      </c>
      <c r="G255" t="n">
        <v>1.8</v>
      </c>
      <c r="H255" t="n">
        <v>0</v>
      </c>
      <c r="I255" t="n">
        <v>0</v>
      </c>
      <c r="J255" t="n">
        <v>0</v>
      </c>
      <c r="K255" t="n">
        <v>0</v>
      </c>
      <c r="L255" t="n">
        <v>0</v>
      </c>
      <c r="M255" t="n">
        <v>0</v>
      </c>
      <c r="N255" t="n">
        <v>0</v>
      </c>
      <c r="O255" t="n">
        <v>0</v>
      </c>
      <c r="P255" t="n">
        <v>0</v>
      </c>
      <c r="Q255" t="n">
        <v>0</v>
      </c>
      <c r="R255" s="2" t="inlineStr"/>
    </row>
    <row r="256" ht="15" customHeight="1">
      <c r="A256" t="inlineStr">
        <is>
          <t>A 5582-2024</t>
        </is>
      </c>
      <c r="B256" s="1" t="n">
        <v>45334</v>
      </c>
      <c r="C256" s="1" t="n">
        <v>46003</v>
      </c>
      <c r="D256" t="inlineStr">
        <is>
          <t>DALARNAS LÄN</t>
        </is>
      </c>
      <c r="E256" t="inlineStr">
        <is>
          <t>LEKSAND</t>
        </is>
      </c>
      <c r="G256" t="n">
        <v>0.5</v>
      </c>
      <c r="H256" t="n">
        <v>0</v>
      </c>
      <c r="I256" t="n">
        <v>0</v>
      </c>
      <c r="J256" t="n">
        <v>0</v>
      </c>
      <c r="K256" t="n">
        <v>0</v>
      </c>
      <c r="L256" t="n">
        <v>0</v>
      </c>
      <c r="M256" t="n">
        <v>0</v>
      </c>
      <c r="N256" t="n">
        <v>0</v>
      </c>
      <c r="O256" t="n">
        <v>0</v>
      </c>
      <c r="P256" t="n">
        <v>0</v>
      </c>
      <c r="Q256" t="n">
        <v>0</v>
      </c>
      <c r="R256" s="2" t="inlineStr"/>
    </row>
    <row r="257" ht="15" customHeight="1">
      <c r="A257" t="inlineStr">
        <is>
          <t>A 5584-2024</t>
        </is>
      </c>
      <c r="B257" s="1" t="n">
        <v>45334</v>
      </c>
      <c r="C257" s="1" t="n">
        <v>46003</v>
      </c>
      <c r="D257" t="inlineStr">
        <is>
          <t>DALARNAS LÄN</t>
        </is>
      </c>
      <c r="E257" t="inlineStr">
        <is>
          <t>LEKSAND</t>
        </is>
      </c>
      <c r="F257" t="inlineStr">
        <is>
          <t>Kyrkan</t>
        </is>
      </c>
      <c r="G257" t="n">
        <v>0.4</v>
      </c>
      <c r="H257" t="n">
        <v>0</v>
      </c>
      <c r="I257" t="n">
        <v>0</v>
      </c>
      <c r="J257" t="n">
        <v>0</v>
      </c>
      <c r="K257" t="n">
        <v>0</v>
      </c>
      <c r="L257" t="n">
        <v>0</v>
      </c>
      <c r="M257" t="n">
        <v>0</v>
      </c>
      <c r="N257" t="n">
        <v>0</v>
      </c>
      <c r="O257" t="n">
        <v>0</v>
      </c>
      <c r="P257" t="n">
        <v>0</v>
      </c>
      <c r="Q257" t="n">
        <v>0</v>
      </c>
      <c r="R257" s="2" t="inlineStr"/>
    </row>
    <row r="258" ht="15" customHeight="1">
      <c r="A258" t="inlineStr">
        <is>
          <t>A 60040-2023</t>
        </is>
      </c>
      <c r="B258" s="1" t="n">
        <v>45256</v>
      </c>
      <c r="C258" s="1" t="n">
        <v>46003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33306-2023</t>
        </is>
      </c>
      <c r="B259" s="1" t="n">
        <v>45127</v>
      </c>
      <c r="C259" s="1" t="n">
        <v>46003</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33316-2023</t>
        </is>
      </c>
      <c r="B260" s="1" t="n">
        <v>45127</v>
      </c>
      <c r="C260" s="1" t="n">
        <v>46003</v>
      </c>
      <c r="D260" t="inlineStr">
        <is>
          <t>DALARNAS LÄN</t>
        </is>
      </c>
      <c r="E260" t="inlineStr">
        <is>
          <t>LEKSAND</t>
        </is>
      </c>
      <c r="G260" t="n">
        <v>8.9</v>
      </c>
      <c r="H260" t="n">
        <v>0</v>
      </c>
      <c r="I260" t="n">
        <v>0</v>
      </c>
      <c r="J260" t="n">
        <v>0</v>
      </c>
      <c r="K260" t="n">
        <v>0</v>
      </c>
      <c r="L260" t="n">
        <v>0</v>
      </c>
      <c r="M260" t="n">
        <v>0</v>
      </c>
      <c r="N260" t="n">
        <v>0</v>
      </c>
      <c r="O260" t="n">
        <v>0</v>
      </c>
      <c r="P260" t="n">
        <v>0</v>
      </c>
      <c r="Q260" t="n">
        <v>0</v>
      </c>
      <c r="R260" s="2" t="inlineStr"/>
    </row>
    <row r="261" ht="15" customHeight="1">
      <c r="A261" t="inlineStr">
        <is>
          <t>A 9138-2023</t>
        </is>
      </c>
      <c r="B261" s="1" t="n">
        <v>44974</v>
      </c>
      <c r="C261" s="1" t="n">
        <v>46003</v>
      </c>
      <c r="D261" t="inlineStr">
        <is>
          <t>DALARNAS LÄN</t>
        </is>
      </c>
      <c r="E261" t="inlineStr">
        <is>
          <t>LEKSAND</t>
        </is>
      </c>
      <c r="G261" t="n">
        <v>4.6</v>
      </c>
      <c r="H261" t="n">
        <v>0</v>
      </c>
      <c r="I261" t="n">
        <v>0</v>
      </c>
      <c r="J261" t="n">
        <v>0</v>
      </c>
      <c r="K261" t="n">
        <v>0</v>
      </c>
      <c r="L261" t="n">
        <v>0</v>
      </c>
      <c r="M261" t="n">
        <v>0</v>
      </c>
      <c r="N261" t="n">
        <v>0</v>
      </c>
      <c r="O261" t="n">
        <v>0</v>
      </c>
      <c r="P261" t="n">
        <v>0</v>
      </c>
      <c r="Q261" t="n">
        <v>0</v>
      </c>
      <c r="R261" s="2" t="inlineStr"/>
    </row>
    <row r="262" ht="15" customHeight="1">
      <c r="A262" t="inlineStr">
        <is>
          <t>A 53981-2024</t>
        </is>
      </c>
      <c r="B262" s="1" t="n">
        <v>45615</v>
      </c>
      <c r="C262" s="1" t="n">
        <v>46003</v>
      </c>
      <c r="D262" t="inlineStr">
        <is>
          <t>DALARNAS LÄN</t>
        </is>
      </c>
      <c r="E262" t="inlineStr">
        <is>
          <t>LEKSAND</t>
        </is>
      </c>
      <c r="G262" t="n">
        <v>5.4</v>
      </c>
      <c r="H262" t="n">
        <v>0</v>
      </c>
      <c r="I262" t="n">
        <v>0</v>
      </c>
      <c r="J262" t="n">
        <v>0</v>
      </c>
      <c r="K262" t="n">
        <v>0</v>
      </c>
      <c r="L262" t="n">
        <v>0</v>
      </c>
      <c r="M262" t="n">
        <v>0</v>
      </c>
      <c r="N262" t="n">
        <v>0</v>
      </c>
      <c r="O262" t="n">
        <v>0</v>
      </c>
      <c r="P262" t="n">
        <v>0</v>
      </c>
      <c r="Q262" t="n">
        <v>0</v>
      </c>
      <c r="R262" s="2" t="inlineStr"/>
    </row>
    <row r="263" ht="15" customHeight="1">
      <c r="A263" t="inlineStr">
        <is>
          <t>A 61680-2024</t>
        </is>
      </c>
      <c r="B263" s="1" t="n">
        <v>45647.42890046296</v>
      </c>
      <c r="C263" s="1" t="n">
        <v>46003</v>
      </c>
      <c r="D263" t="inlineStr">
        <is>
          <t>DALARNAS LÄN</t>
        </is>
      </c>
      <c r="E263" t="inlineStr">
        <is>
          <t>LEKSAND</t>
        </is>
      </c>
      <c r="G263" t="n">
        <v>3.6</v>
      </c>
      <c r="H263" t="n">
        <v>0</v>
      </c>
      <c r="I263" t="n">
        <v>0</v>
      </c>
      <c r="J263" t="n">
        <v>0</v>
      </c>
      <c r="K263" t="n">
        <v>0</v>
      </c>
      <c r="L263" t="n">
        <v>0</v>
      </c>
      <c r="M263" t="n">
        <v>0</v>
      </c>
      <c r="N263" t="n">
        <v>0</v>
      </c>
      <c r="O263" t="n">
        <v>0</v>
      </c>
      <c r="P263" t="n">
        <v>0</v>
      </c>
      <c r="Q263" t="n">
        <v>0</v>
      </c>
      <c r="R263" s="2" t="inlineStr"/>
    </row>
    <row r="264" ht="15" customHeight="1">
      <c r="A264" t="inlineStr">
        <is>
          <t>A 17589-2025</t>
        </is>
      </c>
      <c r="B264" s="1" t="n">
        <v>45757.67844907408</v>
      </c>
      <c r="C264" s="1" t="n">
        <v>46003</v>
      </c>
      <c r="D264" t="inlineStr">
        <is>
          <t>DALARNAS LÄN</t>
        </is>
      </c>
      <c r="E264" t="inlineStr">
        <is>
          <t>LEKSAND</t>
        </is>
      </c>
      <c r="G264" t="n">
        <v>5.8</v>
      </c>
      <c r="H264" t="n">
        <v>0</v>
      </c>
      <c r="I264" t="n">
        <v>0</v>
      </c>
      <c r="J264" t="n">
        <v>0</v>
      </c>
      <c r="K264" t="n">
        <v>0</v>
      </c>
      <c r="L264" t="n">
        <v>0</v>
      </c>
      <c r="M264" t="n">
        <v>0</v>
      </c>
      <c r="N264" t="n">
        <v>0</v>
      </c>
      <c r="O264" t="n">
        <v>0</v>
      </c>
      <c r="P264" t="n">
        <v>0</v>
      </c>
      <c r="Q264" t="n">
        <v>0</v>
      </c>
      <c r="R264" s="2" t="inlineStr"/>
    </row>
    <row r="265" ht="15" customHeight="1">
      <c r="A265" t="inlineStr">
        <is>
          <t>A 54911-2024</t>
        </is>
      </c>
      <c r="B265" s="1" t="n">
        <v>45618.68929398148</v>
      </c>
      <c r="C265" s="1" t="n">
        <v>46003</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40752-2024</t>
        </is>
      </c>
      <c r="B266" s="1" t="n">
        <v>45558.45638888889</v>
      </c>
      <c r="C266" s="1" t="n">
        <v>46003</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44714.50961805556</v>
      </c>
      <c r="C267" s="1" t="n">
        <v>46003</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11740-2025</t>
        </is>
      </c>
      <c r="B268" s="1" t="n">
        <v>45727.62582175926</v>
      </c>
      <c r="C268" s="1" t="n">
        <v>46003</v>
      </c>
      <c r="D268" t="inlineStr">
        <is>
          <t>DALARNAS LÄN</t>
        </is>
      </c>
      <c r="E268" t="inlineStr">
        <is>
          <t>LEKSAND</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30196-2023</t>
        </is>
      </c>
      <c r="B269" s="1" t="n">
        <v>45110</v>
      </c>
      <c r="C269" s="1" t="n">
        <v>46003</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16611-2024</t>
        </is>
      </c>
      <c r="B270" s="1" t="n">
        <v>45408.55504629629</v>
      </c>
      <c r="C270" s="1" t="n">
        <v>46003</v>
      </c>
      <c r="D270" t="inlineStr">
        <is>
          <t>DALARNAS LÄN</t>
        </is>
      </c>
      <c r="E270" t="inlineStr">
        <is>
          <t>LEKSAND</t>
        </is>
      </c>
      <c r="G270" t="n">
        <v>5.9</v>
      </c>
      <c r="H270" t="n">
        <v>0</v>
      </c>
      <c r="I270" t="n">
        <v>0</v>
      </c>
      <c r="J270" t="n">
        <v>0</v>
      </c>
      <c r="K270" t="n">
        <v>0</v>
      </c>
      <c r="L270" t="n">
        <v>0</v>
      </c>
      <c r="M270" t="n">
        <v>0</v>
      </c>
      <c r="N270" t="n">
        <v>0</v>
      </c>
      <c r="O270" t="n">
        <v>0</v>
      </c>
      <c r="P270" t="n">
        <v>0</v>
      </c>
      <c r="Q270" t="n">
        <v>0</v>
      </c>
      <c r="R270" s="2" t="inlineStr"/>
    </row>
    <row r="271" ht="15" customHeight="1">
      <c r="A271" t="inlineStr">
        <is>
          <t>A 46446-2023</t>
        </is>
      </c>
      <c r="B271" s="1" t="n">
        <v>45197.59344907408</v>
      </c>
      <c r="C271" s="1" t="n">
        <v>46003</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58244-2024</t>
        </is>
      </c>
      <c r="B272" s="1" t="n">
        <v>45631</v>
      </c>
      <c r="C272" s="1" t="n">
        <v>46003</v>
      </c>
      <c r="D272" t="inlineStr">
        <is>
          <t>DALARNAS LÄN</t>
        </is>
      </c>
      <c r="E272" t="inlineStr">
        <is>
          <t>LEKSAND</t>
        </is>
      </c>
      <c r="G272" t="n">
        <v>1.9</v>
      </c>
      <c r="H272" t="n">
        <v>0</v>
      </c>
      <c r="I272" t="n">
        <v>0</v>
      </c>
      <c r="J272" t="n">
        <v>0</v>
      </c>
      <c r="K272" t="n">
        <v>0</v>
      </c>
      <c r="L272" t="n">
        <v>0</v>
      </c>
      <c r="M272" t="n">
        <v>0</v>
      </c>
      <c r="N272" t="n">
        <v>0</v>
      </c>
      <c r="O272" t="n">
        <v>0</v>
      </c>
      <c r="P272" t="n">
        <v>0</v>
      </c>
      <c r="Q272" t="n">
        <v>0</v>
      </c>
      <c r="R272" s="2" t="inlineStr"/>
    </row>
    <row r="273" ht="15" customHeight="1">
      <c r="A273" t="inlineStr">
        <is>
          <t>A 62161-2024</t>
        </is>
      </c>
      <c r="B273" s="1" t="n">
        <v>45656.86009259259</v>
      </c>
      <c r="C273" s="1" t="n">
        <v>46003</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11606-2025</t>
        </is>
      </c>
      <c r="B274" s="1" t="n">
        <v>45727</v>
      </c>
      <c r="C274" s="1" t="n">
        <v>46003</v>
      </c>
      <c r="D274" t="inlineStr">
        <is>
          <t>DALARNAS LÄN</t>
        </is>
      </c>
      <c r="E274" t="inlineStr">
        <is>
          <t>LEKSAND</t>
        </is>
      </c>
      <c r="G274" t="n">
        <v>2.3</v>
      </c>
      <c r="H274" t="n">
        <v>0</v>
      </c>
      <c r="I274" t="n">
        <v>0</v>
      </c>
      <c r="J274" t="n">
        <v>0</v>
      </c>
      <c r="K274" t="n">
        <v>0</v>
      </c>
      <c r="L274" t="n">
        <v>0</v>
      </c>
      <c r="M274" t="n">
        <v>0</v>
      </c>
      <c r="N274" t="n">
        <v>0</v>
      </c>
      <c r="O274" t="n">
        <v>0</v>
      </c>
      <c r="P274" t="n">
        <v>0</v>
      </c>
      <c r="Q274" t="n">
        <v>0</v>
      </c>
      <c r="R274" s="2" t="inlineStr"/>
    </row>
    <row r="275" ht="15" customHeight="1">
      <c r="A275" t="inlineStr">
        <is>
          <t>A 21954-2023</t>
        </is>
      </c>
      <c r="B275" s="1" t="n">
        <v>45068</v>
      </c>
      <c r="C275" s="1" t="n">
        <v>46003</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8743-2023</t>
        </is>
      </c>
      <c r="B276" s="1" t="n">
        <v>44978</v>
      </c>
      <c r="C276" s="1" t="n">
        <v>46003</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44491-2023</t>
        </is>
      </c>
      <c r="B277" s="1" t="n">
        <v>45183</v>
      </c>
      <c r="C277" s="1" t="n">
        <v>46003</v>
      </c>
      <c r="D277" t="inlineStr">
        <is>
          <t>DALARNAS LÄN</t>
        </is>
      </c>
      <c r="E277" t="inlineStr">
        <is>
          <t>LEKSAND</t>
        </is>
      </c>
      <c r="G277" t="n">
        <v>2.6</v>
      </c>
      <c r="H277" t="n">
        <v>0</v>
      </c>
      <c r="I277" t="n">
        <v>0</v>
      </c>
      <c r="J277" t="n">
        <v>0</v>
      </c>
      <c r="K277" t="n">
        <v>0</v>
      </c>
      <c r="L277" t="n">
        <v>0</v>
      </c>
      <c r="M277" t="n">
        <v>0</v>
      </c>
      <c r="N277" t="n">
        <v>0</v>
      </c>
      <c r="O277" t="n">
        <v>0</v>
      </c>
      <c r="P277" t="n">
        <v>0</v>
      </c>
      <c r="Q277" t="n">
        <v>0</v>
      </c>
      <c r="R277" s="2" t="inlineStr"/>
    </row>
    <row r="278" ht="15" customHeight="1">
      <c r="A278" t="inlineStr">
        <is>
          <t>A 54682-2023</t>
        </is>
      </c>
      <c r="B278" s="1" t="n">
        <v>45235.90439814814</v>
      </c>
      <c r="C278" s="1" t="n">
        <v>46003</v>
      </c>
      <c r="D278" t="inlineStr">
        <is>
          <t>DALARNAS LÄN</t>
        </is>
      </c>
      <c r="E278" t="inlineStr">
        <is>
          <t>LEKSAND</t>
        </is>
      </c>
      <c r="G278" t="n">
        <v>1.5</v>
      </c>
      <c r="H278" t="n">
        <v>0</v>
      </c>
      <c r="I278" t="n">
        <v>0</v>
      </c>
      <c r="J278" t="n">
        <v>0</v>
      </c>
      <c r="K278" t="n">
        <v>0</v>
      </c>
      <c r="L278" t="n">
        <v>0</v>
      </c>
      <c r="M278" t="n">
        <v>0</v>
      </c>
      <c r="N278" t="n">
        <v>0</v>
      </c>
      <c r="O278" t="n">
        <v>0</v>
      </c>
      <c r="P278" t="n">
        <v>0</v>
      </c>
      <c r="Q278" t="n">
        <v>0</v>
      </c>
      <c r="R278" s="2" t="inlineStr"/>
    </row>
    <row r="279" ht="15" customHeight="1">
      <c r="A279" t="inlineStr">
        <is>
          <t>A 63544-2023</t>
        </is>
      </c>
      <c r="B279" s="1" t="n">
        <v>45275</v>
      </c>
      <c r="C279" s="1" t="n">
        <v>46003</v>
      </c>
      <c r="D279" t="inlineStr">
        <is>
          <t>DALARNAS LÄN</t>
        </is>
      </c>
      <c r="E279" t="inlineStr">
        <is>
          <t>LEKSAND</t>
        </is>
      </c>
      <c r="G279" t="n">
        <v>0.3</v>
      </c>
      <c r="H279" t="n">
        <v>0</v>
      </c>
      <c r="I279" t="n">
        <v>0</v>
      </c>
      <c r="J279" t="n">
        <v>0</v>
      </c>
      <c r="K279" t="n">
        <v>0</v>
      </c>
      <c r="L279" t="n">
        <v>0</v>
      </c>
      <c r="M279" t="n">
        <v>0</v>
      </c>
      <c r="N279" t="n">
        <v>0</v>
      </c>
      <c r="O279" t="n">
        <v>0</v>
      </c>
      <c r="P279" t="n">
        <v>0</v>
      </c>
      <c r="Q279" t="n">
        <v>0</v>
      </c>
      <c r="R279" s="2" t="inlineStr"/>
    </row>
    <row r="280" ht="15" customHeight="1">
      <c r="A280" t="inlineStr">
        <is>
          <t>A 33001-2023</t>
        </is>
      </c>
      <c r="B280" s="1" t="n">
        <v>45125</v>
      </c>
      <c r="C280" s="1" t="n">
        <v>46003</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1463-2024</t>
        </is>
      </c>
      <c r="B281" s="1" t="n">
        <v>45303</v>
      </c>
      <c r="C281" s="1" t="n">
        <v>46003</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33674-2023</t>
        </is>
      </c>
      <c r="B282" s="1" t="n">
        <v>45132</v>
      </c>
      <c r="C282" s="1" t="n">
        <v>46003</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5574-2024</t>
        </is>
      </c>
      <c r="B283" s="1" t="n">
        <v>45334</v>
      </c>
      <c r="C283" s="1" t="n">
        <v>46003</v>
      </c>
      <c r="D283" t="inlineStr">
        <is>
          <t>DALARNAS LÄN</t>
        </is>
      </c>
      <c r="E283" t="inlineStr">
        <is>
          <t>LEKSAND</t>
        </is>
      </c>
      <c r="G283" t="n">
        <v>0.4</v>
      </c>
      <c r="H283" t="n">
        <v>0</v>
      </c>
      <c r="I283" t="n">
        <v>0</v>
      </c>
      <c r="J283" t="n">
        <v>0</v>
      </c>
      <c r="K283" t="n">
        <v>0</v>
      </c>
      <c r="L283" t="n">
        <v>0</v>
      </c>
      <c r="M283" t="n">
        <v>0</v>
      </c>
      <c r="N283" t="n">
        <v>0</v>
      </c>
      <c r="O283" t="n">
        <v>0</v>
      </c>
      <c r="P283" t="n">
        <v>0</v>
      </c>
      <c r="Q283" t="n">
        <v>0</v>
      </c>
      <c r="R283" s="2" t="inlineStr"/>
    </row>
    <row r="284" ht="15" customHeight="1">
      <c r="A284" t="inlineStr">
        <is>
          <t>A 16135-2023</t>
        </is>
      </c>
      <c r="B284" s="1" t="n">
        <v>45027.63717592593</v>
      </c>
      <c r="C284" s="1" t="n">
        <v>46003</v>
      </c>
      <c r="D284" t="inlineStr">
        <is>
          <t>DALARNAS LÄN</t>
        </is>
      </c>
      <c r="E284" t="inlineStr">
        <is>
          <t>LEKSAND</t>
        </is>
      </c>
      <c r="G284" t="n">
        <v>4.9</v>
      </c>
      <c r="H284" t="n">
        <v>0</v>
      </c>
      <c r="I284" t="n">
        <v>0</v>
      </c>
      <c r="J284" t="n">
        <v>0</v>
      </c>
      <c r="K284" t="n">
        <v>0</v>
      </c>
      <c r="L284" t="n">
        <v>0</v>
      </c>
      <c r="M284" t="n">
        <v>0</v>
      </c>
      <c r="N284" t="n">
        <v>0</v>
      </c>
      <c r="O284" t="n">
        <v>0</v>
      </c>
      <c r="P284" t="n">
        <v>0</v>
      </c>
      <c r="Q284" t="n">
        <v>0</v>
      </c>
      <c r="R284" s="2" t="inlineStr"/>
    </row>
    <row r="285" ht="15" customHeight="1">
      <c r="A285" t="inlineStr">
        <is>
          <t>A 30198-2024</t>
        </is>
      </c>
      <c r="B285" s="1" t="n">
        <v>45490.34765046297</v>
      </c>
      <c r="C285" s="1" t="n">
        <v>46003</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10373-2023</t>
        </is>
      </c>
      <c r="B286" s="1" t="n">
        <v>44987</v>
      </c>
      <c r="C286" s="1" t="n">
        <v>46003</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30000-2023</t>
        </is>
      </c>
      <c r="B287" s="1" t="n">
        <v>45109.71128472222</v>
      </c>
      <c r="C287" s="1" t="n">
        <v>46003</v>
      </c>
      <c r="D287" t="inlineStr">
        <is>
          <t>DALARNAS LÄN</t>
        </is>
      </c>
      <c r="E287" t="inlineStr">
        <is>
          <t>LEKSAND</t>
        </is>
      </c>
      <c r="G287" t="n">
        <v>1.1</v>
      </c>
      <c r="H287" t="n">
        <v>0</v>
      </c>
      <c r="I287" t="n">
        <v>0</v>
      </c>
      <c r="J287" t="n">
        <v>0</v>
      </c>
      <c r="K287" t="n">
        <v>0</v>
      </c>
      <c r="L287" t="n">
        <v>0</v>
      </c>
      <c r="M287" t="n">
        <v>0</v>
      </c>
      <c r="N287" t="n">
        <v>0</v>
      </c>
      <c r="O287" t="n">
        <v>0</v>
      </c>
      <c r="P287" t="n">
        <v>0</v>
      </c>
      <c r="Q287" t="n">
        <v>0</v>
      </c>
      <c r="R287" s="2" t="inlineStr"/>
    </row>
    <row r="288" ht="15" customHeight="1">
      <c r="A288" t="inlineStr">
        <is>
          <t>A 28032-2024</t>
        </is>
      </c>
      <c r="B288" s="1" t="n">
        <v>45476.49346064815</v>
      </c>
      <c r="C288" s="1" t="n">
        <v>46003</v>
      </c>
      <c r="D288" t="inlineStr">
        <is>
          <t>DALARNAS LÄN</t>
        </is>
      </c>
      <c r="E288" t="inlineStr">
        <is>
          <t>LEKSAND</t>
        </is>
      </c>
      <c r="G288" t="n">
        <v>2</v>
      </c>
      <c r="H288" t="n">
        <v>0</v>
      </c>
      <c r="I288" t="n">
        <v>0</v>
      </c>
      <c r="J288" t="n">
        <v>0</v>
      </c>
      <c r="K288" t="n">
        <v>0</v>
      </c>
      <c r="L288" t="n">
        <v>0</v>
      </c>
      <c r="M288" t="n">
        <v>0</v>
      </c>
      <c r="N288" t="n">
        <v>0</v>
      </c>
      <c r="O288" t="n">
        <v>0</v>
      </c>
      <c r="P288" t="n">
        <v>0</v>
      </c>
      <c r="Q288" t="n">
        <v>0</v>
      </c>
      <c r="R288" s="2" t="inlineStr"/>
    </row>
    <row r="289" ht="15" customHeight="1">
      <c r="A289" t="inlineStr">
        <is>
          <t>A 19550-2023</t>
        </is>
      </c>
      <c r="B289" s="1" t="n">
        <v>45049</v>
      </c>
      <c r="C289" s="1" t="n">
        <v>46003</v>
      </c>
      <c r="D289" t="inlineStr">
        <is>
          <t>DALARNAS LÄN</t>
        </is>
      </c>
      <c r="E289" t="inlineStr">
        <is>
          <t>LEKSAND</t>
        </is>
      </c>
      <c r="G289" t="n">
        <v>1.1</v>
      </c>
      <c r="H289" t="n">
        <v>0</v>
      </c>
      <c r="I289" t="n">
        <v>0</v>
      </c>
      <c r="J289" t="n">
        <v>0</v>
      </c>
      <c r="K289" t="n">
        <v>0</v>
      </c>
      <c r="L289" t="n">
        <v>0</v>
      </c>
      <c r="M289" t="n">
        <v>0</v>
      </c>
      <c r="N289" t="n">
        <v>0</v>
      </c>
      <c r="O289" t="n">
        <v>0</v>
      </c>
      <c r="P289" t="n">
        <v>0</v>
      </c>
      <c r="Q289" t="n">
        <v>0</v>
      </c>
      <c r="R289" s="2" t="inlineStr"/>
    </row>
    <row r="290" ht="15" customHeight="1">
      <c r="A290" t="inlineStr">
        <is>
          <t>A 33593-2024</t>
        </is>
      </c>
      <c r="B290" s="1" t="n">
        <v>45520.36055555556</v>
      </c>
      <c r="C290" s="1" t="n">
        <v>46003</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17282-2025</t>
        </is>
      </c>
      <c r="B291" s="1" t="n">
        <v>45756.57114583333</v>
      </c>
      <c r="C291" s="1" t="n">
        <v>46003</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12923-2025</t>
        </is>
      </c>
      <c r="B292" s="1" t="n">
        <v>45734.29193287037</v>
      </c>
      <c r="C292" s="1" t="n">
        <v>46003</v>
      </c>
      <c r="D292" t="inlineStr">
        <is>
          <t>DALARNAS LÄN</t>
        </is>
      </c>
      <c r="E292" t="inlineStr">
        <is>
          <t>LEKSAND</t>
        </is>
      </c>
      <c r="G292" t="n">
        <v>7.2</v>
      </c>
      <c r="H292" t="n">
        <v>0</v>
      </c>
      <c r="I292" t="n">
        <v>0</v>
      </c>
      <c r="J292" t="n">
        <v>0</v>
      </c>
      <c r="K292" t="n">
        <v>0</v>
      </c>
      <c r="L292" t="n">
        <v>0</v>
      </c>
      <c r="M292" t="n">
        <v>0</v>
      </c>
      <c r="N292" t="n">
        <v>0</v>
      </c>
      <c r="O292" t="n">
        <v>0</v>
      </c>
      <c r="P292" t="n">
        <v>0</v>
      </c>
      <c r="Q292" t="n">
        <v>0</v>
      </c>
      <c r="R292" s="2" t="inlineStr"/>
    </row>
    <row r="293" ht="15" customHeight="1">
      <c r="A293" t="inlineStr">
        <is>
          <t>A 2820-2024</t>
        </is>
      </c>
      <c r="B293" s="1" t="n">
        <v>45314.76287037037</v>
      </c>
      <c r="C293" s="1" t="n">
        <v>46003</v>
      </c>
      <c r="D293" t="inlineStr">
        <is>
          <t>DALARNAS LÄN</t>
        </is>
      </c>
      <c r="E293" t="inlineStr">
        <is>
          <t>LEKSAND</t>
        </is>
      </c>
      <c r="G293" t="n">
        <v>1.7</v>
      </c>
      <c r="H293" t="n">
        <v>0</v>
      </c>
      <c r="I293" t="n">
        <v>0</v>
      </c>
      <c r="J293" t="n">
        <v>0</v>
      </c>
      <c r="K293" t="n">
        <v>0</v>
      </c>
      <c r="L293" t="n">
        <v>0</v>
      </c>
      <c r="M293" t="n">
        <v>0</v>
      </c>
      <c r="N293" t="n">
        <v>0</v>
      </c>
      <c r="O293" t="n">
        <v>0</v>
      </c>
      <c r="P293" t="n">
        <v>0</v>
      </c>
      <c r="Q293" t="n">
        <v>0</v>
      </c>
      <c r="R293" s="2" t="inlineStr"/>
    </row>
    <row r="294" ht="15" customHeight="1">
      <c r="A294" t="inlineStr">
        <is>
          <t>A 2822-2024</t>
        </is>
      </c>
      <c r="B294" s="1" t="n">
        <v>45314.76622685185</v>
      </c>
      <c r="C294" s="1" t="n">
        <v>46003</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45512-2023</t>
        </is>
      </c>
      <c r="B295" s="1" t="n">
        <v>45194.49178240741</v>
      </c>
      <c r="C295" s="1" t="n">
        <v>46003</v>
      </c>
      <c r="D295" t="inlineStr">
        <is>
          <t>DALARNAS LÄN</t>
        </is>
      </c>
      <c r="E295" t="inlineStr">
        <is>
          <t>LEKSAND</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47203-2023</t>
        </is>
      </c>
      <c r="B296" s="1" t="n">
        <v>45202</v>
      </c>
      <c r="C296" s="1" t="n">
        <v>46003</v>
      </c>
      <c r="D296" t="inlineStr">
        <is>
          <t>DALARNAS LÄN</t>
        </is>
      </c>
      <c r="E296" t="inlineStr">
        <is>
          <t>LEKSAND</t>
        </is>
      </c>
      <c r="G296" t="n">
        <v>2.1</v>
      </c>
      <c r="H296" t="n">
        <v>0</v>
      </c>
      <c r="I296" t="n">
        <v>0</v>
      </c>
      <c r="J296" t="n">
        <v>0</v>
      </c>
      <c r="K296" t="n">
        <v>0</v>
      </c>
      <c r="L296" t="n">
        <v>0</v>
      </c>
      <c r="M296" t="n">
        <v>0</v>
      </c>
      <c r="N296" t="n">
        <v>0</v>
      </c>
      <c r="O296" t="n">
        <v>0</v>
      </c>
      <c r="P296" t="n">
        <v>0</v>
      </c>
      <c r="Q296" t="n">
        <v>0</v>
      </c>
      <c r="R296" s="2" t="inlineStr"/>
    </row>
    <row r="297" ht="15" customHeight="1">
      <c r="A297" t="inlineStr">
        <is>
          <t>A 51320-2023</t>
        </is>
      </c>
      <c r="B297" s="1" t="n">
        <v>45219.57456018519</v>
      </c>
      <c r="C297" s="1" t="n">
        <v>46003</v>
      </c>
      <c r="D297" t="inlineStr">
        <is>
          <t>DALARNAS LÄN</t>
        </is>
      </c>
      <c r="E297" t="inlineStr">
        <is>
          <t>LEKSAND</t>
        </is>
      </c>
      <c r="G297" t="n">
        <v>2.1</v>
      </c>
      <c r="H297" t="n">
        <v>0</v>
      </c>
      <c r="I297" t="n">
        <v>0</v>
      </c>
      <c r="J297" t="n">
        <v>0</v>
      </c>
      <c r="K297" t="n">
        <v>0</v>
      </c>
      <c r="L297" t="n">
        <v>0</v>
      </c>
      <c r="M297" t="n">
        <v>0</v>
      </c>
      <c r="N297" t="n">
        <v>0</v>
      </c>
      <c r="O297" t="n">
        <v>0</v>
      </c>
      <c r="P297" t="n">
        <v>0</v>
      </c>
      <c r="Q297" t="n">
        <v>0</v>
      </c>
      <c r="R297" s="2" t="inlineStr"/>
    </row>
    <row r="298" ht="15" customHeight="1">
      <c r="A298" t="inlineStr">
        <is>
          <t>A 33566-2023</t>
        </is>
      </c>
      <c r="B298" s="1" t="n">
        <v>45131.64390046296</v>
      </c>
      <c r="C298" s="1" t="n">
        <v>46003</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9105-2024</t>
        </is>
      </c>
      <c r="B299" s="1" t="n">
        <v>45357</v>
      </c>
      <c r="C299" s="1" t="n">
        <v>46003</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12621-2025</t>
        </is>
      </c>
      <c r="B300" s="1" t="n">
        <v>45733.3575</v>
      </c>
      <c r="C300" s="1" t="n">
        <v>46003</v>
      </c>
      <c r="D300" t="inlineStr">
        <is>
          <t>DALARNAS LÄN</t>
        </is>
      </c>
      <c r="E300" t="inlineStr">
        <is>
          <t>LEKSAND</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46003</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46003</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16592-2023</t>
        </is>
      </c>
      <c r="B303" s="1" t="n">
        <v>45030</v>
      </c>
      <c r="C303" s="1" t="n">
        <v>46003</v>
      </c>
      <c r="D303" t="inlineStr">
        <is>
          <t>DALARNAS LÄN</t>
        </is>
      </c>
      <c r="E303" t="inlineStr">
        <is>
          <t>LEKSAND</t>
        </is>
      </c>
      <c r="G303" t="n">
        <v>11.5</v>
      </c>
      <c r="H303" t="n">
        <v>0</v>
      </c>
      <c r="I303" t="n">
        <v>0</v>
      </c>
      <c r="J303" t="n">
        <v>0</v>
      </c>
      <c r="K303" t="n">
        <v>0</v>
      </c>
      <c r="L303" t="n">
        <v>0</v>
      </c>
      <c r="M303" t="n">
        <v>0</v>
      </c>
      <c r="N303" t="n">
        <v>0</v>
      </c>
      <c r="O303" t="n">
        <v>0</v>
      </c>
      <c r="P303" t="n">
        <v>0</v>
      </c>
      <c r="Q303" t="n">
        <v>0</v>
      </c>
      <c r="R303" s="2" t="inlineStr"/>
    </row>
    <row r="304" ht="15" customHeight="1">
      <c r="A304" t="inlineStr">
        <is>
          <t>A 402-2024</t>
        </is>
      </c>
      <c r="B304" s="1" t="n">
        <v>45296.45545138889</v>
      </c>
      <c r="C304" s="1" t="n">
        <v>46003</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61787-2022</t>
        </is>
      </c>
      <c r="B305" s="1" t="n">
        <v>44917</v>
      </c>
      <c r="C305" s="1" t="n">
        <v>46003</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7778-2025</t>
        </is>
      </c>
      <c r="B306" s="1" t="n">
        <v>45706</v>
      </c>
      <c r="C306" s="1" t="n">
        <v>46003</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28913-2024</t>
        </is>
      </c>
      <c r="B307" s="1" t="n">
        <v>45480.75318287037</v>
      </c>
      <c r="C307" s="1" t="n">
        <v>46003</v>
      </c>
      <c r="D307" t="inlineStr">
        <is>
          <t>DALARNAS LÄN</t>
        </is>
      </c>
      <c r="E307" t="inlineStr">
        <is>
          <t>LEKSAND</t>
        </is>
      </c>
      <c r="G307" t="n">
        <v>1.5</v>
      </c>
      <c r="H307" t="n">
        <v>0</v>
      </c>
      <c r="I307" t="n">
        <v>0</v>
      </c>
      <c r="J307" t="n">
        <v>0</v>
      </c>
      <c r="K307" t="n">
        <v>0</v>
      </c>
      <c r="L307" t="n">
        <v>0</v>
      </c>
      <c r="M307" t="n">
        <v>0</v>
      </c>
      <c r="N307" t="n">
        <v>0</v>
      </c>
      <c r="O307" t="n">
        <v>0</v>
      </c>
      <c r="P307" t="n">
        <v>0</v>
      </c>
      <c r="Q307" t="n">
        <v>0</v>
      </c>
      <c r="R307" s="2" t="inlineStr"/>
    </row>
    <row r="308" ht="15" customHeight="1">
      <c r="A308" t="inlineStr">
        <is>
          <t>A 7395-2025</t>
        </is>
      </c>
      <c r="B308" s="1" t="n">
        <v>45705.34516203704</v>
      </c>
      <c r="C308" s="1" t="n">
        <v>46003</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31971-2024</t>
        </is>
      </c>
      <c r="B309" s="1" t="n">
        <v>45510.55171296297</v>
      </c>
      <c r="C309" s="1" t="n">
        <v>46003</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19590-2023</t>
        </is>
      </c>
      <c r="B310" s="1" t="n">
        <v>45049</v>
      </c>
      <c r="C310" s="1" t="n">
        <v>46003</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39807-2024</t>
        </is>
      </c>
      <c r="B311" s="1" t="n">
        <v>45553.35763888889</v>
      </c>
      <c r="C311" s="1" t="n">
        <v>46003</v>
      </c>
      <c r="D311" t="inlineStr">
        <is>
          <t>DALARNAS LÄN</t>
        </is>
      </c>
      <c r="E311" t="inlineStr">
        <is>
          <t>LEKSAND</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31850-2024</t>
        </is>
      </c>
      <c r="B312" s="1" t="n">
        <v>45509.67334490741</v>
      </c>
      <c r="C312" s="1" t="n">
        <v>46003</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51377-2023</t>
        </is>
      </c>
      <c r="B313" s="1" t="n">
        <v>45219</v>
      </c>
      <c r="C313" s="1" t="n">
        <v>46003</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46003</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61546-2021</t>
        </is>
      </c>
      <c r="B315" s="1" t="n">
        <v>44501</v>
      </c>
      <c r="C315" s="1" t="n">
        <v>46003</v>
      </c>
      <c r="D315" t="inlineStr">
        <is>
          <t>DALARNAS LÄN</t>
        </is>
      </c>
      <c r="E315" t="inlineStr">
        <is>
          <t>LEKSAND</t>
        </is>
      </c>
      <c r="G315" t="n">
        <v>3</v>
      </c>
      <c r="H315" t="n">
        <v>0</v>
      </c>
      <c r="I315" t="n">
        <v>0</v>
      </c>
      <c r="J315" t="n">
        <v>0</v>
      </c>
      <c r="K315" t="n">
        <v>0</v>
      </c>
      <c r="L315" t="n">
        <v>0</v>
      </c>
      <c r="M315" t="n">
        <v>0</v>
      </c>
      <c r="N315" t="n">
        <v>0</v>
      </c>
      <c r="O315" t="n">
        <v>0</v>
      </c>
      <c r="P315" t="n">
        <v>0</v>
      </c>
      <c r="Q315" t="n">
        <v>0</v>
      </c>
      <c r="R315" s="2" t="inlineStr"/>
    </row>
    <row r="316" ht="15" customHeight="1">
      <c r="A316" t="inlineStr">
        <is>
          <t>A 41015-2024</t>
        </is>
      </c>
      <c r="B316" s="1" t="n">
        <v>45559.32537037037</v>
      </c>
      <c r="C316" s="1" t="n">
        <v>46003</v>
      </c>
      <c r="D316" t="inlineStr">
        <is>
          <t>DALARNAS LÄN</t>
        </is>
      </c>
      <c r="E316" t="inlineStr">
        <is>
          <t>LEKSAND</t>
        </is>
      </c>
      <c r="G316" t="n">
        <v>1.6</v>
      </c>
      <c r="H316" t="n">
        <v>0</v>
      </c>
      <c r="I316" t="n">
        <v>0</v>
      </c>
      <c r="J316" t="n">
        <v>0</v>
      </c>
      <c r="K316" t="n">
        <v>0</v>
      </c>
      <c r="L316" t="n">
        <v>0</v>
      </c>
      <c r="M316" t="n">
        <v>0</v>
      </c>
      <c r="N316" t="n">
        <v>0</v>
      </c>
      <c r="O316" t="n">
        <v>0</v>
      </c>
      <c r="P316" t="n">
        <v>0</v>
      </c>
      <c r="Q316" t="n">
        <v>0</v>
      </c>
      <c r="R316" s="2" t="inlineStr"/>
    </row>
    <row r="317" ht="15" customHeight="1">
      <c r="A317" t="inlineStr">
        <is>
          <t>A 59859-2023</t>
        </is>
      </c>
      <c r="B317" s="1" t="n">
        <v>45257</v>
      </c>
      <c r="C317" s="1" t="n">
        <v>46003</v>
      </c>
      <c r="D317" t="inlineStr">
        <is>
          <t>DALARNAS LÄN</t>
        </is>
      </c>
      <c r="E317" t="inlineStr">
        <is>
          <t>LEKSAND</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6050-2023</t>
        </is>
      </c>
      <c r="B318" s="1" t="n">
        <v>44959</v>
      </c>
      <c r="C318" s="1" t="n">
        <v>46003</v>
      </c>
      <c r="D318" t="inlineStr">
        <is>
          <t>DALARNAS LÄN</t>
        </is>
      </c>
      <c r="E318" t="inlineStr">
        <is>
          <t>LEKSAND</t>
        </is>
      </c>
      <c r="G318" t="n">
        <v>6.2</v>
      </c>
      <c r="H318" t="n">
        <v>0</v>
      </c>
      <c r="I318" t="n">
        <v>0</v>
      </c>
      <c r="J318" t="n">
        <v>0</v>
      </c>
      <c r="K318" t="n">
        <v>0</v>
      </c>
      <c r="L318" t="n">
        <v>0</v>
      </c>
      <c r="M318" t="n">
        <v>0</v>
      </c>
      <c r="N318" t="n">
        <v>0</v>
      </c>
      <c r="O318" t="n">
        <v>0</v>
      </c>
      <c r="P318" t="n">
        <v>0</v>
      </c>
      <c r="Q318" t="n">
        <v>0</v>
      </c>
      <c r="R318" s="2" t="inlineStr"/>
    </row>
    <row r="319" ht="15" customHeight="1">
      <c r="A319" t="inlineStr">
        <is>
          <t>A 7653-2025</t>
        </is>
      </c>
      <c r="B319" s="1" t="n">
        <v>45705.95238425926</v>
      </c>
      <c r="C319" s="1" t="n">
        <v>46003</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41853-2023</t>
        </is>
      </c>
      <c r="B320" s="1" t="n">
        <v>45176.62483796296</v>
      </c>
      <c r="C320" s="1" t="n">
        <v>46003</v>
      </c>
      <c r="D320" t="inlineStr">
        <is>
          <t>DALARNAS LÄN</t>
        </is>
      </c>
      <c r="E320" t="inlineStr">
        <is>
          <t>LEKSAND</t>
        </is>
      </c>
      <c r="G320" t="n">
        <v>1</v>
      </c>
      <c r="H320" t="n">
        <v>0</v>
      </c>
      <c r="I320" t="n">
        <v>0</v>
      </c>
      <c r="J320" t="n">
        <v>0</v>
      </c>
      <c r="K320" t="n">
        <v>0</v>
      </c>
      <c r="L320" t="n">
        <v>0</v>
      </c>
      <c r="M320" t="n">
        <v>0</v>
      </c>
      <c r="N320" t="n">
        <v>0</v>
      </c>
      <c r="O320" t="n">
        <v>0</v>
      </c>
      <c r="P320" t="n">
        <v>0</v>
      </c>
      <c r="Q320" t="n">
        <v>0</v>
      </c>
      <c r="R320" s="2" t="inlineStr"/>
    </row>
    <row r="321" ht="15" customHeight="1">
      <c r="A321" t="inlineStr">
        <is>
          <t>A 27791-2023</t>
        </is>
      </c>
      <c r="B321" s="1" t="n">
        <v>45098</v>
      </c>
      <c r="C321" s="1" t="n">
        <v>46003</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62116-2024</t>
        </is>
      </c>
      <c r="B322" s="1" t="n">
        <v>45646</v>
      </c>
      <c r="C322" s="1" t="n">
        <v>46003</v>
      </c>
      <c r="D322" t="inlineStr">
        <is>
          <t>DALARNAS LÄN</t>
        </is>
      </c>
      <c r="E322" t="inlineStr">
        <is>
          <t>LEKSAND</t>
        </is>
      </c>
      <c r="G322" t="n">
        <v>1.4</v>
      </c>
      <c r="H322" t="n">
        <v>0</v>
      </c>
      <c r="I322" t="n">
        <v>0</v>
      </c>
      <c r="J322" t="n">
        <v>0</v>
      </c>
      <c r="K322" t="n">
        <v>0</v>
      </c>
      <c r="L322" t="n">
        <v>0</v>
      </c>
      <c r="M322" t="n">
        <v>0</v>
      </c>
      <c r="N322" t="n">
        <v>0</v>
      </c>
      <c r="O322" t="n">
        <v>0</v>
      </c>
      <c r="P322" t="n">
        <v>0</v>
      </c>
      <c r="Q322" t="n">
        <v>0</v>
      </c>
      <c r="R322" s="2" t="inlineStr"/>
    </row>
    <row r="323" ht="15" customHeight="1">
      <c r="A323" t="inlineStr">
        <is>
          <t>A 11277-2025</t>
        </is>
      </c>
      <c r="B323" s="1" t="n">
        <v>45726.41565972222</v>
      </c>
      <c r="C323" s="1" t="n">
        <v>46003</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19330-2025</t>
        </is>
      </c>
      <c r="B324" s="1" t="n">
        <v>45769</v>
      </c>
      <c r="C324" s="1" t="n">
        <v>46003</v>
      </c>
      <c r="D324" t="inlineStr">
        <is>
          <t>DALARNAS LÄN</t>
        </is>
      </c>
      <c r="E324" t="inlineStr">
        <is>
          <t>LEKSAND</t>
        </is>
      </c>
      <c r="G324" t="n">
        <v>1.6</v>
      </c>
      <c r="H324" t="n">
        <v>0</v>
      </c>
      <c r="I324" t="n">
        <v>0</v>
      </c>
      <c r="J324" t="n">
        <v>0</v>
      </c>
      <c r="K324" t="n">
        <v>0</v>
      </c>
      <c r="L324" t="n">
        <v>0</v>
      </c>
      <c r="M324" t="n">
        <v>0</v>
      </c>
      <c r="N324" t="n">
        <v>0</v>
      </c>
      <c r="O324" t="n">
        <v>0</v>
      </c>
      <c r="P324" t="n">
        <v>0</v>
      </c>
      <c r="Q324" t="n">
        <v>0</v>
      </c>
      <c r="R324" s="2" t="inlineStr"/>
    </row>
    <row r="325" ht="15" customHeight="1">
      <c r="A325" t="inlineStr">
        <is>
          <t>A 325-2023</t>
        </is>
      </c>
      <c r="B325" s="1" t="n">
        <v>44929</v>
      </c>
      <c r="C325" s="1" t="n">
        <v>46003</v>
      </c>
      <c r="D325" t="inlineStr">
        <is>
          <t>DALARNAS LÄN</t>
        </is>
      </c>
      <c r="E325" t="inlineStr">
        <is>
          <t>LEKSAND</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11678-2025</t>
        </is>
      </c>
      <c r="B326" s="1" t="n">
        <v>45726</v>
      </c>
      <c r="C326" s="1" t="n">
        <v>46003</v>
      </c>
      <c r="D326" t="inlineStr">
        <is>
          <t>DALARNAS LÄN</t>
        </is>
      </c>
      <c r="E326" t="inlineStr">
        <is>
          <t>LEKSAND</t>
        </is>
      </c>
      <c r="G326" t="n">
        <v>9.4</v>
      </c>
      <c r="H326" t="n">
        <v>0</v>
      </c>
      <c r="I326" t="n">
        <v>0</v>
      </c>
      <c r="J326" t="n">
        <v>0</v>
      </c>
      <c r="K326" t="n">
        <v>0</v>
      </c>
      <c r="L326" t="n">
        <v>0</v>
      </c>
      <c r="M326" t="n">
        <v>0</v>
      </c>
      <c r="N326" t="n">
        <v>0</v>
      </c>
      <c r="O326" t="n">
        <v>0</v>
      </c>
      <c r="P326" t="n">
        <v>0</v>
      </c>
      <c r="Q326" t="n">
        <v>0</v>
      </c>
      <c r="R326" s="2" t="inlineStr"/>
    </row>
    <row r="327" ht="15" customHeight="1">
      <c r="A327" t="inlineStr">
        <is>
          <t>A 28630-2023</t>
        </is>
      </c>
      <c r="B327" s="1" t="n">
        <v>45103.61003472222</v>
      </c>
      <c r="C327" s="1" t="n">
        <v>46003</v>
      </c>
      <c r="D327" t="inlineStr">
        <is>
          <t>DALARNAS LÄN</t>
        </is>
      </c>
      <c r="E327" t="inlineStr">
        <is>
          <t>LEKSAND</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44846.64418981481</v>
      </c>
      <c r="C328" s="1" t="n">
        <v>46003</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7759-2025</t>
        </is>
      </c>
      <c r="B329" s="1" t="n">
        <v>45706.53827546296</v>
      </c>
      <c r="C329" s="1" t="n">
        <v>46003</v>
      </c>
      <c r="D329" t="inlineStr">
        <is>
          <t>DALARNAS LÄN</t>
        </is>
      </c>
      <c r="E329" t="inlineStr">
        <is>
          <t>LEKSAND</t>
        </is>
      </c>
      <c r="G329" t="n">
        <v>3.3</v>
      </c>
      <c r="H329" t="n">
        <v>0</v>
      </c>
      <c r="I329" t="n">
        <v>0</v>
      </c>
      <c r="J329" t="n">
        <v>0</v>
      </c>
      <c r="K329" t="n">
        <v>0</v>
      </c>
      <c r="L329" t="n">
        <v>0</v>
      </c>
      <c r="M329" t="n">
        <v>0</v>
      </c>
      <c r="N329" t="n">
        <v>0</v>
      </c>
      <c r="O329" t="n">
        <v>0</v>
      </c>
      <c r="P329" t="n">
        <v>0</v>
      </c>
      <c r="Q329" t="n">
        <v>0</v>
      </c>
      <c r="R329" s="2" t="inlineStr"/>
    </row>
    <row r="330" ht="15" customHeight="1">
      <c r="A330" t="inlineStr">
        <is>
          <t>A 17078-2023</t>
        </is>
      </c>
      <c r="B330" s="1" t="n">
        <v>45034</v>
      </c>
      <c r="C330" s="1" t="n">
        <v>46003</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14865-2025</t>
        </is>
      </c>
      <c r="B331" s="1" t="n">
        <v>45743.43929398148</v>
      </c>
      <c r="C331" s="1" t="n">
        <v>46003</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16854-2025</t>
        </is>
      </c>
      <c r="B332" s="1" t="n">
        <v>45754.72883101852</v>
      </c>
      <c r="C332" s="1" t="n">
        <v>46003</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5847-2025</t>
        </is>
      </c>
      <c r="B333" s="1" t="n">
        <v>45695.30824074074</v>
      </c>
      <c r="C333" s="1" t="n">
        <v>46003</v>
      </c>
      <c r="D333" t="inlineStr">
        <is>
          <t>DALARNAS LÄN</t>
        </is>
      </c>
      <c r="E333" t="inlineStr">
        <is>
          <t>LEKSAND</t>
        </is>
      </c>
      <c r="G333" t="n">
        <v>2.6</v>
      </c>
      <c r="H333" t="n">
        <v>0</v>
      </c>
      <c r="I333" t="n">
        <v>0</v>
      </c>
      <c r="J333" t="n">
        <v>0</v>
      </c>
      <c r="K333" t="n">
        <v>0</v>
      </c>
      <c r="L333" t="n">
        <v>0</v>
      </c>
      <c r="M333" t="n">
        <v>0</v>
      </c>
      <c r="N333" t="n">
        <v>0</v>
      </c>
      <c r="O333" t="n">
        <v>0</v>
      </c>
      <c r="P333" t="n">
        <v>0</v>
      </c>
      <c r="Q333" t="n">
        <v>0</v>
      </c>
      <c r="R333" s="2" t="inlineStr"/>
    </row>
    <row r="334" ht="15" customHeight="1">
      <c r="A334" t="inlineStr">
        <is>
          <t>A 5873-2025</t>
        </is>
      </c>
      <c r="B334" s="1" t="n">
        <v>45695.36715277778</v>
      </c>
      <c r="C334" s="1" t="n">
        <v>46003</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18481-2024</t>
        </is>
      </c>
      <c r="B335" s="1" t="n">
        <v>45425.52193287037</v>
      </c>
      <c r="C335" s="1" t="n">
        <v>46003</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18484-2024</t>
        </is>
      </c>
      <c r="B336" s="1" t="n">
        <v>45425.52559027778</v>
      </c>
      <c r="C336" s="1" t="n">
        <v>46003</v>
      </c>
      <c r="D336" t="inlineStr">
        <is>
          <t>DALARNAS LÄN</t>
        </is>
      </c>
      <c r="E336" t="inlineStr">
        <is>
          <t>LEKSAND</t>
        </is>
      </c>
      <c r="G336" t="n">
        <v>2</v>
      </c>
      <c r="H336" t="n">
        <v>0</v>
      </c>
      <c r="I336" t="n">
        <v>0</v>
      </c>
      <c r="J336" t="n">
        <v>0</v>
      </c>
      <c r="K336" t="n">
        <v>0</v>
      </c>
      <c r="L336" t="n">
        <v>0</v>
      </c>
      <c r="M336" t="n">
        <v>0</v>
      </c>
      <c r="N336" t="n">
        <v>0</v>
      </c>
      <c r="O336" t="n">
        <v>0</v>
      </c>
      <c r="P336" t="n">
        <v>0</v>
      </c>
      <c r="Q336" t="n">
        <v>0</v>
      </c>
      <c r="R336" s="2" t="inlineStr"/>
    </row>
    <row r="337" ht="15" customHeight="1">
      <c r="A337" t="inlineStr">
        <is>
          <t>A 53193-2024</t>
        </is>
      </c>
      <c r="B337" s="1" t="n">
        <v>45610</v>
      </c>
      <c r="C337" s="1" t="n">
        <v>46003</v>
      </c>
      <c r="D337" t="inlineStr">
        <is>
          <t>DALARNAS LÄN</t>
        </is>
      </c>
      <c r="E337" t="inlineStr">
        <is>
          <t>LEKSAND</t>
        </is>
      </c>
      <c r="G337" t="n">
        <v>1.4</v>
      </c>
      <c r="H337" t="n">
        <v>0</v>
      </c>
      <c r="I337" t="n">
        <v>0</v>
      </c>
      <c r="J337" t="n">
        <v>0</v>
      </c>
      <c r="K337" t="n">
        <v>0</v>
      </c>
      <c r="L337" t="n">
        <v>0</v>
      </c>
      <c r="M337" t="n">
        <v>0</v>
      </c>
      <c r="N337" t="n">
        <v>0</v>
      </c>
      <c r="O337" t="n">
        <v>0</v>
      </c>
      <c r="P337" t="n">
        <v>0</v>
      </c>
      <c r="Q337" t="n">
        <v>0</v>
      </c>
      <c r="R337" s="2" t="inlineStr"/>
    </row>
    <row r="338" ht="15" customHeight="1">
      <c r="A338" t="inlineStr">
        <is>
          <t>A 11080-2023</t>
        </is>
      </c>
      <c r="B338" s="1" t="n">
        <v>44992</v>
      </c>
      <c r="C338" s="1" t="n">
        <v>46003</v>
      </c>
      <c r="D338" t="inlineStr">
        <is>
          <t>DALARNAS LÄN</t>
        </is>
      </c>
      <c r="E338" t="inlineStr">
        <is>
          <t>LEKSAND</t>
        </is>
      </c>
      <c r="G338" t="n">
        <v>6.9</v>
      </c>
      <c r="H338" t="n">
        <v>0</v>
      </c>
      <c r="I338" t="n">
        <v>0</v>
      </c>
      <c r="J338" t="n">
        <v>0</v>
      </c>
      <c r="K338" t="n">
        <v>0</v>
      </c>
      <c r="L338" t="n">
        <v>0</v>
      </c>
      <c r="M338" t="n">
        <v>0</v>
      </c>
      <c r="N338" t="n">
        <v>0</v>
      </c>
      <c r="O338" t="n">
        <v>0</v>
      </c>
      <c r="P338" t="n">
        <v>0</v>
      </c>
      <c r="Q338" t="n">
        <v>0</v>
      </c>
      <c r="R338" s="2" t="inlineStr"/>
    </row>
    <row r="339" ht="15" customHeight="1">
      <c r="A339" t="inlineStr">
        <is>
          <t>A 26957-2023</t>
        </is>
      </c>
      <c r="B339" s="1" t="n">
        <v>45093</v>
      </c>
      <c r="C339" s="1" t="n">
        <v>46003</v>
      </c>
      <c r="D339" t="inlineStr">
        <is>
          <t>DALARNAS LÄN</t>
        </is>
      </c>
      <c r="E339" t="inlineStr">
        <is>
          <t>LEKSAND</t>
        </is>
      </c>
      <c r="G339" t="n">
        <v>1.1</v>
      </c>
      <c r="H339" t="n">
        <v>0</v>
      </c>
      <c r="I339" t="n">
        <v>0</v>
      </c>
      <c r="J339" t="n">
        <v>0</v>
      </c>
      <c r="K339" t="n">
        <v>0</v>
      </c>
      <c r="L339" t="n">
        <v>0</v>
      </c>
      <c r="M339" t="n">
        <v>0</v>
      </c>
      <c r="N339" t="n">
        <v>0</v>
      </c>
      <c r="O339" t="n">
        <v>0</v>
      </c>
      <c r="P339" t="n">
        <v>0</v>
      </c>
      <c r="Q339" t="n">
        <v>0</v>
      </c>
      <c r="R339" s="2" t="inlineStr"/>
    </row>
    <row r="340" ht="15" customHeight="1">
      <c r="A340" t="inlineStr">
        <is>
          <t>A 14504-2025</t>
        </is>
      </c>
      <c r="B340" s="1" t="n">
        <v>45741</v>
      </c>
      <c r="C340" s="1" t="n">
        <v>46003</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19371-2024</t>
        </is>
      </c>
      <c r="B341" s="1" t="n">
        <v>45429.34969907408</v>
      </c>
      <c r="C341" s="1" t="n">
        <v>46003</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7827-2024</t>
        </is>
      </c>
      <c r="B342" s="1" t="n">
        <v>45349.7467824074</v>
      </c>
      <c r="C342" s="1" t="n">
        <v>46003</v>
      </c>
      <c r="D342" t="inlineStr">
        <is>
          <t>DALARNAS LÄN</t>
        </is>
      </c>
      <c r="E342" t="inlineStr">
        <is>
          <t>LEKSAND</t>
        </is>
      </c>
      <c r="G342" t="n">
        <v>2.2</v>
      </c>
      <c r="H342" t="n">
        <v>0</v>
      </c>
      <c r="I342" t="n">
        <v>0</v>
      </c>
      <c r="J342" t="n">
        <v>0</v>
      </c>
      <c r="K342" t="n">
        <v>0</v>
      </c>
      <c r="L342" t="n">
        <v>0</v>
      </c>
      <c r="M342" t="n">
        <v>0</v>
      </c>
      <c r="N342" t="n">
        <v>0</v>
      </c>
      <c r="O342" t="n">
        <v>0</v>
      </c>
      <c r="P342" t="n">
        <v>0</v>
      </c>
      <c r="Q342" t="n">
        <v>0</v>
      </c>
      <c r="R342" s="2" t="inlineStr"/>
    </row>
    <row r="343" ht="15" customHeight="1">
      <c r="A343" t="inlineStr">
        <is>
          <t>A 49405-2024</t>
        </is>
      </c>
      <c r="B343" s="1" t="n">
        <v>45595</v>
      </c>
      <c r="C343" s="1" t="n">
        <v>46003</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15986-2025</t>
        </is>
      </c>
      <c r="B344" s="1" t="n">
        <v>45749.57331018519</v>
      </c>
      <c r="C344" s="1" t="n">
        <v>46003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40007-2024</t>
        </is>
      </c>
      <c r="B345" s="1" t="n">
        <v>45553.6516550926</v>
      </c>
      <c r="C345" s="1" t="n">
        <v>46003</v>
      </c>
      <c r="D345" t="inlineStr">
        <is>
          <t>DALARNAS LÄN</t>
        </is>
      </c>
      <c r="E345" t="inlineStr">
        <is>
          <t>LEKSAND</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2311-2021</t>
        </is>
      </c>
      <c r="B346" s="1" t="n">
        <v>44213</v>
      </c>
      <c r="C346" s="1" t="n">
        <v>46003</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32072-2024</t>
        </is>
      </c>
      <c r="B347" s="1" t="n">
        <v>45510.98405092592</v>
      </c>
      <c r="C347" s="1" t="n">
        <v>46003</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62295-2023</t>
        </is>
      </c>
      <c r="B348" s="1" t="n">
        <v>45267</v>
      </c>
      <c r="C348" s="1" t="n">
        <v>46003</v>
      </c>
      <c r="D348" t="inlineStr">
        <is>
          <t>DALARNAS LÄN</t>
        </is>
      </c>
      <c r="E348" t="inlineStr">
        <is>
          <t>LEKSAND</t>
        </is>
      </c>
      <c r="G348" t="n">
        <v>2.5</v>
      </c>
      <c r="H348" t="n">
        <v>0</v>
      </c>
      <c r="I348" t="n">
        <v>0</v>
      </c>
      <c r="J348" t="n">
        <v>0</v>
      </c>
      <c r="K348" t="n">
        <v>0</v>
      </c>
      <c r="L348" t="n">
        <v>0</v>
      </c>
      <c r="M348" t="n">
        <v>0</v>
      </c>
      <c r="N348" t="n">
        <v>0</v>
      </c>
      <c r="O348" t="n">
        <v>0</v>
      </c>
      <c r="P348" t="n">
        <v>0</v>
      </c>
      <c r="Q348" t="n">
        <v>0</v>
      </c>
      <c r="R348" s="2" t="inlineStr"/>
    </row>
    <row r="349" ht="15" customHeight="1">
      <c r="A349" t="inlineStr">
        <is>
          <t>A 10771-2024</t>
        </is>
      </c>
      <c r="B349" s="1" t="n">
        <v>45369.57342592593</v>
      </c>
      <c r="C349" s="1" t="n">
        <v>46003</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13165-2023</t>
        </is>
      </c>
      <c r="B350" s="1" t="n">
        <v>45002.57731481481</v>
      </c>
      <c r="C350" s="1" t="n">
        <v>46003</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60878-2023</t>
        </is>
      </c>
      <c r="B351" s="1" t="n">
        <v>45259</v>
      </c>
      <c r="C351" s="1" t="n">
        <v>46003</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7467-2023</t>
        </is>
      </c>
      <c r="B352" s="1" t="n">
        <v>44966</v>
      </c>
      <c r="C352" s="1" t="n">
        <v>46003</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45788-2021</t>
        </is>
      </c>
      <c r="B353" s="1" t="n">
        <v>44441</v>
      </c>
      <c r="C353" s="1" t="n">
        <v>46003</v>
      </c>
      <c r="D353" t="inlineStr">
        <is>
          <t>DALARNAS LÄN</t>
        </is>
      </c>
      <c r="E353" t="inlineStr">
        <is>
          <t>LEKSAND</t>
        </is>
      </c>
      <c r="G353" t="n">
        <v>3</v>
      </c>
      <c r="H353" t="n">
        <v>0</v>
      </c>
      <c r="I353" t="n">
        <v>0</v>
      </c>
      <c r="J353" t="n">
        <v>0</v>
      </c>
      <c r="K353" t="n">
        <v>0</v>
      </c>
      <c r="L353" t="n">
        <v>0</v>
      </c>
      <c r="M353" t="n">
        <v>0</v>
      </c>
      <c r="N353" t="n">
        <v>0</v>
      </c>
      <c r="O353" t="n">
        <v>0</v>
      </c>
      <c r="P353" t="n">
        <v>0</v>
      </c>
      <c r="Q353" t="n">
        <v>0</v>
      </c>
      <c r="R353" s="2" t="inlineStr"/>
    </row>
    <row r="354" ht="15" customHeight="1">
      <c r="A354" t="inlineStr">
        <is>
          <t>A 61502-2023</t>
        </is>
      </c>
      <c r="B354" s="1" t="n">
        <v>45264</v>
      </c>
      <c r="C354" s="1" t="n">
        <v>46003</v>
      </c>
      <c r="D354" t="inlineStr">
        <is>
          <t>DALARNAS LÄN</t>
        </is>
      </c>
      <c r="E354" t="inlineStr">
        <is>
          <t>LEKSAND</t>
        </is>
      </c>
      <c r="G354" t="n">
        <v>5.2</v>
      </c>
      <c r="H354" t="n">
        <v>0</v>
      </c>
      <c r="I354" t="n">
        <v>0</v>
      </c>
      <c r="J354" t="n">
        <v>0</v>
      </c>
      <c r="K354" t="n">
        <v>0</v>
      </c>
      <c r="L354" t="n">
        <v>0</v>
      </c>
      <c r="M354" t="n">
        <v>0</v>
      </c>
      <c r="N354" t="n">
        <v>0</v>
      </c>
      <c r="O354" t="n">
        <v>0</v>
      </c>
      <c r="P354" t="n">
        <v>0</v>
      </c>
      <c r="Q354" t="n">
        <v>0</v>
      </c>
      <c r="R354" s="2" t="inlineStr"/>
    </row>
    <row r="355" ht="15" customHeight="1">
      <c r="A355" t="inlineStr">
        <is>
          <t>A 28965-2023</t>
        </is>
      </c>
      <c r="B355" s="1" t="n">
        <v>45104</v>
      </c>
      <c r="C355" s="1" t="n">
        <v>46003</v>
      </c>
      <c r="D355" t="inlineStr">
        <is>
          <t>DALARNAS LÄN</t>
        </is>
      </c>
      <c r="E355" t="inlineStr">
        <is>
          <t>LEKSAND</t>
        </is>
      </c>
      <c r="F355" t="inlineStr">
        <is>
          <t>Bergvik skog väst AB</t>
        </is>
      </c>
      <c r="G355" t="n">
        <v>0.9</v>
      </c>
      <c r="H355" t="n">
        <v>0</v>
      </c>
      <c r="I355" t="n">
        <v>0</v>
      </c>
      <c r="J355" t="n">
        <v>0</v>
      </c>
      <c r="K355" t="n">
        <v>0</v>
      </c>
      <c r="L355" t="n">
        <v>0</v>
      </c>
      <c r="M355" t="n">
        <v>0</v>
      </c>
      <c r="N355" t="n">
        <v>0</v>
      </c>
      <c r="O355" t="n">
        <v>0</v>
      </c>
      <c r="P355" t="n">
        <v>0</v>
      </c>
      <c r="Q355" t="n">
        <v>0</v>
      </c>
      <c r="R355" s="2" t="inlineStr"/>
    </row>
    <row r="356" ht="15" customHeight="1">
      <c r="A356" t="inlineStr">
        <is>
          <t>A 1719-2024</t>
        </is>
      </c>
      <c r="B356" s="1" t="n">
        <v>45307</v>
      </c>
      <c r="C356" s="1" t="n">
        <v>46003</v>
      </c>
      <c r="D356" t="inlineStr">
        <is>
          <t>DALARNAS LÄN</t>
        </is>
      </c>
      <c r="E356" t="inlineStr">
        <is>
          <t>LEKSAND</t>
        </is>
      </c>
      <c r="G356" t="n">
        <v>2.8</v>
      </c>
      <c r="H356" t="n">
        <v>0</v>
      </c>
      <c r="I356" t="n">
        <v>0</v>
      </c>
      <c r="J356" t="n">
        <v>0</v>
      </c>
      <c r="K356" t="n">
        <v>0</v>
      </c>
      <c r="L356" t="n">
        <v>0</v>
      </c>
      <c r="M356" t="n">
        <v>0</v>
      </c>
      <c r="N356" t="n">
        <v>0</v>
      </c>
      <c r="O356" t="n">
        <v>0</v>
      </c>
      <c r="P356" t="n">
        <v>0</v>
      </c>
      <c r="Q356" t="n">
        <v>0</v>
      </c>
      <c r="R356" s="2" t="inlineStr"/>
    </row>
    <row r="357" ht="15" customHeight="1">
      <c r="A357" t="inlineStr">
        <is>
          <t>A 16744-2025</t>
        </is>
      </c>
      <c r="B357" s="1" t="n">
        <v>45754</v>
      </c>
      <c r="C357" s="1" t="n">
        <v>46003</v>
      </c>
      <c r="D357" t="inlineStr">
        <is>
          <t>DALARNAS LÄN</t>
        </is>
      </c>
      <c r="E357" t="inlineStr">
        <is>
          <t>LEKSAND</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28592-2023</t>
        </is>
      </c>
      <c r="B358" s="1" t="n">
        <v>45103</v>
      </c>
      <c r="C358" s="1" t="n">
        <v>46003</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46834-2023</t>
        </is>
      </c>
      <c r="B359" s="1" t="n">
        <v>45199.35668981481</v>
      </c>
      <c r="C359" s="1" t="n">
        <v>46003</v>
      </c>
      <c r="D359" t="inlineStr">
        <is>
          <t>DALARNAS LÄN</t>
        </is>
      </c>
      <c r="E359" t="inlineStr">
        <is>
          <t>LEKSAND</t>
        </is>
      </c>
      <c r="G359" t="n">
        <v>16.3</v>
      </c>
      <c r="H359" t="n">
        <v>0</v>
      </c>
      <c r="I359" t="n">
        <v>0</v>
      </c>
      <c r="J359" t="n">
        <v>0</v>
      </c>
      <c r="K359" t="n">
        <v>0</v>
      </c>
      <c r="L359" t="n">
        <v>0</v>
      </c>
      <c r="M359" t="n">
        <v>0</v>
      </c>
      <c r="N359" t="n">
        <v>0</v>
      </c>
      <c r="O359" t="n">
        <v>0</v>
      </c>
      <c r="P359" t="n">
        <v>0</v>
      </c>
      <c r="Q359" t="n">
        <v>0</v>
      </c>
      <c r="R359" s="2" t="inlineStr"/>
    </row>
    <row r="360" ht="15" customHeight="1">
      <c r="A360" t="inlineStr">
        <is>
          <t>A 22349-2024</t>
        </is>
      </c>
      <c r="B360" s="1" t="n">
        <v>45446</v>
      </c>
      <c r="C360" s="1" t="n">
        <v>46003</v>
      </c>
      <c r="D360" t="inlineStr">
        <is>
          <t>DALARNAS LÄN</t>
        </is>
      </c>
      <c r="E360" t="inlineStr">
        <is>
          <t>LEKSAND</t>
        </is>
      </c>
      <c r="G360" t="n">
        <v>0.6</v>
      </c>
      <c r="H360" t="n">
        <v>0</v>
      </c>
      <c r="I360" t="n">
        <v>0</v>
      </c>
      <c r="J360" t="n">
        <v>0</v>
      </c>
      <c r="K360" t="n">
        <v>0</v>
      </c>
      <c r="L360" t="n">
        <v>0</v>
      </c>
      <c r="M360" t="n">
        <v>0</v>
      </c>
      <c r="N360" t="n">
        <v>0</v>
      </c>
      <c r="O360" t="n">
        <v>0</v>
      </c>
      <c r="P360" t="n">
        <v>0</v>
      </c>
      <c r="Q360" t="n">
        <v>0</v>
      </c>
      <c r="R360" s="2" t="inlineStr"/>
    </row>
    <row r="361" ht="15" customHeight="1">
      <c r="A361" t="inlineStr">
        <is>
          <t>A 11617-2024</t>
        </is>
      </c>
      <c r="B361" s="1" t="n">
        <v>45373.42898148148</v>
      </c>
      <c r="C361" s="1" t="n">
        <v>46003</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1983-2025</t>
        </is>
      </c>
      <c r="B362" s="1" t="n">
        <v>45670</v>
      </c>
      <c r="C362" s="1" t="n">
        <v>46003</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21402-2023</t>
        </is>
      </c>
      <c r="B363" s="1" t="n">
        <v>45061</v>
      </c>
      <c r="C363" s="1" t="n">
        <v>46003</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61953-2023</t>
        </is>
      </c>
      <c r="B364" s="1" t="n">
        <v>45266</v>
      </c>
      <c r="C364" s="1" t="n">
        <v>46003</v>
      </c>
      <c r="D364" t="inlineStr">
        <is>
          <t>DALARNAS LÄN</t>
        </is>
      </c>
      <c r="E364" t="inlineStr">
        <is>
          <t>LEKSAND</t>
        </is>
      </c>
      <c r="G364" t="n">
        <v>0.1</v>
      </c>
      <c r="H364" t="n">
        <v>0</v>
      </c>
      <c r="I364" t="n">
        <v>0</v>
      </c>
      <c r="J364" t="n">
        <v>0</v>
      </c>
      <c r="K364" t="n">
        <v>0</v>
      </c>
      <c r="L364" t="n">
        <v>0</v>
      </c>
      <c r="M364" t="n">
        <v>0</v>
      </c>
      <c r="N364" t="n">
        <v>0</v>
      </c>
      <c r="O364" t="n">
        <v>0</v>
      </c>
      <c r="P364" t="n">
        <v>0</v>
      </c>
      <c r="Q364" t="n">
        <v>0</v>
      </c>
      <c r="R364" s="2" t="inlineStr"/>
    </row>
    <row r="365" ht="15" customHeight="1">
      <c r="A365" t="inlineStr">
        <is>
          <t>A 58619-2022</t>
        </is>
      </c>
      <c r="B365" s="1" t="n">
        <v>44902.59579861111</v>
      </c>
      <c r="C365" s="1" t="n">
        <v>46003</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20946-2023</t>
        </is>
      </c>
      <c r="B366" s="1" t="n">
        <v>45061</v>
      </c>
      <c r="C366" s="1" t="n">
        <v>46003</v>
      </c>
      <c r="D366" t="inlineStr">
        <is>
          <t>DALARNAS LÄN</t>
        </is>
      </c>
      <c r="E366" t="inlineStr">
        <is>
          <t>LEKSAND</t>
        </is>
      </c>
      <c r="G366" t="n">
        <v>2.7</v>
      </c>
      <c r="H366" t="n">
        <v>0</v>
      </c>
      <c r="I366" t="n">
        <v>0</v>
      </c>
      <c r="J366" t="n">
        <v>0</v>
      </c>
      <c r="K366" t="n">
        <v>0</v>
      </c>
      <c r="L366" t="n">
        <v>0</v>
      </c>
      <c r="M366" t="n">
        <v>0</v>
      </c>
      <c r="N366" t="n">
        <v>0</v>
      </c>
      <c r="O366" t="n">
        <v>0</v>
      </c>
      <c r="P366" t="n">
        <v>0</v>
      </c>
      <c r="Q366" t="n">
        <v>0</v>
      </c>
      <c r="R366" s="2" t="inlineStr"/>
    </row>
    <row r="367" ht="15" customHeight="1">
      <c r="A367" t="inlineStr">
        <is>
          <t>A 43142-2024</t>
        </is>
      </c>
      <c r="B367" s="1" t="n">
        <v>45567.62144675926</v>
      </c>
      <c r="C367" s="1" t="n">
        <v>46003</v>
      </c>
      <c r="D367" t="inlineStr">
        <is>
          <t>DALARNAS LÄN</t>
        </is>
      </c>
      <c r="E367" t="inlineStr">
        <is>
          <t>LEKSAND</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61225-2023</t>
        </is>
      </c>
      <c r="B368" s="1" t="n">
        <v>45264</v>
      </c>
      <c r="C368" s="1" t="n">
        <v>46003</v>
      </c>
      <c r="D368" t="inlineStr">
        <is>
          <t>DALARNAS LÄN</t>
        </is>
      </c>
      <c r="E368" t="inlineStr">
        <is>
          <t>LEKSAND</t>
        </is>
      </c>
      <c r="G368" t="n">
        <v>7</v>
      </c>
      <c r="H368" t="n">
        <v>0</v>
      </c>
      <c r="I368" t="n">
        <v>0</v>
      </c>
      <c r="J368" t="n">
        <v>0</v>
      </c>
      <c r="K368" t="n">
        <v>0</v>
      </c>
      <c r="L368" t="n">
        <v>0</v>
      </c>
      <c r="M368" t="n">
        <v>0</v>
      </c>
      <c r="N368" t="n">
        <v>0</v>
      </c>
      <c r="O368" t="n">
        <v>0</v>
      </c>
      <c r="P368" t="n">
        <v>0</v>
      </c>
      <c r="Q368" t="n">
        <v>0</v>
      </c>
      <c r="R368" s="2" t="inlineStr"/>
    </row>
    <row r="369" ht="15" customHeight="1">
      <c r="A369" t="inlineStr">
        <is>
          <t>A 61252-2023</t>
        </is>
      </c>
      <c r="B369" s="1" t="n">
        <v>45261</v>
      </c>
      <c r="C369" s="1" t="n">
        <v>46003</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20683-2025</t>
        </is>
      </c>
      <c r="B370" s="1" t="n">
        <v>45776</v>
      </c>
      <c r="C370" s="1" t="n">
        <v>46003</v>
      </c>
      <c r="D370" t="inlineStr">
        <is>
          <t>DALARNAS LÄN</t>
        </is>
      </c>
      <c r="E370" t="inlineStr">
        <is>
          <t>LEKSAND</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2630-2025</t>
        </is>
      </c>
      <c r="B371" s="1" t="n">
        <v>45675.85865740741</v>
      </c>
      <c r="C371" s="1" t="n">
        <v>46003</v>
      </c>
      <c r="D371" t="inlineStr">
        <is>
          <t>DALARNAS LÄN</t>
        </is>
      </c>
      <c r="E371" t="inlineStr">
        <is>
          <t>LEKSAND</t>
        </is>
      </c>
      <c r="G371" t="n">
        <v>1.6</v>
      </c>
      <c r="H371" t="n">
        <v>0</v>
      </c>
      <c r="I371" t="n">
        <v>0</v>
      </c>
      <c r="J371" t="n">
        <v>0</v>
      </c>
      <c r="K371" t="n">
        <v>0</v>
      </c>
      <c r="L371" t="n">
        <v>0</v>
      </c>
      <c r="M371" t="n">
        <v>0</v>
      </c>
      <c r="N371" t="n">
        <v>0</v>
      </c>
      <c r="O371" t="n">
        <v>0</v>
      </c>
      <c r="P371" t="n">
        <v>0</v>
      </c>
      <c r="Q371" t="n">
        <v>0</v>
      </c>
      <c r="R371" s="2" t="inlineStr"/>
    </row>
    <row r="372" ht="15" customHeight="1">
      <c r="A372" t="inlineStr">
        <is>
          <t>A 14617-2024</t>
        </is>
      </c>
      <c r="B372" s="1" t="n">
        <v>45397</v>
      </c>
      <c r="C372" s="1" t="n">
        <v>46003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47673-2023</t>
        </is>
      </c>
      <c r="B373" s="1" t="n">
        <v>45203</v>
      </c>
      <c r="C373" s="1" t="n">
        <v>46003</v>
      </c>
      <c r="D373" t="inlineStr">
        <is>
          <t>DALARNAS LÄN</t>
        </is>
      </c>
      <c r="E373" t="inlineStr">
        <is>
          <t>LEKSAND</t>
        </is>
      </c>
      <c r="G373" t="n">
        <v>2</v>
      </c>
      <c r="H373" t="n">
        <v>0</v>
      </c>
      <c r="I373" t="n">
        <v>0</v>
      </c>
      <c r="J373" t="n">
        <v>0</v>
      </c>
      <c r="K373" t="n">
        <v>0</v>
      </c>
      <c r="L373" t="n">
        <v>0</v>
      </c>
      <c r="M373" t="n">
        <v>0</v>
      </c>
      <c r="N373" t="n">
        <v>0</v>
      </c>
      <c r="O373" t="n">
        <v>0</v>
      </c>
      <c r="P373" t="n">
        <v>0</v>
      </c>
      <c r="Q373" t="n">
        <v>0</v>
      </c>
      <c r="R373" s="2" t="inlineStr"/>
    </row>
    <row r="374" ht="15" customHeight="1">
      <c r="A374" t="inlineStr">
        <is>
          <t>A 59718-2023</t>
        </is>
      </c>
      <c r="B374" s="1" t="n">
        <v>45257</v>
      </c>
      <c r="C374" s="1" t="n">
        <v>46003</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13063-2023</t>
        </is>
      </c>
      <c r="B375" s="1" t="n">
        <v>45001</v>
      </c>
      <c r="C375" s="1" t="n">
        <v>46003</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46141-2022</t>
        </is>
      </c>
      <c r="B376" s="1" t="n">
        <v>44846</v>
      </c>
      <c r="C376" s="1" t="n">
        <v>46003</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62993-2023</t>
        </is>
      </c>
      <c r="B377" s="1" t="n">
        <v>45272</v>
      </c>
      <c r="C377" s="1" t="n">
        <v>46003</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42727-2024</t>
        </is>
      </c>
      <c r="B378" s="1" t="n">
        <v>45566</v>
      </c>
      <c r="C378" s="1" t="n">
        <v>46003</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1775-2022</t>
        </is>
      </c>
      <c r="B379" s="1" t="n">
        <v>44574</v>
      </c>
      <c r="C379" s="1" t="n">
        <v>46003</v>
      </c>
      <c r="D379" t="inlineStr">
        <is>
          <t>DALARNAS LÄN</t>
        </is>
      </c>
      <c r="E379" t="inlineStr">
        <is>
          <t>LEKSAND</t>
        </is>
      </c>
      <c r="G379" t="n">
        <v>2</v>
      </c>
      <c r="H379" t="n">
        <v>0</v>
      </c>
      <c r="I379" t="n">
        <v>0</v>
      </c>
      <c r="J379" t="n">
        <v>0</v>
      </c>
      <c r="K379" t="n">
        <v>0</v>
      </c>
      <c r="L379" t="n">
        <v>0</v>
      </c>
      <c r="M379" t="n">
        <v>0</v>
      </c>
      <c r="N379" t="n">
        <v>0</v>
      </c>
      <c r="O379" t="n">
        <v>0</v>
      </c>
      <c r="P379" t="n">
        <v>0</v>
      </c>
      <c r="Q379" t="n">
        <v>0</v>
      </c>
      <c r="R379" s="2" t="inlineStr"/>
    </row>
    <row r="380" ht="15" customHeight="1">
      <c r="A380" t="inlineStr">
        <is>
          <t>A 61933-2023</t>
        </is>
      </c>
      <c r="B380" s="1" t="n">
        <v>45266</v>
      </c>
      <c r="C380" s="1" t="n">
        <v>46003</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30994-2023</t>
        </is>
      </c>
      <c r="B381" s="1" t="n">
        <v>45113</v>
      </c>
      <c r="C381" s="1" t="n">
        <v>46003</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33198-2022</t>
        </is>
      </c>
      <c r="B382" s="1" t="n">
        <v>44785.68597222222</v>
      </c>
      <c r="C382" s="1" t="n">
        <v>46003</v>
      </c>
      <c r="D382" t="inlineStr">
        <is>
          <t>DALARNAS LÄN</t>
        </is>
      </c>
      <c r="E382" t="inlineStr">
        <is>
          <t>LEKSAND</t>
        </is>
      </c>
      <c r="G382" t="n">
        <v>1.5</v>
      </c>
      <c r="H382" t="n">
        <v>0</v>
      </c>
      <c r="I382" t="n">
        <v>0</v>
      </c>
      <c r="J382" t="n">
        <v>0</v>
      </c>
      <c r="K382" t="n">
        <v>0</v>
      </c>
      <c r="L382" t="n">
        <v>0</v>
      </c>
      <c r="M382" t="n">
        <v>0</v>
      </c>
      <c r="N382" t="n">
        <v>0</v>
      </c>
      <c r="O382" t="n">
        <v>0</v>
      </c>
      <c r="P382" t="n">
        <v>0</v>
      </c>
      <c r="Q382" t="n">
        <v>0</v>
      </c>
      <c r="R382" s="2" t="inlineStr"/>
    </row>
    <row r="383" ht="15" customHeight="1">
      <c r="A383" t="inlineStr">
        <is>
          <t>A 36444-2023</t>
        </is>
      </c>
      <c r="B383" s="1" t="n">
        <v>45152.63138888889</v>
      </c>
      <c r="C383" s="1" t="n">
        <v>46003</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40407-2024</t>
        </is>
      </c>
      <c r="B384" s="1" t="n">
        <v>45555</v>
      </c>
      <c r="C384" s="1" t="n">
        <v>46003</v>
      </c>
      <c r="D384" t="inlineStr">
        <is>
          <t>DALARNAS LÄN</t>
        </is>
      </c>
      <c r="E384" t="inlineStr">
        <is>
          <t>LEKSAND</t>
        </is>
      </c>
      <c r="G384" t="n">
        <v>1.4</v>
      </c>
      <c r="H384" t="n">
        <v>0</v>
      </c>
      <c r="I384" t="n">
        <v>0</v>
      </c>
      <c r="J384" t="n">
        <v>0</v>
      </c>
      <c r="K384" t="n">
        <v>0</v>
      </c>
      <c r="L384" t="n">
        <v>0</v>
      </c>
      <c r="M384" t="n">
        <v>0</v>
      </c>
      <c r="N384" t="n">
        <v>0</v>
      </c>
      <c r="O384" t="n">
        <v>0</v>
      </c>
      <c r="P384" t="n">
        <v>0</v>
      </c>
      <c r="Q384" t="n">
        <v>0</v>
      </c>
      <c r="R384" s="2" t="inlineStr"/>
    </row>
    <row r="385" ht="15" customHeight="1">
      <c r="A385" t="inlineStr">
        <is>
          <t>A 38090-2025</t>
        </is>
      </c>
      <c r="B385" s="1" t="n">
        <v>45882.48440972222</v>
      </c>
      <c r="C385" s="1" t="n">
        <v>46003</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57665-2023</t>
        </is>
      </c>
      <c r="B386" s="1" t="n">
        <v>45246</v>
      </c>
      <c r="C386" s="1" t="n">
        <v>46003</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15619-2025</t>
        </is>
      </c>
      <c r="B387" s="1" t="n">
        <v>45747</v>
      </c>
      <c r="C387" s="1" t="n">
        <v>46003</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46931-2023</t>
        </is>
      </c>
      <c r="B388" s="1" t="n">
        <v>45201</v>
      </c>
      <c r="C388" s="1" t="n">
        <v>46003</v>
      </c>
      <c r="D388" t="inlineStr">
        <is>
          <t>DALARNAS LÄN</t>
        </is>
      </c>
      <c r="E388" t="inlineStr">
        <is>
          <t>LEKSAND</t>
        </is>
      </c>
      <c r="G388" t="n">
        <v>1.4</v>
      </c>
      <c r="H388" t="n">
        <v>0</v>
      </c>
      <c r="I388" t="n">
        <v>0</v>
      </c>
      <c r="J388" t="n">
        <v>0</v>
      </c>
      <c r="K388" t="n">
        <v>0</v>
      </c>
      <c r="L388" t="n">
        <v>0</v>
      </c>
      <c r="M388" t="n">
        <v>0</v>
      </c>
      <c r="N388" t="n">
        <v>0</v>
      </c>
      <c r="O388" t="n">
        <v>0</v>
      </c>
      <c r="P388" t="n">
        <v>0</v>
      </c>
      <c r="Q388" t="n">
        <v>0</v>
      </c>
      <c r="R388" s="2" t="inlineStr"/>
    </row>
    <row r="389" ht="15" customHeight="1">
      <c r="A389" t="inlineStr">
        <is>
          <t>A 17483-2025</t>
        </is>
      </c>
      <c r="B389" s="1" t="n">
        <v>45757.49408564815</v>
      </c>
      <c r="C389" s="1" t="n">
        <v>46003</v>
      </c>
      <c r="D389" t="inlineStr">
        <is>
          <t>DALARNAS LÄN</t>
        </is>
      </c>
      <c r="E389" t="inlineStr">
        <is>
          <t>LEKSAND</t>
        </is>
      </c>
      <c r="G389" t="n">
        <v>4.1</v>
      </c>
      <c r="H389" t="n">
        <v>0</v>
      </c>
      <c r="I389" t="n">
        <v>0</v>
      </c>
      <c r="J389" t="n">
        <v>0</v>
      </c>
      <c r="K389" t="n">
        <v>0</v>
      </c>
      <c r="L389" t="n">
        <v>0</v>
      </c>
      <c r="M389" t="n">
        <v>0</v>
      </c>
      <c r="N389" t="n">
        <v>0</v>
      </c>
      <c r="O389" t="n">
        <v>0</v>
      </c>
      <c r="P389" t="n">
        <v>0</v>
      </c>
      <c r="Q389" t="n">
        <v>0</v>
      </c>
      <c r="R389" s="2" t="inlineStr"/>
    </row>
    <row r="390" ht="15" customHeight="1">
      <c r="A390" t="inlineStr">
        <is>
          <t>A 51480-2022</t>
        </is>
      </c>
      <c r="B390" s="1" t="n">
        <v>44869.57961805556</v>
      </c>
      <c r="C390" s="1" t="n">
        <v>46003</v>
      </c>
      <c r="D390" t="inlineStr">
        <is>
          <t>DALARNAS LÄN</t>
        </is>
      </c>
      <c r="E390" t="inlineStr">
        <is>
          <t>LEKSAND</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17759-2023</t>
        </is>
      </c>
      <c r="B391" s="1" t="n">
        <v>45037.48765046296</v>
      </c>
      <c r="C391" s="1" t="n">
        <v>46003</v>
      </c>
      <c r="D391" t="inlineStr">
        <is>
          <t>DALARNAS LÄN</t>
        </is>
      </c>
      <c r="E391" t="inlineStr">
        <is>
          <t>LEKSAND</t>
        </is>
      </c>
      <c r="G391" t="n">
        <v>2.1</v>
      </c>
      <c r="H391" t="n">
        <v>0</v>
      </c>
      <c r="I391" t="n">
        <v>0</v>
      </c>
      <c r="J391" t="n">
        <v>0</v>
      </c>
      <c r="K391" t="n">
        <v>0</v>
      </c>
      <c r="L391" t="n">
        <v>0</v>
      </c>
      <c r="M391" t="n">
        <v>0</v>
      </c>
      <c r="N391" t="n">
        <v>0</v>
      </c>
      <c r="O391" t="n">
        <v>0</v>
      </c>
      <c r="P391" t="n">
        <v>0</v>
      </c>
      <c r="Q391" t="n">
        <v>0</v>
      </c>
      <c r="R391" s="2" t="inlineStr"/>
    </row>
    <row r="392" ht="15" customHeight="1">
      <c r="A392" t="inlineStr">
        <is>
          <t>A 43220-2024</t>
        </is>
      </c>
      <c r="B392" s="1" t="n">
        <v>45567.86112268519</v>
      </c>
      <c r="C392" s="1" t="n">
        <v>46003</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55015-2024</t>
        </is>
      </c>
      <c r="B393" s="1" t="n">
        <v>45621.35554398148</v>
      </c>
      <c r="C393" s="1" t="n">
        <v>46003</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34039-2024</t>
        </is>
      </c>
      <c r="B394" s="1" t="n">
        <v>45523.5974537037</v>
      </c>
      <c r="C394" s="1" t="n">
        <v>46003</v>
      </c>
      <c r="D394" t="inlineStr">
        <is>
          <t>DALARNAS LÄN</t>
        </is>
      </c>
      <c r="E394" t="inlineStr">
        <is>
          <t>LEKSAND</t>
        </is>
      </c>
      <c r="G394" t="n">
        <v>7.1</v>
      </c>
      <c r="H394" t="n">
        <v>0</v>
      </c>
      <c r="I394" t="n">
        <v>0</v>
      </c>
      <c r="J394" t="n">
        <v>0</v>
      </c>
      <c r="K394" t="n">
        <v>0</v>
      </c>
      <c r="L394" t="n">
        <v>0</v>
      </c>
      <c r="M394" t="n">
        <v>0</v>
      </c>
      <c r="N394" t="n">
        <v>0</v>
      </c>
      <c r="O394" t="n">
        <v>0</v>
      </c>
      <c r="P394" t="n">
        <v>0</v>
      </c>
      <c r="Q394" t="n">
        <v>0</v>
      </c>
      <c r="R394" s="2" t="inlineStr"/>
    </row>
    <row r="395" ht="15" customHeight="1">
      <c r="A395" t="inlineStr">
        <is>
          <t>A 46505-2023</t>
        </is>
      </c>
      <c r="B395" s="1" t="n">
        <v>45197</v>
      </c>
      <c r="C395" s="1" t="n">
        <v>46003</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481-2024</t>
        </is>
      </c>
      <c r="B396" s="1" t="n">
        <v>45298</v>
      </c>
      <c r="C396" s="1" t="n">
        <v>46003</v>
      </c>
      <c r="D396" t="inlineStr">
        <is>
          <t>DALARNAS LÄN</t>
        </is>
      </c>
      <c r="E396" t="inlineStr">
        <is>
          <t>LEKSAND</t>
        </is>
      </c>
      <c r="G396" t="n">
        <v>7</v>
      </c>
      <c r="H396" t="n">
        <v>0</v>
      </c>
      <c r="I396" t="n">
        <v>0</v>
      </c>
      <c r="J396" t="n">
        <v>0</v>
      </c>
      <c r="K396" t="n">
        <v>0</v>
      </c>
      <c r="L396" t="n">
        <v>0</v>
      </c>
      <c r="M396" t="n">
        <v>0</v>
      </c>
      <c r="N396" t="n">
        <v>0</v>
      </c>
      <c r="O396" t="n">
        <v>0</v>
      </c>
      <c r="P396" t="n">
        <v>0</v>
      </c>
      <c r="Q396" t="n">
        <v>0</v>
      </c>
      <c r="R396" s="2" t="inlineStr"/>
    </row>
    <row r="397" ht="15" customHeight="1">
      <c r="A397" t="inlineStr">
        <is>
          <t>A 20937-2025</t>
        </is>
      </c>
      <c r="B397" s="1" t="n">
        <v>45777.42769675926</v>
      </c>
      <c r="C397" s="1" t="n">
        <v>46003</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43237-2024</t>
        </is>
      </c>
      <c r="B398" s="1" t="n">
        <v>45567</v>
      </c>
      <c r="C398" s="1" t="n">
        <v>46003</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50278-2023</t>
        </is>
      </c>
      <c r="B399" s="1" t="n">
        <v>45216.43444444444</v>
      </c>
      <c r="C399" s="1" t="n">
        <v>46003</v>
      </c>
      <c r="D399" t="inlineStr">
        <is>
          <t>DALARNAS LÄN</t>
        </is>
      </c>
      <c r="E399" t="inlineStr">
        <is>
          <t>LEKSAND</t>
        </is>
      </c>
      <c r="G399" t="n">
        <v>0.4</v>
      </c>
      <c r="H399" t="n">
        <v>0</v>
      </c>
      <c r="I399" t="n">
        <v>0</v>
      </c>
      <c r="J399" t="n">
        <v>0</v>
      </c>
      <c r="K399" t="n">
        <v>0</v>
      </c>
      <c r="L399" t="n">
        <v>0</v>
      </c>
      <c r="M399" t="n">
        <v>0</v>
      </c>
      <c r="N399" t="n">
        <v>0</v>
      </c>
      <c r="O399" t="n">
        <v>0</v>
      </c>
      <c r="P399" t="n">
        <v>0</v>
      </c>
      <c r="Q399" t="n">
        <v>0</v>
      </c>
      <c r="R399" s="2" t="inlineStr"/>
    </row>
    <row r="400" ht="15" customHeight="1">
      <c r="A400" t="inlineStr">
        <is>
          <t>A 34482-2022</t>
        </is>
      </c>
      <c r="B400" s="1" t="n">
        <v>44792</v>
      </c>
      <c r="C400" s="1" t="n">
        <v>46003</v>
      </c>
      <c r="D400" t="inlineStr">
        <is>
          <t>DALARNAS LÄN</t>
        </is>
      </c>
      <c r="E400" t="inlineStr">
        <is>
          <t>LEKSAND</t>
        </is>
      </c>
      <c r="G400" t="n">
        <v>2.6</v>
      </c>
      <c r="H400" t="n">
        <v>0</v>
      </c>
      <c r="I400" t="n">
        <v>0</v>
      </c>
      <c r="J400" t="n">
        <v>0</v>
      </c>
      <c r="K400" t="n">
        <v>0</v>
      </c>
      <c r="L400" t="n">
        <v>0</v>
      </c>
      <c r="M400" t="n">
        <v>0</v>
      </c>
      <c r="N400" t="n">
        <v>0</v>
      </c>
      <c r="O400" t="n">
        <v>0</v>
      </c>
      <c r="P400" t="n">
        <v>0</v>
      </c>
      <c r="Q400" t="n">
        <v>0</v>
      </c>
      <c r="R400" s="2" t="inlineStr"/>
    </row>
    <row r="401" ht="15" customHeight="1">
      <c r="A401" t="inlineStr">
        <is>
          <t>A 17485-2025</t>
        </is>
      </c>
      <c r="B401" s="1" t="n">
        <v>45757.49976851852</v>
      </c>
      <c r="C401" s="1" t="n">
        <v>46003</v>
      </c>
      <c r="D401" t="inlineStr">
        <is>
          <t>DALARNAS LÄN</t>
        </is>
      </c>
      <c r="E401" t="inlineStr">
        <is>
          <t>LEKSAND</t>
        </is>
      </c>
      <c r="G401" t="n">
        <v>3.7</v>
      </c>
      <c r="H401" t="n">
        <v>0</v>
      </c>
      <c r="I401" t="n">
        <v>0</v>
      </c>
      <c r="J401" t="n">
        <v>0</v>
      </c>
      <c r="K401" t="n">
        <v>0</v>
      </c>
      <c r="L401" t="n">
        <v>0</v>
      </c>
      <c r="M401" t="n">
        <v>0</v>
      </c>
      <c r="N401" t="n">
        <v>0</v>
      </c>
      <c r="O401" t="n">
        <v>0</v>
      </c>
      <c r="P401" t="n">
        <v>0</v>
      </c>
      <c r="Q401" t="n">
        <v>0</v>
      </c>
      <c r="R401" s="2" t="inlineStr"/>
    </row>
    <row r="402" ht="15" customHeight="1">
      <c r="A402" t="inlineStr">
        <is>
          <t>A 21457-2025</t>
        </is>
      </c>
      <c r="B402" s="1" t="n">
        <v>45782.55451388889</v>
      </c>
      <c r="C402" s="1" t="n">
        <v>46003</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30595-2023</t>
        </is>
      </c>
      <c r="B403" s="1" t="n">
        <v>45112</v>
      </c>
      <c r="C403" s="1" t="n">
        <v>46003</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16197-2024</t>
        </is>
      </c>
      <c r="B404" s="1" t="n">
        <v>45406.70356481482</v>
      </c>
      <c r="C404" s="1" t="n">
        <v>46003</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5453-2025</t>
        </is>
      </c>
      <c r="B405" s="1" t="n">
        <v>45692.95231481481</v>
      </c>
      <c r="C405" s="1" t="n">
        <v>46003</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56943-2024</t>
        </is>
      </c>
      <c r="B406" s="1" t="n">
        <v>45625</v>
      </c>
      <c r="C406" s="1" t="n">
        <v>46003</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57925-2024</t>
        </is>
      </c>
      <c r="B407" s="1" t="n">
        <v>45630</v>
      </c>
      <c r="C407" s="1" t="n">
        <v>46003</v>
      </c>
      <c r="D407" t="inlineStr">
        <is>
          <t>DALARNAS LÄN</t>
        </is>
      </c>
      <c r="E407" t="inlineStr">
        <is>
          <t>LEKSAND</t>
        </is>
      </c>
      <c r="G407" t="n">
        <v>1.1</v>
      </c>
      <c r="H407" t="n">
        <v>0</v>
      </c>
      <c r="I407" t="n">
        <v>0</v>
      </c>
      <c r="J407" t="n">
        <v>0</v>
      </c>
      <c r="K407" t="n">
        <v>0</v>
      </c>
      <c r="L407" t="n">
        <v>0</v>
      </c>
      <c r="M407" t="n">
        <v>0</v>
      </c>
      <c r="N407" t="n">
        <v>0</v>
      </c>
      <c r="O407" t="n">
        <v>0</v>
      </c>
      <c r="P407" t="n">
        <v>0</v>
      </c>
      <c r="Q407" t="n">
        <v>0</v>
      </c>
      <c r="R407" s="2" t="inlineStr"/>
    </row>
    <row r="408" ht="15" customHeight="1">
      <c r="A408" t="inlineStr">
        <is>
          <t>A 21230-2025</t>
        </is>
      </c>
      <c r="B408" s="1" t="n">
        <v>45779.54589120371</v>
      </c>
      <c r="C408" s="1" t="n">
        <v>46003</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15257-2025</t>
        </is>
      </c>
      <c r="B409" s="1" t="n">
        <v>45744</v>
      </c>
      <c r="C409" s="1" t="n">
        <v>46003</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21193-2025</t>
        </is>
      </c>
      <c r="B410" s="1" t="n">
        <v>45779.46675925926</v>
      </c>
      <c r="C410" s="1" t="n">
        <v>46003</v>
      </c>
      <c r="D410" t="inlineStr">
        <is>
          <t>DALARNAS LÄN</t>
        </is>
      </c>
      <c r="E410" t="inlineStr">
        <is>
          <t>LEKSAND</t>
        </is>
      </c>
      <c r="G410" t="n">
        <v>3.7</v>
      </c>
      <c r="H410" t="n">
        <v>0</v>
      </c>
      <c r="I410" t="n">
        <v>0</v>
      </c>
      <c r="J410" t="n">
        <v>0</v>
      </c>
      <c r="K410" t="n">
        <v>0</v>
      </c>
      <c r="L410" t="n">
        <v>0</v>
      </c>
      <c r="M410" t="n">
        <v>0</v>
      </c>
      <c r="N410" t="n">
        <v>0</v>
      </c>
      <c r="O410" t="n">
        <v>0</v>
      </c>
      <c r="P410" t="n">
        <v>0</v>
      </c>
      <c r="Q410" t="n">
        <v>0</v>
      </c>
      <c r="R410" s="2" t="inlineStr"/>
    </row>
    <row r="411" ht="15" customHeight="1">
      <c r="A411" t="inlineStr">
        <is>
          <t>A 19296-2024</t>
        </is>
      </c>
      <c r="B411" s="1" t="n">
        <v>45428.69438657408</v>
      </c>
      <c r="C411" s="1" t="n">
        <v>46003</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24142-2021</t>
        </is>
      </c>
      <c r="B412" s="1" t="n">
        <v>44336</v>
      </c>
      <c r="C412" s="1" t="n">
        <v>46003</v>
      </c>
      <c r="D412" t="inlineStr">
        <is>
          <t>DALARNAS LÄN</t>
        </is>
      </c>
      <c r="E412" t="inlineStr">
        <is>
          <t>LEKSAND</t>
        </is>
      </c>
      <c r="F412" t="inlineStr">
        <is>
          <t>Bergvik skog väst AB</t>
        </is>
      </c>
      <c r="G412" t="n">
        <v>18.9</v>
      </c>
      <c r="H412" t="n">
        <v>0</v>
      </c>
      <c r="I412" t="n">
        <v>0</v>
      </c>
      <c r="J412" t="n">
        <v>0</v>
      </c>
      <c r="K412" t="n">
        <v>0</v>
      </c>
      <c r="L412" t="n">
        <v>0</v>
      </c>
      <c r="M412" t="n">
        <v>0</v>
      </c>
      <c r="N412" t="n">
        <v>0</v>
      </c>
      <c r="O412" t="n">
        <v>0</v>
      </c>
      <c r="P412" t="n">
        <v>0</v>
      </c>
      <c r="Q412" t="n">
        <v>0</v>
      </c>
      <c r="R412" s="2" t="inlineStr"/>
    </row>
    <row r="413" ht="15" customHeight="1">
      <c r="A413" t="inlineStr">
        <is>
          <t>A 27445-2024</t>
        </is>
      </c>
      <c r="B413" s="1" t="n">
        <v>45474.42474537037</v>
      </c>
      <c r="C413" s="1" t="n">
        <v>46003</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27446-2024</t>
        </is>
      </c>
      <c r="B414" s="1" t="n">
        <v>45474.42671296297</v>
      </c>
      <c r="C414" s="1" t="n">
        <v>46003</v>
      </c>
      <c r="D414" t="inlineStr">
        <is>
          <t>DALARNAS LÄN</t>
        </is>
      </c>
      <c r="E414" t="inlineStr">
        <is>
          <t>LEKSAND</t>
        </is>
      </c>
      <c r="G414" t="n">
        <v>2.9</v>
      </c>
      <c r="H414" t="n">
        <v>0</v>
      </c>
      <c r="I414" t="n">
        <v>0</v>
      </c>
      <c r="J414" t="n">
        <v>0</v>
      </c>
      <c r="K414" t="n">
        <v>0</v>
      </c>
      <c r="L414" t="n">
        <v>0</v>
      </c>
      <c r="M414" t="n">
        <v>0</v>
      </c>
      <c r="N414" t="n">
        <v>0</v>
      </c>
      <c r="O414" t="n">
        <v>0</v>
      </c>
      <c r="P414" t="n">
        <v>0</v>
      </c>
      <c r="Q414" t="n">
        <v>0</v>
      </c>
      <c r="R414" s="2" t="inlineStr"/>
    </row>
    <row r="415" ht="15" customHeight="1">
      <c r="A415" t="inlineStr">
        <is>
          <t>A 16815-2025</t>
        </is>
      </c>
      <c r="B415" s="1" t="n">
        <v>45754</v>
      </c>
      <c r="C415" s="1" t="n">
        <v>46003</v>
      </c>
      <c r="D415" t="inlineStr">
        <is>
          <t>DALARNAS LÄN</t>
        </is>
      </c>
      <c r="E415" t="inlineStr">
        <is>
          <t>LEKSAND</t>
        </is>
      </c>
      <c r="G415" t="n">
        <v>2.8</v>
      </c>
      <c r="H415" t="n">
        <v>0</v>
      </c>
      <c r="I415" t="n">
        <v>0</v>
      </c>
      <c r="J415" t="n">
        <v>0</v>
      </c>
      <c r="K415" t="n">
        <v>0</v>
      </c>
      <c r="L415" t="n">
        <v>0</v>
      </c>
      <c r="M415" t="n">
        <v>0</v>
      </c>
      <c r="N415" t="n">
        <v>0</v>
      </c>
      <c r="O415" t="n">
        <v>0</v>
      </c>
      <c r="P415" t="n">
        <v>0</v>
      </c>
      <c r="Q415" t="n">
        <v>0</v>
      </c>
      <c r="R415" s="2" t="inlineStr"/>
    </row>
    <row r="416" ht="15" customHeight="1">
      <c r="A416" t="inlineStr">
        <is>
          <t>A 18837-2023</t>
        </is>
      </c>
      <c r="B416" s="1" t="n">
        <v>45044.42940972222</v>
      </c>
      <c r="C416" s="1" t="n">
        <v>46003</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17730-2024</t>
        </is>
      </c>
      <c r="B417" s="1" t="n">
        <v>45418</v>
      </c>
      <c r="C417" s="1" t="n">
        <v>46003</v>
      </c>
      <c r="D417" t="inlineStr">
        <is>
          <t>DALARNAS LÄN</t>
        </is>
      </c>
      <c r="E417" t="inlineStr">
        <is>
          <t>LEKSAND</t>
        </is>
      </c>
      <c r="G417" t="n">
        <v>2.4</v>
      </c>
      <c r="H417" t="n">
        <v>0</v>
      </c>
      <c r="I417" t="n">
        <v>0</v>
      </c>
      <c r="J417" t="n">
        <v>0</v>
      </c>
      <c r="K417" t="n">
        <v>0</v>
      </c>
      <c r="L417" t="n">
        <v>0</v>
      </c>
      <c r="M417" t="n">
        <v>0</v>
      </c>
      <c r="N417" t="n">
        <v>0</v>
      </c>
      <c r="O417" t="n">
        <v>0</v>
      </c>
      <c r="P417" t="n">
        <v>0</v>
      </c>
      <c r="Q417" t="n">
        <v>0</v>
      </c>
      <c r="R417" s="2" t="inlineStr"/>
    </row>
    <row r="418" ht="15" customHeight="1">
      <c r="A418" t="inlineStr">
        <is>
          <t>A 64933-2023</t>
        </is>
      </c>
      <c r="B418" s="1" t="n">
        <v>45282</v>
      </c>
      <c r="C418" s="1" t="n">
        <v>46003</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61208-2023</t>
        </is>
      </c>
      <c r="B419" s="1" t="n">
        <v>45260</v>
      </c>
      <c r="C419" s="1" t="n">
        <v>46003</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52977-2022</t>
        </is>
      </c>
      <c r="B420" s="1" t="n">
        <v>44875</v>
      </c>
      <c r="C420" s="1" t="n">
        <v>46003</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25921-2024</t>
        </is>
      </c>
      <c r="B421" s="1" t="n">
        <v>45467.6053587963</v>
      </c>
      <c r="C421" s="1" t="n">
        <v>46003</v>
      </c>
      <c r="D421" t="inlineStr">
        <is>
          <t>DALARNAS LÄN</t>
        </is>
      </c>
      <c r="E421" t="inlineStr">
        <is>
          <t>LEKSAND</t>
        </is>
      </c>
      <c r="G421" t="n">
        <v>2.8</v>
      </c>
      <c r="H421" t="n">
        <v>0</v>
      </c>
      <c r="I421" t="n">
        <v>0</v>
      </c>
      <c r="J421" t="n">
        <v>0</v>
      </c>
      <c r="K421" t="n">
        <v>0</v>
      </c>
      <c r="L421" t="n">
        <v>0</v>
      </c>
      <c r="M421" t="n">
        <v>0</v>
      </c>
      <c r="N421" t="n">
        <v>0</v>
      </c>
      <c r="O421" t="n">
        <v>0</v>
      </c>
      <c r="P421" t="n">
        <v>0</v>
      </c>
      <c r="Q421" t="n">
        <v>0</v>
      </c>
      <c r="R421" s="2" t="inlineStr"/>
    </row>
    <row r="422" ht="15" customHeight="1">
      <c r="A422" t="inlineStr">
        <is>
          <t>A 39620-2024</t>
        </is>
      </c>
      <c r="B422" s="1" t="n">
        <v>45552.43163194445</v>
      </c>
      <c r="C422" s="1" t="n">
        <v>46003</v>
      </c>
      <c r="D422" t="inlineStr">
        <is>
          <t>DALARNAS LÄN</t>
        </is>
      </c>
      <c r="E422" t="inlineStr">
        <is>
          <t>LEKSAND</t>
        </is>
      </c>
      <c r="G422" t="n">
        <v>2.3</v>
      </c>
      <c r="H422" t="n">
        <v>0</v>
      </c>
      <c r="I422" t="n">
        <v>0</v>
      </c>
      <c r="J422" t="n">
        <v>0</v>
      </c>
      <c r="K422" t="n">
        <v>0</v>
      </c>
      <c r="L422" t="n">
        <v>0</v>
      </c>
      <c r="M422" t="n">
        <v>0</v>
      </c>
      <c r="N422" t="n">
        <v>0</v>
      </c>
      <c r="O422" t="n">
        <v>0</v>
      </c>
      <c r="P422" t="n">
        <v>0</v>
      </c>
      <c r="Q422" t="n">
        <v>0</v>
      </c>
      <c r="R422" s="2" t="inlineStr"/>
    </row>
    <row r="423" ht="15" customHeight="1">
      <c r="A423" t="inlineStr">
        <is>
          <t>A 57907-2024</t>
        </is>
      </c>
      <c r="B423" s="1" t="n">
        <v>45630</v>
      </c>
      <c r="C423" s="1" t="n">
        <v>46003</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28892-2022</t>
        </is>
      </c>
      <c r="B424" s="1" t="n">
        <v>44749</v>
      </c>
      <c r="C424" s="1" t="n">
        <v>46003</v>
      </c>
      <c r="D424" t="inlineStr">
        <is>
          <t>DALARNAS LÄN</t>
        </is>
      </c>
      <c r="E424" t="inlineStr">
        <is>
          <t>LEKSAND</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320-2023</t>
        </is>
      </c>
      <c r="B425" s="1" t="n">
        <v>44929</v>
      </c>
      <c r="C425" s="1" t="n">
        <v>46003</v>
      </c>
      <c r="D425" t="inlineStr">
        <is>
          <t>DALARNAS LÄN</t>
        </is>
      </c>
      <c r="E425" t="inlineStr">
        <is>
          <t>LEKSAND</t>
        </is>
      </c>
      <c r="F425" t="inlineStr">
        <is>
          <t>Övriga Aktiebolag</t>
        </is>
      </c>
      <c r="G425" t="n">
        <v>5.4</v>
      </c>
      <c r="H425" t="n">
        <v>0</v>
      </c>
      <c r="I425" t="n">
        <v>0</v>
      </c>
      <c r="J425" t="n">
        <v>0</v>
      </c>
      <c r="K425" t="n">
        <v>0</v>
      </c>
      <c r="L425" t="n">
        <v>0</v>
      </c>
      <c r="M425" t="n">
        <v>0</v>
      </c>
      <c r="N425" t="n">
        <v>0</v>
      </c>
      <c r="O425" t="n">
        <v>0</v>
      </c>
      <c r="P425" t="n">
        <v>0</v>
      </c>
      <c r="Q425" t="n">
        <v>0</v>
      </c>
      <c r="R425" s="2" t="inlineStr"/>
    </row>
    <row r="426" ht="15" customHeight="1">
      <c r="A426" t="inlineStr">
        <is>
          <t>A 59236-2024</t>
        </is>
      </c>
      <c r="B426" s="1" t="n">
        <v>45637.58795138889</v>
      </c>
      <c r="C426" s="1" t="n">
        <v>46003</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34038-2024</t>
        </is>
      </c>
      <c r="B427" s="1" t="n">
        <v>45523.59578703704</v>
      </c>
      <c r="C427" s="1" t="n">
        <v>46003</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34041-2024</t>
        </is>
      </c>
      <c r="B428" s="1" t="n">
        <v>45523.59895833334</v>
      </c>
      <c r="C428" s="1" t="n">
        <v>46003</v>
      </c>
      <c r="D428" t="inlineStr">
        <is>
          <t>DALARNAS LÄN</t>
        </is>
      </c>
      <c r="E428" t="inlineStr">
        <is>
          <t>LEKSAND</t>
        </is>
      </c>
      <c r="G428" t="n">
        <v>4</v>
      </c>
      <c r="H428" t="n">
        <v>0</v>
      </c>
      <c r="I428" t="n">
        <v>0</v>
      </c>
      <c r="J428" t="n">
        <v>0</v>
      </c>
      <c r="K428" t="n">
        <v>0</v>
      </c>
      <c r="L428" t="n">
        <v>0</v>
      </c>
      <c r="M428" t="n">
        <v>0</v>
      </c>
      <c r="N428" t="n">
        <v>0</v>
      </c>
      <c r="O428" t="n">
        <v>0</v>
      </c>
      <c r="P428" t="n">
        <v>0</v>
      </c>
      <c r="Q428" t="n">
        <v>0</v>
      </c>
      <c r="R428" s="2" t="inlineStr"/>
    </row>
    <row r="429" ht="15" customHeight="1">
      <c r="A429" t="inlineStr">
        <is>
          <t>A 11872-2024</t>
        </is>
      </c>
      <c r="B429" s="1" t="n">
        <v>45376.46833333333</v>
      </c>
      <c r="C429" s="1" t="n">
        <v>46003</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21600-2025</t>
        </is>
      </c>
      <c r="B430" s="1" t="n">
        <v>45783.3521875</v>
      </c>
      <c r="C430" s="1" t="n">
        <v>46003</v>
      </c>
      <c r="D430" t="inlineStr">
        <is>
          <t>DALARNAS LÄN</t>
        </is>
      </c>
      <c r="E430" t="inlineStr">
        <is>
          <t>LEKSAND</t>
        </is>
      </c>
      <c r="G430" t="n">
        <v>7.7</v>
      </c>
      <c r="H430" t="n">
        <v>0</v>
      </c>
      <c r="I430" t="n">
        <v>0</v>
      </c>
      <c r="J430" t="n">
        <v>0</v>
      </c>
      <c r="K430" t="n">
        <v>0</v>
      </c>
      <c r="L430" t="n">
        <v>0</v>
      </c>
      <c r="M430" t="n">
        <v>0</v>
      </c>
      <c r="N430" t="n">
        <v>0</v>
      </c>
      <c r="O430" t="n">
        <v>0</v>
      </c>
      <c r="P430" t="n">
        <v>0</v>
      </c>
      <c r="Q430" t="n">
        <v>0</v>
      </c>
      <c r="R430" s="2" t="inlineStr"/>
    </row>
    <row r="431" ht="15" customHeight="1">
      <c r="A431" t="inlineStr">
        <is>
          <t>A 12581-2025</t>
        </is>
      </c>
      <c r="B431" s="1" t="n">
        <v>45732.62201388889</v>
      </c>
      <c r="C431" s="1" t="n">
        <v>46003</v>
      </c>
      <c r="D431" t="inlineStr">
        <is>
          <t>DALARNAS LÄN</t>
        </is>
      </c>
      <c r="E431" t="inlineStr">
        <is>
          <t>LEKSAND</t>
        </is>
      </c>
      <c r="G431" t="n">
        <v>5.1</v>
      </c>
      <c r="H431" t="n">
        <v>0</v>
      </c>
      <c r="I431" t="n">
        <v>0</v>
      </c>
      <c r="J431" t="n">
        <v>0</v>
      </c>
      <c r="K431" t="n">
        <v>0</v>
      </c>
      <c r="L431" t="n">
        <v>0</v>
      </c>
      <c r="M431" t="n">
        <v>0</v>
      </c>
      <c r="N431" t="n">
        <v>0</v>
      </c>
      <c r="O431" t="n">
        <v>0</v>
      </c>
      <c r="P431" t="n">
        <v>0</v>
      </c>
      <c r="Q431" t="n">
        <v>0</v>
      </c>
      <c r="R431" s="2" t="inlineStr"/>
    </row>
    <row r="432" ht="15" customHeight="1">
      <c r="A432" t="inlineStr">
        <is>
          <t>A 12620-2025</t>
        </is>
      </c>
      <c r="B432" s="1" t="n">
        <v>45733.35498842593</v>
      </c>
      <c r="C432" s="1" t="n">
        <v>46003</v>
      </c>
      <c r="D432" t="inlineStr">
        <is>
          <t>DALARNAS LÄN</t>
        </is>
      </c>
      <c r="E432" t="inlineStr">
        <is>
          <t>LEKSAND</t>
        </is>
      </c>
      <c r="F432" t="inlineStr">
        <is>
          <t>Bergvik skog väst AB</t>
        </is>
      </c>
      <c r="G432" t="n">
        <v>3.9</v>
      </c>
      <c r="H432" t="n">
        <v>0</v>
      </c>
      <c r="I432" t="n">
        <v>0</v>
      </c>
      <c r="J432" t="n">
        <v>0</v>
      </c>
      <c r="K432" t="n">
        <v>0</v>
      </c>
      <c r="L432" t="n">
        <v>0</v>
      </c>
      <c r="M432" t="n">
        <v>0</v>
      </c>
      <c r="N432" t="n">
        <v>0</v>
      </c>
      <c r="O432" t="n">
        <v>0</v>
      </c>
      <c r="P432" t="n">
        <v>0</v>
      </c>
      <c r="Q432" t="n">
        <v>0</v>
      </c>
      <c r="R432" s="2" t="inlineStr"/>
    </row>
    <row r="433" ht="15" customHeight="1">
      <c r="A433" t="inlineStr">
        <is>
          <t>A 12623-2025</t>
        </is>
      </c>
      <c r="B433" s="1" t="n">
        <v>45733.36079861111</v>
      </c>
      <c r="C433" s="1" t="n">
        <v>46003</v>
      </c>
      <c r="D433" t="inlineStr">
        <is>
          <t>DALARNAS LÄN</t>
        </is>
      </c>
      <c r="E433" t="inlineStr">
        <is>
          <t>LEKSAND</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32666-2023</t>
        </is>
      </c>
      <c r="B434" s="1" t="n">
        <v>45121</v>
      </c>
      <c r="C434" s="1" t="n">
        <v>46003</v>
      </c>
      <c r="D434" t="inlineStr">
        <is>
          <t>DALARNAS LÄN</t>
        </is>
      </c>
      <c r="E434" t="inlineStr">
        <is>
          <t>LEKSAND</t>
        </is>
      </c>
      <c r="G434" t="n">
        <v>9.9</v>
      </c>
      <c r="H434" t="n">
        <v>0</v>
      </c>
      <c r="I434" t="n">
        <v>0</v>
      </c>
      <c r="J434" t="n">
        <v>0</v>
      </c>
      <c r="K434" t="n">
        <v>0</v>
      </c>
      <c r="L434" t="n">
        <v>0</v>
      </c>
      <c r="M434" t="n">
        <v>0</v>
      </c>
      <c r="N434" t="n">
        <v>0</v>
      </c>
      <c r="O434" t="n">
        <v>0</v>
      </c>
      <c r="P434" t="n">
        <v>0</v>
      </c>
      <c r="Q434" t="n">
        <v>0</v>
      </c>
      <c r="R434" s="2" t="inlineStr"/>
    </row>
    <row r="435" ht="15" customHeight="1">
      <c r="A435" t="inlineStr">
        <is>
          <t>A 5231-2024</t>
        </is>
      </c>
      <c r="B435" s="1" t="n">
        <v>45330</v>
      </c>
      <c r="C435" s="1" t="n">
        <v>46003</v>
      </c>
      <c r="D435" t="inlineStr">
        <is>
          <t>DALARNAS LÄN</t>
        </is>
      </c>
      <c r="E435" t="inlineStr">
        <is>
          <t>LEKSAND</t>
        </is>
      </c>
      <c r="F435" t="inlineStr">
        <is>
          <t>Bergvik skog väst AB</t>
        </is>
      </c>
      <c r="G435" t="n">
        <v>11.2</v>
      </c>
      <c r="H435" t="n">
        <v>0</v>
      </c>
      <c r="I435" t="n">
        <v>0</v>
      </c>
      <c r="J435" t="n">
        <v>0</v>
      </c>
      <c r="K435" t="n">
        <v>0</v>
      </c>
      <c r="L435" t="n">
        <v>0</v>
      </c>
      <c r="M435" t="n">
        <v>0</v>
      </c>
      <c r="N435" t="n">
        <v>0</v>
      </c>
      <c r="O435" t="n">
        <v>0</v>
      </c>
      <c r="P435" t="n">
        <v>0</v>
      </c>
      <c r="Q435" t="n">
        <v>0</v>
      </c>
      <c r="R435" s="2" t="inlineStr"/>
    </row>
    <row r="436" ht="15" customHeight="1">
      <c r="A436" t="inlineStr">
        <is>
          <t>A 40627-2023</t>
        </is>
      </c>
      <c r="B436" s="1" t="n">
        <v>45170</v>
      </c>
      <c r="C436" s="1" t="n">
        <v>46003</v>
      </c>
      <c r="D436" t="inlineStr">
        <is>
          <t>DALARNAS LÄN</t>
        </is>
      </c>
      <c r="E436" t="inlineStr">
        <is>
          <t>LEKSAND</t>
        </is>
      </c>
      <c r="F436" t="inlineStr">
        <is>
          <t>Bergvik skog väst AB</t>
        </is>
      </c>
      <c r="G436" t="n">
        <v>3.3</v>
      </c>
      <c r="H436" t="n">
        <v>0</v>
      </c>
      <c r="I436" t="n">
        <v>0</v>
      </c>
      <c r="J436" t="n">
        <v>0</v>
      </c>
      <c r="K436" t="n">
        <v>0</v>
      </c>
      <c r="L436" t="n">
        <v>0</v>
      </c>
      <c r="M436" t="n">
        <v>0</v>
      </c>
      <c r="N436" t="n">
        <v>0</v>
      </c>
      <c r="O436" t="n">
        <v>0</v>
      </c>
      <c r="P436" t="n">
        <v>0</v>
      </c>
      <c r="Q436" t="n">
        <v>0</v>
      </c>
      <c r="R436" s="2" t="inlineStr"/>
    </row>
    <row r="437" ht="15" customHeight="1">
      <c r="A437" t="inlineStr">
        <is>
          <t>A 23896-2024</t>
        </is>
      </c>
      <c r="B437" s="1" t="n">
        <v>45455.6758449074</v>
      </c>
      <c r="C437" s="1" t="n">
        <v>46003</v>
      </c>
      <c r="D437" t="inlineStr">
        <is>
          <t>DALARNAS LÄN</t>
        </is>
      </c>
      <c r="E437" t="inlineStr">
        <is>
          <t>LEKSAND</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28578-2023</t>
        </is>
      </c>
      <c r="B438" s="1" t="n">
        <v>45103</v>
      </c>
      <c r="C438" s="1" t="n">
        <v>46003</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61288-2022</t>
        </is>
      </c>
      <c r="B439" s="1" t="n">
        <v>44915</v>
      </c>
      <c r="C439" s="1" t="n">
        <v>46003</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20936-2023</t>
        </is>
      </c>
      <c r="B440" s="1" t="n">
        <v>45061</v>
      </c>
      <c r="C440" s="1" t="n">
        <v>46003</v>
      </c>
      <c r="D440" t="inlineStr">
        <is>
          <t>DALARNAS LÄN</t>
        </is>
      </c>
      <c r="E440" t="inlineStr">
        <is>
          <t>LEKSAND</t>
        </is>
      </c>
      <c r="G440" t="n">
        <v>0.3</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46003</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21916-2025</t>
        </is>
      </c>
      <c r="B442" s="1" t="n">
        <v>45784.50115740741</v>
      </c>
      <c r="C442" s="1" t="n">
        <v>46003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14967-2023</t>
        </is>
      </c>
      <c r="B443" s="1" t="n">
        <v>45015</v>
      </c>
      <c r="C443" s="1" t="n">
        <v>46003</v>
      </c>
      <c r="D443" t="inlineStr">
        <is>
          <t>DALARNAS LÄN</t>
        </is>
      </c>
      <c r="E443" t="inlineStr">
        <is>
          <t>LEKSAND</t>
        </is>
      </c>
      <c r="G443" t="n">
        <v>1.4</v>
      </c>
      <c r="H443" t="n">
        <v>0</v>
      </c>
      <c r="I443" t="n">
        <v>0</v>
      </c>
      <c r="J443" t="n">
        <v>0</v>
      </c>
      <c r="K443" t="n">
        <v>0</v>
      </c>
      <c r="L443" t="n">
        <v>0</v>
      </c>
      <c r="M443" t="n">
        <v>0</v>
      </c>
      <c r="N443" t="n">
        <v>0</v>
      </c>
      <c r="O443" t="n">
        <v>0</v>
      </c>
      <c r="P443" t="n">
        <v>0</v>
      </c>
      <c r="Q443" t="n">
        <v>0</v>
      </c>
      <c r="R443" s="2" t="inlineStr"/>
    </row>
    <row r="444" ht="15" customHeight="1">
      <c r="A444" t="inlineStr">
        <is>
          <t>A 17233-2023</t>
        </is>
      </c>
      <c r="B444" s="1" t="n">
        <v>45035</v>
      </c>
      <c r="C444" s="1" t="n">
        <v>46003</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16231-2021</t>
        </is>
      </c>
      <c r="B445" s="1" t="n">
        <v>44292</v>
      </c>
      <c r="C445" s="1" t="n">
        <v>46003</v>
      </c>
      <c r="D445" t="inlineStr">
        <is>
          <t>DALARNAS LÄN</t>
        </is>
      </c>
      <c r="E445" t="inlineStr">
        <is>
          <t>LEKSAND</t>
        </is>
      </c>
      <c r="G445" t="n">
        <v>1.1</v>
      </c>
      <c r="H445" t="n">
        <v>0</v>
      </c>
      <c r="I445" t="n">
        <v>0</v>
      </c>
      <c r="J445" t="n">
        <v>0</v>
      </c>
      <c r="K445" t="n">
        <v>0</v>
      </c>
      <c r="L445" t="n">
        <v>0</v>
      </c>
      <c r="M445" t="n">
        <v>0</v>
      </c>
      <c r="N445" t="n">
        <v>0</v>
      </c>
      <c r="O445" t="n">
        <v>0</v>
      </c>
      <c r="P445" t="n">
        <v>0</v>
      </c>
      <c r="Q445" t="n">
        <v>0</v>
      </c>
      <c r="R445" s="2" t="inlineStr"/>
    </row>
    <row r="446" ht="15" customHeight="1">
      <c r="A446" t="inlineStr">
        <is>
          <t>A 38498-2025</t>
        </is>
      </c>
      <c r="B446" s="1" t="n">
        <v>45884.3706712963</v>
      </c>
      <c r="C446" s="1" t="n">
        <v>46003</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12857-2023</t>
        </is>
      </c>
      <c r="B447" s="1" t="n">
        <v>45001.5000462963</v>
      </c>
      <c r="C447" s="1" t="n">
        <v>46003</v>
      </c>
      <c r="D447" t="inlineStr">
        <is>
          <t>DALARNAS LÄN</t>
        </is>
      </c>
      <c r="E447" t="inlineStr">
        <is>
          <t>LEKSAND</t>
        </is>
      </c>
      <c r="G447" t="n">
        <v>0.2</v>
      </c>
      <c r="H447" t="n">
        <v>0</v>
      </c>
      <c r="I447" t="n">
        <v>0</v>
      </c>
      <c r="J447" t="n">
        <v>0</v>
      </c>
      <c r="K447" t="n">
        <v>0</v>
      </c>
      <c r="L447" t="n">
        <v>0</v>
      </c>
      <c r="M447" t="n">
        <v>0</v>
      </c>
      <c r="N447" t="n">
        <v>0</v>
      </c>
      <c r="O447" t="n">
        <v>0</v>
      </c>
      <c r="P447" t="n">
        <v>0</v>
      </c>
      <c r="Q447" t="n">
        <v>0</v>
      </c>
      <c r="R447" s="2" t="inlineStr"/>
    </row>
    <row r="448" ht="15" customHeight="1">
      <c r="A448" t="inlineStr">
        <is>
          <t>A 62307-2023</t>
        </is>
      </c>
      <c r="B448" s="1" t="n">
        <v>45266</v>
      </c>
      <c r="C448" s="1" t="n">
        <v>46003</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61554-2024</t>
        </is>
      </c>
      <c r="B449" s="1" t="n">
        <v>45646.60748842593</v>
      </c>
      <c r="C449" s="1" t="n">
        <v>46003</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28674-2024</t>
        </is>
      </c>
      <c r="B450" s="1" t="n">
        <v>45478.47863425926</v>
      </c>
      <c r="C450" s="1" t="n">
        <v>46003</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17377-2025</t>
        </is>
      </c>
      <c r="B451" s="1" t="n">
        <v>45756.983125</v>
      </c>
      <c r="C451" s="1" t="n">
        <v>46003</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61269-2022</t>
        </is>
      </c>
      <c r="B452" s="1" t="n">
        <v>44909</v>
      </c>
      <c r="C452" s="1" t="n">
        <v>46003</v>
      </c>
      <c r="D452" t="inlineStr">
        <is>
          <t>DALARNAS LÄN</t>
        </is>
      </c>
      <c r="E452" t="inlineStr">
        <is>
          <t>LEKSAND</t>
        </is>
      </c>
      <c r="G452" t="n">
        <v>4.2</v>
      </c>
      <c r="H452" t="n">
        <v>0</v>
      </c>
      <c r="I452" t="n">
        <v>0</v>
      </c>
      <c r="J452" t="n">
        <v>0</v>
      </c>
      <c r="K452" t="n">
        <v>0</v>
      </c>
      <c r="L452" t="n">
        <v>0</v>
      </c>
      <c r="M452" t="n">
        <v>0</v>
      </c>
      <c r="N452" t="n">
        <v>0</v>
      </c>
      <c r="O452" t="n">
        <v>0</v>
      </c>
      <c r="P452" t="n">
        <v>0</v>
      </c>
      <c r="Q452" t="n">
        <v>0</v>
      </c>
      <c r="R452" s="2" t="inlineStr"/>
    </row>
    <row r="453" ht="15" customHeight="1">
      <c r="A453" t="inlineStr">
        <is>
          <t>A 53817-2023</t>
        </is>
      </c>
      <c r="B453" s="1" t="n">
        <v>45231.40488425926</v>
      </c>
      <c r="C453" s="1" t="n">
        <v>46003</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19622-2024</t>
        </is>
      </c>
      <c r="B454" s="1" t="n">
        <v>45432.33592592592</v>
      </c>
      <c r="C454" s="1" t="n">
        <v>46003</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28633-2023</t>
        </is>
      </c>
      <c r="B455" s="1" t="n">
        <v>45103.61575231481</v>
      </c>
      <c r="C455" s="1" t="n">
        <v>46003</v>
      </c>
      <c r="D455" t="inlineStr">
        <is>
          <t>DALARNAS LÄN</t>
        </is>
      </c>
      <c r="E455" t="inlineStr">
        <is>
          <t>LEKSAND</t>
        </is>
      </c>
      <c r="F455" t="inlineStr">
        <is>
          <t>Bergvik skog väst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46003</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41840-2024</t>
        </is>
      </c>
      <c r="B457" s="1" t="n">
        <v>45561.42170138889</v>
      </c>
      <c r="C457" s="1" t="n">
        <v>46003</v>
      </c>
      <c r="D457" t="inlineStr">
        <is>
          <t>DALARNAS LÄN</t>
        </is>
      </c>
      <c r="E457" t="inlineStr">
        <is>
          <t>LEKSAND</t>
        </is>
      </c>
      <c r="G457" t="n">
        <v>0.4</v>
      </c>
      <c r="H457" t="n">
        <v>0</v>
      </c>
      <c r="I457" t="n">
        <v>0</v>
      </c>
      <c r="J457" t="n">
        <v>0</v>
      </c>
      <c r="K457" t="n">
        <v>0</v>
      </c>
      <c r="L457" t="n">
        <v>0</v>
      </c>
      <c r="M457" t="n">
        <v>0</v>
      </c>
      <c r="N457" t="n">
        <v>0</v>
      </c>
      <c r="O457" t="n">
        <v>0</v>
      </c>
      <c r="P457" t="n">
        <v>0</v>
      </c>
      <c r="Q457" t="n">
        <v>0</v>
      </c>
      <c r="R457" s="2" t="inlineStr"/>
    </row>
    <row r="458" ht="15" customHeight="1">
      <c r="A458" t="inlineStr">
        <is>
          <t>A 33143-2024</t>
        </is>
      </c>
      <c r="B458" s="1" t="n">
        <v>45518</v>
      </c>
      <c r="C458" s="1" t="n">
        <v>46003</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36534-2024</t>
        </is>
      </c>
      <c r="B459" s="1" t="n">
        <v>45537.45143518518</v>
      </c>
      <c r="C459" s="1" t="n">
        <v>46003</v>
      </c>
      <c r="D459" t="inlineStr">
        <is>
          <t>DALARNAS LÄN</t>
        </is>
      </c>
      <c r="E459" t="inlineStr">
        <is>
          <t>LEKSAND</t>
        </is>
      </c>
      <c r="G459" t="n">
        <v>4</v>
      </c>
      <c r="H459" t="n">
        <v>0</v>
      </c>
      <c r="I459" t="n">
        <v>0</v>
      </c>
      <c r="J459" t="n">
        <v>0</v>
      </c>
      <c r="K459" t="n">
        <v>0</v>
      </c>
      <c r="L459" t="n">
        <v>0</v>
      </c>
      <c r="M459" t="n">
        <v>0</v>
      </c>
      <c r="N459" t="n">
        <v>0</v>
      </c>
      <c r="O459" t="n">
        <v>0</v>
      </c>
      <c r="P459" t="n">
        <v>0</v>
      </c>
      <c r="Q459" t="n">
        <v>0</v>
      </c>
      <c r="R459" s="2" t="inlineStr"/>
    </row>
    <row r="460" ht="15" customHeight="1">
      <c r="A460" t="inlineStr">
        <is>
          <t>A 47640-2024</t>
        </is>
      </c>
      <c r="B460" s="1" t="n">
        <v>45588.36508101852</v>
      </c>
      <c r="C460" s="1" t="n">
        <v>46003</v>
      </c>
      <c r="D460" t="inlineStr">
        <is>
          <t>DALARNAS LÄN</t>
        </is>
      </c>
      <c r="E460" t="inlineStr">
        <is>
          <t>LEKSAND</t>
        </is>
      </c>
      <c r="G460" t="n">
        <v>9.1</v>
      </c>
      <c r="H460" t="n">
        <v>0</v>
      </c>
      <c r="I460" t="n">
        <v>0</v>
      </c>
      <c r="J460" t="n">
        <v>0</v>
      </c>
      <c r="K460" t="n">
        <v>0</v>
      </c>
      <c r="L460" t="n">
        <v>0</v>
      </c>
      <c r="M460" t="n">
        <v>0</v>
      </c>
      <c r="N460" t="n">
        <v>0</v>
      </c>
      <c r="O460" t="n">
        <v>0</v>
      </c>
      <c r="P460" t="n">
        <v>0</v>
      </c>
      <c r="Q460" t="n">
        <v>0</v>
      </c>
      <c r="R460" s="2" t="inlineStr"/>
    </row>
    <row r="461" ht="15" customHeight="1">
      <c r="A461" t="inlineStr">
        <is>
          <t>A 27317-2021</t>
        </is>
      </c>
      <c r="B461" s="1" t="n">
        <v>44351</v>
      </c>
      <c r="C461" s="1" t="n">
        <v>46003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61055-2023</t>
        </is>
      </c>
      <c r="B462" s="1" t="n">
        <v>45261</v>
      </c>
      <c r="C462" s="1" t="n">
        <v>46003</v>
      </c>
      <c r="D462" t="inlineStr">
        <is>
          <t>DALARNAS LÄN</t>
        </is>
      </c>
      <c r="E462" t="inlineStr">
        <is>
          <t>LEKSAND</t>
        </is>
      </c>
      <c r="G462" t="n">
        <v>0.3</v>
      </c>
      <c r="H462" t="n">
        <v>0</v>
      </c>
      <c r="I462" t="n">
        <v>0</v>
      </c>
      <c r="J462" t="n">
        <v>0</v>
      </c>
      <c r="K462" t="n">
        <v>0</v>
      </c>
      <c r="L462" t="n">
        <v>0</v>
      </c>
      <c r="M462" t="n">
        <v>0</v>
      </c>
      <c r="N462" t="n">
        <v>0</v>
      </c>
      <c r="O462" t="n">
        <v>0</v>
      </c>
      <c r="P462" t="n">
        <v>0</v>
      </c>
      <c r="Q462" t="n">
        <v>0</v>
      </c>
      <c r="R462" s="2" t="inlineStr"/>
    </row>
    <row r="463" ht="15" customHeight="1">
      <c r="A463" t="inlineStr">
        <is>
          <t>A 7897-2025</t>
        </is>
      </c>
      <c r="B463" s="1" t="n">
        <v>45707.30969907407</v>
      </c>
      <c r="C463" s="1" t="n">
        <v>46003</v>
      </c>
      <c r="D463" t="inlineStr">
        <is>
          <t>DALARNAS LÄN</t>
        </is>
      </c>
      <c r="E463" t="inlineStr">
        <is>
          <t>LEKSAND</t>
        </is>
      </c>
      <c r="G463" t="n">
        <v>3.1</v>
      </c>
      <c r="H463" t="n">
        <v>0</v>
      </c>
      <c r="I463" t="n">
        <v>0</v>
      </c>
      <c r="J463" t="n">
        <v>0</v>
      </c>
      <c r="K463" t="n">
        <v>0</v>
      </c>
      <c r="L463" t="n">
        <v>0</v>
      </c>
      <c r="M463" t="n">
        <v>0</v>
      </c>
      <c r="N463" t="n">
        <v>0</v>
      </c>
      <c r="O463" t="n">
        <v>0</v>
      </c>
      <c r="P463" t="n">
        <v>0</v>
      </c>
      <c r="Q463" t="n">
        <v>0</v>
      </c>
      <c r="R463" s="2" t="inlineStr"/>
    </row>
    <row r="464" ht="15" customHeight="1">
      <c r="A464" t="inlineStr">
        <is>
          <t>A 10743-2024</t>
        </is>
      </c>
      <c r="B464" s="1" t="n">
        <v>45369.52167824074</v>
      </c>
      <c r="C464" s="1" t="n">
        <v>46003</v>
      </c>
      <c r="D464" t="inlineStr">
        <is>
          <t>DALARNAS LÄN</t>
        </is>
      </c>
      <c r="E464" t="inlineStr">
        <is>
          <t>LEKSAND</t>
        </is>
      </c>
      <c r="G464" t="n">
        <v>2.7</v>
      </c>
      <c r="H464" t="n">
        <v>0</v>
      </c>
      <c r="I464" t="n">
        <v>0</v>
      </c>
      <c r="J464" t="n">
        <v>0</v>
      </c>
      <c r="K464" t="n">
        <v>0</v>
      </c>
      <c r="L464" t="n">
        <v>0</v>
      </c>
      <c r="M464" t="n">
        <v>0</v>
      </c>
      <c r="N464" t="n">
        <v>0</v>
      </c>
      <c r="O464" t="n">
        <v>0</v>
      </c>
      <c r="P464" t="n">
        <v>0</v>
      </c>
      <c r="Q464" t="n">
        <v>0</v>
      </c>
      <c r="R464" s="2" t="inlineStr"/>
    </row>
    <row r="465" ht="15" customHeight="1">
      <c r="A465" t="inlineStr">
        <is>
          <t>A 38721-2025</t>
        </is>
      </c>
      <c r="B465" s="1" t="n">
        <v>45886.83605324074</v>
      </c>
      <c r="C465" s="1" t="n">
        <v>46003</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39546-2025</t>
        </is>
      </c>
      <c r="B466" s="1" t="n">
        <v>45890.45706018519</v>
      </c>
      <c r="C466" s="1" t="n">
        <v>46003</v>
      </c>
      <c r="D466" t="inlineStr">
        <is>
          <t>DALARNAS LÄN</t>
        </is>
      </c>
      <c r="E466" t="inlineStr">
        <is>
          <t>LEKSAND</t>
        </is>
      </c>
      <c r="G466" t="n">
        <v>4.6</v>
      </c>
      <c r="H466" t="n">
        <v>0</v>
      </c>
      <c r="I466" t="n">
        <v>0</v>
      </c>
      <c r="J466" t="n">
        <v>0</v>
      </c>
      <c r="K466" t="n">
        <v>0</v>
      </c>
      <c r="L466" t="n">
        <v>0</v>
      </c>
      <c r="M466" t="n">
        <v>0</v>
      </c>
      <c r="N466" t="n">
        <v>0</v>
      </c>
      <c r="O466" t="n">
        <v>0</v>
      </c>
      <c r="P466" t="n">
        <v>0</v>
      </c>
      <c r="Q466" t="n">
        <v>0</v>
      </c>
      <c r="R466" s="2" t="inlineStr"/>
    </row>
    <row r="467" ht="15" customHeight="1">
      <c r="A467" t="inlineStr">
        <is>
          <t>A 39572-2025</t>
        </is>
      </c>
      <c r="B467" s="1" t="n">
        <v>45890</v>
      </c>
      <c r="C467" s="1" t="n">
        <v>46003</v>
      </c>
      <c r="D467" t="inlineStr">
        <is>
          <t>DALARNAS LÄN</t>
        </is>
      </c>
      <c r="E467" t="inlineStr">
        <is>
          <t>LEKSAND</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471-2025</t>
        </is>
      </c>
      <c r="B468" s="1" t="n">
        <v>45664.43394675926</v>
      </c>
      <c r="C468" s="1" t="n">
        <v>46003</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39569-2025</t>
        </is>
      </c>
      <c r="B469" s="1" t="n">
        <v>45890</v>
      </c>
      <c r="C469" s="1" t="n">
        <v>46003</v>
      </c>
      <c r="D469" t="inlineStr">
        <is>
          <t>DALARNAS LÄN</t>
        </is>
      </c>
      <c r="E469" t="inlineStr">
        <is>
          <t>LEKSAND</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39516-2025</t>
        </is>
      </c>
      <c r="B470" s="1" t="n">
        <v>45890.42633101852</v>
      </c>
      <c r="C470" s="1" t="n">
        <v>46003</v>
      </c>
      <c r="D470" t="inlineStr">
        <is>
          <t>DALARNAS LÄN</t>
        </is>
      </c>
      <c r="E470" t="inlineStr">
        <is>
          <t>LEKSAND</t>
        </is>
      </c>
      <c r="G470" t="n">
        <v>3.6</v>
      </c>
      <c r="H470" t="n">
        <v>0</v>
      </c>
      <c r="I470" t="n">
        <v>0</v>
      </c>
      <c r="J470" t="n">
        <v>0</v>
      </c>
      <c r="K470" t="n">
        <v>0</v>
      </c>
      <c r="L470" t="n">
        <v>0</v>
      </c>
      <c r="M470" t="n">
        <v>0</v>
      </c>
      <c r="N470" t="n">
        <v>0</v>
      </c>
      <c r="O470" t="n">
        <v>0</v>
      </c>
      <c r="P470" t="n">
        <v>0</v>
      </c>
      <c r="Q470" t="n">
        <v>0</v>
      </c>
      <c r="R470" s="2" t="inlineStr"/>
    </row>
    <row r="471" ht="15" customHeight="1">
      <c r="A471" t="inlineStr">
        <is>
          <t>A 10367-2023</t>
        </is>
      </c>
      <c r="B471" s="1" t="n">
        <v>44987</v>
      </c>
      <c r="C471" s="1" t="n">
        <v>46003</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39660-2025</t>
        </is>
      </c>
      <c r="B472" s="1" t="n">
        <v>45890.63006944444</v>
      </c>
      <c r="C472" s="1" t="n">
        <v>46003</v>
      </c>
      <c r="D472" t="inlineStr">
        <is>
          <t>DALARNAS LÄN</t>
        </is>
      </c>
      <c r="E472" t="inlineStr">
        <is>
          <t>LEKSAND</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39693-2025</t>
        </is>
      </c>
      <c r="B473" s="1" t="n">
        <v>45890.68304398148</v>
      </c>
      <c r="C473" s="1" t="n">
        <v>46003</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11128-2023</t>
        </is>
      </c>
      <c r="B474" s="1" t="n">
        <v>44992</v>
      </c>
      <c r="C474" s="1" t="n">
        <v>46003</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60024-2023</t>
        </is>
      </c>
      <c r="B475" s="1" t="n">
        <v>45258</v>
      </c>
      <c r="C475" s="1" t="n">
        <v>46003</v>
      </c>
      <c r="D475" t="inlineStr">
        <is>
          <t>DALARNAS LÄN</t>
        </is>
      </c>
      <c r="E475" t="inlineStr">
        <is>
          <t>LEKSAND</t>
        </is>
      </c>
      <c r="G475" t="n">
        <v>4.2</v>
      </c>
      <c r="H475" t="n">
        <v>0</v>
      </c>
      <c r="I475" t="n">
        <v>0</v>
      </c>
      <c r="J475" t="n">
        <v>0</v>
      </c>
      <c r="K475" t="n">
        <v>0</v>
      </c>
      <c r="L475" t="n">
        <v>0</v>
      </c>
      <c r="M475" t="n">
        <v>0</v>
      </c>
      <c r="N475" t="n">
        <v>0</v>
      </c>
      <c r="O475" t="n">
        <v>0</v>
      </c>
      <c r="P475" t="n">
        <v>0</v>
      </c>
      <c r="Q475" t="n">
        <v>0</v>
      </c>
      <c r="R475" s="2" t="inlineStr"/>
    </row>
    <row r="476" ht="15" customHeight="1">
      <c r="A476" t="inlineStr">
        <is>
          <t>A 11859-2024</t>
        </is>
      </c>
      <c r="B476" s="1" t="n">
        <v>45376.44569444445</v>
      </c>
      <c r="C476" s="1" t="n">
        <v>46003</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41169-2024</t>
        </is>
      </c>
      <c r="B477" s="1" t="n">
        <v>45559.48637731482</v>
      </c>
      <c r="C477" s="1" t="n">
        <v>46003</v>
      </c>
      <c r="D477" t="inlineStr">
        <is>
          <t>DALARNAS LÄN</t>
        </is>
      </c>
      <c r="E477" t="inlineStr">
        <is>
          <t>LEKSAND</t>
        </is>
      </c>
      <c r="G477" t="n">
        <v>8.9</v>
      </c>
      <c r="H477" t="n">
        <v>0</v>
      </c>
      <c r="I477" t="n">
        <v>0</v>
      </c>
      <c r="J477" t="n">
        <v>0</v>
      </c>
      <c r="K477" t="n">
        <v>0</v>
      </c>
      <c r="L477" t="n">
        <v>0</v>
      </c>
      <c r="M477" t="n">
        <v>0</v>
      </c>
      <c r="N477" t="n">
        <v>0</v>
      </c>
      <c r="O477" t="n">
        <v>0</v>
      </c>
      <c r="P477" t="n">
        <v>0</v>
      </c>
      <c r="Q477" t="n">
        <v>0</v>
      </c>
      <c r="R477" s="2" t="inlineStr"/>
    </row>
    <row r="478" ht="15" customHeight="1">
      <c r="A478" t="inlineStr">
        <is>
          <t>A 1946-2024</t>
        </is>
      </c>
      <c r="B478" s="1" t="n">
        <v>45308</v>
      </c>
      <c r="C478" s="1" t="n">
        <v>46003</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62133-2023</t>
        </is>
      </c>
      <c r="B479" s="1" t="n">
        <v>45267.35582175926</v>
      </c>
      <c r="C479" s="1" t="n">
        <v>46003</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58495-2023</t>
        </is>
      </c>
      <c r="B480" s="1" t="n">
        <v>45251</v>
      </c>
      <c r="C480" s="1" t="n">
        <v>46003</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34244-2024</t>
        </is>
      </c>
      <c r="B481" s="1" t="n">
        <v>45524.58349537037</v>
      </c>
      <c r="C481" s="1" t="n">
        <v>46003</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59763-2023</t>
        </is>
      </c>
      <c r="B482" s="1" t="n">
        <v>45257</v>
      </c>
      <c r="C482" s="1" t="n">
        <v>46003</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6039-2023</t>
        </is>
      </c>
      <c r="B483" s="1" t="n">
        <v>44959</v>
      </c>
      <c r="C483" s="1" t="n">
        <v>46003</v>
      </c>
      <c r="D483" t="inlineStr">
        <is>
          <t>DALARNAS LÄN</t>
        </is>
      </c>
      <c r="E483" t="inlineStr">
        <is>
          <t>LEKSAND</t>
        </is>
      </c>
      <c r="G483" t="n">
        <v>1.3</v>
      </c>
      <c r="H483" t="n">
        <v>0</v>
      </c>
      <c r="I483" t="n">
        <v>0</v>
      </c>
      <c r="J483" t="n">
        <v>0</v>
      </c>
      <c r="K483" t="n">
        <v>0</v>
      </c>
      <c r="L483" t="n">
        <v>0</v>
      </c>
      <c r="M483" t="n">
        <v>0</v>
      </c>
      <c r="N483" t="n">
        <v>0</v>
      </c>
      <c r="O483" t="n">
        <v>0</v>
      </c>
      <c r="P483" t="n">
        <v>0</v>
      </c>
      <c r="Q483" t="n">
        <v>0</v>
      </c>
      <c r="R483" s="2" t="inlineStr"/>
    </row>
    <row r="484" ht="15" customHeight="1">
      <c r="A484" t="inlineStr">
        <is>
          <t>A 22517-2024</t>
        </is>
      </c>
      <c r="B484" s="1" t="n">
        <v>45447.40143518519</v>
      </c>
      <c r="C484" s="1" t="n">
        <v>46003</v>
      </c>
      <c r="D484" t="inlineStr">
        <is>
          <t>DALARNAS LÄN</t>
        </is>
      </c>
      <c r="E484" t="inlineStr">
        <is>
          <t>LEKSAND</t>
        </is>
      </c>
      <c r="G484" t="n">
        <v>0.4</v>
      </c>
      <c r="H484" t="n">
        <v>0</v>
      </c>
      <c r="I484" t="n">
        <v>0</v>
      </c>
      <c r="J484" t="n">
        <v>0</v>
      </c>
      <c r="K484" t="n">
        <v>0</v>
      </c>
      <c r="L484" t="n">
        <v>0</v>
      </c>
      <c r="M484" t="n">
        <v>0</v>
      </c>
      <c r="N484" t="n">
        <v>0</v>
      </c>
      <c r="O484" t="n">
        <v>0</v>
      </c>
      <c r="P484" t="n">
        <v>0</v>
      </c>
      <c r="Q484" t="n">
        <v>0</v>
      </c>
      <c r="R484" s="2" t="inlineStr"/>
    </row>
    <row r="485" ht="15" customHeight="1">
      <c r="A485" t="inlineStr">
        <is>
          <t>A 52801-2023</t>
        </is>
      </c>
      <c r="B485" s="1" t="n">
        <v>45219</v>
      </c>
      <c r="C485" s="1" t="n">
        <v>46003</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45768-2023</t>
        </is>
      </c>
      <c r="B486" s="1" t="n">
        <v>45195</v>
      </c>
      <c r="C486" s="1" t="n">
        <v>46003</v>
      </c>
      <c r="D486" t="inlineStr">
        <is>
          <t>DALARNAS LÄN</t>
        </is>
      </c>
      <c r="E486" t="inlineStr">
        <is>
          <t>LEKSAND</t>
        </is>
      </c>
      <c r="G486" t="n">
        <v>0.4</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46003</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49397-2024</t>
        </is>
      </c>
      <c r="B488" s="1" t="n">
        <v>45595</v>
      </c>
      <c r="C488" s="1" t="n">
        <v>46003</v>
      </c>
      <c r="D488" t="inlineStr">
        <is>
          <t>DALARNAS LÄN</t>
        </is>
      </c>
      <c r="E488" t="inlineStr">
        <is>
          <t>LEKSAND</t>
        </is>
      </c>
      <c r="G488" t="n">
        <v>4.3</v>
      </c>
      <c r="H488" t="n">
        <v>0</v>
      </c>
      <c r="I488" t="n">
        <v>0</v>
      </c>
      <c r="J488" t="n">
        <v>0</v>
      </c>
      <c r="K488" t="n">
        <v>0</v>
      </c>
      <c r="L488" t="n">
        <v>0</v>
      </c>
      <c r="M488" t="n">
        <v>0</v>
      </c>
      <c r="N488" t="n">
        <v>0</v>
      </c>
      <c r="O488" t="n">
        <v>0</v>
      </c>
      <c r="P488" t="n">
        <v>0</v>
      </c>
      <c r="Q488" t="n">
        <v>0</v>
      </c>
      <c r="R488" s="2" t="inlineStr"/>
    </row>
    <row r="489" ht="15" customHeight="1">
      <c r="A489" t="inlineStr">
        <is>
          <t>A 41306-2024</t>
        </is>
      </c>
      <c r="B489" s="1" t="n">
        <v>45559.62550925926</v>
      </c>
      <c r="C489" s="1" t="n">
        <v>46003</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40517-2025</t>
        </is>
      </c>
      <c r="B490" s="1" t="n">
        <v>45896.36368055556</v>
      </c>
      <c r="C490" s="1" t="n">
        <v>46003</v>
      </c>
      <c r="D490" t="inlineStr">
        <is>
          <t>DALARNAS LÄN</t>
        </is>
      </c>
      <c r="E490" t="inlineStr">
        <is>
          <t>LEKSAND</t>
        </is>
      </c>
      <c r="G490" t="n">
        <v>1.6</v>
      </c>
      <c r="H490" t="n">
        <v>0</v>
      </c>
      <c r="I490" t="n">
        <v>0</v>
      </c>
      <c r="J490" t="n">
        <v>0</v>
      </c>
      <c r="K490" t="n">
        <v>0</v>
      </c>
      <c r="L490" t="n">
        <v>0</v>
      </c>
      <c r="M490" t="n">
        <v>0</v>
      </c>
      <c r="N490" t="n">
        <v>0</v>
      </c>
      <c r="O490" t="n">
        <v>0</v>
      </c>
      <c r="P490" t="n">
        <v>0</v>
      </c>
      <c r="Q490" t="n">
        <v>0</v>
      </c>
      <c r="R490" s="2" t="inlineStr"/>
    </row>
    <row r="491" ht="15" customHeight="1">
      <c r="A491" t="inlineStr">
        <is>
          <t>A 36450-2023</t>
        </is>
      </c>
      <c r="B491" s="1" t="n">
        <v>45152.64842592592</v>
      </c>
      <c r="C491" s="1" t="n">
        <v>46003</v>
      </c>
      <c r="D491" t="inlineStr">
        <is>
          <t>DALARNAS LÄN</t>
        </is>
      </c>
      <c r="E491" t="inlineStr">
        <is>
          <t>LEKSAND</t>
        </is>
      </c>
      <c r="G491" t="n">
        <v>2.4</v>
      </c>
      <c r="H491" t="n">
        <v>0</v>
      </c>
      <c r="I491" t="n">
        <v>0</v>
      </c>
      <c r="J491" t="n">
        <v>0</v>
      </c>
      <c r="K491" t="n">
        <v>0</v>
      </c>
      <c r="L491" t="n">
        <v>0</v>
      </c>
      <c r="M491" t="n">
        <v>0</v>
      </c>
      <c r="N491" t="n">
        <v>0</v>
      </c>
      <c r="O491" t="n">
        <v>0</v>
      </c>
      <c r="P491" t="n">
        <v>0</v>
      </c>
      <c r="Q491" t="n">
        <v>0</v>
      </c>
      <c r="R491" s="2" t="inlineStr"/>
    </row>
    <row r="492" ht="15" customHeight="1">
      <c r="A492" t="inlineStr">
        <is>
          <t>A 7861-2024</t>
        </is>
      </c>
      <c r="B492" s="1" t="n">
        <v>45350.30831018519</v>
      </c>
      <c r="C492" s="1" t="n">
        <v>46003</v>
      </c>
      <c r="D492" t="inlineStr">
        <is>
          <t>DALARNAS LÄN</t>
        </is>
      </c>
      <c r="E492" t="inlineStr">
        <is>
          <t>LEKSAND</t>
        </is>
      </c>
      <c r="G492" t="n">
        <v>1.8</v>
      </c>
      <c r="H492" t="n">
        <v>0</v>
      </c>
      <c r="I492" t="n">
        <v>0</v>
      </c>
      <c r="J492" t="n">
        <v>0</v>
      </c>
      <c r="K492" t="n">
        <v>0</v>
      </c>
      <c r="L492" t="n">
        <v>0</v>
      </c>
      <c r="M492" t="n">
        <v>0</v>
      </c>
      <c r="N492" t="n">
        <v>0</v>
      </c>
      <c r="O492" t="n">
        <v>0</v>
      </c>
      <c r="P492" t="n">
        <v>0</v>
      </c>
      <c r="Q492" t="n">
        <v>0</v>
      </c>
      <c r="R492" s="2" t="inlineStr"/>
    </row>
    <row r="493" ht="15" customHeight="1">
      <c r="A493" t="inlineStr">
        <is>
          <t>A 1458-2024</t>
        </is>
      </c>
      <c r="B493" s="1" t="n">
        <v>45303</v>
      </c>
      <c r="C493" s="1" t="n">
        <v>46003</v>
      </c>
      <c r="D493" t="inlineStr">
        <is>
          <t>DALARNAS LÄN</t>
        </is>
      </c>
      <c r="E493" t="inlineStr">
        <is>
          <t>LEKSAND</t>
        </is>
      </c>
      <c r="G493" t="n">
        <v>2</v>
      </c>
      <c r="H493" t="n">
        <v>0</v>
      </c>
      <c r="I493" t="n">
        <v>0</v>
      </c>
      <c r="J493" t="n">
        <v>0</v>
      </c>
      <c r="K493" t="n">
        <v>0</v>
      </c>
      <c r="L493" t="n">
        <v>0</v>
      </c>
      <c r="M493" t="n">
        <v>0</v>
      </c>
      <c r="N493" t="n">
        <v>0</v>
      </c>
      <c r="O493" t="n">
        <v>0</v>
      </c>
      <c r="P493" t="n">
        <v>0</v>
      </c>
      <c r="Q493" t="n">
        <v>0</v>
      </c>
      <c r="R493" s="2" t="inlineStr"/>
    </row>
    <row r="494" ht="15" customHeight="1">
      <c r="A494" t="inlineStr">
        <is>
          <t>A 1461-2024</t>
        </is>
      </c>
      <c r="B494" s="1" t="n">
        <v>45303</v>
      </c>
      <c r="C494" s="1" t="n">
        <v>46003</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40513-2025</t>
        </is>
      </c>
      <c r="B495" s="1" t="n">
        <v>45896.35100694445</v>
      </c>
      <c r="C495" s="1" t="n">
        <v>46003</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3737-2023</t>
        </is>
      </c>
      <c r="B496" s="1" t="n">
        <v>44951.42983796296</v>
      </c>
      <c r="C496" s="1" t="n">
        <v>46003</v>
      </c>
      <c r="D496" t="inlineStr">
        <is>
          <t>DALARNAS LÄN</t>
        </is>
      </c>
      <c r="E496" t="inlineStr">
        <is>
          <t>LEKSAND</t>
        </is>
      </c>
      <c r="G496" t="n">
        <v>3.1</v>
      </c>
      <c r="H496" t="n">
        <v>0</v>
      </c>
      <c r="I496" t="n">
        <v>0</v>
      </c>
      <c r="J496" t="n">
        <v>0</v>
      </c>
      <c r="K496" t="n">
        <v>0</v>
      </c>
      <c r="L496" t="n">
        <v>0</v>
      </c>
      <c r="M496" t="n">
        <v>0</v>
      </c>
      <c r="N496" t="n">
        <v>0</v>
      </c>
      <c r="O496" t="n">
        <v>0</v>
      </c>
      <c r="P496" t="n">
        <v>0</v>
      </c>
      <c r="Q496" t="n">
        <v>0</v>
      </c>
      <c r="R496" s="2" t="inlineStr"/>
    </row>
    <row r="497" ht="15" customHeight="1">
      <c r="A497" t="inlineStr">
        <is>
          <t>A 6027-2025</t>
        </is>
      </c>
      <c r="B497" s="1" t="n">
        <v>45695</v>
      </c>
      <c r="C497" s="1" t="n">
        <v>46003</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53717-2023</t>
        </is>
      </c>
      <c r="B498" s="1" t="n">
        <v>45230</v>
      </c>
      <c r="C498" s="1" t="n">
        <v>46003</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11678-2023</t>
        </is>
      </c>
      <c r="B499" s="1" t="n">
        <v>44994</v>
      </c>
      <c r="C499" s="1" t="n">
        <v>46003</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43470-2024</t>
        </is>
      </c>
      <c r="B500" s="1" t="n">
        <v>45568</v>
      </c>
      <c r="C500" s="1" t="n">
        <v>46003</v>
      </c>
      <c r="D500" t="inlineStr">
        <is>
          <t>DALARNAS LÄN</t>
        </is>
      </c>
      <c r="E500" t="inlineStr">
        <is>
          <t>LEKSAND</t>
        </is>
      </c>
      <c r="G500" t="n">
        <v>3.1</v>
      </c>
      <c r="H500" t="n">
        <v>0</v>
      </c>
      <c r="I500" t="n">
        <v>0</v>
      </c>
      <c r="J500" t="n">
        <v>0</v>
      </c>
      <c r="K500" t="n">
        <v>0</v>
      </c>
      <c r="L500" t="n">
        <v>0</v>
      </c>
      <c r="M500" t="n">
        <v>0</v>
      </c>
      <c r="N500" t="n">
        <v>0</v>
      </c>
      <c r="O500" t="n">
        <v>0</v>
      </c>
      <c r="P500" t="n">
        <v>0</v>
      </c>
      <c r="Q500" t="n">
        <v>0</v>
      </c>
      <c r="R500" s="2" t="inlineStr"/>
    </row>
    <row r="501" ht="15" customHeight="1">
      <c r="A501" t="inlineStr">
        <is>
          <t>A 13288-2023</t>
        </is>
      </c>
      <c r="B501" s="1" t="n">
        <v>45004.8160300926</v>
      </c>
      <c r="C501" s="1" t="n">
        <v>46003</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41237-2025</t>
        </is>
      </c>
      <c r="B502" s="1" t="n">
        <v>45898.59570601852</v>
      </c>
      <c r="C502" s="1" t="n">
        <v>46003</v>
      </c>
      <c r="D502" t="inlineStr">
        <is>
          <t>DALARNAS LÄN</t>
        </is>
      </c>
      <c r="E502" t="inlineStr">
        <is>
          <t>LEKSAND</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41248-2025</t>
        </is>
      </c>
      <c r="B503" s="1" t="n">
        <v>45898.60199074074</v>
      </c>
      <c r="C503" s="1" t="n">
        <v>46003</v>
      </c>
      <c r="D503" t="inlineStr">
        <is>
          <t>DALARNAS LÄN</t>
        </is>
      </c>
      <c r="E503" t="inlineStr">
        <is>
          <t>LEKSAND</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41308-2025</t>
        </is>
      </c>
      <c r="B504" s="1" t="n">
        <v>45898</v>
      </c>
      <c r="C504" s="1" t="n">
        <v>46003</v>
      </c>
      <c r="D504" t="inlineStr">
        <is>
          <t>DALARNAS LÄN</t>
        </is>
      </c>
      <c r="E504" t="inlineStr">
        <is>
          <t>LEKSAND</t>
        </is>
      </c>
      <c r="F504" t="inlineStr">
        <is>
          <t>Bergvik skog väst AB</t>
        </is>
      </c>
      <c r="G504" t="n">
        <v>6.7</v>
      </c>
      <c r="H504" t="n">
        <v>0</v>
      </c>
      <c r="I504" t="n">
        <v>0</v>
      </c>
      <c r="J504" t="n">
        <v>0</v>
      </c>
      <c r="K504" t="n">
        <v>0</v>
      </c>
      <c r="L504" t="n">
        <v>0</v>
      </c>
      <c r="M504" t="n">
        <v>0</v>
      </c>
      <c r="N504" t="n">
        <v>0</v>
      </c>
      <c r="O504" t="n">
        <v>0</v>
      </c>
      <c r="P504" t="n">
        <v>0</v>
      </c>
      <c r="Q504" t="n">
        <v>0</v>
      </c>
      <c r="R504" s="2" t="inlineStr"/>
    </row>
    <row r="505" ht="15" customHeight="1">
      <c r="A505" t="inlineStr">
        <is>
          <t>A 11869-2024</t>
        </is>
      </c>
      <c r="B505" s="1" t="n">
        <v>45376.45800925926</v>
      </c>
      <c r="C505" s="1" t="n">
        <v>46003</v>
      </c>
      <c r="D505" t="inlineStr">
        <is>
          <t>DALARNAS LÄN</t>
        </is>
      </c>
      <c r="E505" t="inlineStr">
        <is>
          <t>LEKSAND</t>
        </is>
      </c>
      <c r="G505" t="n">
        <v>0.5</v>
      </c>
      <c r="H505" t="n">
        <v>0</v>
      </c>
      <c r="I505" t="n">
        <v>0</v>
      </c>
      <c r="J505" t="n">
        <v>0</v>
      </c>
      <c r="K505" t="n">
        <v>0</v>
      </c>
      <c r="L505" t="n">
        <v>0</v>
      </c>
      <c r="M505" t="n">
        <v>0</v>
      </c>
      <c r="N505" t="n">
        <v>0</v>
      </c>
      <c r="O505" t="n">
        <v>0</v>
      </c>
      <c r="P505" t="n">
        <v>0</v>
      </c>
      <c r="Q505" t="n">
        <v>0</v>
      </c>
      <c r="R505" s="2" t="inlineStr"/>
    </row>
    <row r="506" ht="15" customHeight="1">
      <c r="A506" t="inlineStr">
        <is>
          <t>A 22080-2025</t>
        </is>
      </c>
      <c r="B506" s="1" t="n">
        <v>45785</v>
      </c>
      <c r="C506" s="1" t="n">
        <v>46003</v>
      </c>
      <c r="D506" t="inlineStr">
        <is>
          <t>DALARNAS LÄN</t>
        </is>
      </c>
      <c r="E506" t="inlineStr">
        <is>
          <t>LEKSAND</t>
        </is>
      </c>
      <c r="G506" t="n">
        <v>7</v>
      </c>
      <c r="H506" t="n">
        <v>0</v>
      </c>
      <c r="I506" t="n">
        <v>0</v>
      </c>
      <c r="J506" t="n">
        <v>0</v>
      </c>
      <c r="K506" t="n">
        <v>0</v>
      </c>
      <c r="L506" t="n">
        <v>0</v>
      </c>
      <c r="M506" t="n">
        <v>0</v>
      </c>
      <c r="N506" t="n">
        <v>0</v>
      </c>
      <c r="O506" t="n">
        <v>0</v>
      </c>
      <c r="P506" t="n">
        <v>0</v>
      </c>
      <c r="Q506" t="n">
        <v>0</v>
      </c>
      <c r="R506" s="2" t="inlineStr"/>
    </row>
    <row r="507" ht="15" customHeight="1">
      <c r="A507" t="inlineStr">
        <is>
          <t>A 60873-2023</t>
        </is>
      </c>
      <c r="B507" s="1" t="n">
        <v>45261.03266203704</v>
      </c>
      <c r="C507" s="1" t="n">
        <v>46003</v>
      </c>
      <c r="D507" t="inlineStr">
        <is>
          <t>DALARNAS LÄN</t>
        </is>
      </c>
      <c r="E507" t="inlineStr">
        <is>
          <t>LEKSAND</t>
        </is>
      </c>
      <c r="G507" t="n">
        <v>5.2</v>
      </c>
      <c r="H507" t="n">
        <v>0</v>
      </c>
      <c r="I507" t="n">
        <v>0</v>
      </c>
      <c r="J507" t="n">
        <v>0</v>
      </c>
      <c r="K507" t="n">
        <v>0</v>
      </c>
      <c r="L507" t="n">
        <v>0</v>
      </c>
      <c r="M507" t="n">
        <v>0</v>
      </c>
      <c r="N507" t="n">
        <v>0</v>
      </c>
      <c r="O507" t="n">
        <v>0</v>
      </c>
      <c r="P507" t="n">
        <v>0</v>
      </c>
      <c r="Q507" t="n">
        <v>0</v>
      </c>
      <c r="R507" s="2" t="inlineStr"/>
    </row>
    <row r="508" ht="15" customHeight="1">
      <c r="A508" t="inlineStr">
        <is>
          <t>A 54914-2024</t>
        </is>
      </c>
      <c r="B508" s="1" t="n">
        <v>45618.69380787037</v>
      </c>
      <c r="C508" s="1" t="n">
        <v>46003</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27520-2023</t>
        </is>
      </c>
      <c r="B509" s="1" t="n">
        <v>45097</v>
      </c>
      <c r="C509" s="1" t="n">
        <v>46003</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30169-2023</t>
        </is>
      </c>
      <c r="B510" s="1" t="n">
        <v>45110</v>
      </c>
      <c r="C510" s="1" t="n">
        <v>46003</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37952-2024</t>
        </is>
      </c>
      <c r="B511" s="1" t="n">
        <v>45544.5200462963</v>
      </c>
      <c r="C511" s="1" t="n">
        <v>46003</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41380-2025</t>
        </is>
      </c>
      <c r="B512" s="1" t="n">
        <v>45900.92826388889</v>
      </c>
      <c r="C512" s="1" t="n">
        <v>46003</v>
      </c>
      <c r="D512" t="inlineStr">
        <is>
          <t>DALARNAS LÄN</t>
        </is>
      </c>
      <c r="E512" t="inlineStr">
        <is>
          <t>LEKSAND</t>
        </is>
      </c>
      <c r="G512" t="n">
        <v>1.4</v>
      </c>
      <c r="H512" t="n">
        <v>0</v>
      </c>
      <c r="I512" t="n">
        <v>0</v>
      </c>
      <c r="J512" t="n">
        <v>0</v>
      </c>
      <c r="K512" t="n">
        <v>0</v>
      </c>
      <c r="L512" t="n">
        <v>0</v>
      </c>
      <c r="M512" t="n">
        <v>0</v>
      </c>
      <c r="N512" t="n">
        <v>0</v>
      </c>
      <c r="O512" t="n">
        <v>0</v>
      </c>
      <c r="P512" t="n">
        <v>0</v>
      </c>
      <c r="Q512" t="n">
        <v>0</v>
      </c>
      <c r="R512" s="2" t="inlineStr"/>
    </row>
    <row r="513" ht="15" customHeight="1">
      <c r="A513" t="inlineStr">
        <is>
          <t>A 3352-2024</t>
        </is>
      </c>
      <c r="B513" s="1" t="n">
        <v>45317</v>
      </c>
      <c r="C513" s="1" t="n">
        <v>46003</v>
      </c>
      <c r="D513" t="inlineStr">
        <is>
          <t>DALARNAS LÄN</t>
        </is>
      </c>
      <c r="E513" t="inlineStr">
        <is>
          <t>LEKSAND</t>
        </is>
      </c>
      <c r="G513" t="n">
        <v>1.2</v>
      </c>
      <c r="H513" t="n">
        <v>0</v>
      </c>
      <c r="I513" t="n">
        <v>0</v>
      </c>
      <c r="J513" t="n">
        <v>0</v>
      </c>
      <c r="K513" t="n">
        <v>0</v>
      </c>
      <c r="L513" t="n">
        <v>0</v>
      </c>
      <c r="M513" t="n">
        <v>0</v>
      </c>
      <c r="N513" t="n">
        <v>0</v>
      </c>
      <c r="O513" t="n">
        <v>0</v>
      </c>
      <c r="P513" t="n">
        <v>0</v>
      </c>
      <c r="Q513" t="n">
        <v>0</v>
      </c>
      <c r="R513" s="2" t="inlineStr"/>
    </row>
    <row r="514" ht="15" customHeight="1">
      <c r="A514" t="inlineStr">
        <is>
          <t>A 167-2023</t>
        </is>
      </c>
      <c r="B514" s="1" t="n">
        <v>44918</v>
      </c>
      <c r="C514" s="1" t="n">
        <v>46003</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56950-2024</t>
        </is>
      </c>
      <c r="B515" s="1" t="n">
        <v>45625</v>
      </c>
      <c r="C515" s="1" t="n">
        <v>46003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31391-2024</t>
        </is>
      </c>
      <c r="B516" s="1" t="n">
        <v>45505.46616898148</v>
      </c>
      <c r="C516" s="1" t="n">
        <v>46003</v>
      </c>
      <c r="D516" t="inlineStr">
        <is>
          <t>DALARNAS LÄN</t>
        </is>
      </c>
      <c r="E516" t="inlineStr">
        <is>
          <t>LEKSAND</t>
        </is>
      </c>
      <c r="F516" t="inlineStr">
        <is>
          <t>Bergvik skog väst AB</t>
        </is>
      </c>
      <c r="G516" t="n">
        <v>2.7</v>
      </c>
      <c r="H516" t="n">
        <v>0</v>
      </c>
      <c r="I516" t="n">
        <v>0</v>
      </c>
      <c r="J516" t="n">
        <v>0</v>
      </c>
      <c r="K516" t="n">
        <v>0</v>
      </c>
      <c r="L516" t="n">
        <v>0</v>
      </c>
      <c r="M516" t="n">
        <v>0</v>
      </c>
      <c r="N516" t="n">
        <v>0</v>
      </c>
      <c r="O516" t="n">
        <v>0</v>
      </c>
      <c r="P516" t="n">
        <v>0</v>
      </c>
      <c r="Q516" t="n">
        <v>0</v>
      </c>
      <c r="R516" s="2" t="inlineStr"/>
    </row>
    <row r="517" ht="15" customHeight="1">
      <c r="A517" t="inlineStr">
        <is>
          <t>A 41335-2025</t>
        </is>
      </c>
      <c r="B517" s="1" t="n">
        <v>45899.36747685185</v>
      </c>
      <c r="C517" s="1" t="n">
        <v>46003</v>
      </c>
      <c r="D517" t="inlineStr">
        <is>
          <t>DALARNAS LÄN</t>
        </is>
      </c>
      <c r="E517" t="inlineStr">
        <is>
          <t>LEKSAND</t>
        </is>
      </c>
      <c r="G517" t="n">
        <v>5.9</v>
      </c>
      <c r="H517" t="n">
        <v>0</v>
      </c>
      <c r="I517" t="n">
        <v>0</v>
      </c>
      <c r="J517" t="n">
        <v>0</v>
      </c>
      <c r="K517" t="n">
        <v>0</v>
      </c>
      <c r="L517" t="n">
        <v>0</v>
      </c>
      <c r="M517" t="n">
        <v>0</v>
      </c>
      <c r="N517" t="n">
        <v>0</v>
      </c>
      <c r="O517" t="n">
        <v>0</v>
      </c>
      <c r="P517" t="n">
        <v>0</v>
      </c>
      <c r="Q517" t="n">
        <v>0</v>
      </c>
      <c r="R517" s="2" t="inlineStr"/>
    </row>
    <row r="518" ht="15" customHeight="1">
      <c r="A518" t="inlineStr">
        <is>
          <t>A 41487-2025</t>
        </is>
      </c>
      <c r="B518" s="1" t="n">
        <v>45901.4815625</v>
      </c>
      <c r="C518" s="1" t="n">
        <v>46003</v>
      </c>
      <c r="D518" t="inlineStr">
        <is>
          <t>DALARNAS LÄN</t>
        </is>
      </c>
      <c r="E518" t="inlineStr">
        <is>
          <t>LEKSAND</t>
        </is>
      </c>
      <c r="F518" t="inlineStr">
        <is>
          <t>Bergvik skog väst AB</t>
        </is>
      </c>
      <c r="G518" t="n">
        <v>7.3</v>
      </c>
      <c r="H518" t="n">
        <v>0</v>
      </c>
      <c r="I518" t="n">
        <v>0</v>
      </c>
      <c r="J518" t="n">
        <v>0</v>
      </c>
      <c r="K518" t="n">
        <v>0</v>
      </c>
      <c r="L518" t="n">
        <v>0</v>
      </c>
      <c r="M518" t="n">
        <v>0</v>
      </c>
      <c r="N518" t="n">
        <v>0</v>
      </c>
      <c r="O518" t="n">
        <v>0</v>
      </c>
      <c r="P518" t="n">
        <v>0</v>
      </c>
      <c r="Q518" t="n">
        <v>0</v>
      </c>
      <c r="R518" s="2" t="inlineStr"/>
    </row>
    <row r="519" ht="15" customHeight="1">
      <c r="A519" t="inlineStr">
        <is>
          <t>A 11004-2023</t>
        </is>
      </c>
      <c r="B519" s="1" t="n">
        <v>44986</v>
      </c>
      <c r="C519" s="1" t="n">
        <v>46003</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9938-2023</t>
        </is>
      </c>
      <c r="B520" s="1" t="n">
        <v>44985</v>
      </c>
      <c r="C520" s="1" t="n">
        <v>46003</v>
      </c>
      <c r="D520" t="inlineStr">
        <is>
          <t>DALARNAS LÄN</t>
        </is>
      </c>
      <c r="E520" t="inlineStr">
        <is>
          <t>LEKSAND</t>
        </is>
      </c>
      <c r="G520" t="n">
        <v>3.1</v>
      </c>
      <c r="H520" t="n">
        <v>0</v>
      </c>
      <c r="I520" t="n">
        <v>0</v>
      </c>
      <c r="J520" t="n">
        <v>0</v>
      </c>
      <c r="K520" t="n">
        <v>0</v>
      </c>
      <c r="L520" t="n">
        <v>0</v>
      </c>
      <c r="M520" t="n">
        <v>0</v>
      </c>
      <c r="N520" t="n">
        <v>0</v>
      </c>
      <c r="O520" t="n">
        <v>0</v>
      </c>
      <c r="P520" t="n">
        <v>0</v>
      </c>
      <c r="Q520" t="n">
        <v>0</v>
      </c>
      <c r="R520" s="2" t="inlineStr"/>
    </row>
    <row r="521" ht="15" customHeight="1">
      <c r="A521" t="inlineStr">
        <is>
          <t>A 59103-2024</t>
        </is>
      </c>
      <c r="B521" s="1" t="n">
        <v>45637.34184027778</v>
      </c>
      <c r="C521" s="1" t="n">
        <v>46003</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27244-2023</t>
        </is>
      </c>
      <c r="B522" s="1" t="n">
        <v>45096</v>
      </c>
      <c r="C522" s="1" t="n">
        <v>46003</v>
      </c>
      <c r="D522" t="inlineStr">
        <is>
          <t>DALARNAS LÄN</t>
        </is>
      </c>
      <c r="E522" t="inlineStr">
        <is>
          <t>LEKSAND</t>
        </is>
      </c>
      <c r="G522" t="n">
        <v>5</v>
      </c>
      <c r="H522" t="n">
        <v>0</v>
      </c>
      <c r="I522" t="n">
        <v>0</v>
      </c>
      <c r="J522" t="n">
        <v>0</v>
      </c>
      <c r="K522" t="n">
        <v>0</v>
      </c>
      <c r="L522" t="n">
        <v>0</v>
      </c>
      <c r="M522" t="n">
        <v>0</v>
      </c>
      <c r="N522" t="n">
        <v>0</v>
      </c>
      <c r="O522" t="n">
        <v>0</v>
      </c>
      <c r="P522" t="n">
        <v>0</v>
      </c>
      <c r="Q522" t="n">
        <v>0</v>
      </c>
      <c r="R522" s="2" t="inlineStr"/>
    </row>
    <row r="523" ht="15" customHeight="1">
      <c r="A523" t="inlineStr">
        <is>
          <t>A 70099-2021</t>
        </is>
      </c>
      <c r="B523" s="1" t="n">
        <v>44533</v>
      </c>
      <c r="C523" s="1" t="n">
        <v>46003</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23892-2025</t>
        </is>
      </c>
      <c r="B524" s="1" t="n">
        <v>45793</v>
      </c>
      <c r="C524" s="1" t="n">
        <v>46003</v>
      </c>
      <c r="D524" t="inlineStr">
        <is>
          <t>DALARNAS LÄN</t>
        </is>
      </c>
      <c r="E524" t="inlineStr">
        <is>
          <t>LEKSAND</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13401-2023</t>
        </is>
      </c>
      <c r="B525" s="1" t="n">
        <v>45005</v>
      </c>
      <c r="C525" s="1" t="n">
        <v>46003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60113-2022</t>
        </is>
      </c>
      <c r="B526" s="1" t="n">
        <v>44909</v>
      </c>
      <c r="C526" s="1" t="n">
        <v>46003</v>
      </c>
      <c r="D526" t="inlineStr">
        <is>
          <t>DALARNAS LÄN</t>
        </is>
      </c>
      <c r="E526" t="inlineStr">
        <is>
          <t>LEKSAND</t>
        </is>
      </c>
      <c r="G526" t="n">
        <v>3.7</v>
      </c>
      <c r="H526" t="n">
        <v>0</v>
      </c>
      <c r="I526" t="n">
        <v>0</v>
      </c>
      <c r="J526" t="n">
        <v>0</v>
      </c>
      <c r="K526" t="n">
        <v>0</v>
      </c>
      <c r="L526" t="n">
        <v>0</v>
      </c>
      <c r="M526" t="n">
        <v>0</v>
      </c>
      <c r="N526" t="n">
        <v>0</v>
      </c>
      <c r="O526" t="n">
        <v>0</v>
      </c>
      <c r="P526" t="n">
        <v>0</v>
      </c>
      <c r="Q526" t="n">
        <v>0</v>
      </c>
      <c r="R526" s="2" t="inlineStr"/>
    </row>
    <row r="527" ht="15" customHeight="1">
      <c r="A527" t="inlineStr">
        <is>
          <t>A 15173-2025</t>
        </is>
      </c>
      <c r="B527" s="1" t="n">
        <v>45744.50858796296</v>
      </c>
      <c r="C527" s="1" t="n">
        <v>46003</v>
      </c>
      <c r="D527" t="inlineStr">
        <is>
          <t>DALARNAS LÄN</t>
        </is>
      </c>
      <c r="E527" t="inlineStr">
        <is>
          <t>LEKSAND</t>
        </is>
      </c>
      <c r="G527" t="n">
        <v>0.3</v>
      </c>
      <c r="H527" t="n">
        <v>0</v>
      </c>
      <c r="I527" t="n">
        <v>0</v>
      </c>
      <c r="J527" t="n">
        <v>0</v>
      </c>
      <c r="K527" t="n">
        <v>0</v>
      </c>
      <c r="L527" t="n">
        <v>0</v>
      </c>
      <c r="M527" t="n">
        <v>0</v>
      </c>
      <c r="N527" t="n">
        <v>0</v>
      </c>
      <c r="O527" t="n">
        <v>0</v>
      </c>
      <c r="P527" t="n">
        <v>0</v>
      </c>
      <c r="Q527" t="n">
        <v>0</v>
      </c>
      <c r="R527" s="2" t="inlineStr"/>
    </row>
    <row r="528" ht="15" customHeight="1">
      <c r="A528" t="inlineStr">
        <is>
          <t>A 30611-2023</t>
        </is>
      </c>
      <c r="B528" s="1" t="n">
        <v>45112</v>
      </c>
      <c r="C528" s="1" t="n">
        <v>46003</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31254-2023</t>
        </is>
      </c>
      <c r="B529" s="1" t="n">
        <v>45114</v>
      </c>
      <c r="C529" s="1" t="n">
        <v>46003</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62306-2023</t>
        </is>
      </c>
      <c r="B530" s="1" t="n">
        <v>45266</v>
      </c>
      <c r="C530" s="1" t="n">
        <v>46003</v>
      </c>
      <c r="D530" t="inlineStr">
        <is>
          <t>DALARNAS LÄN</t>
        </is>
      </c>
      <c r="E530" t="inlineStr">
        <is>
          <t>LEKSAND</t>
        </is>
      </c>
      <c r="G530" t="n">
        <v>1.1</v>
      </c>
      <c r="H530" t="n">
        <v>0</v>
      </c>
      <c r="I530" t="n">
        <v>0</v>
      </c>
      <c r="J530" t="n">
        <v>0</v>
      </c>
      <c r="K530" t="n">
        <v>0</v>
      </c>
      <c r="L530" t="n">
        <v>0</v>
      </c>
      <c r="M530" t="n">
        <v>0</v>
      </c>
      <c r="N530" t="n">
        <v>0</v>
      </c>
      <c r="O530" t="n">
        <v>0</v>
      </c>
      <c r="P530" t="n">
        <v>0</v>
      </c>
      <c r="Q530" t="n">
        <v>0</v>
      </c>
      <c r="R530" s="2" t="inlineStr"/>
    </row>
    <row r="531" ht="15" customHeight="1">
      <c r="A531" t="inlineStr">
        <is>
          <t>A 42284-2025</t>
        </is>
      </c>
      <c r="B531" s="1" t="n">
        <v>45903</v>
      </c>
      <c r="C531" s="1" t="n">
        <v>46003</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30175-2023</t>
        </is>
      </c>
      <c r="B532" s="1" t="n">
        <v>45110</v>
      </c>
      <c r="C532" s="1" t="n">
        <v>46003</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28921-2023</t>
        </is>
      </c>
      <c r="B533" s="1" t="n">
        <v>45104</v>
      </c>
      <c r="C533" s="1" t="n">
        <v>46003</v>
      </c>
      <c r="D533" t="inlineStr">
        <is>
          <t>DALARNAS LÄN</t>
        </is>
      </c>
      <c r="E533" t="inlineStr">
        <is>
          <t>LEKSAND</t>
        </is>
      </c>
      <c r="G533" t="n">
        <v>4.4</v>
      </c>
      <c r="H533" t="n">
        <v>0</v>
      </c>
      <c r="I533" t="n">
        <v>0</v>
      </c>
      <c r="J533" t="n">
        <v>0</v>
      </c>
      <c r="K533" t="n">
        <v>0</v>
      </c>
      <c r="L533" t="n">
        <v>0</v>
      </c>
      <c r="M533" t="n">
        <v>0</v>
      </c>
      <c r="N533" t="n">
        <v>0</v>
      </c>
      <c r="O533" t="n">
        <v>0</v>
      </c>
      <c r="P533" t="n">
        <v>0</v>
      </c>
      <c r="Q533" t="n">
        <v>0</v>
      </c>
      <c r="R533" s="2" t="inlineStr"/>
    </row>
    <row r="534" ht="15" customHeight="1">
      <c r="A534" t="inlineStr">
        <is>
          <t>A 18107-2025</t>
        </is>
      </c>
      <c r="B534" s="1" t="n">
        <v>45761.55939814815</v>
      </c>
      <c r="C534" s="1" t="n">
        <v>46003</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16051-2023</t>
        </is>
      </c>
      <c r="B535" s="1" t="n">
        <v>45027</v>
      </c>
      <c r="C535" s="1" t="n">
        <v>46003</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22536-2025</t>
        </is>
      </c>
      <c r="B536" s="1" t="n">
        <v>45787.33037037037</v>
      </c>
      <c r="C536" s="1" t="n">
        <v>46003</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8940-2023</t>
        </is>
      </c>
      <c r="B537" s="1" t="n">
        <v>44974</v>
      </c>
      <c r="C537" s="1" t="n">
        <v>46003</v>
      </c>
      <c r="D537" t="inlineStr">
        <is>
          <t>DALARNAS LÄN</t>
        </is>
      </c>
      <c r="E537" t="inlineStr">
        <is>
          <t>LEKSAND</t>
        </is>
      </c>
      <c r="G537" t="n">
        <v>1.5</v>
      </c>
      <c r="H537" t="n">
        <v>0</v>
      </c>
      <c r="I537" t="n">
        <v>0</v>
      </c>
      <c r="J537" t="n">
        <v>0</v>
      </c>
      <c r="K537" t="n">
        <v>0</v>
      </c>
      <c r="L537" t="n">
        <v>0</v>
      </c>
      <c r="M537" t="n">
        <v>0</v>
      </c>
      <c r="N537" t="n">
        <v>0</v>
      </c>
      <c r="O537" t="n">
        <v>0</v>
      </c>
      <c r="P537" t="n">
        <v>0</v>
      </c>
      <c r="Q537" t="n">
        <v>0</v>
      </c>
      <c r="R537" s="2" t="inlineStr"/>
    </row>
    <row r="538" ht="15" customHeight="1">
      <c r="A538" t="inlineStr">
        <is>
          <t>A 56059-2024</t>
        </is>
      </c>
      <c r="B538" s="1" t="n">
        <v>45624.36729166667</v>
      </c>
      <c r="C538" s="1" t="n">
        <v>46003</v>
      </c>
      <c r="D538" t="inlineStr">
        <is>
          <t>DALARNAS LÄN</t>
        </is>
      </c>
      <c r="E538" t="inlineStr">
        <is>
          <t>LEKSAND</t>
        </is>
      </c>
      <c r="G538" t="n">
        <v>3.1</v>
      </c>
      <c r="H538" t="n">
        <v>0</v>
      </c>
      <c r="I538" t="n">
        <v>0</v>
      </c>
      <c r="J538" t="n">
        <v>0</v>
      </c>
      <c r="K538" t="n">
        <v>0</v>
      </c>
      <c r="L538" t="n">
        <v>0</v>
      </c>
      <c r="M538" t="n">
        <v>0</v>
      </c>
      <c r="N538" t="n">
        <v>0</v>
      </c>
      <c r="O538" t="n">
        <v>0</v>
      </c>
      <c r="P538" t="n">
        <v>0</v>
      </c>
      <c r="Q538" t="n">
        <v>0</v>
      </c>
      <c r="R538" s="2" t="inlineStr"/>
    </row>
    <row r="539" ht="15" customHeight="1">
      <c r="A539" t="inlineStr">
        <is>
          <t>A 9459-2023</t>
        </is>
      </c>
      <c r="B539" s="1" t="n">
        <v>44977</v>
      </c>
      <c r="C539" s="1" t="n">
        <v>46003</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56941-2024</t>
        </is>
      </c>
      <c r="B540" s="1" t="n">
        <v>45625</v>
      </c>
      <c r="C540" s="1" t="n">
        <v>46003</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42402-2025</t>
        </is>
      </c>
      <c r="B541" s="1" t="n">
        <v>45905.3753125</v>
      </c>
      <c r="C541" s="1" t="n">
        <v>46003</v>
      </c>
      <c r="D541" t="inlineStr">
        <is>
          <t>DALARNAS LÄN</t>
        </is>
      </c>
      <c r="E541" t="inlineStr">
        <is>
          <t>LEKSAND</t>
        </is>
      </c>
      <c r="G541" t="n">
        <v>0.6</v>
      </c>
      <c r="H541" t="n">
        <v>0</v>
      </c>
      <c r="I541" t="n">
        <v>0</v>
      </c>
      <c r="J541" t="n">
        <v>0</v>
      </c>
      <c r="K541" t="n">
        <v>0</v>
      </c>
      <c r="L541" t="n">
        <v>0</v>
      </c>
      <c r="M541" t="n">
        <v>0</v>
      </c>
      <c r="N541" t="n">
        <v>0</v>
      </c>
      <c r="O541" t="n">
        <v>0</v>
      </c>
      <c r="P541" t="n">
        <v>0</v>
      </c>
      <c r="Q541" t="n">
        <v>0</v>
      </c>
      <c r="R541" s="2" t="inlineStr"/>
    </row>
    <row r="542" ht="15" customHeight="1">
      <c r="A542" t="inlineStr">
        <is>
          <t>A 2579-2022</t>
        </is>
      </c>
      <c r="B542" s="1" t="n">
        <v>44580</v>
      </c>
      <c r="C542" s="1" t="n">
        <v>46003</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48721-2023</t>
        </is>
      </c>
      <c r="B543" s="1" t="n">
        <v>45203</v>
      </c>
      <c r="C543" s="1" t="n">
        <v>46003</v>
      </c>
      <c r="D543" t="inlineStr">
        <is>
          <t>DALARNAS LÄN</t>
        </is>
      </c>
      <c r="E543" t="inlineStr">
        <is>
          <t>LEKSAND</t>
        </is>
      </c>
      <c r="G543" t="n">
        <v>2.9</v>
      </c>
      <c r="H543" t="n">
        <v>0</v>
      </c>
      <c r="I543" t="n">
        <v>0</v>
      </c>
      <c r="J543" t="n">
        <v>0</v>
      </c>
      <c r="K543" t="n">
        <v>0</v>
      </c>
      <c r="L543" t="n">
        <v>0</v>
      </c>
      <c r="M543" t="n">
        <v>0</v>
      </c>
      <c r="N543" t="n">
        <v>0</v>
      </c>
      <c r="O543" t="n">
        <v>0</v>
      </c>
      <c r="P543" t="n">
        <v>0</v>
      </c>
      <c r="Q543" t="n">
        <v>0</v>
      </c>
      <c r="R543" s="2" t="inlineStr"/>
    </row>
    <row r="544" ht="15" customHeight="1">
      <c r="A544" t="inlineStr">
        <is>
          <t>A 49395-2024</t>
        </is>
      </c>
      <c r="B544" s="1" t="n">
        <v>45595</v>
      </c>
      <c r="C544" s="1" t="n">
        <v>46003</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24714-2025</t>
        </is>
      </c>
      <c r="B545" s="1" t="n">
        <v>45798.96927083333</v>
      </c>
      <c r="C545" s="1" t="n">
        <v>46003</v>
      </c>
      <c r="D545" t="inlineStr">
        <is>
          <t>DALARNAS LÄN</t>
        </is>
      </c>
      <c r="E545" t="inlineStr">
        <is>
          <t>LEKSAND</t>
        </is>
      </c>
      <c r="F545" t="inlineStr">
        <is>
          <t>Bergvik skog väst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33463-2023</t>
        </is>
      </c>
      <c r="B546" s="1" t="n">
        <v>45131</v>
      </c>
      <c r="C546" s="1" t="n">
        <v>46003</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60042-2023</t>
        </is>
      </c>
      <c r="B547" s="1" t="n">
        <v>45256</v>
      </c>
      <c r="C547" s="1" t="n">
        <v>46003</v>
      </c>
      <c r="D547" t="inlineStr">
        <is>
          <t>DALARNAS LÄN</t>
        </is>
      </c>
      <c r="E547" t="inlineStr">
        <is>
          <t>LEKSAND</t>
        </is>
      </c>
      <c r="G547" t="n">
        <v>2</v>
      </c>
      <c r="H547" t="n">
        <v>0</v>
      </c>
      <c r="I547" t="n">
        <v>0</v>
      </c>
      <c r="J547" t="n">
        <v>0</v>
      </c>
      <c r="K547" t="n">
        <v>0</v>
      </c>
      <c r="L547" t="n">
        <v>0</v>
      </c>
      <c r="M547" t="n">
        <v>0</v>
      </c>
      <c r="N547" t="n">
        <v>0</v>
      </c>
      <c r="O547" t="n">
        <v>0</v>
      </c>
      <c r="P547" t="n">
        <v>0</v>
      </c>
      <c r="Q547" t="n">
        <v>0</v>
      </c>
      <c r="R547" s="2" t="inlineStr"/>
    </row>
    <row r="548" ht="15" customHeight="1">
      <c r="A548" t="inlineStr">
        <is>
          <t>A 8755-2023</t>
        </is>
      </c>
      <c r="B548" s="1" t="n">
        <v>44978</v>
      </c>
      <c r="C548" s="1" t="n">
        <v>46003</v>
      </c>
      <c r="D548" t="inlineStr">
        <is>
          <t>DALARNAS LÄN</t>
        </is>
      </c>
      <c r="E548" t="inlineStr">
        <is>
          <t>LEKSAND</t>
        </is>
      </c>
      <c r="G548" t="n">
        <v>2.3</v>
      </c>
      <c r="H548" t="n">
        <v>0</v>
      </c>
      <c r="I548" t="n">
        <v>0</v>
      </c>
      <c r="J548" t="n">
        <v>0</v>
      </c>
      <c r="K548" t="n">
        <v>0</v>
      </c>
      <c r="L548" t="n">
        <v>0</v>
      </c>
      <c r="M548" t="n">
        <v>0</v>
      </c>
      <c r="N548" t="n">
        <v>0</v>
      </c>
      <c r="O548" t="n">
        <v>0</v>
      </c>
      <c r="P548" t="n">
        <v>0</v>
      </c>
      <c r="Q548" t="n">
        <v>0</v>
      </c>
      <c r="R548" s="2" t="inlineStr"/>
    </row>
    <row r="549" ht="15" customHeight="1">
      <c r="A549" t="inlineStr">
        <is>
          <t>A 59840-2024</t>
        </is>
      </c>
      <c r="B549" s="1" t="n">
        <v>45638</v>
      </c>
      <c r="C549" s="1" t="n">
        <v>46003</v>
      </c>
      <c r="D549" t="inlineStr">
        <is>
          <t>DALARNAS LÄN</t>
        </is>
      </c>
      <c r="E549" t="inlineStr">
        <is>
          <t>LEKSAND</t>
        </is>
      </c>
      <c r="G549" t="n">
        <v>0.6</v>
      </c>
      <c r="H549" t="n">
        <v>0</v>
      </c>
      <c r="I549" t="n">
        <v>0</v>
      </c>
      <c r="J549" t="n">
        <v>0</v>
      </c>
      <c r="K549" t="n">
        <v>0</v>
      </c>
      <c r="L549" t="n">
        <v>0</v>
      </c>
      <c r="M549" t="n">
        <v>0</v>
      </c>
      <c r="N549" t="n">
        <v>0</v>
      </c>
      <c r="O549" t="n">
        <v>0</v>
      </c>
      <c r="P549" t="n">
        <v>0</v>
      </c>
      <c r="Q549" t="n">
        <v>0</v>
      </c>
      <c r="R549" s="2" t="inlineStr"/>
    </row>
    <row r="550" ht="15" customHeight="1">
      <c r="A550" t="inlineStr">
        <is>
          <t>A 10967-2023</t>
        </is>
      </c>
      <c r="B550" s="1" t="n">
        <v>44991.58001157407</v>
      </c>
      <c r="C550" s="1" t="n">
        <v>46003</v>
      </c>
      <c r="D550" t="inlineStr">
        <is>
          <t>DALARNAS LÄN</t>
        </is>
      </c>
      <c r="E550" t="inlineStr">
        <is>
          <t>LEKSAND</t>
        </is>
      </c>
      <c r="G550" t="n">
        <v>0.5</v>
      </c>
      <c r="H550" t="n">
        <v>0</v>
      </c>
      <c r="I550" t="n">
        <v>0</v>
      </c>
      <c r="J550" t="n">
        <v>0</v>
      </c>
      <c r="K550" t="n">
        <v>0</v>
      </c>
      <c r="L550" t="n">
        <v>0</v>
      </c>
      <c r="M550" t="n">
        <v>0</v>
      </c>
      <c r="N550" t="n">
        <v>0</v>
      </c>
      <c r="O550" t="n">
        <v>0</v>
      </c>
      <c r="P550" t="n">
        <v>0</v>
      </c>
      <c r="Q550" t="n">
        <v>0</v>
      </c>
      <c r="R550" s="2" t="inlineStr"/>
    </row>
    <row r="551" ht="15" customHeight="1">
      <c r="A551" t="inlineStr">
        <is>
          <t>A 10974-2023</t>
        </is>
      </c>
      <c r="B551" s="1" t="n">
        <v>44991.59049768518</v>
      </c>
      <c r="C551" s="1" t="n">
        <v>46003</v>
      </c>
      <c r="D551" t="inlineStr">
        <is>
          <t>DALARNAS LÄN</t>
        </is>
      </c>
      <c r="E551" t="inlineStr">
        <is>
          <t>LEKSAND</t>
        </is>
      </c>
      <c r="G551" t="n">
        <v>0.3</v>
      </c>
      <c r="H551" t="n">
        <v>0</v>
      </c>
      <c r="I551" t="n">
        <v>0</v>
      </c>
      <c r="J551" t="n">
        <v>0</v>
      </c>
      <c r="K551" t="n">
        <v>0</v>
      </c>
      <c r="L551" t="n">
        <v>0</v>
      </c>
      <c r="M551" t="n">
        <v>0</v>
      </c>
      <c r="N551" t="n">
        <v>0</v>
      </c>
      <c r="O551" t="n">
        <v>0</v>
      </c>
      <c r="P551" t="n">
        <v>0</v>
      </c>
      <c r="Q551" t="n">
        <v>0</v>
      </c>
      <c r="R551" s="2" t="inlineStr"/>
    </row>
    <row r="552" ht="15" customHeight="1">
      <c r="A552" t="inlineStr">
        <is>
          <t>A 43195-2025</t>
        </is>
      </c>
      <c r="B552" s="1" t="n">
        <v>45910.4294212963</v>
      </c>
      <c r="C552" s="1" t="n">
        <v>46003</v>
      </c>
      <c r="D552" t="inlineStr">
        <is>
          <t>DALARNAS LÄN</t>
        </is>
      </c>
      <c r="E552" t="inlineStr">
        <is>
          <t>LEKSAND</t>
        </is>
      </c>
      <c r="G552" t="n">
        <v>2.5</v>
      </c>
      <c r="H552" t="n">
        <v>0</v>
      </c>
      <c r="I552" t="n">
        <v>0</v>
      </c>
      <c r="J552" t="n">
        <v>0</v>
      </c>
      <c r="K552" t="n">
        <v>0</v>
      </c>
      <c r="L552" t="n">
        <v>0</v>
      </c>
      <c r="M552" t="n">
        <v>0</v>
      </c>
      <c r="N552" t="n">
        <v>0</v>
      </c>
      <c r="O552" t="n">
        <v>0</v>
      </c>
      <c r="P552" t="n">
        <v>0</v>
      </c>
      <c r="Q552" t="n">
        <v>0</v>
      </c>
      <c r="R552" s="2" t="inlineStr"/>
    </row>
    <row r="553" ht="15" customHeight="1">
      <c r="A553" t="inlineStr">
        <is>
          <t>A 55516-2024</t>
        </is>
      </c>
      <c r="B553" s="1" t="n">
        <v>45621</v>
      </c>
      <c r="C553" s="1" t="n">
        <v>46003</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43158-2025</t>
        </is>
      </c>
      <c r="B554" s="1" t="n">
        <v>45910.35496527778</v>
      </c>
      <c r="C554" s="1" t="n">
        <v>46003</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30858-2024</t>
        </is>
      </c>
      <c r="B555" s="1" t="n">
        <v>45497.67601851852</v>
      </c>
      <c r="C555" s="1" t="n">
        <v>46003</v>
      </c>
      <c r="D555" t="inlineStr">
        <is>
          <t>DALARNAS LÄN</t>
        </is>
      </c>
      <c r="E555" t="inlineStr">
        <is>
          <t>LEKSAND</t>
        </is>
      </c>
      <c r="F555" t="inlineStr">
        <is>
          <t>Bergvik skog väst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22876-2025</t>
        </is>
      </c>
      <c r="B556" s="1" t="n">
        <v>45790.3728587963</v>
      </c>
      <c r="C556" s="1" t="n">
        <v>46003</v>
      </c>
      <c r="D556" t="inlineStr">
        <is>
          <t>DALARNAS LÄN</t>
        </is>
      </c>
      <c r="E556" t="inlineStr">
        <is>
          <t>LEKSAND</t>
        </is>
      </c>
      <c r="G556" t="n">
        <v>5.9</v>
      </c>
      <c r="H556" t="n">
        <v>0</v>
      </c>
      <c r="I556" t="n">
        <v>0</v>
      </c>
      <c r="J556" t="n">
        <v>0</v>
      </c>
      <c r="K556" t="n">
        <v>0</v>
      </c>
      <c r="L556" t="n">
        <v>0</v>
      </c>
      <c r="M556" t="n">
        <v>0</v>
      </c>
      <c r="N556" t="n">
        <v>0</v>
      </c>
      <c r="O556" t="n">
        <v>0</v>
      </c>
      <c r="P556" t="n">
        <v>0</v>
      </c>
      <c r="Q556" t="n">
        <v>0</v>
      </c>
      <c r="R556" s="2" t="inlineStr"/>
    </row>
    <row r="557" ht="15" customHeight="1">
      <c r="A557" t="inlineStr">
        <is>
          <t>A 43830-2025</t>
        </is>
      </c>
      <c r="B557" s="1" t="n">
        <v>45912</v>
      </c>
      <c r="C557" s="1" t="n">
        <v>46003</v>
      </c>
      <c r="D557" t="inlineStr">
        <is>
          <t>DALARNAS LÄN</t>
        </is>
      </c>
      <c r="E557" t="inlineStr">
        <is>
          <t>LEKSAND</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43630-2025</t>
        </is>
      </c>
      <c r="B558" s="1" t="n">
        <v>45911.70278935185</v>
      </c>
      <c r="C558" s="1" t="n">
        <v>46003</v>
      </c>
      <c r="D558" t="inlineStr">
        <is>
          <t>DALARNAS LÄN</t>
        </is>
      </c>
      <c r="E558" t="inlineStr">
        <is>
          <t>LEKSAND</t>
        </is>
      </c>
      <c r="G558" t="n">
        <v>4.7</v>
      </c>
      <c r="H558" t="n">
        <v>0</v>
      </c>
      <c r="I558" t="n">
        <v>0</v>
      </c>
      <c r="J558" t="n">
        <v>0</v>
      </c>
      <c r="K558" t="n">
        <v>0</v>
      </c>
      <c r="L558" t="n">
        <v>0</v>
      </c>
      <c r="M558" t="n">
        <v>0</v>
      </c>
      <c r="N558" t="n">
        <v>0</v>
      </c>
      <c r="O558" t="n">
        <v>0</v>
      </c>
      <c r="P558" t="n">
        <v>0</v>
      </c>
      <c r="Q558" t="n">
        <v>0</v>
      </c>
      <c r="R558" s="2" t="inlineStr"/>
    </row>
    <row r="559" ht="15" customHeight="1">
      <c r="A559" t="inlineStr">
        <is>
          <t>A 43607-2025</t>
        </is>
      </c>
      <c r="B559" s="1" t="n">
        <v>45911.66873842593</v>
      </c>
      <c r="C559" s="1" t="n">
        <v>46003</v>
      </c>
      <c r="D559" t="inlineStr">
        <is>
          <t>DALARNAS LÄN</t>
        </is>
      </c>
      <c r="E559" t="inlineStr">
        <is>
          <t>LEKSAND</t>
        </is>
      </c>
      <c r="G559" t="n">
        <v>7.3</v>
      </c>
      <c r="H559" t="n">
        <v>0</v>
      </c>
      <c r="I559" t="n">
        <v>0</v>
      </c>
      <c r="J559" t="n">
        <v>0</v>
      </c>
      <c r="K559" t="n">
        <v>0</v>
      </c>
      <c r="L559" t="n">
        <v>0</v>
      </c>
      <c r="M559" t="n">
        <v>0</v>
      </c>
      <c r="N559" t="n">
        <v>0</v>
      </c>
      <c r="O559" t="n">
        <v>0</v>
      </c>
      <c r="P559" t="n">
        <v>0</v>
      </c>
      <c r="Q559" t="n">
        <v>0</v>
      </c>
      <c r="R559" s="2" t="inlineStr"/>
    </row>
    <row r="560" ht="15" customHeight="1">
      <c r="A560" t="inlineStr">
        <is>
          <t>A 11015-2022</t>
        </is>
      </c>
      <c r="B560" s="1" t="n">
        <v>44628.52340277778</v>
      </c>
      <c r="C560" s="1" t="n">
        <v>46003</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43629-2025</t>
        </is>
      </c>
      <c r="B561" s="1" t="n">
        <v>45911.70180555555</v>
      </c>
      <c r="C561" s="1" t="n">
        <v>46003</v>
      </c>
      <c r="D561" t="inlineStr">
        <is>
          <t>DALARNAS LÄN</t>
        </is>
      </c>
      <c r="E561" t="inlineStr">
        <is>
          <t>LEKSAND</t>
        </is>
      </c>
      <c r="G561" t="n">
        <v>2.1</v>
      </c>
      <c r="H561" t="n">
        <v>0</v>
      </c>
      <c r="I561" t="n">
        <v>0</v>
      </c>
      <c r="J561" t="n">
        <v>0</v>
      </c>
      <c r="K561" t="n">
        <v>0</v>
      </c>
      <c r="L561" t="n">
        <v>0</v>
      </c>
      <c r="M561" t="n">
        <v>0</v>
      </c>
      <c r="N561" t="n">
        <v>0</v>
      </c>
      <c r="O561" t="n">
        <v>0</v>
      </c>
      <c r="P561" t="n">
        <v>0</v>
      </c>
      <c r="Q561" t="n">
        <v>0</v>
      </c>
      <c r="R561" s="2" t="inlineStr"/>
    </row>
    <row r="562" ht="15" customHeight="1">
      <c r="A562" t="inlineStr">
        <is>
          <t>A 43781-2025</t>
        </is>
      </c>
      <c r="B562" s="1" t="n">
        <v>45912.52229166667</v>
      </c>
      <c r="C562" s="1" t="n">
        <v>46003</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12582-2025</t>
        </is>
      </c>
      <c r="B563" s="1" t="n">
        <v>45732.62988425926</v>
      </c>
      <c r="C563" s="1" t="n">
        <v>46003</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1182-2025</t>
        </is>
      </c>
      <c r="B564" s="1" t="n">
        <v>45667.35712962963</v>
      </c>
      <c r="C564" s="1" t="n">
        <v>46003</v>
      </c>
      <c r="D564" t="inlineStr">
        <is>
          <t>DALARNAS LÄN</t>
        </is>
      </c>
      <c r="E564" t="inlineStr">
        <is>
          <t>LEKSAND</t>
        </is>
      </c>
      <c r="G564" t="n">
        <v>1.3</v>
      </c>
      <c r="H564" t="n">
        <v>0</v>
      </c>
      <c r="I564" t="n">
        <v>0</v>
      </c>
      <c r="J564" t="n">
        <v>0</v>
      </c>
      <c r="K564" t="n">
        <v>0</v>
      </c>
      <c r="L564" t="n">
        <v>0</v>
      </c>
      <c r="M564" t="n">
        <v>0</v>
      </c>
      <c r="N564" t="n">
        <v>0</v>
      </c>
      <c r="O564" t="n">
        <v>0</v>
      </c>
      <c r="P564" t="n">
        <v>0</v>
      </c>
      <c r="Q564" t="n">
        <v>0</v>
      </c>
      <c r="R564" s="2" t="inlineStr"/>
    </row>
    <row r="565" ht="15" customHeight="1">
      <c r="A565" t="inlineStr">
        <is>
          <t>A 1519-2024</t>
        </is>
      </c>
      <c r="B565" s="1" t="n">
        <v>45306</v>
      </c>
      <c r="C565" s="1" t="n">
        <v>46003</v>
      </c>
      <c r="D565" t="inlineStr">
        <is>
          <t>DALARNAS LÄN</t>
        </is>
      </c>
      <c r="E565" t="inlineStr">
        <is>
          <t>LEKSAND</t>
        </is>
      </c>
      <c r="G565" t="n">
        <v>3.3</v>
      </c>
      <c r="H565" t="n">
        <v>0</v>
      </c>
      <c r="I565" t="n">
        <v>0</v>
      </c>
      <c r="J565" t="n">
        <v>0</v>
      </c>
      <c r="K565" t="n">
        <v>0</v>
      </c>
      <c r="L565" t="n">
        <v>0</v>
      </c>
      <c r="M565" t="n">
        <v>0</v>
      </c>
      <c r="N565" t="n">
        <v>0</v>
      </c>
      <c r="O565" t="n">
        <v>0</v>
      </c>
      <c r="P565" t="n">
        <v>0</v>
      </c>
      <c r="Q565" t="n">
        <v>0</v>
      </c>
      <c r="R565" s="2" t="inlineStr"/>
    </row>
    <row r="566" ht="15" customHeight="1">
      <c r="A566" t="inlineStr">
        <is>
          <t>A 43875-2025</t>
        </is>
      </c>
      <c r="B566" s="1" t="n">
        <v>45912.67685185185</v>
      </c>
      <c r="C566" s="1" t="n">
        <v>46003</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43888-2025</t>
        </is>
      </c>
      <c r="B567" s="1" t="n">
        <v>45912</v>
      </c>
      <c r="C567" s="1" t="n">
        <v>46003</v>
      </c>
      <c r="D567" t="inlineStr">
        <is>
          <t>DALARNAS LÄN</t>
        </is>
      </c>
      <c r="E567" t="inlineStr">
        <is>
          <t>LEKSAND</t>
        </is>
      </c>
      <c r="F567" t="inlineStr">
        <is>
          <t>Bergvik skog väst AB</t>
        </is>
      </c>
      <c r="G567" t="n">
        <v>1.6</v>
      </c>
      <c r="H567" t="n">
        <v>0</v>
      </c>
      <c r="I567" t="n">
        <v>0</v>
      </c>
      <c r="J567" t="n">
        <v>0</v>
      </c>
      <c r="K567" t="n">
        <v>0</v>
      </c>
      <c r="L567" t="n">
        <v>0</v>
      </c>
      <c r="M567" t="n">
        <v>0</v>
      </c>
      <c r="N567" t="n">
        <v>0</v>
      </c>
      <c r="O567" t="n">
        <v>0</v>
      </c>
      <c r="P567" t="n">
        <v>0</v>
      </c>
      <c r="Q567" t="n">
        <v>0</v>
      </c>
      <c r="R567" s="2" t="inlineStr"/>
    </row>
    <row r="568" ht="15" customHeight="1">
      <c r="A568" t="inlineStr">
        <is>
          <t>A 33317-2023</t>
        </is>
      </c>
      <c r="B568" s="1" t="n">
        <v>45127.84586805556</v>
      </c>
      <c r="C568" s="1" t="n">
        <v>46003</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33318-2023</t>
        </is>
      </c>
      <c r="B569" s="1" t="n">
        <v>45127</v>
      </c>
      <c r="C569" s="1" t="n">
        <v>46003</v>
      </c>
      <c r="D569" t="inlineStr">
        <is>
          <t>DALARNAS LÄN</t>
        </is>
      </c>
      <c r="E569" t="inlineStr">
        <is>
          <t>LEKSAND</t>
        </is>
      </c>
      <c r="G569" t="n">
        <v>5.5</v>
      </c>
      <c r="H569" t="n">
        <v>0</v>
      </c>
      <c r="I569" t="n">
        <v>0</v>
      </c>
      <c r="J569" t="n">
        <v>0</v>
      </c>
      <c r="K569" t="n">
        <v>0</v>
      </c>
      <c r="L569" t="n">
        <v>0</v>
      </c>
      <c r="M569" t="n">
        <v>0</v>
      </c>
      <c r="N569" t="n">
        <v>0</v>
      </c>
      <c r="O569" t="n">
        <v>0</v>
      </c>
      <c r="P569" t="n">
        <v>0</v>
      </c>
      <c r="Q569" t="n">
        <v>0</v>
      </c>
      <c r="R569" s="2" t="inlineStr"/>
    </row>
    <row r="570" ht="15" customHeight="1">
      <c r="A570" t="inlineStr">
        <is>
          <t>A 71817-2021</t>
        </is>
      </c>
      <c r="B570" s="1" t="n">
        <v>44543.59780092593</v>
      </c>
      <c r="C570" s="1" t="n">
        <v>46003</v>
      </c>
      <c r="D570" t="inlineStr">
        <is>
          <t>DALARNAS LÄN</t>
        </is>
      </c>
      <c r="E570" t="inlineStr">
        <is>
          <t>LEKSAND</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43628-2025</t>
        </is>
      </c>
      <c r="B571" s="1" t="n">
        <v>45911.70060185185</v>
      </c>
      <c r="C571" s="1" t="n">
        <v>46003</v>
      </c>
      <c r="D571" t="inlineStr">
        <is>
          <t>DALARNAS LÄN</t>
        </is>
      </c>
      <c r="E571" t="inlineStr">
        <is>
          <t>LEKSAND</t>
        </is>
      </c>
      <c r="G571" t="n">
        <v>1.4</v>
      </c>
      <c r="H571" t="n">
        <v>0</v>
      </c>
      <c r="I571" t="n">
        <v>0</v>
      </c>
      <c r="J571" t="n">
        <v>0</v>
      </c>
      <c r="K571" t="n">
        <v>0</v>
      </c>
      <c r="L571" t="n">
        <v>0</v>
      </c>
      <c r="M571" t="n">
        <v>0</v>
      </c>
      <c r="N571" t="n">
        <v>0</v>
      </c>
      <c r="O571" t="n">
        <v>0</v>
      </c>
      <c r="P571" t="n">
        <v>0</v>
      </c>
      <c r="Q571" t="n">
        <v>0</v>
      </c>
      <c r="R571" s="2" t="inlineStr"/>
    </row>
    <row r="572" ht="15" customHeight="1">
      <c r="A572" t="inlineStr">
        <is>
          <t>A 32-2024</t>
        </is>
      </c>
      <c r="B572" s="1" t="n">
        <v>45293</v>
      </c>
      <c r="C572" s="1" t="n">
        <v>46003</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23517-2025</t>
        </is>
      </c>
      <c r="B573" s="1" t="n">
        <v>45792</v>
      </c>
      <c r="C573" s="1" t="n">
        <v>46003</v>
      </c>
      <c r="D573" t="inlineStr">
        <is>
          <t>DALARNAS LÄN</t>
        </is>
      </c>
      <c r="E573" t="inlineStr">
        <is>
          <t>LEKSAND</t>
        </is>
      </c>
      <c r="G573" t="n">
        <v>2.2</v>
      </c>
      <c r="H573" t="n">
        <v>0</v>
      </c>
      <c r="I573" t="n">
        <v>0</v>
      </c>
      <c r="J573" t="n">
        <v>0</v>
      </c>
      <c r="K573" t="n">
        <v>0</v>
      </c>
      <c r="L573" t="n">
        <v>0</v>
      </c>
      <c r="M573" t="n">
        <v>0</v>
      </c>
      <c r="N573" t="n">
        <v>0</v>
      </c>
      <c r="O573" t="n">
        <v>0</v>
      </c>
      <c r="P573" t="n">
        <v>0</v>
      </c>
      <c r="Q573" t="n">
        <v>0</v>
      </c>
      <c r="R573" s="2" t="inlineStr"/>
    </row>
    <row r="574" ht="15" customHeight="1">
      <c r="A574" t="inlineStr">
        <is>
          <t>A 44516-2025</t>
        </is>
      </c>
      <c r="B574" s="1" t="n">
        <v>45916.70982638889</v>
      </c>
      <c r="C574" s="1" t="n">
        <v>46003</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44519-2025</t>
        </is>
      </c>
      <c r="B575" s="1" t="n">
        <v>45916.71483796297</v>
      </c>
      <c r="C575" s="1" t="n">
        <v>46003</v>
      </c>
      <c r="D575" t="inlineStr">
        <is>
          <t>DALARNAS LÄN</t>
        </is>
      </c>
      <c r="E575" t="inlineStr">
        <is>
          <t>LEKSAND</t>
        </is>
      </c>
      <c r="G575" t="n">
        <v>3.6</v>
      </c>
      <c r="H575" t="n">
        <v>0</v>
      </c>
      <c r="I575" t="n">
        <v>0</v>
      </c>
      <c r="J575" t="n">
        <v>0</v>
      </c>
      <c r="K575" t="n">
        <v>0</v>
      </c>
      <c r="L575" t="n">
        <v>0</v>
      </c>
      <c r="M575" t="n">
        <v>0</v>
      </c>
      <c r="N575" t="n">
        <v>0</v>
      </c>
      <c r="O575" t="n">
        <v>0</v>
      </c>
      <c r="P575" t="n">
        <v>0</v>
      </c>
      <c r="Q575" t="n">
        <v>0</v>
      </c>
      <c r="R575" s="2" t="inlineStr"/>
    </row>
    <row r="576" ht="15" customHeight="1">
      <c r="A576" t="inlineStr">
        <is>
          <t>A 36932-2023</t>
        </is>
      </c>
      <c r="B576" s="1" t="n">
        <v>45154</v>
      </c>
      <c r="C576" s="1" t="n">
        <v>46003</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23663-2024</t>
        </is>
      </c>
      <c r="B577" s="1" t="n">
        <v>45454.57049768518</v>
      </c>
      <c r="C577" s="1" t="n">
        <v>46003</v>
      </c>
      <c r="D577" t="inlineStr">
        <is>
          <t>DALARNAS LÄN</t>
        </is>
      </c>
      <c r="E577" t="inlineStr">
        <is>
          <t>LEKSAND</t>
        </is>
      </c>
      <c r="G577" t="n">
        <v>2.5</v>
      </c>
      <c r="H577" t="n">
        <v>0</v>
      </c>
      <c r="I577" t="n">
        <v>0</v>
      </c>
      <c r="J577" t="n">
        <v>0</v>
      </c>
      <c r="K577" t="n">
        <v>0</v>
      </c>
      <c r="L577" t="n">
        <v>0</v>
      </c>
      <c r="M577" t="n">
        <v>0</v>
      </c>
      <c r="N577" t="n">
        <v>0</v>
      </c>
      <c r="O577" t="n">
        <v>0</v>
      </c>
      <c r="P577" t="n">
        <v>0</v>
      </c>
      <c r="Q577" t="n">
        <v>0</v>
      </c>
      <c r="R577" s="2" t="inlineStr"/>
    </row>
    <row r="578" ht="15" customHeight="1">
      <c r="A578" t="inlineStr">
        <is>
          <t>A 44237-2025</t>
        </is>
      </c>
      <c r="B578" s="1" t="n">
        <v>45915.6677199074</v>
      </c>
      <c r="C578" s="1" t="n">
        <v>46003</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33180-2024</t>
        </is>
      </c>
      <c r="B579" s="1" t="n">
        <v>45518.44481481481</v>
      </c>
      <c r="C579" s="1" t="n">
        <v>46003</v>
      </c>
      <c r="D579" t="inlineStr">
        <is>
          <t>DALARNAS LÄN</t>
        </is>
      </c>
      <c r="E579" t="inlineStr">
        <is>
          <t>LEKSAND</t>
        </is>
      </c>
      <c r="G579" t="n">
        <v>7.6</v>
      </c>
      <c r="H579" t="n">
        <v>0</v>
      </c>
      <c r="I579" t="n">
        <v>0</v>
      </c>
      <c r="J579" t="n">
        <v>0</v>
      </c>
      <c r="K579" t="n">
        <v>0</v>
      </c>
      <c r="L579" t="n">
        <v>0</v>
      </c>
      <c r="M579" t="n">
        <v>0</v>
      </c>
      <c r="N579" t="n">
        <v>0</v>
      </c>
      <c r="O579" t="n">
        <v>0</v>
      </c>
      <c r="P579" t="n">
        <v>0</v>
      </c>
      <c r="Q579" t="n">
        <v>0</v>
      </c>
      <c r="R579" s="2" t="inlineStr"/>
    </row>
    <row r="580" ht="15" customHeight="1">
      <c r="A580" t="inlineStr">
        <is>
          <t>A 60715-2022</t>
        </is>
      </c>
      <c r="B580" s="1" t="n">
        <v>44912</v>
      </c>
      <c r="C580" s="1" t="n">
        <v>46003</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11092-2023</t>
        </is>
      </c>
      <c r="B581" s="1" t="n">
        <v>44992</v>
      </c>
      <c r="C581" s="1" t="n">
        <v>46003</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15882-2023</t>
        </is>
      </c>
      <c r="B582" s="1" t="n">
        <v>45022</v>
      </c>
      <c r="C582" s="1" t="n">
        <v>46003</v>
      </c>
      <c r="D582" t="inlineStr">
        <is>
          <t>DALARNAS LÄN</t>
        </is>
      </c>
      <c r="E582" t="inlineStr">
        <is>
          <t>LEKSAND</t>
        </is>
      </c>
      <c r="G582" t="n">
        <v>0.1</v>
      </c>
      <c r="H582" t="n">
        <v>0</v>
      </c>
      <c r="I582" t="n">
        <v>0</v>
      </c>
      <c r="J582" t="n">
        <v>0</v>
      </c>
      <c r="K582" t="n">
        <v>0</v>
      </c>
      <c r="L582" t="n">
        <v>0</v>
      </c>
      <c r="M582" t="n">
        <v>0</v>
      </c>
      <c r="N582" t="n">
        <v>0</v>
      </c>
      <c r="O582" t="n">
        <v>0</v>
      </c>
      <c r="P582" t="n">
        <v>0</v>
      </c>
      <c r="Q582" t="n">
        <v>0</v>
      </c>
      <c r="R582" s="2" t="inlineStr"/>
    </row>
    <row r="583" ht="15" customHeight="1">
      <c r="A583" t="inlineStr">
        <is>
          <t>A 1443-2024</t>
        </is>
      </c>
      <c r="B583" s="1" t="n">
        <v>45303</v>
      </c>
      <c r="C583" s="1" t="n">
        <v>46003</v>
      </c>
      <c r="D583" t="inlineStr">
        <is>
          <t>DALARNAS LÄN</t>
        </is>
      </c>
      <c r="E583" t="inlineStr">
        <is>
          <t>LEKSAND</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1457-2024</t>
        </is>
      </c>
      <c r="B584" s="1" t="n">
        <v>45303</v>
      </c>
      <c r="C584" s="1" t="n">
        <v>46003</v>
      </c>
      <c r="D584" t="inlineStr">
        <is>
          <t>DALARNAS LÄN</t>
        </is>
      </c>
      <c r="E584" t="inlineStr">
        <is>
          <t>LEKSAND</t>
        </is>
      </c>
      <c r="G584" t="n">
        <v>4.4</v>
      </c>
      <c r="H584" t="n">
        <v>0</v>
      </c>
      <c r="I584" t="n">
        <v>0</v>
      </c>
      <c r="J584" t="n">
        <v>0</v>
      </c>
      <c r="K584" t="n">
        <v>0</v>
      </c>
      <c r="L584" t="n">
        <v>0</v>
      </c>
      <c r="M584" t="n">
        <v>0</v>
      </c>
      <c r="N584" t="n">
        <v>0</v>
      </c>
      <c r="O584" t="n">
        <v>0</v>
      </c>
      <c r="P584" t="n">
        <v>0</v>
      </c>
      <c r="Q584" t="n">
        <v>0</v>
      </c>
      <c r="R584" s="2" t="inlineStr"/>
    </row>
    <row r="585" ht="15" customHeight="1">
      <c r="A585" t="inlineStr">
        <is>
          <t>A 23058-2025</t>
        </is>
      </c>
      <c r="B585" s="1" t="n">
        <v>45790.78076388889</v>
      </c>
      <c r="C585" s="1" t="n">
        <v>46003</v>
      </c>
      <c r="D585" t="inlineStr">
        <is>
          <t>DALARNAS LÄN</t>
        </is>
      </c>
      <c r="E585" t="inlineStr">
        <is>
          <t>LEKSAND</t>
        </is>
      </c>
      <c r="G585" t="n">
        <v>6.7</v>
      </c>
      <c r="H585" t="n">
        <v>0</v>
      </c>
      <c r="I585" t="n">
        <v>0</v>
      </c>
      <c r="J585" t="n">
        <v>0</v>
      </c>
      <c r="K585" t="n">
        <v>0</v>
      </c>
      <c r="L585" t="n">
        <v>0</v>
      </c>
      <c r="M585" t="n">
        <v>0</v>
      </c>
      <c r="N585" t="n">
        <v>0</v>
      </c>
      <c r="O585" t="n">
        <v>0</v>
      </c>
      <c r="P585" t="n">
        <v>0</v>
      </c>
      <c r="Q585" t="n">
        <v>0</v>
      </c>
      <c r="R585" s="2" t="inlineStr"/>
    </row>
    <row r="586" ht="15" customHeight="1">
      <c r="A586" t="inlineStr">
        <is>
          <t>A 23076-2025</t>
        </is>
      </c>
      <c r="B586" s="1" t="n">
        <v>45790.90960648148</v>
      </c>
      <c r="C586" s="1" t="n">
        <v>46003</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1215-2024</t>
        </is>
      </c>
      <c r="B587" s="1" t="n">
        <v>45302</v>
      </c>
      <c r="C587" s="1" t="n">
        <v>46003</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44948-2025</t>
        </is>
      </c>
      <c r="B588" s="1" t="n">
        <v>45918.60555555556</v>
      </c>
      <c r="C588" s="1" t="n">
        <v>46003</v>
      </c>
      <c r="D588" t="inlineStr">
        <is>
          <t>DALARNAS LÄN</t>
        </is>
      </c>
      <c r="E588" t="inlineStr">
        <is>
          <t>LEKSAND</t>
        </is>
      </c>
      <c r="G588" t="n">
        <v>5.1</v>
      </c>
      <c r="H588" t="n">
        <v>0</v>
      </c>
      <c r="I588" t="n">
        <v>0</v>
      </c>
      <c r="J588" t="n">
        <v>0</v>
      </c>
      <c r="K588" t="n">
        <v>0</v>
      </c>
      <c r="L588" t="n">
        <v>0</v>
      </c>
      <c r="M588" t="n">
        <v>0</v>
      </c>
      <c r="N588" t="n">
        <v>0</v>
      </c>
      <c r="O588" t="n">
        <v>0</v>
      </c>
      <c r="P588" t="n">
        <v>0</v>
      </c>
      <c r="Q588" t="n">
        <v>0</v>
      </c>
      <c r="R588" s="2" t="inlineStr"/>
    </row>
    <row r="589" ht="15" customHeight="1">
      <c r="A589" t="inlineStr">
        <is>
          <t>A 53464-2024</t>
        </is>
      </c>
      <c r="B589" s="1" t="n">
        <v>45611</v>
      </c>
      <c r="C589" s="1" t="n">
        <v>46003</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56330-2022</t>
        </is>
      </c>
      <c r="B590" s="1" t="n">
        <v>44890.62630787037</v>
      </c>
      <c r="C590" s="1" t="n">
        <v>46003</v>
      </c>
      <c r="D590" t="inlineStr">
        <is>
          <t>DALARNAS LÄN</t>
        </is>
      </c>
      <c r="E590" t="inlineStr">
        <is>
          <t>LEKSAND</t>
        </is>
      </c>
      <c r="G590" t="n">
        <v>4.9</v>
      </c>
      <c r="H590" t="n">
        <v>0</v>
      </c>
      <c r="I590" t="n">
        <v>0</v>
      </c>
      <c r="J590" t="n">
        <v>0</v>
      </c>
      <c r="K590" t="n">
        <v>0</v>
      </c>
      <c r="L590" t="n">
        <v>0</v>
      </c>
      <c r="M590" t="n">
        <v>0</v>
      </c>
      <c r="N590" t="n">
        <v>0</v>
      </c>
      <c r="O590" t="n">
        <v>0</v>
      </c>
      <c r="P590" t="n">
        <v>0</v>
      </c>
      <c r="Q590" t="n">
        <v>0</v>
      </c>
      <c r="R590" s="2" t="inlineStr"/>
    </row>
    <row r="591" ht="15" customHeight="1">
      <c r="A591" t="inlineStr">
        <is>
          <t>A 2140-2024</t>
        </is>
      </c>
      <c r="B591" s="1" t="n">
        <v>45309</v>
      </c>
      <c r="C591" s="1" t="n">
        <v>46003</v>
      </c>
      <c r="D591" t="inlineStr">
        <is>
          <t>DALARNAS LÄN</t>
        </is>
      </c>
      <c r="E591" t="inlineStr">
        <is>
          <t>LEKSAND</t>
        </is>
      </c>
      <c r="G591" t="n">
        <v>1.5</v>
      </c>
      <c r="H591" t="n">
        <v>0</v>
      </c>
      <c r="I591" t="n">
        <v>0</v>
      </c>
      <c r="J591" t="n">
        <v>0</v>
      </c>
      <c r="K591" t="n">
        <v>0</v>
      </c>
      <c r="L591" t="n">
        <v>0</v>
      </c>
      <c r="M591" t="n">
        <v>0</v>
      </c>
      <c r="N591" t="n">
        <v>0</v>
      </c>
      <c r="O591" t="n">
        <v>0</v>
      </c>
      <c r="P591" t="n">
        <v>0</v>
      </c>
      <c r="Q591" t="n">
        <v>0</v>
      </c>
      <c r="R591" s="2" t="inlineStr"/>
    </row>
    <row r="592" ht="15" customHeight="1">
      <c r="A592" t="inlineStr">
        <is>
          <t>A 44672-2025</t>
        </is>
      </c>
      <c r="B592" s="1" t="n">
        <v>45917.56780092593</v>
      </c>
      <c r="C592" s="1" t="n">
        <v>46003</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2694-2025</t>
        </is>
      </c>
      <c r="B593" s="1" t="n">
        <v>45677.38246527778</v>
      </c>
      <c r="C593" s="1" t="n">
        <v>46003</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18176-2024</t>
        </is>
      </c>
      <c r="B594" s="1" t="n">
        <v>45420.63901620371</v>
      </c>
      <c r="C594" s="1" t="n">
        <v>46003</v>
      </c>
      <c r="D594" t="inlineStr">
        <is>
          <t>DALARNAS LÄN</t>
        </is>
      </c>
      <c r="E594" t="inlineStr">
        <is>
          <t>LEKSAND</t>
        </is>
      </c>
      <c r="F594" t="inlineStr">
        <is>
          <t>Bergvik skog väst AB</t>
        </is>
      </c>
      <c r="G594" t="n">
        <v>0.9</v>
      </c>
      <c r="H594" t="n">
        <v>0</v>
      </c>
      <c r="I594" t="n">
        <v>0</v>
      </c>
      <c r="J594" t="n">
        <v>0</v>
      </c>
      <c r="K594" t="n">
        <v>0</v>
      </c>
      <c r="L594" t="n">
        <v>0</v>
      </c>
      <c r="M594" t="n">
        <v>0</v>
      </c>
      <c r="N594" t="n">
        <v>0</v>
      </c>
      <c r="O594" t="n">
        <v>0</v>
      </c>
      <c r="P594" t="n">
        <v>0</v>
      </c>
      <c r="Q594" t="n">
        <v>0</v>
      </c>
      <c r="R594" s="2" t="inlineStr"/>
    </row>
    <row r="595" ht="15" customHeight="1">
      <c r="A595" t="inlineStr">
        <is>
          <t>A 55268-2024</t>
        </is>
      </c>
      <c r="B595" s="1" t="n">
        <v>45621.61266203703</v>
      </c>
      <c r="C595" s="1" t="n">
        <v>46003</v>
      </c>
      <c r="D595" t="inlineStr">
        <is>
          <t>DALARNAS LÄN</t>
        </is>
      </c>
      <c r="E595" t="inlineStr">
        <is>
          <t>LEKSAND</t>
        </is>
      </c>
      <c r="G595" t="n">
        <v>4.2</v>
      </c>
      <c r="H595" t="n">
        <v>0</v>
      </c>
      <c r="I595" t="n">
        <v>0</v>
      </c>
      <c r="J595" t="n">
        <v>0</v>
      </c>
      <c r="K595" t="n">
        <v>0</v>
      </c>
      <c r="L595" t="n">
        <v>0</v>
      </c>
      <c r="M595" t="n">
        <v>0</v>
      </c>
      <c r="N595" t="n">
        <v>0</v>
      </c>
      <c r="O595" t="n">
        <v>0</v>
      </c>
      <c r="P595" t="n">
        <v>0</v>
      </c>
      <c r="Q595" t="n">
        <v>0</v>
      </c>
      <c r="R595" s="2" t="inlineStr"/>
    </row>
    <row r="596" ht="15" customHeight="1">
      <c r="A596" t="inlineStr">
        <is>
          <t>A 45101-2025</t>
        </is>
      </c>
      <c r="B596" s="1" t="n">
        <v>45919.39679398148</v>
      </c>
      <c r="C596" s="1" t="n">
        <v>46003</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53838-2025</t>
        </is>
      </c>
      <c r="B597" s="1" t="n">
        <v>45961.34895833334</v>
      </c>
      <c r="C597" s="1" t="n">
        <v>46003</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54120-2025</t>
        </is>
      </c>
      <c r="B598" s="1" t="n">
        <v>45964.45040509259</v>
      </c>
      <c r="C598" s="1" t="n">
        <v>46003</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54125-2025</t>
        </is>
      </c>
      <c r="B599" s="1" t="n">
        <v>45964.45671296296</v>
      </c>
      <c r="C599" s="1" t="n">
        <v>46003</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62130-2024</t>
        </is>
      </c>
      <c r="B600" s="1" t="n">
        <v>45656.61827546296</v>
      </c>
      <c r="C600" s="1" t="n">
        <v>46003</v>
      </c>
      <c r="D600" t="inlineStr">
        <is>
          <t>DALARNAS LÄN</t>
        </is>
      </c>
      <c r="E600" t="inlineStr">
        <is>
          <t>LEKSAND</t>
        </is>
      </c>
      <c r="G600" t="n">
        <v>11.4</v>
      </c>
      <c r="H600" t="n">
        <v>0</v>
      </c>
      <c r="I600" t="n">
        <v>0</v>
      </c>
      <c r="J600" t="n">
        <v>0</v>
      </c>
      <c r="K600" t="n">
        <v>0</v>
      </c>
      <c r="L600" t="n">
        <v>0</v>
      </c>
      <c r="M600" t="n">
        <v>0</v>
      </c>
      <c r="N600" t="n">
        <v>0</v>
      </c>
      <c r="O600" t="n">
        <v>0</v>
      </c>
      <c r="P600" t="n">
        <v>0</v>
      </c>
      <c r="Q600" t="n">
        <v>0</v>
      </c>
      <c r="R600" s="2" t="inlineStr"/>
    </row>
    <row r="601" ht="15" customHeight="1">
      <c r="A601" t="inlineStr">
        <is>
          <t>A 54015-2025</t>
        </is>
      </c>
      <c r="B601" s="1" t="n">
        <v>45961.64158564815</v>
      </c>
      <c r="C601" s="1" t="n">
        <v>46003</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57468-2023</t>
        </is>
      </c>
      <c r="B602" s="1" t="n">
        <v>45246</v>
      </c>
      <c r="C602" s="1" t="n">
        <v>46003</v>
      </c>
      <c r="D602" t="inlineStr">
        <is>
          <t>DALARNAS LÄN</t>
        </is>
      </c>
      <c r="E602" t="inlineStr">
        <is>
          <t>LEKSAND</t>
        </is>
      </c>
      <c r="G602" t="n">
        <v>4.6</v>
      </c>
      <c r="H602" t="n">
        <v>0</v>
      </c>
      <c r="I602" t="n">
        <v>0</v>
      </c>
      <c r="J602" t="n">
        <v>0</v>
      </c>
      <c r="K602" t="n">
        <v>0</v>
      </c>
      <c r="L602" t="n">
        <v>0</v>
      </c>
      <c r="M602" t="n">
        <v>0</v>
      </c>
      <c r="N602" t="n">
        <v>0</v>
      </c>
      <c r="O602" t="n">
        <v>0</v>
      </c>
      <c r="P602" t="n">
        <v>0</v>
      </c>
      <c r="Q602" t="n">
        <v>0</v>
      </c>
      <c r="R602" s="2" t="inlineStr"/>
    </row>
    <row r="603" ht="15" customHeight="1">
      <c r="A603" t="inlineStr">
        <is>
          <t>A 44822-2024</t>
        </is>
      </c>
      <c r="B603" s="1" t="n">
        <v>45574.6646412037</v>
      </c>
      <c r="C603" s="1" t="n">
        <v>46003</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30998-2023</t>
        </is>
      </c>
      <c r="B604" s="1" t="n">
        <v>45113.54193287037</v>
      </c>
      <c r="C604" s="1" t="n">
        <v>46003</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45300-2025</t>
        </is>
      </c>
      <c r="B605" s="1" t="n">
        <v>45921.30490740741</v>
      </c>
      <c r="C605" s="1" t="n">
        <v>46003</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6519-2025</t>
        </is>
      </c>
      <c r="B606" s="1" t="n">
        <v>45699</v>
      </c>
      <c r="C606" s="1" t="n">
        <v>46003</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9143-2023</t>
        </is>
      </c>
      <c r="B607" s="1" t="n">
        <v>44974</v>
      </c>
      <c r="C607" s="1" t="n">
        <v>46003</v>
      </c>
      <c r="D607" t="inlineStr">
        <is>
          <t>DALARNAS LÄN</t>
        </is>
      </c>
      <c r="E607" t="inlineStr">
        <is>
          <t>LEKSAND</t>
        </is>
      </c>
      <c r="G607" t="n">
        <v>4.3</v>
      </c>
      <c r="H607" t="n">
        <v>0</v>
      </c>
      <c r="I607" t="n">
        <v>0</v>
      </c>
      <c r="J607" t="n">
        <v>0</v>
      </c>
      <c r="K607" t="n">
        <v>0</v>
      </c>
      <c r="L607" t="n">
        <v>0</v>
      </c>
      <c r="M607" t="n">
        <v>0</v>
      </c>
      <c r="N607" t="n">
        <v>0</v>
      </c>
      <c r="O607" t="n">
        <v>0</v>
      </c>
      <c r="P607" t="n">
        <v>0</v>
      </c>
      <c r="Q607" t="n">
        <v>0</v>
      </c>
      <c r="R607" s="2" t="inlineStr"/>
    </row>
    <row r="608" ht="15" customHeight="1">
      <c r="A608" t="inlineStr">
        <is>
          <t>A 49499-2024</t>
        </is>
      </c>
      <c r="B608" s="1" t="n">
        <v>45596</v>
      </c>
      <c r="C608" s="1" t="n">
        <v>46003</v>
      </c>
      <c r="D608" t="inlineStr">
        <is>
          <t>DALARNAS LÄN</t>
        </is>
      </c>
      <c r="E608" t="inlineStr">
        <is>
          <t>LEKSAND</t>
        </is>
      </c>
      <c r="G608" t="n">
        <v>1</v>
      </c>
      <c r="H608" t="n">
        <v>0</v>
      </c>
      <c r="I608" t="n">
        <v>0</v>
      </c>
      <c r="J608" t="n">
        <v>0</v>
      </c>
      <c r="K608" t="n">
        <v>0</v>
      </c>
      <c r="L608" t="n">
        <v>0</v>
      </c>
      <c r="M608" t="n">
        <v>0</v>
      </c>
      <c r="N608" t="n">
        <v>0</v>
      </c>
      <c r="O608" t="n">
        <v>0</v>
      </c>
      <c r="P608" t="n">
        <v>0</v>
      </c>
      <c r="Q608" t="n">
        <v>0</v>
      </c>
      <c r="R608" s="2" t="inlineStr"/>
    </row>
    <row r="609" ht="15" customHeight="1">
      <c r="A609" t="inlineStr">
        <is>
          <t>A 53804-2025</t>
        </is>
      </c>
      <c r="B609" s="1" t="n">
        <v>45960.83247685185</v>
      </c>
      <c r="C609" s="1" t="n">
        <v>46003</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45381-2025</t>
        </is>
      </c>
      <c r="B610" s="1" t="n">
        <v>45922.39989583333</v>
      </c>
      <c r="C610" s="1" t="n">
        <v>46003</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36262-2023</t>
        </is>
      </c>
      <c r="B611" s="1" t="n">
        <v>45151.9096875</v>
      </c>
      <c r="C611" s="1" t="n">
        <v>46003</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23855-2025</t>
        </is>
      </c>
      <c r="B612" s="1" t="n">
        <v>45793.65900462963</v>
      </c>
      <c r="C612" s="1" t="n">
        <v>46003</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53836-2025</t>
        </is>
      </c>
      <c r="B613" s="1" t="n">
        <v>45961.3475462963</v>
      </c>
      <c r="C613" s="1" t="n">
        <v>46003</v>
      </c>
      <c r="D613" t="inlineStr">
        <is>
          <t>DALARNAS LÄN</t>
        </is>
      </c>
      <c r="E613" t="inlineStr">
        <is>
          <t>LEKSAND</t>
        </is>
      </c>
      <c r="G613" t="n">
        <v>3.5</v>
      </c>
      <c r="H613" t="n">
        <v>0</v>
      </c>
      <c r="I613" t="n">
        <v>0</v>
      </c>
      <c r="J613" t="n">
        <v>0</v>
      </c>
      <c r="K613" t="n">
        <v>0</v>
      </c>
      <c r="L613" t="n">
        <v>0</v>
      </c>
      <c r="M613" t="n">
        <v>0</v>
      </c>
      <c r="N613" t="n">
        <v>0</v>
      </c>
      <c r="O613" t="n">
        <v>0</v>
      </c>
      <c r="P613" t="n">
        <v>0</v>
      </c>
      <c r="Q613" t="n">
        <v>0</v>
      </c>
      <c r="R613" s="2" t="inlineStr"/>
    </row>
    <row r="614" ht="15" customHeight="1">
      <c r="A614" t="inlineStr">
        <is>
          <t>A 45318-2025</t>
        </is>
      </c>
      <c r="B614" s="1" t="n">
        <v>45921.85230324074</v>
      </c>
      <c r="C614" s="1" t="n">
        <v>46003</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60095-2022</t>
        </is>
      </c>
      <c r="B615" s="1" t="n">
        <v>44909</v>
      </c>
      <c r="C615" s="1" t="n">
        <v>46003</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24919-2024</t>
        </is>
      </c>
      <c r="B616" s="1" t="n">
        <v>45461.60636574074</v>
      </c>
      <c r="C616" s="1" t="n">
        <v>46003</v>
      </c>
      <c r="D616" t="inlineStr">
        <is>
          <t>DALARNAS LÄN</t>
        </is>
      </c>
      <c r="E616" t="inlineStr">
        <is>
          <t>LEKSAND</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38117-2023</t>
        </is>
      </c>
      <c r="B617" s="1" t="n">
        <v>45161</v>
      </c>
      <c r="C617" s="1" t="n">
        <v>46003</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54779-2025</t>
        </is>
      </c>
      <c r="B618" s="1" t="n">
        <v>45966.61672453704</v>
      </c>
      <c r="C618" s="1" t="n">
        <v>46003</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11418-2023</t>
        </is>
      </c>
      <c r="B619" s="1" t="n">
        <v>44993</v>
      </c>
      <c r="C619" s="1" t="n">
        <v>46003</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54815-2025</t>
        </is>
      </c>
      <c r="B620" s="1" t="n">
        <v>45966.65237268519</v>
      </c>
      <c r="C620" s="1" t="n">
        <v>46003</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54767-2025</t>
        </is>
      </c>
      <c r="B621" s="1" t="n">
        <v>45966.60414351852</v>
      </c>
      <c r="C621" s="1" t="n">
        <v>46003</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54785-2025</t>
        </is>
      </c>
      <c r="B622" s="1" t="n">
        <v>45966.62619212963</v>
      </c>
      <c r="C622" s="1" t="n">
        <v>46003</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54805-2025</t>
        </is>
      </c>
      <c r="B623" s="1" t="n">
        <v>45966.64165509259</v>
      </c>
      <c r="C623" s="1" t="n">
        <v>46003</v>
      </c>
      <c r="D623" t="inlineStr">
        <is>
          <t>DALARNAS LÄN</t>
        </is>
      </c>
      <c r="E623" t="inlineStr">
        <is>
          <t>LEKSAND</t>
        </is>
      </c>
      <c r="G623" t="n">
        <v>1.8</v>
      </c>
      <c r="H623" t="n">
        <v>0</v>
      </c>
      <c r="I623" t="n">
        <v>0</v>
      </c>
      <c r="J623" t="n">
        <v>0</v>
      </c>
      <c r="K623" t="n">
        <v>0</v>
      </c>
      <c r="L623" t="n">
        <v>0</v>
      </c>
      <c r="M623" t="n">
        <v>0</v>
      </c>
      <c r="N623" t="n">
        <v>0</v>
      </c>
      <c r="O623" t="n">
        <v>0</v>
      </c>
      <c r="P623" t="n">
        <v>0</v>
      </c>
      <c r="Q623" t="n">
        <v>0</v>
      </c>
      <c r="R623" s="2" t="inlineStr"/>
    </row>
    <row r="624" ht="15" customHeight="1">
      <c r="A624" t="inlineStr">
        <is>
          <t>A 7450-2023</t>
        </is>
      </c>
      <c r="B624" s="1" t="n">
        <v>44971</v>
      </c>
      <c r="C624" s="1" t="n">
        <v>46003</v>
      </c>
      <c r="D624" t="inlineStr">
        <is>
          <t>DALARNAS LÄN</t>
        </is>
      </c>
      <c r="E624" t="inlineStr">
        <is>
          <t>LEKSAND</t>
        </is>
      </c>
      <c r="G624" t="n">
        <v>3</v>
      </c>
      <c r="H624" t="n">
        <v>0</v>
      </c>
      <c r="I624" t="n">
        <v>0</v>
      </c>
      <c r="J624" t="n">
        <v>0</v>
      </c>
      <c r="K624" t="n">
        <v>0</v>
      </c>
      <c r="L624" t="n">
        <v>0</v>
      </c>
      <c r="M624" t="n">
        <v>0</v>
      </c>
      <c r="N624" t="n">
        <v>0</v>
      </c>
      <c r="O624" t="n">
        <v>0</v>
      </c>
      <c r="P624" t="n">
        <v>0</v>
      </c>
      <c r="Q624" t="n">
        <v>0</v>
      </c>
      <c r="R624" s="2" t="inlineStr"/>
    </row>
    <row r="625" ht="15" customHeight="1">
      <c r="A625" t="inlineStr">
        <is>
          <t>A 54494-2025</t>
        </is>
      </c>
      <c r="B625" s="1" t="n">
        <v>45965.59965277778</v>
      </c>
      <c r="C625" s="1" t="n">
        <v>46003</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45167.38664351852</v>
      </c>
      <c r="C626" s="1" t="n">
        <v>46003</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43222-2024</t>
        </is>
      </c>
      <c r="B627" s="1" t="n">
        <v>45567.87177083334</v>
      </c>
      <c r="C627" s="1" t="n">
        <v>46003</v>
      </c>
      <c r="D627" t="inlineStr">
        <is>
          <t>DALARNAS LÄN</t>
        </is>
      </c>
      <c r="E627" t="inlineStr">
        <is>
          <t>LEKSAND</t>
        </is>
      </c>
      <c r="F627" t="inlineStr">
        <is>
          <t>Bergvik skog väst AB</t>
        </is>
      </c>
      <c r="G627" t="n">
        <v>8.6</v>
      </c>
      <c r="H627" t="n">
        <v>0</v>
      </c>
      <c r="I627" t="n">
        <v>0</v>
      </c>
      <c r="J627" t="n">
        <v>0</v>
      </c>
      <c r="K627" t="n">
        <v>0</v>
      </c>
      <c r="L627" t="n">
        <v>0</v>
      </c>
      <c r="M627" t="n">
        <v>0</v>
      </c>
      <c r="N627" t="n">
        <v>0</v>
      </c>
      <c r="O627" t="n">
        <v>0</v>
      </c>
      <c r="P627" t="n">
        <v>0</v>
      </c>
      <c r="Q627" t="n">
        <v>0</v>
      </c>
      <c r="R627" s="2" t="inlineStr"/>
    </row>
    <row r="628" ht="15" customHeight="1">
      <c r="A628" t="inlineStr">
        <is>
          <t>A 43231-2024</t>
        </is>
      </c>
      <c r="B628" s="1" t="n">
        <v>45567.89709490741</v>
      </c>
      <c r="C628" s="1" t="n">
        <v>46003</v>
      </c>
      <c r="D628" t="inlineStr">
        <is>
          <t>DALARNAS LÄN</t>
        </is>
      </c>
      <c r="E628" t="inlineStr">
        <is>
          <t>LEKSAND</t>
        </is>
      </c>
      <c r="G628" t="n">
        <v>1.9</v>
      </c>
      <c r="H628" t="n">
        <v>0</v>
      </c>
      <c r="I628" t="n">
        <v>0</v>
      </c>
      <c r="J628" t="n">
        <v>0</v>
      </c>
      <c r="K628" t="n">
        <v>0</v>
      </c>
      <c r="L628" t="n">
        <v>0</v>
      </c>
      <c r="M628" t="n">
        <v>0</v>
      </c>
      <c r="N628" t="n">
        <v>0</v>
      </c>
      <c r="O628" t="n">
        <v>0</v>
      </c>
      <c r="P628" t="n">
        <v>0</v>
      </c>
      <c r="Q628" t="n">
        <v>0</v>
      </c>
      <c r="R628" s="2" t="inlineStr"/>
    </row>
    <row r="629" ht="15" customHeight="1">
      <c r="A629" t="inlineStr">
        <is>
          <t>A 53122-2023</t>
        </is>
      </c>
      <c r="B629" s="1" t="n">
        <v>45228</v>
      </c>
      <c r="C629" s="1" t="n">
        <v>46003</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46176-2025</t>
        </is>
      </c>
      <c r="B630" s="1" t="n">
        <v>45924.65101851852</v>
      </c>
      <c r="C630" s="1" t="n">
        <v>46003</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54440-2025</t>
        </is>
      </c>
      <c r="B631" s="1" t="n">
        <v>45965.50385416667</v>
      </c>
      <c r="C631" s="1" t="n">
        <v>46003</v>
      </c>
      <c r="D631" t="inlineStr">
        <is>
          <t>DALARNAS LÄN</t>
        </is>
      </c>
      <c r="E631" t="inlineStr">
        <is>
          <t>LEKSAND</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54293-2025</t>
        </is>
      </c>
      <c r="B632" s="1" t="n">
        <v>45964.86651620371</v>
      </c>
      <c r="C632" s="1" t="n">
        <v>46003</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54295-2025</t>
        </is>
      </c>
      <c r="B633" s="1" t="n">
        <v>45964.87122685185</v>
      </c>
      <c r="C633" s="1" t="n">
        <v>46003</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54752-2025</t>
        </is>
      </c>
      <c r="B634" s="1" t="n">
        <v>45966.5916087963</v>
      </c>
      <c r="C634" s="1" t="n">
        <v>46003</v>
      </c>
      <c r="D634" t="inlineStr">
        <is>
          <t>DALARNAS LÄN</t>
        </is>
      </c>
      <c r="E634" t="inlineStr">
        <is>
          <t>LEKSAND</t>
        </is>
      </c>
      <c r="G634" t="n">
        <v>0.3</v>
      </c>
      <c r="H634" t="n">
        <v>0</v>
      </c>
      <c r="I634" t="n">
        <v>0</v>
      </c>
      <c r="J634" t="n">
        <v>0</v>
      </c>
      <c r="K634" t="n">
        <v>0</v>
      </c>
      <c r="L634" t="n">
        <v>0</v>
      </c>
      <c r="M634" t="n">
        <v>0</v>
      </c>
      <c r="N634" t="n">
        <v>0</v>
      </c>
      <c r="O634" t="n">
        <v>0</v>
      </c>
      <c r="P634" t="n">
        <v>0</v>
      </c>
      <c r="Q634" t="n">
        <v>0</v>
      </c>
      <c r="R634" s="2" t="inlineStr"/>
    </row>
    <row r="635" ht="15" customHeight="1">
      <c r="A635" t="inlineStr">
        <is>
          <t>A 64516-2023</t>
        </is>
      </c>
      <c r="B635" s="1" t="n">
        <v>45280</v>
      </c>
      <c r="C635" s="1" t="n">
        <v>46003</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23891-2025</t>
        </is>
      </c>
      <c r="B636" s="1" t="n">
        <v>45793</v>
      </c>
      <c r="C636" s="1" t="n">
        <v>46003</v>
      </c>
      <c r="D636" t="inlineStr">
        <is>
          <t>DALARNAS LÄN</t>
        </is>
      </c>
      <c r="E636" t="inlineStr">
        <is>
          <t>LEKSAND</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24187-2025</t>
        </is>
      </c>
      <c r="B637" s="1" t="n">
        <v>45796</v>
      </c>
      <c r="C637" s="1" t="n">
        <v>46003</v>
      </c>
      <c r="D637" t="inlineStr">
        <is>
          <t>DALARNAS LÄN</t>
        </is>
      </c>
      <c r="E637" t="inlineStr">
        <is>
          <t>LEKSAND</t>
        </is>
      </c>
      <c r="G637" t="n">
        <v>2.1</v>
      </c>
      <c r="H637" t="n">
        <v>0</v>
      </c>
      <c r="I637" t="n">
        <v>0</v>
      </c>
      <c r="J637" t="n">
        <v>0</v>
      </c>
      <c r="K637" t="n">
        <v>0</v>
      </c>
      <c r="L637" t="n">
        <v>0</v>
      </c>
      <c r="M637" t="n">
        <v>0</v>
      </c>
      <c r="N637" t="n">
        <v>0</v>
      </c>
      <c r="O637" t="n">
        <v>0</v>
      </c>
      <c r="P637" t="n">
        <v>0</v>
      </c>
      <c r="Q637" t="n">
        <v>0</v>
      </c>
      <c r="R637" s="2" t="inlineStr"/>
    </row>
    <row r="638" ht="15" customHeight="1">
      <c r="A638" t="inlineStr">
        <is>
          <t>A 24188-2025</t>
        </is>
      </c>
      <c r="B638" s="1" t="n">
        <v>45796</v>
      </c>
      <c r="C638" s="1" t="n">
        <v>46003</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56211-2023</t>
        </is>
      </c>
      <c r="B639" s="1" t="n">
        <v>45240</v>
      </c>
      <c r="C639" s="1" t="n">
        <v>46003</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46405-2025</t>
        </is>
      </c>
      <c r="B640" s="1" t="n">
        <v>45925.56306712963</v>
      </c>
      <c r="C640" s="1" t="n">
        <v>46003</v>
      </c>
      <c r="D640" t="inlineStr">
        <is>
          <t>DALARNAS LÄN</t>
        </is>
      </c>
      <c r="E640" t="inlineStr">
        <is>
          <t>LEKSAND</t>
        </is>
      </c>
      <c r="G640" t="n">
        <v>5.7</v>
      </c>
      <c r="H640" t="n">
        <v>0</v>
      </c>
      <c r="I640" t="n">
        <v>0</v>
      </c>
      <c r="J640" t="n">
        <v>0</v>
      </c>
      <c r="K640" t="n">
        <v>0</v>
      </c>
      <c r="L640" t="n">
        <v>0</v>
      </c>
      <c r="M640" t="n">
        <v>0</v>
      </c>
      <c r="N640" t="n">
        <v>0</v>
      </c>
      <c r="O640" t="n">
        <v>0</v>
      </c>
      <c r="P640" t="n">
        <v>0</v>
      </c>
      <c r="Q640" t="n">
        <v>0</v>
      </c>
      <c r="R640" s="2" t="inlineStr"/>
    </row>
    <row r="641" ht="15" customHeight="1">
      <c r="A641" t="inlineStr">
        <is>
          <t>A 46483-2025</t>
        </is>
      </c>
      <c r="B641" s="1" t="n">
        <v>45925.70248842592</v>
      </c>
      <c r="C641" s="1" t="n">
        <v>46003</v>
      </c>
      <c r="D641" t="inlineStr">
        <is>
          <t>DALARNAS LÄN</t>
        </is>
      </c>
      <c r="E641" t="inlineStr">
        <is>
          <t>LEKSAND</t>
        </is>
      </c>
      <c r="G641" t="n">
        <v>3.6</v>
      </c>
      <c r="H641" t="n">
        <v>0</v>
      </c>
      <c r="I641" t="n">
        <v>0</v>
      </c>
      <c r="J641" t="n">
        <v>0</v>
      </c>
      <c r="K641" t="n">
        <v>0</v>
      </c>
      <c r="L641" t="n">
        <v>0</v>
      </c>
      <c r="M641" t="n">
        <v>0</v>
      </c>
      <c r="N641" t="n">
        <v>0</v>
      </c>
      <c r="O641" t="n">
        <v>0</v>
      </c>
      <c r="P641" t="n">
        <v>0</v>
      </c>
      <c r="Q641" t="n">
        <v>0</v>
      </c>
      <c r="R641" s="2" t="inlineStr"/>
    </row>
    <row r="642" ht="15" customHeight="1">
      <c r="A642" t="inlineStr">
        <is>
          <t>A 24373-2025</t>
        </is>
      </c>
      <c r="B642" s="1" t="n">
        <v>45797.61113425926</v>
      </c>
      <c r="C642" s="1" t="n">
        <v>46003</v>
      </c>
      <c r="D642" t="inlineStr">
        <is>
          <t>DALARNAS LÄN</t>
        </is>
      </c>
      <c r="E642" t="inlineStr">
        <is>
          <t>LEKSAND</t>
        </is>
      </c>
      <c r="G642" t="n">
        <v>2.4</v>
      </c>
      <c r="H642" t="n">
        <v>0</v>
      </c>
      <c r="I642" t="n">
        <v>0</v>
      </c>
      <c r="J642" t="n">
        <v>0</v>
      </c>
      <c r="K642" t="n">
        <v>0</v>
      </c>
      <c r="L642" t="n">
        <v>0</v>
      </c>
      <c r="M642" t="n">
        <v>0</v>
      </c>
      <c r="N642" t="n">
        <v>0</v>
      </c>
      <c r="O642" t="n">
        <v>0</v>
      </c>
      <c r="P642" t="n">
        <v>0</v>
      </c>
      <c r="Q642" t="n">
        <v>0</v>
      </c>
      <c r="R642" s="2" t="inlineStr"/>
    </row>
    <row r="643" ht="15" customHeight="1">
      <c r="A643" t="inlineStr">
        <is>
          <t>A 40868-2024</t>
        </is>
      </c>
      <c r="B643" s="1" t="n">
        <v>45558</v>
      </c>
      <c r="C643" s="1" t="n">
        <v>46003</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22646-2025</t>
        </is>
      </c>
      <c r="B644" s="1" t="n">
        <v>45786</v>
      </c>
      <c r="C644" s="1" t="n">
        <v>46003</v>
      </c>
      <c r="D644" t="inlineStr">
        <is>
          <t>DALARNAS LÄN</t>
        </is>
      </c>
      <c r="E644" t="inlineStr">
        <is>
          <t>LEKSAND</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24369-2025</t>
        </is>
      </c>
      <c r="B645" s="1" t="n">
        <v>45797.60731481481</v>
      </c>
      <c r="C645" s="1" t="n">
        <v>46003</v>
      </c>
      <c r="D645" t="inlineStr">
        <is>
          <t>DALARNAS LÄN</t>
        </is>
      </c>
      <c r="E645" t="inlineStr">
        <is>
          <t>LEKSAND</t>
        </is>
      </c>
      <c r="G645" t="n">
        <v>1.5</v>
      </c>
      <c r="H645" t="n">
        <v>0</v>
      </c>
      <c r="I645" t="n">
        <v>0</v>
      </c>
      <c r="J645" t="n">
        <v>0</v>
      </c>
      <c r="K645" t="n">
        <v>0</v>
      </c>
      <c r="L645" t="n">
        <v>0</v>
      </c>
      <c r="M645" t="n">
        <v>0</v>
      </c>
      <c r="N645" t="n">
        <v>0</v>
      </c>
      <c r="O645" t="n">
        <v>0</v>
      </c>
      <c r="P645" t="n">
        <v>0</v>
      </c>
      <c r="Q645" t="n">
        <v>0</v>
      </c>
      <c r="R645" s="2" t="inlineStr"/>
    </row>
    <row r="646" ht="15" customHeight="1">
      <c r="A646" t="inlineStr">
        <is>
          <t>A 46978-2025</t>
        </is>
      </c>
      <c r="B646" s="1" t="n">
        <v>45929.51811342593</v>
      </c>
      <c r="C646" s="1" t="n">
        <v>46003</v>
      </c>
      <c r="D646" t="inlineStr">
        <is>
          <t>DALARNAS LÄN</t>
        </is>
      </c>
      <c r="E646" t="inlineStr">
        <is>
          <t>LEKSAND</t>
        </is>
      </c>
      <c r="G646" t="n">
        <v>2</v>
      </c>
      <c r="H646" t="n">
        <v>0</v>
      </c>
      <c r="I646" t="n">
        <v>0</v>
      </c>
      <c r="J646" t="n">
        <v>0</v>
      </c>
      <c r="K646" t="n">
        <v>0</v>
      </c>
      <c r="L646" t="n">
        <v>0</v>
      </c>
      <c r="M646" t="n">
        <v>0</v>
      </c>
      <c r="N646" t="n">
        <v>0</v>
      </c>
      <c r="O646" t="n">
        <v>0</v>
      </c>
      <c r="P646" t="n">
        <v>0</v>
      </c>
      <c r="Q646" t="n">
        <v>0</v>
      </c>
      <c r="R646" s="2" t="inlineStr"/>
    </row>
    <row r="647" ht="15" customHeight="1">
      <c r="A647" t="inlineStr">
        <is>
          <t>A 24715-2025</t>
        </is>
      </c>
      <c r="B647" s="1" t="n">
        <v>45798.97899305556</v>
      </c>
      <c r="C647" s="1" t="n">
        <v>46003</v>
      </c>
      <c r="D647" t="inlineStr">
        <is>
          <t>DALARNAS LÄN</t>
        </is>
      </c>
      <c r="E647" t="inlineStr">
        <is>
          <t>LEKSAND</t>
        </is>
      </c>
      <c r="G647" t="n">
        <v>8.4</v>
      </c>
      <c r="H647" t="n">
        <v>0</v>
      </c>
      <c r="I647" t="n">
        <v>0</v>
      </c>
      <c r="J647" t="n">
        <v>0</v>
      </c>
      <c r="K647" t="n">
        <v>0</v>
      </c>
      <c r="L647" t="n">
        <v>0</v>
      </c>
      <c r="M647" t="n">
        <v>0</v>
      </c>
      <c r="N647" t="n">
        <v>0</v>
      </c>
      <c r="O647" t="n">
        <v>0</v>
      </c>
      <c r="P647" t="n">
        <v>0</v>
      </c>
      <c r="Q647" t="n">
        <v>0</v>
      </c>
      <c r="R647" s="2" t="inlineStr"/>
    </row>
    <row r="648" ht="15" customHeight="1">
      <c r="A648" t="inlineStr">
        <is>
          <t>A 55784-2025</t>
        </is>
      </c>
      <c r="B648" s="1" t="n">
        <v>45972.63765046297</v>
      </c>
      <c r="C648" s="1" t="n">
        <v>46003</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25096-2025</t>
        </is>
      </c>
      <c r="B649" s="1" t="n">
        <v>45800.33868055556</v>
      </c>
      <c r="C649" s="1" t="n">
        <v>46003</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25105-2025</t>
        </is>
      </c>
      <c r="B650" s="1" t="n">
        <v>45800.34751157407</v>
      </c>
      <c r="C650" s="1" t="n">
        <v>46003</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55493-2025</t>
        </is>
      </c>
      <c r="B651" s="1" t="n">
        <v>45971.57913194445</v>
      </c>
      <c r="C651" s="1" t="n">
        <v>46003</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31255-2023</t>
        </is>
      </c>
      <c r="B652" s="1" t="n">
        <v>45114.36729166667</v>
      </c>
      <c r="C652" s="1" t="n">
        <v>46003</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25610-2025</t>
        </is>
      </c>
      <c r="B653" s="1" t="n">
        <v>45803.56033564815</v>
      </c>
      <c r="C653" s="1" t="n">
        <v>46003</v>
      </c>
      <c r="D653" t="inlineStr">
        <is>
          <t>DALARNAS LÄN</t>
        </is>
      </c>
      <c r="E653" t="inlineStr">
        <is>
          <t>LEKSAND</t>
        </is>
      </c>
      <c r="G653" t="n">
        <v>5.2</v>
      </c>
      <c r="H653" t="n">
        <v>0</v>
      </c>
      <c r="I653" t="n">
        <v>0</v>
      </c>
      <c r="J653" t="n">
        <v>0</v>
      </c>
      <c r="K653" t="n">
        <v>0</v>
      </c>
      <c r="L653" t="n">
        <v>0</v>
      </c>
      <c r="M653" t="n">
        <v>0</v>
      </c>
      <c r="N653" t="n">
        <v>0</v>
      </c>
      <c r="O653" t="n">
        <v>0</v>
      </c>
      <c r="P653" t="n">
        <v>0</v>
      </c>
      <c r="Q653" t="n">
        <v>0</v>
      </c>
      <c r="R653" s="2" t="inlineStr"/>
    </row>
    <row r="654" ht="15" customHeight="1">
      <c r="A654" t="inlineStr">
        <is>
          <t>A 47068-2025</t>
        </is>
      </c>
      <c r="B654" s="1" t="n">
        <v>45929.63511574074</v>
      </c>
      <c r="C654" s="1" t="n">
        <v>46003</v>
      </c>
      <c r="D654" t="inlineStr">
        <is>
          <t>DALARNAS LÄN</t>
        </is>
      </c>
      <c r="E654" t="inlineStr">
        <is>
          <t>LEKSAND</t>
        </is>
      </c>
      <c r="G654" t="n">
        <v>3.4</v>
      </c>
      <c r="H654" t="n">
        <v>0</v>
      </c>
      <c r="I654" t="n">
        <v>0</v>
      </c>
      <c r="J654" t="n">
        <v>0</v>
      </c>
      <c r="K654" t="n">
        <v>0</v>
      </c>
      <c r="L654" t="n">
        <v>0</v>
      </c>
      <c r="M654" t="n">
        <v>0</v>
      </c>
      <c r="N654" t="n">
        <v>0</v>
      </c>
      <c r="O654" t="n">
        <v>0</v>
      </c>
      <c r="P654" t="n">
        <v>0</v>
      </c>
      <c r="Q654" t="n">
        <v>0</v>
      </c>
      <c r="R654" s="2" t="inlineStr"/>
    </row>
    <row r="655" ht="15" customHeight="1">
      <c r="A655" t="inlineStr">
        <is>
          <t>A 46949-2025</t>
        </is>
      </c>
      <c r="B655" s="1" t="n">
        <v>45929.46811342592</v>
      </c>
      <c r="C655" s="1" t="n">
        <v>46003</v>
      </c>
      <c r="D655" t="inlineStr">
        <is>
          <t>DALARNAS LÄN</t>
        </is>
      </c>
      <c r="E655" t="inlineStr">
        <is>
          <t>LEKSAND</t>
        </is>
      </c>
      <c r="G655" t="n">
        <v>5</v>
      </c>
      <c r="H655" t="n">
        <v>0</v>
      </c>
      <c r="I655" t="n">
        <v>0</v>
      </c>
      <c r="J655" t="n">
        <v>0</v>
      </c>
      <c r="K655" t="n">
        <v>0</v>
      </c>
      <c r="L655" t="n">
        <v>0</v>
      </c>
      <c r="M655" t="n">
        <v>0</v>
      </c>
      <c r="N655" t="n">
        <v>0</v>
      </c>
      <c r="O655" t="n">
        <v>0</v>
      </c>
      <c r="P655" t="n">
        <v>0</v>
      </c>
      <c r="Q655" t="n">
        <v>0</v>
      </c>
      <c r="R655" s="2" t="inlineStr"/>
    </row>
    <row r="656" ht="15" customHeight="1">
      <c r="A656" t="inlineStr">
        <is>
          <t>A 47976-2025</t>
        </is>
      </c>
      <c r="B656" s="1" t="n">
        <v>45932.60846064815</v>
      </c>
      <c r="C656" s="1" t="n">
        <v>46003</v>
      </c>
      <c r="D656" t="inlineStr">
        <is>
          <t>DALARNAS LÄN</t>
        </is>
      </c>
      <c r="E656" t="inlineStr">
        <is>
          <t>LEKSAND</t>
        </is>
      </c>
      <c r="F656" t="inlineStr">
        <is>
          <t>Bergvik skog väst AB</t>
        </is>
      </c>
      <c r="G656" t="n">
        <v>0.3</v>
      </c>
      <c r="H656" t="n">
        <v>0</v>
      </c>
      <c r="I656" t="n">
        <v>0</v>
      </c>
      <c r="J656" t="n">
        <v>0</v>
      </c>
      <c r="K656" t="n">
        <v>0</v>
      </c>
      <c r="L656" t="n">
        <v>0</v>
      </c>
      <c r="M656" t="n">
        <v>0</v>
      </c>
      <c r="N656" t="n">
        <v>0</v>
      </c>
      <c r="O656" t="n">
        <v>0</v>
      </c>
      <c r="P656" t="n">
        <v>0</v>
      </c>
      <c r="Q656" t="n">
        <v>0</v>
      </c>
      <c r="R656" s="2" t="inlineStr"/>
    </row>
    <row r="657" ht="15" customHeight="1">
      <c r="A657" t="inlineStr">
        <is>
          <t>A 47977-2025</t>
        </is>
      </c>
      <c r="B657" s="1" t="n">
        <v>45932.60920138889</v>
      </c>
      <c r="C657" s="1" t="n">
        <v>46003</v>
      </c>
      <c r="D657" t="inlineStr">
        <is>
          <t>DALARNAS LÄN</t>
        </is>
      </c>
      <c r="E657" t="inlineStr">
        <is>
          <t>LEKSAND</t>
        </is>
      </c>
      <c r="F657" t="inlineStr">
        <is>
          <t>Bergvik skog väst AB</t>
        </is>
      </c>
      <c r="G657" t="n">
        <v>0.2</v>
      </c>
      <c r="H657" t="n">
        <v>0</v>
      </c>
      <c r="I657" t="n">
        <v>0</v>
      </c>
      <c r="J657" t="n">
        <v>0</v>
      </c>
      <c r="K657" t="n">
        <v>0</v>
      </c>
      <c r="L657" t="n">
        <v>0</v>
      </c>
      <c r="M657" t="n">
        <v>0</v>
      </c>
      <c r="N657" t="n">
        <v>0</v>
      </c>
      <c r="O657" t="n">
        <v>0</v>
      </c>
      <c r="P657" t="n">
        <v>0</v>
      </c>
      <c r="Q657" t="n">
        <v>0</v>
      </c>
      <c r="R657" s="2" t="inlineStr"/>
    </row>
    <row r="658" ht="15" customHeight="1">
      <c r="A658" t="inlineStr">
        <is>
          <t>A 26386-2025</t>
        </is>
      </c>
      <c r="B658" s="1" t="n">
        <v>45806</v>
      </c>
      <c r="C658" s="1" t="n">
        <v>46003</v>
      </c>
      <c r="D658" t="inlineStr">
        <is>
          <t>DALARNAS LÄN</t>
        </is>
      </c>
      <c r="E658" t="inlineStr">
        <is>
          <t>LEKSAND</t>
        </is>
      </c>
      <c r="F658" t="inlineStr">
        <is>
          <t>Bergvik skog väst AB</t>
        </is>
      </c>
      <c r="G658" t="n">
        <v>26.3</v>
      </c>
      <c r="H658" t="n">
        <v>0</v>
      </c>
      <c r="I658" t="n">
        <v>0</v>
      </c>
      <c r="J658" t="n">
        <v>0</v>
      </c>
      <c r="K658" t="n">
        <v>0</v>
      </c>
      <c r="L658" t="n">
        <v>0</v>
      </c>
      <c r="M658" t="n">
        <v>0</v>
      </c>
      <c r="N658" t="n">
        <v>0</v>
      </c>
      <c r="O658" t="n">
        <v>0</v>
      </c>
      <c r="P658" t="n">
        <v>0</v>
      </c>
      <c r="Q658" t="n">
        <v>0</v>
      </c>
      <c r="R658" s="2" t="inlineStr"/>
    </row>
    <row r="659" ht="15" customHeight="1">
      <c r="A659" t="inlineStr">
        <is>
          <t>A 25329-2022</t>
        </is>
      </c>
      <c r="B659" s="1" t="n">
        <v>44731.8799537037</v>
      </c>
      <c r="C659" s="1" t="n">
        <v>46003</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56331-2025</t>
        </is>
      </c>
      <c r="B660" s="1" t="n">
        <v>45974.64157407408</v>
      </c>
      <c r="C660" s="1" t="n">
        <v>46003</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26423-2025</t>
        </is>
      </c>
      <c r="B661" s="1" t="n">
        <v>45807.37829861111</v>
      </c>
      <c r="C661" s="1" t="n">
        <v>46003</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54789-2025</t>
        </is>
      </c>
      <c r="B662" s="1" t="n">
        <v>45966</v>
      </c>
      <c r="C662" s="1" t="n">
        <v>46003</v>
      </c>
      <c r="D662" t="inlineStr">
        <is>
          <t>DALARNAS LÄN</t>
        </is>
      </c>
      <c r="E662" t="inlineStr">
        <is>
          <t>LEKSAND</t>
        </is>
      </c>
      <c r="F662" t="inlineStr">
        <is>
          <t>Bergvik skog väst AB</t>
        </is>
      </c>
      <c r="G662" t="n">
        <v>1.6</v>
      </c>
      <c r="H662" t="n">
        <v>0</v>
      </c>
      <c r="I662" t="n">
        <v>0</v>
      </c>
      <c r="J662" t="n">
        <v>0</v>
      </c>
      <c r="K662" t="n">
        <v>0</v>
      </c>
      <c r="L662" t="n">
        <v>0</v>
      </c>
      <c r="M662" t="n">
        <v>0</v>
      </c>
      <c r="N662" t="n">
        <v>0</v>
      </c>
      <c r="O662" t="n">
        <v>0</v>
      </c>
      <c r="P662" t="n">
        <v>0</v>
      </c>
      <c r="Q662" t="n">
        <v>0</v>
      </c>
      <c r="R662" s="2" t="inlineStr"/>
    </row>
    <row r="663" ht="15" customHeight="1">
      <c r="A663" t="inlineStr">
        <is>
          <t>A 27323-2025</t>
        </is>
      </c>
      <c r="B663" s="1" t="n">
        <v>45812.60392361111</v>
      </c>
      <c r="C663" s="1" t="n">
        <v>46003</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56161-2025</t>
        </is>
      </c>
      <c r="B664" s="1" t="n">
        <v>45974.37554398148</v>
      </c>
      <c r="C664" s="1" t="n">
        <v>46003</v>
      </c>
      <c r="D664" t="inlineStr">
        <is>
          <t>DALARNAS LÄN</t>
        </is>
      </c>
      <c r="E664" t="inlineStr">
        <is>
          <t>LEKSAND</t>
        </is>
      </c>
      <c r="G664" t="n">
        <v>2</v>
      </c>
      <c r="H664" t="n">
        <v>0</v>
      </c>
      <c r="I664" t="n">
        <v>0</v>
      </c>
      <c r="J664" t="n">
        <v>0</v>
      </c>
      <c r="K664" t="n">
        <v>0</v>
      </c>
      <c r="L664" t="n">
        <v>0</v>
      </c>
      <c r="M664" t="n">
        <v>0</v>
      </c>
      <c r="N664" t="n">
        <v>0</v>
      </c>
      <c r="O664" t="n">
        <v>0</v>
      </c>
      <c r="P664" t="n">
        <v>0</v>
      </c>
      <c r="Q664" t="n">
        <v>0</v>
      </c>
      <c r="R664" s="2" t="inlineStr"/>
    </row>
    <row r="665" ht="15" customHeight="1">
      <c r="A665" t="inlineStr">
        <is>
          <t>A 56623-2025</t>
        </is>
      </c>
      <c r="B665" s="1" t="n">
        <v>45975.60164351852</v>
      </c>
      <c r="C665" s="1" t="n">
        <v>46003</v>
      </c>
      <c r="D665" t="inlineStr">
        <is>
          <t>DALARNAS LÄN</t>
        </is>
      </c>
      <c r="E665" t="inlineStr">
        <is>
          <t>LEKSAND</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27183-2025</t>
        </is>
      </c>
      <c r="B666" s="1" t="n">
        <v>45812.36097222222</v>
      </c>
      <c r="C666" s="1" t="n">
        <v>46003</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27262-2025</t>
        </is>
      </c>
      <c r="B667" s="1" t="n">
        <v>45812</v>
      </c>
      <c r="C667" s="1" t="n">
        <v>46003</v>
      </c>
      <c r="D667" t="inlineStr">
        <is>
          <t>DALARNAS LÄN</t>
        </is>
      </c>
      <c r="E667" t="inlineStr">
        <is>
          <t>LEKSAND</t>
        </is>
      </c>
      <c r="F667" t="inlineStr">
        <is>
          <t>Bergvik skog väst AB</t>
        </is>
      </c>
      <c r="G667" t="n">
        <v>7.7</v>
      </c>
      <c r="H667" t="n">
        <v>0</v>
      </c>
      <c r="I667" t="n">
        <v>0</v>
      </c>
      <c r="J667" t="n">
        <v>0</v>
      </c>
      <c r="K667" t="n">
        <v>0</v>
      </c>
      <c r="L667" t="n">
        <v>0</v>
      </c>
      <c r="M667" t="n">
        <v>0</v>
      </c>
      <c r="N667" t="n">
        <v>0</v>
      </c>
      <c r="O667" t="n">
        <v>0</v>
      </c>
      <c r="P667" t="n">
        <v>0</v>
      </c>
      <c r="Q667" t="n">
        <v>0</v>
      </c>
      <c r="R667" s="2" t="inlineStr"/>
    </row>
    <row r="668" ht="15" customHeight="1">
      <c r="A668" t="inlineStr">
        <is>
          <t>A 27329-2025</t>
        </is>
      </c>
      <c r="B668" s="1" t="n">
        <v>45812.60864583333</v>
      </c>
      <c r="C668" s="1" t="n">
        <v>46003</v>
      </c>
      <c r="D668" t="inlineStr">
        <is>
          <t>DALARNAS LÄN</t>
        </is>
      </c>
      <c r="E668" t="inlineStr">
        <is>
          <t>LEKSAND</t>
        </is>
      </c>
      <c r="F668" t="inlineStr">
        <is>
          <t>Bergvik skog väst AB</t>
        </is>
      </c>
      <c r="G668" t="n">
        <v>3</v>
      </c>
      <c r="H668" t="n">
        <v>0</v>
      </c>
      <c r="I668" t="n">
        <v>0</v>
      </c>
      <c r="J668" t="n">
        <v>0</v>
      </c>
      <c r="K668" t="n">
        <v>0</v>
      </c>
      <c r="L668" t="n">
        <v>0</v>
      </c>
      <c r="M668" t="n">
        <v>0</v>
      </c>
      <c r="N668" t="n">
        <v>0</v>
      </c>
      <c r="O668" t="n">
        <v>0</v>
      </c>
      <c r="P668" t="n">
        <v>0</v>
      </c>
      <c r="Q668" t="n">
        <v>0</v>
      </c>
      <c r="R668" s="2" t="inlineStr"/>
    </row>
    <row r="669" ht="15" customHeight="1">
      <c r="A669" t="inlineStr">
        <is>
          <t>A 27332-2025</t>
        </is>
      </c>
      <c r="B669" s="1" t="n">
        <v>45812.61265046296</v>
      </c>
      <c r="C669" s="1" t="n">
        <v>46003</v>
      </c>
      <c r="D669" t="inlineStr">
        <is>
          <t>DALARNAS LÄN</t>
        </is>
      </c>
      <c r="E669" t="inlineStr">
        <is>
          <t>LEKSAND</t>
        </is>
      </c>
      <c r="F669" t="inlineStr">
        <is>
          <t>Bergvik skog väst AB</t>
        </is>
      </c>
      <c r="G669" t="n">
        <v>2.9</v>
      </c>
      <c r="H669" t="n">
        <v>0</v>
      </c>
      <c r="I669" t="n">
        <v>0</v>
      </c>
      <c r="J669" t="n">
        <v>0</v>
      </c>
      <c r="K669" t="n">
        <v>0</v>
      </c>
      <c r="L669" t="n">
        <v>0</v>
      </c>
      <c r="M669" t="n">
        <v>0</v>
      </c>
      <c r="N669" t="n">
        <v>0</v>
      </c>
      <c r="O669" t="n">
        <v>0</v>
      </c>
      <c r="P669" t="n">
        <v>0</v>
      </c>
      <c r="Q669" t="n">
        <v>0</v>
      </c>
      <c r="R669" s="2" t="inlineStr"/>
    </row>
    <row r="670" ht="15" customHeight="1">
      <c r="A670" t="inlineStr">
        <is>
          <t>A 48421-2025</t>
        </is>
      </c>
      <c r="B670" s="1" t="n">
        <v>45934.67564814815</v>
      </c>
      <c r="C670" s="1" t="n">
        <v>46003</v>
      </c>
      <c r="D670" t="inlineStr">
        <is>
          <t>DALARNAS LÄN</t>
        </is>
      </c>
      <c r="E670" t="inlineStr">
        <is>
          <t>LEKSAND</t>
        </is>
      </c>
      <c r="G670" t="n">
        <v>2.2</v>
      </c>
      <c r="H670" t="n">
        <v>0</v>
      </c>
      <c r="I670" t="n">
        <v>0</v>
      </c>
      <c r="J670" t="n">
        <v>0</v>
      </c>
      <c r="K670" t="n">
        <v>0</v>
      </c>
      <c r="L670" t="n">
        <v>0</v>
      </c>
      <c r="M670" t="n">
        <v>0</v>
      </c>
      <c r="N670" t="n">
        <v>0</v>
      </c>
      <c r="O670" t="n">
        <v>0</v>
      </c>
      <c r="P670" t="n">
        <v>0</v>
      </c>
      <c r="Q670" t="n">
        <v>0</v>
      </c>
      <c r="R670" s="2" t="inlineStr"/>
    </row>
    <row r="671" ht="15" customHeight="1">
      <c r="A671" t="inlineStr">
        <is>
          <t>A 27682-2025</t>
        </is>
      </c>
      <c r="B671" s="1" t="n">
        <v>45813.64782407408</v>
      </c>
      <c r="C671" s="1" t="n">
        <v>46003</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56960-2025</t>
        </is>
      </c>
      <c r="B672" s="1" t="n">
        <v>45978.65903935185</v>
      </c>
      <c r="C672" s="1" t="n">
        <v>46003</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27705-2025</t>
        </is>
      </c>
      <c r="B673" s="1" t="n">
        <v>45813</v>
      </c>
      <c r="C673" s="1" t="n">
        <v>46003</v>
      </c>
      <c r="D673" t="inlineStr">
        <is>
          <t>DALARNAS LÄN</t>
        </is>
      </c>
      <c r="E673" t="inlineStr">
        <is>
          <t>LEKSAND</t>
        </is>
      </c>
      <c r="G673" t="n">
        <v>0.8</v>
      </c>
      <c r="H673" t="n">
        <v>0</v>
      </c>
      <c r="I673" t="n">
        <v>0</v>
      </c>
      <c r="J673" t="n">
        <v>0</v>
      </c>
      <c r="K673" t="n">
        <v>0</v>
      </c>
      <c r="L673" t="n">
        <v>0</v>
      </c>
      <c r="M673" t="n">
        <v>0</v>
      </c>
      <c r="N673" t="n">
        <v>0</v>
      </c>
      <c r="O673" t="n">
        <v>0</v>
      </c>
      <c r="P673" t="n">
        <v>0</v>
      </c>
      <c r="Q673" t="n">
        <v>0</v>
      </c>
      <c r="R673" s="2" t="inlineStr"/>
    </row>
    <row r="674" ht="15" customHeight="1">
      <c r="A674" t="inlineStr">
        <is>
          <t>A 27680-2025</t>
        </is>
      </c>
      <c r="B674" s="1" t="n">
        <v>45813.64618055556</v>
      </c>
      <c r="C674" s="1" t="n">
        <v>46003</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56517-2025</t>
        </is>
      </c>
      <c r="B675" s="1" t="n">
        <v>45975.45777777778</v>
      </c>
      <c r="C675" s="1" t="n">
        <v>46003</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28483-2025</t>
        </is>
      </c>
      <c r="B676" s="1" t="n">
        <v>45818</v>
      </c>
      <c r="C676" s="1" t="n">
        <v>46003</v>
      </c>
      <c r="D676" t="inlineStr">
        <is>
          <t>DALARNAS LÄN</t>
        </is>
      </c>
      <c r="E676" t="inlineStr">
        <is>
          <t>LEKSAND</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57927-2024</t>
        </is>
      </c>
      <c r="B677" s="1" t="n">
        <v>45630</v>
      </c>
      <c r="C677" s="1" t="n">
        <v>46003</v>
      </c>
      <c r="D677" t="inlineStr">
        <is>
          <t>DALARNAS LÄN</t>
        </is>
      </c>
      <c r="E677" t="inlineStr">
        <is>
          <t>LEKSAND</t>
        </is>
      </c>
      <c r="G677" t="n">
        <v>0.2</v>
      </c>
      <c r="H677" t="n">
        <v>0</v>
      </c>
      <c r="I677" t="n">
        <v>0</v>
      </c>
      <c r="J677" t="n">
        <v>0</v>
      </c>
      <c r="K677" t="n">
        <v>0</v>
      </c>
      <c r="L677" t="n">
        <v>0</v>
      </c>
      <c r="M677" t="n">
        <v>0</v>
      </c>
      <c r="N677" t="n">
        <v>0</v>
      </c>
      <c r="O677" t="n">
        <v>0</v>
      </c>
      <c r="P677" t="n">
        <v>0</v>
      </c>
      <c r="Q677" t="n">
        <v>0</v>
      </c>
      <c r="R677" s="2" t="inlineStr"/>
    </row>
    <row r="678" ht="15" customHeight="1">
      <c r="A678" t="inlineStr">
        <is>
          <t>A 57930-2024</t>
        </is>
      </c>
      <c r="B678" s="1" t="n">
        <v>45630</v>
      </c>
      <c r="C678" s="1" t="n">
        <v>46003</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48829-2025</t>
        </is>
      </c>
      <c r="B679" s="1" t="n">
        <v>45936</v>
      </c>
      <c r="C679" s="1" t="n">
        <v>46003</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28505-2025</t>
        </is>
      </c>
      <c r="B680" s="1" t="n">
        <v>45818</v>
      </c>
      <c r="C680" s="1" t="n">
        <v>46003</v>
      </c>
      <c r="D680" t="inlineStr">
        <is>
          <t>DALARNAS LÄN</t>
        </is>
      </c>
      <c r="E680" t="inlineStr">
        <is>
          <t>LEKSAND</t>
        </is>
      </c>
      <c r="G680" t="n">
        <v>0.8</v>
      </c>
      <c r="H680" t="n">
        <v>0</v>
      </c>
      <c r="I680" t="n">
        <v>0</v>
      </c>
      <c r="J680" t="n">
        <v>0</v>
      </c>
      <c r="K680" t="n">
        <v>0</v>
      </c>
      <c r="L680" t="n">
        <v>0</v>
      </c>
      <c r="M680" t="n">
        <v>0</v>
      </c>
      <c r="N680" t="n">
        <v>0</v>
      </c>
      <c r="O680" t="n">
        <v>0</v>
      </c>
      <c r="P680" t="n">
        <v>0</v>
      </c>
      <c r="Q680" t="n">
        <v>0</v>
      </c>
      <c r="R680" s="2" t="inlineStr"/>
    </row>
    <row r="681" ht="15" customHeight="1">
      <c r="A681" t="inlineStr">
        <is>
          <t>A 28499-2025</t>
        </is>
      </c>
      <c r="B681" s="1" t="n">
        <v>45818</v>
      </c>
      <c r="C681" s="1" t="n">
        <v>46003</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56514-2025</t>
        </is>
      </c>
      <c r="B682" s="1" t="n">
        <v>45975.45502314815</v>
      </c>
      <c r="C682" s="1" t="n">
        <v>46003</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27984-2025</t>
        </is>
      </c>
      <c r="B683" s="1" t="n">
        <v>45817.57710648148</v>
      </c>
      <c r="C683" s="1" t="n">
        <v>46003</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28488-2025</t>
        </is>
      </c>
      <c r="B684" s="1" t="n">
        <v>45818</v>
      </c>
      <c r="C684" s="1" t="n">
        <v>46003</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48824-2025</t>
        </is>
      </c>
      <c r="B685" s="1" t="n">
        <v>45937.37949074074</v>
      </c>
      <c r="C685" s="1" t="n">
        <v>46003</v>
      </c>
      <c r="D685" t="inlineStr">
        <is>
          <t>DALARNAS LÄN</t>
        </is>
      </c>
      <c r="E685" t="inlineStr">
        <is>
          <t>LEKSAND</t>
        </is>
      </c>
      <c r="G685" t="n">
        <v>6.3</v>
      </c>
      <c r="H685" t="n">
        <v>0</v>
      </c>
      <c r="I685" t="n">
        <v>0</v>
      </c>
      <c r="J685" t="n">
        <v>0</v>
      </c>
      <c r="K685" t="n">
        <v>0</v>
      </c>
      <c r="L685" t="n">
        <v>0</v>
      </c>
      <c r="M685" t="n">
        <v>0</v>
      </c>
      <c r="N685" t="n">
        <v>0</v>
      </c>
      <c r="O685" t="n">
        <v>0</v>
      </c>
      <c r="P685" t="n">
        <v>0</v>
      </c>
      <c r="Q685" t="n">
        <v>0</v>
      </c>
      <c r="R685" s="2" t="inlineStr"/>
    </row>
    <row r="686" ht="15" customHeight="1">
      <c r="A686" t="inlineStr">
        <is>
          <t>A 49209-2025</t>
        </is>
      </c>
      <c r="B686" s="1" t="n">
        <v>45938.43589120371</v>
      </c>
      <c r="C686" s="1" t="n">
        <v>46003</v>
      </c>
      <c r="D686" t="inlineStr">
        <is>
          <t>DALARNAS LÄN</t>
        </is>
      </c>
      <c r="E686" t="inlineStr">
        <is>
          <t>LEKSAND</t>
        </is>
      </c>
      <c r="G686" t="n">
        <v>4.8</v>
      </c>
      <c r="H686" t="n">
        <v>0</v>
      </c>
      <c r="I686" t="n">
        <v>0</v>
      </c>
      <c r="J686" t="n">
        <v>0</v>
      </c>
      <c r="K686" t="n">
        <v>0</v>
      </c>
      <c r="L686" t="n">
        <v>0</v>
      </c>
      <c r="M686" t="n">
        <v>0</v>
      </c>
      <c r="N686" t="n">
        <v>0</v>
      </c>
      <c r="O686" t="n">
        <v>0</v>
      </c>
      <c r="P686" t="n">
        <v>0</v>
      </c>
      <c r="Q686" t="n">
        <v>0</v>
      </c>
      <c r="R686" s="2" t="inlineStr"/>
    </row>
    <row r="687" ht="15" customHeight="1">
      <c r="A687" t="inlineStr">
        <is>
          <t>A 48922-2025</t>
        </is>
      </c>
      <c r="B687" s="1" t="n">
        <v>45937.50077546296</v>
      </c>
      <c r="C687" s="1" t="n">
        <v>46003</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57231-2025</t>
        </is>
      </c>
      <c r="B688" s="1" t="n">
        <v>45979.62025462963</v>
      </c>
      <c r="C688" s="1" t="n">
        <v>46003</v>
      </c>
      <c r="D688" t="inlineStr">
        <is>
          <t>DALARNAS LÄN</t>
        </is>
      </c>
      <c r="E688" t="inlineStr">
        <is>
          <t>LEKSAND</t>
        </is>
      </c>
      <c r="G688" t="n">
        <v>1.8</v>
      </c>
      <c r="H688" t="n">
        <v>0</v>
      </c>
      <c r="I688" t="n">
        <v>0</v>
      </c>
      <c r="J688" t="n">
        <v>0</v>
      </c>
      <c r="K688" t="n">
        <v>0</v>
      </c>
      <c r="L688" t="n">
        <v>0</v>
      </c>
      <c r="M688" t="n">
        <v>0</v>
      </c>
      <c r="N688" t="n">
        <v>0</v>
      </c>
      <c r="O688" t="n">
        <v>0</v>
      </c>
      <c r="P688" t="n">
        <v>0</v>
      </c>
      <c r="Q688" t="n">
        <v>0</v>
      </c>
      <c r="R688" s="2" t="inlineStr"/>
    </row>
    <row r="689" ht="15" customHeight="1">
      <c r="A689" t="inlineStr">
        <is>
          <t>A 49076-2025</t>
        </is>
      </c>
      <c r="B689" s="1" t="n">
        <v>45937.65601851852</v>
      </c>
      <c r="C689" s="1" t="n">
        <v>46003</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57223-2025</t>
        </is>
      </c>
      <c r="B690" s="1" t="n">
        <v>45979.61486111111</v>
      </c>
      <c r="C690" s="1" t="n">
        <v>46003</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49212-2025</t>
        </is>
      </c>
      <c r="B691" s="1" t="n">
        <v>45938.43855324074</v>
      </c>
      <c r="C691" s="1" t="n">
        <v>46003</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28770-2025</t>
        </is>
      </c>
      <c r="B692" s="1" t="n">
        <v>45820</v>
      </c>
      <c r="C692" s="1" t="n">
        <v>46003</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28458-2025</t>
        </is>
      </c>
      <c r="B693" s="1" t="n">
        <v>45819.413125</v>
      </c>
      <c r="C693" s="1" t="n">
        <v>46003</v>
      </c>
      <c r="D693" t="inlineStr">
        <is>
          <t>DALARNAS LÄN</t>
        </is>
      </c>
      <c r="E693" t="inlineStr">
        <is>
          <t>LEKSAND</t>
        </is>
      </c>
      <c r="G693" t="n">
        <v>3</v>
      </c>
      <c r="H693" t="n">
        <v>0</v>
      </c>
      <c r="I693" t="n">
        <v>0</v>
      </c>
      <c r="J693" t="n">
        <v>0</v>
      </c>
      <c r="K693" t="n">
        <v>0</v>
      </c>
      <c r="L693" t="n">
        <v>0</v>
      </c>
      <c r="M693" t="n">
        <v>0</v>
      </c>
      <c r="N693" t="n">
        <v>0</v>
      </c>
      <c r="O693" t="n">
        <v>0</v>
      </c>
      <c r="P693" t="n">
        <v>0</v>
      </c>
      <c r="Q693" t="n">
        <v>0</v>
      </c>
      <c r="R693" s="2" t="inlineStr"/>
    </row>
    <row r="694" ht="15" customHeight="1">
      <c r="A694" t="inlineStr">
        <is>
          <t>A 29005-2025</t>
        </is>
      </c>
      <c r="B694" s="1" t="n">
        <v>45821.39326388889</v>
      </c>
      <c r="C694" s="1" t="n">
        <v>46003</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28985-2025</t>
        </is>
      </c>
      <c r="B695" s="1" t="n">
        <v>45821.36862268519</v>
      </c>
      <c r="C695" s="1" t="n">
        <v>46003</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57536-2025</t>
        </is>
      </c>
      <c r="B696" s="1" t="n">
        <v>45980.64287037037</v>
      </c>
      <c r="C696" s="1" t="n">
        <v>46003</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57267-2025</t>
        </is>
      </c>
      <c r="B697" s="1" t="n">
        <v>45979.67476851852</v>
      </c>
      <c r="C697" s="1" t="n">
        <v>46003</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57760-2025</t>
        </is>
      </c>
      <c r="B698" s="1" t="n">
        <v>45981</v>
      </c>
      <c r="C698" s="1" t="n">
        <v>46003</v>
      </c>
      <c r="D698" t="inlineStr">
        <is>
          <t>DALARNAS LÄN</t>
        </is>
      </c>
      <c r="E698" t="inlineStr">
        <is>
          <t>LEKSAND</t>
        </is>
      </c>
      <c r="G698" t="n">
        <v>3.9</v>
      </c>
      <c r="H698" t="n">
        <v>0</v>
      </c>
      <c r="I698" t="n">
        <v>0</v>
      </c>
      <c r="J698" t="n">
        <v>0</v>
      </c>
      <c r="K698" t="n">
        <v>0</v>
      </c>
      <c r="L698" t="n">
        <v>0</v>
      </c>
      <c r="M698" t="n">
        <v>0</v>
      </c>
      <c r="N698" t="n">
        <v>0</v>
      </c>
      <c r="O698" t="n">
        <v>0</v>
      </c>
      <c r="P698" t="n">
        <v>0</v>
      </c>
      <c r="Q698" t="n">
        <v>0</v>
      </c>
      <c r="R698" s="2" t="inlineStr"/>
    </row>
    <row r="699" ht="15" customHeight="1">
      <c r="A699" t="inlineStr">
        <is>
          <t>A 29729-2025</t>
        </is>
      </c>
      <c r="B699" s="1" t="n">
        <v>45825.58077546296</v>
      </c>
      <c r="C699" s="1" t="n">
        <v>46003</v>
      </c>
      <c r="D699" t="inlineStr">
        <is>
          <t>DALARNAS LÄN</t>
        </is>
      </c>
      <c r="E699" t="inlineStr">
        <is>
          <t>LEKSAND</t>
        </is>
      </c>
      <c r="F699" t="inlineStr">
        <is>
          <t>Bergvik skog väst AB</t>
        </is>
      </c>
      <c r="G699" t="n">
        <v>4.3</v>
      </c>
      <c r="H699" t="n">
        <v>0</v>
      </c>
      <c r="I699" t="n">
        <v>0</v>
      </c>
      <c r="J699" t="n">
        <v>0</v>
      </c>
      <c r="K699" t="n">
        <v>0</v>
      </c>
      <c r="L699" t="n">
        <v>0</v>
      </c>
      <c r="M699" t="n">
        <v>0</v>
      </c>
      <c r="N699" t="n">
        <v>0</v>
      </c>
      <c r="O699" t="n">
        <v>0</v>
      </c>
      <c r="P699" t="n">
        <v>0</v>
      </c>
      <c r="Q699" t="n">
        <v>0</v>
      </c>
      <c r="R699" s="2" t="inlineStr"/>
    </row>
    <row r="700" ht="15" customHeight="1">
      <c r="A700" t="inlineStr">
        <is>
          <t>A 57962-2025</t>
        </is>
      </c>
      <c r="B700" s="1" t="n">
        <v>45982.37767361111</v>
      </c>
      <c r="C700" s="1" t="n">
        <v>46003</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29553-2025</t>
        </is>
      </c>
      <c r="B701" s="1" t="n">
        <v>45825.35315972222</v>
      </c>
      <c r="C701" s="1" t="n">
        <v>46003</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57688-2025</t>
        </is>
      </c>
      <c r="B702" s="1" t="n">
        <v>45981.44429398148</v>
      </c>
      <c r="C702" s="1" t="n">
        <v>46003</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57869-2025</t>
        </is>
      </c>
      <c r="B703" s="1" t="n">
        <v>45981.65211805556</v>
      </c>
      <c r="C703" s="1" t="n">
        <v>46003</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30254-2025</t>
        </is>
      </c>
      <c r="B704" s="1" t="n">
        <v>45827.42336805556</v>
      </c>
      <c r="C704" s="1" t="n">
        <v>46003</v>
      </c>
      <c r="D704" t="inlineStr">
        <is>
          <t>DALARNAS LÄN</t>
        </is>
      </c>
      <c r="E704" t="inlineStr">
        <is>
          <t>LEKSAND</t>
        </is>
      </c>
      <c r="G704" t="n">
        <v>3.5</v>
      </c>
      <c r="H704" t="n">
        <v>0</v>
      </c>
      <c r="I704" t="n">
        <v>0</v>
      </c>
      <c r="J704" t="n">
        <v>0</v>
      </c>
      <c r="K704" t="n">
        <v>0</v>
      </c>
      <c r="L704" t="n">
        <v>0</v>
      </c>
      <c r="M704" t="n">
        <v>0</v>
      </c>
      <c r="N704" t="n">
        <v>0</v>
      </c>
      <c r="O704" t="n">
        <v>0</v>
      </c>
      <c r="P704" t="n">
        <v>0</v>
      </c>
      <c r="Q704" t="n">
        <v>0</v>
      </c>
      <c r="R704" s="2" t="inlineStr"/>
    </row>
    <row r="705" ht="15" customHeight="1">
      <c r="A705" t="inlineStr">
        <is>
          <t>A 49505-2025</t>
        </is>
      </c>
      <c r="B705" s="1" t="n">
        <v>45939.37564814815</v>
      </c>
      <c r="C705" s="1" t="n">
        <v>46003</v>
      </c>
      <c r="D705" t="inlineStr">
        <is>
          <t>DALARNAS LÄN</t>
        </is>
      </c>
      <c r="E705" t="inlineStr">
        <is>
          <t>LEKSAND</t>
        </is>
      </c>
      <c r="F705" t="inlineStr">
        <is>
          <t>Bergvik skog väst AB</t>
        </is>
      </c>
      <c r="G705" t="n">
        <v>1.4</v>
      </c>
      <c r="H705" t="n">
        <v>0</v>
      </c>
      <c r="I705" t="n">
        <v>0</v>
      </c>
      <c r="J705" t="n">
        <v>0</v>
      </c>
      <c r="K705" t="n">
        <v>0</v>
      </c>
      <c r="L705" t="n">
        <v>0</v>
      </c>
      <c r="M705" t="n">
        <v>0</v>
      </c>
      <c r="N705" t="n">
        <v>0</v>
      </c>
      <c r="O705" t="n">
        <v>0</v>
      </c>
      <c r="P705" t="n">
        <v>0</v>
      </c>
      <c r="Q705" t="n">
        <v>0</v>
      </c>
      <c r="R705" s="2" t="inlineStr"/>
    </row>
    <row r="706" ht="15" customHeight="1">
      <c r="A706" t="inlineStr">
        <is>
          <t>A 58114-2025</t>
        </is>
      </c>
      <c r="B706" s="1" t="n">
        <v>45982.60335648148</v>
      </c>
      <c r="C706" s="1" t="n">
        <v>46003</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30917-2025</t>
        </is>
      </c>
      <c r="B707" s="1" t="n">
        <v>45832.37989583334</v>
      </c>
      <c r="C707" s="1" t="n">
        <v>46003</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31179-2025</t>
        </is>
      </c>
      <c r="B708" s="1" t="n">
        <v>45832.67648148148</v>
      </c>
      <c r="C708" s="1" t="n">
        <v>46003</v>
      </c>
      <c r="D708" t="inlineStr">
        <is>
          <t>DALARNAS LÄN</t>
        </is>
      </c>
      <c r="E708" t="inlineStr">
        <is>
          <t>LEKSAND</t>
        </is>
      </c>
      <c r="G708" t="n">
        <v>4.7</v>
      </c>
      <c r="H708" t="n">
        <v>0</v>
      </c>
      <c r="I708" t="n">
        <v>0</v>
      </c>
      <c r="J708" t="n">
        <v>0</v>
      </c>
      <c r="K708" t="n">
        <v>0</v>
      </c>
      <c r="L708" t="n">
        <v>0</v>
      </c>
      <c r="M708" t="n">
        <v>0</v>
      </c>
      <c r="N708" t="n">
        <v>0</v>
      </c>
      <c r="O708" t="n">
        <v>0</v>
      </c>
      <c r="P708" t="n">
        <v>0</v>
      </c>
      <c r="Q708" t="n">
        <v>0</v>
      </c>
      <c r="R708" s="2" t="inlineStr"/>
    </row>
    <row r="709" ht="15" customHeight="1">
      <c r="A709" t="inlineStr">
        <is>
          <t>A 58519-2025</t>
        </is>
      </c>
      <c r="B709" s="1" t="n">
        <v>45985.70894675926</v>
      </c>
      <c r="C709" s="1" t="n">
        <v>46003</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30969-2025</t>
        </is>
      </c>
      <c r="B710" s="1" t="n">
        <v>45832.45914351852</v>
      </c>
      <c r="C710" s="1" t="n">
        <v>46003</v>
      </c>
      <c r="D710" t="inlineStr">
        <is>
          <t>DALARNAS LÄN</t>
        </is>
      </c>
      <c r="E710" t="inlineStr">
        <is>
          <t>LEKSAND</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30911-2025</t>
        </is>
      </c>
      <c r="B711" s="1" t="n">
        <v>45832.37547453704</v>
      </c>
      <c r="C711" s="1" t="n">
        <v>46003</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58626-2025</t>
        </is>
      </c>
      <c r="B712" s="1" t="n">
        <v>45986.47667824074</v>
      </c>
      <c r="C712" s="1" t="n">
        <v>46003</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50332-2025</t>
        </is>
      </c>
      <c r="B713" s="1" t="n">
        <v>45944.47092592593</v>
      </c>
      <c r="C713" s="1" t="n">
        <v>46003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30920-2025</t>
        </is>
      </c>
      <c r="B714" s="1" t="n">
        <v>45832.38484953704</v>
      </c>
      <c r="C714" s="1" t="n">
        <v>46003</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30916-2025</t>
        </is>
      </c>
      <c r="B715" s="1" t="n">
        <v>45832.37885416667</v>
      </c>
      <c r="C715" s="1" t="n">
        <v>46003</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30973-2025</t>
        </is>
      </c>
      <c r="B716" s="1" t="n">
        <v>45832.46300925926</v>
      </c>
      <c r="C716" s="1" t="n">
        <v>46003</v>
      </c>
      <c r="D716" t="inlineStr">
        <is>
          <t>DALARNAS LÄN</t>
        </is>
      </c>
      <c r="E716" t="inlineStr">
        <is>
          <t>LEKSAND</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31189-2025</t>
        </is>
      </c>
      <c r="B717" s="1" t="n">
        <v>45832.6799537037</v>
      </c>
      <c r="C717" s="1" t="n">
        <v>46003</v>
      </c>
      <c r="D717" t="inlineStr">
        <is>
          <t>DALARNAS LÄN</t>
        </is>
      </c>
      <c r="E717" t="inlineStr">
        <is>
          <t>LEKSAND</t>
        </is>
      </c>
      <c r="G717" t="n">
        <v>5</v>
      </c>
      <c r="H717" t="n">
        <v>0</v>
      </c>
      <c r="I717" t="n">
        <v>0</v>
      </c>
      <c r="J717" t="n">
        <v>0</v>
      </c>
      <c r="K717" t="n">
        <v>0</v>
      </c>
      <c r="L717" t="n">
        <v>0</v>
      </c>
      <c r="M717" t="n">
        <v>0</v>
      </c>
      <c r="N717" t="n">
        <v>0</v>
      </c>
      <c r="O717" t="n">
        <v>0</v>
      </c>
      <c r="P717" t="n">
        <v>0</v>
      </c>
      <c r="Q717" t="n">
        <v>0</v>
      </c>
      <c r="R717" s="2" t="inlineStr"/>
    </row>
    <row r="718" ht="15" customHeight="1">
      <c r="A718" t="inlineStr">
        <is>
          <t>A 58674-2025</t>
        </is>
      </c>
      <c r="B718" s="1" t="n">
        <v>45986.55810185185</v>
      </c>
      <c r="C718" s="1" t="n">
        <v>46003</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58376-2025</t>
        </is>
      </c>
      <c r="B719" s="1" t="n">
        <v>45985.53180555555</v>
      </c>
      <c r="C719" s="1" t="n">
        <v>46003</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31619-2025</t>
        </is>
      </c>
      <c r="B720" s="1" t="n">
        <v>45833</v>
      </c>
      <c r="C720" s="1" t="n">
        <v>46003</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58516-2025</t>
        </is>
      </c>
      <c r="B721" s="1" t="n">
        <v>45985.70596064815</v>
      </c>
      <c r="C721" s="1" t="n">
        <v>46003</v>
      </c>
      <c r="D721" t="inlineStr">
        <is>
          <t>DALARNAS LÄN</t>
        </is>
      </c>
      <c r="E721" t="inlineStr">
        <is>
          <t>LEKSAND</t>
        </is>
      </c>
      <c r="G721" t="n">
        <v>1.4</v>
      </c>
      <c r="H721" t="n">
        <v>0</v>
      </c>
      <c r="I721" t="n">
        <v>0</v>
      </c>
      <c r="J721" t="n">
        <v>0</v>
      </c>
      <c r="K721" t="n">
        <v>0</v>
      </c>
      <c r="L721" t="n">
        <v>0</v>
      </c>
      <c r="M721" t="n">
        <v>0</v>
      </c>
      <c r="N721" t="n">
        <v>0</v>
      </c>
      <c r="O721" t="n">
        <v>0</v>
      </c>
      <c r="P721" t="n">
        <v>0</v>
      </c>
      <c r="Q721" t="n">
        <v>0</v>
      </c>
      <c r="R721" s="2" t="inlineStr"/>
    </row>
    <row r="722" ht="15" customHeight="1">
      <c r="A722" t="inlineStr">
        <is>
          <t>A 58449-2025</t>
        </is>
      </c>
      <c r="B722" s="1" t="n">
        <v>45985.62520833333</v>
      </c>
      <c r="C722" s="1" t="n">
        <v>46003</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31446-2025</t>
        </is>
      </c>
      <c r="B723" s="1" t="n">
        <v>45833</v>
      </c>
      <c r="C723" s="1" t="n">
        <v>46003</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31787-2025</t>
        </is>
      </c>
      <c r="B724" s="1" t="n">
        <v>45834</v>
      </c>
      <c r="C724" s="1" t="n">
        <v>46003</v>
      </c>
      <c r="D724" t="inlineStr">
        <is>
          <t>DALARNAS LÄN</t>
        </is>
      </c>
      <c r="E724" t="inlineStr">
        <is>
          <t>LEKSAND</t>
        </is>
      </c>
      <c r="F724" t="inlineStr">
        <is>
          <t>Bergvik skog väst AB</t>
        </is>
      </c>
      <c r="G724" t="n">
        <v>1.3</v>
      </c>
      <c r="H724" t="n">
        <v>0</v>
      </c>
      <c r="I724" t="n">
        <v>0</v>
      </c>
      <c r="J724" t="n">
        <v>0</v>
      </c>
      <c r="K724" t="n">
        <v>0</v>
      </c>
      <c r="L724" t="n">
        <v>0</v>
      </c>
      <c r="M724" t="n">
        <v>0</v>
      </c>
      <c r="N724" t="n">
        <v>0</v>
      </c>
      <c r="O724" t="n">
        <v>0</v>
      </c>
      <c r="P724" t="n">
        <v>0</v>
      </c>
      <c r="Q724" t="n">
        <v>0</v>
      </c>
      <c r="R724" s="2" t="inlineStr"/>
    </row>
    <row r="725" ht="15" customHeight="1">
      <c r="A725" t="inlineStr">
        <is>
          <t>A 31493-2025</t>
        </is>
      </c>
      <c r="B725" s="1" t="n">
        <v>45833</v>
      </c>
      <c r="C725" s="1" t="n">
        <v>46003</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32104-2025</t>
        </is>
      </c>
      <c r="B726" s="1" t="n">
        <v>45835</v>
      </c>
      <c r="C726" s="1" t="n">
        <v>46003</v>
      </c>
      <c r="D726" t="inlineStr">
        <is>
          <t>DALARNAS LÄN</t>
        </is>
      </c>
      <c r="E726" t="inlineStr">
        <is>
          <t>LEKSAND</t>
        </is>
      </c>
      <c r="G726" t="n">
        <v>3.1</v>
      </c>
      <c r="H726" t="n">
        <v>0</v>
      </c>
      <c r="I726" t="n">
        <v>0</v>
      </c>
      <c r="J726" t="n">
        <v>0</v>
      </c>
      <c r="K726" t="n">
        <v>0</v>
      </c>
      <c r="L726" t="n">
        <v>0</v>
      </c>
      <c r="M726" t="n">
        <v>0</v>
      </c>
      <c r="N726" t="n">
        <v>0</v>
      </c>
      <c r="O726" t="n">
        <v>0</v>
      </c>
      <c r="P726" t="n">
        <v>0</v>
      </c>
      <c r="Q726" t="n">
        <v>0</v>
      </c>
      <c r="R726" s="2" t="inlineStr"/>
    </row>
    <row r="727" ht="15" customHeight="1">
      <c r="A727" t="inlineStr">
        <is>
          <t>A 58921-2025</t>
        </is>
      </c>
      <c r="B727" s="1" t="n">
        <v>45986</v>
      </c>
      <c r="C727" s="1" t="n">
        <v>46003</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32593-2025</t>
        </is>
      </c>
      <c r="B728" s="1" t="n">
        <v>45838</v>
      </c>
      <c r="C728" s="1" t="n">
        <v>46003</v>
      </c>
      <c r="D728" t="inlineStr">
        <is>
          <t>DALARNAS LÄN</t>
        </is>
      </c>
      <c r="E728" t="inlineStr">
        <is>
          <t>LEKSAND</t>
        </is>
      </c>
      <c r="F728" t="inlineStr">
        <is>
          <t>Bergvik skog väst AB</t>
        </is>
      </c>
      <c r="G728" t="n">
        <v>1</v>
      </c>
      <c r="H728" t="n">
        <v>0</v>
      </c>
      <c r="I728" t="n">
        <v>0</v>
      </c>
      <c r="J728" t="n">
        <v>0</v>
      </c>
      <c r="K728" t="n">
        <v>0</v>
      </c>
      <c r="L728" t="n">
        <v>0</v>
      </c>
      <c r="M728" t="n">
        <v>0</v>
      </c>
      <c r="N728" t="n">
        <v>0</v>
      </c>
      <c r="O728" t="n">
        <v>0</v>
      </c>
      <c r="P728" t="n">
        <v>0</v>
      </c>
      <c r="Q728" t="n">
        <v>0</v>
      </c>
      <c r="R728" s="2" t="inlineStr"/>
    </row>
    <row r="729" ht="15" customHeight="1">
      <c r="A729" t="inlineStr">
        <is>
          <t>A 32661-2025</t>
        </is>
      </c>
      <c r="B729" s="1" t="n">
        <v>45838.67953703704</v>
      </c>
      <c r="C729" s="1" t="n">
        <v>46003</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32301-2025</t>
        </is>
      </c>
      <c r="B730" s="1" t="n">
        <v>45835</v>
      </c>
      <c r="C730" s="1" t="n">
        <v>46003</v>
      </c>
      <c r="D730" t="inlineStr">
        <is>
          <t>DALARNAS LÄN</t>
        </is>
      </c>
      <c r="E730" t="inlineStr">
        <is>
          <t>LEKSAND</t>
        </is>
      </c>
      <c r="G730" t="n">
        <v>2.2</v>
      </c>
      <c r="H730" t="n">
        <v>0</v>
      </c>
      <c r="I730" t="n">
        <v>0</v>
      </c>
      <c r="J730" t="n">
        <v>0</v>
      </c>
      <c r="K730" t="n">
        <v>0</v>
      </c>
      <c r="L730" t="n">
        <v>0</v>
      </c>
      <c r="M730" t="n">
        <v>0</v>
      </c>
      <c r="N730" t="n">
        <v>0</v>
      </c>
      <c r="O730" t="n">
        <v>0</v>
      </c>
      <c r="P730" t="n">
        <v>0</v>
      </c>
      <c r="Q730" t="n">
        <v>0</v>
      </c>
      <c r="R730" s="2" t="inlineStr"/>
    </row>
    <row r="731" ht="15" customHeight="1">
      <c r="A731" t="inlineStr">
        <is>
          <t>A 59106-2025</t>
        </is>
      </c>
      <c r="B731" s="1" t="n">
        <v>45988.46891203704</v>
      </c>
      <c r="C731" s="1" t="n">
        <v>46003</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50704-2025</t>
        </is>
      </c>
      <c r="B732" s="1" t="n">
        <v>45946.27984953704</v>
      </c>
      <c r="C732" s="1" t="n">
        <v>46003</v>
      </c>
      <c r="D732" t="inlineStr">
        <is>
          <t>DALARNAS LÄN</t>
        </is>
      </c>
      <c r="E732" t="inlineStr">
        <is>
          <t>LEKSAND</t>
        </is>
      </c>
      <c r="G732" t="n">
        <v>2.1</v>
      </c>
      <c r="H732" t="n">
        <v>0</v>
      </c>
      <c r="I732" t="n">
        <v>0</v>
      </c>
      <c r="J732" t="n">
        <v>0</v>
      </c>
      <c r="K732" t="n">
        <v>0</v>
      </c>
      <c r="L732" t="n">
        <v>0</v>
      </c>
      <c r="M732" t="n">
        <v>0</v>
      </c>
      <c r="N732" t="n">
        <v>0</v>
      </c>
      <c r="O732" t="n">
        <v>0</v>
      </c>
      <c r="P732" t="n">
        <v>0</v>
      </c>
      <c r="Q732" t="n">
        <v>0</v>
      </c>
      <c r="R732" s="2" t="inlineStr"/>
    </row>
    <row r="733" ht="15" customHeight="1">
      <c r="A733" t="inlineStr">
        <is>
          <t>A 32653-2025</t>
        </is>
      </c>
      <c r="B733" s="1" t="n">
        <v>45838</v>
      </c>
      <c r="C733" s="1" t="n">
        <v>46003</v>
      </c>
      <c r="D733" t="inlineStr">
        <is>
          <t>DALARNAS LÄN</t>
        </is>
      </c>
      <c r="E733" t="inlineStr">
        <is>
          <t>LEKSAND</t>
        </is>
      </c>
      <c r="G733" t="n">
        <v>5.6</v>
      </c>
      <c r="H733" t="n">
        <v>0</v>
      </c>
      <c r="I733" t="n">
        <v>0</v>
      </c>
      <c r="J733" t="n">
        <v>0</v>
      </c>
      <c r="K733" t="n">
        <v>0</v>
      </c>
      <c r="L733" t="n">
        <v>0</v>
      </c>
      <c r="M733" t="n">
        <v>0</v>
      </c>
      <c r="N733" t="n">
        <v>0</v>
      </c>
      <c r="O733" t="n">
        <v>0</v>
      </c>
      <c r="P733" t="n">
        <v>0</v>
      </c>
      <c r="Q733" t="n">
        <v>0</v>
      </c>
      <c r="R733" s="2" t="inlineStr"/>
    </row>
    <row r="734" ht="15" customHeight="1">
      <c r="A734" t="inlineStr">
        <is>
          <t>A 59271-2025</t>
        </is>
      </c>
      <c r="B734" s="1" t="n">
        <v>45988.68571759259</v>
      </c>
      <c r="C734" s="1" t="n">
        <v>46003</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31945-2025</t>
        </is>
      </c>
      <c r="B735" s="1" t="n">
        <v>45835</v>
      </c>
      <c r="C735" s="1" t="n">
        <v>46003</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6028-2025</t>
        </is>
      </c>
      <c r="B736" s="1" t="n">
        <v>45695</v>
      </c>
      <c r="C736" s="1" t="n">
        <v>46003</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33160-2025</t>
        </is>
      </c>
      <c r="B737" s="1" t="n">
        <v>45840</v>
      </c>
      <c r="C737" s="1" t="n">
        <v>46003</v>
      </c>
      <c r="D737" t="inlineStr">
        <is>
          <t>DALARNAS LÄN</t>
        </is>
      </c>
      <c r="E737" t="inlineStr">
        <is>
          <t>LEKSAND</t>
        </is>
      </c>
      <c r="G737" t="n">
        <v>2.3</v>
      </c>
      <c r="H737" t="n">
        <v>0</v>
      </c>
      <c r="I737" t="n">
        <v>0</v>
      </c>
      <c r="J737" t="n">
        <v>0</v>
      </c>
      <c r="K737" t="n">
        <v>0</v>
      </c>
      <c r="L737" t="n">
        <v>0</v>
      </c>
      <c r="M737" t="n">
        <v>0</v>
      </c>
      <c r="N737" t="n">
        <v>0</v>
      </c>
      <c r="O737" t="n">
        <v>0</v>
      </c>
      <c r="P737" t="n">
        <v>0</v>
      </c>
      <c r="Q737" t="n">
        <v>0</v>
      </c>
      <c r="R737" s="2" t="inlineStr"/>
    </row>
    <row r="738" ht="15" customHeight="1">
      <c r="A738" t="inlineStr">
        <is>
          <t>A 32726-2025</t>
        </is>
      </c>
      <c r="B738" s="1" t="n">
        <v>45839.3969212963</v>
      </c>
      <c r="C738" s="1" t="n">
        <v>46003</v>
      </c>
      <c r="D738" t="inlineStr">
        <is>
          <t>DALARNAS LÄN</t>
        </is>
      </c>
      <c r="E738" t="inlineStr">
        <is>
          <t>LEKSAND</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32855-2025</t>
        </is>
      </c>
      <c r="B739" s="1" t="n">
        <v>45839.57643518518</v>
      </c>
      <c r="C739" s="1" t="n">
        <v>46003</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33804-2025</t>
        </is>
      </c>
      <c r="B740" s="1" t="n">
        <v>45842</v>
      </c>
      <c r="C740" s="1" t="n">
        <v>46003</v>
      </c>
      <c r="D740" t="inlineStr">
        <is>
          <t>DALARNAS LÄN</t>
        </is>
      </c>
      <c r="E740" t="inlineStr">
        <is>
          <t>LEKSAND</t>
        </is>
      </c>
      <c r="G740" t="n">
        <v>1.2</v>
      </c>
      <c r="H740" t="n">
        <v>0</v>
      </c>
      <c r="I740" t="n">
        <v>0</v>
      </c>
      <c r="J740" t="n">
        <v>0</v>
      </c>
      <c r="K740" t="n">
        <v>0</v>
      </c>
      <c r="L740" t="n">
        <v>0</v>
      </c>
      <c r="M740" t="n">
        <v>0</v>
      </c>
      <c r="N740" t="n">
        <v>0</v>
      </c>
      <c r="O740" t="n">
        <v>0</v>
      </c>
      <c r="P740" t="n">
        <v>0</v>
      </c>
      <c r="Q740" t="n">
        <v>0</v>
      </c>
      <c r="R740" s="2" t="inlineStr"/>
    </row>
    <row r="741" ht="15" customHeight="1">
      <c r="A741" t="inlineStr">
        <is>
          <t>A 51663-2025</t>
        </is>
      </c>
      <c r="B741" s="1" t="n">
        <v>45951</v>
      </c>
      <c r="C741" s="1" t="n">
        <v>46003</v>
      </c>
      <c r="D741" t="inlineStr">
        <is>
          <t>DALARNAS LÄN</t>
        </is>
      </c>
      <c r="E741" t="inlineStr">
        <is>
          <t>LEKSAND</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60170-2025</t>
        </is>
      </c>
      <c r="B742" s="1" t="n">
        <v>45994.44629629629</v>
      </c>
      <c r="C742" s="1" t="n">
        <v>46003</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51728-2025</t>
        </is>
      </c>
      <c r="B743" s="1" t="n">
        <v>45951</v>
      </c>
      <c r="C743" s="1" t="n">
        <v>46003</v>
      </c>
      <c r="D743" t="inlineStr">
        <is>
          <t>DALARNAS LÄN</t>
        </is>
      </c>
      <c r="E743" t="inlineStr">
        <is>
          <t>LEKSAND</t>
        </is>
      </c>
      <c r="F743" t="inlineStr">
        <is>
          <t>Bergvik skog väst AB</t>
        </is>
      </c>
      <c r="G743" t="n">
        <v>14.2</v>
      </c>
      <c r="H743" t="n">
        <v>0</v>
      </c>
      <c r="I743" t="n">
        <v>0</v>
      </c>
      <c r="J743" t="n">
        <v>0</v>
      </c>
      <c r="K743" t="n">
        <v>0</v>
      </c>
      <c r="L743" t="n">
        <v>0</v>
      </c>
      <c r="M743" t="n">
        <v>0</v>
      </c>
      <c r="N743" t="n">
        <v>0</v>
      </c>
      <c r="O743" t="n">
        <v>0</v>
      </c>
      <c r="P743" t="n">
        <v>0</v>
      </c>
      <c r="Q743" t="n">
        <v>0</v>
      </c>
      <c r="R743" s="2" t="inlineStr"/>
    </row>
    <row r="744" ht="15" customHeight="1">
      <c r="A744" t="inlineStr">
        <is>
          <t>A 34789-2025</t>
        </is>
      </c>
      <c r="B744" s="1" t="n">
        <v>45848</v>
      </c>
      <c r="C744" s="1" t="n">
        <v>46003</v>
      </c>
      <c r="D744" t="inlineStr">
        <is>
          <t>DALARNAS LÄN</t>
        </is>
      </c>
      <c r="E744" t="inlineStr">
        <is>
          <t>LEKSAND</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41896-2024</t>
        </is>
      </c>
      <c r="B745" s="1" t="n">
        <v>45561.51310185185</v>
      </c>
      <c r="C745" s="1" t="n">
        <v>46003</v>
      </c>
      <c r="D745" t="inlineStr">
        <is>
          <t>DALARNAS LÄN</t>
        </is>
      </c>
      <c r="E745" t="inlineStr">
        <is>
          <t>LEKSAND</t>
        </is>
      </c>
      <c r="F745" t="inlineStr">
        <is>
          <t>Bergvik skog väst AB</t>
        </is>
      </c>
      <c r="G745" t="n">
        <v>2.8</v>
      </c>
      <c r="H745" t="n">
        <v>0</v>
      </c>
      <c r="I745" t="n">
        <v>0</v>
      </c>
      <c r="J745" t="n">
        <v>0</v>
      </c>
      <c r="K745" t="n">
        <v>0</v>
      </c>
      <c r="L745" t="n">
        <v>0</v>
      </c>
      <c r="M745" t="n">
        <v>0</v>
      </c>
      <c r="N745" t="n">
        <v>0</v>
      </c>
      <c r="O745" t="n">
        <v>0</v>
      </c>
      <c r="P745" t="n">
        <v>0</v>
      </c>
      <c r="Q745" t="n">
        <v>0</v>
      </c>
      <c r="R745" s="2" t="inlineStr"/>
    </row>
    <row r="746" ht="15" customHeight="1">
      <c r="A746" t="inlineStr">
        <is>
          <t>A 60067-2025</t>
        </is>
      </c>
      <c r="B746" s="1" t="n">
        <v>45993.66039351852</v>
      </c>
      <c r="C746" s="1" t="n">
        <v>46003</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34537-2025</t>
        </is>
      </c>
      <c r="B747" s="1" t="n">
        <v>45847</v>
      </c>
      <c r="C747" s="1" t="n">
        <v>46003</v>
      </c>
      <c r="D747" t="inlineStr">
        <is>
          <t>DALARNAS LÄN</t>
        </is>
      </c>
      <c r="E747" t="inlineStr">
        <is>
          <t>LEKSAND</t>
        </is>
      </c>
      <c r="G747" t="n">
        <v>1</v>
      </c>
      <c r="H747" t="n">
        <v>0</v>
      </c>
      <c r="I747" t="n">
        <v>0</v>
      </c>
      <c r="J747" t="n">
        <v>0</v>
      </c>
      <c r="K747" t="n">
        <v>0</v>
      </c>
      <c r="L747" t="n">
        <v>0</v>
      </c>
      <c r="M747" t="n">
        <v>0</v>
      </c>
      <c r="N747" t="n">
        <v>0</v>
      </c>
      <c r="O747" t="n">
        <v>0</v>
      </c>
      <c r="P747" t="n">
        <v>0</v>
      </c>
      <c r="Q747" t="n">
        <v>0</v>
      </c>
      <c r="R747" s="2" t="inlineStr"/>
    </row>
    <row r="748" ht="15" customHeight="1">
      <c r="A748" t="inlineStr">
        <is>
          <t>A 59083-2025</t>
        </is>
      </c>
      <c r="B748" s="1" t="n">
        <v>45988</v>
      </c>
      <c r="C748" s="1" t="n">
        <v>46003</v>
      </c>
      <c r="D748" t="inlineStr">
        <is>
          <t>DALARNAS LÄN</t>
        </is>
      </c>
      <c r="E748" t="inlineStr">
        <is>
          <t>LEKSAND</t>
        </is>
      </c>
      <c r="F748" t="inlineStr">
        <is>
          <t>Bergvik skog väst AB</t>
        </is>
      </c>
      <c r="G748" t="n">
        <v>2.7</v>
      </c>
      <c r="H748" t="n">
        <v>0</v>
      </c>
      <c r="I748" t="n">
        <v>0</v>
      </c>
      <c r="J748" t="n">
        <v>0</v>
      </c>
      <c r="K748" t="n">
        <v>0</v>
      </c>
      <c r="L748" t="n">
        <v>0</v>
      </c>
      <c r="M748" t="n">
        <v>0</v>
      </c>
      <c r="N748" t="n">
        <v>0</v>
      </c>
      <c r="O748" t="n">
        <v>0</v>
      </c>
      <c r="P748" t="n">
        <v>0</v>
      </c>
      <c r="Q748" t="n">
        <v>0</v>
      </c>
      <c r="R748" s="2" t="inlineStr"/>
      <c r="U748">
        <f>HYPERLINK("https://klasma.github.io/Logging_2029/knärot/A 59083-2025 karta knärot.png", "A 59083-2025")</f>
        <v/>
      </c>
      <c r="V748">
        <f>HYPERLINK("https://klasma.github.io/Logging_2029/klagomål/A 59083-2025 FSC-klagomål.docx", "A 59083-2025")</f>
        <v/>
      </c>
      <c r="W748">
        <f>HYPERLINK("https://klasma.github.io/Logging_2029/klagomålsmail/A 59083-2025 FSC-klagomål mail.docx", "A 59083-2025")</f>
        <v/>
      </c>
      <c r="X748">
        <f>HYPERLINK("https://klasma.github.io/Logging_2029/tillsyn/A 59083-2025 tillsynsbegäran.docx", "A 59083-2025")</f>
        <v/>
      </c>
      <c r="Y748">
        <f>HYPERLINK("https://klasma.github.io/Logging_2029/tillsynsmail/A 59083-2025 tillsynsbegäran mail.docx", "A 59083-2025")</f>
        <v/>
      </c>
    </row>
    <row r="749" ht="15" customHeight="1">
      <c r="A749" t="inlineStr">
        <is>
          <t>A 59638-2025</t>
        </is>
      </c>
      <c r="B749" s="1" t="n">
        <v>45992.41105324074</v>
      </c>
      <c r="C749" s="1" t="n">
        <v>46003</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35094-2025</t>
        </is>
      </c>
      <c r="B750" s="1" t="n">
        <v>45852</v>
      </c>
      <c r="C750" s="1" t="n">
        <v>46003</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51768-2025</t>
        </is>
      </c>
      <c r="B751" s="1" t="n">
        <v>45951.64041666667</v>
      </c>
      <c r="C751" s="1" t="n">
        <v>46003</v>
      </c>
      <c r="D751" t="inlineStr">
        <is>
          <t>DALARNAS LÄN</t>
        </is>
      </c>
      <c r="E751" t="inlineStr">
        <is>
          <t>LEKSAND</t>
        </is>
      </c>
      <c r="G751" t="n">
        <v>1.2</v>
      </c>
      <c r="H751" t="n">
        <v>0</v>
      </c>
      <c r="I751" t="n">
        <v>0</v>
      </c>
      <c r="J751" t="n">
        <v>0</v>
      </c>
      <c r="K751" t="n">
        <v>0</v>
      </c>
      <c r="L751" t="n">
        <v>0</v>
      </c>
      <c r="M751" t="n">
        <v>0</v>
      </c>
      <c r="N751" t="n">
        <v>0</v>
      </c>
      <c r="O751" t="n">
        <v>0</v>
      </c>
      <c r="P751" t="n">
        <v>0</v>
      </c>
      <c r="Q751" t="n">
        <v>0</v>
      </c>
      <c r="R751" s="2" t="inlineStr"/>
    </row>
    <row r="752" ht="15" customHeight="1">
      <c r="A752" t="inlineStr">
        <is>
          <t>A 34965-2025</t>
        </is>
      </c>
      <c r="B752" s="1" t="n">
        <v>45849</v>
      </c>
      <c r="C752" s="1" t="n">
        <v>46003</v>
      </c>
      <c r="D752" t="inlineStr">
        <is>
          <t>DALARNAS LÄN</t>
        </is>
      </c>
      <c r="E752" t="inlineStr">
        <is>
          <t>LEKSAND</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34966-2025</t>
        </is>
      </c>
      <c r="B753" s="1" t="n">
        <v>45849</v>
      </c>
      <c r="C753" s="1" t="n">
        <v>46003</v>
      </c>
      <c r="D753" t="inlineStr">
        <is>
          <t>DALARNAS LÄN</t>
        </is>
      </c>
      <c r="E753" t="inlineStr">
        <is>
          <t>LEKSAND</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51926-2025</t>
        </is>
      </c>
      <c r="B754" s="1" t="n">
        <v>45952.49537037037</v>
      </c>
      <c r="C754" s="1" t="n">
        <v>46003</v>
      </c>
      <c r="D754" t="inlineStr">
        <is>
          <t>DALARNAS LÄN</t>
        </is>
      </c>
      <c r="E754" t="inlineStr">
        <is>
          <t>LEKSAND</t>
        </is>
      </c>
      <c r="G754" t="n">
        <v>2.3</v>
      </c>
      <c r="H754" t="n">
        <v>0</v>
      </c>
      <c r="I754" t="n">
        <v>0</v>
      </c>
      <c r="J754" t="n">
        <v>0</v>
      </c>
      <c r="K754" t="n">
        <v>0</v>
      </c>
      <c r="L754" t="n">
        <v>0</v>
      </c>
      <c r="M754" t="n">
        <v>0</v>
      </c>
      <c r="N754" t="n">
        <v>0</v>
      </c>
      <c r="O754" t="n">
        <v>0</v>
      </c>
      <c r="P754" t="n">
        <v>0</v>
      </c>
      <c r="Q754" t="n">
        <v>0</v>
      </c>
      <c r="R754" s="2" t="inlineStr"/>
    </row>
    <row r="755" ht="15" customHeight="1">
      <c r="A755" t="inlineStr">
        <is>
          <t>A 60023-2025</t>
        </is>
      </c>
      <c r="B755" s="1" t="n">
        <v>45993.60201388889</v>
      </c>
      <c r="C755" s="1" t="n">
        <v>46003</v>
      </c>
      <c r="D755" t="inlineStr">
        <is>
          <t>DALARNAS LÄN</t>
        </is>
      </c>
      <c r="E755" t="inlineStr">
        <is>
          <t>LEKSAND</t>
        </is>
      </c>
      <c r="G755" t="n">
        <v>6.5</v>
      </c>
      <c r="H755" t="n">
        <v>0</v>
      </c>
      <c r="I755" t="n">
        <v>0</v>
      </c>
      <c r="J755" t="n">
        <v>0</v>
      </c>
      <c r="K755" t="n">
        <v>0</v>
      </c>
      <c r="L755" t="n">
        <v>0</v>
      </c>
      <c r="M755" t="n">
        <v>0</v>
      </c>
      <c r="N755" t="n">
        <v>0</v>
      </c>
      <c r="O755" t="n">
        <v>0</v>
      </c>
      <c r="P755" t="n">
        <v>0</v>
      </c>
      <c r="Q755" t="n">
        <v>0</v>
      </c>
      <c r="R755" s="2" t="inlineStr"/>
    </row>
    <row r="756" ht="15" customHeight="1">
      <c r="A756" t="inlineStr">
        <is>
          <t>A 60544-2025</t>
        </is>
      </c>
      <c r="B756" s="1" t="n">
        <v>45995.68694444445</v>
      </c>
      <c r="C756" s="1" t="n">
        <v>46003</v>
      </c>
      <c r="D756" t="inlineStr">
        <is>
          <t>DALARNAS LÄN</t>
        </is>
      </c>
      <c r="E756" t="inlineStr">
        <is>
          <t>LEKSAND</t>
        </is>
      </c>
      <c r="G756" t="n">
        <v>4.4</v>
      </c>
      <c r="H756" t="n">
        <v>0</v>
      </c>
      <c r="I756" t="n">
        <v>0</v>
      </c>
      <c r="J756" t="n">
        <v>0</v>
      </c>
      <c r="K756" t="n">
        <v>0</v>
      </c>
      <c r="L756" t="n">
        <v>0</v>
      </c>
      <c r="M756" t="n">
        <v>0</v>
      </c>
      <c r="N756" t="n">
        <v>0</v>
      </c>
      <c r="O756" t="n">
        <v>0</v>
      </c>
      <c r="P756" t="n">
        <v>0</v>
      </c>
      <c r="Q756" t="n">
        <v>0</v>
      </c>
      <c r="R756" s="2" t="inlineStr"/>
    </row>
    <row r="757" ht="15" customHeight="1">
      <c r="A757" t="inlineStr">
        <is>
          <t>A 60614-2025</t>
        </is>
      </c>
      <c r="B757" s="1" t="n">
        <v>45996.36671296296</v>
      </c>
      <c r="C757" s="1" t="n">
        <v>46003</v>
      </c>
      <c r="D757" t="inlineStr">
        <is>
          <t>DALARNAS LÄN</t>
        </is>
      </c>
      <c r="E757" t="inlineStr">
        <is>
          <t>LEKSAND</t>
        </is>
      </c>
      <c r="G757" t="n">
        <v>3.4</v>
      </c>
      <c r="H757" t="n">
        <v>0</v>
      </c>
      <c r="I757" t="n">
        <v>0</v>
      </c>
      <c r="J757" t="n">
        <v>0</v>
      </c>
      <c r="K757" t="n">
        <v>0</v>
      </c>
      <c r="L757" t="n">
        <v>0</v>
      </c>
      <c r="M757" t="n">
        <v>0</v>
      </c>
      <c r="N757" t="n">
        <v>0</v>
      </c>
      <c r="O757" t="n">
        <v>0</v>
      </c>
      <c r="P757" t="n">
        <v>0</v>
      </c>
      <c r="Q757" t="n">
        <v>0</v>
      </c>
      <c r="R757" s="2" t="inlineStr"/>
    </row>
    <row r="758" ht="15" customHeight="1">
      <c r="A758" t="inlineStr">
        <is>
          <t>A 13705-2021</t>
        </is>
      </c>
      <c r="B758" s="1" t="n">
        <v>44274</v>
      </c>
      <c r="C758" s="1" t="n">
        <v>46003</v>
      </c>
      <c r="D758" t="inlineStr">
        <is>
          <t>DALARNAS LÄN</t>
        </is>
      </c>
      <c r="E758" t="inlineStr">
        <is>
          <t>LEKSAND</t>
        </is>
      </c>
      <c r="G758" t="n">
        <v>3.8</v>
      </c>
      <c r="H758" t="n">
        <v>0</v>
      </c>
      <c r="I758" t="n">
        <v>0</v>
      </c>
      <c r="J758" t="n">
        <v>0</v>
      </c>
      <c r="K758" t="n">
        <v>0</v>
      </c>
      <c r="L758" t="n">
        <v>0</v>
      </c>
      <c r="M758" t="n">
        <v>0</v>
      </c>
      <c r="N758" t="n">
        <v>0</v>
      </c>
      <c r="O758" t="n">
        <v>0</v>
      </c>
      <c r="P758" t="n">
        <v>0</v>
      </c>
      <c r="Q758" t="n">
        <v>0</v>
      </c>
      <c r="R758" s="2" t="inlineStr"/>
    </row>
    <row r="759" ht="15" customHeight="1">
      <c r="A759" t="inlineStr">
        <is>
          <t>A 35746-2025</t>
        </is>
      </c>
      <c r="B759" s="1" t="n">
        <v>45860</v>
      </c>
      <c r="C759" s="1" t="n">
        <v>46003</v>
      </c>
      <c r="D759" t="inlineStr">
        <is>
          <t>DALARNAS LÄN</t>
        </is>
      </c>
      <c r="E759" t="inlineStr">
        <is>
          <t>LEKSAND</t>
        </is>
      </c>
      <c r="G759" t="n">
        <v>1.9</v>
      </c>
      <c r="H759" t="n">
        <v>0</v>
      </c>
      <c r="I759" t="n">
        <v>0</v>
      </c>
      <c r="J759" t="n">
        <v>0</v>
      </c>
      <c r="K759" t="n">
        <v>0</v>
      </c>
      <c r="L759" t="n">
        <v>0</v>
      </c>
      <c r="M759" t="n">
        <v>0</v>
      </c>
      <c r="N759" t="n">
        <v>0</v>
      </c>
      <c r="O759" t="n">
        <v>0</v>
      </c>
      <c r="P759" t="n">
        <v>0</v>
      </c>
      <c r="Q759" t="n">
        <v>0</v>
      </c>
      <c r="R759" s="2" t="inlineStr"/>
    </row>
    <row r="760" ht="15" customHeight="1">
      <c r="A760" t="inlineStr">
        <is>
          <t>A 60338-2025</t>
        </is>
      </c>
      <c r="B760" s="1" t="n">
        <v>45993</v>
      </c>
      <c r="C760" s="1" t="n">
        <v>46003</v>
      </c>
      <c r="D760" t="inlineStr">
        <is>
          <t>DALARNAS LÄN</t>
        </is>
      </c>
      <c r="E760" t="inlineStr">
        <is>
          <t>LEKSAND</t>
        </is>
      </c>
      <c r="G760" t="n">
        <v>2.5</v>
      </c>
      <c r="H760" t="n">
        <v>0</v>
      </c>
      <c r="I760" t="n">
        <v>0</v>
      </c>
      <c r="J760" t="n">
        <v>0</v>
      </c>
      <c r="K760" t="n">
        <v>0</v>
      </c>
      <c r="L760" t="n">
        <v>0</v>
      </c>
      <c r="M760" t="n">
        <v>0</v>
      </c>
      <c r="N760" t="n">
        <v>0</v>
      </c>
      <c r="O760" t="n">
        <v>0</v>
      </c>
      <c r="P760" t="n">
        <v>0</v>
      </c>
      <c r="Q760" t="n">
        <v>0</v>
      </c>
      <c r="R760" s="2" t="inlineStr"/>
    </row>
    <row r="761" ht="15" customHeight="1">
      <c r="A761" t="inlineStr">
        <is>
          <t>A 60358-2025</t>
        </is>
      </c>
      <c r="B761" s="1" t="n">
        <v>45995.31949074074</v>
      </c>
      <c r="C761" s="1" t="n">
        <v>46003</v>
      </c>
      <c r="D761" t="inlineStr">
        <is>
          <t>DALARNAS LÄN</t>
        </is>
      </c>
      <c r="E761" t="inlineStr">
        <is>
          <t>LEKSAND</t>
        </is>
      </c>
      <c r="G761" t="n">
        <v>2.9</v>
      </c>
      <c r="H761" t="n">
        <v>0</v>
      </c>
      <c r="I761" t="n">
        <v>0</v>
      </c>
      <c r="J761" t="n">
        <v>0</v>
      </c>
      <c r="K761" t="n">
        <v>0</v>
      </c>
      <c r="L761" t="n">
        <v>0</v>
      </c>
      <c r="M761" t="n">
        <v>0</v>
      </c>
      <c r="N761" t="n">
        <v>0</v>
      </c>
      <c r="O761" t="n">
        <v>0</v>
      </c>
      <c r="P761" t="n">
        <v>0</v>
      </c>
      <c r="Q761" t="n">
        <v>0</v>
      </c>
      <c r="R761" s="2" t="inlineStr"/>
    </row>
    <row r="762" ht="15" customHeight="1">
      <c r="A762" t="inlineStr">
        <is>
          <t>A 35866-2025</t>
        </is>
      </c>
      <c r="B762" s="1" t="n">
        <v>45861</v>
      </c>
      <c r="C762" s="1" t="n">
        <v>46003</v>
      </c>
      <c r="D762" t="inlineStr">
        <is>
          <t>DALARNAS LÄN</t>
        </is>
      </c>
      <c r="E762" t="inlineStr">
        <is>
          <t>LEKSAND</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35998-2025</t>
        </is>
      </c>
      <c r="B763" s="1" t="n">
        <v>45863.51550925926</v>
      </c>
      <c r="C763" s="1" t="n">
        <v>46003</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36021-2025</t>
        </is>
      </c>
      <c r="B764" s="1" t="n">
        <v>45863.72346064815</v>
      </c>
      <c r="C764" s="1" t="n">
        <v>46003</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52671-2025</t>
        </is>
      </c>
      <c r="B765" s="1" t="n">
        <v>45955.98113425926</v>
      </c>
      <c r="C765" s="1" t="n">
        <v>46003</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36020-2025</t>
        </is>
      </c>
      <c r="B766" s="1" t="n">
        <v>45863</v>
      </c>
      <c r="C766" s="1" t="n">
        <v>46003</v>
      </c>
      <c r="D766" t="inlineStr">
        <is>
          <t>DALARNAS LÄN</t>
        </is>
      </c>
      <c r="E766" t="inlineStr">
        <is>
          <t>LEKSAND</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36017-2025</t>
        </is>
      </c>
      <c r="B767" s="1" t="n">
        <v>45863</v>
      </c>
      <c r="C767" s="1" t="n">
        <v>46003</v>
      </c>
      <c r="D767" t="inlineStr">
        <is>
          <t>DALARNAS LÄN</t>
        </is>
      </c>
      <c r="E767" t="inlineStr">
        <is>
          <t>LEKSAND</t>
        </is>
      </c>
      <c r="F767" t="inlineStr">
        <is>
          <t>Bergvik skog väst AB</t>
        </is>
      </c>
      <c r="G767" t="n">
        <v>17.9</v>
      </c>
      <c r="H767" t="n">
        <v>0</v>
      </c>
      <c r="I767" t="n">
        <v>0</v>
      </c>
      <c r="J767" t="n">
        <v>0</v>
      </c>
      <c r="K767" t="n">
        <v>0</v>
      </c>
      <c r="L767" t="n">
        <v>0</v>
      </c>
      <c r="M767" t="n">
        <v>0</v>
      </c>
      <c r="N767" t="n">
        <v>0</v>
      </c>
      <c r="O767" t="n">
        <v>0</v>
      </c>
      <c r="P767" t="n">
        <v>0</v>
      </c>
      <c r="Q767" t="n">
        <v>0</v>
      </c>
      <c r="R767" s="2" t="inlineStr"/>
    </row>
    <row r="768" ht="15" customHeight="1">
      <c r="A768" t="inlineStr">
        <is>
          <t>A 36190-2025</t>
        </is>
      </c>
      <c r="B768" s="1" t="n">
        <v>45867</v>
      </c>
      <c r="C768" s="1" t="n">
        <v>46003</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53190-2025</t>
        </is>
      </c>
      <c r="B769" s="1" t="n">
        <v>45958.56283564815</v>
      </c>
      <c r="C769" s="1" t="n">
        <v>46003</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36540-2025</t>
        </is>
      </c>
      <c r="B770" s="1" t="n">
        <v>45869.63885416667</v>
      </c>
      <c r="C770" s="1" t="n">
        <v>46003</v>
      </c>
      <c r="D770" t="inlineStr">
        <is>
          <t>DALARNAS LÄN</t>
        </is>
      </c>
      <c r="E770" t="inlineStr">
        <is>
          <t>LEKSAND</t>
        </is>
      </c>
      <c r="G770" t="n">
        <v>0.6</v>
      </c>
      <c r="H770" t="n">
        <v>0</v>
      </c>
      <c r="I770" t="n">
        <v>0</v>
      </c>
      <c r="J770" t="n">
        <v>0</v>
      </c>
      <c r="K770" t="n">
        <v>0</v>
      </c>
      <c r="L770" t="n">
        <v>0</v>
      </c>
      <c r="M770" t="n">
        <v>0</v>
      </c>
      <c r="N770" t="n">
        <v>0</v>
      </c>
      <c r="O770" t="n">
        <v>0</v>
      </c>
      <c r="P770" t="n">
        <v>0</v>
      </c>
      <c r="Q770" t="n">
        <v>0</v>
      </c>
      <c r="R770" s="2" t="inlineStr"/>
    </row>
    <row r="771" ht="15" customHeight="1">
      <c r="A771" t="inlineStr">
        <is>
          <t>A 53041-2025</t>
        </is>
      </c>
      <c r="B771" s="1" t="n">
        <v>45958.35487268519</v>
      </c>
      <c r="C771" s="1" t="n">
        <v>46003</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164-2023</t>
        </is>
      </c>
      <c r="B772" s="1" t="n">
        <v>44918</v>
      </c>
      <c r="C772" s="1" t="n">
        <v>46003</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53243-2025</t>
        </is>
      </c>
      <c r="B773" s="1" t="n">
        <v>45958.6442824074</v>
      </c>
      <c r="C773" s="1" t="n">
        <v>46003</v>
      </c>
      <c r="D773" t="inlineStr">
        <is>
          <t>DALARNAS LÄN</t>
        </is>
      </c>
      <c r="E773" t="inlineStr">
        <is>
          <t>LEKSAND</t>
        </is>
      </c>
      <c r="G773" t="n">
        <v>1.3</v>
      </c>
      <c r="H773" t="n">
        <v>0</v>
      </c>
      <c r="I773" t="n">
        <v>0</v>
      </c>
      <c r="J773" t="n">
        <v>0</v>
      </c>
      <c r="K773" t="n">
        <v>0</v>
      </c>
      <c r="L773" t="n">
        <v>0</v>
      </c>
      <c r="M773" t="n">
        <v>0</v>
      </c>
      <c r="N773" t="n">
        <v>0</v>
      </c>
      <c r="O773" t="n">
        <v>0</v>
      </c>
      <c r="P773" t="n">
        <v>0</v>
      </c>
      <c r="Q773" t="n">
        <v>0</v>
      </c>
      <c r="R773" s="2" t="inlineStr"/>
    </row>
    <row r="774" ht="15" customHeight="1">
      <c r="A774" t="inlineStr">
        <is>
          <t>A 51677-2024</t>
        </is>
      </c>
      <c r="B774" s="1" t="n">
        <v>45607.30265046296</v>
      </c>
      <c r="C774" s="1" t="n">
        <v>46003</v>
      </c>
      <c r="D774" t="inlineStr">
        <is>
          <t>DALARNAS LÄN</t>
        </is>
      </c>
      <c r="E774" t="inlineStr">
        <is>
          <t>LEKSAND</t>
        </is>
      </c>
      <c r="G774" t="n">
        <v>3.4</v>
      </c>
      <c r="H774" t="n">
        <v>0</v>
      </c>
      <c r="I774" t="n">
        <v>0</v>
      </c>
      <c r="J774" t="n">
        <v>0</v>
      </c>
      <c r="K774" t="n">
        <v>0</v>
      </c>
      <c r="L774" t="n">
        <v>0</v>
      </c>
      <c r="M774" t="n">
        <v>0</v>
      </c>
      <c r="N774" t="n">
        <v>0</v>
      </c>
      <c r="O774" t="n">
        <v>0</v>
      </c>
      <c r="P774" t="n">
        <v>0</v>
      </c>
      <c r="Q774" t="n">
        <v>0</v>
      </c>
      <c r="R774" s="2" t="inlineStr"/>
    </row>
    <row r="775" ht="15" customHeight="1">
      <c r="A775" t="inlineStr">
        <is>
          <t>A 53438-2025</t>
        </is>
      </c>
      <c r="B775" s="1" t="n">
        <v>45959.63711805556</v>
      </c>
      <c r="C775" s="1" t="n">
        <v>46003</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61684-2025</t>
        </is>
      </c>
      <c r="B776" s="1" t="n">
        <v>46002.49790509259</v>
      </c>
      <c r="C776" s="1" t="n">
        <v>46003</v>
      </c>
      <c r="D776" t="inlineStr">
        <is>
          <t>DALARNAS LÄN</t>
        </is>
      </c>
      <c r="E776" t="inlineStr">
        <is>
          <t>LEKSAND</t>
        </is>
      </c>
      <c r="G776" t="n">
        <v>2.4</v>
      </c>
      <c r="H776" t="n">
        <v>0</v>
      </c>
      <c r="I776" t="n">
        <v>0</v>
      </c>
      <c r="J776" t="n">
        <v>0</v>
      </c>
      <c r="K776" t="n">
        <v>0</v>
      </c>
      <c r="L776" t="n">
        <v>0</v>
      </c>
      <c r="M776" t="n">
        <v>0</v>
      </c>
      <c r="N776" t="n">
        <v>0</v>
      </c>
      <c r="O776" t="n">
        <v>0</v>
      </c>
      <c r="P776" t="n">
        <v>0</v>
      </c>
      <c r="Q776" t="n">
        <v>0</v>
      </c>
      <c r="R776" s="2" t="inlineStr"/>
    </row>
    <row r="777" ht="15" customHeight="1">
      <c r="A777" t="inlineStr">
        <is>
          <t>A 37508-2025</t>
        </is>
      </c>
      <c r="B777" s="1" t="n">
        <v>45877.66282407408</v>
      </c>
      <c r="C777" s="1" t="n">
        <v>46003</v>
      </c>
      <c r="D777" t="inlineStr">
        <is>
          <t>DALARNAS LÄN</t>
        </is>
      </c>
      <c r="E777" t="inlineStr">
        <is>
          <t>LEKSAND</t>
        </is>
      </c>
      <c r="G777" t="n">
        <v>1.3</v>
      </c>
      <c r="H777" t="n">
        <v>0</v>
      </c>
      <c r="I777" t="n">
        <v>0</v>
      </c>
      <c r="J777" t="n">
        <v>0</v>
      </c>
      <c r="K777" t="n">
        <v>0</v>
      </c>
      <c r="L777" t="n">
        <v>0</v>
      </c>
      <c r="M777" t="n">
        <v>0</v>
      </c>
      <c r="N777" t="n">
        <v>0</v>
      </c>
      <c r="O777" t="n">
        <v>0</v>
      </c>
      <c r="P777" t="n">
        <v>0</v>
      </c>
      <c r="Q777" t="n">
        <v>0</v>
      </c>
      <c r="R777" s="2" t="inlineStr"/>
    </row>
    <row r="778" ht="15" customHeight="1">
      <c r="A778" t="inlineStr">
        <is>
          <t>A 53619-2025</t>
        </is>
      </c>
      <c r="B778" s="1" t="n">
        <v>45960</v>
      </c>
      <c r="C778" s="1" t="n">
        <v>46003</v>
      </c>
      <c r="D778" t="inlineStr">
        <is>
          <t>DALARNAS LÄN</t>
        </is>
      </c>
      <c r="E778" t="inlineStr">
        <is>
          <t>LEKSAND</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41934-2025</t>
        </is>
      </c>
      <c r="B779" s="1" t="n">
        <v>45903</v>
      </c>
      <c r="C779" s="1" t="n">
        <v>46003</v>
      </c>
      <c r="D779" t="inlineStr">
        <is>
          <t>DALARNAS LÄN</t>
        </is>
      </c>
      <c r="E779" t="inlineStr">
        <is>
          <t>LEKSAND</t>
        </is>
      </c>
      <c r="F779" t="inlineStr">
        <is>
          <t>Bergvik skog väst AB</t>
        </is>
      </c>
      <c r="G779" t="n">
        <v>3</v>
      </c>
      <c r="H779" t="n">
        <v>0</v>
      </c>
      <c r="I779" t="n">
        <v>0</v>
      </c>
      <c r="J779" t="n">
        <v>0</v>
      </c>
      <c r="K779" t="n">
        <v>0</v>
      </c>
      <c r="L779" t="n">
        <v>0</v>
      </c>
      <c r="M779" t="n">
        <v>0</v>
      </c>
      <c r="N779" t="n">
        <v>0</v>
      </c>
      <c r="O779" t="n">
        <v>0</v>
      </c>
      <c r="P779" t="n">
        <v>0</v>
      </c>
      <c r="Q779" t="n">
        <v>0</v>
      </c>
      <c r="R779" s="2" t="inlineStr"/>
    </row>
    <row r="780" ht="15" customHeight="1">
      <c r="A780" t="inlineStr">
        <is>
          <t>A 61491-2025</t>
        </is>
      </c>
      <c r="B780" s="1" t="n">
        <v>46001.63854166667</v>
      </c>
      <c r="C780" s="1" t="n">
        <v>46003</v>
      </c>
      <c r="D780" t="inlineStr">
        <is>
          <t>DALARNAS LÄN</t>
        </is>
      </c>
      <c r="E780" t="inlineStr">
        <is>
          <t>LEKSAND</t>
        </is>
      </c>
      <c r="G780" t="n">
        <v>1.8</v>
      </c>
      <c r="H780" t="n">
        <v>0</v>
      </c>
      <c r="I780" t="n">
        <v>0</v>
      </c>
      <c r="J780" t="n">
        <v>0</v>
      </c>
      <c r="K780" t="n">
        <v>0</v>
      </c>
      <c r="L780" t="n">
        <v>0</v>
      </c>
      <c r="M780" t="n">
        <v>0</v>
      </c>
      <c r="N780" t="n">
        <v>0</v>
      </c>
      <c r="O780" t="n">
        <v>0</v>
      </c>
      <c r="P780" t="n">
        <v>0</v>
      </c>
      <c r="Q780" t="n">
        <v>0</v>
      </c>
      <c r="R780" s="2" t="inlineStr"/>
    </row>
    <row r="781" ht="15" customHeight="1">
      <c r="A781" t="inlineStr">
        <is>
          <t>A 54677-2025</t>
        </is>
      </c>
      <c r="B781" s="1" t="n">
        <v>45966</v>
      </c>
      <c r="C781" s="1" t="n">
        <v>46003</v>
      </c>
      <c r="D781" t="inlineStr">
        <is>
          <t>DALARNAS LÄN</t>
        </is>
      </c>
      <c r="E781" t="inlineStr">
        <is>
          <t>LEKSAND</t>
        </is>
      </c>
      <c r="G781" t="n">
        <v>0.5</v>
      </c>
      <c r="H781" t="n">
        <v>0</v>
      </c>
      <c r="I781" t="n">
        <v>0</v>
      </c>
      <c r="J781" t="n">
        <v>0</v>
      </c>
      <c r="K781" t="n">
        <v>0</v>
      </c>
      <c r="L781" t="n">
        <v>0</v>
      </c>
      <c r="M781" t="n">
        <v>0</v>
      </c>
      <c r="N781" t="n">
        <v>0</v>
      </c>
      <c r="O781" t="n">
        <v>0</v>
      </c>
      <c r="P781" t="n">
        <v>0</v>
      </c>
      <c r="Q781" t="n">
        <v>0</v>
      </c>
      <c r="R781" s="2" t="inlineStr"/>
    </row>
    <row r="782" ht="15" customHeight="1">
      <c r="A782" t="inlineStr">
        <is>
          <t>A 53718-2025</t>
        </is>
      </c>
      <c r="B782" s="1" t="n">
        <v>45960.61840277778</v>
      </c>
      <c r="C782" s="1" t="n">
        <v>46003</v>
      </c>
      <c r="D782" t="inlineStr">
        <is>
          <t>DALARNAS LÄN</t>
        </is>
      </c>
      <c r="E782" t="inlineStr">
        <is>
          <t>LEKSAND</t>
        </is>
      </c>
      <c r="G782" t="n">
        <v>7.5</v>
      </c>
      <c r="H782" t="n">
        <v>0</v>
      </c>
      <c r="I782" t="n">
        <v>0</v>
      </c>
      <c r="J782" t="n">
        <v>0</v>
      </c>
      <c r="K782" t="n">
        <v>0</v>
      </c>
      <c r="L782" t="n">
        <v>0</v>
      </c>
      <c r="M782" t="n">
        <v>0</v>
      </c>
      <c r="N782" t="n">
        <v>0</v>
      </c>
      <c r="O782" t="n">
        <v>0</v>
      </c>
      <c r="P782" t="n">
        <v>0</v>
      </c>
      <c r="Q782" t="n">
        <v>0</v>
      </c>
      <c r="R782" s="2" t="inlineStr"/>
    </row>
    <row r="783">
      <c r="A783" t="inlineStr">
        <is>
          <t>A 37996-2025</t>
        </is>
      </c>
      <c r="B783" s="1" t="n">
        <v>45881.8299537037</v>
      </c>
      <c r="C783" s="1" t="n">
        <v>46003</v>
      </c>
      <c r="D783" t="inlineStr">
        <is>
          <t>DALARNAS LÄN</t>
        </is>
      </c>
      <c r="E783" t="inlineStr">
        <is>
          <t>LEKSAND</t>
        </is>
      </c>
      <c r="G783" t="n">
        <v>4.2</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2025-12-12T10:31:10Z</dcterms:created>
  <dcterms:modified xmlns:dcterms="http://purl.org/dc/terms/" xmlns:xsi="http://www.w3.org/2001/XMLSchema-instance" xsi:type="dcterms:W3CDTF">2025-12-12T10:31:10Z</dcterms:modified>
</cp:coreProperties>
</file>