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45757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45757</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45757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45757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45757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45757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45757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45757</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45757</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45757</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45757</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45757</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45757</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45757</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45757</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45757</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45757</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45757</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45757</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45757</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45757</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45757</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45757</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45757</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45757</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45757</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45757</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45757</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45757</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45757</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45757</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45757</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45757</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45757</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45757</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45757</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45757</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45757</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45757</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45757</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45757</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45757</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45757</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45757</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45757</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45757</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45757</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45757</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45757</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45757</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45757</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45757</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45757</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45757</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45757</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45757</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45757</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45757</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45757</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45757</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45757</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45757</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45757</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45757</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16735-2025</t>
        </is>
      </c>
      <c r="B66" s="1" t="n">
        <v>45754</v>
      </c>
      <c r="C66" s="1" t="n">
        <v>45757</v>
      </c>
      <c r="D66" t="inlineStr">
        <is>
          <t>DALARNAS LÄN</t>
        </is>
      </c>
      <c r="E66" t="inlineStr">
        <is>
          <t>LEKSAND</t>
        </is>
      </c>
      <c r="G66" t="n">
        <v>1.8</v>
      </c>
      <c r="H66" t="n">
        <v>1</v>
      </c>
      <c r="I66" t="n">
        <v>0</v>
      </c>
      <c r="J66" t="n">
        <v>0</v>
      </c>
      <c r="K66" t="n">
        <v>0</v>
      </c>
      <c r="L66" t="n">
        <v>0</v>
      </c>
      <c r="M66" t="n">
        <v>0</v>
      </c>
      <c r="N66" t="n">
        <v>0</v>
      </c>
      <c r="O66" t="n">
        <v>0</v>
      </c>
      <c r="P66" t="n">
        <v>0</v>
      </c>
      <c r="Q66" t="n">
        <v>1</v>
      </c>
      <c r="R66" s="2" t="inlineStr">
        <is>
          <t>Gröngöling</t>
        </is>
      </c>
      <c r="S66">
        <f>HYPERLINK("https://klasma.github.io/Logging_202029/artfynd/A 16735-2025 artfynd.xlsx", "A 16735-2025")</f>
        <v/>
      </c>
      <c r="T66">
        <f>HYPERLINK("https://klasma.github.io/Logging_202029/kartor/A 16735-2025 karta.png", "A 16735-2025")</f>
        <v/>
      </c>
      <c r="V66">
        <f>HYPERLINK("https://klasma.github.io/Logging_202029/klagomål/A 16735-2025 FSC-klagomål.docx", "A 16735-2025")</f>
        <v/>
      </c>
      <c r="W66">
        <f>HYPERLINK("https://klasma.github.io/Logging_202029/klagomålsmail/A 16735-2025 FSC-klagomål mail.docx", "A 16735-2025")</f>
        <v/>
      </c>
      <c r="X66">
        <f>HYPERLINK("https://klasma.github.io/Logging_202029/tillsyn/A 16735-2025 tillsynsbegäran.docx", "A 16735-2025")</f>
        <v/>
      </c>
      <c r="Y66">
        <f>HYPERLINK("https://klasma.github.io/Logging_202029/tillsynsmail/A 16735-2025 tillsynsbegäran mail.docx", "A 16735-2025")</f>
        <v/>
      </c>
      <c r="Z66">
        <f>HYPERLINK("https://klasma.github.io/Logging_202029/fåglar/A 16735-2025 prioriterade fågelarter.docx", "A 16735-2025")</f>
        <v/>
      </c>
    </row>
    <row r="67" ht="15" customHeight="1">
      <c r="A67" t="inlineStr">
        <is>
          <t>A 17822-2019</t>
        </is>
      </c>
      <c r="B67" s="1" t="n">
        <v>43556</v>
      </c>
      <c r="C67" s="1" t="n">
        <v>45757</v>
      </c>
      <c r="D67" t="inlineStr">
        <is>
          <t>DALARNAS LÄN</t>
        </is>
      </c>
      <c r="E67" t="inlineStr">
        <is>
          <t>LEKSAND</t>
        </is>
      </c>
      <c r="G67" t="n">
        <v>0.8</v>
      </c>
      <c r="H67" t="n">
        <v>0</v>
      </c>
      <c r="I67" t="n">
        <v>0</v>
      </c>
      <c r="J67" t="n">
        <v>0</v>
      </c>
      <c r="K67" t="n">
        <v>0</v>
      </c>
      <c r="L67" t="n">
        <v>0</v>
      </c>
      <c r="M67" t="n">
        <v>0</v>
      </c>
      <c r="N67" t="n">
        <v>0</v>
      </c>
      <c r="O67" t="n">
        <v>0</v>
      </c>
      <c r="P67" t="n">
        <v>0</v>
      </c>
      <c r="Q67" t="n">
        <v>0</v>
      </c>
      <c r="R67" s="2" t="inlineStr"/>
    </row>
    <row r="68" ht="15" customHeight="1">
      <c r="A68" t="inlineStr">
        <is>
          <t>A 17967-2019</t>
        </is>
      </c>
      <c r="B68" s="1" t="n">
        <v>43557</v>
      </c>
      <c r="C68" s="1" t="n">
        <v>45757</v>
      </c>
      <c r="D68" t="inlineStr">
        <is>
          <t>DALARNAS LÄN</t>
        </is>
      </c>
      <c r="E68" t="inlineStr">
        <is>
          <t>LEKSAND</t>
        </is>
      </c>
      <c r="G68" t="n">
        <v>0.6</v>
      </c>
      <c r="H68" t="n">
        <v>0</v>
      </c>
      <c r="I68" t="n">
        <v>0</v>
      </c>
      <c r="J68" t="n">
        <v>0</v>
      </c>
      <c r="K68" t="n">
        <v>0</v>
      </c>
      <c r="L68" t="n">
        <v>0</v>
      </c>
      <c r="M68" t="n">
        <v>0</v>
      </c>
      <c r="N68" t="n">
        <v>0</v>
      </c>
      <c r="O68" t="n">
        <v>0</v>
      </c>
      <c r="P68" t="n">
        <v>0</v>
      </c>
      <c r="Q68" t="n">
        <v>0</v>
      </c>
      <c r="R68" s="2" t="inlineStr"/>
    </row>
    <row r="69" ht="15" customHeight="1">
      <c r="A69" t="inlineStr">
        <is>
          <t>A 17970-2019</t>
        </is>
      </c>
      <c r="B69" s="1" t="n">
        <v>43557</v>
      </c>
      <c r="C69" s="1" t="n">
        <v>45757</v>
      </c>
      <c r="D69" t="inlineStr">
        <is>
          <t>DALARNAS LÄN</t>
        </is>
      </c>
      <c r="E69" t="inlineStr">
        <is>
          <t>LEKSAND</t>
        </is>
      </c>
      <c r="G69" t="n">
        <v>2.5</v>
      </c>
      <c r="H69" t="n">
        <v>0</v>
      </c>
      <c r="I69" t="n">
        <v>0</v>
      </c>
      <c r="J69" t="n">
        <v>0</v>
      </c>
      <c r="K69" t="n">
        <v>0</v>
      </c>
      <c r="L69" t="n">
        <v>0</v>
      </c>
      <c r="M69" t="n">
        <v>0</v>
      </c>
      <c r="N69" t="n">
        <v>0</v>
      </c>
      <c r="O69" t="n">
        <v>0</v>
      </c>
      <c r="P69" t="n">
        <v>0</v>
      </c>
      <c r="Q69" t="n">
        <v>0</v>
      </c>
      <c r="R69" s="2" t="inlineStr"/>
    </row>
    <row r="70" ht="15" customHeight="1">
      <c r="A70" t="inlineStr">
        <is>
          <t>A 18238-2019</t>
        </is>
      </c>
      <c r="B70" s="1" t="n">
        <v>43558</v>
      </c>
      <c r="C70" s="1" t="n">
        <v>45757</v>
      </c>
      <c r="D70" t="inlineStr">
        <is>
          <t>DALARNAS LÄN</t>
        </is>
      </c>
      <c r="E70" t="inlineStr">
        <is>
          <t>LEKSAND</t>
        </is>
      </c>
      <c r="G70" t="n">
        <v>3.3</v>
      </c>
      <c r="H70" t="n">
        <v>0</v>
      </c>
      <c r="I70" t="n">
        <v>0</v>
      </c>
      <c r="J70" t="n">
        <v>0</v>
      </c>
      <c r="K70" t="n">
        <v>0</v>
      </c>
      <c r="L70" t="n">
        <v>0</v>
      </c>
      <c r="M70" t="n">
        <v>0</v>
      </c>
      <c r="N70" t="n">
        <v>0</v>
      </c>
      <c r="O70" t="n">
        <v>0</v>
      </c>
      <c r="P70" t="n">
        <v>0</v>
      </c>
      <c r="Q70" t="n">
        <v>0</v>
      </c>
      <c r="R70" s="2" t="inlineStr"/>
    </row>
    <row r="71" ht="15" customHeight="1">
      <c r="A71" t="inlineStr">
        <is>
          <t>A 19703-2019</t>
        </is>
      </c>
      <c r="B71" s="1" t="n">
        <v>43566</v>
      </c>
      <c r="C71" s="1" t="n">
        <v>45757</v>
      </c>
      <c r="D71" t="inlineStr">
        <is>
          <t>DALARNAS LÄN</t>
        </is>
      </c>
      <c r="E71" t="inlineStr">
        <is>
          <t>LEKSAND</t>
        </is>
      </c>
      <c r="G71" t="n">
        <v>0.4</v>
      </c>
      <c r="H71" t="n">
        <v>0</v>
      </c>
      <c r="I71" t="n">
        <v>0</v>
      </c>
      <c r="J71" t="n">
        <v>0</v>
      </c>
      <c r="K71" t="n">
        <v>0</v>
      </c>
      <c r="L71" t="n">
        <v>0</v>
      </c>
      <c r="M71" t="n">
        <v>0</v>
      </c>
      <c r="N71" t="n">
        <v>0</v>
      </c>
      <c r="O71" t="n">
        <v>0</v>
      </c>
      <c r="P71" t="n">
        <v>0</v>
      </c>
      <c r="Q71" t="n">
        <v>0</v>
      </c>
      <c r="R71" s="2" t="inlineStr"/>
    </row>
    <row r="72" ht="15" customHeight="1">
      <c r="A72" t="inlineStr">
        <is>
          <t>A 19790-2019</t>
        </is>
      </c>
      <c r="B72" s="1" t="n">
        <v>43566</v>
      </c>
      <c r="C72" s="1" t="n">
        <v>45757</v>
      </c>
      <c r="D72" t="inlineStr">
        <is>
          <t>DALARNAS LÄN</t>
        </is>
      </c>
      <c r="E72" t="inlineStr">
        <is>
          <t>LEKSAND</t>
        </is>
      </c>
      <c r="G72" t="n">
        <v>11.4</v>
      </c>
      <c r="H72" t="n">
        <v>0</v>
      </c>
      <c r="I72" t="n">
        <v>0</v>
      </c>
      <c r="J72" t="n">
        <v>0</v>
      </c>
      <c r="K72" t="n">
        <v>0</v>
      </c>
      <c r="L72" t="n">
        <v>0</v>
      </c>
      <c r="M72" t="n">
        <v>0</v>
      </c>
      <c r="N72" t="n">
        <v>0</v>
      </c>
      <c r="O72" t="n">
        <v>0</v>
      </c>
      <c r="P72" t="n">
        <v>0</v>
      </c>
      <c r="Q72" t="n">
        <v>0</v>
      </c>
      <c r="R72" s="2" t="inlineStr"/>
    </row>
    <row r="73" ht="15" customHeight="1">
      <c r="A73" t="inlineStr">
        <is>
          <t>A 22975-2019</t>
        </is>
      </c>
      <c r="B73" s="1" t="n">
        <v>43591</v>
      </c>
      <c r="C73" s="1" t="n">
        <v>45757</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24300-2019</t>
        </is>
      </c>
      <c r="B74" s="1" t="n">
        <v>43598</v>
      </c>
      <c r="C74" s="1" t="n">
        <v>45757</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24051-2019</t>
        </is>
      </c>
      <c r="B75" s="1" t="n">
        <v>43598</v>
      </c>
      <c r="C75" s="1" t="n">
        <v>45757</v>
      </c>
      <c r="D75" t="inlineStr">
        <is>
          <t>DALARNAS LÄN</t>
        </is>
      </c>
      <c r="E75" t="inlineStr">
        <is>
          <t>LEKSAND</t>
        </is>
      </c>
      <c r="G75" t="n">
        <v>5.4</v>
      </c>
      <c r="H75" t="n">
        <v>0</v>
      </c>
      <c r="I75" t="n">
        <v>0</v>
      </c>
      <c r="J75" t="n">
        <v>0</v>
      </c>
      <c r="K75" t="n">
        <v>0</v>
      </c>
      <c r="L75" t="n">
        <v>0</v>
      </c>
      <c r="M75" t="n">
        <v>0</v>
      </c>
      <c r="N75" t="n">
        <v>0</v>
      </c>
      <c r="O75" t="n">
        <v>0</v>
      </c>
      <c r="P75" t="n">
        <v>0</v>
      </c>
      <c r="Q75" t="n">
        <v>0</v>
      </c>
      <c r="R75" s="2" t="inlineStr"/>
    </row>
    <row r="76" ht="15" customHeight="1">
      <c r="A76" t="inlineStr">
        <is>
          <t>A 24542-2019</t>
        </is>
      </c>
      <c r="B76" s="1" t="n">
        <v>43600</v>
      </c>
      <c r="C76" s="1" t="n">
        <v>45757</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32532-2019</t>
        </is>
      </c>
      <c r="B77" s="1" t="n">
        <v>43646</v>
      </c>
      <c r="C77" s="1" t="n">
        <v>45757</v>
      </c>
      <c r="D77" t="inlineStr">
        <is>
          <t>DALARNAS LÄN</t>
        </is>
      </c>
      <c r="E77" t="inlineStr">
        <is>
          <t>LEKSAND</t>
        </is>
      </c>
      <c r="G77" t="n">
        <v>3.1</v>
      </c>
      <c r="H77" t="n">
        <v>0</v>
      </c>
      <c r="I77" t="n">
        <v>0</v>
      </c>
      <c r="J77" t="n">
        <v>0</v>
      </c>
      <c r="K77" t="n">
        <v>0</v>
      </c>
      <c r="L77" t="n">
        <v>0</v>
      </c>
      <c r="M77" t="n">
        <v>0</v>
      </c>
      <c r="N77" t="n">
        <v>0</v>
      </c>
      <c r="O77" t="n">
        <v>0</v>
      </c>
      <c r="P77" t="n">
        <v>0</v>
      </c>
      <c r="Q77" t="n">
        <v>0</v>
      </c>
      <c r="R77" s="2" t="inlineStr"/>
    </row>
    <row r="78" ht="15" customHeight="1">
      <c r="A78" t="inlineStr">
        <is>
          <t>A 33903-2019</t>
        </is>
      </c>
      <c r="B78" s="1" t="n">
        <v>43654</v>
      </c>
      <c r="C78" s="1" t="n">
        <v>45757</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36014-2019</t>
        </is>
      </c>
      <c r="B79" s="1" t="n">
        <v>43657</v>
      </c>
      <c r="C79" s="1" t="n">
        <v>45757</v>
      </c>
      <c r="D79" t="inlineStr">
        <is>
          <t>DALARNAS LÄN</t>
        </is>
      </c>
      <c r="E79" t="inlineStr">
        <is>
          <t>LEKSAND</t>
        </is>
      </c>
      <c r="G79" t="n">
        <v>1.8</v>
      </c>
      <c r="H79" t="n">
        <v>0</v>
      </c>
      <c r="I79" t="n">
        <v>0</v>
      </c>
      <c r="J79" t="n">
        <v>0</v>
      </c>
      <c r="K79" t="n">
        <v>0</v>
      </c>
      <c r="L79" t="n">
        <v>0</v>
      </c>
      <c r="M79" t="n">
        <v>0</v>
      </c>
      <c r="N79" t="n">
        <v>0</v>
      </c>
      <c r="O79" t="n">
        <v>0</v>
      </c>
      <c r="P79" t="n">
        <v>0</v>
      </c>
      <c r="Q79" t="n">
        <v>0</v>
      </c>
      <c r="R79" s="2" t="inlineStr"/>
    </row>
    <row r="80" ht="15" customHeight="1">
      <c r="A80" t="inlineStr">
        <is>
          <t>A 36023-2019</t>
        </is>
      </c>
      <c r="B80" s="1" t="n">
        <v>43657</v>
      </c>
      <c r="C80" s="1" t="n">
        <v>45757</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36287-2019</t>
        </is>
      </c>
      <c r="B81" s="1" t="n">
        <v>43669</v>
      </c>
      <c r="C81" s="1" t="n">
        <v>45757</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37733-2019</t>
        </is>
      </c>
      <c r="B82" s="1" t="n">
        <v>43682</v>
      </c>
      <c r="C82" s="1" t="n">
        <v>45757</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37822-2019</t>
        </is>
      </c>
      <c r="B83" s="1" t="n">
        <v>43682</v>
      </c>
      <c r="C83" s="1" t="n">
        <v>45757</v>
      </c>
      <c r="D83" t="inlineStr">
        <is>
          <t>DALARNAS LÄN</t>
        </is>
      </c>
      <c r="E83" t="inlineStr">
        <is>
          <t>LEKSAND</t>
        </is>
      </c>
      <c r="G83" t="n">
        <v>8.9</v>
      </c>
      <c r="H83" t="n">
        <v>0</v>
      </c>
      <c r="I83" t="n">
        <v>0</v>
      </c>
      <c r="J83" t="n">
        <v>0</v>
      </c>
      <c r="K83" t="n">
        <v>0</v>
      </c>
      <c r="L83" t="n">
        <v>0</v>
      </c>
      <c r="M83" t="n">
        <v>0</v>
      </c>
      <c r="N83" t="n">
        <v>0</v>
      </c>
      <c r="O83" t="n">
        <v>0</v>
      </c>
      <c r="P83" t="n">
        <v>0</v>
      </c>
      <c r="Q83" t="n">
        <v>0</v>
      </c>
      <c r="R83" s="2" t="inlineStr"/>
    </row>
    <row r="84" ht="15" customHeight="1">
      <c r="A84" t="inlineStr">
        <is>
          <t>A 38350-2019</t>
        </is>
      </c>
      <c r="B84" s="1" t="n">
        <v>43685</v>
      </c>
      <c r="C84" s="1" t="n">
        <v>45757</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39025-2019</t>
        </is>
      </c>
      <c r="B85" s="1" t="n">
        <v>43689</v>
      </c>
      <c r="C85" s="1" t="n">
        <v>45757</v>
      </c>
      <c r="D85" t="inlineStr">
        <is>
          <t>DALARNAS LÄN</t>
        </is>
      </c>
      <c r="E85" t="inlineStr">
        <is>
          <t>LEKSAND</t>
        </is>
      </c>
      <c r="F85" t="inlineStr">
        <is>
          <t>Bergvik skog väst AB</t>
        </is>
      </c>
      <c r="G85" t="n">
        <v>10.1</v>
      </c>
      <c r="H85" t="n">
        <v>0</v>
      </c>
      <c r="I85" t="n">
        <v>0</v>
      </c>
      <c r="J85" t="n">
        <v>0</v>
      </c>
      <c r="K85" t="n">
        <v>0</v>
      </c>
      <c r="L85" t="n">
        <v>0</v>
      </c>
      <c r="M85" t="n">
        <v>0</v>
      </c>
      <c r="N85" t="n">
        <v>0</v>
      </c>
      <c r="O85" t="n">
        <v>0</v>
      </c>
      <c r="P85" t="n">
        <v>0</v>
      </c>
      <c r="Q85" t="n">
        <v>0</v>
      </c>
      <c r="R85" s="2" t="inlineStr"/>
    </row>
    <row r="86" ht="15" customHeight="1">
      <c r="A86" t="inlineStr">
        <is>
          <t>A 41329-2019</t>
        </is>
      </c>
      <c r="B86" s="1" t="n">
        <v>43698</v>
      </c>
      <c r="C86" s="1" t="n">
        <v>45757</v>
      </c>
      <c r="D86" t="inlineStr">
        <is>
          <t>DALARNAS LÄN</t>
        </is>
      </c>
      <c r="E86" t="inlineStr">
        <is>
          <t>LEKSAND</t>
        </is>
      </c>
      <c r="G86" t="n">
        <v>2</v>
      </c>
      <c r="H86" t="n">
        <v>0</v>
      </c>
      <c r="I86" t="n">
        <v>0</v>
      </c>
      <c r="J86" t="n">
        <v>0</v>
      </c>
      <c r="K86" t="n">
        <v>0</v>
      </c>
      <c r="L86" t="n">
        <v>0</v>
      </c>
      <c r="M86" t="n">
        <v>0</v>
      </c>
      <c r="N86" t="n">
        <v>0</v>
      </c>
      <c r="O86" t="n">
        <v>0</v>
      </c>
      <c r="P86" t="n">
        <v>0</v>
      </c>
      <c r="Q86" t="n">
        <v>0</v>
      </c>
      <c r="R86" s="2" t="inlineStr"/>
    </row>
    <row r="87" ht="15" customHeight="1">
      <c r="A87" t="inlineStr">
        <is>
          <t>A 43082-2019</t>
        </is>
      </c>
      <c r="B87" s="1" t="n">
        <v>43705</v>
      </c>
      <c r="C87" s="1" t="n">
        <v>45757</v>
      </c>
      <c r="D87" t="inlineStr">
        <is>
          <t>DALARNAS LÄN</t>
        </is>
      </c>
      <c r="E87" t="inlineStr">
        <is>
          <t>LEKSAND</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43887-2019</t>
        </is>
      </c>
      <c r="B88" s="1" t="n">
        <v>43707</v>
      </c>
      <c r="C88" s="1" t="n">
        <v>45757</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43884-2019</t>
        </is>
      </c>
      <c r="B89" s="1" t="n">
        <v>43707</v>
      </c>
      <c r="C89" s="1" t="n">
        <v>45757</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44058-2019</t>
        </is>
      </c>
      <c r="B90" s="1" t="n">
        <v>43710</v>
      </c>
      <c r="C90" s="1" t="n">
        <v>45757</v>
      </c>
      <c r="D90" t="inlineStr">
        <is>
          <t>DALARNAS LÄN</t>
        </is>
      </c>
      <c r="E90" t="inlineStr">
        <is>
          <t>LEKSAND</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45526-2019</t>
        </is>
      </c>
      <c r="B91" s="1" t="n">
        <v>43714</v>
      </c>
      <c r="C91" s="1" t="n">
        <v>45757</v>
      </c>
      <c r="D91" t="inlineStr">
        <is>
          <t>DALARNAS LÄN</t>
        </is>
      </c>
      <c r="E91" t="inlineStr">
        <is>
          <t>LEKSAND</t>
        </is>
      </c>
      <c r="F91" t="inlineStr">
        <is>
          <t>Bergvik skog väst AB</t>
        </is>
      </c>
      <c r="G91" t="n">
        <v>5.9</v>
      </c>
      <c r="H91" t="n">
        <v>0</v>
      </c>
      <c r="I91" t="n">
        <v>0</v>
      </c>
      <c r="J91" t="n">
        <v>0</v>
      </c>
      <c r="K91" t="n">
        <v>0</v>
      </c>
      <c r="L91" t="n">
        <v>0</v>
      </c>
      <c r="M91" t="n">
        <v>0</v>
      </c>
      <c r="N91" t="n">
        <v>0</v>
      </c>
      <c r="O91" t="n">
        <v>0</v>
      </c>
      <c r="P91" t="n">
        <v>0</v>
      </c>
      <c r="Q91" t="n">
        <v>0</v>
      </c>
      <c r="R91" s="2" t="inlineStr"/>
    </row>
    <row r="92" ht="15" customHeight="1">
      <c r="A92" t="inlineStr">
        <is>
          <t>A 45572-2019</t>
        </is>
      </c>
      <c r="B92" s="1" t="n">
        <v>43716</v>
      </c>
      <c r="C92" s="1" t="n">
        <v>45757</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46739-2019</t>
        </is>
      </c>
      <c r="B93" s="1" t="n">
        <v>43719</v>
      </c>
      <c r="C93" s="1" t="n">
        <v>45757</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46740-2019</t>
        </is>
      </c>
      <c r="B94" s="1" t="n">
        <v>43719</v>
      </c>
      <c r="C94" s="1" t="n">
        <v>45757</v>
      </c>
      <c r="D94" t="inlineStr">
        <is>
          <t>DALARNAS LÄN</t>
        </is>
      </c>
      <c r="E94" t="inlineStr">
        <is>
          <t>LEKSAND</t>
        </is>
      </c>
      <c r="G94" t="n">
        <v>0.3</v>
      </c>
      <c r="H94" t="n">
        <v>0</v>
      </c>
      <c r="I94" t="n">
        <v>0</v>
      </c>
      <c r="J94" t="n">
        <v>0</v>
      </c>
      <c r="K94" t="n">
        <v>0</v>
      </c>
      <c r="L94" t="n">
        <v>0</v>
      </c>
      <c r="M94" t="n">
        <v>0</v>
      </c>
      <c r="N94" t="n">
        <v>0</v>
      </c>
      <c r="O94" t="n">
        <v>0</v>
      </c>
      <c r="P94" t="n">
        <v>0</v>
      </c>
      <c r="Q94" t="n">
        <v>0</v>
      </c>
      <c r="R94" s="2" t="inlineStr"/>
    </row>
    <row r="95" ht="15" customHeight="1">
      <c r="A95" t="inlineStr">
        <is>
          <t>A 47532-2019</t>
        </is>
      </c>
      <c r="B95" s="1" t="n">
        <v>43724</v>
      </c>
      <c r="C95" s="1" t="n">
        <v>45757</v>
      </c>
      <c r="D95" t="inlineStr">
        <is>
          <t>DALARNAS LÄN</t>
        </is>
      </c>
      <c r="E95" t="inlineStr">
        <is>
          <t>LEKSAND</t>
        </is>
      </c>
      <c r="G95" t="n">
        <v>2.3</v>
      </c>
      <c r="H95" t="n">
        <v>0</v>
      </c>
      <c r="I95" t="n">
        <v>0</v>
      </c>
      <c r="J95" t="n">
        <v>0</v>
      </c>
      <c r="K95" t="n">
        <v>0</v>
      </c>
      <c r="L95" t="n">
        <v>0</v>
      </c>
      <c r="M95" t="n">
        <v>0</v>
      </c>
      <c r="N95" t="n">
        <v>0</v>
      </c>
      <c r="O95" t="n">
        <v>0</v>
      </c>
      <c r="P95" t="n">
        <v>0</v>
      </c>
      <c r="Q95" t="n">
        <v>0</v>
      </c>
      <c r="R95" s="2" t="inlineStr"/>
    </row>
    <row r="96" ht="15" customHeight="1">
      <c r="A96" t="inlineStr">
        <is>
          <t>A 49132-2019</t>
        </is>
      </c>
      <c r="B96" s="1" t="n">
        <v>43728</v>
      </c>
      <c r="C96" s="1" t="n">
        <v>45757</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51390-2019</t>
        </is>
      </c>
      <c r="B97" s="1" t="n">
        <v>43733</v>
      </c>
      <c r="C97" s="1" t="n">
        <v>45757</v>
      </c>
      <c r="D97" t="inlineStr">
        <is>
          <t>DALARNAS LÄN</t>
        </is>
      </c>
      <c r="E97" t="inlineStr">
        <is>
          <t>LEKSAND</t>
        </is>
      </c>
      <c r="G97" t="n">
        <v>4.7</v>
      </c>
      <c r="H97" t="n">
        <v>0</v>
      </c>
      <c r="I97" t="n">
        <v>0</v>
      </c>
      <c r="J97" t="n">
        <v>0</v>
      </c>
      <c r="K97" t="n">
        <v>0</v>
      </c>
      <c r="L97" t="n">
        <v>0</v>
      </c>
      <c r="M97" t="n">
        <v>0</v>
      </c>
      <c r="N97" t="n">
        <v>0</v>
      </c>
      <c r="O97" t="n">
        <v>0</v>
      </c>
      <c r="P97" t="n">
        <v>0</v>
      </c>
      <c r="Q97" t="n">
        <v>0</v>
      </c>
      <c r="R97" s="2" t="inlineStr"/>
    </row>
    <row r="98" ht="15" customHeight="1">
      <c r="A98" t="inlineStr">
        <is>
          <t>A 50532-2019</t>
        </is>
      </c>
      <c r="B98" s="1" t="n">
        <v>43735</v>
      </c>
      <c r="C98" s="1" t="n">
        <v>45757</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52130-2019</t>
        </is>
      </c>
      <c r="B99" s="1" t="n">
        <v>43735</v>
      </c>
      <c r="C99" s="1" t="n">
        <v>45757</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52827-2019</t>
        </is>
      </c>
      <c r="B100" s="1" t="n">
        <v>43746</v>
      </c>
      <c r="C100" s="1" t="n">
        <v>45757</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52957-2019</t>
        </is>
      </c>
      <c r="B101" s="1" t="n">
        <v>43747</v>
      </c>
      <c r="C101" s="1" t="n">
        <v>45757</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53553-2019</t>
        </is>
      </c>
      <c r="B102" s="1" t="n">
        <v>43749</v>
      </c>
      <c r="C102" s="1" t="n">
        <v>45757</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56844-2019</t>
        </is>
      </c>
      <c r="B103" s="1" t="n">
        <v>43765</v>
      </c>
      <c r="C103" s="1" t="n">
        <v>45757</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57221-2019</t>
        </is>
      </c>
      <c r="B104" s="1" t="n">
        <v>43767</v>
      </c>
      <c r="C104" s="1" t="n">
        <v>45757</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58237-2019</t>
        </is>
      </c>
      <c r="B105" s="1" t="n">
        <v>43770</v>
      </c>
      <c r="C105" s="1" t="n">
        <v>45757</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59714-2019</t>
        </is>
      </c>
      <c r="B106" s="1" t="n">
        <v>43776</v>
      </c>
      <c r="C106" s="1" t="n">
        <v>45757</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59721-2019</t>
        </is>
      </c>
      <c r="B107" s="1" t="n">
        <v>43776</v>
      </c>
      <c r="C107" s="1" t="n">
        <v>45757</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60809-2019</t>
        </is>
      </c>
      <c r="B108" s="1" t="n">
        <v>43780</v>
      </c>
      <c r="C108" s="1" t="n">
        <v>45757</v>
      </c>
      <c r="D108" t="inlineStr">
        <is>
          <t>DALARNAS LÄN</t>
        </is>
      </c>
      <c r="E108" t="inlineStr">
        <is>
          <t>LEKSAND</t>
        </is>
      </c>
      <c r="G108" t="n">
        <v>1.9</v>
      </c>
      <c r="H108" t="n">
        <v>0</v>
      </c>
      <c r="I108" t="n">
        <v>0</v>
      </c>
      <c r="J108" t="n">
        <v>0</v>
      </c>
      <c r="K108" t="n">
        <v>0</v>
      </c>
      <c r="L108" t="n">
        <v>0</v>
      </c>
      <c r="M108" t="n">
        <v>0</v>
      </c>
      <c r="N108" t="n">
        <v>0</v>
      </c>
      <c r="O108" t="n">
        <v>0</v>
      </c>
      <c r="P108" t="n">
        <v>0</v>
      </c>
      <c r="Q108" t="n">
        <v>0</v>
      </c>
      <c r="R108" s="2" t="inlineStr"/>
    </row>
    <row r="109" ht="15" customHeight="1">
      <c r="A109" t="inlineStr">
        <is>
          <t>A 61111-2019</t>
        </is>
      </c>
      <c r="B109" s="1" t="n">
        <v>43782</v>
      </c>
      <c r="C109" s="1" t="n">
        <v>45757</v>
      </c>
      <c r="D109" t="inlineStr">
        <is>
          <t>DALARNAS LÄN</t>
        </is>
      </c>
      <c r="E109" t="inlineStr">
        <is>
          <t>LEKSAND</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61113-2019</t>
        </is>
      </c>
      <c r="B110" s="1" t="n">
        <v>43782</v>
      </c>
      <c r="C110" s="1" t="n">
        <v>45757</v>
      </c>
      <c r="D110" t="inlineStr">
        <is>
          <t>DALARNAS LÄN</t>
        </is>
      </c>
      <c r="E110" t="inlineStr">
        <is>
          <t>LEKSAND</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64635-2019</t>
        </is>
      </c>
      <c r="B111" s="1" t="n">
        <v>43794</v>
      </c>
      <c r="C111" s="1" t="n">
        <v>45757</v>
      </c>
      <c r="D111" t="inlineStr">
        <is>
          <t>DALARNAS LÄN</t>
        </is>
      </c>
      <c r="E111" t="inlineStr">
        <is>
          <t>LEKSAND</t>
        </is>
      </c>
      <c r="G111" t="n">
        <v>5.4</v>
      </c>
      <c r="H111" t="n">
        <v>0</v>
      </c>
      <c r="I111" t="n">
        <v>0</v>
      </c>
      <c r="J111" t="n">
        <v>0</v>
      </c>
      <c r="K111" t="n">
        <v>0</v>
      </c>
      <c r="L111" t="n">
        <v>0</v>
      </c>
      <c r="M111" t="n">
        <v>0</v>
      </c>
      <c r="N111" t="n">
        <v>0</v>
      </c>
      <c r="O111" t="n">
        <v>0</v>
      </c>
      <c r="P111" t="n">
        <v>0</v>
      </c>
      <c r="Q111" t="n">
        <v>0</v>
      </c>
      <c r="R111" s="2" t="inlineStr"/>
    </row>
    <row r="112" ht="15" customHeight="1">
      <c r="A112" t="inlineStr">
        <is>
          <t>A 66288-2019</t>
        </is>
      </c>
      <c r="B112" s="1" t="n">
        <v>43808</v>
      </c>
      <c r="C112" s="1" t="n">
        <v>45757</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66822-2019</t>
        </is>
      </c>
      <c r="B113" s="1" t="n">
        <v>43810</v>
      </c>
      <c r="C113" s="1" t="n">
        <v>45757</v>
      </c>
      <c r="D113" t="inlineStr">
        <is>
          <t>DALARNAS LÄN</t>
        </is>
      </c>
      <c r="E113" t="inlineStr">
        <is>
          <t>LEKSAND</t>
        </is>
      </c>
      <c r="G113" t="n">
        <v>5.2</v>
      </c>
      <c r="H113" t="n">
        <v>0</v>
      </c>
      <c r="I113" t="n">
        <v>0</v>
      </c>
      <c r="J113" t="n">
        <v>0</v>
      </c>
      <c r="K113" t="n">
        <v>0</v>
      </c>
      <c r="L113" t="n">
        <v>0</v>
      </c>
      <c r="M113" t="n">
        <v>0</v>
      </c>
      <c r="N113" t="n">
        <v>0</v>
      </c>
      <c r="O113" t="n">
        <v>0</v>
      </c>
      <c r="P113" t="n">
        <v>0</v>
      </c>
      <c r="Q113" t="n">
        <v>0</v>
      </c>
      <c r="R113" s="2" t="inlineStr"/>
    </row>
    <row r="114" ht="15" customHeight="1">
      <c r="A114" t="inlineStr">
        <is>
          <t>A 67123-2019</t>
        </is>
      </c>
      <c r="B114" s="1" t="n">
        <v>43811</v>
      </c>
      <c r="C114" s="1" t="n">
        <v>45757</v>
      </c>
      <c r="D114" t="inlineStr">
        <is>
          <t>DALARNAS LÄN</t>
        </is>
      </c>
      <c r="E114" t="inlineStr">
        <is>
          <t>LEKSAND</t>
        </is>
      </c>
      <c r="G114" t="n">
        <v>2.1</v>
      </c>
      <c r="H114" t="n">
        <v>0</v>
      </c>
      <c r="I114" t="n">
        <v>0</v>
      </c>
      <c r="J114" t="n">
        <v>0</v>
      </c>
      <c r="K114" t="n">
        <v>0</v>
      </c>
      <c r="L114" t="n">
        <v>0</v>
      </c>
      <c r="M114" t="n">
        <v>0</v>
      </c>
      <c r="N114" t="n">
        <v>0</v>
      </c>
      <c r="O114" t="n">
        <v>0</v>
      </c>
      <c r="P114" t="n">
        <v>0</v>
      </c>
      <c r="Q114" t="n">
        <v>0</v>
      </c>
      <c r="R114" s="2" t="inlineStr"/>
    </row>
    <row r="115" ht="15" customHeight="1">
      <c r="A115" t="inlineStr">
        <is>
          <t>A 68808-2019</t>
        </is>
      </c>
      <c r="B115" s="1" t="n">
        <v>43815</v>
      </c>
      <c r="C115" s="1" t="n">
        <v>45757</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1604-2020</t>
        </is>
      </c>
      <c r="B116" s="1" t="n">
        <v>43829</v>
      </c>
      <c r="C116" s="1" t="n">
        <v>45757</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1915-2020</t>
        </is>
      </c>
      <c r="B117" s="1" t="n">
        <v>43837</v>
      </c>
      <c r="C117" s="1" t="n">
        <v>45757</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1778-2020</t>
        </is>
      </c>
      <c r="B118" s="1" t="n">
        <v>43844</v>
      </c>
      <c r="C118" s="1" t="n">
        <v>45757</v>
      </c>
      <c r="D118" t="inlineStr">
        <is>
          <t>DALARNAS LÄN</t>
        </is>
      </c>
      <c r="E118" t="inlineStr">
        <is>
          <t>LEKSAND</t>
        </is>
      </c>
      <c r="G118" t="n">
        <v>1.3</v>
      </c>
      <c r="H118" t="n">
        <v>0</v>
      </c>
      <c r="I118" t="n">
        <v>0</v>
      </c>
      <c r="J118" t="n">
        <v>0</v>
      </c>
      <c r="K118" t="n">
        <v>0</v>
      </c>
      <c r="L118" t="n">
        <v>0</v>
      </c>
      <c r="M118" t="n">
        <v>0</v>
      </c>
      <c r="N118" t="n">
        <v>0</v>
      </c>
      <c r="O118" t="n">
        <v>0</v>
      </c>
      <c r="P118" t="n">
        <v>0</v>
      </c>
      <c r="Q118" t="n">
        <v>0</v>
      </c>
      <c r="R118" s="2" t="inlineStr"/>
    </row>
    <row r="119" ht="15" customHeight="1">
      <c r="A119" t="inlineStr">
        <is>
          <t>A 2670-2020</t>
        </is>
      </c>
      <c r="B119" s="1" t="n">
        <v>43849</v>
      </c>
      <c r="C119" s="1" t="n">
        <v>45757</v>
      </c>
      <c r="D119" t="inlineStr">
        <is>
          <t>DALARNAS LÄN</t>
        </is>
      </c>
      <c r="E119" t="inlineStr">
        <is>
          <t>LEKSAND</t>
        </is>
      </c>
      <c r="G119" t="n">
        <v>2.4</v>
      </c>
      <c r="H119" t="n">
        <v>0</v>
      </c>
      <c r="I119" t="n">
        <v>0</v>
      </c>
      <c r="J119" t="n">
        <v>0</v>
      </c>
      <c r="K119" t="n">
        <v>0</v>
      </c>
      <c r="L119" t="n">
        <v>0</v>
      </c>
      <c r="M119" t="n">
        <v>0</v>
      </c>
      <c r="N119" t="n">
        <v>0</v>
      </c>
      <c r="O119" t="n">
        <v>0</v>
      </c>
      <c r="P119" t="n">
        <v>0</v>
      </c>
      <c r="Q119" t="n">
        <v>0</v>
      </c>
      <c r="R119" s="2" t="inlineStr"/>
    </row>
    <row r="120" ht="15" customHeight="1">
      <c r="A120" t="inlineStr">
        <is>
          <t>A 4479-2020</t>
        </is>
      </c>
      <c r="B120" s="1" t="n">
        <v>43850</v>
      </c>
      <c r="C120" s="1" t="n">
        <v>45757</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4004-2020</t>
        </is>
      </c>
      <c r="B121" s="1" t="n">
        <v>43856</v>
      </c>
      <c r="C121" s="1" t="n">
        <v>45757</v>
      </c>
      <c r="D121" t="inlineStr">
        <is>
          <t>DALARNAS LÄN</t>
        </is>
      </c>
      <c r="E121" t="inlineStr">
        <is>
          <t>LEKSAND</t>
        </is>
      </c>
      <c r="G121" t="n">
        <v>6</v>
      </c>
      <c r="H121" t="n">
        <v>0</v>
      </c>
      <c r="I121" t="n">
        <v>0</v>
      </c>
      <c r="J121" t="n">
        <v>0</v>
      </c>
      <c r="K121" t="n">
        <v>0</v>
      </c>
      <c r="L121" t="n">
        <v>0</v>
      </c>
      <c r="M121" t="n">
        <v>0</v>
      </c>
      <c r="N121" t="n">
        <v>0</v>
      </c>
      <c r="O121" t="n">
        <v>0</v>
      </c>
      <c r="P121" t="n">
        <v>0</v>
      </c>
      <c r="Q121" t="n">
        <v>0</v>
      </c>
      <c r="R121" s="2" t="inlineStr"/>
    </row>
    <row r="122" ht="15" customHeight="1">
      <c r="A122" t="inlineStr">
        <is>
          <t>A 6002-2020</t>
        </is>
      </c>
      <c r="B122" s="1" t="n">
        <v>43864</v>
      </c>
      <c r="C122" s="1" t="n">
        <v>45757</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6017-2020</t>
        </is>
      </c>
      <c r="B123" s="1" t="n">
        <v>43864</v>
      </c>
      <c r="C123" s="1" t="n">
        <v>45757</v>
      </c>
      <c r="D123" t="inlineStr">
        <is>
          <t>DALARNAS LÄN</t>
        </is>
      </c>
      <c r="E123" t="inlineStr">
        <is>
          <t>LEKSAND</t>
        </is>
      </c>
      <c r="G123" t="n">
        <v>2.6</v>
      </c>
      <c r="H123" t="n">
        <v>0</v>
      </c>
      <c r="I123" t="n">
        <v>0</v>
      </c>
      <c r="J123" t="n">
        <v>0</v>
      </c>
      <c r="K123" t="n">
        <v>0</v>
      </c>
      <c r="L123" t="n">
        <v>0</v>
      </c>
      <c r="M123" t="n">
        <v>0</v>
      </c>
      <c r="N123" t="n">
        <v>0</v>
      </c>
      <c r="O123" t="n">
        <v>0</v>
      </c>
      <c r="P123" t="n">
        <v>0</v>
      </c>
      <c r="Q123" t="n">
        <v>0</v>
      </c>
      <c r="R123" s="2" t="inlineStr"/>
    </row>
    <row r="124" ht="15" customHeight="1">
      <c r="A124" t="inlineStr">
        <is>
          <t>A 6751-2020</t>
        </is>
      </c>
      <c r="B124" s="1" t="n">
        <v>43866</v>
      </c>
      <c r="C124" s="1" t="n">
        <v>45757</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7351-2020</t>
        </is>
      </c>
      <c r="B125" s="1" t="n">
        <v>43871</v>
      </c>
      <c r="C125" s="1" t="n">
        <v>45757</v>
      </c>
      <c r="D125" t="inlineStr">
        <is>
          <t>DALARNAS LÄN</t>
        </is>
      </c>
      <c r="E125" t="inlineStr">
        <is>
          <t>LEKSAND</t>
        </is>
      </c>
      <c r="F125" t="inlineStr">
        <is>
          <t>Bergvik skog väst AB</t>
        </is>
      </c>
      <c r="G125" t="n">
        <v>5.4</v>
      </c>
      <c r="H125" t="n">
        <v>0</v>
      </c>
      <c r="I125" t="n">
        <v>0</v>
      </c>
      <c r="J125" t="n">
        <v>0</v>
      </c>
      <c r="K125" t="n">
        <v>0</v>
      </c>
      <c r="L125" t="n">
        <v>0</v>
      </c>
      <c r="M125" t="n">
        <v>0</v>
      </c>
      <c r="N125" t="n">
        <v>0</v>
      </c>
      <c r="O125" t="n">
        <v>0</v>
      </c>
      <c r="P125" t="n">
        <v>0</v>
      </c>
      <c r="Q125" t="n">
        <v>0</v>
      </c>
      <c r="R125" s="2" t="inlineStr"/>
    </row>
    <row r="126" ht="15" customHeight="1">
      <c r="A126" t="inlineStr">
        <is>
          <t>A 7868-2020</t>
        </is>
      </c>
      <c r="B126" s="1" t="n">
        <v>43873</v>
      </c>
      <c r="C126" s="1" t="n">
        <v>45757</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9710-2020</t>
        </is>
      </c>
      <c r="B127" s="1" t="n">
        <v>43881</v>
      </c>
      <c r="C127" s="1" t="n">
        <v>45757</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11372-2020</t>
        </is>
      </c>
      <c r="B128" s="1" t="n">
        <v>43892</v>
      </c>
      <c r="C128" s="1" t="n">
        <v>45757</v>
      </c>
      <c r="D128" t="inlineStr">
        <is>
          <t>DALARNAS LÄN</t>
        </is>
      </c>
      <c r="E128" t="inlineStr">
        <is>
          <t>LEKSAND</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12176-2020</t>
        </is>
      </c>
      <c r="B129" s="1" t="n">
        <v>43895</v>
      </c>
      <c r="C129" s="1" t="n">
        <v>45757</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12247-2020</t>
        </is>
      </c>
      <c r="B130" s="1" t="n">
        <v>43895</v>
      </c>
      <c r="C130" s="1" t="n">
        <v>45757</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13340-2020</t>
        </is>
      </c>
      <c r="B131" s="1" t="n">
        <v>43902</v>
      </c>
      <c r="C131" s="1" t="n">
        <v>45757</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13356-2020</t>
        </is>
      </c>
      <c r="B132" s="1" t="n">
        <v>43902</v>
      </c>
      <c r="C132" s="1" t="n">
        <v>45757</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13352-2020</t>
        </is>
      </c>
      <c r="B133" s="1" t="n">
        <v>43902</v>
      </c>
      <c r="C133" s="1" t="n">
        <v>45757</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15165-2020</t>
        </is>
      </c>
      <c r="B134" s="1" t="n">
        <v>43912</v>
      </c>
      <c r="C134" s="1" t="n">
        <v>45757</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16288-2020</t>
        </is>
      </c>
      <c r="B135" s="1" t="n">
        <v>43917</v>
      </c>
      <c r="C135" s="1" t="n">
        <v>45757</v>
      </c>
      <c r="D135" t="inlineStr">
        <is>
          <t>DALARNAS LÄN</t>
        </is>
      </c>
      <c r="E135" t="inlineStr">
        <is>
          <t>LEKSAND</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18803-2020</t>
        </is>
      </c>
      <c r="B136" s="1" t="n">
        <v>43933</v>
      </c>
      <c r="C136" s="1" t="n">
        <v>45757</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19361-2020</t>
        </is>
      </c>
      <c r="B137" s="1" t="n">
        <v>43938</v>
      </c>
      <c r="C137" s="1" t="n">
        <v>45757</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21141-2020</t>
        </is>
      </c>
      <c r="B138" s="1" t="n">
        <v>43951</v>
      </c>
      <c r="C138" s="1" t="n">
        <v>45757</v>
      </c>
      <c r="D138" t="inlineStr">
        <is>
          <t>DALARNAS LÄN</t>
        </is>
      </c>
      <c r="E138" t="inlineStr">
        <is>
          <t>LEKSAND</t>
        </is>
      </c>
      <c r="F138" t="inlineStr">
        <is>
          <t>Bergvik skog väst AB</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22718-2020</t>
        </is>
      </c>
      <c r="B139" s="1" t="n">
        <v>43964</v>
      </c>
      <c r="C139" s="1" t="n">
        <v>45757</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24207-2020</t>
        </is>
      </c>
      <c r="B140" s="1" t="n">
        <v>43973</v>
      </c>
      <c r="C140" s="1" t="n">
        <v>45757</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25156-2020</t>
        </is>
      </c>
      <c r="B141" s="1" t="n">
        <v>43978</v>
      </c>
      <c r="C141" s="1" t="n">
        <v>45757</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25720-2020</t>
        </is>
      </c>
      <c r="B142" s="1" t="n">
        <v>43984</v>
      </c>
      <c r="C142" s="1" t="n">
        <v>45757</v>
      </c>
      <c r="D142" t="inlineStr">
        <is>
          <t>DALARNAS LÄN</t>
        </is>
      </c>
      <c r="E142" t="inlineStr">
        <is>
          <t>LEKSAND</t>
        </is>
      </c>
      <c r="G142" t="n">
        <v>3.5</v>
      </c>
      <c r="H142" t="n">
        <v>0</v>
      </c>
      <c r="I142" t="n">
        <v>0</v>
      </c>
      <c r="J142" t="n">
        <v>0</v>
      </c>
      <c r="K142" t="n">
        <v>0</v>
      </c>
      <c r="L142" t="n">
        <v>0</v>
      </c>
      <c r="M142" t="n">
        <v>0</v>
      </c>
      <c r="N142" t="n">
        <v>0</v>
      </c>
      <c r="O142" t="n">
        <v>0</v>
      </c>
      <c r="P142" t="n">
        <v>0</v>
      </c>
      <c r="Q142" t="n">
        <v>0</v>
      </c>
      <c r="R142" s="2" t="inlineStr"/>
    </row>
    <row r="143" ht="15" customHeight="1">
      <c r="A143" t="inlineStr">
        <is>
          <t>A 25989-2020</t>
        </is>
      </c>
      <c r="B143" s="1" t="n">
        <v>43985</v>
      </c>
      <c r="C143" s="1" t="n">
        <v>45757</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26456-2020</t>
        </is>
      </c>
      <c r="B144" s="1" t="n">
        <v>43986</v>
      </c>
      <c r="C144" s="1" t="n">
        <v>45757</v>
      </c>
      <c r="D144" t="inlineStr">
        <is>
          <t>DALARNAS LÄN</t>
        </is>
      </c>
      <c r="E144" t="inlineStr">
        <is>
          <t>LEKSAND</t>
        </is>
      </c>
      <c r="G144" t="n">
        <v>2.9</v>
      </c>
      <c r="H144" t="n">
        <v>0</v>
      </c>
      <c r="I144" t="n">
        <v>0</v>
      </c>
      <c r="J144" t="n">
        <v>0</v>
      </c>
      <c r="K144" t="n">
        <v>0</v>
      </c>
      <c r="L144" t="n">
        <v>0</v>
      </c>
      <c r="M144" t="n">
        <v>0</v>
      </c>
      <c r="N144" t="n">
        <v>0</v>
      </c>
      <c r="O144" t="n">
        <v>0</v>
      </c>
      <c r="P144" t="n">
        <v>0</v>
      </c>
      <c r="Q144" t="n">
        <v>0</v>
      </c>
      <c r="R144" s="2" t="inlineStr"/>
    </row>
    <row r="145" ht="15" customHeight="1">
      <c r="A145" t="inlineStr">
        <is>
          <t>A 26560-2020</t>
        </is>
      </c>
      <c r="B145" s="1" t="n">
        <v>43987</v>
      </c>
      <c r="C145" s="1" t="n">
        <v>45757</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28161-2020</t>
        </is>
      </c>
      <c r="B146" s="1" t="n">
        <v>43997</v>
      </c>
      <c r="C146" s="1" t="n">
        <v>45757</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28796-2020</t>
        </is>
      </c>
      <c r="B147" s="1" t="n">
        <v>44000</v>
      </c>
      <c r="C147" s="1" t="n">
        <v>45757</v>
      </c>
      <c r="D147" t="inlineStr">
        <is>
          <t>DALARNAS LÄN</t>
        </is>
      </c>
      <c r="E147" t="inlineStr">
        <is>
          <t>LEKSAND</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29089-2020</t>
        </is>
      </c>
      <c r="B148" s="1" t="n">
        <v>44002</v>
      </c>
      <c r="C148" s="1" t="n">
        <v>45757</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29088-2020</t>
        </is>
      </c>
      <c r="B149" s="1" t="n">
        <v>44002</v>
      </c>
      <c r="C149" s="1" t="n">
        <v>45757</v>
      </c>
      <c r="D149" t="inlineStr">
        <is>
          <t>DALARNAS LÄN</t>
        </is>
      </c>
      <c r="E149" t="inlineStr">
        <is>
          <t>LEKSAND</t>
        </is>
      </c>
      <c r="G149" t="n">
        <v>0.6</v>
      </c>
      <c r="H149" t="n">
        <v>0</v>
      </c>
      <c r="I149" t="n">
        <v>0</v>
      </c>
      <c r="J149" t="n">
        <v>0</v>
      </c>
      <c r="K149" t="n">
        <v>0</v>
      </c>
      <c r="L149" t="n">
        <v>0</v>
      </c>
      <c r="M149" t="n">
        <v>0</v>
      </c>
      <c r="N149" t="n">
        <v>0</v>
      </c>
      <c r="O149" t="n">
        <v>0</v>
      </c>
      <c r="P149" t="n">
        <v>0</v>
      </c>
      <c r="Q149" t="n">
        <v>0</v>
      </c>
      <c r="R149" s="2" t="inlineStr"/>
    </row>
    <row r="150" ht="15" customHeight="1">
      <c r="A150" t="inlineStr">
        <is>
          <t>A 29672-2020</t>
        </is>
      </c>
      <c r="B150" s="1" t="n">
        <v>44005</v>
      </c>
      <c r="C150" s="1" t="n">
        <v>45757</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31629-2020</t>
        </is>
      </c>
      <c r="B151" s="1" t="n">
        <v>44013</v>
      </c>
      <c r="C151" s="1" t="n">
        <v>45757</v>
      </c>
      <c r="D151" t="inlineStr">
        <is>
          <t>DALARNAS LÄN</t>
        </is>
      </c>
      <c r="E151" t="inlineStr">
        <is>
          <t>LEKSAND</t>
        </is>
      </c>
      <c r="G151" t="n">
        <v>5.4</v>
      </c>
      <c r="H151" t="n">
        <v>0</v>
      </c>
      <c r="I151" t="n">
        <v>0</v>
      </c>
      <c r="J151" t="n">
        <v>0</v>
      </c>
      <c r="K151" t="n">
        <v>0</v>
      </c>
      <c r="L151" t="n">
        <v>0</v>
      </c>
      <c r="M151" t="n">
        <v>0</v>
      </c>
      <c r="N151" t="n">
        <v>0</v>
      </c>
      <c r="O151" t="n">
        <v>0</v>
      </c>
      <c r="P151" t="n">
        <v>0</v>
      </c>
      <c r="Q151" t="n">
        <v>0</v>
      </c>
      <c r="R151" s="2" t="inlineStr"/>
    </row>
    <row r="152" ht="15" customHeight="1">
      <c r="A152" t="inlineStr">
        <is>
          <t>A 37568-2020</t>
        </is>
      </c>
      <c r="B152" s="1" t="n">
        <v>44056</v>
      </c>
      <c r="C152" s="1" t="n">
        <v>45757</v>
      </c>
      <c r="D152" t="inlineStr">
        <is>
          <t>DALARNAS LÄN</t>
        </is>
      </c>
      <c r="E152" t="inlineStr">
        <is>
          <t>LEKSAND</t>
        </is>
      </c>
      <c r="G152" t="n">
        <v>3.4</v>
      </c>
      <c r="H152" t="n">
        <v>0</v>
      </c>
      <c r="I152" t="n">
        <v>0</v>
      </c>
      <c r="J152" t="n">
        <v>0</v>
      </c>
      <c r="K152" t="n">
        <v>0</v>
      </c>
      <c r="L152" t="n">
        <v>0</v>
      </c>
      <c r="M152" t="n">
        <v>0</v>
      </c>
      <c r="N152" t="n">
        <v>0</v>
      </c>
      <c r="O152" t="n">
        <v>0</v>
      </c>
      <c r="P152" t="n">
        <v>0</v>
      </c>
      <c r="Q152" t="n">
        <v>0</v>
      </c>
      <c r="R152" s="2" t="inlineStr"/>
    </row>
    <row r="153" ht="15" customHeight="1">
      <c r="A153" t="inlineStr">
        <is>
          <t>A 41093-2020</t>
        </is>
      </c>
      <c r="B153" s="1" t="n">
        <v>44071</v>
      </c>
      <c r="C153" s="1" t="n">
        <v>45757</v>
      </c>
      <c r="D153" t="inlineStr">
        <is>
          <t>DALARNAS LÄN</t>
        </is>
      </c>
      <c r="E153" t="inlineStr">
        <is>
          <t>LEKSAND</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41200-2020</t>
        </is>
      </c>
      <c r="B154" s="1" t="n">
        <v>44071</v>
      </c>
      <c r="C154" s="1" t="n">
        <v>45757</v>
      </c>
      <c r="D154" t="inlineStr">
        <is>
          <t>DALARNAS LÄN</t>
        </is>
      </c>
      <c r="E154" t="inlineStr">
        <is>
          <t>LEKSAND</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41432-2020</t>
        </is>
      </c>
      <c r="B155" s="1" t="n">
        <v>44073</v>
      </c>
      <c r="C155" s="1" t="n">
        <v>45757</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42890-2020</t>
        </is>
      </c>
      <c r="B156" s="1" t="n">
        <v>44078</v>
      </c>
      <c r="C156" s="1" t="n">
        <v>45757</v>
      </c>
      <c r="D156" t="inlineStr">
        <is>
          <t>DALARNAS LÄN</t>
        </is>
      </c>
      <c r="E156" t="inlineStr">
        <is>
          <t>LEKSAND</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44665-2020</t>
        </is>
      </c>
      <c r="B157" s="1" t="n">
        <v>44085</v>
      </c>
      <c r="C157" s="1" t="n">
        <v>45757</v>
      </c>
      <c r="D157" t="inlineStr">
        <is>
          <t>DALARNAS LÄN</t>
        </is>
      </c>
      <c r="E157" t="inlineStr">
        <is>
          <t>LEKSAND</t>
        </is>
      </c>
      <c r="F157" t="inlineStr">
        <is>
          <t>Bergvik skog väst AB</t>
        </is>
      </c>
      <c r="G157" t="n">
        <v>5.1</v>
      </c>
      <c r="H157" t="n">
        <v>0</v>
      </c>
      <c r="I157" t="n">
        <v>0</v>
      </c>
      <c r="J157" t="n">
        <v>0</v>
      </c>
      <c r="K157" t="n">
        <v>0</v>
      </c>
      <c r="L157" t="n">
        <v>0</v>
      </c>
      <c r="M157" t="n">
        <v>0</v>
      </c>
      <c r="N157" t="n">
        <v>0</v>
      </c>
      <c r="O157" t="n">
        <v>0</v>
      </c>
      <c r="P157" t="n">
        <v>0</v>
      </c>
      <c r="Q157" t="n">
        <v>0</v>
      </c>
      <c r="R157" s="2" t="inlineStr"/>
    </row>
    <row r="158" ht="15" customHeight="1">
      <c r="A158" t="inlineStr">
        <is>
          <t>A 45995-2020</t>
        </is>
      </c>
      <c r="B158" s="1" t="n">
        <v>44088</v>
      </c>
      <c r="C158" s="1" t="n">
        <v>45757</v>
      </c>
      <c r="D158" t="inlineStr">
        <is>
          <t>DALARNAS LÄN</t>
        </is>
      </c>
      <c r="E158" t="inlineStr">
        <is>
          <t>LEKSAND</t>
        </is>
      </c>
      <c r="G158" t="n">
        <v>7.8</v>
      </c>
      <c r="H158" t="n">
        <v>0</v>
      </c>
      <c r="I158" t="n">
        <v>0</v>
      </c>
      <c r="J158" t="n">
        <v>0</v>
      </c>
      <c r="K158" t="n">
        <v>0</v>
      </c>
      <c r="L158" t="n">
        <v>0</v>
      </c>
      <c r="M158" t="n">
        <v>0</v>
      </c>
      <c r="N158" t="n">
        <v>0</v>
      </c>
      <c r="O158" t="n">
        <v>0</v>
      </c>
      <c r="P158" t="n">
        <v>0</v>
      </c>
      <c r="Q158" t="n">
        <v>0</v>
      </c>
      <c r="R158" s="2" t="inlineStr"/>
    </row>
    <row r="159" ht="15" customHeight="1">
      <c r="A159" t="inlineStr">
        <is>
          <t>A 45950-2020</t>
        </is>
      </c>
      <c r="B159" s="1" t="n">
        <v>44088</v>
      </c>
      <c r="C159" s="1" t="n">
        <v>45757</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45991-2020</t>
        </is>
      </c>
      <c r="B160" s="1" t="n">
        <v>44088</v>
      </c>
      <c r="C160" s="1" t="n">
        <v>45757</v>
      </c>
      <c r="D160" t="inlineStr">
        <is>
          <t>DALARNAS LÄN</t>
        </is>
      </c>
      <c r="E160" t="inlineStr">
        <is>
          <t>LEKSAND</t>
        </is>
      </c>
      <c r="G160" t="n">
        <v>9.9</v>
      </c>
      <c r="H160" t="n">
        <v>0</v>
      </c>
      <c r="I160" t="n">
        <v>0</v>
      </c>
      <c r="J160" t="n">
        <v>0</v>
      </c>
      <c r="K160" t="n">
        <v>0</v>
      </c>
      <c r="L160" t="n">
        <v>0</v>
      </c>
      <c r="M160" t="n">
        <v>0</v>
      </c>
      <c r="N160" t="n">
        <v>0</v>
      </c>
      <c r="O160" t="n">
        <v>0</v>
      </c>
      <c r="P160" t="n">
        <v>0</v>
      </c>
      <c r="Q160" t="n">
        <v>0</v>
      </c>
      <c r="R160" s="2" t="inlineStr"/>
    </row>
    <row r="161" ht="15" customHeight="1">
      <c r="A161" t="inlineStr">
        <is>
          <t>A 46854-2020</t>
        </is>
      </c>
      <c r="B161" s="1" t="n">
        <v>44090</v>
      </c>
      <c r="C161" s="1" t="n">
        <v>45757</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47004-2020</t>
        </is>
      </c>
      <c r="B162" s="1" t="n">
        <v>44091</v>
      </c>
      <c r="C162" s="1" t="n">
        <v>45757</v>
      </c>
      <c r="D162" t="inlineStr">
        <is>
          <t>DALARNAS LÄN</t>
        </is>
      </c>
      <c r="E162" t="inlineStr">
        <is>
          <t>LEKSAND</t>
        </is>
      </c>
      <c r="G162" t="n">
        <v>3.2</v>
      </c>
      <c r="H162" t="n">
        <v>0</v>
      </c>
      <c r="I162" t="n">
        <v>0</v>
      </c>
      <c r="J162" t="n">
        <v>0</v>
      </c>
      <c r="K162" t="n">
        <v>0</v>
      </c>
      <c r="L162" t="n">
        <v>0</v>
      </c>
      <c r="M162" t="n">
        <v>0</v>
      </c>
      <c r="N162" t="n">
        <v>0</v>
      </c>
      <c r="O162" t="n">
        <v>0</v>
      </c>
      <c r="P162" t="n">
        <v>0</v>
      </c>
      <c r="Q162" t="n">
        <v>0</v>
      </c>
      <c r="R162" s="2" t="inlineStr"/>
    </row>
    <row r="163" ht="15" customHeight="1">
      <c r="A163" t="inlineStr">
        <is>
          <t>A 47069-2020</t>
        </is>
      </c>
      <c r="B163" s="1" t="n">
        <v>44096</v>
      </c>
      <c r="C163" s="1" t="n">
        <v>45757</v>
      </c>
      <c r="D163" t="inlineStr">
        <is>
          <t>DALARNAS LÄN</t>
        </is>
      </c>
      <c r="E163" t="inlineStr">
        <is>
          <t>LEKSAND</t>
        </is>
      </c>
      <c r="G163" t="n">
        <v>5.5</v>
      </c>
      <c r="H163" t="n">
        <v>0</v>
      </c>
      <c r="I163" t="n">
        <v>0</v>
      </c>
      <c r="J163" t="n">
        <v>0</v>
      </c>
      <c r="K163" t="n">
        <v>0</v>
      </c>
      <c r="L163" t="n">
        <v>0</v>
      </c>
      <c r="M163" t="n">
        <v>0</v>
      </c>
      <c r="N163" t="n">
        <v>0</v>
      </c>
      <c r="O163" t="n">
        <v>0</v>
      </c>
      <c r="P163" t="n">
        <v>0</v>
      </c>
      <c r="Q163" t="n">
        <v>0</v>
      </c>
      <c r="R163" s="2" t="inlineStr"/>
    </row>
    <row r="164" ht="15" customHeight="1">
      <c r="A164" t="inlineStr">
        <is>
          <t>A 50123-2020</t>
        </is>
      </c>
      <c r="B164" s="1" t="n">
        <v>44104</v>
      </c>
      <c r="C164" s="1" t="n">
        <v>45757</v>
      </c>
      <c r="D164" t="inlineStr">
        <is>
          <t>DALARNAS LÄN</t>
        </is>
      </c>
      <c r="E164" t="inlineStr">
        <is>
          <t>LEKSAND</t>
        </is>
      </c>
      <c r="F164" t="inlineStr">
        <is>
          <t>Övriga Aktiebolag</t>
        </is>
      </c>
      <c r="G164" t="n">
        <v>2.7</v>
      </c>
      <c r="H164" t="n">
        <v>0</v>
      </c>
      <c r="I164" t="n">
        <v>0</v>
      </c>
      <c r="J164" t="n">
        <v>0</v>
      </c>
      <c r="K164" t="n">
        <v>0</v>
      </c>
      <c r="L164" t="n">
        <v>0</v>
      </c>
      <c r="M164" t="n">
        <v>0</v>
      </c>
      <c r="N164" t="n">
        <v>0</v>
      </c>
      <c r="O164" t="n">
        <v>0</v>
      </c>
      <c r="P164" t="n">
        <v>0</v>
      </c>
      <c r="Q164" t="n">
        <v>0</v>
      </c>
      <c r="R164" s="2" t="inlineStr"/>
    </row>
    <row r="165" ht="15" customHeight="1">
      <c r="A165" t="inlineStr">
        <is>
          <t>A 50102-2020</t>
        </is>
      </c>
      <c r="B165" s="1" t="n">
        <v>44104</v>
      </c>
      <c r="C165" s="1" t="n">
        <v>45757</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60920-2020</t>
        </is>
      </c>
      <c r="B166" s="1" t="n">
        <v>44153</v>
      </c>
      <c r="C166" s="1" t="n">
        <v>45757</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60963-2020</t>
        </is>
      </c>
      <c r="B167" s="1" t="n">
        <v>44154</v>
      </c>
      <c r="C167" s="1" t="n">
        <v>45757</v>
      </c>
      <c r="D167" t="inlineStr">
        <is>
          <t>DALARNAS LÄN</t>
        </is>
      </c>
      <c r="E167" t="inlineStr">
        <is>
          <t>LEKSAND</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62118-2020</t>
        </is>
      </c>
      <c r="B168" s="1" t="n">
        <v>44159</v>
      </c>
      <c r="C168" s="1" t="n">
        <v>45757</v>
      </c>
      <c r="D168" t="inlineStr">
        <is>
          <t>DALARNAS LÄN</t>
        </is>
      </c>
      <c r="E168" t="inlineStr">
        <is>
          <t>LEKSAND</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63481-2020</t>
        </is>
      </c>
      <c r="B169" s="1" t="n">
        <v>44161</v>
      </c>
      <c r="C169" s="1" t="n">
        <v>45757</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64109-2020</t>
        </is>
      </c>
      <c r="B170" s="1" t="n">
        <v>44167</v>
      </c>
      <c r="C170" s="1" t="n">
        <v>45757</v>
      </c>
      <c r="D170" t="inlineStr">
        <is>
          <t>DALARNAS LÄN</t>
        </is>
      </c>
      <c r="E170" t="inlineStr">
        <is>
          <t>LEKSAND</t>
        </is>
      </c>
      <c r="G170" t="n">
        <v>2.7</v>
      </c>
      <c r="H170" t="n">
        <v>0</v>
      </c>
      <c r="I170" t="n">
        <v>0</v>
      </c>
      <c r="J170" t="n">
        <v>0</v>
      </c>
      <c r="K170" t="n">
        <v>0</v>
      </c>
      <c r="L170" t="n">
        <v>0</v>
      </c>
      <c r="M170" t="n">
        <v>0</v>
      </c>
      <c r="N170" t="n">
        <v>0</v>
      </c>
      <c r="O170" t="n">
        <v>0</v>
      </c>
      <c r="P170" t="n">
        <v>0</v>
      </c>
      <c r="Q170" t="n">
        <v>0</v>
      </c>
      <c r="R170" s="2" t="inlineStr"/>
    </row>
    <row r="171" ht="15" customHeight="1">
      <c r="A171" t="inlineStr">
        <is>
          <t>A 64449-2020</t>
        </is>
      </c>
      <c r="B171" s="1" t="n">
        <v>44168</v>
      </c>
      <c r="C171" s="1" t="n">
        <v>45757</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64876-2020</t>
        </is>
      </c>
      <c r="B172" s="1" t="n">
        <v>44171</v>
      </c>
      <c r="C172" s="1" t="n">
        <v>45757</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65058-2020</t>
        </is>
      </c>
      <c r="B173" s="1" t="n">
        <v>44172</v>
      </c>
      <c r="C173" s="1" t="n">
        <v>45757</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66169-2020</t>
        </is>
      </c>
      <c r="B174" s="1" t="n">
        <v>44174</v>
      </c>
      <c r="C174" s="1" t="n">
        <v>45757</v>
      </c>
      <c r="D174" t="inlineStr">
        <is>
          <t>DALARNAS LÄN</t>
        </is>
      </c>
      <c r="E174" t="inlineStr">
        <is>
          <t>LEKSAND</t>
        </is>
      </c>
      <c r="G174" t="n">
        <v>5.3</v>
      </c>
      <c r="H174" t="n">
        <v>0</v>
      </c>
      <c r="I174" t="n">
        <v>0</v>
      </c>
      <c r="J174" t="n">
        <v>0</v>
      </c>
      <c r="K174" t="n">
        <v>0</v>
      </c>
      <c r="L174" t="n">
        <v>0</v>
      </c>
      <c r="M174" t="n">
        <v>0</v>
      </c>
      <c r="N174" t="n">
        <v>0</v>
      </c>
      <c r="O174" t="n">
        <v>0</v>
      </c>
      <c r="P174" t="n">
        <v>0</v>
      </c>
      <c r="Q174" t="n">
        <v>0</v>
      </c>
      <c r="R174" s="2" t="inlineStr"/>
    </row>
    <row r="175" ht="15" customHeight="1">
      <c r="A175" t="inlineStr">
        <is>
          <t>A 67100-2020</t>
        </is>
      </c>
      <c r="B175" s="1" t="n">
        <v>44179</v>
      </c>
      <c r="C175" s="1" t="n">
        <v>45757</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67307-2020</t>
        </is>
      </c>
      <c r="B176" s="1" t="n">
        <v>44181</v>
      </c>
      <c r="C176" s="1" t="n">
        <v>45757</v>
      </c>
      <c r="D176" t="inlineStr">
        <is>
          <t>DALARNAS LÄN</t>
        </is>
      </c>
      <c r="E176" t="inlineStr">
        <is>
          <t>LEKSAND</t>
        </is>
      </c>
      <c r="G176" t="n">
        <v>5.9</v>
      </c>
      <c r="H176" t="n">
        <v>0</v>
      </c>
      <c r="I176" t="n">
        <v>0</v>
      </c>
      <c r="J176" t="n">
        <v>0</v>
      </c>
      <c r="K176" t="n">
        <v>0</v>
      </c>
      <c r="L176" t="n">
        <v>0</v>
      </c>
      <c r="M176" t="n">
        <v>0</v>
      </c>
      <c r="N176" t="n">
        <v>0</v>
      </c>
      <c r="O176" t="n">
        <v>0</v>
      </c>
      <c r="P176" t="n">
        <v>0</v>
      </c>
      <c r="Q176" t="n">
        <v>0</v>
      </c>
      <c r="R176" s="2" t="inlineStr"/>
    </row>
    <row r="177" ht="15" customHeight="1">
      <c r="A177" t="inlineStr">
        <is>
          <t>A 68058-2020</t>
        </is>
      </c>
      <c r="B177" s="1" t="n">
        <v>44183</v>
      </c>
      <c r="C177" s="1" t="n">
        <v>45757</v>
      </c>
      <c r="D177" t="inlineStr">
        <is>
          <t>DALARNAS LÄN</t>
        </is>
      </c>
      <c r="E177" t="inlineStr">
        <is>
          <t>LEKSAND</t>
        </is>
      </c>
      <c r="F177" t="inlineStr">
        <is>
          <t>Bergvik skog väst AB</t>
        </is>
      </c>
      <c r="G177" t="n">
        <v>4.9</v>
      </c>
      <c r="H177" t="n">
        <v>0</v>
      </c>
      <c r="I177" t="n">
        <v>0</v>
      </c>
      <c r="J177" t="n">
        <v>0</v>
      </c>
      <c r="K177" t="n">
        <v>0</v>
      </c>
      <c r="L177" t="n">
        <v>0</v>
      </c>
      <c r="M177" t="n">
        <v>0</v>
      </c>
      <c r="N177" t="n">
        <v>0</v>
      </c>
      <c r="O177" t="n">
        <v>0</v>
      </c>
      <c r="P177" t="n">
        <v>0</v>
      </c>
      <c r="Q177" t="n">
        <v>0</v>
      </c>
      <c r="R177" s="2" t="inlineStr"/>
    </row>
    <row r="178" ht="15" customHeight="1">
      <c r="A178" t="inlineStr">
        <is>
          <t>A 776-2021</t>
        </is>
      </c>
      <c r="B178" s="1" t="n">
        <v>44203</v>
      </c>
      <c r="C178" s="1" t="n">
        <v>45757</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1078-2021</t>
        </is>
      </c>
      <c r="B179" s="1" t="n">
        <v>44207</v>
      </c>
      <c r="C179" s="1" t="n">
        <v>45757</v>
      </c>
      <c r="D179" t="inlineStr">
        <is>
          <t>DALARNAS LÄN</t>
        </is>
      </c>
      <c r="E179" t="inlineStr">
        <is>
          <t>LEKSAND</t>
        </is>
      </c>
      <c r="G179" t="n">
        <v>4.9</v>
      </c>
      <c r="H179" t="n">
        <v>0</v>
      </c>
      <c r="I179" t="n">
        <v>0</v>
      </c>
      <c r="J179" t="n">
        <v>0</v>
      </c>
      <c r="K179" t="n">
        <v>0</v>
      </c>
      <c r="L179" t="n">
        <v>0</v>
      </c>
      <c r="M179" t="n">
        <v>0</v>
      </c>
      <c r="N179" t="n">
        <v>0</v>
      </c>
      <c r="O179" t="n">
        <v>0</v>
      </c>
      <c r="P179" t="n">
        <v>0</v>
      </c>
      <c r="Q179" t="n">
        <v>0</v>
      </c>
      <c r="R179" s="2" t="inlineStr"/>
    </row>
    <row r="180" ht="15" customHeight="1">
      <c r="A180" t="inlineStr">
        <is>
          <t>A 2311-2021</t>
        </is>
      </c>
      <c r="B180" s="1" t="n">
        <v>44213</v>
      </c>
      <c r="C180" s="1" t="n">
        <v>45757</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9131-2021</t>
        </is>
      </c>
      <c r="B181" s="1" t="n">
        <v>44249</v>
      </c>
      <c r="C181" s="1" t="n">
        <v>45757</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9133-2021</t>
        </is>
      </c>
      <c r="B182" s="1" t="n">
        <v>44249</v>
      </c>
      <c r="C182" s="1" t="n">
        <v>45757</v>
      </c>
      <c r="D182" t="inlineStr">
        <is>
          <t>DALARNAS LÄN</t>
        </is>
      </c>
      <c r="E182" t="inlineStr">
        <is>
          <t>LEKSAND</t>
        </is>
      </c>
      <c r="G182" t="n">
        <v>2.5</v>
      </c>
      <c r="H182" t="n">
        <v>0</v>
      </c>
      <c r="I182" t="n">
        <v>0</v>
      </c>
      <c r="J182" t="n">
        <v>0</v>
      </c>
      <c r="K182" t="n">
        <v>0</v>
      </c>
      <c r="L182" t="n">
        <v>0</v>
      </c>
      <c r="M182" t="n">
        <v>0</v>
      </c>
      <c r="N182" t="n">
        <v>0</v>
      </c>
      <c r="O182" t="n">
        <v>0</v>
      </c>
      <c r="P182" t="n">
        <v>0</v>
      </c>
      <c r="Q182" t="n">
        <v>0</v>
      </c>
      <c r="R182" s="2" t="inlineStr"/>
    </row>
    <row r="183" ht="15" customHeight="1">
      <c r="A183" t="inlineStr">
        <is>
          <t>A 13705-2021</t>
        </is>
      </c>
      <c r="B183" s="1" t="n">
        <v>44274</v>
      </c>
      <c r="C183" s="1" t="n">
        <v>45757</v>
      </c>
      <c r="D183" t="inlineStr">
        <is>
          <t>DALARNAS LÄN</t>
        </is>
      </c>
      <c r="E183" t="inlineStr">
        <is>
          <t>LEKSAND</t>
        </is>
      </c>
      <c r="G183" t="n">
        <v>3.8</v>
      </c>
      <c r="H183" t="n">
        <v>0</v>
      </c>
      <c r="I183" t="n">
        <v>0</v>
      </c>
      <c r="J183" t="n">
        <v>0</v>
      </c>
      <c r="K183" t="n">
        <v>0</v>
      </c>
      <c r="L183" t="n">
        <v>0</v>
      </c>
      <c r="M183" t="n">
        <v>0</v>
      </c>
      <c r="N183" t="n">
        <v>0</v>
      </c>
      <c r="O183" t="n">
        <v>0</v>
      </c>
      <c r="P183" t="n">
        <v>0</v>
      </c>
      <c r="Q183" t="n">
        <v>0</v>
      </c>
      <c r="R183" s="2" t="inlineStr"/>
    </row>
    <row r="184" ht="15" customHeight="1">
      <c r="A184" t="inlineStr">
        <is>
          <t>A 16231-2021</t>
        </is>
      </c>
      <c r="B184" s="1" t="n">
        <v>44292</v>
      </c>
      <c r="C184" s="1" t="n">
        <v>45757</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17615-2021</t>
        </is>
      </c>
      <c r="B185" s="1" t="n">
        <v>44299</v>
      </c>
      <c r="C185" s="1" t="n">
        <v>45757</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18267-2021</t>
        </is>
      </c>
      <c r="B186" s="1" t="n">
        <v>44305</v>
      </c>
      <c r="C186" s="1" t="n">
        <v>45757</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18706-2021</t>
        </is>
      </c>
      <c r="B187" s="1" t="n">
        <v>44307</v>
      </c>
      <c r="C187" s="1" t="n">
        <v>45757</v>
      </c>
      <c r="D187" t="inlineStr">
        <is>
          <t>DALARNAS LÄN</t>
        </is>
      </c>
      <c r="E187" t="inlineStr">
        <is>
          <t>LEKSAND</t>
        </is>
      </c>
      <c r="G187" t="n">
        <v>3.4</v>
      </c>
      <c r="H187" t="n">
        <v>0</v>
      </c>
      <c r="I187" t="n">
        <v>0</v>
      </c>
      <c r="J187" t="n">
        <v>0</v>
      </c>
      <c r="K187" t="n">
        <v>0</v>
      </c>
      <c r="L187" t="n">
        <v>0</v>
      </c>
      <c r="M187" t="n">
        <v>0</v>
      </c>
      <c r="N187" t="n">
        <v>0</v>
      </c>
      <c r="O187" t="n">
        <v>0</v>
      </c>
      <c r="P187" t="n">
        <v>0</v>
      </c>
      <c r="Q187" t="n">
        <v>0</v>
      </c>
      <c r="R187" s="2" t="inlineStr"/>
    </row>
    <row r="188" ht="15" customHeight="1">
      <c r="A188" t="inlineStr">
        <is>
          <t>A 19677-2021</t>
        </is>
      </c>
      <c r="B188" s="1" t="n">
        <v>44312</v>
      </c>
      <c r="C188" s="1" t="n">
        <v>45757</v>
      </c>
      <c r="D188" t="inlineStr">
        <is>
          <t>DALARNAS LÄN</t>
        </is>
      </c>
      <c r="E188" t="inlineStr">
        <is>
          <t>LEKSAND</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21132-2021</t>
        </is>
      </c>
      <c r="B189" s="1" t="n">
        <v>44319</v>
      </c>
      <c r="C189" s="1" t="n">
        <v>45757</v>
      </c>
      <c r="D189" t="inlineStr">
        <is>
          <t>DALARNAS LÄN</t>
        </is>
      </c>
      <c r="E189" t="inlineStr">
        <is>
          <t>LEKSAND</t>
        </is>
      </c>
      <c r="G189" t="n">
        <v>6.8</v>
      </c>
      <c r="H189" t="n">
        <v>0</v>
      </c>
      <c r="I189" t="n">
        <v>0</v>
      </c>
      <c r="J189" t="n">
        <v>0</v>
      </c>
      <c r="K189" t="n">
        <v>0</v>
      </c>
      <c r="L189" t="n">
        <v>0</v>
      </c>
      <c r="M189" t="n">
        <v>0</v>
      </c>
      <c r="N189" t="n">
        <v>0</v>
      </c>
      <c r="O189" t="n">
        <v>0</v>
      </c>
      <c r="P189" t="n">
        <v>0</v>
      </c>
      <c r="Q189" t="n">
        <v>0</v>
      </c>
      <c r="R189" s="2" t="inlineStr"/>
    </row>
    <row r="190" ht="15" customHeight="1">
      <c r="A190" t="inlineStr">
        <is>
          <t>A 21968-2021</t>
        </is>
      </c>
      <c r="B190" s="1" t="n">
        <v>44323</v>
      </c>
      <c r="C190" s="1" t="n">
        <v>45757</v>
      </c>
      <c r="D190" t="inlineStr">
        <is>
          <t>DALARNAS LÄN</t>
        </is>
      </c>
      <c r="E190" t="inlineStr">
        <is>
          <t>LEKSAND</t>
        </is>
      </c>
      <c r="G190" t="n">
        <v>1.4</v>
      </c>
      <c r="H190" t="n">
        <v>0</v>
      </c>
      <c r="I190" t="n">
        <v>0</v>
      </c>
      <c r="J190" t="n">
        <v>0</v>
      </c>
      <c r="K190" t="n">
        <v>0</v>
      </c>
      <c r="L190" t="n">
        <v>0</v>
      </c>
      <c r="M190" t="n">
        <v>0</v>
      </c>
      <c r="N190" t="n">
        <v>0</v>
      </c>
      <c r="O190" t="n">
        <v>0</v>
      </c>
      <c r="P190" t="n">
        <v>0</v>
      </c>
      <c r="Q190" t="n">
        <v>0</v>
      </c>
      <c r="R190" s="2" t="inlineStr"/>
    </row>
    <row r="191" ht="15" customHeight="1">
      <c r="A191" t="inlineStr">
        <is>
          <t>A 21969-2021</t>
        </is>
      </c>
      <c r="B191" s="1" t="n">
        <v>44323</v>
      </c>
      <c r="C191" s="1" t="n">
        <v>45757</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21965-2021</t>
        </is>
      </c>
      <c r="B192" s="1" t="n">
        <v>44323</v>
      </c>
      <c r="C192" s="1" t="n">
        <v>45757</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22431-2021</t>
        </is>
      </c>
      <c r="B193" s="1" t="n">
        <v>44326</v>
      </c>
      <c r="C193" s="1" t="n">
        <v>45757</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22703-2021</t>
        </is>
      </c>
      <c r="B194" s="1" t="n">
        <v>44327</v>
      </c>
      <c r="C194" s="1" t="n">
        <v>45757</v>
      </c>
      <c r="D194" t="inlineStr">
        <is>
          <t>DALARNAS LÄN</t>
        </is>
      </c>
      <c r="E194" t="inlineStr">
        <is>
          <t>LEKSAND</t>
        </is>
      </c>
      <c r="F194" t="inlineStr">
        <is>
          <t>Bergvik skog väst AB</t>
        </is>
      </c>
      <c r="G194" t="n">
        <v>3.4</v>
      </c>
      <c r="H194" t="n">
        <v>0</v>
      </c>
      <c r="I194" t="n">
        <v>0</v>
      </c>
      <c r="J194" t="n">
        <v>0</v>
      </c>
      <c r="K194" t="n">
        <v>0</v>
      </c>
      <c r="L194" t="n">
        <v>0</v>
      </c>
      <c r="M194" t="n">
        <v>0</v>
      </c>
      <c r="N194" t="n">
        <v>0</v>
      </c>
      <c r="O194" t="n">
        <v>0</v>
      </c>
      <c r="P194" t="n">
        <v>0</v>
      </c>
      <c r="Q194" t="n">
        <v>0</v>
      </c>
      <c r="R194" s="2" t="inlineStr"/>
      <c r="U194">
        <f>HYPERLINK("https://klasma.github.io/Logging_2029/knärot/A 22703-2021 karta knärot.png", "A 22703-2021")</f>
        <v/>
      </c>
      <c r="V194">
        <f>HYPERLINK("https://klasma.github.io/Logging_2029/klagomål/A 22703-2021 FSC-klagomål.docx", "A 22703-2021")</f>
        <v/>
      </c>
      <c r="W194">
        <f>HYPERLINK("https://klasma.github.io/Logging_2029/klagomålsmail/A 22703-2021 FSC-klagomål mail.docx", "A 22703-2021")</f>
        <v/>
      </c>
      <c r="X194">
        <f>HYPERLINK("https://klasma.github.io/Logging_2029/tillsyn/A 22703-2021 tillsynsbegäran.docx", "A 22703-2021")</f>
        <v/>
      </c>
      <c r="Y194">
        <f>HYPERLINK("https://klasma.github.io/Logging_2029/tillsynsmail/A 22703-2021 tillsynsbegäran mail.docx", "A 22703-2021")</f>
        <v/>
      </c>
    </row>
    <row r="195" ht="15" customHeight="1">
      <c r="A195" t="inlineStr">
        <is>
          <t>A 22684-2021</t>
        </is>
      </c>
      <c r="B195" s="1" t="n">
        <v>44327</v>
      </c>
      <c r="C195" s="1" t="n">
        <v>45757</v>
      </c>
      <c r="D195" t="inlineStr">
        <is>
          <t>DALARNAS LÄN</t>
        </is>
      </c>
      <c r="E195" t="inlineStr">
        <is>
          <t>LEKSAND</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22999-2021</t>
        </is>
      </c>
      <c r="B196" s="1" t="n">
        <v>44328</v>
      </c>
      <c r="C196" s="1" t="n">
        <v>45757</v>
      </c>
      <c r="D196" t="inlineStr">
        <is>
          <t>DALARNAS LÄN</t>
        </is>
      </c>
      <c r="E196" t="inlineStr">
        <is>
          <t>LEKSAND</t>
        </is>
      </c>
      <c r="F196" t="inlineStr">
        <is>
          <t>Bergvik skog väst AB</t>
        </is>
      </c>
      <c r="G196" t="n">
        <v>8.5</v>
      </c>
      <c r="H196" t="n">
        <v>0</v>
      </c>
      <c r="I196" t="n">
        <v>0</v>
      </c>
      <c r="J196" t="n">
        <v>0</v>
      </c>
      <c r="K196" t="n">
        <v>0</v>
      </c>
      <c r="L196" t="n">
        <v>0</v>
      </c>
      <c r="M196" t="n">
        <v>0</v>
      </c>
      <c r="N196" t="n">
        <v>0</v>
      </c>
      <c r="O196" t="n">
        <v>0</v>
      </c>
      <c r="P196" t="n">
        <v>0</v>
      </c>
      <c r="Q196" t="n">
        <v>0</v>
      </c>
      <c r="R196" s="2" t="inlineStr"/>
    </row>
    <row r="197" ht="15" customHeight="1">
      <c r="A197" t="inlineStr">
        <is>
          <t>A 23824-2021</t>
        </is>
      </c>
      <c r="B197" s="1" t="n">
        <v>44335</v>
      </c>
      <c r="C197" s="1" t="n">
        <v>45757</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24142-2021</t>
        </is>
      </c>
      <c r="B198" s="1" t="n">
        <v>44336</v>
      </c>
      <c r="C198" s="1" t="n">
        <v>45757</v>
      </c>
      <c r="D198" t="inlineStr">
        <is>
          <t>DALARNAS LÄN</t>
        </is>
      </c>
      <c r="E198" t="inlineStr">
        <is>
          <t>LEKSAND</t>
        </is>
      </c>
      <c r="F198" t="inlineStr">
        <is>
          <t>Bergvik skog väst AB</t>
        </is>
      </c>
      <c r="G198" t="n">
        <v>18.9</v>
      </c>
      <c r="H198" t="n">
        <v>0</v>
      </c>
      <c r="I198" t="n">
        <v>0</v>
      </c>
      <c r="J198" t="n">
        <v>0</v>
      </c>
      <c r="K198" t="n">
        <v>0</v>
      </c>
      <c r="L198" t="n">
        <v>0</v>
      </c>
      <c r="M198" t="n">
        <v>0</v>
      </c>
      <c r="N198" t="n">
        <v>0</v>
      </c>
      <c r="O198" t="n">
        <v>0</v>
      </c>
      <c r="P198" t="n">
        <v>0</v>
      </c>
      <c r="Q198" t="n">
        <v>0</v>
      </c>
      <c r="R198" s="2" t="inlineStr"/>
    </row>
    <row r="199" ht="15" customHeight="1">
      <c r="A199" t="inlineStr">
        <is>
          <t>A 24479-2021</t>
        </is>
      </c>
      <c r="B199" s="1" t="n">
        <v>44337</v>
      </c>
      <c r="C199" s="1" t="n">
        <v>45757</v>
      </c>
      <c r="D199" t="inlineStr">
        <is>
          <t>DALARNAS LÄN</t>
        </is>
      </c>
      <c r="E199" t="inlineStr">
        <is>
          <t>LEKSAND</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26738-2021</t>
        </is>
      </c>
      <c r="B200" s="1" t="n">
        <v>44349</v>
      </c>
      <c r="C200" s="1" t="n">
        <v>45757</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27154-2021</t>
        </is>
      </c>
      <c r="B201" s="1" t="n">
        <v>44350</v>
      </c>
      <c r="C201" s="1" t="n">
        <v>45757</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27317-2021</t>
        </is>
      </c>
      <c r="B202" s="1" t="n">
        <v>44351</v>
      </c>
      <c r="C202" s="1" t="n">
        <v>45757</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32152-2021</t>
        </is>
      </c>
      <c r="B203" s="1" t="n">
        <v>44371</v>
      </c>
      <c r="C203" s="1" t="n">
        <v>45757</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32635-2021</t>
        </is>
      </c>
      <c r="B204" s="1" t="n">
        <v>44374</v>
      </c>
      <c r="C204" s="1" t="n">
        <v>45757</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33072-2021</t>
        </is>
      </c>
      <c r="B205" s="1" t="n">
        <v>44375</v>
      </c>
      <c r="C205" s="1" t="n">
        <v>45757</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33170-2021</t>
        </is>
      </c>
      <c r="B206" s="1" t="n">
        <v>44376</v>
      </c>
      <c r="C206" s="1" t="n">
        <v>45757</v>
      </c>
      <c r="D206" t="inlineStr">
        <is>
          <t>DALARNAS LÄN</t>
        </is>
      </c>
      <c r="E206" t="inlineStr">
        <is>
          <t>LEKSAND</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34869-2021</t>
        </is>
      </c>
      <c r="B207" s="1" t="n">
        <v>44383</v>
      </c>
      <c r="C207" s="1" t="n">
        <v>45757</v>
      </c>
      <c r="D207" t="inlineStr">
        <is>
          <t>DALARNAS LÄN</t>
        </is>
      </c>
      <c r="E207" t="inlineStr">
        <is>
          <t>LEKSAND</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34867-2021</t>
        </is>
      </c>
      <c r="B208" s="1" t="n">
        <v>44383</v>
      </c>
      <c r="C208" s="1" t="n">
        <v>45757</v>
      </c>
      <c r="D208" t="inlineStr">
        <is>
          <t>DALARNAS LÄN</t>
        </is>
      </c>
      <c r="E208" t="inlineStr">
        <is>
          <t>LEKSAND</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34911-2021</t>
        </is>
      </c>
      <c r="B209" s="1" t="n">
        <v>44383</v>
      </c>
      <c r="C209" s="1" t="n">
        <v>45757</v>
      </c>
      <c r="D209" t="inlineStr">
        <is>
          <t>DALARNAS LÄN</t>
        </is>
      </c>
      <c r="E209" t="inlineStr">
        <is>
          <t>LEKSAND</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36438-2021</t>
        </is>
      </c>
      <c r="B210" s="1" t="n">
        <v>44390</v>
      </c>
      <c r="C210" s="1" t="n">
        <v>45757</v>
      </c>
      <c r="D210" t="inlineStr">
        <is>
          <t>DALARNAS LÄN</t>
        </is>
      </c>
      <c r="E210" t="inlineStr">
        <is>
          <t>LEKSAND</t>
        </is>
      </c>
      <c r="G210" t="n">
        <v>5</v>
      </c>
      <c r="H210" t="n">
        <v>0</v>
      </c>
      <c r="I210" t="n">
        <v>0</v>
      </c>
      <c r="J210" t="n">
        <v>0</v>
      </c>
      <c r="K210" t="n">
        <v>0</v>
      </c>
      <c r="L210" t="n">
        <v>0</v>
      </c>
      <c r="M210" t="n">
        <v>0</v>
      </c>
      <c r="N210" t="n">
        <v>0</v>
      </c>
      <c r="O210" t="n">
        <v>0</v>
      </c>
      <c r="P210" t="n">
        <v>0</v>
      </c>
      <c r="Q210" t="n">
        <v>0</v>
      </c>
      <c r="R210" s="2" t="inlineStr"/>
    </row>
    <row r="211" ht="15" customHeight="1">
      <c r="A211" t="inlineStr">
        <is>
          <t>A 36956-2021</t>
        </is>
      </c>
      <c r="B211" s="1" t="n">
        <v>44393</v>
      </c>
      <c r="C211" s="1" t="n">
        <v>45757</v>
      </c>
      <c r="D211" t="inlineStr">
        <is>
          <t>DALARNAS LÄN</t>
        </is>
      </c>
      <c r="E211" t="inlineStr">
        <is>
          <t>LEKSAND</t>
        </is>
      </c>
      <c r="G211" t="n">
        <v>4.1</v>
      </c>
      <c r="H211" t="n">
        <v>0</v>
      </c>
      <c r="I211" t="n">
        <v>0</v>
      </c>
      <c r="J211" t="n">
        <v>0</v>
      </c>
      <c r="K211" t="n">
        <v>0</v>
      </c>
      <c r="L211" t="n">
        <v>0</v>
      </c>
      <c r="M211" t="n">
        <v>0</v>
      </c>
      <c r="N211" t="n">
        <v>0</v>
      </c>
      <c r="O211" t="n">
        <v>0</v>
      </c>
      <c r="P211" t="n">
        <v>0</v>
      </c>
      <c r="Q211" t="n">
        <v>0</v>
      </c>
      <c r="R211" s="2" t="inlineStr"/>
    </row>
    <row r="212" ht="15" customHeight="1">
      <c r="A212" t="inlineStr">
        <is>
          <t>A 37073-2021</t>
        </is>
      </c>
      <c r="B212" s="1" t="n">
        <v>44394</v>
      </c>
      <c r="C212" s="1" t="n">
        <v>45757</v>
      </c>
      <c r="D212" t="inlineStr">
        <is>
          <t>DALARNAS LÄN</t>
        </is>
      </c>
      <c r="E212" t="inlineStr">
        <is>
          <t>LEKSAND</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37283-2021</t>
        </is>
      </c>
      <c r="B213" s="1" t="n">
        <v>44397</v>
      </c>
      <c r="C213" s="1" t="n">
        <v>45757</v>
      </c>
      <c r="D213" t="inlineStr">
        <is>
          <t>DALARNAS LÄN</t>
        </is>
      </c>
      <c r="E213" t="inlineStr">
        <is>
          <t>LEKSAND</t>
        </is>
      </c>
      <c r="G213" t="n">
        <v>2.9</v>
      </c>
      <c r="H213" t="n">
        <v>0</v>
      </c>
      <c r="I213" t="n">
        <v>0</v>
      </c>
      <c r="J213" t="n">
        <v>0</v>
      </c>
      <c r="K213" t="n">
        <v>0</v>
      </c>
      <c r="L213" t="n">
        <v>0</v>
      </c>
      <c r="M213" t="n">
        <v>0</v>
      </c>
      <c r="N213" t="n">
        <v>0</v>
      </c>
      <c r="O213" t="n">
        <v>0</v>
      </c>
      <c r="P213" t="n">
        <v>0</v>
      </c>
      <c r="Q213" t="n">
        <v>0</v>
      </c>
      <c r="R213" s="2" t="inlineStr"/>
    </row>
    <row r="214" ht="15" customHeight="1">
      <c r="A214" t="inlineStr">
        <is>
          <t>A 37531-2021</t>
        </is>
      </c>
      <c r="B214" s="1" t="n">
        <v>44399</v>
      </c>
      <c r="C214" s="1" t="n">
        <v>45757</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38192-2021</t>
        </is>
      </c>
      <c r="B215" s="1" t="n">
        <v>44405</v>
      </c>
      <c r="C215" s="1" t="n">
        <v>45757</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38619-2021</t>
        </is>
      </c>
      <c r="B216" s="1" t="n">
        <v>44409</v>
      </c>
      <c r="C216" s="1" t="n">
        <v>45757</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39203-2021</t>
        </is>
      </c>
      <c r="B217" s="1" t="n">
        <v>44413</v>
      </c>
      <c r="C217" s="1" t="n">
        <v>45757</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40584-2021</t>
        </is>
      </c>
      <c r="B218" s="1" t="n">
        <v>44420</v>
      </c>
      <c r="C218" s="1" t="n">
        <v>45757</v>
      </c>
      <c r="D218" t="inlineStr">
        <is>
          <t>DALARNAS LÄN</t>
        </is>
      </c>
      <c r="E218" t="inlineStr">
        <is>
          <t>LEKSAND</t>
        </is>
      </c>
      <c r="G218" t="n">
        <v>6</v>
      </c>
      <c r="H218" t="n">
        <v>0</v>
      </c>
      <c r="I218" t="n">
        <v>0</v>
      </c>
      <c r="J218" t="n">
        <v>0</v>
      </c>
      <c r="K218" t="n">
        <v>0</v>
      </c>
      <c r="L218" t="n">
        <v>0</v>
      </c>
      <c r="M218" t="n">
        <v>0</v>
      </c>
      <c r="N218" t="n">
        <v>0</v>
      </c>
      <c r="O218" t="n">
        <v>0</v>
      </c>
      <c r="P218" t="n">
        <v>0</v>
      </c>
      <c r="Q218" t="n">
        <v>0</v>
      </c>
      <c r="R218" s="2" t="inlineStr"/>
    </row>
    <row r="219" ht="15" customHeight="1">
      <c r="A219" t="inlineStr">
        <is>
          <t>A 42952-2021</t>
        </is>
      </c>
      <c r="B219" s="1" t="n">
        <v>44431</v>
      </c>
      <c r="C219" s="1" t="n">
        <v>45757</v>
      </c>
      <c r="D219" t="inlineStr">
        <is>
          <t>DALARNAS LÄN</t>
        </is>
      </c>
      <c r="E219" t="inlineStr">
        <is>
          <t>LEKSAND</t>
        </is>
      </c>
      <c r="G219" t="n">
        <v>5.4</v>
      </c>
      <c r="H219" t="n">
        <v>0</v>
      </c>
      <c r="I219" t="n">
        <v>0</v>
      </c>
      <c r="J219" t="n">
        <v>0</v>
      </c>
      <c r="K219" t="n">
        <v>0</v>
      </c>
      <c r="L219" t="n">
        <v>0</v>
      </c>
      <c r="M219" t="n">
        <v>0</v>
      </c>
      <c r="N219" t="n">
        <v>0</v>
      </c>
      <c r="O219" t="n">
        <v>0</v>
      </c>
      <c r="P219" t="n">
        <v>0</v>
      </c>
      <c r="Q219" t="n">
        <v>0</v>
      </c>
      <c r="R219" s="2" t="inlineStr"/>
    </row>
    <row r="220" ht="15" customHeight="1">
      <c r="A220" t="inlineStr">
        <is>
          <t>A 43410-2021</t>
        </is>
      </c>
      <c r="B220" s="1" t="n">
        <v>44432</v>
      </c>
      <c r="C220" s="1" t="n">
        <v>45757</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44922-2021</t>
        </is>
      </c>
      <c r="B221" s="1" t="n">
        <v>44438</v>
      </c>
      <c r="C221" s="1" t="n">
        <v>45757</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45155-2021</t>
        </is>
      </c>
      <c r="B222" s="1" t="n">
        <v>44439</v>
      </c>
      <c r="C222" s="1" t="n">
        <v>45757</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45788-2021</t>
        </is>
      </c>
      <c r="B223" s="1" t="n">
        <v>44441</v>
      </c>
      <c r="C223" s="1" t="n">
        <v>45757</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47121-2021</t>
        </is>
      </c>
      <c r="B224" s="1" t="n">
        <v>44446</v>
      </c>
      <c r="C224" s="1" t="n">
        <v>45757</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48949-2021</t>
        </is>
      </c>
      <c r="B225" s="1" t="n">
        <v>44453</v>
      </c>
      <c r="C225" s="1" t="n">
        <v>45757</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53625-2021</t>
        </is>
      </c>
      <c r="B226" s="1" t="n">
        <v>44469</v>
      </c>
      <c r="C226" s="1" t="n">
        <v>45757</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56153-2021</t>
        </is>
      </c>
      <c r="B227" s="1" t="n">
        <v>44477</v>
      </c>
      <c r="C227" s="1" t="n">
        <v>45757</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58569-2021</t>
        </is>
      </c>
      <c r="B228" s="1" t="n">
        <v>44488</v>
      </c>
      <c r="C228" s="1" t="n">
        <v>45757</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59422-2021</t>
        </is>
      </c>
      <c r="B229" s="1" t="n">
        <v>44491</v>
      </c>
      <c r="C229" s="1" t="n">
        <v>45757</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61546-2021</t>
        </is>
      </c>
      <c r="B230" s="1" t="n">
        <v>44501</v>
      </c>
      <c r="C230" s="1" t="n">
        <v>45757</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61669-2021</t>
        </is>
      </c>
      <c r="B231" s="1" t="n">
        <v>44501</v>
      </c>
      <c r="C231" s="1" t="n">
        <v>45757</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61676-2021</t>
        </is>
      </c>
      <c r="B232" s="1" t="n">
        <v>44501</v>
      </c>
      <c r="C232" s="1" t="n">
        <v>45757</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62279-2021</t>
        </is>
      </c>
      <c r="B233" s="1" t="n">
        <v>44503</v>
      </c>
      <c r="C233" s="1" t="n">
        <v>45757</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64718-2021</t>
        </is>
      </c>
      <c r="B234" s="1" t="n">
        <v>44512</v>
      </c>
      <c r="C234" s="1" t="n">
        <v>45757</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68573-2021</t>
        </is>
      </c>
      <c r="B235" s="1" t="n">
        <v>44529</v>
      </c>
      <c r="C235" s="1" t="n">
        <v>45757</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68617-2021</t>
        </is>
      </c>
      <c r="B236" s="1" t="n">
        <v>44529</v>
      </c>
      <c r="C236" s="1" t="n">
        <v>45757</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69525-2021</t>
        </is>
      </c>
      <c r="B237" s="1" t="n">
        <v>44531</v>
      </c>
      <c r="C237" s="1" t="n">
        <v>45757</v>
      </c>
      <c r="D237" t="inlineStr">
        <is>
          <t>DALARNAS LÄN</t>
        </is>
      </c>
      <c r="E237" t="inlineStr">
        <is>
          <t>LEKSAND</t>
        </is>
      </c>
      <c r="G237" t="n">
        <v>2.9</v>
      </c>
      <c r="H237" t="n">
        <v>0</v>
      </c>
      <c r="I237" t="n">
        <v>0</v>
      </c>
      <c r="J237" t="n">
        <v>0</v>
      </c>
      <c r="K237" t="n">
        <v>0</v>
      </c>
      <c r="L237" t="n">
        <v>0</v>
      </c>
      <c r="M237" t="n">
        <v>0</v>
      </c>
      <c r="N237" t="n">
        <v>0</v>
      </c>
      <c r="O237" t="n">
        <v>0</v>
      </c>
      <c r="P237" t="n">
        <v>0</v>
      </c>
      <c r="Q237" t="n">
        <v>0</v>
      </c>
      <c r="R237" s="2" t="inlineStr"/>
    </row>
    <row r="238" ht="15" customHeight="1">
      <c r="A238" t="inlineStr">
        <is>
          <t>A 70098-2021</t>
        </is>
      </c>
      <c r="B238" s="1" t="n">
        <v>44533</v>
      </c>
      <c r="C238" s="1" t="n">
        <v>45757</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70099-2021</t>
        </is>
      </c>
      <c r="B239" s="1" t="n">
        <v>44533</v>
      </c>
      <c r="C239" s="1" t="n">
        <v>45757</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70026-2021</t>
        </is>
      </c>
      <c r="B240" s="1" t="n">
        <v>44533</v>
      </c>
      <c r="C240" s="1" t="n">
        <v>45757</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70296-2021</t>
        </is>
      </c>
      <c r="B241" s="1" t="n">
        <v>44536</v>
      </c>
      <c r="C241" s="1" t="n">
        <v>45757</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70451-2021</t>
        </is>
      </c>
      <c r="B242" s="1" t="n">
        <v>44536</v>
      </c>
      <c r="C242" s="1" t="n">
        <v>45757</v>
      </c>
      <c r="D242" t="inlineStr">
        <is>
          <t>DALARNAS LÄN</t>
        </is>
      </c>
      <c r="E242" t="inlineStr">
        <is>
          <t>LEKSAND</t>
        </is>
      </c>
      <c r="G242" t="n">
        <v>3.7</v>
      </c>
      <c r="H242" t="n">
        <v>0</v>
      </c>
      <c r="I242" t="n">
        <v>0</v>
      </c>
      <c r="J242" t="n">
        <v>0</v>
      </c>
      <c r="K242" t="n">
        <v>0</v>
      </c>
      <c r="L242" t="n">
        <v>0</v>
      </c>
      <c r="M242" t="n">
        <v>0</v>
      </c>
      <c r="N242" t="n">
        <v>0</v>
      </c>
      <c r="O242" t="n">
        <v>0</v>
      </c>
      <c r="P242" t="n">
        <v>0</v>
      </c>
      <c r="Q242" t="n">
        <v>0</v>
      </c>
      <c r="R242" s="2" t="inlineStr"/>
    </row>
    <row r="243" ht="15" customHeight="1">
      <c r="A243" t="inlineStr">
        <is>
          <t>A 71311-2021</t>
        </is>
      </c>
      <c r="B243" s="1" t="n">
        <v>44539</v>
      </c>
      <c r="C243" s="1" t="n">
        <v>45757</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71754-2021</t>
        </is>
      </c>
      <c r="B244" s="1" t="n">
        <v>44543</v>
      </c>
      <c r="C244" s="1" t="n">
        <v>45757</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71817-2021</t>
        </is>
      </c>
      <c r="B245" s="1" t="n">
        <v>44543</v>
      </c>
      <c r="C245" s="1" t="n">
        <v>45757</v>
      </c>
      <c r="D245" t="inlineStr">
        <is>
          <t>DALARNAS LÄN</t>
        </is>
      </c>
      <c r="E245" t="inlineStr">
        <is>
          <t>LEKSAND</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72155-2021</t>
        </is>
      </c>
      <c r="B246" s="1" t="n">
        <v>44543</v>
      </c>
      <c r="C246" s="1" t="n">
        <v>45757</v>
      </c>
      <c r="D246" t="inlineStr">
        <is>
          <t>DALARNAS LÄN</t>
        </is>
      </c>
      <c r="E246" t="inlineStr">
        <is>
          <t>LEKSAND</t>
        </is>
      </c>
      <c r="G246" t="n">
        <v>2.5</v>
      </c>
      <c r="H246" t="n">
        <v>0</v>
      </c>
      <c r="I246" t="n">
        <v>0</v>
      </c>
      <c r="J246" t="n">
        <v>0</v>
      </c>
      <c r="K246" t="n">
        <v>0</v>
      </c>
      <c r="L246" t="n">
        <v>0</v>
      </c>
      <c r="M246" t="n">
        <v>0</v>
      </c>
      <c r="N246" t="n">
        <v>0</v>
      </c>
      <c r="O246" t="n">
        <v>0</v>
      </c>
      <c r="P246" t="n">
        <v>0</v>
      </c>
      <c r="Q246" t="n">
        <v>0</v>
      </c>
      <c r="R246" s="2" t="inlineStr"/>
    </row>
    <row r="247" ht="15" customHeight="1">
      <c r="A247" t="inlineStr">
        <is>
          <t>A 72000-2021</t>
        </is>
      </c>
      <c r="B247" s="1" t="n">
        <v>44544</v>
      </c>
      <c r="C247" s="1" t="n">
        <v>45757</v>
      </c>
      <c r="D247" t="inlineStr">
        <is>
          <t>DALARNAS LÄN</t>
        </is>
      </c>
      <c r="E247" t="inlineStr">
        <is>
          <t>LEKSAND</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72001-2021</t>
        </is>
      </c>
      <c r="B248" s="1" t="n">
        <v>44544</v>
      </c>
      <c r="C248" s="1" t="n">
        <v>45757</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72581-2021</t>
        </is>
      </c>
      <c r="B249" s="1" t="n">
        <v>44546</v>
      </c>
      <c r="C249" s="1" t="n">
        <v>45757</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72531-2021</t>
        </is>
      </c>
      <c r="B250" s="1" t="n">
        <v>44546</v>
      </c>
      <c r="C250" s="1" t="n">
        <v>45757</v>
      </c>
      <c r="D250" t="inlineStr">
        <is>
          <t>DALARNAS LÄN</t>
        </is>
      </c>
      <c r="E250" t="inlineStr">
        <is>
          <t>LEKSAND</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72575-2021</t>
        </is>
      </c>
      <c r="B251" s="1" t="n">
        <v>44546</v>
      </c>
      <c r="C251" s="1" t="n">
        <v>45757</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74067-2021</t>
        </is>
      </c>
      <c r="B252" s="1" t="n">
        <v>44553</v>
      </c>
      <c r="C252" s="1" t="n">
        <v>45757</v>
      </c>
      <c r="D252" t="inlineStr">
        <is>
          <t>DALARNAS LÄN</t>
        </is>
      </c>
      <c r="E252" t="inlineStr">
        <is>
          <t>LEKSAND</t>
        </is>
      </c>
      <c r="G252" t="n">
        <v>1.8</v>
      </c>
      <c r="H252" t="n">
        <v>0</v>
      </c>
      <c r="I252" t="n">
        <v>0</v>
      </c>
      <c r="J252" t="n">
        <v>0</v>
      </c>
      <c r="K252" t="n">
        <v>0</v>
      </c>
      <c r="L252" t="n">
        <v>0</v>
      </c>
      <c r="M252" t="n">
        <v>0</v>
      </c>
      <c r="N252" t="n">
        <v>0</v>
      </c>
      <c r="O252" t="n">
        <v>0</v>
      </c>
      <c r="P252" t="n">
        <v>0</v>
      </c>
      <c r="Q252" t="n">
        <v>0</v>
      </c>
      <c r="R252" s="2" t="inlineStr"/>
    </row>
    <row r="253" ht="15" customHeight="1">
      <c r="A253" t="inlineStr">
        <is>
          <t>A 791-2022</t>
        </is>
      </c>
      <c r="B253" s="1" t="n">
        <v>44570</v>
      </c>
      <c r="C253" s="1" t="n">
        <v>45757</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1775-2022</t>
        </is>
      </c>
      <c r="B254" s="1" t="n">
        <v>44574</v>
      </c>
      <c r="C254" s="1" t="n">
        <v>45757</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2579-2022</t>
        </is>
      </c>
      <c r="B255" s="1" t="n">
        <v>44580</v>
      </c>
      <c r="C255" s="1" t="n">
        <v>45757</v>
      </c>
      <c r="D255" t="inlineStr">
        <is>
          <t>DALARNAS LÄN</t>
        </is>
      </c>
      <c r="E255" t="inlineStr">
        <is>
          <t>LEKSAND</t>
        </is>
      </c>
      <c r="G255" t="n">
        <v>0.3</v>
      </c>
      <c r="H255" t="n">
        <v>0</v>
      </c>
      <c r="I255" t="n">
        <v>0</v>
      </c>
      <c r="J255" t="n">
        <v>0</v>
      </c>
      <c r="K255" t="n">
        <v>0</v>
      </c>
      <c r="L255" t="n">
        <v>0</v>
      </c>
      <c r="M255" t="n">
        <v>0</v>
      </c>
      <c r="N255" t="n">
        <v>0</v>
      </c>
      <c r="O255" t="n">
        <v>0</v>
      </c>
      <c r="P255" t="n">
        <v>0</v>
      </c>
      <c r="Q255" t="n">
        <v>0</v>
      </c>
      <c r="R255" s="2" t="inlineStr"/>
    </row>
    <row r="256" ht="15" customHeight="1">
      <c r="A256" t="inlineStr">
        <is>
          <t>A 4257-2022</t>
        </is>
      </c>
      <c r="B256" s="1" t="n">
        <v>44588</v>
      </c>
      <c r="C256" s="1" t="n">
        <v>45757</v>
      </c>
      <c r="D256" t="inlineStr">
        <is>
          <t>DALARNAS LÄN</t>
        </is>
      </c>
      <c r="E256" t="inlineStr">
        <is>
          <t>LEKSAND</t>
        </is>
      </c>
      <c r="G256" t="n">
        <v>6.8</v>
      </c>
      <c r="H256" t="n">
        <v>0</v>
      </c>
      <c r="I256" t="n">
        <v>0</v>
      </c>
      <c r="J256" t="n">
        <v>0</v>
      </c>
      <c r="K256" t="n">
        <v>0</v>
      </c>
      <c r="L256" t="n">
        <v>0</v>
      </c>
      <c r="M256" t="n">
        <v>0</v>
      </c>
      <c r="N256" t="n">
        <v>0</v>
      </c>
      <c r="O256" t="n">
        <v>0</v>
      </c>
      <c r="P256" t="n">
        <v>0</v>
      </c>
      <c r="Q256" t="n">
        <v>0</v>
      </c>
      <c r="R256" s="2" t="inlineStr"/>
    </row>
    <row r="257" ht="15" customHeight="1">
      <c r="A257" t="inlineStr">
        <is>
          <t>A 4609-2022</t>
        </is>
      </c>
      <c r="B257" s="1" t="n">
        <v>44592</v>
      </c>
      <c r="C257" s="1" t="n">
        <v>45757</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8501-2022</t>
        </is>
      </c>
      <c r="B258" s="1" t="n">
        <v>44613</v>
      </c>
      <c r="C258" s="1" t="n">
        <v>45757</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11015-2022</t>
        </is>
      </c>
      <c r="B259" s="1" t="n">
        <v>44628</v>
      </c>
      <c r="C259" s="1" t="n">
        <v>45757</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11412-2022</t>
        </is>
      </c>
      <c r="B260" s="1" t="n">
        <v>44630</v>
      </c>
      <c r="C260" s="1" t="n">
        <v>45757</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12992-2022</t>
        </is>
      </c>
      <c r="B261" s="1" t="n">
        <v>44643</v>
      </c>
      <c r="C261" s="1" t="n">
        <v>45757</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14140-2022</t>
        </is>
      </c>
      <c r="B262" s="1" t="n">
        <v>44651</v>
      </c>
      <c r="C262" s="1" t="n">
        <v>45757</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14806-2022</t>
        </is>
      </c>
      <c r="B263" s="1" t="n">
        <v>44656</v>
      </c>
      <c r="C263" s="1" t="n">
        <v>45757</v>
      </c>
      <c r="D263" t="inlineStr">
        <is>
          <t>DALARNAS LÄN</t>
        </is>
      </c>
      <c r="E263" t="inlineStr">
        <is>
          <t>LEKSAND</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16353-2022</t>
        </is>
      </c>
      <c r="B264" s="1" t="n">
        <v>44670</v>
      </c>
      <c r="C264" s="1" t="n">
        <v>45757</v>
      </c>
      <c r="D264" t="inlineStr">
        <is>
          <t>DALARNAS LÄN</t>
        </is>
      </c>
      <c r="E264" t="inlineStr">
        <is>
          <t>LEKSAND</t>
        </is>
      </c>
      <c r="G264" t="n">
        <v>1.7</v>
      </c>
      <c r="H264" t="n">
        <v>0</v>
      </c>
      <c r="I264" t="n">
        <v>0</v>
      </c>
      <c r="J264" t="n">
        <v>0</v>
      </c>
      <c r="K264" t="n">
        <v>0</v>
      </c>
      <c r="L264" t="n">
        <v>0</v>
      </c>
      <c r="M264" t="n">
        <v>0</v>
      </c>
      <c r="N264" t="n">
        <v>0</v>
      </c>
      <c r="O264" t="n">
        <v>0</v>
      </c>
      <c r="P264" t="n">
        <v>0</v>
      </c>
      <c r="Q264" t="n">
        <v>0</v>
      </c>
      <c r="R264" s="2" t="inlineStr"/>
    </row>
    <row r="265" ht="15" customHeight="1">
      <c r="A265" t="inlineStr">
        <is>
          <t>A 16375-2022</t>
        </is>
      </c>
      <c r="B265" s="1" t="n">
        <v>44671</v>
      </c>
      <c r="C265" s="1" t="n">
        <v>45757</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16976-2022</t>
        </is>
      </c>
      <c r="B266" s="1" t="n">
        <v>44676</v>
      </c>
      <c r="C266" s="1" t="n">
        <v>45757</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17455-2022</t>
        </is>
      </c>
      <c r="B267" s="1" t="n">
        <v>44679</v>
      </c>
      <c r="C267" s="1" t="n">
        <v>45757</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18140-2022</t>
        </is>
      </c>
      <c r="B268" s="1" t="n">
        <v>44684</v>
      </c>
      <c r="C268" s="1" t="n">
        <v>45757</v>
      </c>
      <c r="D268" t="inlineStr">
        <is>
          <t>DALARNAS LÄN</t>
        </is>
      </c>
      <c r="E268" t="inlineStr">
        <is>
          <t>LEKSAND</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18866-2022</t>
        </is>
      </c>
      <c r="B269" s="1" t="n">
        <v>44690</v>
      </c>
      <c r="C269" s="1" t="n">
        <v>45757</v>
      </c>
      <c r="D269" t="inlineStr">
        <is>
          <t>DALARNAS LÄN</t>
        </is>
      </c>
      <c r="E269" t="inlineStr">
        <is>
          <t>LEKSAND</t>
        </is>
      </c>
      <c r="F269" t="inlineStr">
        <is>
          <t>Övriga Aktiebolag</t>
        </is>
      </c>
      <c r="G269" t="n">
        <v>5.1</v>
      </c>
      <c r="H269" t="n">
        <v>0</v>
      </c>
      <c r="I269" t="n">
        <v>0</v>
      </c>
      <c r="J269" t="n">
        <v>0</v>
      </c>
      <c r="K269" t="n">
        <v>0</v>
      </c>
      <c r="L269" t="n">
        <v>0</v>
      </c>
      <c r="M269" t="n">
        <v>0</v>
      </c>
      <c r="N269" t="n">
        <v>0</v>
      </c>
      <c r="O269" t="n">
        <v>0</v>
      </c>
      <c r="P269" t="n">
        <v>0</v>
      </c>
      <c r="Q269" t="n">
        <v>0</v>
      </c>
      <c r="R269" s="2" t="inlineStr"/>
    </row>
    <row r="270" ht="15" customHeight="1">
      <c r="A270" t="inlineStr">
        <is>
          <t>A 18870-2022</t>
        </is>
      </c>
      <c r="B270" s="1" t="n">
        <v>44690</v>
      </c>
      <c r="C270" s="1" t="n">
        <v>45757</v>
      </c>
      <c r="D270" t="inlineStr">
        <is>
          <t>DALARNAS LÄN</t>
        </is>
      </c>
      <c r="E270" t="inlineStr">
        <is>
          <t>LEKSAND</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19467-2022</t>
        </is>
      </c>
      <c r="B271" s="1" t="n">
        <v>44693</v>
      </c>
      <c r="C271" s="1" t="n">
        <v>45757</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19480-2022</t>
        </is>
      </c>
      <c r="B272" s="1" t="n">
        <v>44693</v>
      </c>
      <c r="C272" s="1" t="n">
        <v>45757</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19993-2022</t>
        </is>
      </c>
      <c r="B273" s="1" t="n">
        <v>44697</v>
      </c>
      <c r="C273" s="1" t="n">
        <v>45757</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20274-2022</t>
        </is>
      </c>
      <c r="B274" s="1" t="n">
        <v>44698</v>
      </c>
      <c r="C274" s="1" t="n">
        <v>45757</v>
      </c>
      <c r="D274" t="inlineStr">
        <is>
          <t>DALARNAS LÄN</t>
        </is>
      </c>
      <c r="E274" t="inlineStr">
        <is>
          <t>LEKSAND</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21565-2022</t>
        </is>
      </c>
      <c r="B275" s="1" t="n">
        <v>44704</v>
      </c>
      <c r="C275" s="1" t="n">
        <v>45757</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21841-2022</t>
        </is>
      </c>
      <c r="B276" s="1" t="n">
        <v>44711</v>
      </c>
      <c r="C276" s="1" t="n">
        <v>45757</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21839-2022</t>
        </is>
      </c>
      <c r="B277" s="1" t="n">
        <v>44711</v>
      </c>
      <c r="C277" s="1" t="n">
        <v>45757</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21840-2022</t>
        </is>
      </c>
      <c r="B278" s="1" t="n">
        <v>44711</v>
      </c>
      <c r="C278" s="1" t="n">
        <v>45757</v>
      </c>
      <c r="D278" t="inlineStr">
        <is>
          <t>DALARNAS LÄN</t>
        </is>
      </c>
      <c r="E278" t="inlineStr">
        <is>
          <t>LEKSAND</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22683-2022</t>
        </is>
      </c>
      <c r="B279" s="1" t="n">
        <v>44714</v>
      </c>
      <c r="C279" s="1" t="n">
        <v>45757</v>
      </c>
      <c r="D279" t="inlineStr">
        <is>
          <t>DALARNAS LÄN</t>
        </is>
      </c>
      <c r="E279" t="inlineStr">
        <is>
          <t>LEKSAND</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22681-2022</t>
        </is>
      </c>
      <c r="B280" s="1" t="n">
        <v>44714</v>
      </c>
      <c r="C280" s="1" t="n">
        <v>45757</v>
      </c>
      <c r="D280" t="inlineStr">
        <is>
          <t>DALARNAS LÄN</t>
        </is>
      </c>
      <c r="E280" t="inlineStr">
        <is>
          <t>LEKSAND</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22684-2022</t>
        </is>
      </c>
      <c r="B281" s="1" t="n">
        <v>44714</v>
      </c>
      <c r="C281" s="1" t="n">
        <v>45757</v>
      </c>
      <c r="D281" t="inlineStr">
        <is>
          <t>DALARNAS LÄN</t>
        </is>
      </c>
      <c r="E281" t="inlineStr">
        <is>
          <t>LEKSAND</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25329-2022</t>
        </is>
      </c>
      <c r="B282" s="1" t="n">
        <v>44731</v>
      </c>
      <c r="C282" s="1" t="n">
        <v>45757</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26289-2022</t>
        </is>
      </c>
      <c r="B283" s="1" t="n">
        <v>44735</v>
      </c>
      <c r="C283" s="1" t="n">
        <v>45757</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26882-2022</t>
        </is>
      </c>
      <c r="B284" s="1" t="n">
        <v>44740</v>
      </c>
      <c r="C284" s="1" t="n">
        <v>45757</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28128-2022</t>
        </is>
      </c>
      <c r="B285" s="1" t="n">
        <v>44746</v>
      </c>
      <c r="C285" s="1" t="n">
        <v>45757</v>
      </c>
      <c r="D285" t="inlineStr">
        <is>
          <t>DALARNAS LÄN</t>
        </is>
      </c>
      <c r="E285" t="inlineStr">
        <is>
          <t>LEKSAND</t>
        </is>
      </c>
      <c r="G285" t="n">
        <v>3.5</v>
      </c>
      <c r="H285" t="n">
        <v>0</v>
      </c>
      <c r="I285" t="n">
        <v>0</v>
      </c>
      <c r="J285" t="n">
        <v>0</v>
      </c>
      <c r="K285" t="n">
        <v>0</v>
      </c>
      <c r="L285" t="n">
        <v>0</v>
      </c>
      <c r="M285" t="n">
        <v>0</v>
      </c>
      <c r="N285" t="n">
        <v>0</v>
      </c>
      <c r="O285" t="n">
        <v>0</v>
      </c>
      <c r="P285" t="n">
        <v>0</v>
      </c>
      <c r="Q285" t="n">
        <v>0</v>
      </c>
      <c r="R285" s="2" t="inlineStr"/>
    </row>
    <row r="286" ht="15" customHeight="1">
      <c r="A286" t="inlineStr">
        <is>
          <t>A 28911-2022</t>
        </is>
      </c>
      <c r="B286" s="1" t="n">
        <v>44749</v>
      </c>
      <c r="C286" s="1" t="n">
        <v>45757</v>
      </c>
      <c r="D286" t="inlineStr">
        <is>
          <t>DALARNAS LÄN</t>
        </is>
      </c>
      <c r="E286" t="inlineStr">
        <is>
          <t>LEKSAND</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28892-2022</t>
        </is>
      </c>
      <c r="B287" s="1" t="n">
        <v>44749</v>
      </c>
      <c r="C287" s="1" t="n">
        <v>45757</v>
      </c>
      <c r="D287" t="inlineStr">
        <is>
          <t>DALARNAS LÄN</t>
        </is>
      </c>
      <c r="E287" t="inlineStr">
        <is>
          <t>LEKSAND</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28912-2022</t>
        </is>
      </c>
      <c r="B288" s="1" t="n">
        <v>44749</v>
      </c>
      <c r="C288" s="1" t="n">
        <v>45757</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29205-2022</t>
        </is>
      </c>
      <c r="B289" s="1" t="n">
        <v>44750</v>
      </c>
      <c r="C289" s="1" t="n">
        <v>45757</v>
      </c>
      <c r="D289" t="inlineStr">
        <is>
          <t>DALARNAS LÄN</t>
        </is>
      </c>
      <c r="E289" t="inlineStr">
        <is>
          <t>LEKSAND</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29157-2022</t>
        </is>
      </c>
      <c r="B290" s="1" t="n">
        <v>44750</v>
      </c>
      <c r="C290" s="1" t="n">
        <v>45757</v>
      </c>
      <c r="D290" t="inlineStr">
        <is>
          <t>DALARNAS LÄN</t>
        </is>
      </c>
      <c r="E290" t="inlineStr">
        <is>
          <t>LEKSAND</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30449-2022</t>
        </is>
      </c>
      <c r="B291" s="1" t="n">
        <v>44761</v>
      </c>
      <c r="C291" s="1" t="n">
        <v>45757</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31746-2022</t>
        </is>
      </c>
      <c r="B292" s="1" t="n">
        <v>44776</v>
      </c>
      <c r="C292" s="1" t="n">
        <v>45757</v>
      </c>
      <c r="D292" t="inlineStr">
        <is>
          <t>DALARNAS LÄN</t>
        </is>
      </c>
      <c r="E292" t="inlineStr">
        <is>
          <t>LEKSAND</t>
        </is>
      </c>
      <c r="G292" t="n">
        <v>3.3</v>
      </c>
      <c r="H292" t="n">
        <v>0</v>
      </c>
      <c r="I292" t="n">
        <v>0</v>
      </c>
      <c r="J292" t="n">
        <v>0</v>
      </c>
      <c r="K292" t="n">
        <v>0</v>
      </c>
      <c r="L292" t="n">
        <v>0</v>
      </c>
      <c r="M292" t="n">
        <v>0</v>
      </c>
      <c r="N292" t="n">
        <v>0</v>
      </c>
      <c r="O292" t="n">
        <v>0</v>
      </c>
      <c r="P292" t="n">
        <v>0</v>
      </c>
      <c r="Q292" t="n">
        <v>0</v>
      </c>
      <c r="R292" s="2" t="inlineStr"/>
    </row>
    <row r="293" ht="15" customHeight="1">
      <c r="A293" t="inlineStr">
        <is>
          <t>A 31871-2022</t>
        </is>
      </c>
      <c r="B293" s="1" t="n">
        <v>44777</v>
      </c>
      <c r="C293" s="1" t="n">
        <v>45757</v>
      </c>
      <c r="D293" t="inlineStr">
        <is>
          <t>DALARNAS LÄN</t>
        </is>
      </c>
      <c r="E293" t="inlineStr">
        <is>
          <t>LEKSAND</t>
        </is>
      </c>
      <c r="G293" t="n">
        <v>4.1</v>
      </c>
      <c r="H293" t="n">
        <v>0</v>
      </c>
      <c r="I293" t="n">
        <v>0</v>
      </c>
      <c r="J293" t="n">
        <v>0</v>
      </c>
      <c r="K293" t="n">
        <v>0</v>
      </c>
      <c r="L293" t="n">
        <v>0</v>
      </c>
      <c r="M293" t="n">
        <v>0</v>
      </c>
      <c r="N293" t="n">
        <v>0</v>
      </c>
      <c r="O293" t="n">
        <v>0</v>
      </c>
      <c r="P293" t="n">
        <v>0</v>
      </c>
      <c r="Q293" t="n">
        <v>0</v>
      </c>
      <c r="R293" s="2" t="inlineStr"/>
    </row>
    <row r="294" ht="15" customHeight="1">
      <c r="A294" t="inlineStr">
        <is>
          <t>A 32225-2022</t>
        </is>
      </c>
      <c r="B294" s="1" t="n">
        <v>44781</v>
      </c>
      <c r="C294" s="1" t="n">
        <v>45757</v>
      </c>
      <c r="D294" t="inlineStr">
        <is>
          <t>DALARNAS LÄN</t>
        </is>
      </c>
      <c r="E294" t="inlineStr">
        <is>
          <t>LEKSAND</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32476-2022</t>
        </is>
      </c>
      <c r="B295" s="1" t="n">
        <v>44782</v>
      </c>
      <c r="C295" s="1" t="n">
        <v>45757</v>
      </c>
      <c r="D295" t="inlineStr">
        <is>
          <t>DALARNAS LÄN</t>
        </is>
      </c>
      <c r="E295" t="inlineStr">
        <is>
          <t>LEKSAND</t>
        </is>
      </c>
      <c r="G295" t="n">
        <v>5.6</v>
      </c>
      <c r="H295" t="n">
        <v>0</v>
      </c>
      <c r="I295" t="n">
        <v>0</v>
      </c>
      <c r="J295" t="n">
        <v>0</v>
      </c>
      <c r="K295" t="n">
        <v>0</v>
      </c>
      <c r="L295" t="n">
        <v>0</v>
      </c>
      <c r="M295" t="n">
        <v>0</v>
      </c>
      <c r="N295" t="n">
        <v>0</v>
      </c>
      <c r="O295" t="n">
        <v>0</v>
      </c>
      <c r="P295" t="n">
        <v>0</v>
      </c>
      <c r="Q295" t="n">
        <v>0</v>
      </c>
      <c r="R295" s="2" t="inlineStr"/>
    </row>
    <row r="296" ht="15" customHeight="1">
      <c r="A296" t="inlineStr">
        <is>
          <t>A 32791-2022</t>
        </is>
      </c>
      <c r="B296" s="1" t="n">
        <v>44784</v>
      </c>
      <c r="C296" s="1" t="n">
        <v>45757</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33198-2022</t>
        </is>
      </c>
      <c r="B297" s="1" t="n">
        <v>44785</v>
      </c>
      <c r="C297" s="1" t="n">
        <v>45757</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34317-2022</t>
        </is>
      </c>
      <c r="B298" s="1" t="n">
        <v>44792</v>
      </c>
      <c r="C298" s="1" t="n">
        <v>45757</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34482-2022</t>
        </is>
      </c>
      <c r="B299" s="1" t="n">
        <v>44792</v>
      </c>
      <c r="C299" s="1" t="n">
        <v>45757</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35080-2022</t>
        </is>
      </c>
      <c r="B300" s="1" t="n">
        <v>44797</v>
      </c>
      <c r="C300" s="1" t="n">
        <v>45757</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35087-2022</t>
        </is>
      </c>
      <c r="B301" s="1" t="n">
        <v>44797</v>
      </c>
      <c r="C301" s="1" t="n">
        <v>45757</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35801-2022</t>
        </is>
      </c>
      <c r="B302" s="1" t="n">
        <v>44802</v>
      </c>
      <c r="C302" s="1" t="n">
        <v>45757</v>
      </c>
      <c r="D302" t="inlineStr">
        <is>
          <t>DALARNAS LÄN</t>
        </is>
      </c>
      <c r="E302" t="inlineStr">
        <is>
          <t>LEKSAND</t>
        </is>
      </c>
      <c r="F302" t="inlineStr">
        <is>
          <t>Bergvik skog väst AB</t>
        </is>
      </c>
      <c r="G302" t="n">
        <v>6.4</v>
      </c>
      <c r="H302" t="n">
        <v>0</v>
      </c>
      <c r="I302" t="n">
        <v>0</v>
      </c>
      <c r="J302" t="n">
        <v>0</v>
      </c>
      <c r="K302" t="n">
        <v>0</v>
      </c>
      <c r="L302" t="n">
        <v>0</v>
      </c>
      <c r="M302" t="n">
        <v>0</v>
      </c>
      <c r="N302" t="n">
        <v>0</v>
      </c>
      <c r="O302" t="n">
        <v>0</v>
      </c>
      <c r="P302" t="n">
        <v>0</v>
      </c>
      <c r="Q302" t="n">
        <v>0</v>
      </c>
      <c r="R302" s="2" t="inlineStr"/>
    </row>
    <row r="303" ht="15" customHeight="1">
      <c r="A303" t="inlineStr">
        <is>
          <t>A 35952-2022</t>
        </is>
      </c>
      <c r="B303" s="1" t="n">
        <v>44802</v>
      </c>
      <c r="C303" s="1" t="n">
        <v>45757</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37300-2022</t>
        </is>
      </c>
      <c r="B304" s="1" t="n">
        <v>44808</v>
      </c>
      <c r="C304" s="1" t="n">
        <v>45757</v>
      </c>
      <c r="D304" t="inlineStr">
        <is>
          <t>DALARNAS LÄN</t>
        </is>
      </c>
      <c r="E304" t="inlineStr">
        <is>
          <t>LEKSAND</t>
        </is>
      </c>
      <c r="G304" t="n">
        <v>6.3</v>
      </c>
      <c r="H304" t="n">
        <v>0</v>
      </c>
      <c r="I304" t="n">
        <v>0</v>
      </c>
      <c r="J304" t="n">
        <v>0</v>
      </c>
      <c r="K304" t="n">
        <v>0</v>
      </c>
      <c r="L304" t="n">
        <v>0</v>
      </c>
      <c r="M304" t="n">
        <v>0</v>
      </c>
      <c r="N304" t="n">
        <v>0</v>
      </c>
      <c r="O304" t="n">
        <v>0</v>
      </c>
      <c r="P304" t="n">
        <v>0</v>
      </c>
      <c r="Q304" t="n">
        <v>0</v>
      </c>
      <c r="R304" s="2" t="inlineStr"/>
    </row>
    <row r="305" ht="15" customHeight="1">
      <c r="A305" t="inlineStr">
        <is>
          <t>A 37928-2022</t>
        </is>
      </c>
      <c r="B305" s="1" t="n">
        <v>44811</v>
      </c>
      <c r="C305" s="1" t="n">
        <v>45757</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38236-2022</t>
        </is>
      </c>
      <c r="B306" s="1" t="n">
        <v>44812</v>
      </c>
      <c r="C306" s="1" t="n">
        <v>45757</v>
      </c>
      <c r="D306" t="inlineStr">
        <is>
          <t>DALARNAS LÄN</t>
        </is>
      </c>
      <c r="E306" t="inlineStr">
        <is>
          <t>LEKSAND</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38258-2022</t>
        </is>
      </c>
      <c r="B307" s="1" t="n">
        <v>44812</v>
      </c>
      <c r="C307" s="1" t="n">
        <v>45757</v>
      </c>
      <c r="D307" t="inlineStr">
        <is>
          <t>DALARNAS LÄN</t>
        </is>
      </c>
      <c r="E307" t="inlineStr">
        <is>
          <t>LEKSAND</t>
        </is>
      </c>
      <c r="G307" t="n">
        <v>3.9</v>
      </c>
      <c r="H307" t="n">
        <v>0</v>
      </c>
      <c r="I307" t="n">
        <v>0</v>
      </c>
      <c r="J307" t="n">
        <v>0</v>
      </c>
      <c r="K307" t="n">
        <v>0</v>
      </c>
      <c r="L307" t="n">
        <v>0</v>
      </c>
      <c r="M307" t="n">
        <v>0</v>
      </c>
      <c r="N307" t="n">
        <v>0</v>
      </c>
      <c r="O307" t="n">
        <v>0</v>
      </c>
      <c r="P307" t="n">
        <v>0</v>
      </c>
      <c r="Q307" t="n">
        <v>0</v>
      </c>
      <c r="R307" s="2" t="inlineStr"/>
    </row>
    <row r="308" ht="15" customHeight="1">
      <c r="A308" t="inlineStr">
        <is>
          <t>A 38764-2022</t>
        </is>
      </c>
      <c r="B308" s="1" t="n">
        <v>44816</v>
      </c>
      <c r="C308" s="1" t="n">
        <v>45757</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39658-2022</t>
        </is>
      </c>
      <c r="B309" s="1" t="n">
        <v>44818</v>
      </c>
      <c r="C309" s="1" t="n">
        <v>45757</v>
      </c>
      <c r="D309" t="inlineStr">
        <is>
          <t>DALARNAS LÄN</t>
        </is>
      </c>
      <c r="E309" t="inlineStr">
        <is>
          <t>LEKSAND</t>
        </is>
      </c>
      <c r="G309" t="n">
        <v>5.4</v>
      </c>
      <c r="H309" t="n">
        <v>0</v>
      </c>
      <c r="I309" t="n">
        <v>0</v>
      </c>
      <c r="J309" t="n">
        <v>0</v>
      </c>
      <c r="K309" t="n">
        <v>0</v>
      </c>
      <c r="L309" t="n">
        <v>0</v>
      </c>
      <c r="M309" t="n">
        <v>0</v>
      </c>
      <c r="N309" t="n">
        <v>0</v>
      </c>
      <c r="O309" t="n">
        <v>0</v>
      </c>
      <c r="P309" t="n">
        <v>0</v>
      </c>
      <c r="Q309" t="n">
        <v>0</v>
      </c>
      <c r="R309" s="2" t="inlineStr"/>
    </row>
    <row r="310" ht="15" customHeight="1">
      <c r="A310" t="inlineStr">
        <is>
          <t>A 40165-2022</t>
        </is>
      </c>
      <c r="B310" s="1" t="n">
        <v>44820</v>
      </c>
      <c r="C310" s="1" t="n">
        <v>45757</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41351-2022</t>
        </is>
      </c>
      <c r="B311" s="1" t="n">
        <v>44824</v>
      </c>
      <c r="C311" s="1" t="n">
        <v>45757</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43275-2022</t>
        </is>
      </c>
      <c r="B312" s="1" t="n">
        <v>44824</v>
      </c>
      <c r="C312" s="1" t="n">
        <v>45757</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41869-2022</t>
        </is>
      </c>
      <c r="B313" s="1" t="n">
        <v>44829</v>
      </c>
      <c r="C313" s="1" t="n">
        <v>45757</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43300-2022</t>
        </is>
      </c>
      <c r="B314" s="1" t="n">
        <v>44834</v>
      </c>
      <c r="C314" s="1" t="n">
        <v>45757</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43304-2022</t>
        </is>
      </c>
      <c r="B315" s="1" t="n">
        <v>44834</v>
      </c>
      <c r="C315" s="1" t="n">
        <v>45757</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43604-2022</t>
        </is>
      </c>
      <c r="B316" s="1" t="n">
        <v>44837</v>
      </c>
      <c r="C316" s="1" t="n">
        <v>45757</v>
      </c>
      <c r="D316" t="inlineStr">
        <is>
          <t>DALARNAS LÄN</t>
        </is>
      </c>
      <c r="E316" t="inlineStr">
        <is>
          <t>LEKSAND</t>
        </is>
      </c>
      <c r="F316" t="inlineStr">
        <is>
          <t>Bergvik skog väst AB</t>
        </is>
      </c>
      <c r="G316" t="n">
        <v>8</v>
      </c>
      <c r="H316" t="n">
        <v>0</v>
      </c>
      <c r="I316" t="n">
        <v>0</v>
      </c>
      <c r="J316" t="n">
        <v>0</v>
      </c>
      <c r="K316" t="n">
        <v>0</v>
      </c>
      <c r="L316" t="n">
        <v>0</v>
      </c>
      <c r="M316" t="n">
        <v>0</v>
      </c>
      <c r="N316" t="n">
        <v>0</v>
      </c>
      <c r="O316" t="n">
        <v>0</v>
      </c>
      <c r="P316" t="n">
        <v>0</v>
      </c>
      <c r="Q316" t="n">
        <v>0</v>
      </c>
      <c r="R316" s="2" t="inlineStr"/>
    </row>
    <row r="317" ht="15" customHeight="1">
      <c r="A317" t="inlineStr">
        <is>
          <t>A 43693-2022</t>
        </is>
      </c>
      <c r="B317" s="1" t="n">
        <v>44837</v>
      </c>
      <c r="C317" s="1" t="n">
        <v>45757</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43735-2022</t>
        </is>
      </c>
      <c r="B318" s="1" t="n">
        <v>44837</v>
      </c>
      <c r="C318" s="1" t="n">
        <v>45757</v>
      </c>
      <c r="D318" t="inlineStr">
        <is>
          <t>DALARNAS LÄN</t>
        </is>
      </c>
      <c r="E318" t="inlineStr">
        <is>
          <t>LEKSAND</t>
        </is>
      </c>
      <c r="G318" t="n">
        <v>2.9</v>
      </c>
      <c r="H318" t="n">
        <v>0</v>
      </c>
      <c r="I318" t="n">
        <v>0</v>
      </c>
      <c r="J318" t="n">
        <v>0</v>
      </c>
      <c r="K318" t="n">
        <v>0</v>
      </c>
      <c r="L318" t="n">
        <v>0</v>
      </c>
      <c r="M318" t="n">
        <v>0</v>
      </c>
      <c r="N318" t="n">
        <v>0</v>
      </c>
      <c r="O318" t="n">
        <v>0</v>
      </c>
      <c r="P318" t="n">
        <v>0</v>
      </c>
      <c r="Q318" t="n">
        <v>0</v>
      </c>
      <c r="R318" s="2" t="inlineStr"/>
    </row>
    <row r="319" ht="15" customHeight="1">
      <c r="A319" t="inlineStr">
        <is>
          <t>A 44124-2022</t>
        </is>
      </c>
      <c r="B319" s="1" t="n">
        <v>44839</v>
      </c>
      <c r="C319" s="1" t="n">
        <v>45757</v>
      </c>
      <c r="D319" t="inlineStr">
        <is>
          <t>DALARNAS LÄN</t>
        </is>
      </c>
      <c r="E319" t="inlineStr">
        <is>
          <t>LEKSAND</t>
        </is>
      </c>
      <c r="G319" t="n">
        <v>8</v>
      </c>
      <c r="H319" t="n">
        <v>0</v>
      </c>
      <c r="I319" t="n">
        <v>0</v>
      </c>
      <c r="J319" t="n">
        <v>0</v>
      </c>
      <c r="K319" t="n">
        <v>0</v>
      </c>
      <c r="L319" t="n">
        <v>0</v>
      </c>
      <c r="M319" t="n">
        <v>0</v>
      </c>
      <c r="N319" t="n">
        <v>0</v>
      </c>
      <c r="O319" t="n">
        <v>0</v>
      </c>
      <c r="P319" t="n">
        <v>0</v>
      </c>
      <c r="Q319" t="n">
        <v>0</v>
      </c>
      <c r="R319" s="2" t="inlineStr"/>
    </row>
    <row r="320" ht="15" customHeight="1">
      <c r="A320" t="inlineStr">
        <is>
          <t>A 44700-2022</t>
        </is>
      </c>
      <c r="B320" s="1" t="n">
        <v>44840</v>
      </c>
      <c r="C320" s="1" t="n">
        <v>45757</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45943-2022</t>
        </is>
      </c>
      <c r="B321" s="1" t="n">
        <v>44846</v>
      </c>
      <c r="C321" s="1" t="n">
        <v>45757</v>
      </c>
      <c r="D321" t="inlineStr">
        <is>
          <t>DALARNAS LÄN</t>
        </is>
      </c>
      <c r="E321" t="inlineStr">
        <is>
          <t>LEKSAND</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46141-2022</t>
        </is>
      </c>
      <c r="B322" s="1" t="n">
        <v>44846</v>
      </c>
      <c r="C322" s="1" t="n">
        <v>45757</v>
      </c>
      <c r="D322" t="inlineStr">
        <is>
          <t>DALARNAS LÄN</t>
        </is>
      </c>
      <c r="E322" t="inlineStr">
        <is>
          <t>LEKSAND</t>
        </is>
      </c>
      <c r="G322" t="n">
        <v>2.8</v>
      </c>
      <c r="H322" t="n">
        <v>0</v>
      </c>
      <c r="I322" t="n">
        <v>0</v>
      </c>
      <c r="J322" t="n">
        <v>0</v>
      </c>
      <c r="K322" t="n">
        <v>0</v>
      </c>
      <c r="L322" t="n">
        <v>0</v>
      </c>
      <c r="M322" t="n">
        <v>0</v>
      </c>
      <c r="N322" t="n">
        <v>0</v>
      </c>
      <c r="O322" t="n">
        <v>0</v>
      </c>
      <c r="P322" t="n">
        <v>0</v>
      </c>
      <c r="Q322" t="n">
        <v>0</v>
      </c>
      <c r="R322" s="2" t="inlineStr"/>
    </row>
    <row r="323" ht="15" customHeight="1">
      <c r="A323" t="inlineStr">
        <is>
          <t>A 46672-2022</t>
        </is>
      </c>
      <c r="B323" s="1" t="n">
        <v>44851</v>
      </c>
      <c r="C323" s="1" t="n">
        <v>45757</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46916-2022</t>
        </is>
      </c>
      <c r="B324" s="1" t="n">
        <v>44851</v>
      </c>
      <c r="C324" s="1" t="n">
        <v>45757</v>
      </c>
      <c r="D324" t="inlineStr">
        <is>
          <t>DALARNAS LÄN</t>
        </is>
      </c>
      <c r="E324" t="inlineStr">
        <is>
          <t>LEKSAND</t>
        </is>
      </c>
      <c r="F324" t="inlineStr">
        <is>
          <t>Bergvik skog väst AB</t>
        </is>
      </c>
      <c r="G324" t="n">
        <v>9.5</v>
      </c>
      <c r="H324" t="n">
        <v>0</v>
      </c>
      <c r="I324" t="n">
        <v>0</v>
      </c>
      <c r="J324" t="n">
        <v>0</v>
      </c>
      <c r="K324" t="n">
        <v>0</v>
      </c>
      <c r="L324" t="n">
        <v>0</v>
      </c>
      <c r="M324" t="n">
        <v>0</v>
      </c>
      <c r="N324" t="n">
        <v>0</v>
      </c>
      <c r="O324" t="n">
        <v>0</v>
      </c>
      <c r="P324" t="n">
        <v>0</v>
      </c>
      <c r="Q324" t="n">
        <v>0</v>
      </c>
      <c r="R324" s="2" t="inlineStr"/>
    </row>
    <row r="325" ht="15" customHeight="1">
      <c r="A325" t="inlineStr">
        <is>
          <t>A 47441-2022</t>
        </is>
      </c>
      <c r="B325" s="1" t="n">
        <v>44853</v>
      </c>
      <c r="C325" s="1" t="n">
        <v>45757</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49342-2022</t>
        </is>
      </c>
      <c r="B326" s="1" t="n">
        <v>44861</v>
      </c>
      <c r="C326" s="1" t="n">
        <v>45757</v>
      </c>
      <c r="D326" t="inlineStr">
        <is>
          <t>DALARNAS LÄN</t>
        </is>
      </c>
      <c r="E326" t="inlineStr">
        <is>
          <t>LEKSAND</t>
        </is>
      </c>
      <c r="F326" t="inlineStr">
        <is>
          <t>Bergvik skog väst AB</t>
        </is>
      </c>
      <c r="G326" t="n">
        <v>4.2</v>
      </c>
      <c r="H326" t="n">
        <v>0</v>
      </c>
      <c r="I326" t="n">
        <v>0</v>
      </c>
      <c r="J326" t="n">
        <v>0</v>
      </c>
      <c r="K326" t="n">
        <v>0</v>
      </c>
      <c r="L326" t="n">
        <v>0</v>
      </c>
      <c r="M326" t="n">
        <v>0</v>
      </c>
      <c r="N326" t="n">
        <v>0</v>
      </c>
      <c r="O326" t="n">
        <v>0</v>
      </c>
      <c r="P326" t="n">
        <v>0</v>
      </c>
      <c r="Q326" t="n">
        <v>0</v>
      </c>
      <c r="R326" s="2" t="inlineStr"/>
    </row>
    <row r="327" ht="15" customHeight="1">
      <c r="A327" t="inlineStr">
        <is>
          <t>A 49345-2022</t>
        </is>
      </c>
      <c r="B327" s="1" t="n">
        <v>44861</v>
      </c>
      <c r="C327" s="1" t="n">
        <v>45757</v>
      </c>
      <c r="D327" t="inlineStr">
        <is>
          <t>DALARNAS LÄN</t>
        </is>
      </c>
      <c r="E327" t="inlineStr">
        <is>
          <t>LEKSAND</t>
        </is>
      </c>
      <c r="F327" t="inlineStr">
        <is>
          <t>Bergvik skog väst AB</t>
        </is>
      </c>
      <c r="G327" t="n">
        <v>4.8</v>
      </c>
      <c r="H327" t="n">
        <v>0</v>
      </c>
      <c r="I327" t="n">
        <v>0</v>
      </c>
      <c r="J327" t="n">
        <v>0</v>
      </c>
      <c r="K327" t="n">
        <v>0</v>
      </c>
      <c r="L327" t="n">
        <v>0</v>
      </c>
      <c r="M327" t="n">
        <v>0</v>
      </c>
      <c r="N327" t="n">
        <v>0</v>
      </c>
      <c r="O327" t="n">
        <v>0</v>
      </c>
      <c r="P327" t="n">
        <v>0</v>
      </c>
      <c r="Q327" t="n">
        <v>0</v>
      </c>
      <c r="R327" s="2" t="inlineStr"/>
    </row>
    <row r="328" ht="15" customHeight="1">
      <c r="A328" t="inlineStr">
        <is>
          <t>A 49581-2022</t>
        </is>
      </c>
      <c r="B328" s="1" t="n">
        <v>44862</v>
      </c>
      <c r="C328" s="1" t="n">
        <v>45757</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50219-2022</t>
        </is>
      </c>
      <c r="B329" s="1" t="n">
        <v>44865</v>
      </c>
      <c r="C329" s="1" t="n">
        <v>45757</v>
      </c>
      <c r="D329" t="inlineStr">
        <is>
          <t>DALARNAS LÄN</t>
        </is>
      </c>
      <c r="E329" t="inlineStr">
        <is>
          <t>LEKSAND</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50353-2022</t>
        </is>
      </c>
      <c r="B330" s="1" t="n">
        <v>44866</v>
      </c>
      <c r="C330" s="1" t="n">
        <v>45757</v>
      </c>
      <c r="D330" t="inlineStr">
        <is>
          <t>DALARNAS LÄN</t>
        </is>
      </c>
      <c r="E330" t="inlineStr">
        <is>
          <t>LEKSAND</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50352-2022</t>
        </is>
      </c>
      <c r="B331" s="1" t="n">
        <v>44866</v>
      </c>
      <c r="C331" s="1" t="n">
        <v>45757</v>
      </c>
      <c r="D331" t="inlineStr">
        <is>
          <t>DALARNAS LÄN</t>
        </is>
      </c>
      <c r="E331" t="inlineStr">
        <is>
          <t>LEKSAND</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50354-2022</t>
        </is>
      </c>
      <c r="B332" s="1" t="n">
        <v>44866</v>
      </c>
      <c r="C332" s="1" t="n">
        <v>45757</v>
      </c>
      <c r="D332" t="inlineStr">
        <is>
          <t>DALARNAS LÄN</t>
        </is>
      </c>
      <c r="E332" t="inlineStr">
        <is>
          <t>LEKSAND</t>
        </is>
      </c>
      <c r="F332" t="inlineStr">
        <is>
          <t>Bergvik skog väst AB</t>
        </is>
      </c>
      <c r="G332" t="n">
        <v>7.4</v>
      </c>
      <c r="H332" t="n">
        <v>0</v>
      </c>
      <c r="I332" t="n">
        <v>0</v>
      </c>
      <c r="J332" t="n">
        <v>0</v>
      </c>
      <c r="K332" t="n">
        <v>0</v>
      </c>
      <c r="L332" t="n">
        <v>0</v>
      </c>
      <c r="M332" t="n">
        <v>0</v>
      </c>
      <c r="N332" t="n">
        <v>0</v>
      </c>
      <c r="O332" t="n">
        <v>0</v>
      </c>
      <c r="P332" t="n">
        <v>0</v>
      </c>
      <c r="Q332" t="n">
        <v>0</v>
      </c>
      <c r="R332" s="2" t="inlineStr"/>
    </row>
    <row r="333" ht="15" customHeight="1">
      <c r="A333" t="inlineStr">
        <is>
          <t>A 51857-2022</t>
        </is>
      </c>
      <c r="B333" s="1" t="n">
        <v>44867</v>
      </c>
      <c r="C333" s="1" t="n">
        <v>45757</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51449-2022</t>
        </is>
      </c>
      <c r="B334" s="1" t="n">
        <v>44869</v>
      </c>
      <c r="C334" s="1" t="n">
        <v>45757</v>
      </c>
      <c r="D334" t="inlineStr">
        <is>
          <t>DALARNAS LÄN</t>
        </is>
      </c>
      <c r="E334" t="inlineStr">
        <is>
          <t>LEKSAND</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51480-2022</t>
        </is>
      </c>
      <c r="B335" s="1" t="n">
        <v>44869</v>
      </c>
      <c r="C335" s="1" t="n">
        <v>45757</v>
      </c>
      <c r="D335" t="inlineStr">
        <is>
          <t>DALARNAS LÄN</t>
        </is>
      </c>
      <c r="E335" t="inlineStr">
        <is>
          <t>LEKSAND</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51502-2022</t>
        </is>
      </c>
      <c r="B336" s="1" t="n">
        <v>44869</v>
      </c>
      <c r="C336" s="1" t="n">
        <v>45757</v>
      </c>
      <c r="D336" t="inlineStr">
        <is>
          <t>DALARNAS LÄN</t>
        </is>
      </c>
      <c r="E336" t="inlineStr">
        <is>
          <t>LEKSAND</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51498-2022</t>
        </is>
      </c>
      <c r="B337" s="1" t="n">
        <v>44869</v>
      </c>
      <c r="C337" s="1" t="n">
        <v>45757</v>
      </c>
      <c r="D337" t="inlineStr">
        <is>
          <t>DALARNAS LÄN</t>
        </is>
      </c>
      <c r="E337" t="inlineStr">
        <is>
          <t>LEKSAND</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51842-2022</t>
        </is>
      </c>
      <c r="B338" s="1" t="n">
        <v>44872</v>
      </c>
      <c r="C338" s="1" t="n">
        <v>45757</v>
      </c>
      <c r="D338" t="inlineStr">
        <is>
          <t>DALARNAS LÄN</t>
        </is>
      </c>
      <c r="E338" t="inlineStr">
        <is>
          <t>LEKSAND</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52977-2022</t>
        </is>
      </c>
      <c r="B339" s="1" t="n">
        <v>44875</v>
      </c>
      <c r="C339" s="1" t="n">
        <v>45757</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53293-2022</t>
        </is>
      </c>
      <c r="B340" s="1" t="n">
        <v>44877</v>
      </c>
      <c r="C340" s="1" t="n">
        <v>45757</v>
      </c>
      <c r="D340" t="inlineStr">
        <is>
          <t>DALARNAS LÄN</t>
        </is>
      </c>
      <c r="E340" t="inlineStr">
        <is>
          <t>LEKSAND</t>
        </is>
      </c>
      <c r="G340" t="n">
        <v>0.4</v>
      </c>
      <c r="H340" t="n">
        <v>0</v>
      </c>
      <c r="I340" t="n">
        <v>0</v>
      </c>
      <c r="J340" t="n">
        <v>0</v>
      </c>
      <c r="K340" t="n">
        <v>0</v>
      </c>
      <c r="L340" t="n">
        <v>0</v>
      </c>
      <c r="M340" t="n">
        <v>0</v>
      </c>
      <c r="N340" t="n">
        <v>0</v>
      </c>
      <c r="O340" t="n">
        <v>0</v>
      </c>
      <c r="P340" t="n">
        <v>0</v>
      </c>
      <c r="Q340" t="n">
        <v>0</v>
      </c>
      <c r="R340" s="2" t="inlineStr"/>
    </row>
    <row r="341" ht="15" customHeight="1">
      <c r="A341" t="inlineStr">
        <is>
          <t>A 53787-2022</t>
        </is>
      </c>
      <c r="B341" s="1" t="n">
        <v>44880</v>
      </c>
      <c r="C341" s="1" t="n">
        <v>45757</v>
      </c>
      <c r="D341" t="inlineStr">
        <is>
          <t>DALARNAS LÄN</t>
        </is>
      </c>
      <c r="E341" t="inlineStr">
        <is>
          <t>LEKSAND</t>
        </is>
      </c>
      <c r="G341" t="n">
        <v>7.6</v>
      </c>
      <c r="H341" t="n">
        <v>0</v>
      </c>
      <c r="I341" t="n">
        <v>0</v>
      </c>
      <c r="J341" t="n">
        <v>0</v>
      </c>
      <c r="K341" t="n">
        <v>0</v>
      </c>
      <c r="L341" t="n">
        <v>0</v>
      </c>
      <c r="M341" t="n">
        <v>0</v>
      </c>
      <c r="N341" t="n">
        <v>0</v>
      </c>
      <c r="O341" t="n">
        <v>0</v>
      </c>
      <c r="P341" t="n">
        <v>0</v>
      </c>
      <c r="Q341" t="n">
        <v>0</v>
      </c>
      <c r="R341" s="2" t="inlineStr"/>
    </row>
    <row r="342" ht="15" customHeight="1">
      <c r="A342" t="inlineStr">
        <is>
          <t>A 54070-2022</t>
        </is>
      </c>
      <c r="B342" s="1" t="n">
        <v>44881</v>
      </c>
      <c r="C342" s="1" t="n">
        <v>45757</v>
      </c>
      <c r="D342" t="inlineStr">
        <is>
          <t>DALARNAS LÄN</t>
        </is>
      </c>
      <c r="E342" t="inlineStr">
        <is>
          <t>LEKSAND</t>
        </is>
      </c>
      <c r="G342" t="n">
        <v>4.7</v>
      </c>
      <c r="H342" t="n">
        <v>0</v>
      </c>
      <c r="I342" t="n">
        <v>0</v>
      </c>
      <c r="J342" t="n">
        <v>0</v>
      </c>
      <c r="K342" t="n">
        <v>0</v>
      </c>
      <c r="L342" t="n">
        <v>0</v>
      </c>
      <c r="M342" t="n">
        <v>0</v>
      </c>
      <c r="N342" t="n">
        <v>0</v>
      </c>
      <c r="O342" t="n">
        <v>0</v>
      </c>
      <c r="P342" t="n">
        <v>0</v>
      </c>
      <c r="Q342" t="n">
        <v>0</v>
      </c>
      <c r="R342" s="2" t="inlineStr"/>
    </row>
    <row r="343" ht="15" customHeight="1">
      <c r="A343" t="inlineStr">
        <is>
          <t>A 56330-2022</t>
        </is>
      </c>
      <c r="B343" s="1" t="n">
        <v>44890</v>
      </c>
      <c r="C343" s="1" t="n">
        <v>45757</v>
      </c>
      <c r="D343" t="inlineStr">
        <is>
          <t>DALARNAS LÄN</t>
        </is>
      </c>
      <c r="E343" t="inlineStr">
        <is>
          <t>LEKSAND</t>
        </is>
      </c>
      <c r="G343" t="n">
        <v>4.9</v>
      </c>
      <c r="H343" t="n">
        <v>0</v>
      </c>
      <c r="I343" t="n">
        <v>0</v>
      </c>
      <c r="J343" t="n">
        <v>0</v>
      </c>
      <c r="K343" t="n">
        <v>0</v>
      </c>
      <c r="L343" t="n">
        <v>0</v>
      </c>
      <c r="M343" t="n">
        <v>0</v>
      </c>
      <c r="N343" t="n">
        <v>0</v>
      </c>
      <c r="O343" t="n">
        <v>0</v>
      </c>
      <c r="P343" t="n">
        <v>0</v>
      </c>
      <c r="Q343" t="n">
        <v>0</v>
      </c>
      <c r="R343" s="2" t="inlineStr"/>
    </row>
    <row r="344" ht="15" customHeight="1">
      <c r="A344" t="inlineStr">
        <is>
          <t>A 56702-2022</t>
        </is>
      </c>
      <c r="B344" s="1" t="n">
        <v>44893</v>
      </c>
      <c r="C344" s="1" t="n">
        <v>45757</v>
      </c>
      <c r="D344" t="inlineStr">
        <is>
          <t>DALARNAS LÄN</t>
        </is>
      </c>
      <c r="E344" t="inlineStr">
        <is>
          <t>LEKSAND</t>
        </is>
      </c>
      <c r="G344" t="n">
        <v>3</v>
      </c>
      <c r="H344" t="n">
        <v>0</v>
      </c>
      <c r="I344" t="n">
        <v>0</v>
      </c>
      <c r="J344" t="n">
        <v>0</v>
      </c>
      <c r="K344" t="n">
        <v>0</v>
      </c>
      <c r="L344" t="n">
        <v>0</v>
      </c>
      <c r="M344" t="n">
        <v>0</v>
      </c>
      <c r="N344" t="n">
        <v>0</v>
      </c>
      <c r="O344" t="n">
        <v>0</v>
      </c>
      <c r="P344" t="n">
        <v>0</v>
      </c>
      <c r="Q344" t="n">
        <v>0</v>
      </c>
      <c r="R344" s="2" t="inlineStr"/>
    </row>
    <row r="345" ht="15" customHeight="1">
      <c r="A345" t="inlineStr">
        <is>
          <t>A 57415-2022</t>
        </is>
      </c>
      <c r="B345" s="1" t="n">
        <v>44896</v>
      </c>
      <c r="C345" s="1" t="n">
        <v>45757</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57438-2022</t>
        </is>
      </c>
      <c r="B346" s="1" t="n">
        <v>44896</v>
      </c>
      <c r="C346" s="1" t="n">
        <v>45757</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58619-2022</t>
        </is>
      </c>
      <c r="B347" s="1" t="n">
        <v>44902</v>
      </c>
      <c r="C347" s="1" t="n">
        <v>45757</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60300-2022</t>
        </is>
      </c>
      <c r="B348" s="1" t="n">
        <v>44903</v>
      </c>
      <c r="C348" s="1" t="n">
        <v>45757</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60095-2022</t>
        </is>
      </c>
      <c r="B349" s="1" t="n">
        <v>44909</v>
      </c>
      <c r="C349" s="1" t="n">
        <v>45757</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60113-2022</t>
        </is>
      </c>
      <c r="B350" s="1" t="n">
        <v>44909</v>
      </c>
      <c r="C350" s="1" t="n">
        <v>45757</v>
      </c>
      <c r="D350" t="inlineStr">
        <is>
          <t>DALARNAS LÄN</t>
        </is>
      </c>
      <c r="E350" t="inlineStr">
        <is>
          <t>LEKSAND</t>
        </is>
      </c>
      <c r="G350" t="n">
        <v>3.7</v>
      </c>
      <c r="H350" t="n">
        <v>0</v>
      </c>
      <c r="I350" t="n">
        <v>0</v>
      </c>
      <c r="J350" t="n">
        <v>0</v>
      </c>
      <c r="K350" t="n">
        <v>0</v>
      </c>
      <c r="L350" t="n">
        <v>0</v>
      </c>
      <c r="M350" t="n">
        <v>0</v>
      </c>
      <c r="N350" t="n">
        <v>0</v>
      </c>
      <c r="O350" t="n">
        <v>0</v>
      </c>
      <c r="P350" t="n">
        <v>0</v>
      </c>
      <c r="Q350" t="n">
        <v>0</v>
      </c>
      <c r="R350" s="2" t="inlineStr"/>
    </row>
    <row r="351" ht="15" customHeight="1">
      <c r="A351" t="inlineStr">
        <is>
          <t>A 61269-2022</t>
        </is>
      </c>
      <c r="B351" s="1" t="n">
        <v>44909</v>
      </c>
      <c r="C351" s="1" t="n">
        <v>45757</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60550-2022</t>
        </is>
      </c>
      <c r="B352" s="1" t="n">
        <v>44911</v>
      </c>
      <c r="C352" s="1" t="n">
        <v>45757</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60715-2022</t>
        </is>
      </c>
      <c r="B353" s="1" t="n">
        <v>44912</v>
      </c>
      <c r="C353" s="1" t="n">
        <v>45757</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60913-2022</t>
        </is>
      </c>
      <c r="B354" s="1" t="n">
        <v>44914</v>
      </c>
      <c r="C354" s="1" t="n">
        <v>45757</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61288-2022</t>
        </is>
      </c>
      <c r="B355" s="1" t="n">
        <v>44915</v>
      </c>
      <c r="C355" s="1" t="n">
        <v>45757</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61786-2022</t>
        </is>
      </c>
      <c r="B356" s="1" t="n">
        <v>44917</v>
      </c>
      <c r="C356" s="1" t="n">
        <v>45757</v>
      </c>
      <c r="D356" t="inlineStr">
        <is>
          <t>DALARNAS LÄN</t>
        </is>
      </c>
      <c r="E356" t="inlineStr">
        <is>
          <t>LEKSAND</t>
        </is>
      </c>
      <c r="G356" t="n">
        <v>4.3</v>
      </c>
      <c r="H356" t="n">
        <v>0</v>
      </c>
      <c r="I356" t="n">
        <v>0</v>
      </c>
      <c r="J356" t="n">
        <v>0</v>
      </c>
      <c r="K356" t="n">
        <v>0</v>
      </c>
      <c r="L356" t="n">
        <v>0</v>
      </c>
      <c r="M356" t="n">
        <v>0</v>
      </c>
      <c r="N356" t="n">
        <v>0</v>
      </c>
      <c r="O356" t="n">
        <v>0</v>
      </c>
      <c r="P356" t="n">
        <v>0</v>
      </c>
      <c r="Q356" t="n">
        <v>0</v>
      </c>
      <c r="R356" s="2" t="inlineStr"/>
    </row>
    <row r="357" ht="15" customHeight="1">
      <c r="A357" t="inlineStr">
        <is>
          <t>A 61787-2022</t>
        </is>
      </c>
      <c r="B357" s="1" t="n">
        <v>44917</v>
      </c>
      <c r="C357" s="1" t="n">
        <v>45757</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164-2023</t>
        </is>
      </c>
      <c r="B358" s="1" t="n">
        <v>44918</v>
      </c>
      <c r="C358" s="1" t="n">
        <v>45757</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151-2023</t>
        </is>
      </c>
      <c r="B359" s="1" t="n">
        <v>44918</v>
      </c>
      <c r="C359" s="1" t="n">
        <v>45757</v>
      </c>
      <c r="D359" t="inlineStr">
        <is>
          <t>DALARNAS LÄN</t>
        </is>
      </c>
      <c r="E359" t="inlineStr">
        <is>
          <t>LEKSAND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167-2023</t>
        </is>
      </c>
      <c r="B360" s="1" t="n">
        <v>44918</v>
      </c>
      <c r="C360" s="1" t="n">
        <v>45757</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325-2023</t>
        </is>
      </c>
      <c r="B361" s="1" t="n">
        <v>44929</v>
      </c>
      <c r="C361" s="1" t="n">
        <v>45757</v>
      </c>
      <c r="D361" t="inlineStr">
        <is>
          <t>DALARNAS LÄN</t>
        </is>
      </c>
      <c r="E361" t="inlineStr">
        <is>
          <t>LEKSAND</t>
        </is>
      </c>
      <c r="F361" t="inlineStr">
        <is>
          <t>Övriga Aktiebolag</t>
        </is>
      </c>
      <c r="G361" t="n">
        <v>7.1</v>
      </c>
      <c r="H361" t="n">
        <v>0</v>
      </c>
      <c r="I361" t="n">
        <v>0</v>
      </c>
      <c r="J361" t="n">
        <v>0</v>
      </c>
      <c r="K361" t="n">
        <v>0</v>
      </c>
      <c r="L361" t="n">
        <v>0</v>
      </c>
      <c r="M361" t="n">
        <v>0</v>
      </c>
      <c r="N361" t="n">
        <v>0</v>
      </c>
      <c r="O361" t="n">
        <v>0</v>
      </c>
      <c r="P361" t="n">
        <v>0</v>
      </c>
      <c r="Q361" t="n">
        <v>0</v>
      </c>
      <c r="R361" s="2" t="inlineStr"/>
    </row>
    <row r="362" ht="15" customHeight="1">
      <c r="A362" t="inlineStr">
        <is>
          <t>A 315-2023</t>
        </is>
      </c>
      <c r="B362" s="1" t="n">
        <v>44929</v>
      </c>
      <c r="C362" s="1" t="n">
        <v>45757</v>
      </c>
      <c r="D362" t="inlineStr">
        <is>
          <t>DALARNAS LÄN</t>
        </is>
      </c>
      <c r="E362" t="inlineStr">
        <is>
          <t>LEKSAND</t>
        </is>
      </c>
      <c r="F362" t="inlineStr">
        <is>
          <t>Övriga Aktiebolag</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320-2023</t>
        </is>
      </c>
      <c r="B363" s="1" t="n">
        <v>44929</v>
      </c>
      <c r="C363" s="1" t="n">
        <v>45757</v>
      </c>
      <c r="D363" t="inlineStr">
        <is>
          <t>DALARNAS LÄN</t>
        </is>
      </c>
      <c r="E363" t="inlineStr">
        <is>
          <t>LEKSAND</t>
        </is>
      </c>
      <c r="F363" t="inlineStr">
        <is>
          <t>Övriga Aktiebolag</t>
        </is>
      </c>
      <c r="G363" t="n">
        <v>5.4</v>
      </c>
      <c r="H363" t="n">
        <v>0</v>
      </c>
      <c r="I363" t="n">
        <v>0</v>
      </c>
      <c r="J363" t="n">
        <v>0</v>
      </c>
      <c r="K363" t="n">
        <v>0</v>
      </c>
      <c r="L363" t="n">
        <v>0</v>
      </c>
      <c r="M363" t="n">
        <v>0</v>
      </c>
      <c r="N363" t="n">
        <v>0</v>
      </c>
      <c r="O363" t="n">
        <v>0</v>
      </c>
      <c r="P363" t="n">
        <v>0</v>
      </c>
      <c r="Q363" t="n">
        <v>0</v>
      </c>
      <c r="R363" s="2" t="inlineStr"/>
    </row>
    <row r="364" ht="15" customHeight="1">
      <c r="A364" t="inlineStr">
        <is>
          <t>A 391-2023</t>
        </is>
      </c>
      <c r="B364" s="1" t="n">
        <v>44929</v>
      </c>
      <c r="C364" s="1" t="n">
        <v>45757</v>
      </c>
      <c r="D364" t="inlineStr">
        <is>
          <t>DALARNAS LÄN</t>
        </is>
      </c>
      <c r="E364" t="inlineStr">
        <is>
          <t>LEKSAND</t>
        </is>
      </c>
      <c r="F364" t="inlineStr">
        <is>
          <t>Övriga Aktiebolag</t>
        </is>
      </c>
      <c r="G364" t="n">
        <v>10</v>
      </c>
      <c r="H364" t="n">
        <v>0</v>
      </c>
      <c r="I364" t="n">
        <v>0</v>
      </c>
      <c r="J364" t="n">
        <v>0</v>
      </c>
      <c r="K364" t="n">
        <v>0</v>
      </c>
      <c r="L364" t="n">
        <v>0</v>
      </c>
      <c r="M364" t="n">
        <v>0</v>
      </c>
      <c r="N364" t="n">
        <v>0</v>
      </c>
      <c r="O364" t="n">
        <v>0</v>
      </c>
      <c r="P364" t="n">
        <v>0</v>
      </c>
      <c r="Q364" t="n">
        <v>0</v>
      </c>
      <c r="R364" s="2" t="inlineStr"/>
    </row>
    <row r="365" ht="15" customHeight="1">
      <c r="A365" t="inlineStr">
        <is>
          <t>A 784-2023</t>
        </is>
      </c>
      <c r="B365" s="1" t="n">
        <v>44931</v>
      </c>
      <c r="C365" s="1" t="n">
        <v>45757</v>
      </c>
      <c r="D365" t="inlineStr">
        <is>
          <t>DALARNAS LÄN</t>
        </is>
      </c>
      <c r="E365" t="inlineStr">
        <is>
          <t>LEKSAND</t>
        </is>
      </c>
      <c r="G365" t="n">
        <v>2.3</v>
      </c>
      <c r="H365" t="n">
        <v>0</v>
      </c>
      <c r="I365" t="n">
        <v>0</v>
      </c>
      <c r="J365" t="n">
        <v>0</v>
      </c>
      <c r="K365" t="n">
        <v>0</v>
      </c>
      <c r="L365" t="n">
        <v>0</v>
      </c>
      <c r="M365" t="n">
        <v>0</v>
      </c>
      <c r="N365" t="n">
        <v>0</v>
      </c>
      <c r="O365" t="n">
        <v>0</v>
      </c>
      <c r="P365" t="n">
        <v>0</v>
      </c>
      <c r="Q365" t="n">
        <v>0</v>
      </c>
      <c r="R365" s="2" t="inlineStr"/>
    </row>
    <row r="366" ht="15" customHeight="1">
      <c r="A366" t="inlineStr">
        <is>
          <t>A 1510-2023</t>
        </is>
      </c>
      <c r="B366" s="1" t="n">
        <v>44937</v>
      </c>
      <c r="C366" s="1" t="n">
        <v>45757</v>
      </c>
      <c r="D366" t="inlineStr">
        <is>
          <t>DALARNAS LÄN</t>
        </is>
      </c>
      <c r="E366" t="inlineStr">
        <is>
          <t>LEKSAND</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3262-2023</t>
        </is>
      </c>
      <c r="B367" s="1" t="n">
        <v>44948</v>
      </c>
      <c r="C367" s="1" t="n">
        <v>45757</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3445-2023</t>
        </is>
      </c>
      <c r="B368" s="1" t="n">
        <v>44949</v>
      </c>
      <c r="C368" s="1" t="n">
        <v>45757</v>
      </c>
      <c r="D368" t="inlineStr">
        <is>
          <t>DALARNAS LÄN</t>
        </is>
      </c>
      <c r="E368" t="inlineStr">
        <is>
          <t>LEKSAND</t>
        </is>
      </c>
      <c r="G368" t="n">
        <v>2.8</v>
      </c>
      <c r="H368" t="n">
        <v>0</v>
      </c>
      <c r="I368" t="n">
        <v>0</v>
      </c>
      <c r="J368" t="n">
        <v>0</v>
      </c>
      <c r="K368" t="n">
        <v>0</v>
      </c>
      <c r="L368" t="n">
        <v>0</v>
      </c>
      <c r="M368" t="n">
        <v>0</v>
      </c>
      <c r="N368" t="n">
        <v>0</v>
      </c>
      <c r="O368" t="n">
        <v>0</v>
      </c>
      <c r="P368" t="n">
        <v>0</v>
      </c>
      <c r="Q368" t="n">
        <v>0</v>
      </c>
      <c r="R368" s="2" t="inlineStr"/>
    </row>
    <row r="369" ht="15" customHeight="1">
      <c r="A369" t="inlineStr">
        <is>
          <t>A 3737-2023</t>
        </is>
      </c>
      <c r="B369" s="1" t="n">
        <v>44951</v>
      </c>
      <c r="C369" s="1" t="n">
        <v>45757</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4182-2023</t>
        </is>
      </c>
      <c r="B370" s="1" t="n">
        <v>44951</v>
      </c>
      <c r="C370" s="1" t="n">
        <v>45757</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4217-2023</t>
        </is>
      </c>
      <c r="B371" s="1" t="n">
        <v>44953</v>
      </c>
      <c r="C371" s="1" t="n">
        <v>45757</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6057-2023</t>
        </is>
      </c>
      <c r="B372" s="1" t="n">
        <v>44959</v>
      </c>
      <c r="C372" s="1" t="n">
        <v>45757</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6039-2023</t>
        </is>
      </c>
      <c r="B373" s="1" t="n">
        <v>44959</v>
      </c>
      <c r="C373" s="1" t="n">
        <v>45757</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6079-2023</t>
        </is>
      </c>
      <c r="B374" s="1" t="n">
        <v>44959</v>
      </c>
      <c r="C374" s="1" t="n">
        <v>45757</v>
      </c>
      <c r="D374" t="inlineStr">
        <is>
          <t>DALARNAS LÄN</t>
        </is>
      </c>
      <c r="E374" t="inlineStr">
        <is>
          <t>LEKSAND</t>
        </is>
      </c>
      <c r="G374" t="n">
        <v>4.1</v>
      </c>
      <c r="H374" t="n">
        <v>0</v>
      </c>
      <c r="I374" t="n">
        <v>0</v>
      </c>
      <c r="J374" t="n">
        <v>0</v>
      </c>
      <c r="K374" t="n">
        <v>0</v>
      </c>
      <c r="L374" t="n">
        <v>0</v>
      </c>
      <c r="M374" t="n">
        <v>0</v>
      </c>
      <c r="N374" t="n">
        <v>0</v>
      </c>
      <c r="O374" t="n">
        <v>0</v>
      </c>
      <c r="P374" t="n">
        <v>0</v>
      </c>
      <c r="Q374" t="n">
        <v>0</v>
      </c>
      <c r="R374" s="2" t="inlineStr"/>
    </row>
    <row r="375" ht="15" customHeight="1">
      <c r="A375" t="inlineStr">
        <is>
          <t>A 6050-2023</t>
        </is>
      </c>
      <c r="B375" s="1" t="n">
        <v>44959</v>
      </c>
      <c r="C375" s="1" t="n">
        <v>45757</v>
      </c>
      <c r="D375" t="inlineStr">
        <is>
          <t>DALARNAS LÄN</t>
        </is>
      </c>
      <c r="E375" t="inlineStr">
        <is>
          <t>LEKSAND</t>
        </is>
      </c>
      <c r="G375" t="n">
        <v>6.2</v>
      </c>
      <c r="H375" t="n">
        <v>0</v>
      </c>
      <c r="I375" t="n">
        <v>0</v>
      </c>
      <c r="J375" t="n">
        <v>0</v>
      </c>
      <c r="K375" t="n">
        <v>0</v>
      </c>
      <c r="L375" t="n">
        <v>0</v>
      </c>
      <c r="M375" t="n">
        <v>0</v>
      </c>
      <c r="N375" t="n">
        <v>0</v>
      </c>
      <c r="O375" t="n">
        <v>0</v>
      </c>
      <c r="P375" t="n">
        <v>0</v>
      </c>
      <c r="Q375" t="n">
        <v>0</v>
      </c>
      <c r="R375" s="2" t="inlineStr"/>
    </row>
    <row r="376" ht="15" customHeight="1">
      <c r="A376" t="inlineStr">
        <is>
          <t>A 5738-2023</t>
        </is>
      </c>
      <c r="B376" s="1" t="n">
        <v>44962</v>
      </c>
      <c r="C376" s="1" t="n">
        <v>45757</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6074-2023</t>
        </is>
      </c>
      <c r="B377" s="1" t="n">
        <v>44964</v>
      </c>
      <c r="C377" s="1" t="n">
        <v>45757</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7441-2023</t>
        </is>
      </c>
      <c r="B378" s="1" t="n">
        <v>44966</v>
      </c>
      <c r="C378" s="1" t="n">
        <v>45757</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7467-2023</t>
        </is>
      </c>
      <c r="B379" s="1" t="n">
        <v>44966</v>
      </c>
      <c r="C379" s="1" t="n">
        <v>45757</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6846-2023</t>
        </is>
      </c>
      <c r="B380" s="1" t="n">
        <v>44967</v>
      </c>
      <c r="C380" s="1" t="n">
        <v>45757</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8170-2023</t>
        </is>
      </c>
      <c r="B381" s="1" t="n">
        <v>44971</v>
      </c>
      <c r="C381" s="1" t="n">
        <v>45757</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45757</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7928-2023</t>
        </is>
      </c>
      <c r="B383" s="1" t="n">
        <v>44973</v>
      </c>
      <c r="C383" s="1" t="n">
        <v>45757</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45757</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8936-2023</t>
        </is>
      </c>
      <c r="B385" s="1" t="n">
        <v>44974</v>
      </c>
      <c r="C385" s="1" t="n">
        <v>45757</v>
      </c>
      <c r="D385" t="inlineStr">
        <is>
          <t>DALARNAS LÄN</t>
        </is>
      </c>
      <c r="E385" t="inlineStr">
        <is>
          <t>LEKSAND</t>
        </is>
      </c>
      <c r="G385" t="n">
        <v>7</v>
      </c>
      <c r="H385" t="n">
        <v>0</v>
      </c>
      <c r="I385" t="n">
        <v>0</v>
      </c>
      <c r="J385" t="n">
        <v>0</v>
      </c>
      <c r="K385" t="n">
        <v>0</v>
      </c>
      <c r="L385" t="n">
        <v>0</v>
      </c>
      <c r="M385" t="n">
        <v>0</v>
      </c>
      <c r="N385" t="n">
        <v>0</v>
      </c>
      <c r="O385" t="n">
        <v>0</v>
      </c>
      <c r="P385" t="n">
        <v>0</v>
      </c>
      <c r="Q385" t="n">
        <v>0</v>
      </c>
      <c r="R385" s="2" t="inlineStr"/>
    </row>
    <row r="386" ht="15" customHeight="1">
      <c r="A386" t="inlineStr">
        <is>
          <t>A 9143-2023</t>
        </is>
      </c>
      <c r="B386" s="1" t="n">
        <v>44974</v>
      </c>
      <c r="C386" s="1" t="n">
        <v>45757</v>
      </c>
      <c r="D386" t="inlineStr">
        <is>
          <t>DALARNAS LÄN</t>
        </is>
      </c>
      <c r="E386" t="inlineStr">
        <is>
          <t>LEKSAND</t>
        </is>
      </c>
      <c r="G386" t="n">
        <v>4.3</v>
      </c>
      <c r="H386" t="n">
        <v>0</v>
      </c>
      <c r="I386" t="n">
        <v>0</v>
      </c>
      <c r="J386" t="n">
        <v>0</v>
      </c>
      <c r="K386" t="n">
        <v>0</v>
      </c>
      <c r="L386" t="n">
        <v>0</v>
      </c>
      <c r="M386" t="n">
        <v>0</v>
      </c>
      <c r="N386" t="n">
        <v>0</v>
      </c>
      <c r="O386" t="n">
        <v>0</v>
      </c>
      <c r="P386" t="n">
        <v>0</v>
      </c>
      <c r="Q386" t="n">
        <v>0</v>
      </c>
      <c r="R386" s="2" t="inlineStr"/>
    </row>
    <row r="387" ht="15" customHeight="1">
      <c r="A387" t="inlineStr">
        <is>
          <t>A 8940-2023</t>
        </is>
      </c>
      <c r="B387" s="1" t="n">
        <v>44974</v>
      </c>
      <c r="C387" s="1" t="n">
        <v>45757</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9138-2023</t>
        </is>
      </c>
      <c r="B388" s="1" t="n">
        <v>44974</v>
      </c>
      <c r="C388" s="1" t="n">
        <v>45757</v>
      </c>
      <c r="D388" t="inlineStr">
        <is>
          <t>DALARNAS LÄN</t>
        </is>
      </c>
      <c r="E388" t="inlineStr">
        <is>
          <t>LEKSAND</t>
        </is>
      </c>
      <c r="G388" t="n">
        <v>4.6</v>
      </c>
      <c r="H388" t="n">
        <v>0</v>
      </c>
      <c r="I388" t="n">
        <v>0</v>
      </c>
      <c r="J388" t="n">
        <v>0</v>
      </c>
      <c r="K388" t="n">
        <v>0</v>
      </c>
      <c r="L388" t="n">
        <v>0</v>
      </c>
      <c r="M388" t="n">
        <v>0</v>
      </c>
      <c r="N388" t="n">
        <v>0</v>
      </c>
      <c r="O388" t="n">
        <v>0</v>
      </c>
      <c r="P388" t="n">
        <v>0</v>
      </c>
      <c r="Q388" t="n">
        <v>0</v>
      </c>
      <c r="R388" s="2" t="inlineStr"/>
    </row>
    <row r="389" ht="15" customHeight="1">
      <c r="A389" t="inlineStr">
        <is>
          <t>A 9141-2023</t>
        </is>
      </c>
      <c r="B389" s="1" t="n">
        <v>44974</v>
      </c>
      <c r="C389" s="1" t="n">
        <v>45757</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9459-2023</t>
        </is>
      </c>
      <c r="B390" s="1" t="n">
        <v>44977</v>
      </c>
      <c r="C390" s="1" t="n">
        <v>45757</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8773-2023</t>
        </is>
      </c>
      <c r="B391" s="1" t="n">
        <v>44978</v>
      </c>
      <c r="C391" s="1" t="n">
        <v>45757</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8695-2023</t>
        </is>
      </c>
      <c r="B392" s="1" t="n">
        <v>44978</v>
      </c>
      <c r="C392" s="1" t="n">
        <v>45757</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8743-2023</t>
        </is>
      </c>
      <c r="B393" s="1" t="n">
        <v>44978</v>
      </c>
      <c r="C393" s="1" t="n">
        <v>45757</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8755-2023</t>
        </is>
      </c>
      <c r="B394" s="1" t="n">
        <v>44978</v>
      </c>
      <c r="C394" s="1" t="n">
        <v>45757</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9324-2023</t>
        </is>
      </c>
      <c r="B395" s="1" t="n">
        <v>44980</v>
      </c>
      <c r="C395" s="1" t="n">
        <v>45757</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9336-2023</t>
        </is>
      </c>
      <c r="B396" s="1" t="n">
        <v>44980</v>
      </c>
      <c r="C396" s="1" t="n">
        <v>45757</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9938-2023</t>
        </is>
      </c>
      <c r="B397" s="1" t="n">
        <v>44985</v>
      </c>
      <c r="C397" s="1" t="n">
        <v>45757</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9947-2023</t>
        </is>
      </c>
      <c r="B398" s="1" t="n">
        <v>44985</v>
      </c>
      <c r="C398" s="1" t="n">
        <v>45757</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11010-2023</t>
        </is>
      </c>
      <c r="B399" s="1" t="n">
        <v>44986</v>
      </c>
      <c r="C399" s="1" t="n">
        <v>45757</v>
      </c>
      <c r="D399" t="inlineStr">
        <is>
          <t>DALARNAS LÄN</t>
        </is>
      </c>
      <c r="E399" t="inlineStr">
        <is>
          <t>LEKSAND</t>
        </is>
      </c>
      <c r="G399" t="n">
        <v>3.7</v>
      </c>
      <c r="H399" t="n">
        <v>0</v>
      </c>
      <c r="I399" t="n">
        <v>0</v>
      </c>
      <c r="J399" t="n">
        <v>0</v>
      </c>
      <c r="K399" t="n">
        <v>0</v>
      </c>
      <c r="L399" t="n">
        <v>0</v>
      </c>
      <c r="M399" t="n">
        <v>0</v>
      </c>
      <c r="N399" t="n">
        <v>0</v>
      </c>
      <c r="O399" t="n">
        <v>0</v>
      </c>
      <c r="P399" t="n">
        <v>0</v>
      </c>
      <c r="Q399" t="n">
        <v>0</v>
      </c>
      <c r="R399" s="2" t="inlineStr"/>
    </row>
    <row r="400" ht="15" customHeight="1">
      <c r="A400" t="inlineStr">
        <is>
          <t>A 11004-2023</t>
        </is>
      </c>
      <c r="B400" s="1" t="n">
        <v>44986</v>
      </c>
      <c r="C400" s="1" t="n">
        <v>45757</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10367-2023</t>
        </is>
      </c>
      <c r="B401" s="1" t="n">
        <v>44987</v>
      </c>
      <c r="C401" s="1" t="n">
        <v>45757</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45757</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10368-2023</t>
        </is>
      </c>
      <c r="B403" s="1" t="n">
        <v>44987</v>
      </c>
      <c r="C403" s="1" t="n">
        <v>45757</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11398-2023</t>
        </is>
      </c>
      <c r="B404" s="1" t="n">
        <v>44988</v>
      </c>
      <c r="C404" s="1" t="n">
        <v>45757</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11423-2023</t>
        </is>
      </c>
      <c r="B405" s="1" t="n">
        <v>44988</v>
      </c>
      <c r="C405" s="1" t="n">
        <v>45757</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11420-2023</t>
        </is>
      </c>
      <c r="B406" s="1" t="n">
        <v>44988</v>
      </c>
      <c r="C406" s="1" t="n">
        <v>45757</v>
      </c>
      <c r="D406" t="inlineStr">
        <is>
          <t>DALARNAS LÄN</t>
        </is>
      </c>
      <c r="E406" t="inlineStr">
        <is>
          <t>LEKSAND</t>
        </is>
      </c>
      <c r="G406" t="n">
        <v>6.5</v>
      </c>
      <c r="H406" t="n">
        <v>0</v>
      </c>
      <c r="I406" t="n">
        <v>0</v>
      </c>
      <c r="J406" t="n">
        <v>0</v>
      </c>
      <c r="K406" t="n">
        <v>0</v>
      </c>
      <c r="L406" t="n">
        <v>0</v>
      </c>
      <c r="M406" t="n">
        <v>0</v>
      </c>
      <c r="N406" t="n">
        <v>0</v>
      </c>
      <c r="O406" t="n">
        <v>0</v>
      </c>
      <c r="P406" t="n">
        <v>0</v>
      </c>
      <c r="Q406" t="n">
        <v>0</v>
      </c>
      <c r="R406" s="2" t="inlineStr"/>
    </row>
    <row r="407" ht="15" customHeight="1">
      <c r="A407" t="inlineStr">
        <is>
          <t>A 10828-2023</t>
        </is>
      </c>
      <c r="B407" s="1" t="n">
        <v>44990</v>
      </c>
      <c r="C407" s="1" t="n">
        <v>45757</v>
      </c>
      <c r="D407" t="inlineStr">
        <is>
          <t>DALARNAS LÄN</t>
        </is>
      </c>
      <c r="E407" t="inlineStr">
        <is>
          <t>LEKSAND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10833-2023</t>
        </is>
      </c>
      <c r="B408" s="1" t="n">
        <v>44990</v>
      </c>
      <c r="C408" s="1" t="n">
        <v>45757</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10967-2023</t>
        </is>
      </c>
      <c r="B409" s="1" t="n">
        <v>44991</v>
      </c>
      <c r="C409" s="1" t="n">
        <v>45757</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10987-2023</t>
        </is>
      </c>
      <c r="B410" s="1" t="n">
        <v>44991</v>
      </c>
      <c r="C410" s="1" t="n">
        <v>45757</v>
      </c>
      <c r="D410" t="inlineStr">
        <is>
          <t>DALARNAS LÄN</t>
        </is>
      </c>
      <c r="E410" t="inlineStr">
        <is>
          <t>LEKSAND</t>
        </is>
      </c>
      <c r="G410" t="n">
        <v>2.7</v>
      </c>
      <c r="H410" t="n">
        <v>0</v>
      </c>
      <c r="I410" t="n">
        <v>0</v>
      </c>
      <c r="J410" t="n">
        <v>0</v>
      </c>
      <c r="K410" t="n">
        <v>0</v>
      </c>
      <c r="L410" t="n">
        <v>0</v>
      </c>
      <c r="M410" t="n">
        <v>0</v>
      </c>
      <c r="N410" t="n">
        <v>0</v>
      </c>
      <c r="O410" t="n">
        <v>0</v>
      </c>
      <c r="P410" t="n">
        <v>0</v>
      </c>
      <c r="Q410" t="n">
        <v>0</v>
      </c>
      <c r="R410" s="2" t="inlineStr"/>
    </row>
    <row r="411" ht="15" customHeight="1">
      <c r="A411" t="inlineStr">
        <is>
          <t>A 10869-2023</t>
        </is>
      </c>
      <c r="B411" s="1" t="n">
        <v>44991</v>
      </c>
      <c r="C411" s="1" t="n">
        <v>45757</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10974-2023</t>
        </is>
      </c>
      <c r="B412" s="1" t="n">
        <v>44991</v>
      </c>
      <c r="C412" s="1" t="n">
        <v>45757</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10896-2023</t>
        </is>
      </c>
      <c r="B413" s="1" t="n">
        <v>44991</v>
      </c>
      <c r="C413" s="1" t="n">
        <v>45757</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11233-2023</t>
        </is>
      </c>
      <c r="B414" s="1" t="n">
        <v>44992</v>
      </c>
      <c r="C414" s="1" t="n">
        <v>45757</v>
      </c>
      <c r="D414" t="inlineStr">
        <is>
          <t>DALARNAS LÄN</t>
        </is>
      </c>
      <c r="E414" t="inlineStr">
        <is>
          <t>LEKSAND</t>
        </is>
      </c>
      <c r="G414" t="n">
        <v>4.2</v>
      </c>
      <c r="H414" t="n">
        <v>0</v>
      </c>
      <c r="I414" t="n">
        <v>0</v>
      </c>
      <c r="J414" t="n">
        <v>0</v>
      </c>
      <c r="K414" t="n">
        <v>0</v>
      </c>
      <c r="L414" t="n">
        <v>0</v>
      </c>
      <c r="M414" t="n">
        <v>0</v>
      </c>
      <c r="N414" t="n">
        <v>0</v>
      </c>
      <c r="O414" t="n">
        <v>0</v>
      </c>
      <c r="P414" t="n">
        <v>0</v>
      </c>
      <c r="Q414" t="n">
        <v>0</v>
      </c>
      <c r="R414" s="2" t="inlineStr"/>
    </row>
    <row r="415" ht="15" customHeight="1">
      <c r="A415" t="inlineStr">
        <is>
          <t>A 11238-2023</t>
        </is>
      </c>
      <c r="B415" s="1" t="n">
        <v>44992</v>
      </c>
      <c r="C415" s="1" t="n">
        <v>45757</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11092-2023</t>
        </is>
      </c>
      <c r="B416" s="1" t="n">
        <v>44992</v>
      </c>
      <c r="C416" s="1" t="n">
        <v>45757</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11248-2023</t>
        </is>
      </c>
      <c r="B417" s="1" t="n">
        <v>44992</v>
      </c>
      <c r="C417" s="1" t="n">
        <v>45757</v>
      </c>
      <c r="D417" t="inlineStr">
        <is>
          <t>DALARNAS LÄN</t>
        </is>
      </c>
      <c r="E417" t="inlineStr">
        <is>
          <t>LEKSAND</t>
        </is>
      </c>
      <c r="G417" t="n">
        <v>3.5</v>
      </c>
      <c r="H417" t="n">
        <v>0</v>
      </c>
      <c r="I417" t="n">
        <v>0</v>
      </c>
      <c r="J417" t="n">
        <v>0</v>
      </c>
      <c r="K417" t="n">
        <v>0</v>
      </c>
      <c r="L417" t="n">
        <v>0</v>
      </c>
      <c r="M417" t="n">
        <v>0</v>
      </c>
      <c r="N417" t="n">
        <v>0</v>
      </c>
      <c r="O417" t="n">
        <v>0</v>
      </c>
      <c r="P417" t="n">
        <v>0</v>
      </c>
      <c r="Q417" t="n">
        <v>0</v>
      </c>
      <c r="R417" s="2" t="inlineStr"/>
    </row>
    <row r="418" ht="15" customHeight="1">
      <c r="A418" t="inlineStr">
        <is>
          <t>A 11128-2023</t>
        </is>
      </c>
      <c r="B418" s="1" t="n">
        <v>44992</v>
      </c>
      <c r="C418" s="1" t="n">
        <v>45757</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11080-2023</t>
        </is>
      </c>
      <c r="B419" s="1" t="n">
        <v>44992</v>
      </c>
      <c r="C419" s="1" t="n">
        <v>45757</v>
      </c>
      <c r="D419" t="inlineStr">
        <is>
          <t>DALARNAS LÄN</t>
        </is>
      </c>
      <c r="E419" t="inlineStr">
        <is>
          <t>LEKSAND</t>
        </is>
      </c>
      <c r="G419" t="n">
        <v>6.9</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45757</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11218-2023</t>
        </is>
      </c>
      <c r="B421" s="1" t="n">
        <v>44992</v>
      </c>
      <c r="C421" s="1" t="n">
        <v>45757</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11225-2023</t>
        </is>
      </c>
      <c r="B422" s="1" t="n">
        <v>44992</v>
      </c>
      <c r="C422" s="1" t="n">
        <v>45757</v>
      </c>
      <c r="D422" t="inlineStr">
        <is>
          <t>DALARNAS LÄN</t>
        </is>
      </c>
      <c r="E422" t="inlineStr">
        <is>
          <t>LEKSAND</t>
        </is>
      </c>
      <c r="G422" t="n">
        <v>6.1</v>
      </c>
      <c r="H422" t="n">
        <v>0</v>
      </c>
      <c r="I422" t="n">
        <v>0</v>
      </c>
      <c r="J422" t="n">
        <v>0</v>
      </c>
      <c r="K422" t="n">
        <v>0</v>
      </c>
      <c r="L422" t="n">
        <v>0</v>
      </c>
      <c r="M422" t="n">
        <v>0</v>
      </c>
      <c r="N422" t="n">
        <v>0</v>
      </c>
      <c r="O422" t="n">
        <v>0</v>
      </c>
      <c r="P422" t="n">
        <v>0</v>
      </c>
      <c r="Q422" t="n">
        <v>0</v>
      </c>
      <c r="R422" s="2" t="inlineStr"/>
    </row>
    <row r="423" ht="15" customHeight="1">
      <c r="A423" t="inlineStr">
        <is>
          <t>A 11347-2023</t>
        </is>
      </c>
      <c r="B423" s="1" t="n">
        <v>44993</v>
      </c>
      <c r="C423" s="1" t="n">
        <v>45757</v>
      </c>
      <c r="D423" t="inlineStr">
        <is>
          <t>DALARNAS LÄN</t>
        </is>
      </c>
      <c r="E423" t="inlineStr">
        <is>
          <t>LEKSAND</t>
        </is>
      </c>
      <c r="G423" t="n">
        <v>6.7</v>
      </c>
      <c r="H423" t="n">
        <v>0</v>
      </c>
      <c r="I423" t="n">
        <v>0</v>
      </c>
      <c r="J423" t="n">
        <v>0</v>
      </c>
      <c r="K423" t="n">
        <v>0</v>
      </c>
      <c r="L423" t="n">
        <v>0</v>
      </c>
      <c r="M423" t="n">
        <v>0</v>
      </c>
      <c r="N423" t="n">
        <v>0</v>
      </c>
      <c r="O423" t="n">
        <v>0</v>
      </c>
      <c r="P423" t="n">
        <v>0</v>
      </c>
      <c r="Q423" t="n">
        <v>0</v>
      </c>
      <c r="R423" s="2" t="inlineStr"/>
    </row>
    <row r="424" ht="15" customHeight="1">
      <c r="A424" t="inlineStr">
        <is>
          <t>A 11392-2023</t>
        </is>
      </c>
      <c r="B424" s="1" t="n">
        <v>44993</v>
      </c>
      <c r="C424" s="1" t="n">
        <v>45757</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11403-2023</t>
        </is>
      </c>
      <c r="B425" s="1" t="n">
        <v>44993</v>
      </c>
      <c r="C425" s="1" t="n">
        <v>45757</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11418-2023</t>
        </is>
      </c>
      <c r="B426" s="1" t="n">
        <v>44993</v>
      </c>
      <c r="C426" s="1" t="n">
        <v>45757</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11747-2023</t>
        </is>
      </c>
      <c r="B427" s="1" t="n">
        <v>44993</v>
      </c>
      <c r="C427" s="1" t="n">
        <v>45757</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11913-2023</t>
        </is>
      </c>
      <c r="B428" s="1" t="n">
        <v>44993</v>
      </c>
      <c r="C428" s="1" t="n">
        <v>45757</v>
      </c>
      <c r="D428" t="inlineStr">
        <is>
          <t>DALARNAS LÄN</t>
        </is>
      </c>
      <c r="E428" t="inlineStr">
        <is>
          <t>LEKSAND</t>
        </is>
      </c>
      <c r="G428" t="n">
        <v>7</v>
      </c>
      <c r="H428" t="n">
        <v>0</v>
      </c>
      <c r="I428" t="n">
        <v>0</v>
      </c>
      <c r="J428" t="n">
        <v>0</v>
      </c>
      <c r="K428" t="n">
        <v>0</v>
      </c>
      <c r="L428" t="n">
        <v>0</v>
      </c>
      <c r="M428" t="n">
        <v>0</v>
      </c>
      <c r="N428" t="n">
        <v>0</v>
      </c>
      <c r="O428" t="n">
        <v>0</v>
      </c>
      <c r="P428" t="n">
        <v>0</v>
      </c>
      <c r="Q428" t="n">
        <v>0</v>
      </c>
      <c r="R428" s="2" t="inlineStr"/>
    </row>
    <row r="429" ht="15" customHeight="1">
      <c r="A429" t="inlineStr">
        <is>
          <t>A 11582-2023</t>
        </is>
      </c>
      <c r="B429" s="1" t="n">
        <v>44994</v>
      </c>
      <c r="C429" s="1" t="n">
        <v>45757</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11592-2023</t>
        </is>
      </c>
      <c r="B430" s="1" t="n">
        <v>44994</v>
      </c>
      <c r="C430" s="1" t="n">
        <v>45757</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11678-2023</t>
        </is>
      </c>
      <c r="B431" s="1" t="n">
        <v>44994</v>
      </c>
      <c r="C431" s="1" t="n">
        <v>45757</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12144-2023</t>
        </is>
      </c>
      <c r="B432" s="1" t="n">
        <v>44998</v>
      </c>
      <c r="C432" s="1" t="n">
        <v>45757</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12117-2023</t>
        </is>
      </c>
      <c r="B433" s="1" t="n">
        <v>44998</v>
      </c>
      <c r="C433" s="1" t="n">
        <v>45757</v>
      </c>
      <c r="D433" t="inlineStr">
        <is>
          <t>DALARNAS LÄN</t>
        </is>
      </c>
      <c r="E433" t="inlineStr">
        <is>
          <t>LEKSAND</t>
        </is>
      </c>
      <c r="G433" t="n">
        <v>2.5</v>
      </c>
      <c r="H433" t="n">
        <v>0</v>
      </c>
      <c r="I433" t="n">
        <v>0</v>
      </c>
      <c r="J433" t="n">
        <v>0</v>
      </c>
      <c r="K433" t="n">
        <v>0</v>
      </c>
      <c r="L433" t="n">
        <v>0</v>
      </c>
      <c r="M433" t="n">
        <v>0</v>
      </c>
      <c r="N433" t="n">
        <v>0</v>
      </c>
      <c r="O433" t="n">
        <v>0</v>
      </c>
      <c r="P433" t="n">
        <v>0</v>
      </c>
      <c r="Q433" t="n">
        <v>0</v>
      </c>
      <c r="R433" s="2" t="inlineStr"/>
    </row>
    <row r="434" ht="15" customHeight="1">
      <c r="A434" t="inlineStr">
        <is>
          <t>A 12120-2023</t>
        </is>
      </c>
      <c r="B434" s="1" t="n">
        <v>44998</v>
      </c>
      <c r="C434" s="1" t="n">
        <v>45757</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12356-2023</t>
        </is>
      </c>
      <c r="B435" s="1" t="n">
        <v>44998</v>
      </c>
      <c r="C435" s="1" t="n">
        <v>45757</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12363-2023</t>
        </is>
      </c>
      <c r="B436" s="1" t="n">
        <v>44998</v>
      </c>
      <c r="C436" s="1" t="n">
        <v>45757</v>
      </c>
      <c r="D436" t="inlineStr">
        <is>
          <t>DALARNAS LÄN</t>
        </is>
      </c>
      <c r="E436" t="inlineStr">
        <is>
          <t>LEKSAND</t>
        </is>
      </c>
      <c r="G436" t="n">
        <v>10</v>
      </c>
      <c r="H436" t="n">
        <v>0</v>
      </c>
      <c r="I436" t="n">
        <v>0</v>
      </c>
      <c r="J436" t="n">
        <v>0</v>
      </c>
      <c r="K436" t="n">
        <v>0</v>
      </c>
      <c r="L436" t="n">
        <v>0</v>
      </c>
      <c r="M436" t="n">
        <v>0</v>
      </c>
      <c r="N436" t="n">
        <v>0</v>
      </c>
      <c r="O436" t="n">
        <v>0</v>
      </c>
      <c r="P436" t="n">
        <v>0</v>
      </c>
      <c r="Q436" t="n">
        <v>0</v>
      </c>
      <c r="R436" s="2" t="inlineStr"/>
    </row>
    <row r="437" ht="15" customHeight="1">
      <c r="A437" t="inlineStr">
        <is>
          <t>A 12414-2023</t>
        </is>
      </c>
      <c r="B437" s="1" t="n">
        <v>44999</v>
      </c>
      <c r="C437" s="1" t="n">
        <v>45757</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12857-2023</t>
        </is>
      </c>
      <c r="B438" s="1" t="n">
        <v>45001</v>
      </c>
      <c r="C438" s="1" t="n">
        <v>45757</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12851-2023</t>
        </is>
      </c>
      <c r="B439" s="1" t="n">
        <v>45001</v>
      </c>
      <c r="C439" s="1" t="n">
        <v>45757</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13024-2023</t>
        </is>
      </c>
      <c r="B440" s="1" t="n">
        <v>45001</v>
      </c>
      <c r="C440" s="1" t="n">
        <v>45757</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13063-2023</t>
        </is>
      </c>
      <c r="B441" s="1" t="n">
        <v>45001</v>
      </c>
      <c r="C441" s="1" t="n">
        <v>45757</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13027-2023</t>
        </is>
      </c>
      <c r="B442" s="1" t="n">
        <v>45001</v>
      </c>
      <c r="C442" s="1" t="n">
        <v>45757</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13079-2023</t>
        </is>
      </c>
      <c r="B443" s="1" t="n">
        <v>45001</v>
      </c>
      <c r="C443" s="1" t="n">
        <v>45757</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13165-2023</t>
        </is>
      </c>
      <c r="B444" s="1" t="n">
        <v>45002</v>
      </c>
      <c r="C444" s="1" t="n">
        <v>45757</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13288-2023</t>
        </is>
      </c>
      <c r="B445" s="1" t="n">
        <v>45004</v>
      </c>
      <c r="C445" s="1" t="n">
        <v>45757</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13397-2023</t>
        </is>
      </c>
      <c r="B446" s="1" t="n">
        <v>45005</v>
      </c>
      <c r="C446" s="1" t="n">
        <v>45757</v>
      </c>
      <c r="D446" t="inlineStr">
        <is>
          <t>DALARNAS LÄN</t>
        </is>
      </c>
      <c r="E446" t="inlineStr">
        <is>
          <t>LEKSAND</t>
        </is>
      </c>
      <c r="G446" t="n">
        <v>2.6</v>
      </c>
      <c r="H446" t="n">
        <v>0</v>
      </c>
      <c r="I446" t="n">
        <v>0</v>
      </c>
      <c r="J446" t="n">
        <v>0</v>
      </c>
      <c r="K446" t="n">
        <v>0</v>
      </c>
      <c r="L446" t="n">
        <v>0</v>
      </c>
      <c r="M446" t="n">
        <v>0</v>
      </c>
      <c r="N446" t="n">
        <v>0</v>
      </c>
      <c r="O446" t="n">
        <v>0</v>
      </c>
      <c r="P446" t="n">
        <v>0</v>
      </c>
      <c r="Q446" t="n">
        <v>0</v>
      </c>
      <c r="R446" s="2" t="inlineStr"/>
    </row>
    <row r="447" ht="15" customHeight="1">
      <c r="A447" t="inlineStr">
        <is>
          <t>A 13401-2023</t>
        </is>
      </c>
      <c r="B447" s="1" t="n">
        <v>45005</v>
      </c>
      <c r="C447" s="1" t="n">
        <v>45757</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13376-2023</t>
        </is>
      </c>
      <c r="B448" s="1" t="n">
        <v>45005</v>
      </c>
      <c r="C448" s="1" t="n">
        <v>45757</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13760-2023</t>
        </is>
      </c>
      <c r="B449" s="1" t="n">
        <v>45007</v>
      </c>
      <c r="C449" s="1" t="n">
        <v>45757</v>
      </c>
      <c r="D449" t="inlineStr">
        <is>
          <t>DALARNAS LÄN</t>
        </is>
      </c>
      <c r="E449" t="inlineStr">
        <is>
          <t>LEKSAND</t>
        </is>
      </c>
      <c r="G449" t="n">
        <v>7.9</v>
      </c>
      <c r="H449" t="n">
        <v>0</v>
      </c>
      <c r="I449" t="n">
        <v>0</v>
      </c>
      <c r="J449" t="n">
        <v>0</v>
      </c>
      <c r="K449" t="n">
        <v>0</v>
      </c>
      <c r="L449" t="n">
        <v>0</v>
      </c>
      <c r="M449" t="n">
        <v>0</v>
      </c>
      <c r="N449" t="n">
        <v>0</v>
      </c>
      <c r="O449" t="n">
        <v>0</v>
      </c>
      <c r="P449" t="n">
        <v>0</v>
      </c>
      <c r="Q449" t="n">
        <v>0</v>
      </c>
      <c r="R449" s="2" t="inlineStr"/>
    </row>
    <row r="450" ht="15" customHeight="1">
      <c r="A450" t="inlineStr">
        <is>
          <t>A 14339-2023</t>
        </is>
      </c>
      <c r="B450" s="1" t="n">
        <v>45012</v>
      </c>
      <c r="C450" s="1" t="n">
        <v>45757</v>
      </c>
      <c r="D450" t="inlineStr">
        <is>
          <t>DALARNAS LÄN</t>
        </is>
      </c>
      <c r="E450" t="inlineStr">
        <is>
          <t>LEKSAND</t>
        </is>
      </c>
      <c r="G450" t="n">
        <v>5.3</v>
      </c>
      <c r="H450" t="n">
        <v>0</v>
      </c>
      <c r="I450" t="n">
        <v>0</v>
      </c>
      <c r="J450" t="n">
        <v>0</v>
      </c>
      <c r="K450" t="n">
        <v>0</v>
      </c>
      <c r="L450" t="n">
        <v>0</v>
      </c>
      <c r="M450" t="n">
        <v>0</v>
      </c>
      <c r="N450" t="n">
        <v>0</v>
      </c>
      <c r="O450" t="n">
        <v>0</v>
      </c>
      <c r="P450" t="n">
        <v>0</v>
      </c>
      <c r="Q450" t="n">
        <v>0</v>
      </c>
      <c r="R450" s="2" t="inlineStr"/>
    </row>
    <row r="451" ht="15" customHeight="1">
      <c r="A451" t="inlineStr">
        <is>
          <t>A 14558-2023</t>
        </is>
      </c>
      <c r="B451" s="1" t="n">
        <v>45013</v>
      </c>
      <c r="C451" s="1" t="n">
        <v>45757</v>
      </c>
      <c r="D451" t="inlineStr">
        <is>
          <t>DALARNAS LÄN</t>
        </is>
      </c>
      <c r="E451" t="inlineStr">
        <is>
          <t>LEKSAND</t>
        </is>
      </c>
      <c r="G451" t="n">
        <v>3.9</v>
      </c>
      <c r="H451" t="n">
        <v>0</v>
      </c>
      <c r="I451" t="n">
        <v>0</v>
      </c>
      <c r="J451" t="n">
        <v>0</v>
      </c>
      <c r="K451" t="n">
        <v>0</v>
      </c>
      <c r="L451" t="n">
        <v>0</v>
      </c>
      <c r="M451" t="n">
        <v>0</v>
      </c>
      <c r="N451" t="n">
        <v>0</v>
      </c>
      <c r="O451" t="n">
        <v>0</v>
      </c>
      <c r="P451" t="n">
        <v>0</v>
      </c>
      <c r="Q451" t="n">
        <v>0</v>
      </c>
      <c r="R451" s="2" t="inlineStr"/>
    </row>
    <row r="452" ht="15" customHeight="1">
      <c r="A452" t="inlineStr">
        <is>
          <t>A 14809-2023</t>
        </is>
      </c>
      <c r="B452" s="1" t="n">
        <v>45014</v>
      </c>
      <c r="C452" s="1" t="n">
        <v>45757</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14943-2023</t>
        </is>
      </c>
      <c r="B453" s="1" t="n">
        <v>45015</v>
      </c>
      <c r="C453" s="1" t="n">
        <v>45757</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14967-2023</t>
        </is>
      </c>
      <c r="B454" s="1" t="n">
        <v>45015</v>
      </c>
      <c r="C454" s="1" t="n">
        <v>45757</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15020-2023</t>
        </is>
      </c>
      <c r="B455" s="1" t="n">
        <v>45015</v>
      </c>
      <c r="C455" s="1" t="n">
        <v>45757</v>
      </c>
      <c r="D455" t="inlineStr">
        <is>
          <t>DALARNAS LÄN</t>
        </is>
      </c>
      <c r="E455" t="inlineStr">
        <is>
          <t>LEKSAND</t>
        </is>
      </c>
      <c r="G455" t="n">
        <v>2.6</v>
      </c>
      <c r="H455" t="n">
        <v>0</v>
      </c>
      <c r="I455" t="n">
        <v>0</v>
      </c>
      <c r="J455" t="n">
        <v>0</v>
      </c>
      <c r="K455" t="n">
        <v>0</v>
      </c>
      <c r="L455" t="n">
        <v>0</v>
      </c>
      <c r="M455" t="n">
        <v>0</v>
      </c>
      <c r="N455" t="n">
        <v>0</v>
      </c>
      <c r="O455" t="n">
        <v>0</v>
      </c>
      <c r="P455" t="n">
        <v>0</v>
      </c>
      <c r="Q455" t="n">
        <v>0</v>
      </c>
      <c r="R455" s="2" t="inlineStr"/>
    </row>
    <row r="456" ht="15" customHeight="1">
      <c r="A456" t="inlineStr">
        <is>
          <t>A 15025-2023</t>
        </is>
      </c>
      <c r="B456" s="1" t="n">
        <v>45015</v>
      </c>
      <c r="C456" s="1" t="n">
        <v>45757</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15120-2023</t>
        </is>
      </c>
      <c r="B457" s="1" t="n">
        <v>45016</v>
      </c>
      <c r="C457" s="1" t="n">
        <v>45757</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15261-2023</t>
        </is>
      </c>
      <c r="B458" s="1" t="n">
        <v>45019</v>
      </c>
      <c r="C458" s="1" t="n">
        <v>45757</v>
      </c>
      <c r="D458" t="inlineStr">
        <is>
          <t>DALARNAS LÄN</t>
        </is>
      </c>
      <c r="E458" t="inlineStr">
        <is>
          <t>LEKSAND</t>
        </is>
      </c>
      <c r="G458" t="n">
        <v>1.8</v>
      </c>
      <c r="H458" t="n">
        <v>0</v>
      </c>
      <c r="I458" t="n">
        <v>0</v>
      </c>
      <c r="J458" t="n">
        <v>0</v>
      </c>
      <c r="K458" t="n">
        <v>0</v>
      </c>
      <c r="L458" t="n">
        <v>0</v>
      </c>
      <c r="M458" t="n">
        <v>0</v>
      </c>
      <c r="N458" t="n">
        <v>0</v>
      </c>
      <c r="O458" t="n">
        <v>0</v>
      </c>
      <c r="P458" t="n">
        <v>0</v>
      </c>
      <c r="Q458" t="n">
        <v>0</v>
      </c>
      <c r="R458" s="2" t="inlineStr"/>
    </row>
    <row r="459" ht="15" customHeight="1">
      <c r="A459" t="inlineStr">
        <is>
          <t>A 15271-2023</t>
        </is>
      </c>
      <c r="B459" s="1" t="n">
        <v>45019</v>
      </c>
      <c r="C459" s="1" t="n">
        <v>45757</v>
      </c>
      <c r="D459" t="inlineStr">
        <is>
          <t>DALARNAS LÄN</t>
        </is>
      </c>
      <c r="E459" t="inlineStr">
        <is>
          <t>LEKSAND</t>
        </is>
      </c>
      <c r="G459" t="n">
        <v>5.5</v>
      </c>
      <c r="H459" t="n">
        <v>0</v>
      </c>
      <c r="I459" t="n">
        <v>0</v>
      </c>
      <c r="J459" t="n">
        <v>0</v>
      </c>
      <c r="K459" t="n">
        <v>0</v>
      </c>
      <c r="L459" t="n">
        <v>0</v>
      </c>
      <c r="M459" t="n">
        <v>0</v>
      </c>
      <c r="N459" t="n">
        <v>0</v>
      </c>
      <c r="O459" t="n">
        <v>0</v>
      </c>
      <c r="P459" t="n">
        <v>0</v>
      </c>
      <c r="Q459" t="n">
        <v>0</v>
      </c>
      <c r="R459" s="2" t="inlineStr"/>
    </row>
    <row r="460" ht="15" customHeight="1">
      <c r="A460" t="inlineStr">
        <is>
          <t>A 15435-2023</t>
        </is>
      </c>
      <c r="B460" s="1" t="n">
        <v>45020</v>
      </c>
      <c r="C460" s="1" t="n">
        <v>45757</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15436-2023</t>
        </is>
      </c>
      <c r="B461" s="1" t="n">
        <v>45020</v>
      </c>
      <c r="C461" s="1" t="n">
        <v>45757</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15433-2023</t>
        </is>
      </c>
      <c r="B462" s="1" t="n">
        <v>45020</v>
      </c>
      <c r="C462" s="1" t="n">
        <v>45757</v>
      </c>
      <c r="D462" t="inlineStr">
        <is>
          <t>DALARNAS LÄN</t>
        </is>
      </c>
      <c r="E462" t="inlineStr">
        <is>
          <t>LEKSAND</t>
        </is>
      </c>
      <c r="G462" t="n">
        <v>3</v>
      </c>
      <c r="H462" t="n">
        <v>0</v>
      </c>
      <c r="I462" t="n">
        <v>0</v>
      </c>
      <c r="J462" t="n">
        <v>0</v>
      </c>
      <c r="K462" t="n">
        <v>0</v>
      </c>
      <c r="L462" t="n">
        <v>0</v>
      </c>
      <c r="M462" t="n">
        <v>0</v>
      </c>
      <c r="N462" t="n">
        <v>0</v>
      </c>
      <c r="O462" t="n">
        <v>0</v>
      </c>
      <c r="P462" t="n">
        <v>0</v>
      </c>
      <c r="Q462" t="n">
        <v>0</v>
      </c>
      <c r="R462" s="2" t="inlineStr"/>
    </row>
    <row r="463" ht="15" customHeight="1">
      <c r="A463" t="inlineStr">
        <is>
          <t>A 15882-2023</t>
        </is>
      </c>
      <c r="B463" s="1" t="n">
        <v>45022</v>
      </c>
      <c r="C463" s="1" t="n">
        <v>45757</v>
      </c>
      <c r="D463" t="inlineStr">
        <is>
          <t>DALARNAS LÄN</t>
        </is>
      </c>
      <c r="E463" t="inlineStr">
        <is>
          <t>LEKSAND</t>
        </is>
      </c>
      <c r="G463" t="n">
        <v>0.1</v>
      </c>
      <c r="H463" t="n">
        <v>0</v>
      </c>
      <c r="I463" t="n">
        <v>0</v>
      </c>
      <c r="J463" t="n">
        <v>0</v>
      </c>
      <c r="K463" t="n">
        <v>0</v>
      </c>
      <c r="L463" t="n">
        <v>0</v>
      </c>
      <c r="M463" t="n">
        <v>0</v>
      </c>
      <c r="N463" t="n">
        <v>0</v>
      </c>
      <c r="O463" t="n">
        <v>0</v>
      </c>
      <c r="P463" t="n">
        <v>0</v>
      </c>
      <c r="Q463" t="n">
        <v>0</v>
      </c>
      <c r="R463" s="2" t="inlineStr"/>
    </row>
    <row r="464" ht="15" customHeight="1">
      <c r="A464" t="inlineStr">
        <is>
          <t>A 16051-2023</t>
        </is>
      </c>
      <c r="B464" s="1" t="n">
        <v>45027</v>
      </c>
      <c r="C464" s="1" t="n">
        <v>45757</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16139-2023</t>
        </is>
      </c>
      <c r="B465" s="1" t="n">
        <v>45027</v>
      </c>
      <c r="C465" s="1" t="n">
        <v>45757</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16143-2023</t>
        </is>
      </c>
      <c r="B466" s="1" t="n">
        <v>45027</v>
      </c>
      <c r="C466" s="1" t="n">
        <v>45757</v>
      </c>
      <c r="D466" t="inlineStr">
        <is>
          <t>DALARNAS LÄN</t>
        </is>
      </c>
      <c r="E466" t="inlineStr">
        <is>
          <t>LEKSAND</t>
        </is>
      </c>
      <c r="G466" t="n">
        <v>0.7</v>
      </c>
      <c r="H466" t="n">
        <v>0</v>
      </c>
      <c r="I466" t="n">
        <v>0</v>
      </c>
      <c r="J466" t="n">
        <v>0</v>
      </c>
      <c r="K466" t="n">
        <v>0</v>
      </c>
      <c r="L466" t="n">
        <v>0</v>
      </c>
      <c r="M466" t="n">
        <v>0</v>
      </c>
      <c r="N466" t="n">
        <v>0</v>
      </c>
      <c r="O466" t="n">
        <v>0</v>
      </c>
      <c r="P466" t="n">
        <v>0</v>
      </c>
      <c r="Q466" t="n">
        <v>0</v>
      </c>
      <c r="R466" s="2" t="inlineStr"/>
    </row>
    <row r="467" ht="15" customHeight="1">
      <c r="A467" t="inlineStr">
        <is>
          <t>A 16137-2023</t>
        </is>
      </c>
      <c r="B467" s="1" t="n">
        <v>45027</v>
      </c>
      <c r="C467" s="1" t="n">
        <v>45757</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16135-2023</t>
        </is>
      </c>
      <c r="B468" s="1" t="n">
        <v>45027</v>
      </c>
      <c r="C468" s="1" t="n">
        <v>45757</v>
      </c>
      <c r="D468" t="inlineStr">
        <is>
          <t>DALARNAS LÄN</t>
        </is>
      </c>
      <c r="E468" t="inlineStr">
        <is>
          <t>LEKSAND</t>
        </is>
      </c>
      <c r="G468" t="n">
        <v>4.9</v>
      </c>
      <c r="H468" t="n">
        <v>0</v>
      </c>
      <c r="I468" t="n">
        <v>0</v>
      </c>
      <c r="J468" t="n">
        <v>0</v>
      </c>
      <c r="K468" t="n">
        <v>0</v>
      </c>
      <c r="L468" t="n">
        <v>0</v>
      </c>
      <c r="M468" t="n">
        <v>0</v>
      </c>
      <c r="N468" t="n">
        <v>0</v>
      </c>
      <c r="O468" t="n">
        <v>0</v>
      </c>
      <c r="P468" t="n">
        <v>0</v>
      </c>
      <c r="Q468" t="n">
        <v>0</v>
      </c>
      <c r="R468" s="2" t="inlineStr"/>
    </row>
    <row r="469" ht="15" customHeight="1">
      <c r="A469" t="inlineStr">
        <is>
          <t>A 16332-2023</t>
        </is>
      </c>
      <c r="B469" s="1" t="n">
        <v>45028</v>
      </c>
      <c r="C469" s="1" t="n">
        <v>45757</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16592-2023</t>
        </is>
      </c>
      <c r="B470" s="1" t="n">
        <v>45030</v>
      </c>
      <c r="C470" s="1" t="n">
        <v>45757</v>
      </c>
      <c r="D470" t="inlineStr">
        <is>
          <t>DALARNAS LÄN</t>
        </is>
      </c>
      <c r="E470" t="inlineStr">
        <is>
          <t>LEKSAND</t>
        </is>
      </c>
      <c r="G470" t="n">
        <v>11.5</v>
      </c>
      <c r="H470" t="n">
        <v>0</v>
      </c>
      <c r="I470" t="n">
        <v>0</v>
      </c>
      <c r="J470" t="n">
        <v>0</v>
      </c>
      <c r="K470" t="n">
        <v>0</v>
      </c>
      <c r="L470" t="n">
        <v>0</v>
      </c>
      <c r="M470" t="n">
        <v>0</v>
      </c>
      <c r="N470" t="n">
        <v>0</v>
      </c>
      <c r="O470" t="n">
        <v>0</v>
      </c>
      <c r="P470" t="n">
        <v>0</v>
      </c>
      <c r="Q470" t="n">
        <v>0</v>
      </c>
      <c r="R470" s="2" t="inlineStr"/>
    </row>
    <row r="471" ht="15" customHeight="1">
      <c r="A471" t="inlineStr">
        <is>
          <t>A 16818-2023</t>
        </is>
      </c>
      <c r="B471" s="1" t="n">
        <v>45033</v>
      </c>
      <c r="C471" s="1" t="n">
        <v>45757</v>
      </c>
      <c r="D471" t="inlineStr">
        <is>
          <t>DALARNAS LÄN</t>
        </is>
      </c>
      <c r="E471" t="inlineStr">
        <is>
          <t>LEKSAND</t>
        </is>
      </c>
      <c r="F471" t="inlineStr">
        <is>
          <t>Övriga statliga verk och myndigheter</t>
        </is>
      </c>
      <c r="G471" t="n">
        <v>1.3</v>
      </c>
      <c r="H471" t="n">
        <v>0</v>
      </c>
      <c r="I471" t="n">
        <v>0</v>
      </c>
      <c r="J471" t="n">
        <v>0</v>
      </c>
      <c r="K471" t="n">
        <v>0</v>
      </c>
      <c r="L471" t="n">
        <v>0</v>
      </c>
      <c r="M471" t="n">
        <v>0</v>
      </c>
      <c r="N471" t="n">
        <v>0</v>
      </c>
      <c r="O471" t="n">
        <v>0</v>
      </c>
      <c r="P471" t="n">
        <v>0</v>
      </c>
      <c r="Q471" t="n">
        <v>0</v>
      </c>
      <c r="R471" s="2" t="inlineStr"/>
    </row>
    <row r="472" ht="15" customHeight="1">
      <c r="A472" t="inlineStr">
        <is>
          <t>A 16882-2023</t>
        </is>
      </c>
      <c r="B472" s="1" t="n">
        <v>45033</v>
      </c>
      <c r="C472" s="1" t="n">
        <v>45757</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16926-2023</t>
        </is>
      </c>
      <c r="B473" s="1" t="n">
        <v>45033</v>
      </c>
      <c r="C473" s="1" t="n">
        <v>45757</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17078-2023</t>
        </is>
      </c>
      <c r="B474" s="1" t="n">
        <v>45034</v>
      </c>
      <c r="C474" s="1" t="n">
        <v>45757</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17070-2023</t>
        </is>
      </c>
      <c r="B475" s="1" t="n">
        <v>45034</v>
      </c>
      <c r="C475" s="1" t="n">
        <v>45757</v>
      </c>
      <c r="D475" t="inlineStr">
        <is>
          <t>DALARNAS LÄN</t>
        </is>
      </c>
      <c r="E475" t="inlineStr">
        <is>
          <t>LEKSAND</t>
        </is>
      </c>
      <c r="G475" t="n">
        <v>5.9</v>
      </c>
      <c r="H475" t="n">
        <v>0</v>
      </c>
      <c r="I475" t="n">
        <v>0</v>
      </c>
      <c r="J475" t="n">
        <v>0</v>
      </c>
      <c r="K475" t="n">
        <v>0</v>
      </c>
      <c r="L475" t="n">
        <v>0</v>
      </c>
      <c r="M475" t="n">
        <v>0</v>
      </c>
      <c r="N475" t="n">
        <v>0</v>
      </c>
      <c r="O475" t="n">
        <v>0</v>
      </c>
      <c r="P475" t="n">
        <v>0</v>
      </c>
      <c r="Q475" t="n">
        <v>0</v>
      </c>
      <c r="R475" s="2" t="inlineStr"/>
    </row>
    <row r="476" ht="15" customHeight="1">
      <c r="A476" t="inlineStr">
        <is>
          <t>A 17076-2023</t>
        </is>
      </c>
      <c r="B476" s="1" t="n">
        <v>45034</v>
      </c>
      <c r="C476" s="1" t="n">
        <v>45757</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17072-2023</t>
        </is>
      </c>
      <c r="B477" s="1" t="n">
        <v>45034</v>
      </c>
      <c r="C477" s="1" t="n">
        <v>45757</v>
      </c>
      <c r="D477" t="inlineStr">
        <is>
          <t>DALARNAS LÄN</t>
        </is>
      </c>
      <c r="E477" t="inlineStr">
        <is>
          <t>LEKSAND</t>
        </is>
      </c>
      <c r="G477" t="n">
        <v>5.3</v>
      </c>
      <c r="H477" t="n">
        <v>0</v>
      </c>
      <c r="I477" t="n">
        <v>0</v>
      </c>
      <c r="J477" t="n">
        <v>0</v>
      </c>
      <c r="K477" t="n">
        <v>0</v>
      </c>
      <c r="L477" t="n">
        <v>0</v>
      </c>
      <c r="M477" t="n">
        <v>0</v>
      </c>
      <c r="N477" t="n">
        <v>0</v>
      </c>
      <c r="O477" t="n">
        <v>0</v>
      </c>
      <c r="P477" t="n">
        <v>0</v>
      </c>
      <c r="Q477" t="n">
        <v>0</v>
      </c>
      <c r="R477" s="2" t="inlineStr"/>
    </row>
    <row r="478" ht="15" customHeight="1">
      <c r="A478" t="inlineStr">
        <is>
          <t>A 17084-2023</t>
        </is>
      </c>
      <c r="B478" s="1" t="n">
        <v>45034</v>
      </c>
      <c r="C478" s="1" t="n">
        <v>45757</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17089-2023</t>
        </is>
      </c>
      <c r="B479" s="1" t="n">
        <v>45034</v>
      </c>
      <c r="C479" s="1" t="n">
        <v>45757</v>
      </c>
      <c r="D479" t="inlineStr">
        <is>
          <t>DALARNAS LÄN</t>
        </is>
      </c>
      <c r="E479" t="inlineStr">
        <is>
          <t>LEKSAND</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17233-2023</t>
        </is>
      </c>
      <c r="B480" s="1" t="n">
        <v>45035</v>
      </c>
      <c r="C480" s="1" t="n">
        <v>45757</v>
      </c>
      <c r="D480" t="inlineStr">
        <is>
          <t>DALARNAS LÄN</t>
        </is>
      </c>
      <c r="E480" t="inlineStr">
        <is>
          <t>LEKSAND</t>
        </is>
      </c>
      <c r="G480" t="n">
        <v>1.6</v>
      </c>
      <c r="H480" t="n">
        <v>0</v>
      </c>
      <c r="I480" t="n">
        <v>0</v>
      </c>
      <c r="J480" t="n">
        <v>0</v>
      </c>
      <c r="K480" t="n">
        <v>0</v>
      </c>
      <c r="L480" t="n">
        <v>0</v>
      </c>
      <c r="M480" t="n">
        <v>0</v>
      </c>
      <c r="N480" t="n">
        <v>0</v>
      </c>
      <c r="O480" t="n">
        <v>0</v>
      </c>
      <c r="P480" t="n">
        <v>0</v>
      </c>
      <c r="Q480" t="n">
        <v>0</v>
      </c>
      <c r="R480" s="2" t="inlineStr"/>
    </row>
    <row r="481" ht="15" customHeight="1">
      <c r="A481" t="inlineStr">
        <is>
          <t>A 17231-2023</t>
        </is>
      </c>
      <c r="B481" s="1" t="n">
        <v>45035</v>
      </c>
      <c r="C481" s="1" t="n">
        <v>45757</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17331-2023</t>
        </is>
      </c>
      <c r="B482" s="1" t="n">
        <v>45035</v>
      </c>
      <c r="C482" s="1" t="n">
        <v>45757</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17413-2023</t>
        </is>
      </c>
      <c r="B483" s="1" t="n">
        <v>45035</v>
      </c>
      <c r="C483" s="1" t="n">
        <v>45757</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17533-2023</t>
        </is>
      </c>
      <c r="B484" s="1" t="n">
        <v>45036</v>
      </c>
      <c r="C484" s="1" t="n">
        <v>45757</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17759-2023</t>
        </is>
      </c>
      <c r="B485" s="1" t="n">
        <v>45037</v>
      </c>
      <c r="C485" s="1" t="n">
        <v>45757</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17947-2023</t>
        </is>
      </c>
      <c r="B486" s="1" t="n">
        <v>45040</v>
      </c>
      <c r="C486" s="1" t="n">
        <v>45757</v>
      </c>
      <c r="D486" t="inlineStr">
        <is>
          <t>DALARNAS LÄN</t>
        </is>
      </c>
      <c r="E486" t="inlineStr">
        <is>
          <t>LEKSAND</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18351-2023</t>
        </is>
      </c>
      <c r="B487" s="1" t="n">
        <v>45041</v>
      </c>
      <c r="C487" s="1" t="n">
        <v>45757</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18383-2023</t>
        </is>
      </c>
      <c r="B488" s="1" t="n">
        <v>45042</v>
      </c>
      <c r="C488" s="1" t="n">
        <v>45757</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18407-2023</t>
        </is>
      </c>
      <c r="B489" s="1" t="n">
        <v>45042</v>
      </c>
      <c r="C489" s="1" t="n">
        <v>45757</v>
      </c>
      <c r="D489" t="inlineStr">
        <is>
          <t>DALARNAS LÄN</t>
        </is>
      </c>
      <c r="E489" t="inlineStr">
        <is>
          <t>LEKSAND</t>
        </is>
      </c>
      <c r="G489" t="n">
        <v>4.2</v>
      </c>
      <c r="H489" t="n">
        <v>0</v>
      </c>
      <c r="I489" t="n">
        <v>0</v>
      </c>
      <c r="J489" t="n">
        <v>0</v>
      </c>
      <c r="K489" t="n">
        <v>0</v>
      </c>
      <c r="L489" t="n">
        <v>0</v>
      </c>
      <c r="M489" t="n">
        <v>0</v>
      </c>
      <c r="N489" t="n">
        <v>0</v>
      </c>
      <c r="O489" t="n">
        <v>0</v>
      </c>
      <c r="P489" t="n">
        <v>0</v>
      </c>
      <c r="Q489" t="n">
        <v>0</v>
      </c>
      <c r="R489" s="2" t="inlineStr"/>
    </row>
    <row r="490" ht="15" customHeight="1">
      <c r="A490" t="inlineStr">
        <is>
          <t>A 18677-2023</t>
        </is>
      </c>
      <c r="B490" s="1" t="n">
        <v>45043</v>
      </c>
      <c r="C490" s="1" t="n">
        <v>45757</v>
      </c>
      <c r="D490" t="inlineStr">
        <is>
          <t>DALARNAS LÄN</t>
        </is>
      </c>
      <c r="E490" t="inlineStr">
        <is>
          <t>LEKSAND</t>
        </is>
      </c>
      <c r="G490" t="n">
        <v>2.2</v>
      </c>
      <c r="H490" t="n">
        <v>0</v>
      </c>
      <c r="I490" t="n">
        <v>0</v>
      </c>
      <c r="J490" t="n">
        <v>0</v>
      </c>
      <c r="K490" t="n">
        <v>0</v>
      </c>
      <c r="L490" t="n">
        <v>0</v>
      </c>
      <c r="M490" t="n">
        <v>0</v>
      </c>
      <c r="N490" t="n">
        <v>0</v>
      </c>
      <c r="O490" t="n">
        <v>0</v>
      </c>
      <c r="P490" t="n">
        <v>0</v>
      </c>
      <c r="Q490" t="n">
        <v>0</v>
      </c>
      <c r="R490" s="2" t="inlineStr"/>
    </row>
    <row r="491" ht="15" customHeight="1">
      <c r="A491" t="inlineStr">
        <is>
          <t>A 18632-2023</t>
        </is>
      </c>
      <c r="B491" s="1" t="n">
        <v>45043</v>
      </c>
      <c r="C491" s="1" t="n">
        <v>45757</v>
      </c>
      <c r="D491" t="inlineStr">
        <is>
          <t>DALARNAS LÄN</t>
        </is>
      </c>
      <c r="E491" t="inlineStr">
        <is>
          <t>LEKSAND</t>
        </is>
      </c>
      <c r="G491" t="n">
        <v>6.8</v>
      </c>
      <c r="H491" t="n">
        <v>0</v>
      </c>
      <c r="I491" t="n">
        <v>0</v>
      </c>
      <c r="J491" t="n">
        <v>0</v>
      </c>
      <c r="K491" t="n">
        <v>0</v>
      </c>
      <c r="L491" t="n">
        <v>0</v>
      </c>
      <c r="M491" t="n">
        <v>0</v>
      </c>
      <c r="N491" t="n">
        <v>0</v>
      </c>
      <c r="O491" t="n">
        <v>0</v>
      </c>
      <c r="P491" t="n">
        <v>0</v>
      </c>
      <c r="Q491" t="n">
        <v>0</v>
      </c>
      <c r="R491" s="2" t="inlineStr"/>
    </row>
    <row r="492" ht="15" customHeight="1">
      <c r="A492" t="inlineStr">
        <is>
          <t>A 18666-2023</t>
        </is>
      </c>
      <c r="B492" s="1" t="n">
        <v>45043</v>
      </c>
      <c r="C492" s="1" t="n">
        <v>45757</v>
      </c>
      <c r="D492" t="inlineStr">
        <is>
          <t>DALARNAS LÄN</t>
        </is>
      </c>
      <c r="E492" t="inlineStr">
        <is>
          <t>LEKSAND</t>
        </is>
      </c>
      <c r="G492" t="n">
        <v>3.3</v>
      </c>
      <c r="H492" t="n">
        <v>0</v>
      </c>
      <c r="I492" t="n">
        <v>0</v>
      </c>
      <c r="J492" t="n">
        <v>0</v>
      </c>
      <c r="K492" t="n">
        <v>0</v>
      </c>
      <c r="L492" t="n">
        <v>0</v>
      </c>
      <c r="M492" t="n">
        <v>0</v>
      </c>
      <c r="N492" t="n">
        <v>0</v>
      </c>
      <c r="O492" t="n">
        <v>0</v>
      </c>
      <c r="P492" t="n">
        <v>0</v>
      </c>
      <c r="Q492" t="n">
        <v>0</v>
      </c>
      <c r="R492" s="2" t="inlineStr"/>
    </row>
    <row r="493" ht="15" customHeight="1">
      <c r="A493" t="inlineStr">
        <is>
          <t>A 18909-2023</t>
        </is>
      </c>
      <c r="B493" s="1" t="n">
        <v>45044</v>
      </c>
      <c r="C493" s="1" t="n">
        <v>45757</v>
      </c>
      <c r="D493" t="inlineStr">
        <is>
          <t>DALARNAS LÄN</t>
        </is>
      </c>
      <c r="E493" t="inlineStr">
        <is>
          <t>LEKSAND</t>
        </is>
      </c>
      <c r="G493" t="n">
        <v>10.7</v>
      </c>
      <c r="H493" t="n">
        <v>0</v>
      </c>
      <c r="I493" t="n">
        <v>0</v>
      </c>
      <c r="J493" t="n">
        <v>0</v>
      </c>
      <c r="K493" t="n">
        <v>0</v>
      </c>
      <c r="L493" t="n">
        <v>0</v>
      </c>
      <c r="M493" t="n">
        <v>0</v>
      </c>
      <c r="N493" t="n">
        <v>0</v>
      </c>
      <c r="O493" t="n">
        <v>0</v>
      </c>
      <c r="P493" t="n">
        <v>0</v>
      </c>
      <c r="Q493" t="n">
        <v>0</v>
      </c>
      <c r="R493" s="2" t="inlineStr"/>
    </row>
    <row r="494" ht="15" customHeight="1">
      <c r="A494" t="inlineStr">
        <is>
          <t>A 18837-2023</t>
        </is>
      </c>
      <c r="B494" s="1" t="n">
        <v>45044</v>
      </c>
      <c r="C494" s="1" t="n">
        <v>45757</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19103-2023</t>
        </is>
      </c>
      <c r="B495" s="1" t="n">
        <v>45048</v>
      </c>
      <c r="C495" s="1" t="n">
        <v>45757</v>
      </c>
      <c r="D495" t="inlineStr">
        <is>
          <t>DALARNAS LÄN</t>
        </is>
      </c>
      <c r="E495" t="inlineStr">
        <is>
          <t>LEKSAND</t>
        </is>
      </c>
      <c r="G495" t="n">
        <v>7.1</v>
      </c>
      <c r="H495" t="n">
        <v>0</v>
      </c>
      <c r="I495" t="n">
        <v>0</v>
      </c>
      <c r="J495" t="n">
        <v>0</v>
      </c>
      <c r="K495" t="n">
        <v>0</v>
      </c>
      <c r="L495" t="n">
        <v>0</v>
      </c>
      <c r="M495" t="n">
        <v>0</v>
      </c>
      <c r="N495" t="n">
        <v>0</v>
      </c>
      <c r="O495" t="n">
        <v>0</v>
      </c>
      <c r="P495" t="n">
        <v>0</v>
      </c>
      <c r="Q495" t="n">
        <v>0</v>
      </c>
      <c r="R495" s="2" t="inlineStr"/>
    </row>
    <row r="496" ht="15" customHeight="1">
      <c r="A496" t="inlineStr">
        <is>
          <t>A 19316-2023</t>
        </is>
      </c>
      <c r="B496" s="1" t="n">
        <v>45049</v>
      </c>
      <c r="C496" s="1" t="n">
        <v>45757</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19331-2023</t>
        </is>
      </c>
      <c r="B497" s="1" t="n">
        <v>45049</v>
      </c>
      <c r="C497" s="1" t="n">
        <v>45757</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19550-2023</t>
        </is>
      </c>
      <c r="B498" s="1" t="n">
        <v>45049</v>
      </c>
      <c r="C498" s="1" t="n">
        <v>45757</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19590-2023</t>
        </is>
      </c>
      <c r="B499" s="1" t="n">
        <v>45049</v>
      </c>
      <c r="C499" s="1" t="n">
        <v>45757</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19559-2023</t>
        </is>
      </c>
      <c r="B500" s="1" t="n">
        <v>45050</v>
      </c>
      <c r="C500" s="1" t="n">
        <v>45757</v>
      </c>
      <c r="D500" t="inlineStr">
        <is>
          <t>DALARNAS LÄN</t>
        </is>
      </c>
      <c r="E500" t="inlineStr">
        <is>
          <t>LEKSAND</t>
        </is>
      </c>
      <c r="G500" t="n">
        <v>0.1</v>
      </c>
      <c r="H500" t="n">
        <v>0</v>
      </c>
      <c r="I500" t="n">
        <v>0</v>
      </c>
      <c r="J500" t="n">
        <v>0</v>
      </c>
      <c r="K500" t="n">
        <v>0</v>
      </c>
      <c r="L500" t="n">
        <v>0</v>
      </c>
      <c r="M500" t="n">
        <v>0</v>
      </c>
      <c r="N500" t="n">
        <v>0</v>
      </c>
      <c r="O500" t="n">
        <v>0</v>
      </c>
      <c r="P500" t="n">
        <v>0</v>
      </c>
      <c r="Q500" t="n">
        <v>0</v>
      </c>
      <c r="R500" s="2" t="inlineStr"/>
    </row>
    <row r="501" ht="15" customHeight="1">
      <c r="A501" t="inlineStr">
        <is>
          <t>A 19689-2023</t>
        </is>
      </c>
      <c r="B501" s="1" t="n">
        <v>45051</v>
      </c>
      <c r="C501" s="1" t="n">
        <v>45757</v>
      </c>
      <c r="D501" t="inlineStr">
        <is>
          <t>DALARNAS LÄN</t>
        </is>
      </c>
      <c r="E501" t="inlineStr">
        <is>
          <t>LEKSAND</t>
        </is>
      </c>
      <c r="G501" t="n">
        <v>15.9</v>
      </c>
      <c r="H501" t="n">
        <v>0</v>
      </c>
      <c r="I501" t="n">
        <v>0</v>
      </c>
      <c r="J501" t="n">
        <v>0</v>
      </c>
      <c r="K501" t="n">
        <v>0</v>
      </c>
      <c r="L501" t="n">
        <v>0</v>
      </c>
      <c r="M501" t="n">
        <v>0</v>
      </c>
      <c r="N501" t="n">
        <v>0</v>
      </c>
      <c r="O501" t="n">
        <v>0</v>
      </c>
      <c r="P501" t="n">
        <v>0</v>
      </c>
      <c r="Q501" t="n">
        <v>0</v>
      </c>
      <c r="R501" s="2" t="inlineStr"/>
    </row>
    <row r="502" ht="15" customHeight="1">
      <c r="A502" t="inlineStr">
        <is>
          <t>A 20150-2023</t>
        </is>
      </c>
      <c r="B502" s="1" t="n">
        <v>45051</v>
      </c>
      <c r="C502" s="1" t="n">
        <v>45757</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20514-2023</t>
        </is>
      </c>
      <c r="B503" s="1" t="n">
        <v>45054</v>
      </c>
      <c r="C503" s="1" t="n">
        <v>45757</v>
      </c>
      <c r="D503" t="inlineStr">
        <is>
          <t>DALARNAS LÄN</t>
        </is>
      </c>
      <c r="E503" t="inlineStr">
        <is>
          <t>LEKSAND</t>
        </is>
      </c>
      <c r="G503" t="n">
        <v>3.2</v>
      </c>
      <c r="H503" t="n">
        <v>0</v>
      </c>
      <c r="I503" t="n">
        <v>0</v>
      </c>
      <c r="J503" t="n">
        <v>0</v>
      </c>
      <c r="K503" t="n">
        <v>0</v>
      </c>
      <c r="L503" t="n">
        <v>0</v>
      </c>
      <c r="M503" t="n">
        <v>0</v>
      </c>
      <c r="N503" t="n">
        <v>0</v>
      </c>
      <c r="O503" t="n">
        <v>0</v>
      </c>
      <c r="P503" t="n">
        <v>0</v>
      </c>
      <c r="Q503" t="n">
        <v>0</v>
      </c>
      <c r="R503" s="2" t="inlineStr"/>
    </row>
    <row r="504" ht="15" customHeight="1">
      <c r="A504" t="inlineStr">
        <is>
          <t>A 20222-2023</t>
        </is>
      </c>
      <c r="B504" s="1" t="n">
        <v>45055</v>
      </c>
      <c r="C504" s="1" t="n">
        <v>45757</v>
      </c>
      <c r="D504" t="inlineStr">
        <is>
          <t>DALARNAS LÄN</t>
        </is>
      </c>
      <c r="E504" t="inlineStr">
        <is>
          <t>LEKSAND</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20114-2023</t>
        </is>
      </c>
      <c r="B505" s="1" t="n">
        <v>45055</v>
      </c>
      <c r="C505" s="1" t="n">
        <v>45757</v>
      </c>
      <c r="D505" t="inlineStr">
        <is>
          <t>DALARNAS LÄN</t>
        </is>
      </c>
      <c r="E505" t="inlineStr">
        <is>
          <t>LEKSAND</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20936-2023</t>
        </is>
      </c>
      <c r="B506" s="1" t="n">
        <v>45061</v>
      </c>
      <c r="C506" s="1" t="n">
        <v>45757</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20946-2023</t>
        </is>
      </c>
      <c r="B507" s="1" t="n">
        <v>45061</v>
      </c>
      <c r="C507" s="1" t="n">
        <v>45757</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21402-2023</t>
        </is>
      </c>
      <c r="B508" s="1" t="n">
        <v>45061</v>
      </c>
      <c r="C508" s="1" t="n">
        <v>45757</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21299-2023</t>
        </is>
      </c>
      <c r="B509" s="1" t="n">
        <v>45062</v>
      </c>
      <c r="C509" s="1" t="n">
        <v>45757</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21817-2023</t>
        </is>
      </c>
      <c r="B510" s="1" t="n">
        <v>45068</v>
      </c>
      <c r="C510" s="1" t="n">
        <v>45757</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21910-2023</t>
        </is>
      </c>
      <c r="B511" s="1" t="n">
        <v>45068</v>
      </c>
      <c r="C511" s="1" t="n">
        <v>45757</v>
      </c>
      <c r="D511" t="inlineStr">
        <is>
          <t>DALARNAS LÄN</t>
        </is>
      </c>
      <c r="E511" t="inlineStr">
        <is>
          <t>LEKSAND</t>
        </is>
      </c>
      <c r="F511" t="inlineStr">
        <is>
          <t>Bergvik skog väst AB</t>
        </is>
      </c>
      <c r="G511" t="n">
        <v>9.4</v>
      </c>
      <c r="H511" t="n">
        <v>0</v>
      </c>
      <c r="I511" t="n">
        <v>0</v>
      </c>
      <c r="J511" t="n">
        <v>0</v>
      </c>
      <c r="K511" t="n">
        <v>0</v>
      </c>
      <c r="L511" t="n">
        <v>0</v>
      </c>
      <c r="M511" t="n">
        <v>0</v>
      </c>
      <c r="N511" t="n">
        <v>0</v>
      </c>
      <c r="O511" t="n">
        <v>0</v>
      </c>
      <c r="P511" t="n">
        <v>0</v>
      </c>
      <c r="Q511" t="n">
        <v>0</v>
      </c>
      <c r="R511" s="2" t="inlineStr"/>
    </row>
    <row r="512" ht="15" customHeight="1">
      <c r="A512" t="inlineStr">
        <is>
          <t>A 21849-2023</t>
        </is>
      </c>
      <c r="B512" s="1" t="n">
        <v>45068</v>
      </c>
      <c r="C512" s="1" t="n">
        <v>45757</v>
      </c>
      <c r="D512" t="inlineStr">
        <is>
          <t>DALARNAS LÄN</t>
        </is>
      </c>
      <c r="E512" t="inlineStr">
        <is>
          <t>LEKSAND</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21954-2023</t>
        </is>
      </c>
      <c r="B513" s="1" t="n">
        <v>45068</v>
      </c>
      <c r="C513" s="1" t="n">
        <v>45757</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22196-2023</t>
        </is>
      </c>
      <c r="B514" s="1" t="n">
        <v>45069</v>
      </c>
      <c r="C514" s="1" t="n">
        <v>45757</v>
      </c>
      <c r="D514" t="inlineStr">
        <is>
          <t>DALARNAS LÄN</t>
        </is>
      </c>
      <c r="E514" t="inlineStr">
        <is>
          <t>LEKSAND</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22197-2023</t>
        </is>
      </c>
      <c r="B515" s="1" t="n">
        <v>45069</v>
      </c>
      <c r="C515" s="1" t="n">
        <v>45757</v>
      </c>
      <c r="D515" t="inlineStr">
        <is>
          <t>DALARNAS LÄN</t>
        </is>
      </c>
      <c r="E515" t="inlineStr">
        <is>
          <t>LEKSAND</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22570-2023</t>
        </is>
      </c>
      <c r="B516" s="1" t="n">
        <v>45071</v>
      </c>
      <c r="C516" s="1" t="n">
        <v>45757</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22684-2023</t>
        </is>
      </c>
      <c r="B517" s="1" t="n">
        <v>45071</v>
      </c>
      <c r="C517" s="1" t="n">
        <v>45757</v>
      </c>
      <c r="D517" t="inlineStr">
        <is>
          <t>DALARNAS LÄN</t>
        </is>
      </c>
      <c r="E517" t="inlineStr">
        <is>
          <t>LEKSAND</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23226-2023</t>
        </is>
      </c>
      <c r="B518" s="1" t="n">
        <v>45075</v>
      </c>
      <c r="C518" s="1" t="n">
        <v>45757</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23323-2023</t>
        </is>
      </c>
      <c r="B519" s="1" t="n">
        <v>45076</v>
      </c>
      <c r="C519" s="1" t="n">
        <v>45757</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23348-2023</t>
        </is>
      </c>
      <c r="B520" s="1" t="n">
        <v>45076</v>
      </c>
      <c r="C520" s="1" t="n">
        <v>45757</v>
      </c>
      <c r="D520" t="inlineStr">
        <is>
          <t>DALARNAS LÄN</t>
        </is>
      </c>
      <c r="E520" t="inlineStr">
        <is>
          <t>LEKSAND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23509-2023</t>
        </is>
      </c>
      <c r="B521" s="1" t="n">
        <v>45076</v>
      </c>
      <c r="C521" s="1" t="n">
        <v>45757</v>
      </c>
      <c r="D521" t="inlineStr">
        <is>
          <t>DALARNAS LÄN</t>
        </is>
      </c>
      <c r="E521" t="inlineStr">
        <is>
          <t>LEKSAND</t>
        </is>
      </c>
      <c r="G521" t="n">
        <v>2.1</v>
      </c>
      <c r="H521" t="n">
        <v>0</v>
      </c>
      <c r="I521" t="n">
        <v>0</v>
      </c>
      <c r="J521" t="n">
        <v>0</v>
      </c>
      <c r="K521" t="n">
        <v>0</v>
      </c>
      <c r="L521" t="n">
        <v>0</v>
      </c>
      <c r="M521" t="n">
        <v>0</v>
      </c>
      <c r="N521" t="n">
        <v>0</v>
      </c>
      <c r="O521" t="n">
        <v>0</v>
      </c>
      <c r="P521" t="n">
        <v>0</v>
      </c>
      <c r="Q521" t="n">
        <v>0</v>
      </c>
      <c r="R521" s="2" t="inlineStr"/>
    </row>
    <row r="522" ht="15" customHeight="1">
      <c r="A522" t="inlineStr">
        <is>
          <t>A 23882-2023</t>
        </is>
      </c>
      <c r="B522" s="1" t="n">
        <v>45078</v>
      </c>
      <c r="C522" s="1" t="n">
        <v>45757</v>
      </c>
      <c r="D522" t="inlineStr">
        <is>
          <t>DALARNAS LÄN</t>
        </is>
      </c>
      <c r="E522" t="inlineStr">
        <is>
          <t>LEKSAND</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23910-2023</t>
        </is>
      </c>
      <c r="B523" s="1" t="n">
        <v>45078</v>
      </c>
      <c r="C523" s="1" t="n">
        <v>45757</v>
      </c>
      <c r="D523" t="inlineStr">
        <is>
          <t>DALARNAS LÄN</t>
        </is>
      </c>
      <c r="E523" t="inlineStr">
        <is>
          <t>LEKSAND</t>
        </is>
      </c>
      <c r="G523" t="n">
        <v>3.8</v>
      </c>
      <c r="H523" t="n">
        <v>0</v>
      </c>
      <c r="I523" t="n">
        <v>0</v>
      </c>
      <c r="J523" t="n">
        <v>0</v>
      </c>
      <c r="K523" t="n">
        <v>0</v>
      </c>
      <c r="L523" t="n">
        <v>0</v>
      </c>
      <c r="M523" t="n">
        <v>0</v>
      </c>
      <c r="N523" t="n">
        <v>0</v>
      </c>
      <c r="O523" t="n">
        <v>0</v>
      </c>
      <c r="P523" t="n">
        <v>0</v>
      </c>
      <c r="Q523" t="n">
        <v>0</v>
      </c>
      <c r="R523" s="2" t="inlineStr"/>
    </row>
    <row r="524" ht="15" customHeight="1">
      <c r="A524" t="inlineStr">
        <is>
          <t>A 24728-2023</t>
        </is>
      </c>
      <c r="B524" s="1" t="n">
        <v>45084</v>
      </c>
      <c r="C524" s="1" t="n">
        <v>45757</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24823-2023</t>
        </is>
      </c>
      <c r="B525" s="1" t="n">
        <v>45084</v>
      </c>
      <c r="C525" s="1" t="n">
        <v>45757</v>
      </c>
      <c r="D525" t="inlineStr">
        <is>
          <t>DALARNAS LÄN</t>
        </is>
      </c>
      <c r="E525" t="inlineStr">
        <is>
          <t>LEKSAND</t>
        </is>
      </c>
      <c r="G525" t="n">
        <v>2.9</v>
      </c>
      <c r="H525" t="n">
        <v>0</v>
      </c>
      <c r="I525" t="n">
        <v>0</v>
      </c>
      <c r="J525" t="n">
        <v>0</v>
      </c>
      <c r="K525" t="n">
        <v>0</v>
      </c>
      <c r="L525" t="n">
        <v>0</v>
      </c>
      <c r="M525" t="n">
        <v>0</v>
      </c>
      <c r="N525" t="n">
        <v>0</v>
      </c>
      <c r="O525" t="n">
        <v>0</v>
      </c>
      <c r="P525" t="n">
        <v>0</v>
      </c>
      <c r="Q525" t="n">
        <v>0</v>
      </c>
      <c r="R525" s="2" t="inlineStr"/>
    </row>
    <row r="526" ht="15" customHeight="1">
      <c r="A526" t="inlineStr">
        <is>
          <t>A 24814-2023</t>
        </is>
      </c>
      <c r="B526" s="1" t="n">
        <v>45084</v>
      </c>
      <c r="C526" s="1" t="n">
        <v>45757</v>
      </c>
      <c r="D526" t="inlineStr">
        <is>
          <t>DALARNAS LÄN</t>
        </is>
      </c>
      <c r="E526" t="inlineStr">
        <is>
          <t>LEKSAND</t>
        </is>
      </c>
      <c r="G526" t="n">
        <v>5.6</v>
      </c>
      <c r="H526" t="n">
        <v>0</v>
      </c>
      <c r="I526" t="n">
        <v>0</v>
      </c>
      <c r="J526" t="n">
        <v>0</v>
      </c>
      <c r="K526" t="n">
        <v>0</v>
      </c>
      <c r="L526" t="n">
        <v>0</v>
      </c>
      <c r="M526" t="n">
        <v>0</v>
      </c>
      <c r="N526" t="n">
        <v>0</v>
      </c>
      <c r="O526" t="n">
        <v>0</v>
      </c>
      <c r="P526" t="n">
        <v>0</v>
      </c>
      <c r="Q526" t="n">
        <v>0</v>
      </c>
      <c r="R526" s="2" t="inlineStr"/>
    </row>
    <row r="527" ht="15" customHeight="1">
      <c r="A527" t="inlineStr">
        <is>
          <t>A 25025-2023</t>
        </is>
      </c>
      <c r="B527" s="1" t="n">
        <v>45086</v>
      </c>
      <c r="C527" s="1" t="n">
        <v>45757</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25067-2023</t>
        </is>
      </c>
      <c r="B528" s="1" t="n">
        <v>45086</v>
      </c>
      <c r="C528" s="1" t="n">
        <v>45757</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25038-2023</t>
        </is>
      </c>
      <c r="B529" s="1" t="n">
        <v>45085</v>
      </c>
      <c r="C529" s="1" t="n">
        <v>45757</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25627-2023</t>
        </is>
      </c>
      <c r="B530" s="1" t="n">
        <v>45089</v>
      </c>
      <c r="C530" s="1" t="n">
        <v>45757</v>
      </c>
      <c r="D530" t="inlineStr">
        <is>
          <t>DALARNAS LÄN</t>
        </is>
      </c>
      <c r="E530" t="inlineStr">
        <is>
          <t>LEKSAND</t>
        </is>
      </c>
      <c r="F530" t="inlineStr">
        <is>
          <t>Bergvik skog väst AB</t>
        </is>
      </c>
      <c r="G530" t="n">
        <v>8.4</v>
      </c>
      <c r="H530" t="n">
        <v>0</v>
      </c>
      <c r="I530" t="n">
        <v>0</v>
      </c>
      <c r="J530" t="n">
        <v>0</v>
      </c>
      <c r="K530" t="n">
        <v>0</v>
      </c>
      <c r="L530" t="n">
        <v>0</v>
      </c>
      <c r="M530" t="n">
        <v>0</v>
      </c>
      <c r="N530" t="n">
        <v>0</v>
      </c>
      <c r="O530" t="n">
        <v>0</v>
      </c>
      <c r="P530" t="n">
        <v>0</v>
      </c>
      <c r="Q530" t="n">
        <v>0</v>
      </c>
      <c r="R530" s="2" t="inlineStr"/>
    </row>
    <row r="531" ht="15" customHeight="1">
      <c r="A531" t="inlineStr">
        <is>
          <t>A 25637-2023</t>
        </is>
      </c>
      <c r="B531" s="1" t="n">
        <v>45089</v>
      </c>
      <c r="C531" s="1" t="n">
        <v>45757</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25652-2023</t>
        </is>
      </c>
      <c r="B532" s="1" t="n">
        <v>45089</v>
      </c>
      <c r="C532" s="1" t="n">
        <v>45757</v>
      </c>
      <c r="D532" t="inlineStr">
        <is>
          <t>DALARNAS LÄN</t>
        </is>
      </c>
      <c r="E532" t="inlineStr">
        <is>
          <t>LEKSAND</t>
        </is>
      </c>
      <c r="F532" t="inlineStr">
        <is>
          <t>Bergvik skog väst AB</t>
        </is>
      </c>
      <c r="G532" t="n">
        <v>3.3</v>
      </c>
      <c r="H532" t="n">
        <v>0</v>
      </c>
      <c r="I532" t="n">
        <v>0</v>
      </c>
      <c r="J532" t="n">
        <v>0</v>
      </c>
      <c r="K532" t="n">
        <v>0</v>
      </c>
      <c r="L532" t="n">
        <v>0</v>
      </c>
      <c r="M532" t="n">
        <v>0</v>
      </c>
      <c r="N532" t="n">
        <v>0</v>
      </c>
      <c r="O532" t="n">
        <v>0</v>
      </c>
      <c r="P532" t="n">
        <v>0</v>
      </c>
      <c r="Q532" t="n">
        <v>0</v>
      </c>
      <c r="R532" s="2" t="inlineStr"/>
    </row>
    <row r="533" ht="15" customHeight="1">
      <c r="A533" t="inlineStr">
        <is>
          <t>A 25715-2023</t>
        </is>
      </c>
      <c r="B533" s="1" t="n">
        <v>45090</v>
      </c>
      <c r="C533" s="1" t="n">
        <v>45757</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25907-2023</t>
        </is>
      </c>
      <c r="B534" s="1" t="n">
        <v>45090</v>
      </c>
      <c r="C534" s="1" t="n">
        <v>45757</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26742-2023</t>
        </is>
      </c>
      <c r="B535" s="1" t="n">
        <v>45090</v>
      </c>
      <c r="C535" s="1" t="n">
        <v>45757</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26038-2023</t>
        </is>
      </c>
      <c r="B536" s="1" t="n">
        <v>45091</v>
      </c>
      <c r="C536" s="1" t="n">
        <v>45757</v>
      </c>
      <c r="D536" t="inlineStr">
        <is>
          <t>DALARNAS LÄN</t>
        </is>
      </c>
      <c r="E536" t="inlineStr">
        <is>
          <t>LEKSAND</t>
        </is>
      </c>
      <c r="G536" t="n">
        <v>6.8</v>
      </c>
      <c r="H536" t="n">
        <v>0</v>
      </c>
      <c r="I536" t="n">
        <v>0</v>
      </c>
      <c r="J536" t="n">
        <v>0</v>
      </c>
      <c r="K536" t="n">
        <v>0</v>
      </c>
      <c r="L536" t="n">
        <v>0</v>
      </c>
      <c r="M536" t="n">
        <v>0</v>
      </c>
      <c r="N536" t="n">
        <v>0</v>
      </c>
      <c r="O536" t="n">
        <v>0</v>
      </c>
      <c r="P536" t="n">
        <v>0</v>
      </c>
      <c r="Q536" t="n">
        <v>0</v>
      </c>
      <c r="R536" s="2" t="inlineStr"/>
    </row>
    <row r="537" ht="15" customHeight="1">
      <c r="A537" t="inlineStr">
        <is>
          <t>A 26044-2023</t>
        </is>
      </c>
      <c r="B537" s="1" t="n">
        <v>45091</v>
      </c>
      <c r="C537" s="1" t="n">
        <v>45757</v>
      </c>
      <c r="D537" t="inlineStr">
        <is>
          <t>DALARNAS LÄN</t>
        </is>
      </c>
      <c r="E537" t="inlineStr">
        <is>
          <t>LEKSAND</t>
        </is>
      </c>
      <c r="G537" t="n">
        <v>5.3</v>
      </c>
      <c r="H537" t="n">
        <v>0</v>
      </c>
      <c r="I537" t="n">
        <v>0</v>
      </c>
      <c r="J537" t="n">
        <v>0</v>
      </c>
      <c r="K537" t="n">
        <v>0</v>
      </c>
      <c r="L537" t="n">
        <v>0</v>
      </c>
      <c r="M537" t="n">
        <v>0</v>
      </c>
      <c r="N537" t="n">
        <v>0</v>
      </c>
      <c r="O537" t="n">
        <v>0</v>
      </c>
      <c r="P537" t="n">
        <v>0</v>
      </c>
      <c r="Q537" t="n">
        <v>0</v>
      </c>
      <c r="R537" s="2" t="inlineStr"/>
    </row>
    <row r="538" ht="15" customHeight="1">
      <c r="A538" t="inlineStr">
        <is>
          <t>A 26107-2023</t>
        </is>
      </c>
      <c r="B538" s="1" t="n">
        <v>45091</v>
      </c>
      <c r="C538" s="1" t="n">
        <v>45757</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26847-2023</t>
        </is>
      </c>
      <c r="B539" s="1" t="n">
        <v>45093</v>
      </c>
      <c r="C539" s="1" t="n">
        <v>45757</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26957-2023</t>
        </is>
      </c>
      <c r="B540" s="1" t="n">
        <v>45093</v>
      </c>
      <c r="C540" s="1" t="n">
        <v>45757</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26924-2023</t>
        </is>
      </c>
      <c r="B541" s="1" t="n">
        <v>45093</v>
      </c>
      <c r="C541" s="1" t="n">
        <v>45757</v>
      </c>
      <c r="D541" t="inlineStr">
        <is>
          <t>DALARNAS LÄN</t>
        </is>
      </c>
      <c r="E541" t="inlineStr">
        <is>
          <t>LEKSAND</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26959-2023</t>
        </is>
      </c>
      <c r="B542" s="1" t="n">
        <v>45093</v>
      </c>
      <c r="C542" s="1" t="n">
        <v>45757</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26931-2023</t>
        </is>
      </c>
      <c r="B543" s="1" t="n">
        <v>45093</v>
      </c>
      <c r="C543" s="1" t="n">
        <v>45757</v>
      </c>
      <c r="D543" t="inlineStr">
        <is>
          <t>DALARNAS LÄN</t>
        </is>
      </c>
      <c r="E543" t="inlineStr">
        <is>
          <t>LEKSAND</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26946-2023</t>
        </is>
      </c>
      <c r="B544" s="1" t="n">
        <v>45093</v>
      </c>
      <c r="C544" s="1" t="n">
        <v>45757</v>
      </c>
      <c r="D544" t="inlineStr">
        <is>
          <t>DALARNAS LÄN</t>
        </is>
      </c>
      <c r="E544" t="inlineStr">
        <is>
          <t>LEKSAND</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27047-2023</t>
        </is>
      </c>
      <c r="B545" s="1" t="n">
        <v>45095</v>
      </c>
      <c r="C545" s="1" t="n">
        <v>45757</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27055-2023</t>
        </is>
      </c>
      <c r="B546" s="1" t="n">
        <v>45095</v>
      </c>
      <c r="C546" s="1" t="n">
        <v>45757</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c r="U546">
        <f>HYPERLINK("https://klasma.github.io/Logging_2029/knärot/A 27055-2023 karta knärot.png", "A 27055-2023")</f>
        <v/>
      </c>
      <c r="V546">
        <f>HYPERLINK("https://klasma.github.io/Logging_2029/klagomål/A 27055-2023 FSC-klagomål.docx", "A 27055-2023")</f>
        <v/>
      </c>
      <c r="W546">
        <f>HYPERLINK("https://klasma.github.io/Logging_2029/klagomålsmail/A 27055-2023 FSC-klagomål mail.docx", "A 27055-2023")</f>
        <v/>
      </c>
      <c r="X546">
        <f>HYPERLINK("https://klasma.github.io/Logging_2029/tillsyn/A 27055-2023 tillsynsbegäran.docx", "A 27055-2023")</f>
        <v/>
      </c>
      <c r="Y546">
        <f>HYPERLINK("https://klasma.github.io/Logging_2029/tillsynsmail/A 27055-2023 tillsynsbegäran mail.docx", "A 27055-2023")</f>
        <v/>
      </c>
    </row>
    <row r="547" ht="15" customHeight="1">
      <c r="A547" t="inlineStr">
        <is>
          <t>A 27048-2023</t>
        </is>
      </c>
      <c r="B547" s="1" t="n">
        <v>45095</v>
      </c>
      <c r="C547" s="1" t="n">
        <v>45757</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27046-2023</t>
        </is>
      </c>
      <c r="B548" s="1" t="n">
        <v>45095</v>
      </c>
      <c r="C548" s="1" t="n">
        <v>45757</v>
      </c>
      <c r="D548" t="inlineStr">
        <is>
          <t>DALARNAS LÄN</t>
        </is>
      </c>
      <c r="E548" t="inlineStr">
        <is>
          <t>LEKSAND</t>
        </is>
      </c>
      <c r="G548" t="n">
        <v>4</v>
      </c>
      <c r="H548" t="n">
        <v>0</v>
      </c>
      <c r="I548" t="n">
        <v>0</v>
      </c>
      <c r="J548" t="n">
        <v>0</v>
      </c>
      <c r="K548" t="n">
        <v>0</v>
      </c>
      <c r="L548" t="n">
        <v>0</v>
      </c>
      <c r="M548" t="n">
        <v>0</v>
      </c>
      <c r="N548" t="n">
        <v>0</v>
      </c>
      <c r="O548" t="n">
        <v>0</v>
      </c>
      <c r="P548" t="n">
        <v>0</v>
      </c>
      <c r="Q548" t="n">
        <v>0</v>
      </c>
      <c r="R548" s="2" t="inlineStr"/>
    </row>
    <row r="549" ht="15" customHeight="1">
      <c r="A549" t="inlineStr">
        <is>
          <t>A 27054-2023</t>
        </is>
      </c>
      <c r="B549" s="1" t="n">
        <v>45095</v>
      </c>
      <c r="C549" s="1" t="n">
        <v>45757</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27244-2023</t>
        </is>
      </c>
      <c r="B550" s="1" t="n">
        <v>45096</v>
      </c>
      <c r="C550" s="1" t="n">
        <v>45757</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27348-2023</t>
        </is>
      </c>
      <c r="B551" s="1" t="n">
        <v>45096</v>
      </c>
      <c r="C551" s="1" t="n">
        <v>45757</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27511-2023</t>
        </is>
      </c>
      <c r="B552" s="1" t="n">
        <v>45097</v>
      </c>
      <c r="C552" s="1" t="n">
        <v>45757</v>
      </c>
      <c r="D552" t="inlineStr">
        <is>
          <t>DALARNAS LÄN</t>
        </is>
      </c>
      <c r="E552" t="inlineStr">
        <is>
          <t>LEKSAND</t>
        </is>
      </c>
      <c r="G552" t="n">
        <v>0.8</v>
      </c>
      <c r="H552" t="n">
        <v>0</v>
      </c>
      <c r="I552" t="n">
        <v>0</v>
      </c>
      <c r="J552" t="n">
        <v>0</v>
      </c>
      <c r="K552" t="n">
        <v>0</v>
      </c>
      <c r="L552" t="n">
        <v>0</v>
      </c>
      <c r="M552" t="n">
        <v>0</v>
      </c>
      <c r="N552" t="n">
        <v>0</v>
      </c>
      <c r="O552" t="n">
        <v>0</v>
      </c>
      <c r="P552" t="n">
        <v>0</v>
      </c>
      <c r="Q552" t="n">
        <v>0</v>
      </c>
      <c r="R552" s="2" t="inlineStr"/>
    </row>
    <row r="553" ht="15" customHeight="1">
      <c r="A553" t="inlineStr">
        <is>
          <t>A 27520-2023</t>
        </is>
      </c>
      <c r="B553" s="1" t="n">
        <v>45097</v>
      </c>
      <c r="C553" s="1" t="n">
        <v>45757</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27543-2023</t>
        </is>
      </c>
      <c r="B554" s="1" t="n">
        <v>45097</v>
      </c>
      <c r="C554" s="1" t="n">
        <v>45757</v>
      </c>
      <c r="D554" t="inlineStr">
        <is>
          <t>DALARNAS LÄN</t>
        </is>
      </c>
      <c r="E554" t="inlineStr">
        <is>
          <t>LEKSAND</t>
        </is>
      </c>
      <c r="G554" t="n">
        <v>3.4</v>
      </c>
      <c r="H554" t="n">
        <v>0</v>
      </c>
      <c r="I554" t="n">
        <v>0</v>
      </c>
      <c r="J554" t="n">
        <v>0</v>
      </c>
      <c r="K554" t="n">
        <v>0</v>
      </c>
      <c r="L554" t="n">
        <v>0</v>
      </c>
      <c r="M554" t="n">
        <v>0</v>
      </c>
      <c r="N554" t="n">
        <v>0</v>
      </c>
      <c r="O554" t="n">
        <v>0</v>
      </c>
      <c r="P554" t="n">
        <v>0</v>
      </c>
      <c r="Q554" t="n">
        <v>0</v>
      </c>
      <c r="R554" s="2" t="inlineStr"/>
    </row>
    <row r="555" ht="15" customHeight="1">
      <c r="A555" t="inlineStr">
        <is>
          <t>A 27791-2023</t>
        </is>
      </c>
      <c r="B555" s="1" t="n">
        <v>45098</v>
      </c>
      <c r="C555" s="1" t="n">
        <v>45757</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28103-2023</t>
        </is>
      </c>
      <c r="B556" s="1" t="n">
        <v>45099</v>
      </c>
      <c r="C556" s="1" t="n">
        <v>45757</v>
      </c>
      <c r="D556" t="inlineStr">
        <is>
          <t>DALARNAS LÄN</t>
        </is>
      </c>
      <c r="E556" t="inlineStr">
        <is>
          <t>LEKSAND</t>
        </is>
      </c>
      <c r="F556" t="inlineStr">
        <is>
          <t>Bergvik skog väst AB</t>
        </is>
      </c>
      <c r="G556" t="n">
        <v>15.3</v>
      </c>
      <c r="H556" t="n">
        <v>0</v>
      </c>
      <c r="I556" t="n">
        <v>0</v>
      </c>
      <c r="J556" t="n">
        <v>0</v>
      </c>
      <c r="K556" t="n">
        <v>0</v>
      </c>
      <c r="L556" t="n">
        <v>0</v>
      </c>
      <c r="M556" t="n">
        <v>0</v>
      </c>
      <c r="N556" t="n">
        <v>0</v>
      </c>
      <c r="O556" t="n">
        <v>0</v>
      </c>
      <c r="P556" t="n">
        <v>0</v>
      </c>
      <c r="Q556" t="n">
        <v>0</v>
      </c>
      <c r="R556" s="2" t="inlineStr"/>
    </row>
    <row r="557" ht="15" customHeight="1">
      <c r="A557" t="inlineStr">
        <is>
          <t>A 28108-2023</t>
        </is>
      </c>
      <c r="B557" s="1" t="n">
        <v>45099</v>
      </c>
      <c r="C557" s="1" t="n">
        <v>45757</v>
      </c>
      <c r="D557" t="inlineStr">
        <is>
          <t>DALARNAS LÄN</t>
        </is>
      </c>
      <c r="E557" t="inlineStr">
        <is>
          <t>LEKSAND</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28578-2023</t>
        </is>
      </c>
      <c r="B558" s="1" t="n">
        <v>45103</v>
      </c>
      <c r="C558" s="1" t="n">
        <v>45757</v>
      </c>
      <c r="D558" t="inlineStr">
        <is>
          <t>DALARNAS LÄN</t>
        </is>
      </c>
      <c r="E558" t="inlineStr">
        <is>
          <t>LEKSAND</t>
        </is>
      </c>
      <c r="G558" t="n">
        <v>4.4</v>
      </c>
      <c r="H558" t="n">
        <v>0</v>
      </c>
      <c r="I558" t="n">
        <v>0</v>
      </c>
      <c r="J558" t="n">
        <v>0</v>
      </c>
      <c r="K558" t="n">
        <v>0</v>
      </c>
      <c r="L558" t="n">
        <v>0</v>
      </c>
      <c r="M558" t="n">
        <v>0</v>
      </c>
      <c r="N558" t="n">
        <v>0</v>
      </c>
      <c r="O558" t="n">
        <v>0</v>
      </c>
      <c r="P558" t="n">
        <v>0</v>
      </c>
      <c r="Q558" t="n">
        <v>0</v>
      </c>
      <c r="R558" s="2" t="inlineStr"/>
    </row>
    <row r="559" ht="15" customHeight="1">
      <c r="A559" t="inlineStr">
        <is>
          <t>A 28592-2023</t>
        </is>
      </c>
      <c r="B559" s="1" t="n">
        <v>45103</v>
      </c>
      <c r="C559" s="1" t="n">
        <v>45757</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28633-2023</t>
        </is>
      </c>
      <c r="B560" s="1" t="n">
        <v>45103</v>
      </c>
      <c r="C560" s="1" t="n">
        <v>45757</v>
      </c>
      <c r="D560" t="inlineStr">
        <is>
          <t>DALARNAS LÄN</t>
        </is>
      </c>
      <c r="E560" t="inlineStr">
        <is>
          <t>LEKSAND</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28630-2023</t>
        </is>
      </c>
      <c r="B561" s="1" t="n">
        <v>45103</v>
      </c>
      <c r="C561" s="1" t="n">
        <v>45757</v>
      </c>
      <c r="D561" t="inlineStr">
        <is>
          <t>DALARNAS LÄN</t>
        </is>
      </c>
      <c r="E561" t="inlineStr">
        <is>
          <t>LEKSAND</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28946-2023</t>
        </is>
      </c>
      <c r="B562" s="1" t="n">
        <v>45104</v>
      </c>
      <c r="C562" s="1" t="n">
        <v>45757</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28935-2023</t>
        </is>
      </c>
      <c r="B563" s="1" t="n">
        <v>45104</v>
      </c>
      <c r="C563" s="1" t="n">
        <v>45757</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28965-2023</t>
        </is>
      </c>
      <c r="B564" s="1" t="n">
        <v>45104</v>
      </c>
      <c r="C564" s="1" t="n">
        <v>45757</v>
      </c>
      <c r="D564" t="inlineStr">
        <is>
          <t>DALARNAS LÄN</t>
        </is>
      </c>
      <c r="E564" t="inlineStr">
        <is>
          <t>LEKSAND</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31401-2023</t>
        </is>
      </c>
      <c r="B565" s="1" t="n">
        <v>45104</v>
      </c>
      <c r="C565" s="1" t="n">
        <v>45757</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28921-2023</t>
        </is>
      </c>
      <c r="B566" s="1" t="n">
        <v>45104</v>
      </c>
      <c r="C566" s="1" t="n">
        <v>45757</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31422-2023</t>
        </is>
      </c>
      <c r="B567" s="1" t="n">
        <v>45104</v>
      </c>
      <c r="C567" s="1" t="n">
        <v>45757</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29122-2023</t>
        </is>
      </c>
      <c r="B568" s="1" t="n">
        <v>45105</v>
      </c>
      <c r="C568" s="1" t="n">
        <v>45757</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29139-2023</t>
        </is>
      </c>
      <c r="B569" s="1" t="n">
        <v>45105</v>
      </c>
      <c r="C569" s="1" t="n">
        <v>45757</v>
      </c>
      <c r="D569" t="inlineStr">
        <is>
          <t>DALARNAS LÄN</t>
        </is>
      </c>
      <c r="E569" t="inlineStr">
        <is>
          <t>LEKSAND</t>
        </is>
      </c>
      <c r="G569" t="n">
        <v>3.5</v>
      </c>
      <c r="H569" t="n">
        <v>0</v>
      </c>
      <c r="I569" t="n">
        <v>0</v>
      </c>
      <c r="J569" t="n">
        <v>0</v>
      </c>
      <c r="K569" t="n">
        <v>0</v>
      </c>
      <c r="L569" t="n">
        <v>0</v>
      </c>
      <c r="M569" t="n">
        <v>0</v>
      </c>
      <c r="N569" t="n">
        <v>0</v>
      </c>
      <c r="O569" t="n">
        <v>0</v>
      </c>
      <c r="P569" t="n">
        <v>0</v>
      </c>
      <c r="Q569" t="n">
        <v>0</v>
      </c>
      <c r="R569" s="2" t="inlineStr"/>
    </row>
    <row r="570" ht="15" customHeight="1">
      <c r="A570" t="inlineStr">
        <is>
          <t>A 29222-2023</t>
        </is>
      </c>
      <c r="B570" s="1" t="n">
        <v>45105</v>
      </c>
      <c r="C570" s="1" t="n">
        <v>45757</v>
      </c>
      <c r="D570" t="inlineStr">
        <is>
          <t>DALARNAS LÄN</t>
        </is>
      </c>
      <c r="E570" t="inlineStr">
        <is>
          <t>LEKSAND</t>
        </is>
      </c>
      <c r="G570" t="n">
        <v>5</v>
      </c>
      <c r="H570" t="n">
        <v>0</v>
      </c>
      <c r="I570" t="n">
        <v>0</v>
      </c>
      <c r="J570" t="n">
        <v>0</v>
      </c>
      <c r="K570" t="n">
        <v>0</v>
      </c>
      <c r="L570" t="n">
        <v>0</v>
      </c>
      <c r="M570" t="n">
        <v>0</v>
      </c>
      <c r="N570" t="n">
        <v>0</v>
      </c>
      <c r="O570" t="n">
        <v>0</v>
      </c>
      <c r="P570" t="n">
        <v>0</v>
      </c>
      <c r="Q570" t="n">
        <v>0</v>
      </c>
      <c r="R570" s="2" t="inlineStr"/>
    </row>
    <row r="571" ht="15" customHeight="1">
      <c r="A571" t="inlineStr">
        <is>
          <t>A 29916-2023</t>
        </is>
      </c>
      <c r="B571" s="1" t="n">
        <v>45107</v>
      </c>
      <c r="C571" s="1" t="n">
        <v>45757</v>
      </c>
      <c r="D571" t="inlineStr">
        <is>
          <t>DALARNAS LÄN</t>
        </is>
      </c>
      <c r="E571" t="inlineStr">
        <is>
          <t>LEKSAND</t>
        </is>
      </c>
      <c r="F571" t="inlineStr">
        <is>
          <t>Bergvik skog väst AB</t>
        </is>
      </c>
      <c r="G571" t="n">
        <v>9.4</v>
      </c>
      <c r="H571" t="n">
        <v>0</v>
      </c>
      <c r="I571" t="n">
        <v>0</v>
      </c>
      <c r="J571" t="n">
        <v>0</v>
      </c>
      <c r="K571" t="n">
        <v>0</v>
      </c>
      <c r="L571" t="n">
        <v>0</v>
      </c>
      <c r="M571" t="n">
        <v>0</v>
      </c>
      <c r="N571" t="n">
        <v>0</v>
      </c>
      <c r="O571" t="n">
        <v>0</v>
      </c>
      <c r="P571" t="n">
        <v>0</v>
      </c>
      <c r="Q571" t="n">
        <v>0</v>
      </c>
      <c r="R571" s="2" t="inlineStr"/>
    </row>
    <row r="572" ht="15" customHeight="1">
      <c r="A572" t="inlineStr">
        <is>
          <t>A 29881-2023</t>
        </is>
      </c>
      <c r="B572" s="1" t="n">
        <v>45107</v>
      </c>
      <c r="C572" s="1" t="n">
        <v>45757</v>
      </c>
      <c r="D572" t="inlineStr">
        <is>
          <t>DALARNAS LÄN</t>
        </is>
      </c>
      <c r="E572" t="inlineStr">
        <is>
          <t>LEKSAND</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29694-2023</t>
        </is>
      </c>
      <c r="B573" s="1" t="n">
        <v>45107</v>
      </c>
      <c r="C573" s="1" t="n">
        <v>45757</v>
      </c>
      <c r="D573" t="inlineStr">
        <is>
          <t>DALARNAS LÄN</t>
        </is>
      </c>
      <c r="E573" t="inlineStr">
        <is>
          <t>LEKSAND</t>
        </is>
      </c>
      <c r="G573" t="n">
        <v>4.8</v>
      </c>
      <c r="H573" t="n">
        <v>0</v>
      </c>
      <c r="I573" t="n">
        <v>0</v>
      </c>
      <c r="J573" t="n">
        <v>0</v>
      </c>
      <c r="K573" t="n">
        <v>0</v>
      </c>
      <c r="L573" t="n">
        <v>0</v>
      </c>
      <c r="M573" t="n">
        <v>0</v>
      </c>
      <c r="N573" t="n">
        <v>0</v>
      </c>
      <c r="O573" t="n">
        <v>0</v>
      </c>
      <c r="P573" t="n">
        <v>0</v>
      </c>
      <c r="Q573" t="n">
        <v>0</v>
      </c>
      <c r="R573" s="2" t="inlineStr"/>
    </row>
    <row r="574" ht="15" customHeight="1">
      <c r="A574" t="inlineStr">
        <is>
          <t>A 32261-2023</t>
        </is>
      </c>
      <c r="B574" s="1" t="n">
        <v>45108</v>
      </c>
      <c r="C574" s="1" t="n">
        <v>45757</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30000-2023</t>
        </is>
      </c>
      <c r="B575" s="1" t="n">
        <v>45109</v>
      </c>
      <c r="C575" s="1" t="n">
        <v>45757</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30082-2023</t>
        </is>
      </c>
      <c r="B576" s="1" t="n">
        <v>45110</v>
      </c>
      <c r="C576" s="1" t="n">
        <v>45757</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30169-2023</t>
        </is>
      </c>
      <c r="B577" s="1" t="n">
        <v>45110</v>
      </c>
      <c r="C577" s="1" t="n">
        <v>45757</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30135-2023</t>
        </is>
      </c>
      <c r="B578" s="1" t="n">
        <v>45110</v>
      </c>
      <c r="C578" s="1" t="n">
        <v>45757</v>
      </c>
      <c r="D578" t="inlineStr">
        <is>
          <t>DALARNAS LÄN</t>
        </is>
      </c>
      <c r="E578" t="inlineStr">
        <is>
          <t>LEKSAND</t>
        </is>
      </c>
      <c r="F578" t="inlineStr">
        <is>
          <t>Bergvik skog väst AB</t>
        </is>
      </c>
      <c r="G578" t="n">
        <v>8.4</v>
      </c>
      <c r="H578" t="n">
        <v>0</v>
      </c>
      <c r="I578" t="n">
        <v>0</v>
      </c>
      <c r="J578" t="n">
        <v>0</v>
      </c>
      <c r="K578" t="n">
        <v>0</v>
      </c>
      <c r="L578" t="n">
        <v>0</v>
      </c>
      <c r="M578" t="n">
        <v>0</v>
      </c>
      <c r="N578" t="n">
        <v>0</v>
      </c>
      <c r="O578" t="n">
        <v>0</v>
      </c>
      <c r="P578" t="n">
        <v>0</v>
      </c>
      <c r="Q578" t="n">
        <v>0</v>
      </c>
      <c r="R578" s="2" t="inlineStr"/>
    </row>
    <row r="579" ht="15" customHeight="1">
      <c r="A579" t="inlineStr">
        <is>
          <t>A 30195-2023</t>
        </is>
      </c>
      <c r="B579" s="1" t="n">
        <v>45110</v>
      </c>
      <c r="C579" s="1" t="n">
        <v>45757</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30196-2023</t>
        </is>
      </c>
      <c r="B580" s="1" t="n">
        <v>45110</v>
      </c>
      <c r="C580" s="1" t="n">
        <v>45757</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30175-2023</t>
        </is>
      </c>
      <c r="B581" s="1" t="n">
        <v>45110</v>
      </c>
      <c r="C581" s="1" t="n">
        <v>45757</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30523-2023</t>
        </is>
      </c>
      <c r="B582" s="1" t="n">
        <v>45111</v>
      </c>
      <c r="C582" s="1" t="n">
        <v>45757</v>
      </c>
      <c r="D582" t="inlineStr">
        <is>
          <t>DALARNAS LÄN</t>
        </is>
      </c>
      <c r="E582" t="inlineStr">
        <is>
          <t>LEKSAND</t>
        </is>
      </c>
      <c r="G582" t="n">
        <v>5.6</v>
      </c>
      <c r="H582" t="n">
        <v>0</v>
      </c>
      <c r="I582" t="n">
        <v>0</v>
      </c>
      <c r="J582" t="n">
        <v>0</v>
      </c>
      <c r="K582" t="n">
        <v>0</v>
      </c>
      <c r="L582" t="n">
        <v>0</v>
      </c>
      <c r="M582" t="n">
        <v>0</v>
      </c>
      <c r="N582" t="n">
        <v>0</v>
      </c>
      <c r="O582" t="n">
        <v>0</v>
      </c>
      <c r="P582" t="n">
        <v>0</v>
      </c>
      <c r="Q582" t="n">
        <v>0</v>
      </c>
      <c r="R582" s="2" t="inlineStr"/>
    </row>
    <row r="583" ht="15" customHeight="1">
      <c r="A583" t="inlineStr">
        <is>
          <t>A 30595-2023</t>
        </is>
      </c>
      <c r="B583" s="1" t="n">
        <v>45112</v>
      </c>
      <c r="C583" s="1" t="n">
        <v>45757</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30611-2023</t>
        </is>
      </c>
      <c r="B584" s="1" t="n">
        <v>45112</v>
      </c>
      <c r="C584" s="1" t="n">
        <v>45757</v>
      </c>
      <c r="D584" t="inlineStr">
        <is>
          <t>DALARNAS LÄN</t>
        </is>
      </c>
      <c r="E584" t="inlineStr">
        <is>
          <t>LEKSAND</t>
        </is>
      </c>
      <c r="G584" t="n">
        <v>3.1</v>
      </c>
      <c r="H584" t="n">
        <v>0</v>
      </c>
      <c r="I584" t="n">
        <v>0</v>
      </c>
      <c r="J584" t="n">
        <v>0</v>
      </c>
      <c r="K584" t="n">
        <v>0</v>
      </c>
      <c r="L584" t="n">
        <v>0</v>
      </c>
      <c r="M584" t="n">
        <v>0</v>
      </c>
      <c r="N584" t="n">
        <v>0</v>
      </c>
      <c r="O584" t="n">
        <v>0</v>
      </c>
      <c r="P584" t="n">
        <v>0</v>
      </c>
      <c r="Q584" t="n">
        <v>0</v>
      </c>
      <c r="R584" s="2" t="inlineStr"/>
    </row>
    <row r="585" ht="15" customHeight="1">
      <c r="A585" t="inlineStr">
        <is>
          <t>A 30700-2023</t>
        </is>
      </c>
      <c r="B585" s="1" t="n">
        <v>45112</v>
      </c>
      <c r="C585" s="1" t="n">
        <v>45757</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30654-2023</t>
        </is>
      </c>
      <c r="B586" s="1" t="n">
        <v>45112</v>
      </c>
      <c r="C586" s="1" t="n">
        <v>45757</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30880-2023</t>
        </is>
      </c>
      <c r="B587" s="1" t="n">
        <v>45113</v>
      </c>
      <c r="C587" s="1" t="n">
        <v>45757</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30992-2023</t>
        </is>
      </c>
      <c r="B588" s="1" t="n">
        <v>45113</v>
      </c>
      <c r="C588" s="1" t="n">
        <v>45757</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30994-2023</t>
        </is>
      </c>
      <c r="B589" s="1" t="n">
        <v>45113</v>
      </c>
      <c r="C589" s="1" t="n">
        <v>45757</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30998-2023</t>
        </is>
      </c>
      <c r="B590" s="1" t="n">
        <v>45113</v>
      </c>
      <c r="C590" s="1" t="n">
        <v>45757</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32989-2023</t>
        </is>
      </c>
      <c r="B591" s="1" t="n">
        <v>45113</v>
      </c>
      <c r="C591" s="1" t="n">
        <v>45757</v>
      </c>
      <c r="D591" t="inlineStr">
        <is>
          <t>DALARNAS LÄN</t>
        </is>
      </c>
      <c r="E591" t="inlineStr">
        <is>
          <t>LEKSAND</t>
        </is>
      </c>
      <c r="G591" t="n">
        <v>4.4</v>
      </c>
      <c r="H591" t="n">
        <v>0</v>
      </c>
      <c r="I591" t="n">
        <v>0</v>
      </c>
      <c r="J591" t="n">
        <v>0</v>
      </c>
      <c r="K591" t="n">
        <v>0</v>
      </c>
      <c r="L591" t="n">
        <v>0</v>
      </c>
      <c r="M591" t="n">
        <v>0</v>
      </c>
      <c r="N591" t="n">
        <v>0</v>
      </c>
      <c r="O591" t="n">
        <v>0</v>
      </c>
      <c r="P591" t="n">
        <v>0</v>
      </c>
      <c r="Q591" t="n">
        <v>0</v>
      </c>
      <c r="R591" s="2" t="inlineStr"/>
    </row>
    <row r="592" ht="15" customHeight="1">
      <c r="A592" t="inlineStr">
        <is>
          <t>A 31255-2023</t>
        </is>
      </c>
      <c r="B592" s="1" t="n">
        <v>45114</v>
      </c>
      <c r="C592" s="1" t="n">
        <v>45757</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31250-2023</t>
        </is>
      </c>
      <c r="B593" s="1" t="n">
        <v>45114</v>
      </c>
      <c r="C593" s="1" t="n">
        <v>45757</v>
      </c>
      <c r="D593" t="inlineStr">
        <is>
          <t>DALARNAS LÄN</t>
        </is>
      </c>
      <c r="E593" t="inlineStr">
        <is>
          <t>LEKSAND</t>
        </is>
      </c>
      <c r="G593" t="n">
        <v>2</v>
      </c>
      <c r="H593" t="n">
        <v>0</v>
      </c>
      <c r="I593" t="n">
        <v>0</v>
      </c>
      <c r="J593" t="n">
        <v>0</v>
      </c>
      <c r="K593" t="n">
        <v>0</v>
      </c>
      <c r="L593" t="n">
        <v>0</v>
      </c>
      <c r="M593" t="n">
        <v>0</v>
      </c>
      <c r="N593" t="n">
        <v>0</v>
      </c>
      <c r="O593" t="n">
        <v>0</v>
      </c>
      <c r="P593" t="n">
        <v>0</v>
      </c>
      <c r="Q593" t="n">
        <v>0</v>
      </c>
      <c r="R593" s="2" t="inlineStr"/>
    </row>
    <row r="594" ht="15" customHeight="1">
      <c r="A594" t="inlineStr">
        <is>
          <t>A 31254-2023</t>
        </is>
      </c>
      <c r="B594" s="1" t="n">
        <v>45114</v>
      </c>
      <c r="C594" s="1" t="n">
        <v>45757</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31761-2023</t>
        </is>
      </c>
      <c r="B595" s="1" t="n">
        <v>45118</v>
      </c>
      <c r="C595" s="1" t="n">
        <v>45757</v>
      </c>
      <c r="D595" t="inlineStr">
        <is>
          <t>DALARNAS LÄN</t>
        </is>
      </c>
      <c r="E595" t="inlineStr">
        <is>
          <t>LEKSAND</t>
        </is>
      </c>
      <c r="G595" t="n">
        <v>6</v>
      </c>
      <c r="H595" t="n">
        <v>0</v>
      </c>
      <c r="I595" t="n">
        <v>0</v>
      </c>
      <c r="J595" t="n">
        <v>0</v>
      </c>
      <c r="K595" t="n">
        <v>0</v>
      </c>
      <c r="L595" t="n">
        <v>0</v>
      </c>
      <c r="M595" t="n">
        <v>0</v>
      </c>
      <c r="N595" t="n">
        <v>0</v>
      </c>
      <c r="O595" t="n">
        <v>0</v>
      </c>
      <c r="P595" t="n">
        <v>0</v>
      </c>
      <c r="Q595" t="n">
        <v>0</v>
      </c>
      <c r="R595" s="2" t="inlineStr"/>
    </row>
    <row r="596" ht="15" customHeight="1">
      <c r="A596" t="inlineStr">
        <is>
          <t>A 32307-2023</t>
        </is>
      </c>
      <c r="B596" s="1" t="n">
        <v>45120</v>
      </c>
      <c r="C596" s="1" t="n">
        <v>45757</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32311-2023</t>
        </is>
      </c>
      <c r="B597" s="1" t="n">
        <v>45120</v>
      </c>
      <c r="C597" s="1" t="n">
        <v>45757</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32544-2023</t>
        </is>
      </c>
      <c r="B598" s="1" t="n">
        <v>45121</v>
      </c>
      <c r="C598" s="1" t="n">
        <v>45757</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32666-2023</t>
        </is>
      </c>
      <c r="B599" s="1" t="n">
        <v>45121</v>
      </c>
      <c r="C599" s="1" t="n">
        <v>45757</v>
      </c>
      <c r="D599" t="inlineStr">
        <is>
          <t>DALARNAS LÄN</t>
        </is>
      </c>
      <c r="E599" t="inlineStr">
        <is>
          <t>LEKSAND</t>
        </is>
      </c>
      <c r="G599" t="n">
        <v>9.9</v>
      </c>
      <c r="H599" t="n">
        <v>0</v>
      </c>
      <c r="I599" t="n">
        <v>0</v>
      </c>
      <c r="J599" t="n">
        <v>0</v>
      </c>
      <c r="K599" t="n">
        <v>0</v>
      </c>
      <c r="L599" t="n">
        <v>0</v>
      </c>
      <c r="M599" t="n">
        <v>0</v>
      </c>
      <c r="N599" t="n">
        <v>0</v>
      </c>
      <c r="O599" t="n">
        <v>0</v>
      </c>
      <c r="P599" t="n">
        <v>0</v>
      </c>
      <c r="Q599" t="n">
        <v>0</v>
      </c>
      <c r="R599" s="2" t="inlineStr"/>
    </row>
    <row r="600" ht="15" customHeight="1">
      <c r="A600" t="inlineStr">
        <is>
          <t>A 33788-2023</t>
        </is>
      </c>
      <c r="B600" s="1" t="n">
        <v>45121</v>
      </c>
      <c r="C600" s="1" t="n">
        <v>45757</v>
      </c>
      <c r="D600" t="inlineStr">
        <is>
          <t>DALARNAS LÄN</t>
        </is>
      </c>
      <c r="E600" t="inlineStr">
        <is>
          <t>LEKSAND</t>
        </is>
      </c>
      <c r="G600" t="n">
        <v>2.5</v>
      </c>
      <c r="H600" t="n">
        <v>0</v>
      </c>
      <c r="I600" t="n">
        <v>0</v>
      </c>
      <c r="J600" t="n">
        <v>0</v>
      </c>
      <c r="K600" t="n">
        <v>0</v>
      </c>
      <c r="L600" t="n">
        <v>0</v>
      </c>
      <c r="M600" t="n">
        <v>0</v>
      </c>
      <c r="N600" t="n">
        <v>0</v>
      </c>
      <c r="O600" t="n">
        <v>0</v>
      </c>
      <c r="P600" t="n">
        <v>0</v>
      </c>
      <c r="Q600" t="n">
        <v>0</v>
      </c>
      <c r="R600" s="2" t="inlineStr"/>
    </row>
    <row r="601" ht="15" customHeight="1">
      <c r="A601" t="inlineStr">
        <is>
          <t>A 33001-2023</t>
        </is>
      </c>
      <c r="B601" s="1" t="n">
        <v>45125</v>
      </c>
      <c r="C601" s="1" t="n">
        <v>45757</v>
      </c>
      <c r="D601" t="inlineStr">
        <is>
          <t>DALARNAS LÄN</t>
        </is>
      </c>
      <c r="E601" t="inlineStr">
        <is>
          <t>LEKSAND</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33308-2023</t>
        </is>
      </c>
      <c r="B602" s="1" t="n">
        <v>45127</v>
      </c>
      <c r="C602" s="1" t="n">
        <v>45757</v>
      </c>
      <c r="D602" t="inlineStr">
        <is>
          <t>DALARNAS LÄN</t>
        </is>
      </c>
      <c r="E602" t="inlineStr">
        <is>
          <t>LEKSAND</t>
        </is>
      </c>
      <c r="G602" t="n">
        <v>3.2</v>
      </c>
      <c r="H602" t="n">
        <v>0</v>
      </c>
      <c r="I602" t="n">
        <v>0</v>
      </c>
      <c r="J602" t="n">
        <v>0</v>
      </c>
      <c r="K602" t="n">
        <v>0</v>
      </c>
      <c r="L602" t="n">
        <v>0</v>
      </c>
      <c r="M602" t="n">
        <v>0</v>
      </c>
      <c r="N602" t="n">
        <v>0</v>
      </c>
      <c r="O602" t="n">
        <v>0</v>
      </c>
      <c r="P602" t="n">
        <v>0</v>
      </c>
      <c r="Q602" t="n">
        <v>0</v>
      </c>
      <c r="R602" s="2" t="inlineStr"/>
    </row>
    <row r="603" ht="15" customHeight="1">
      <c r="A603" t="inlineStr">
        <is>
          <t>A 33318-2023</t>
        </is>
      </c>
      <c r="B603" s="1" t="n">
        <v>45127</v>
      </c>
      <c r="C603" s="1" t="n">
        <v>45757</v>
      </c>
      <c r="D603" t="inlineStr">
        <is>
          <t>DALARNAS LÄN</t>
        </is>
      </c>
      <c r="E603" t="inlineStr">
        <is>
          <t>LEKSAND</t>
        </is>
      </c>
      <c r="G603" t="n">
        <v>5.5</v>
      </c>
      <c r="H603" t="n">
        <v>0</v>
      </c>
      <c r="I603" t="n">
        <v>0</v>
      </c>
      <c r="J603" t="n">
        <v>0</v>
      </c>
      <c r="K603" t="n">
        <v>0</v>
      </c>
      <c r="L603" t="n">
        <v>0</v>
      </c>
      <c r="M603" t="n">
        <v>0</v>
      </c>
      <c r="N603" t="n">
        <v>0</v>
      </c>
      <c r="O603" t="n">
        <v>0</v>
      </c>
      <c r="P603" t="n">
        <v>0</v>
      </c>
      <c r="Q603" t="n">
        <v>0</v>
      </c>
      <c r="R603" s="2" t="inlineStr"/>
    </row>
    <row r="604" ht="15" customHeight="1">
      <c r="A604" t="inlineStr">
        <is>
          <t>A 33306-2023</t>
        </is>
      </c>
      <c r="B604" s="1" t="n">
        <v>45127</v>
      </c>
      <c r="C604" s="1" t="n">
        <v>45757</v>
      </c>
      <c r="D604" t="inlineStr">
        <is>
          <t>DALARNAS LÄN</t>
        </is>
      </c>
      <c r="E604" t="inlineStr">
        <is>
          <t>LEKSAND</t>
        </is>
      </c>
      <c r="G604" t="n">
        <v>2.2</v>
      </c>
      <c r="H604" t="n">
        <v>0</v>
      </c>
      <c r="I604" t="n">
        <v>0</v>
      </c>
      <c r="J604" t="n">
        <v>0</v>
      </c>
      <c r="K604" t="n">
        <v>0</v>
      </c>
      <c r="L604" t="n">
        <v>0</v>
      </c>
      <c r="M604" t="n">
        <v>0</v>
      </c>
      <c r="N604" t="n">
        <v>0</v>
      </c>
      <c r="O604" t="n">
        <v>0</v>
      </c>
      <c r="P604" t="n">
        <v>0</v>
      </c>
      <c r="Q604" t="n">
        <v>0</v>
      </c>
      <c r="R604" s="2" t="inlineStr"/>
    </row>
    <row r="605" ht="15" customHeight="1">
      <c r="A605" t="inlineStr">
        <is>
          <t>A 33312-2023</t>
        </is>
      </c>
      <c r="B605" s="1" t="n">
        <v>45127</v>
      </c>
      <c r="C605" s="1" t="n">
        <v>45757</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45757</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33310-2023</t>
        </is>
      </c>
      <c r="B607" s="1" t="n">
        <v>45127</v>
      </c>
      <c r="C607" s="1" t="n">
        <v>45757</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33317-2023</t>
        </is>
      </c>
      <c r="B608" s="1" t="n">
        <v>45127</v>
      </c>
      <c r="C608" s="1" t="n">
        <v>45757</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33480-2023</t>
        </is>
      </c>
      <c r="B609" s="1" t="n">
        <v>45131</v>
      </c>
      <c r="C609" s="1" t="n">
        <v>45757</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33462-2023</t>
        </is>
      </c>
      <c r="B610" s="1" t="n">
        <v>45131</v>
      </c>
      <c r="C610" s="1" t="n">
        <v>45757</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33463-2023</t>
        </is>
      </c>
      <c r="B611" s="1" t="n">
        <v>45131</v>
      </c>
      <c r="C611" s="1" t="n">
        <v>45757</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v>
      </c>
      <c r="C612" s="1" t="n">
        <v>45757</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33674-2023</t>
        </is>
      </c>
      <c r="B613" s="1" t="n">
        <v>45132</v>
      </c>
      <c r="C613" s="1" t="n">
        <v>45757</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34294-2023</t>
        </is>
      </c>
      <c r="B614" s="1" t="n">
        <v>45138</v>
      </c>
      <c r="C614" s="1" t="n">
        <v>45757</v>
      </c>
      <c r="D614" t="inlineStr">
        <is>
          <t>DALARNAS LÄN</t>
        </is>
      </c>
      <c r="E614" t="inlineStr">
        <is>
          <t>LEKSAND</t>
        </is>
      </c>
      <c r="G614" t="n">
        <v>6.1</v>
      </c>
      <c r="H614" t="n">
        <v>0</v>
      </c>
      <c r="I614" t="n">
        <v>0</v>
      </c>
      <c r="J614" t="n">
        <v>0</v>
      </c>
      <c r="K614" t="n">
        <v>0</v>
      </c>
      <c r="L614" t="n">
        <v>0</v>
      </c>
      <c r="M614" t="n">
        <v>0</v>
      </c>
      <c r="N614" t="n">
        <v>0</v>
      </c>
      <c r="O614" t="n">
        <v>0</v>
      </c>
      <c r="P614" t="n">
        <v>0</v>
      </c>
      <c r="Q614" t="n">
        <v>0</v>
      </c>
      <c r="R614" s="2" t="inlineStr"/>
    </row>
    <row r="615" ht="15" customHeight="1">
      <c r="A615" t="inlineStr">
        <is>
          <t>A 35228-2023</t>
        </is>
      </c>
      <c r="B615" s="1" t="n">
        <v>45145</v>
      </c>
      <c r="C615" s="1" t="n">
        <v>45757</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35173-2023</t>
        </is>
      </c>
      <c r="B616" s="1" t="n">
        <v>45145</v>
      </c>
      <c r="C616" s="1" t="n">
        <v>45757</v>
      </c>
      <c r="D616" t="inlineStr">
        <is>
          <t>DALARNAS LÄN</t>
        </is>
      </c>
      <c r="E616" t="inlineStr">
        <is>
          <t>LEKSAND</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35189-2023</t>
        </is>
      </c>
      <c r="B617" s="1" t="n">
        <v>45145</v>
      </c>
      <c r="C617" s="1" t="n">
        <v>45757</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36261-2023</t>
        </is>
      </c>
      <c r="B618" s="1" t="n">
        <v>45151</v>
      </c>
      <c r="C618" s="1" t="n">
        <v>45757</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36262-2023</t>
        </is>
      </c>
      <c r="B619" s="1" t="n">
        <v>45151</v>
      </c>
      <c r="C619" s="1" t="n">
        <v>45757</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36444-2023</t>
        </is>
      </c>
      <c r="B620" s="1" t="n">
        <v>45152</v>
      </c>
      <c r="C620" s="1" t="n">
        <v>45757</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36450-2023</t>
        </is>
      </c>
      <c r="B621" s="1" t="n">
        <v>45152</v>
      </c>
      <c r="C621" s="1" t="n">
        <v>45757</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36515-2023</t>
        </is>
      </c>
      <c r="B622" s="1" t="n">
        <v>45153</v>
      </c>
      <c r="C622" s="1" t="n">
        <v>45757</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36932-2023</t>
        </is>
      </c>
      <c r="B623" s="1" t="n">
        <v>45154</v>
      </c>
      <c r="C623" s="1" t="n">
        <v>45757</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37397-2023</t>
        </is>
      </c>
      <c r="B624" s="1" t="n">
        <v>45156</v>
      </c>
      <c r="C624" s="1" t="n">
        <v>45757</v>
      </c>
      <c r="D624" t="inlineStr">
        <is>
          <t>DALARNAS LÄN</t>
        </is>
      </c>
      <c r="E624" t="inlineStr">
        <is>
          <t>LEKSAND</t>
        </is>
      </c>
      <c r="F624" t="inlineStr">
        <is>
          <t>Kommuner</t>
        </is>
      </c>
      <c r="G624" t="n">
        <v>2.9</v>
      </c>
      <c r="H624" t="n">
        <v>0</v>
      </c>
      <c r="I624" t="n">
        <v>0</v>
      </c>
      <c r="J624" t="n">
        <v>0</v>
      </c>
      <c r="K624" t="n">
        <v>0</v>
      </c>
      <c r="L624" t="n">
        <v>0</v>
      </c>
      <c r="M624" t="n">
        <v>0</v>
      </c>
      <c r="N624" t="n">
        <v>0</v>
      </c>
      <c r="O624" t="n">
        <v>0</v>
      </c>
      <c r="P624" t="n">
        <v>0</v>
      </c>
      <c r="Q624" t="n">
        <v>0</v>
      </c>
      <c r="R624" s="2" t="inlineStr"/>
    </row>
    <row r="625" ht="15" customHeight="1">
      <c r="A625" t="inlineStr">
        <is>
          <t>A 37516-2023</t>
        </is>
      </c>
      <c r="B625" s="1" t="n">
        <v>45158</v>
      </c>
      <c r="C625" s="1" t="n">
        <v>45757</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37832-2023</t>
        </is>
      </c>
      <c r="B626" s="1" t="n">
        <v>45160</v>
      </c>
      <c r="C626" s="1" t="n">
        <v>45757</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37919-2023</t>
        </is>
      </c>
      <c r="B627" s="1" t="n">
        <v>45160</v>
      </c>
      <c r="C627" s="1" t="n">
        <v>45757</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38058-2023</t>
        </is>
      </c>
      <c r="B628" s="1" t="n">
        <v>45160</v>
      </c>
      <c r="C628" s="1" t="n">
        <v>45757</v>
      </c>
      <c r="D628" t="inlineStr">
        <is>
          <t>DALARNAS LÄN</t>
        </is>
      </c>
      <c r="E628" t="inlineStr">
        <is>
          <t>LEKSAND</t>
        </is>
      </c>
      <c r="G628" t="n">
        <v>4.2</v>
      </c>
      <c r="H628" t="n">
        <v>0</v>
      </c>
      <c r="I628" t="n">
        <v>0</v>
      </c>
      <c r="J628" t="n">
        <v>0</v>
      </c>
      <c r="K628" t="n">
        <v>0</v>
      </c>
      <c r="L628" t="n">
        <v>0</v>
      </c>
      <c r="M628" t="n">
        <v>0</v>
      </c>
      <c r="N628" t="n">
        <v>0</v>
      </c>
      <c r="O628" t="n">
        <v>0</v>
      </c>
      <c r="P628" t="n">
        <v>0</v>
      </c>
      <c r="Q628" t="n">
        <v>0</v>
      </c>
      <c r="R628" s="2" t="inlineStr"/>
    </row>
    <row r="629" ht="15" customHeight="1">
      <c r="A629" t="inlineStr">
        <is>
          <t>A 38001-2023</t>
        </is>
      </c>
      <c r="B629" s="1" t="n">
        <v>45160</v>
      </c>
      <c r="C629" s="1" t="n">
        <v>45757</v>
      </c>
      <c r="D629" t="inlineStr">
        <is>
          <t>DALARNAS LÄN</t>
        </is>
      </c>
      <c r="E629" t="inlineStr">
        <is>
          <t>LEKSAND</t>
        </is>
      </c>
      <c r="G629" t="n">
        <v>3.6</v>
      </c>
      <c r="H629" t="n">
        <v>0</v>
      </c>
      <c r="I629" t="n">
        <v>0</v>
      </c>
      <c r="J629" t="n">
        <v>0</v>
      </c>
      <c r="K629" t="n">
        <v>0</v>
      </c>
      <c r="L629" t="n">
        <v>0</v>
      </c>
      <c r="M629" t="n">
        <v>0</v>
      </c>
      <c r="N629" t="n">
        <v>0</v>
      </c>
      <c r="O629" t="n">
        <v>0</v>
      </c>
      <c r="P629" t="n">
        <v>0</v>
      </c>
      <c r="Q629" t="n">
        <v>0</v>
      </c>
      <c r="R629" s="2" t="inlineStr"/>
    </row>
    <row r="630" ht="15" customHeight="1">
      <c r="A630" t="inlineStr">
        <is>
          <t>A 38145-2023</t>
        </is>
      </c>
      <c r="B630" s="1" t="n">
        <v>45160</v>
      </c>
      <c r="C630" s="1" t="n">
        <v>45757</v>
      </c>
      <c r="D630" t="inlineStr">
        <is>
          <t>DALARNAS LÄN</t>
        </is>
      </c>
      <c r="E630" t="inlineStr">
        <is>
          <t>LEKSAND</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38273-2023</t>
        </is>
      </c>
      <c r="B631" s="1" t="n">
        <v>45161</v>
      </c>
      <c r="C631" s="1" t="n">
        <v>45757</v>
      </c>
      <c r="D631" t="inlineStr">
        <is>
          <t>DALARNAS LÄN</t>
        </is>
      </c>
      <c r="E631" t="inlineStr">
        <is>
          <t>LEKSAND</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38277-2023</t>
        </is>
      </c>
      <c r="B632" s="1" t="n">
        <v>45161</v>
      </c>
      <c r="C632" s="1" t="n">
        <v>45757</v>
      </c>
      <c r="D632" t="inlineStr">
        <is>
          <t>DALARNAS LÄN</t>
        </is>
      </c>
      <c r="E632" t="inlineStr">
        <is>
          <t>LEKSAND</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38117-2023</t>
        </is>
      </c>
      <c r="B633" s="1" t="n">
        <v>45161</v>
      </c>
      <c r="C633" s="1" t="n">
        <v>45757</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45757</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39387-2023</t>
        </is>
      </c>
      <c r="B635" s="1" t="n">
        <v>45166</v>
      </c>
      <c r="C635" s="1" t="n">
        <v>45757</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39332-2023</t>
        </is>
      </c>
      <c r="B636" s="1" t="n">
        <v>45166</v>
      </c>
      <c r="C636" s="1" t="n">
        <v>45757</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39354-2023</t>
        </is>
      </c>
      <c r="B637" s="1" t="n">
        <v>45166</v>
      </c>
      <c r="C637" s="1" t="n">
        <v>45757</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39595-2023</t>
        </is>
      </c>
      <c r="B638" s="1" t="n">
        <v>45167</v>
      </c>
      <c r="C638" s="1" t="n">
        <v>45757</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39558-2023</t>
        </is>
      </c>
      <c r="B639" s="1" t="n">
        <v>45167</v>
      </c>
      <c r="C639" s="1" t="n">
        <v>45757</v>
      </c>
      <c r="D639" t="inlineStr">
        <is>
          <t>DALARNAS LÄN</t>
        </is>
      </c>
      <c r="E639" t="inlineStr">
        <is>
          <t>LEKSAND</t>
        </is>
      </c>
      <c r="G639" t="n">
        <v>39.9</v>
      </c>
      <c r="H639" t="n">
        <v>0</v>
      </c>
      <c r="I639" t="n">
        <v>0</v>
      </c>
      <c r="J639" t="n">
        <v>0</v>
      </c>
      <c r="K639" t="n">
        <v>0</v>
      </c>
      <c r="L639" t="n">
        <v>0</v>
      </c>
      <c r="M639" t="n">
        <v>0</v>
      </c>
      <c r="N639" t="n">
        <v>0</v>
      </c>
      <c r="O639" t="n">
        <v>0</v>
      </c>
      <c r="P639" t="n">
        <v>0</v>
      </c>
      <c r="Q639" t="n">
        <v>0</v>
      </c>
      <c r="R639" s="2" t="inlineStr"/>
    </row>
    <row r="640" ht="15" customHeight="1">
      <c r="A640" t="inlineStr">
        <is>
          <t>A 39577-2023</t>
        </is>
      </c>
      <c r="B640" s="1" t="n">
        <v>45167</v>
      </c>
      <c r="C640" s="1" t="n">
        <v>45757</v>
      </c>
      <c r="D640" t="inlineStr">
        <is>
          <t>DALARNAS LÄN</t>
        </is>
      </c>
      <c r="E640" t="inlineStr">
        <is>
          <t>LEKSAND</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39665-2023</t>
        </is>
      </c>
      <c r="B641" s="1" t="n">
        <v>45167</v>
      </c>
      <c r="C641" s="1" t="n">
        <v>45757</v>
      </c>
      <c r="D641" t="inlineStr">
        <is>
          <t>DALARNAS LÄN</t>
        </is>
      </c>
      <c r="E641" t="inlineStr">
        <is>
          <t>LEKSAND</t>
        </is>
      </c>
      <c r="F641" t="inlineStr">
        <is>
          <t>Bergvik skog väst AB</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40201-2023</t>
        </is>
      </c>
      <c r="B642" s="1" t="n">
        <v>45169</v>
      </c>
      <c r="C642" s="1" t="n">
        <v>45757</v>
      </c>
      <c r="D642" t="inlineStr">
        <is>
          <t>DALARNAS LÄN</t>
        </is>
      </c>
      <c r="E642" t="inlineStr">
        <is>
          <t>LEKSAND</t>
        </is>
      </c>
      <c r="G642" t="n">
        <v>3.2</v>
      </c>
      <c r="H642" t="n">
        <v>0</v>
      </c>
      <c r="I642" t="n">
        <v>0</v>
      </c>
      <c r="J642" t="n">
        <v>0</v>
      </c>
      <c r="K642" t="n">
        <v>0</v>
      </c>
      <c r="L642" t="n">
        <v>0</v>
      </c>
      <c r="M642" t="n">
        <v>0</v>
      </c>
      <c r="N642" t="n">
        <v>0</v>
      </c>
      <c r="O642" t="n">
        <v>0</v>
      </c>
      <c r="P642" t="n">
        <v>0</v>
      </c>
      <c r="Q642" t="n">
        <v>0</v>
      </c>
      <c r="R642" s="2" t="inlineStr"/>
    </row>
    <row r="643" ht="15" customHeight="1">
      <c r="A643" t="inlineStr">
        <is>
          <t>A 40181-2023</t>
        </is>
      </c>
      <c r="B643" s="1" t="n">
        <v>45169</v>
      </c>
      <c r="C643" s="1" t="n">
        <v>45757</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40230-2023</t>
        </is>
      </c>
      <c r="B644" s="1" t="n">
        <v>45169</v>
      </c>
      <c r="C644" s="1" t="n">
        <v>45757</v>
      </c>
      <c r="D644" t="inlineStr">
        <is>
          <t>DALARNAS LÄN</t>
        </is>
      </c>
      <c r="E644" t="inlineStr">
        <is>
          <t>LEKSAND</t>
        </is>
      </c>
      <c r="G644" t="n">
        <v>0.5</v>
      </c>
      <c r="H644" t="n">
        <v>0</v>
      </c>
      <c r="I644" t="n">
        <v>0</v>
      </c>
      <c r="J644" t="n">
        <v>0</v>
      </c>
      <c r="K644" t="n">
        <v>0</v>
      </c>
      <c r="L644" t="n">
        <v>0</v>
      </c>
      <c r="M644" t="n">
        <v>0</v>
      </c>
      <c r="N644" t="n">
        <v>0</v>
      </c>
      <c r="O644" t="n">
        <v>0</v>
      </c>
      <c r="P644" t="n">
        <v>0</v>
      </c>
      <c r="Q644" t="n">
        <v>0</v>
      </c>
      <c r="R644" s="2" t="inlineStr"/>
    </row>
    <row r="645" ht="15" customHeight="1">
      <c r="A645" t="inlineStr">
        <is>
          <t>A 40642-2023</t>
        </is>
      </c>
      <c r="B645" s="1" t="n">
        <v>45169</v>
      </c>
      <c r="C645" s="1" t="n">
        <v>45757</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40183-2023</t>
        </is>
      </c>
      <c r="B646" s="1" t="n">
        <v>45169</v>
      </c>
      <c r="C646" s="1" t="n">
        <v>45757</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40580-2023</t>
        </is>
      </c>
      <c r="B647" s="1" t="n">
        <v>45170</v>
      </c>
      <c r="C647" s="1" t="n">
        <v>45757</v>
      </c>
      <c r="D647" t="inlineStr">
        <is>
          <t>DALARNAS LÄN</t>
        </is>
      </c>
      <c r="E647" t="inlineStr">
        <is>
          <t>LEKSAND</t>
        </is>
      </c>
      <c r="F647" t="inlineStr">
        <is>
          <t>Bergvik skog väst AB</t>
        </is>
      </c>
      <c r="G647" t="n">
        <v>5.8</v>
      </c>
      <c r="H647" t="n">
        <v>0</v>
      </c>
      <c r="I647" t="n">
        <v>0</v>
      </c>
      <c r="J647" t="n">
        <v>0</v>
      </c>
      <c r="K647" t="n">
        <v>0</v>
      </c>
      <c r="L647" t="n">
        <v>0</v>
      </c>
      <c r="M647" t="n">
        <v>0</v>
      </c>
      <c r="N647" t="n">
        <v>0</v>
      </c>
      <c r="O647" t="n">
        <v>0</v>
      </c>
      <c r="P647" t="n">
        <v>0</v>
      </c>
      <c r="Q647" t="n">
        <v>0</v>
      </c>
      <c r="R647" s="2" t="inlineStr"/>
    </row>
    <row r="648" ht="15" customHeight="1">
      <c r="A648" t="inlineStr">
        <is>
          <t>A 40634-2023</t>
        </is>
      </c>
      <c r="B648" s="1" t="n">
        <v>45170</v>
      </c>
      <c r="C648" s="1" t="n">
        <v>45757</v>
      </c>
      <c r="D648" t="inlineStr">
        <is>
          <t>DALARNAS LÄN</t>
        </is>
      </c>
      <c r="E648" t="inlineStr">
        <is>
          <t>LEKSAND</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40640-2023</t>
        </is>
      </c>
      <c r="B649" s="1" t="n">
        <v>45170</v>
      </c>
      <c r="C649" s="1" t="n">
        <v>45757</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40577-2023</t>
        </is>
      </c>
      <c r="B650" s="1" t="n">
        <v>45170</v>
      </c>
      <c r="C650" s="1" t="n">
        <v>45757</v>
      </c>
      <c r="D650" t="inlineStr">
        <is>
          <t>DALARNAS LÄN</t>
        </is>
      </c>
      <c r="E650" t="inlineStr">
        <is>
          <t>LEKSAND</t>
        </is>
      </c>
      <c r="F650" t="inlineStr">
        <is>
          <t>Bergvik skog väst AB</t>
        </is>
      </c>
      <c r="G650" t="n">
        <v>20.6</v>
      </c>
      <c r="H650" t="n">
        <v>0</v>
      </c>
      <c r="I650" t="n">
        <v>0</v>
      </c>
      <c r="J650" t="n">
        <v>0</v>
      </c>
      <c r="K650" t="n">
        <v>0</v>
      </c>
      <c r="L650" t="n">
        <v>0</v>
      </c>
      <c r="M650" t="n">
        <v>0</v>
      </c>
      <c r="N650" t="n">
        <v>0</v>
      </c>
      <c r="O650" t="n">
        <v>0</v>
      </c>
      <c r="P650" t="n">
        <v>0</v>
      </c>
      <c r="Q650" t="n">
        <v>0</v>
      </c>
      <c r="R650" s="2" t="inlineStr"/>
    </row>
    <row r="651" ht="15" customHeight="1">
      <c r="A651" t="inlineStr">
        <is>
          <t>A 40627-2023</t>
        </is>
      </c>
      <c r="B651" s="1" t="n">
        <v>45170</v>
      </c>
      <c r="C651" s="1" t="n">
        <v>45757</v>
      </c>
      <c r="D651" t="inlineStr">
        <is>
          <t>DALARNAS LÄN</t>
        </is>
      </c>
      <c r="E651" t="inlineStr">
        <is>
          <t>LEKSAND</t>
        </is>
      </c>
      <c r="F651" t="inlineStr">
        <is>
          <t>Bergvik skog väst AB</t>
        </is>
      </c>
      <c r="G651" t="n">
        <v>3.3</v>
      </c>
      <c r="H651" t="n">
        <v>0</v>
      </c>
      <c r="I651" t="n">
        <v>0</v>
      </c>
      <c r="J651" t="n">
        <v>0</v>
      </c>
      <c r="K651" t="n">
        <v>0</v>
      </c>
      <c r="L651" t="n">
        <v>0</v>
      </c>
      <c r="M651" t="n">
        <v>0</v>
      </c>
      <c r="N651" t="n">
        <v>0</v>
      </c>
      <c r="O651" t="n">
        <v>0</v>
      </c>
      <c r="P651" t="n">
        <v>0</v>
      </c>
      <c r="Q651" t="n">
        <v>0</v>
      </c>
      <c r="R651" s="2" t="inlineStr"/>
    </row>
    <row r="652" ht="15" customHeight="1">
      <c r="A652" t="inlineStr">
        <is>
          <t>A 41853-2023</t>
        </is>
      </c>
      <c r="B652" s="1" t="n">
        <v>45176</v>
      </c>
      <c r="C652" s="1" t="n">
        <v>45757</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42230-2023</t>
        </is>
      </c>
      <c r="B653" s="1" t="n">
        <v>45180</v>
      </c>
      <c r="C653" s="1" t="n">
        <v>45757</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42305-2023</t>
        </is>
      </c>
      <c r="B654" s="1" t="n">
        <v>45180</v>
      </c>
      <c r="C654" s="1" t="n">
        <v>45757</v>
      </c>
      <c r="D654" t="inlineStr">
        <is>
          <t>DALARNAS LÄN</t>
        </is>
      </c>
      <c r="E654" t="inlineStr">
        <is>
          <t>LEKSAND</t>
        </is>
      </c>
      <c r="G654" t="n">
        <v>6.9</v>
      </c>
      <c r="H654" t="n">
        <v>0</v>
      </c>
      <c r="I654" t="n">
        <v>0</v>
      </c>
      <c r="J654" t="n">
        <v>0</v>
      </c>
      <c r="K654" t="n">
        <v>0</v>
      </c>
      <c r="L654" t="n">
        <v>0</v>
      </c>
      <c r="M654" t="n">
        <v>0</v>
      </c>
      <c r="N654" t="n">
        <v>0</v>
      </c>
      <c r="O654" t="n">
        <v>0</v>
      </c>
      <c r="P654" t="n">
        <v>0</v>
      </c>
      <c r="Q654" t="n">
        <v>0</v>
      </c>
      <c r="R654" s="2" t="inlineStr"/>
    </row>
    <row r="655" ht="15" customHeight="1">
      <c r="A655" t="inlineStr">
        <is>
          <t>A 42290-2023</t>
        </is>
      </c>
      <c r="B655" s="1" t="n">
        <v>45180</v>
      </c>
      <c r="C655" s="1" t="n">
        <v>45757</v>
      </c>
      <c r="D655" t="inlineStr">
        <is>
          <t>DALARNAS LÄN</t>
        </is>
      </c>
      <c r="E655" t="inlineStr">
        <is>
          <t>LEKSAND</t>
        </is>
      </c>
      <c r="G655" t="n">
        <v>6.8</v>
      </c>
      <c r="H655" t="n">
        <v>0</v>
      </c>
      <c r="I655" t="n">
        <v>0</v>
      </c>
      <c r="J655" t="n">
        <v>0</v>
      </c>
      <c r="K655" t="n">
        <v>0</v>
      </c>
      <c r="L655" t="n">
        <v>0</v>
      </c>
      <c r="M655" t="n">
        <v>0</v>
      </c>
      <c r="N655" t="n">
        <v>0</v>
      </c>
      <c r="O655" t="n">
        <v>0</v>
      </c>
      <c r="P655" t="n">
        <v>0</v>
      </c>
      <c r="Q655" t="n">
        <v>0</v>
      </c>
      <c r="R655" s="2" t="inlineStr"/>
    </row>
    <row r="656" ht="15" customHeight="1">
      <c r="A656" t="inlineStr">
        <is>
          <t>A 42739-2023</t>
        </is>
      </c>
      <c r="B656" s="1" t="n">
        <v>45181</v>
      </c>
      <c r="C656" s="1" t="n">
        <v>45757</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42774-2023</t>
        </is>
      </c>
      <c r="B657" s="1" t="n">
        <v>45181</v>
      </c>
      <c r="C657" s="1" t="n">
        <v>45757</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42771-2023</t>
        </is>
      </c>
      <c r="B658" s="1" t="n">
        <v>45181</v>
      </c>
      <c r="C658" s="1" t="n">
        <v>45757</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44491-2023</t>
        </is>
      </c>
      <c r="B659" s="1" t="n">
        <v>45183</v>
      </c>
      <c r="C659" s="1" t="n">
        <v>45757</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43436-2023</t>
        </is>
      </c>
      <c r="B660" s="1" t="n">
        <v>45184</v>
      </c>
      <c r="C660" s="1" t="n">
        <v>45757</v>
      </c>
      <c r="D660" t="inlineStr">
        <is>
          <t>DALARNAS LÄN</t>
        </is>
      </c>
      <c r="E660" t="inlineStr">
        <is>
          <t>LEKSAND</t>
        </is>
      </c>
      <c r="G660" t="n">
        <v>6</v>
      </c>
      <c r="H660" t="n">
        <v>0</v>
      </c>
      <c r="I660" t="n">
        <v>0</v>
      </c>
      <c r="J660" t="n">
        <v>0</v>
      </c>
      <c r="K660" t="n">
        <v>0</v>
      </c>
      <c r="L660" t="n">
        <v>0</v>
      </c>
      <c r="M660" t="n">
        <v>0</v>
      </c>
      <c r="N660" t="n">
        <v>0</v>
      </c>
      <c r="O660" t="n">
        <v>0</v>
      </c>
      <c r="P660" t="n">
        <v>0</v>
      </c>
      <c r="Q660" t="n">
        <v>0</v>
      </c>
      <c r="R660" s="2" t="inlineStr"/>
    </row>
    <row r="661" ht="15" customHeight="1">
      <c r="A661" t="inlineStr">
        <is>
          <t>A 43440-2023</t>
        </is>
      </c>
      <c r="B661" s="1" t="n">
        <v>45184</v>
      </c>
      <c r="C661" s="1" t="n">
        <v>45757</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43508-2023</t>
        </is>
      </c>
      <c r="B662" s="1" t="n">
        <v>45184</v>
      </c>
      <c r="C662" s="1" t="n">
        <v>45757</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43642-2023</t>
        </is>
      </c>
      <c r="B663" s="1" t="n">
        <v>45186</v>
      </c>
      <c r="C663" s="1" t="n">
        <v>45757</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43650-2023</t>
        </is>
      </c>
      <c r="B664" s="1" t="n">
        <v>45187</v>
      </c>
      <c r="C664" s="1" t="n">
        <v>45757</v>
      </c>
      <c r="D664" t="inlineStr">
        <is>
          <t>DALARNAS LÄN</t>
        </is>
      </c>
      <c r="E664" t="inlineStr">
        <is>
          <t>LEKSAND</t>
        </is>
      </c>
      <c r="G664" t="n">
        <v>4.5</v>
      </c>
      <c r="H664" t="n">
        <v>0</v>
      </c>
      <c r="I664" t="n">
        <v>0</v>
      </c>
      <c r="J664" t="n">
        <v>0</v>
      </c>
      <c r="K664" t="n">
        <v>0</v>
      </c>
      <c r="L664" t="n">
        <v>0</v>
      </c>
      <c r="M664" t="n">
        <v>0</v>
      </c>
      <c r="N664" t="n">
        <v>0</v>
      </c>
      <c r="O664" t="n">
        <v>0</v>
      </c>
      <c r="P664" t="n">
        <v>0</v>
      </c>
      <c r="Q664" t="n">
        <v>0</v>
      </c>
      <c r="R664" s="2" t="inlineStr"/>
    </row>
    <row r="665" ht="15" customHeight="1">
      <c r="A665" t="inlineStr">
        <is>
          <t>A 44712-2023</t>
        </is>
      </c>
      <c r="B665" s="1" t="n">
        <v>45190</v>
      </c>
      <c r="C665" s="1" t="n">
        <v>45757</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45254-2023</t>
        </is>
      </c>
      <c r="B666" s="1" t="n">
        <v>45191</v>
      </c>
      <c r="C666" s="1" t="n">
        <v>45757</v>
      </c>
      <c r="D666" t="inlineStr">
        <is>
          <t>DALARNAS LÄN</t>
        </is>
      </c>
      <c r="E666" t="inlineStr">
        <is>
          <t>LEKSAND</t>
        </is>
      </c>
      <c r="G666" t="n">
        <v>16.9</v>
      </c>
      <c r="H666" t="n">
        <v>0</v>
      </c>
      <c r="I666" t="n">
        <v>0</v>
      </c>
      <c r="J666" t="n">
        <v>0</v>
      </c>
      <c r="K666" t="n">
        <v>0</v>
      </c>
      <c r="L666" t="n">
        <v>0</v>
      </c>
      <c r="M666" t="n">
        <v>0</v>
      </c>
      <c r="N666" t="n">
        <v>0</v>
      </c>
      <c r="O666" t="n">
        <v>0</v>
      </c>
      <c r="P666" t="n">
        <v>0</v>
      </c>
      <c r="Q666" t="n">
        <v>0</v>
      </c>
      <c r="R666" s="2" t="inlineStr"/>
    </row>
    <row r="667" ht="15" customHeight="1">
      <c r="A667" t="inlineStr">
        <is>
          <t>A 45633-2023</t>
        </is>
      </c>
      <c r="B667" s="1" t="n">
        <v>45194</v>
      </c>
      <c r="C667" s="1" t="n">
        <v>45757</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45512-2023</t>
        </is>
      </c>
      <c r="B668" s="1" t="n">
        <v>45194</v>
      </c>
      <c r="C668" s="1" t="n">
        <v>45757</v>
      </c>
      <c r="D668" t="inlineStr">
        <is>
          <t>DALARNAS LÄN</t>
        </is>
      </c>
      <c r="E668" t="inlineStr">
        <is>
          <t>LEKSAND</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45768-2023</t>
        </is>
      </c>
      <c r="B669" s="1" t="n">
        <v>45195</v>
      </c>
      <c r="C669" s="1" t="n">
        <v>45757</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45679-2023</t>
        </is>
      </c>
      <c r="B670" s="1" t="n">
        <v>45195</v>
      </c>
      <c r="C670" s="1" t="n">
        <v>45757</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45813-2023</t>
        </is>
      </c>
      <c r="B671" s="1" t="n">
        <v>45195</v>
      </c>
      <c r="C671" s="1" t="n">
        <v>45757</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46163-2023</t>
        </is>
      </c>
      <c r="B672" s="1" t="n">
        <v>45196</v>
      </c>
      <c r="C672" s="1" t="n">
        <v>45757</v>
      </c>
      <c r="D672" t="inlineStr">
        <is>
          <t>DALARNAS LÄN</t>
        </is>
      </c>
      <c r="E672" t="inlineStr">
        <is>
          <t>LEKSAND</t>
        </is>
      </c>
      <c r="G672" t="n">
        <v>7.3</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v>
      </c>
      <c r="C673" s="1" t="n">
        <v>45757</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46505-2023</t>
        </is>
      </c>
      <c r="B674" s="1" t="n">
        <v>45197</v>
      </c>
      <c r="C674" s="1" t="n">
        <v>45757</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46593-2023</t>
        </is>
      </c>
      <c r="B675" s="1" t="n">
        <v>45198</v>
      </c>
      <c r="C675" s="1" t="n">
        <v>45757</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46669-2023</t>
        </is>
      </c>
      <c r="B676" s="1" t="n">
        <v>45198</v>
      </c>
      <c r="C676" s="1" t="n">
        <v>45757</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46594-2023</t>
        </is>
      </c>
      <c r="B677" s="1" t="n">
        <v>45198</v>
      </c>
      <c r="C677" s="1" t="n">
        <v>45757</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46600-2023</t>
        </is>
      </c>
      <c r="B678" s="1" t="n">
        <v>45198</v>
      </c>
      <c r="C678" s="1" t="n">
        <v>45757</v>
      </c>
      <c r="D678" t="inlineStr">
        <is>
          <t>DALARNAS LÄN</t>
        </is>
      </c>
      <c r="E678" t="inlineStr">
        <is>
          <t>LEKSAND</t>
        </is>
      </c>
      <c r="G678" t="n">
        <v>2.6</v>
      </c>
      <c r="H678" t="n">
        <v>0</v>
      </c>
      <c r="I678" t="n">
        <v>0</v>
      </c>
      <c r="J678" t="n">
        <v>0</v>
      </c>
      <c r="K678" t="n">
        <v>0</v>
      </c>
      <c r="L678" t="n">
        <v>0</v>
      </c>
      <c r="M678" t="n">
        <v>0</v>
      </c>
      <c r="N678" t="n">
        <v>0</v>
      </c>
      <c r="O678" t="n">
        <v>0</v>
      </c>
      <c r="P678" t="n">
        <v>0</v>
      </c>
      <c r="Q678" t="n">
        <v>0</v>
      </c>
      <c r="R678" s="2" t="inlineStr"/>
    </row>
    <row r="679" ht="15" customHeight="1">
      <c r="A679" t="inlineStr">
        <is>
          <t>A 46665-2023</t>
        </is>
      </c>
      <c r="B679" s="1" t="n">
        <v>45198</v>
      </c>
      <c r="C679" s="1" t="n">
        <v>45757</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46635-2023</t>
        </is>
      </c>
      <c r="B680" s="1" t="n">
        <v>45198</v>
      </c>
      <c r="C680" s="1" t="n">
        <v>45757</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v>
      </c>
      <c r="C681" s="1" t="n">
        <v>45757</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46876-2023</t>
        </is>
      </c>
      <c r="B682" s="1" t="n">
        <v>45200</v>
      </c>
      <c r="C682" s="1" t="n">
        <v>45757</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47039-2023</t>
        </is>
      </c>
      <c r="B683" s="1" t="n">
        <v>45201</v>
      </c>
      <c r="C683" s="1" t="n">
        <v>45757</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46931-2023</t>
        </is>
      </c>
      <c r="B684" s="1" t="n">
        <v>45201</v>
      </c>
      <c r="C684" s="1" t="n">
        <v>45757</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47011-2023</t>
        </is>
      </c>
      <c r="B685" s="1" t="n">
        <v>45201</v>
      </c>
      <c r="C685" s="1" t="n">
        <v>45757</v>
      </c>
      <c r="D685" t="inlineStr">
        <is>
          <t>DALARNAS LÄN</t>
        </is>
      </c>
      <c r="E685" t="inlineStr">
        <is>
          <t>LEKSAND</t>
        </is>
      </c>
      <c r="G685" t="n">
        <v>4</v>
      </c>
      <c r="H685" t="n">
        <v>0</v>
      </c>
      <c r="I685" t="n">
        <v>0</v>
      </c>
      <c r="J685" t="n">
        <v>0</v>
      </c>
      <c r="K685" t="n">
        <v>0</v>
      </c>
      <c r="L685" t="n">
        <v>0</v>
      </c>
      <c r="M685" t="n">
        <v>0</v>
      </c>
      <c r="N685" t="n">
        <v>0</v>
      </c>
      <c r="O685" t="n">
        <v>0</v>
      </c>
      <c r="P685" t="n">
        <v>0</v>
      </c>
      <c r="Q685" t="n">
        <v>0</v>
      </c>
      <c r="R685" s="2" t="inlineStr"/>
    </row>
    <row r="686" ht="15" customHeight="1">
      <c r="A686" t="inlineStr">
        <is>
          <t>A 47203-2023</t>
        </is>
      </c>
      <c r="B686" s="1" t="n">
        <v>45202</v>
      </c>
      <c r="C686" s="1" t="n">
        <v>45757</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47673-2023</t>
        </is>
      </c>
      <c r="B687" s="1" t="n">
        <v>45203</v>
      </c>
      <c r="C687" s="1" t="n">
        <v>45757</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47655-2023</t>
        </is>
      </c>
      <c r="B688" s="1" t="n">
        <v>45203</v>
      </c>
      <c r="C688" s="1" t="n">
        <v>45757</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48714-2023</t>
        </is>
      </c>
      <c r="B689" s="1" t="n">
        <v>45203</v>
      </c>
      <c r="C689" s="1" t="n">
        <v>45757</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48721-2023</t>
        </is>
      </c>
      <c r="B690" s="1" t="n">
        <v>45203</v>
      </c>
      <c r="C690" s="1" t="n">
        <v>45757</v>
      </c>
      <c r="D690" t="inlineStr">
        <is>
          <t>DALARNAS LÄN</t>
        </is>
      </c>
      <c r="E690" t="inlineStr">
        <is>
          <t>LEKSAND</t>
        </is>
      </c>
      <c r="G690" t="n">
        <v>2.9</v>
      </c>
      <c r="H690" t="n">
        <v>0</v>
      </c>
      <c r="I690" t="n">
        <v>0</v>
      </c>
      <c r="J690" t="n">
        <v>0</v>
      </c>
      <c r="K690" t="n">
        <v>0</v>
      </c>
      <c r="L690" t="n">
        <v>0</v>
      </c>
      <c r="M690" t="n">
        <v>0</v>
      </c>
      <c r="N690" t="n">
        <v>0</v>
      </c>
      <c r="O690" t="n">
        <v>0</v>
      </c>
      <c r="P690" t="n">
        <v>0</v>
      </c>
      <c r="Q690" t="n">
        <v>0</v>
      </c>
      <c r="R690" s="2" t="inlineStr"/>
    </row>
    <row r="691" ht="15" customHeight="1">
      <c r="A691" t="inlineStr">
        <is>
          <t>A 48029-2023</t>
        </is>
      </c>
      <c r="B691" s="1" t="n">
        <v>45204</v>
      </c>
      <c r="C691" s="1" t="n">
        <v>45757</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48644-2023</t>
        </is>
      </c>
      <c r="B692" s="1" t="n">
        <v>45208</v>
      </c>
      <c r="C692" s="1" t="n">
        <v>45757</v>
      </c>
      <c r="D692" t="inlineStr">
        <is>
          <t>DALARNAS LÄN</t>
        </is>
      </c>
      <c r="E692" t="inlineStr">
        <is>
          <t>LEKSAND</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50374-2023</t>
        </is>
      </c>
      <c r="B693" s="1" t="n">
        <v>45209</v>
      </c>
      <c r="C693" s="1" t="n">
        <v>45757</v>
      </c>
      <c r="D693" t="inlineStr">
        <is>
          <t>DALARNAS LÄN</t>
        </is>
      </c>
      <c r="E693" t="inlineStr">
        <is>
          <t>LEKSAND</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50082-2023</t>
        </is>
      </c>
      <c r="B694" s="1" t="n">
        <v>45215</v>
      </c>
      <c r="C694" s="1" t="n">
        <v>45757</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50447-2023</t>
        </is>
      </c>
      <c r="B695" s="1" t="n">
        <v>45216</v>
      </c>
      <c r="C695" s="1" t="n">
        <v>45757</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50278-2023</t>
        </is>
      </c>
      <c r="B696" s="1" t="n">
        <v>45216</v>
      </c>
      <c r="C696" s="1" t="n">
        <v>45757</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50553-2023</t>
        </is>
      </c>
      <c r="B697" s="1" t="n">
        <v>45217</v>
      </c>
      <c r="C697" s="1" t="n">
        <v>45757</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51090-2023</t>
        </is>
      </c>
      <c r="B698" s="1" t="n">
        <v>45218</v>
      </c>
      <c r="C698" s="1" t="n">
        <v>45757</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51377-2023</t>
        </is>
      </c>
      <c r="B699" s="1" t="n">
        <v>45219</v>
      </c>
      <c r="C699" s="1" t="n">
        <v>45757</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52801-2023</t>
        </is>
      </c>
      <c r="B700" s="1" t="n">
        <v>45219</v>
      </c>
      <c r="C700" s="1" t="n">
        <v>45757</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52216-2023</t>
        </is>
      </c>
      <c r="B701" s="1" t="n">
        <v>45219</v>
      </c>
      <c r="C701" s="1" t="n">
        <v>45757</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51320-2023</t>
        </is>
      </c>
      <c r="B702" s="1" t="n">
        <v>45219</v>
      </c>
      <c r="C702" s="1" t="n">
        <v>45757</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51736-2023</t>
        </is>
      </c>
      <c r="B703" s="1" t="n">
        <v>45222</v>
      </c>
      <c r="C703" s="1" t="n">
        <v>45757</v>
      </c>
      <c r="D703" t="inlineStr">
        <is>
          <t>DALARNAS LÄN</t>
        </is>
      </c>
      <c r="E703" t="inlineStr">
        <is>
          <t>LEKSAND</t>
        </is>
      </c>
      <c r="G703" t="n">
        <v>2.8</v>
      </c>
      <c r="H703" t="n">
        <v>0</v>
      </c>
      <c r="I703" t="n">
        <v>0</v>
      </c>
      <c r="J703" t="n">
        <v>0</v>
      </c>
      <c r="K703" t="n">
        <v>0</v>
      </c>
      <c r="L703" t="n">
        <v>0</v>
      </c>
      <c r="M703" t="n">
        <v>0</v>
      </c>
      <c r="N703" t="n">
        <v>0</v>
      </c>
      <c r="O703" t="n">
        <v>0</v>
      </c>
      <c r="P703" t="n">
        <v>0</v>
      </c>
      <c r="Q703" t="n">
        <v>0</v>
      </c>
      <c r="R703" s="2" t="inlineStr"/>
    </row>
    <row r="704" ht="15" customHeight="1">
      <c r="A704" t="inlineStr">
        <is>
          <t>A 52959-2023</t>
        </is>
      </c>
      <c r="B704" s="1" t="n">
        <v>45222</v>
      </c>
      <c r="C704" s="1" t="n">
        <v>45757</v>
      </c>
      <c r="D704" t="inlineStr">
        <is>
          <t>DALARNAS LÄN</t>
        </is>
      </c>
      <c r="E704" t="inlineStr">
        <is>
          <t>LEKSAND</t>
        </is>
      </c>
      <c r="G704" t="n">
        <v>6.5</v>
      </c>
      <c r="H704" t="n">
        <v>0</v>
      </c>
      <c r="I704" t="n">
        <v>0</v>
      </c>
      <c r="J704" t="n">
        <v>0</v>
      </c>
      <c r="K704" t="n">
        <v>0</v>
      </c>
      <c r="L704" t="n">
        <v>0</v>
      </c>
      <c r="M704" t="n">
        <v>0</v>
      </c>
      <c r="N704" t="n">
        <v>0</v>
      </c>
      <c r="O704" t="n">
        <v>0</v>
      </c>
      <c r="P704" t="n">
        <v>0</v>
      </c>
      <c r="Q704" t="n">
        <v>0</v>
      </c>
      <c r="R704" s="2" t="inlineStr"/>
    </row>
    <row r="705" ht="15" customHeight="1">
      <c r="A705" t="inlineStr">
        <is>
          <t>A 52016-2023</t>
        </is>
      </c>
      <c r="B705" s="1" t="n">
        <v>45223</v>
      </c>
      <c r="C705" s="1" t="n">
        <v>45757</v>
      </c>
      <c r="D705" t="inlineStr">
        <is>
          <t>DALARNAS LÄN</t>
        </is>
      </c>
      <c r="E705" t="inlineStr">
        <is>
          <t>LEKSAND</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52732-2023</t>
        </is>
      </c>
      <c r="B706" s="1" t="n">
        <v>45226</v>
      </c>
      <c r="C706" s="1" t="n">
        <v>45757</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53120-2023</t>
        </is>
      </c>
      <c r="B707" s="1" t="n">
        <v>45228</v>
      </c>
      <c r="C707" s="1" t="n">
        <v>45757</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53122-2023</t>
        </is>
      </c>
      <c r="B708" s="1" t="n">
        <v>45228</v>
      </c>
      <c r="C708" s="1" t="n">
        <v>45757</v>
      </c>
      <c r="D708" t="inlineStr">
        <is>
          <t>DALARNAS LÄN</t>
        </is>
      </c>
      <c r="E708" t="inlineStr">
        <is>
          <t>LEKSAND</t>
        </is>
      </c>
      <c r="G708" t="n">
        <v>1.9</v>
      </c>
      <c r="H708" t="n">
        <v>0</v>
      </c>
      <c r="I708" t="n">
        <v>0</v>
      </c>
      <c r="J708" t="n">
        <v>0</v>
      </c>
      <c r="K708" t="n">
        <v>0</v>
      </c>
      <c r="L708" t="n">
        <v>0</v>
      </c>
      <c r="M708" t="n">
        <v>0</v>
      </c>
      <c r="N708" t="n">
        <v>0</v>
      </c>
      <c r="O708" t="n">
        <v>0</v>
      </c>
      <c r="P708" t="n">
        <v>0</v>
      </c>
      <c r="Q708" t="n">
        <v>0</v>
      </c>
      <c r="R708" s="2" t="inlineStr"/>
    </row>
    <row r="709" ht="15" customHeight="1">
      <c r="A709" t="inlineStr">
        <is>
          <t>A 53248-2023</t>
        </is>
      </c>
      <c r="B709" s="1" t="n">
        <v>45229</v>
      </c>
      <c r="C709" s="1" t="n">
        <v>45757</v>
      </c>
      <c r="D709" t="inlineStr">
        <is>
          <t>DALARNAS LÄN</t>
        </is>
      </c>
      <c r="E709" t="inlineStr">
        <is>
          <t>LEKSAND</t>
        </is>
      </c>
      <c r="G709" t="n">
        <v>2.2</v>
      </c>
      <c r="H709" t="n">
        <v>0</v>
      </c>
      <c r="I709" t="n">
        <v>0</v>
      </c>
      <c r="J709" t="n">
        <v>0</v>
      </c>
      <c r="K709" t="n">
        <v>0</v>
      </c>
      <c r="L709" t="n">
        <v>0</v>
      </c>
      <c r="M709" t="n">
        <v>0</v>
      </c>
      <c r="N709" t="n">
        <v>0</v>
      </c>
      <c r="O709" t="n">
        <v>0</v>
      </c>
      <c r="P709" t="n">
        <v>0</v>
      </c>
      <c r="Q709" t="n">
        <v>0</v>
      </c>
      <c r="R709" s="2" t="inlineStr"/>
    </row>
    <row r="710" ht="15" customHeight="1">
      <c r="A710" t="inlineStr">
        <is>
          <t>A 53128-2023</t>
        </is>
      </c>
      <c r="B710" s="1" t="n">
        <v>45229</v>
      </c>
      <c r="C710" s="1" t="n">
        <v>45757</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53291-2023</t>
        </is>
      </c>
      <c r="B711" s="1" t="n">
        <v>45229</v>
      </c>
      <c r="C711" s="1" t="n">
        <v>45757</v>
      </c>
      <c r="D711" t="inlineStr">
        <is>
          <t>DALARNAS LÄN</t>
        </is>
      </c>
      <c r="E711" t="inlineStr">
        <is>
          <t>LEKSAND</t>
        </is>
      </c>
      <c r="G711" t="n">
        <v>2.5</v>
      </c>
      <c r="H711" t="n">
        <v>0</v>
      </c>
      <c r="I711" t="n">
        <v>0</v>
      </c>
      <c r="J711" t="n">
        <v>0</v>
      </c>
      <c r="K711" t="n">
        <v>0</v>
      </c>
      <c r="L711" t="n">
        <v>0</v>
      </c>
      <c r="M711" t="n">
        <v>0</v>
      </c>
      <c r="N711" t="n">
        <v>0</v>
      </c>
      <c r="O711" t="n">
        <v>0</v>
      </c>
      <c r="P711" t="n">
        <v>0</v>
      </c>
      <c r="Q711" t="n">
        <v>0</v>
      </c>
      <c r="R711" s="2" t="inlineStr"/>
    </row>
    <row r="712" ht="15" customHeight="1">
      <c r="A712" t="inlineStr">
        <is>
          <t>A 53621-2023</t>
        </is>
      </c>
      <c r="B712" s="1" t="n">
        <v>45230</v>
      </c>
      <c r="C712" s="1" t="n">
        <v>45757</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53636-2023</t>
        </is>
      </c>
      <c r="B713" s="1" t="n">
        <v>45230</v>
      </c>
      <c r="C713" s="1" t="n">
        <v>45757</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53717-2023</t>
        </is>
      </c>
      <c r="B714" s="1" t="n">
        <v>45230</v>
      </c>
      <c r="C714" s="1" t="n">
        <v>45757</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55196-2023</t>
        </is>
      </c>
      <c r="B715" s="1" t="n">
        <v>45230</v>
      </c>
      <c r="C715" s="1" t="n">
        <v>45757</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53799-2023</t>
        </is>
      </c>
      <c r="B716" s="1" t="n">
        <v>45231</v>
      </c>
      <c r="C716" s="1" t="n">
        <v>45757</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53823-2023</t>
        </is>
      </c>
      <c r="B717" s="1" t="n">
        <v>45231</v>
      </c>
      <c r="C717" s="1" t="n">
        <v>45757</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v>
      </c>
      <c r="C718" s="1" t="n">
        <v>45757</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54251-2023</t>
        </is>
      </c>
      <c r="B719" s="1" t="n">
        <v>45232</v>
      </c>
      <c r="C719" s="1" t="n">
        <v>45757</v>
      </c>
      <c r="D719" t="inlineStr">
        <is>
          <t>DALARNAS LÄN</t>
        </is>
      </c>
      <c r="E719" t="inlineStr">
        <is>
          <t>LEKSAND</t>
        </is>
      </c>
      <c r="F719" t="inlineStr">
        <is>
          <t>Övriga Aktiebolag</t>
        </is>
      </c>
      <c r="G719" t="n">
        <v>6.7</v>
      </c>
      <c r="H719" t="n">
        <v>0</v>
      </c>
      <c r="I719" t="n">
        <v>0</v>
      </c>
      <c r="J719" t="n">
        <v>0</v>
      </c>
      <c r="K719" t="n">
        <v>0</v>
      </c>
      <c r="L719" t="n">
        <v>0</v>
      </c>
      <c r="M719" t="n">
        <v>0</v>
      </c>
      <c r="N719" t="n">
        <v>0</v>
      </c>
      <c r="O719" t="n">
        <v>0</v>
      </c>
      <c r="P719" t="n">
        <v>0</v>
      </c>
      <c r="Q719" t="n">
        <v>0</v>
      </c>
      <c r="R719" s="2" t="inlineStr"/>
    </row>
    <row r="720" ht="15" customHeight="1">
      <c r="A720" t="inlineStr">
        <is>
          <t>A 54289-2023</t>
        </is>
      </c>
      <c r="B720" s="1" t="n">
        <v>45232</v>
      </c>
      <c r="C720" s="1" t="n">
        <v>45757</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54682-2023</t>
        </is>
      </c>
      <c r="B721" s="1" t="n">
        <v>45235</v>
      </c>
      <c r="C721" s="1" t="n">
        <v>45757</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54690-2023</t>
        </is>
      </c>
      <c r="B722" s="1" t="n">
        <v>45236</v>
      </c>
      <c r="C722" s="1" t="n">
        <v>45757</v>
      </c>
      <c r="D722" t="inlineStr">
        <is>
          <t>DALARNAS LÄN</t>
        </is>
      </c>
      <c r="E722" t="inlineStr">
        <is>
          <t>LEKSAND</t>
        </is>
      </c>
      <c r="G722" t="n">
        <v>2.5</v>
      </c>
      <c r="H722" t="n">
        <v>0</v>
      </c>
      <c r="I722" t="n">
        <v>0</v>
      </c>
      <c r="J722" t="n">
        <v>0</v>
      </c>
      <c r="K722" t="n">
        <v>0</v>
      </c>
      <c r="L722" t="n">
        <v>0</v>
      </c>
      <c r="M722" t="n">
        <v>0</v>
      </c>
      <c r="N722" t="n">
        <v>0</v>
      </c>
      <c r="O722" t="n">
        <v>0</v>
      </c>
      <c r="P722" t="n">
        <v>0</v>
      </c>
      <c r="Q722" t="n">
        <v>0</v>
      </c>
      <c r="R722" s="2" t="inlineStr"/>
    </row>
    <row r="723" ht="15" customHeight="1">
      <c r="A723" t="inlineStr">
        <is>
          <t>A 55418-2023</t>
        </is>
      </c>
      <c r="B723" s="1" t="n">
        <v>45238</v>
      </c>
      <c r="C723" s="1" t="n">
        <v>45757</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55438-2023</t>
        </is>
      </c>
      <c r="B724" s="1" t="n">
        <v>45238</v>
      </c>
      <c r="C724" s="1" t="n">
        <v>45757</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55464-2023</t>
        </is>
      </c>
      <c r="B725" s="1" t="n">
        <v>45238</v>
      </c>
      <c r="C725" s="1" t="n">
        <v>45757</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55430-2023</t>
        </is>
      </c>
      <c r="B726" s="1" t="n">
        <v>45238</v>
      </c>
      <c r="C726" s="1" t="n">
        <v>45757</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56221-2023</t>
        </is>
      </c>
      <c r="B727" s="1" t="n">
        <v>45240</v>
      </c>
      <c r="C727" s="1" t="n">
        <v>45757</v>
      </c>
      <c r="D727" t="inlineStr">
        <is>
          <t>DALARNAS LÄN</t>
        </is>
      </c>
      <c r="E727" t="inlineStr">
        <is>
          <t>LEKSAND</t>
        </is>
      </c>
      <c r="G727" t="n">
        <v>1.8</v>
      </c>
      <c r="H727" t="n">
        <v>0</v>
      </c>
      <c r="I727" t="n">
        <v>0</v>
      </c>
      <c r="J727" t="n">
        <v>0</v>
      </c>
      <c r="K727" t="n">
        <v>0</v>
      </c>
      <c r="L727" t="n">
        <v>0</v>
      </c>
      <c r="M727" t="n">
        <v>0</v>
      </c>
      <c r="N727" t="n">
        <v>0</v>
      </c>
      <c r="O727" t="n">
        <v>0</v>
      </c>
      <c r="P727" t="n">
        <v>0</v>
      </c>
      <c r="Q727" t="n">
        <v>0</v>
      </c>
      <c r="R727" s="2" t="inlineStr"/>
    </row>
    <row r="728" ht="15" customHeight="1">
      <c r="A728" t="inlineStr">
        <is>
          <t>A 56211-2023</t>
        </is>
      </c>
      <c r="B728" s="1" t="n">
        <v>45240</v>
      </c>
      <c r="C728" s="1" t="n">
        <v>45757</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56099-2023</t>
        </is>
      </c>
      <c r="B729" s="1" t="n">
        <v>45240</v>
      </c>
      <c r="C729" s="1" t="n">
        <v>45757</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56067-2023</t>
        </is>
      </c>
      <c r="B730" s="1" t="n">
        <v>45240</v>
      </c>
      <c r="C730" s="1" t="n">
        <v>45757</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56065-2023</t>
        </is>
      </c>
      <c r="B731" s="1" t="n">
        <v>45240</v>
      </c>
      <c r="C731" s="1" t="n">
        <v>45757</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56350-2023</t>
        </is>
      </c>
      <c r="B732" s="1" t="n">
        <v>45243</v>
      </c>
      <c r="C732" s="1" t="n">
        <v>45757</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56632-2023</t>
        </is>
      </c>
      <c r="B733" s="1" t="n">
        <v>45243</v>
      </c>
      <c r="C733" s="1" t="n">
        <v>45757</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56753-2023</t>
        </is>
      </c>
      <c r="B734" s="1" t="n">
        <v>45244</v>
      </c>
      <c r="C734" s="1" t="n">
        <v>45757</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56810-2023</t>
        </is>
      </c>
      <c r="B735" s="1" t="n">
        <v>45244</v>
      </c>
      <c r="C735" s="1" t="n">
        <v>45757</v>
      </c>
      <c r="D735" t="inlineStr">
        <is>
          <t>DALARNAS LÄN</t>
        </is>
      </c>
      <c r="E735" t="inlineStr">
        <is>
          <t>LEKSAND</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56812-2023</t>
        </is>
      </c>
      <c r="B736" s="1" t="n">
        <v>45244</v>
      </c>
      <c r="C736" s="1" t="n">
        <v>45757</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57013-2023</t>
        </is>
      </c>
      <c r="B737" s="1" t="n">
        <v>45244</v>
      </c>
      <c r="C737" s="1" t="n">
        <v>45757</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57323-2023</t>
        </is>
      </c>
      <c r="B738" s="1" t="n">
        <v>45245</v>
      </c>
      <c r="C738" s="1" t="n">
        <v>45757</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57106-2023</t>
        </is>
      </c>
      <c r="B739" s="1" t="n">
        <v>45245</v>
      </c>
      <c r="C739" s="1" t="n">
        <v>45757</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57093-2023</t>
        </is>
      </c>
      <c r="B740" s="1" t="n">
        <v>45245</v>
      </c>
      <c r="C740" s="1" t="n">
        <v>45757</v>
      </c>
      <c r="D740" t="inlineStr">
        <is>
          <t>DALARNAS LÄN</t>
        </is>
      </c>
      <c r="E740" t="inlineStr">
        <is>
          <t>LEKSAND</t>
        </is>
      </c>
      <c r="G740" t="n">
        <v>3.3</v>
      </c>
      <c r="H740" t="n">
        <v>0</v>
      </c>
      <c r="I740" t="n">
        <v>0</v>
      </c>
      <c r="J740" t="n">
        <v>0</v>
      </c>
      <c r="K740" t="n">
        <v>0</v>
      </c>
      <c r="L740" t="n">
        <v>0</v>
      </c>
      <c r="M740" t="n">
        <v>0</v>
      </c>
      <c r="N740" t="n">
        <v>0</v>
      </c>
      <c r="O740" t="n">
        <v>0</v>
      </c>
      <c r="P740" t="n">
        <v>0</v>
      </c>
      <c r="Q740" t="n">
        <v>0</v>
      </c>
      <c r="R740" s="2" t="inlineStr"/>
    </row>
    <row r="741" ht="15" customHeight="1">
      <c r="A741" t="inlineStr">
        <is>
          <t>A 57468-2023</t>
        </is>
      </c>
      <c r="B741" s="1" t="n">
        <v>45246</v>
      </c>
      <c r="C741" s="1" t="n">
        <v>45757</v>
      </c>
      <c r="D741" t="inlineStr">
        <is>
          <t>DALARNAS LÄN</t>
        </is>
      </c>
      <c r="E741" t="inlineStr">
        <is>
          <t>LEKSAND</t>
        </is>
      </c>
      <c r="G741" t="n">
        <v>4.6</v>
      </c>
      <c r="H741" t="n">
        <v>0</v>
      </c>
      <c r="I741" t="n">
        <v>0</v>
      </c>
      <c r="J741" t="n">
        <v>0</v>
      </c>
      <c r="K741" t="n">
        <v>0</v>
      </c>
      <c r="L741" t="n">
        <v>0</v>
      </c>
      <c r="M741" t="n">
        <v>0</v>
      </c>
      <c r="N741" t="n">
        <v>0</v>
      </c>
      <c r="O741" t="n">
        <v>0</v>
      </c>
      <c r="P741" t="n">
        <v>0</v>
      </c>
      <c r="Q741" t="n">
        <v>0</v>
      </c>
      <c r="R741" s="2" t="inlineStr"/>
    </row>
    <row r="742" ht="15" customHeight="1">
      <c r="A742" t="inlineStr">
        <is>
          <t>A 57635-2023</t>
        </is>
      </c>
      <c r="B742" s="1" t="n">
        <v>45246</v>
      </c>
      <c r="C742" s="1" t="n">
        <v>45757</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57681-2023</t>
        </is>
      </c>
      <c r="B743" s="1" t="n">
        <v>45246</v>
      </c>
      <c r="C743" s="1" t="n">
        <v>45757</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57665-2023</t>
        </is>
      </c>
      <c r="B744" s="1" t="n">
        <v>45246</v>
      </c>
      <c r="C744" s="1" t="n">
        <v>45757</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57852-2023</t>
        </is>
      </c>
      <c r="B745" s="1" t="n">
        <v>45247</v>
      </c>
      <c r="C745" s="1" t="n">
        <v>45757</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58405-2023</t>
        </is>
      </c>
      <c r="B746" s="1" t="n">
        <v>45250</v>
      </c>
      <c r="C746" s="1" t="n">
        <v>45757</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58402-2023</t>
        </is>
      </c>
      <c r="B747" s="1" t="n">
        <v>45250</v>
      </c>
      <c r="C747" s="1" t="n">
        <v>45757</v>
      </c>
      <c r="D747" t="inlineStr">
        <is>
          <t>DALARNAS LÄN</t>
        </is>
      </c>
      <c r="E747" t="inlineStr">
        <is>
          <t>LEKSAND</t>
        </is>
      </c>
      <c r="G747" t="n">
        <v>4.5</v>
      </c>
      <c r="H747" t="n">
        <v>0</v>
      </c>
      <c r="I747" t="n">
        <v>0</v>
      </c>
      <c r="J747" t="n">
        <v>0</v>
      </c>
      <c r="K747" t="n">
        <v>0</v>
      </c>
      <c r="L747" t="n">
        <v>0</v>
      </c>
      <c r="M747" t="n">
        <v>0</v>
      </c>
      <c r="N747" t="n">
        <v>0</v>
      </c>
      <c r="O747" t="n">
        <v>0</v>
      </c>
      <c r="P747" t="n">
        <v>0</v>
      </c>
      <c r="Q747" t="n">
        <v>0</v>
      </c>
      <c r="R747" s="2" t="inlineStr"/>
    </row>
    <row r="748" ht="15" customHeight="1">
      <c r="A748" t="inlineStr">
        <is>
          <t>A 58495-2023</t>
        </is>
      </c>
      <c r="B748" s="1" t="n">
        <v>45251</v>
      </c>
      <c r="C748" s="1" t="n">
        <v>45757</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58730-2023</t>
        </is>
      </c>
      <c r="B749" s="1" t="n">
        <v>45251</v>
      </c>
      <c r="C749" s="1" t="n">
        <v>45757</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58877-2023</t>
        </is>
      </c>
      <c r="B750" s="1" t="n">
        <v>45252</v>
      </c>
      <c r="C750" s="1" t="n">
        <v>45757</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58950-2023</t>
        </is>
      </c>
      <c r="B751" s="1" t="n">
        <v>45252</v>
      </c>
      <c r="C751" s="1" t="n">
        <v>45757</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58949-2023</t>
        </is>
      </c>
      <c r="B752" s="1" t="n">
        <v>45252</v>
      </c>
      <c r="C752" s="1" t="n">
        <v>45757</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59011-2023</t>
        </is>
      </c>
      <c r="B753" s="1" t="n">
        <v>45252</v>
      </c>
      <c r="C753" s="1" t="n">
        <v>45757</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58853-2023</t>
        </is>
      </c>
      <c r="B754" s="1" t="n">
        <v>45252</v>
      </c>
      <c r="C754" s="1" t="n">
        <v>45757</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58880-2023</t>
        </is>
      </c>
      <c r="B755" s="1" t="n">
        <v>45252</v>
      </c>
      <c r="C755" s="1" t="n">
        <v>45757</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59222-2023</t>
        </is>
      </c>
      <c r="B756" s="1" t="n">
        <v>45252</v>
      </c>
      <c r="C756" s="1" t="n">
        <v>45757</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59392-2023</t>
        </is>
      </c>
      <c r="B757" s="1" t="n">
        <v>45253</v>
      </c>
      <c r="C757" s="1" t="n">
        <v>45757</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59562-2023</t>
        </is>
      </c>
      <c r="B758" s="1" t="n">
        <v>45253</v>
      </c>
      <c r="C758" s="1" t="n">
        <v>45757</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59809-2023</t>
        </is>
      </c>
      <c r="B759" s="1" t="n">
        <v>45254</v>
      </c>
      <c r="C759" s="1" t="n">
        <v>45757</v>
      </c>
      <c r="D759" t="inlineStr">
        <is>
          <t>DALARNAS LÄN</t>
        </is>
      </c>
      <c r="E759" t="inlineStr">
        <is>
          <t>LEKSAND</t>
        </is>
      </c>
      <c r="G759" t="n">
        <v>3.9</v>
      </c>
      <c r="H759" t="n">
        <v>0</v>
      </c>
      <c r="I759" t="n">
        <v>0</v>
      </c>
      <c r="J759" t="n">
        <v>0</v>
      </c>
      <c r="K759" t="n">
        <v>0</v>
      </c>
      <c r="L759" t="n">
        <v>0</v>
      </c>
      <c r="M759" t="n">
        <v>0</v>
      </c>
      <c r="N759" t="n">
        <v>0</v>
      </c>
      <c r="O759" t="n">
        <v>0</v>
      </c>
      <c r="P759" t="n">
        <v>0</v>
      </c>
      <c r="Q759" t="n">
        <v>0</v>
      </c>
      <c r="R759" s="2" t="inlineStr"/>
    </row>
    <row r="760" ht="15" customHeight="1">
      <c r="A760" t="inlineStr">
        <is>
          <t>A 59803-2023</t>
        </is>
      </c>
      <c r="B760" s="1" t="n">
        <v>45254</v>
      </c>
      <c r="C760" s="1" t="n">
        <v>45757</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59826-2023</t>
        </is>
      </c>
      <c r="B761" s="1" t="n">
        <v>45254</v>
      </c>
      <c r="C761" s="1" t="n">
        <v>45757</v>
      </c>
      <c r="D761" t="inlineStr">
        <is>
          <t>DALARNAS LÄN</t>
        </is>
      </c>
      <c r="E761" t="inlineStr">
        <is>
          <t>LEKSAND</t>
        </is>
      </c>
      <c r="G761" t="n">
        <v>1.1</v>
      </c>
      <c r="H761" t="n">
        <v>0</v>
      </c>
      <c r="I761" t="n">
        <v>0</v>
      </c>
      <c r="J761" t="n">
        <v>0</v>
      </c>
      <c r="K761" t="n">
        <v>0</v>
      </c>
      <c r="L761" t="n">
        <v>0</v>
      </c>
      <c r="M761" t="n">
        <v>0</v>
      </c>
      <c r="N761" t="n">
        <v>0</v>
      </c>
      <c r="O761" t="n">
        <v>0</v>
      </c>
      <c r="P761" t="n">
        <v>0</v>
      </c>
      <c r="Q761" t="n">
        <v>0</v>
      </c>
      <c r="R761" s="2" t="inlineStr"/>
    </row>
    <row r="762" ht="15" customHeight="1">
      <c r="A762" t="inlineStr">
        <is>
          <t>A 59673-2023</t>
        </is>
      </c>
      <c r="B762" s="1" t="n">
        <v>45255</v>
      </c>
      <c r="C762" s="1" t="n">
        <v>45757</v>
      </c>
      <c r="D762" t="inlineStr">
        <is>
          <t>DALARNAS LÄN</t>
        </is>
      </c>
      <c r="E762" t="inlineStr">
        <is>
          <t>LEKSAND</t>
        </is>
      </c>
      <c r="G762" t="n">
        <v>12.2</v>
      </c>
      <c r="H762" t="n">
        <v>0</v>
      </c>
      <c r="I762" t="n">
        <v>0</v>
      </c>
      <c r="J762" t="n">
        <v>0</v>
      </c>
      <c r="K762" t="n">
        <v>0</v>
      </c>
      <c r="L762" t="n">
        <v>0</v>
      </c>
      <c r="M762" t="n">
        <v>0</v>
      </c>
      <c r="N762" t="n">
        <v>0</v>
      </c>
      <c r="O762" t="n">
        <v>0</v>
      </c>
      <c r="P762" t="n">
        <v>0</v>
      </c>
      <c r="Q762" t="n">
        <v>0</v>
      </c>
      <c r="R762" s="2" t="inlineStr"/>
    </row>
    <row r="763" ht="15" customHeight="1">
      <c r="A763" t="inlineStr">
        <is>
          <t>A 60042-2023</t>
        </is>
      </c>
      <c r="B763" s="1" t="n">
        <v>45256</v>
      </c>
      <c r="C763" s="1" t="n">
        <v>45757</v>
      </c>
      <c r="D763" t="inlineStr">
        <is>
          <t>DALARNAS LÄN</t>
        </is>
      </c>
      <c r="E763" t="inlineStr">
        <is>
          <t>LEKSAND</t>
        </is>
      </c>
      <c r="G763" t="n">
        <v>2</v>
      </c>
      <c r="H763" t="n">
        <v>0</v>
      </c>
      <c r="I763" t="n">
        <v>0</v>
      </c>
      <c r="J763" t="n">
        <v>0</v>
      </c>
      <c r="K763" t="n">
        <v>0</v>
      </c>
      <c r="L763" t="n">
        <v>0</v>
      </c>
      <c r="M763" t="n">
        <v>0</v>
      </c>
      <c r="N763" t="n">
        <v>0</v>
      </c>
      <c r="O763" t="n">
        <v>0</v>
      </c>
      <c r="P763" t="n">
        <v>0</v>
      </c>
      <c r="Q763" t="n">
        <v>0</v>
      </c>
      <c r="R763" s="2" t="inlineStr"/>
    </row>
    <row r="764" ht="15" customHeight="1">
      <c r="A764" t="inlineStr">
        <is>
          <t>A 60040-2023</t>
        </is>
      </c>
      <c r="B764" s="1" t="n">
        <v>45256</v>
      </c>
      <c r="C764" s="1" t="n">
        <v>45757</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59718-2023</t>
        </is>
      </c>
      <c r="B765" s="1" t="n">
        <v>45257</v>
      </c>
      <c r="C765" s="1" t="n">
        <v>45757</v>
      </c>
      <c r="D765" t="inlineStr">
        <is>
          <t>DALARNAS LÄN</t>
        </is>
      </c>
      <c r="E765" t="inlineStr">
        <is>
          <t>LEKSAND</t>
        </is>
      </c>
      <c r="G765" t="n">
        <v>2.2</v>
      </c>
      <c r="H765" t="n">
        <v>0</v>
      </c>
      <c r="I765" t="n">
        <v>0</v>
      </c>
      <c r="J765" t="n">
        <v>0</v>
      </c>
      <c r="K765" t="n">
        <v>0</v>
      </c>
      <c r="L765" t="n">
        <v>0</v>
      </c>
      <c r="M765" t="n">
        <v>0</v>
      </c>
      <c r="N765" t="n">
        <v>0</v>
      </c>
      <c r="O765" t="n">
        <v>0</v>
      </c>
      <c r="P765" t="n">
        <v>0</v>
      </c>
      <c r="Q765" t="n">
        <v>0</v>
      </c>
      <c r="R765" s="2" t="inlineStr"/>
    </row>
    <row r="766" ht="15" customHeight="1">
      <c r="A766" t="inlineStr">
        <is>
          <t>A 59763-2023</t>
        </is>
      </c>
      <c r="B766" s="1" t="n">
        <v>45257</v>
      </c>
      <c r="C766" s="1" t="n">
        <v>45757</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59859-2023</t>
        </is>
      </c>
      <c r="B767" s="1" t="n">
        <v>45257</v>
      </c>
      <c r="C767" s="1" t="n">
        <v>45757</v>
      </c>
      <c r="D767" t="inlineStr">
        <is>
          <t>DALARNAS LÄN</t>
        </is>
      </c>
      <c r="E767" t="inlineStr">
        <is>
          <t>LEKSAND</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60024-2023</t>
        </is>
      </c>
      <c r="B768" s="1" t="n">
        <v>45258</v>
      </c>
      <c r="C768" s="1" t="n">
        <v>45757</v>
      </c>
      <c r="D768" t="inlineStr">
        <is>
          <t>DALARNAS LÄN</t>
        </is>
      </c>
      <c r="E768" t="inlineStr">
        <is>
          <t>LEKSAND</t>
        </is>
      </c>
      <c r="G768" t="n">
        <v>4.2</v>
      </c>
      <c r="H768" t="n">
        <v>0</v>
      </c>
      <c r="I768" t="n">
        <v>0</v>
      </c>
      <c r="J768" t="n">
        <v>0</v>
      </c>
      <c r="K768" t="n">
        <v>0</v>
      </c>
      <c r="L768" t="n">
        <v>0</v>
      </c>
      <c r="M768" t="n">
        <v>0</v>
      </c>
      <c r="N768" t="n">
        <v>0</v>
      </c>
      <c r="O768" t="n">
        <v>0</v>
      </c>
      <c r="P768" t="n">
        <v>0</v>
      </c>
      <c r="Q768" t="n">
        <v>0</v>
      </c>
      <c r="R768" s="2" t="inlineStr"/>
    </row>
    <row r="769" ht="15" customHeight="1">
      <c r="A769" t="inlineStr">
        <is>
          <t>A 60028-2023</t>
        </is>
      </c>
      <c r="B769" s="1" t="n">
        <v>45258</v>
      </c>
      <c r="C769" s="1" t="n">
        <v>45757</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60044-2023</t>
        </is>
      </c>
      <c r="B770" s="1" t="n">
        <v>45258</v>
      </c>
      <c r="C770" s="1" t="n">
        <v>45757</v>
      </c>
      <c r="D770" t="inlineStr">
        <is>
          <t>DALARNAS LÄN</t>
        </is>
      </c>
      <c r="E770" t="inlineStr">
        <is>
          <t>LEKSAND</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60080-2023</t>
        </is>
      </c>
      <c r="B771" s="1" t="n">
        <v>45258</v>
      </c>
      <c r="C771" s="1" t="n">
        <v>45757</v>
      </c>
      <c r="D771" t="inlineStr">
        <is>
          <t>DALARNAS LÄN</t>
        </is>
      </c>
      <c r="E771" t="inlineStr">
        <is>
          <t>LEKSAND</t>
        </is>
      </c>
      <c r="G771" t="n">
        <v>2.7</v>
      </c>
      <c r="H771" t="n">
        <v>0</v>
      </c>
      <c r="I771" t="n">
        <v>0</v>
      </c>
      <c r="J771" t="n">
        <v>0</v>
      </c>
      <c r="K771" t="n">
        <v>0</v>
      </c>
      <c r="L771" t="n">
        <v>0</v>
      </c>
      <c r="M771" t="n">
        <v>0</v>
      </c>
      <c r="N771" t="n">
        <v>0</v>
      </c>
      <c r="O771" t="n">
        <v>0</v>
      </c>
      <c r="P771" t="n">
        <v>0</v>
      </c>
      <c r="Q771" t="n">
        <v>0</v>
      </c>
      <c r="R771" s="2" t="inlineStr"/>
    </row>
    <row r="772" ht="15" customHeight="1">
      <c r="A772" t="inlineStr">
        <is>
          <t>A 60045-2023</t>
        </is>
      </c>
      <c r="B772" s="1" t="n">
        <v>45258</v>
      </c>
      <c r="C772" s="1" t="n">
        <v>45757</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60120-2023</t>
        </is>
      </c>
      <c r="B773" s="1" t="n">
        <v>45258</v>
      </c>
      <c r="C773" s="1" t="n">
        <v>45757</v>
      </c>
      <c r="D773" t="inlineStr">
        <is>
          <t>DALARNAS LÄN</t>
        </is>
      </c>
      <c r="E773" t="inlineStr">
        <is>
          <t>LEKSAND</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60129-2023</t>
        </is>
      </c>
      <c r="B774" s="1" t="n">
        <v>45258</v>
      </c>
      <c r="C774" s="1" t="n">
        <v>45757</v>
      </c>
      <c r="D774" t="inlineStr">
        <is>
          <t>DALARNAS LÄN</t>
        </is>
      </c>
      <c r="E774" t="inlineStr">
        <is>
          <t>LEKSAND</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60189-2023</t>
        </is>
      </c>
      <c r="B775" s="1" t="n">
        <v>45258</v>
      </c>
      <c r="C775" s="1" t="n">
        <v>45757</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60310-2023</t>
        </is>
      </c>
      <c r="B776" s="1" t="n">
        <v>45258</v>
      </c>
      <c r="C776" s="1" t="n">
        <v>45757</v>
      </c>
      <c r="D776" t="inlineStr">
        <is>
          <t>DALARNAS LÄN</t>
        </is>
      </c>
      <c r="E776" t="inlineStr">
        <is>
          <t>LEKSAND</t>
        </is>
      </c>
      <c r="G776" t="n">
        <v>4.9</v>
      </c>
      <c r="H776" t="n">
        <v>0</v>
      </c>
      <c r="I776" t="n">
        <v>0</v>
      </c>
      <c r="J776" t="n">
        <v>0</v>
      </c>
      <c r="K776" t="n">
        <v>0</v>
      </c>
      <c r="L776" t="n">
        <v>0</v>
      </c>
      <c r="M776" t="n">
        <v>0</v>
      </c>
      <c r="N776" t="n">
        <v>0</v>
      </c>
      <c r="O776" t="n">
        <v>0</v>
      </c>
      <c r="P776" t="n">
        <v>0</v>
      </c>
      <c r="Q776" t="n">
        <v>0</v>
      </c>
      <c r="R776" s="2" t="inlineStr"/>
    </row>
    <row r="777" ht="15" customHeight="1">
      <c r="A777" t="inlineStr">
        <is>
          <t>A 60309-2023</t>
        </is>
      </c>
      <c r="B777" s="1" t="n">
        <v>45258</v>
      </c>
      <c r="C777" s="1" t="n">
        <v>45757</v>
      </c>
      <c r="D777" t="inlineStr">
        <is>
          <t>DALARNAS LÄN</t>
        </is>
      </c>
      <c r="E777" t="inlineStr">
        <is>
          <t>LEKSAND</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60315-2023</t>
        </is>
      </c>
      <c r="B778" s="1" t="n">
        <v>45258</v>
      </c>
      <c r="C778" s="1" t="n">
        <v>45757</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60546-2023</t>
        </is>
      </c>
      <c r="B779" s="1" t="n">
        <v>45259</v>
      </c>
      <c r="C779" s="1" t="n">
        <v>45757</v>
      </c>
      <c r="D779" t="inlineStr">
        <is>
          <t>DALARNAS LÄN</t>
        </is>
      </c>
      <c r="E779" t="inlineStr">
        <is>
          <t>LEKSAND</t>
        </is>
      </c>
      <c r="G779" t="n">
        <v>6.6</v>
      </c>
      <c r="H779" t="n">
        <v>0</v>
      </c>
      <c r="I779" t="n">
        <v>0</v>
      </c>
      <c r="J779" t="n">
        <v>0</v>
      </c>
      <c r="K779" t="n">
        <v>0</v>
      </c>
      <c r="L779" t="n">
        <v>0</v>
      </c>
      <c r="M779" t="n">
        <v>0</v>
      </c>
      <c r="N779" t="n">
        <v>0</v>
      </c>
      <c r="O779" t="n">
        <v>0</v>
      </c>
      <c r="P779" t="n">
        <v>0</v>
      </c>
      <c r="Q779" t="n">
        <v>0</v>
      </c>
      <c r="R779" s="2" t="inlineStr"/>
    </row>
    <row r="780" ht="15" customHeight="1">
      <c r="A780" t="inlineStr">
        <is>
          <t>A 60878-2023</t>
        </is>
      </c>
      <c r="B780" s="1" t="n">
        <v>45259</v>
      </c>
      <c r="C780" s="1" t="n">
        <v>45757</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60692-2023</t>
        </is>
      </c>
      <c r="B781" s="1" t="n">
        <v>45260</v>
      </c>
      <c r="C781" s="1" t="n">
        <v>45757</v>
      </c>
      <c r="D781" t="inlineStr">
        <is>
          <t>DALARNAS LÄN</t>
        </is>
      </c>
      <c r="E781" t="inlineStr">
        <is>
          <t>LEKSAND</t>
        </is>
      </c>
      <c r="G781" t="n">
        <v>1.2</v>
      </c>
      <c r="H781" t="n">
        <v>0</v>
      </c>
      <c r="I781" t="n">
        <v>0</v>
      </c>
      <c r="J781" t="n">
        <v>0</v>
      </c>
      <c r="K781" t="n">
        <v>0</v>
      </c>
      <c r="L781" t="n">
        <v>0</v>
      </c>
      <c r="M781" t="n">
        <v>0</v>
      </c>
      <c r="N781" t="n">
        <v>0</v>
      </c>
      <c r="O781" t="n">
        <v>0</v>
      </c>
      <c r="P781" t="n">
        <v>0</v>
      </c>
      <c r="Q781" t="n">
        <v>0</v>
      </c>
      <c r="R781" s="2" t="inlineStr"/>
    </row>
    <row r="782" ht="15" customHeight="1">
      <c r="A782" t="inlineStr">
        <is>
          <t>A 60755-2023</t>
        </is>
      </c>
      <c r="B782" s="1" t="n">
        <v>45260</v>
      </c>
      <c r="C782" s="1" t="n">
        <v>45757</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61208-2023</t>
        </is>
      </c>
      <c r="B783" s="1" t="n">
        <v>45260</v>
      </c>
      <c r="C783" s="1" t="n">
        <v>45757</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61244-2023</t>
        </is>
      </c>
      <c r="B784" s="1" t="n">
        <v>45260</v>
      </c>
      <c r="C784" s="1" t="n">
        <v>45757</v>
      </c>
      <c r="D784" t="inlineStr">
        <is>
          <t>DALARNAS LÄN</t>
        </is>
      </c>
      <c r="E784" t="inlineStr">
        <is>
          <t>LEKSAND</t>
        </is>
      </c>
      <c r="G784" t="n">
        <v>1.4</v>
      </c>
      <c r="H784" t="n">
        <v>0</v>
      </c>
      <c r="I784" t="n">
        <v>0</v>
      </c>
      <c r="J784" t="n">
        <v>0</v>
      </c>
      <c r="K784" t="n">
        <v>0</v>
      </c>
      <c r="L784" t="n">
        <v>0</v>
      </c>
      <c r="M784" t="n">
        <v>0</v>
      </c>
      <c r="N784" t="n">
        <v>0</v>
      </c>
      <c r="O784" t="n">
        <v>0</v>
      </c>
      <c r="P784" t="n">
        <v>0</v>
      </c>
      <c r="Q784" t="n">
        <v>0</v>
      </c>
      <c r="R784" s="2" t="inlineStr"/>
    </row>
    <row r="785" ht="15" customHeight="1">
      <c r="A785" t="inlineStr">
        <is>
          <t>A 60873-2023</t>
        </is>
      </c>
      <c r="B785" s="1" t="n">
        <v>45261</v>
      </c>
      <c r="C785" s="1" t="n">
        <v>45757</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61052-2023</t>
        </is>
      </c>
      <c r="B786" s="1" t="n">
        <v>45261</v>
      </c>
      <c r="C786" s="1" t="n">
        <v>45757</v>
      </c>
      <c r="D786" t="inlineStr">
        <is>
          <t>DALARNAS LÄN</t>
        </is>
      </c>
      <c r="E786" t="inlineStr">
        <is>
          <t>LEKSAND</t>
        </is>
      </c>
      <c r="G786" t="n">
        <v>8.6</v>
      </c>
      <c r="H786" t="n">
        <v>0</v>
      </c>
      <c r="I786" t="n">
        <v>0</v>
      </c>
      <c r="J786" t="n">
        <v>0</v>
      </c>
      <c r="K786" t="n">
        <v>0</v>
      </c>
      <c r="L786" t="n">
        <v>0</v>
      </c>
      <c r="M786" t="n">
        <v>0</v>
      </c>
      <c r="N786" t="n">
        <v>0</v>
      </c>
      <c r="O786" t="n">
        <v>0</v>
      </c>
      <c r="P786" t="n">
        <v>0</v>
      </c>
      <c r="Q786" t="n">
        <v>0</v>
      </c>
      <c r="R786" s="2" t="inlineStr"/>
    </row>
    <row r="787" ht="15" customHeight="1">
      <c r="A787" t="inlineStr">
        <is>
          <t>A 61056-2023</t>
        </is>
      </c>
      <c r="B787" s="1" t="n">
        <v>45261</v>
      </c>
      <c r="C787" s="1" t="n">
        <v>45757</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61054-2023</t>
        </is>
      </c>
      <c r="B788" s="1" t="n">
        <v>45261</v>
      </c>
      <c r="C788" s="1" t="n">
        <v>45757</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61055-2023</t>
        </is>
      </c>
      <c r="B789" s="1" t="n">
        <v>45261</v>
      </c>
      <c r="C789" s="1" t="n">
        <v>45757</v>
      </c>
      <c r="D789" t="inlineStr">
        <is>
          <t>DALARNAS LÄN</t>
        </is>
      </c>
      <c r="E789" t="inlineStr">
        <is>
          <t>LEKSAND</t>
        </is>
      </c>
      <c r="G789" t="n">
        <v>0.3</v>
      </c>
      <c r="H789" t="n">
        <v>0</v>
      </c>
      <c r="I789" t="n">
        <v>0</v>
      </c>
      <c r="J789" t="n">
        <v>0</v>
      </c>
      <c r="K789" t="n">
        <v>0</v>
      </c>
      <c r="L789" t="n">
        <v>0</v>
      </c>
      <c r="M789" t="n">
        <v>0</v>
      </c>
      <c r="N789" t="n">
        <v>0</v>
      </c>
      <c r="O789" t="n">
        <v>0</v>
      </c>
      <c r="P789" t="n">
        <v>0</v>
      </c>
      <c r="Q789" t="n">
        <v>0</v>
      </c>
      <c r="R789" s="2" t="inlineStr"/>
    </row>
    <row r="790" ht="15" customHeight="1">
      <c r="A790" t="inlineStr">
        <is>
          <t>A 61252-2023</t>
        </is>
      </c>
      <c r="B790" s="1" t="n">
        <v>45261</v>
      </c>
      <c r="C790" s="1" t="n">
        <v>45757</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61617-2023</t>
        </is>
      </c>
      <c r="B791" s="1" t="n">
        <v>45261</v>
      </c>
      <c r="C791" s="1" t="n">
        <v>45757</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61637-2023</t>
        </is>
      </c>
      <c r="B792" s="1" t="n">
        <v>45261</v>
      </c>
      <c r="C792" s="1" t="n">
        <v>45757</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61614-2023</t>
        </is>
      </c>
      <c r="B793" s="1" t="n">
        <v>45261</v>
      </c>
      <c r="C793" s="1" t="n">
        <v>45757</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61627-2023</t>
        </is>
      </c>
      <c r="B794" s="1" t="n">
        <v>45261</v>
      </c>
      <c r="C794" s="1" t="n">
        <v>45757</v>
      </c>
      <c r="D794" t="inlineStr">
        <is>
          <t>DALARNAS LÄN</t>
        </is>
      </c>
      <c r="E794" t="inlineStr">
        <is>
          <t>LEKSAND</t>
        </is>
      </c>
      <c r="G794" t="n">
        <v>1.4</v>
      </c>
      <c r="H794" t="n">
        <v>0</v>
      </c>
      <c r="I794" t="n">
        <v>0</v>
      </c>
      <c r="J794" t="n">
        <v>0</v>
      </c>
      <c r="K794" t="n">
        <v>0</v>
      </c>
      <c r="L794" t="n">
        <v>0</v>
      </c>
      <c r="M794" t="n">
        <v>0</v>
      </c>
      <c r="N794" t="n">
        <v>0</v>
      </c>
      <c r="O794" t="n">
        <v>0</v>
      </c>
      <c r="P794" t="n">
        <v>0</v>
      </c>
      <c r="Q794" t="n">
        <v>0</v>
      </c>
      <c r="R794" s="2" t="inlineStr"/>
    </row>
    <row r="795" ht="15" customHeight="1">
      <c r="A795" t="inlineStr">
        <is>
          <t>A 61225-2023</t>
        </is>
      </c>
      <c r="B795" s="1" t="n">
        <v>45264</v>
      </c>
      <c r="C795" s="1" t="n">
        <v>45757</v>
      </c>
      <c r="D795" t="inlineStr">
        <is>
          <t>DALARNAS LÄN</t>
        </is>
      </c>
      <c r="E795" t="inlineStr">
        <is>
          <t>LEKSAND</t>
        </is>
      </c>
      <c r="G795" t="n">
        <v>7</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45757</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61652-2023</t>
        </is>
      </c>
      <c r="B797" s="1" t="n">
        <v>45265</v>
      </c>
      <c r="C797" s="1" t="n">
        <v>45757</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61598-2023</t>
        </is>
      </c>
      <c r="B798" s="1" t="n">
        <v>45265</v>
      </c>
      <c r="C798" s="1" t="n">
        <v>45757</v>
      </c>
      <c r="D798" t="inlineStr">
        <is>
          <t>DALARNAS LÄN</t>
        </is>
      </c>
      <c r="E798" t="inlineStr">
        <is>
          <t>LEKSAND</t>
        </is>
      </c>
      <c r="F798" t="inlineStr">
        <is>
          <t>Bergvik skog väst AB</t>
        </is>
      </c>
      <c r="G798" t="n">
        <v>5.8</v>
      </c>
      <c r="H798" t="n">
        <v>0</v>
      </c>
      <c r="I798" t="n">
        <v>0</v>
      </c>
      <c r="J798" t="n">
        <v>0</v>
      </c>
      <c r="K798" t="n">
        <v>0</v>
      </c>
      <c r="L798" t="n">
        <v>0</v>
      </c>
      <c r="M798" t="n">
        <v>0</v>
      </c>
      <c r="N798" t="n">
        <v>0</v>
      </c>
      <c r="O798" t="n">
        <v>0</v>
      </c>
      <c r="P798" t="n">
        <v>0</v>
      </c>
      <c r="Q798" t="n">
        <v>0</v>
      </c>
      <c r="R798" s="2" t="inlineStr"/>
    </row>
    <row r="799" ht="15" customHeight="1">
      <c r="A799" t="inlineStr">
        <is>
          <t>A 61633-2023</t>
        </is>
      </c>
      <c r="B799" s="1" t="n">
        <v>45265</v>
      </c>
      <c r="C799" s="1" t="n">
        <v>45757</v>
      </c>
      <c r="D799" t="inlineStr">
        <is>
          <t>DALARNAS LÄN</t>
        </is>
      </c>
      <c r="E799" t="inlineStr">
        <is>
          <t>LEKSAND</t>
        </is>
      </c>
      <c r="G799" t="n">
        <v>5.3</v>
      </c>
      <c r="H799" t="n">
        <v>0</v>
      </c>
      <c r="I799" t="n">
        <v>0</v>
      </c>
      <c r="J799" t="n">
        <v>0</v>
      </c>
      <c r="K799" t="n">
        <v>0</v>
      </c>
      <c r="L799" t="n">
        <v>0</v>
      </c>
      <c r="M799" t="n">
        <v>0</v>
      </c>
      <c r="N799" t="n">
        <v>0</v>
      </c>
      <c r="O799" t="n">
        <v>0</v>
      </c>
      <c r="P799" t="n">
        <v>0</v>
      </c>
      <c r="Q799" t="n">
        <v>0</v>
      </c>
      <c r="R799" s="2" t="inlineStr"/>
    </row>
    <row r="800" ht="15" customHeight="1">
      <c r="A800" t="inlineStr">
        <is>
          <t>A 61910-2023</t>
        </is>
      </c>
      <c r="B800" s="1" t="n">
        <v>45266</v>
      </c>
      <c r="C800" s="1" t="n">
        <v>45757</v>
      </c>
      <c r="D800" t="inlineStr">
        <is>
          <t>DALARNAS LÄN</t>
        </is>
      </c>
      <c r="E800" t="inlineStr">
        <is>
          <t>LEKSAND</t>
        </is>
      </c>
      <c r="G800" t="n">
        <v>7.3</v>
      </c>
      <c r="H800" t="n">
        <v>0</v>
      </c>
      <c r="I800" t="n">
        <v>0</v>
      </c>
      <c r="J800" t="n">
        <v>0</v>
      </c>
      <c r="K800" t="n">
        <v>0</v>
      </c>
      <c r="L800" t="n">
        <v>0</v>
      </c>
      <c r="M800" t="n">
        <v>0</v>
      </c>
      <c r="N800" t="n">
        <v>0</v>
      </c>
      <c r="O800" t="n">
        <v>0</v>
      </c>
      <c r="P800" t="n">
        <v>0</v>
      </c>
      <c r="Q800" t="n">
        <v>0</v>
      </c>
      <c r="R800" s="2" t="inlineStr"/>
    </row>
    <row r="801" ht="15" customHeight="1">
      <c r="A801" t="inlineStr">
        <is>
          <t>A 61933-2023</t>
        </is>
      </c>
      <c r="B801" s="1" t="n">
        <v>45266</v>
      </c>
      <c r="C801" s="1" t="n">
        <v>45757</v>
      </c>
      <c r="D801" t="inlineStr">
        <is>
          <t>DALARNAS LÄN</t>
        </is>
      </c>
      <c r="E801" t="inlineStr">
        <is>
          <t>LEKSAND</t>
        </is>
      </c>
      <c r="G801" t="n">
        <v>0.2</v>
      </c>
      <c r="H801" t="n">
        <v>0</v>
      </c>
      <c r="I801" t="n">
        <v>0</v>
      </c>
      <c r="J801" t="n">
        <v>0</v>
      </c>
      <c r="K801" t="n">
        <v>0</v>
      </c>
      <c r="L801" t="n">
        <v>0</v>
      </c>
      <c r="M801" t="n">
        <v>0</v>
      </c>
      <c r="N801" t="n">
        <v>0</v>
      </c>
      <c r="O801" t="n">
        <v>0</v>
      </c>
      <c r="P801" t="n">
        <v>0</v>
      </c>
      <c r="Q801" t="n">
        <v>0</v>
      </c>
      <c r="R801" s="2" t="inlineStr"/>
    </row>
    <row r="802" ht="15" customHeight="1">
      <c r="A802" t="inlineStr">
        <is>
          <t>A 61953-2023</t>
        </is>
      </c>
      <c r="B802" s="1" t="n">
        <v>45266</v>
      </c>
      <c r="C802" s="1" t="n">
        <v>45757</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61957-2023</t>
        </is>
      </c>
      <c r="B803" s="1" t="n">
        <v>45266</v>
      </c>
      <c r="C803" s="1" t="n">
        <v>45757</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61938-2023</t>
        </is>
      </c>
      <c r="B804" s="1" t="n">
        <v>45266</v>
      </c>
      <c r="C804" s="1" t="n">
        <v>45757</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61950-2023</t>
        </is>
      </c>
      <c r="B805" s="1" t="n">
        <v>45266</v>
      </c>
      <c r="C805" s="1" t="n">
        <v>45757</v>
      </c>
      <c r="D805" t="inlineStr">
        <is>
          <t>DALARNAS LÄN</t>
        </is>
      </c>
      <c r="E805" t="inlineStr">
        <is>
          <t>LEKSAND</t>
        </is>
      </c>
      <c r="G805" t="n">
        <v>0.8</v>
      </c>
      <c r="H805" t="n">
        <v>0</v>
      </c>
      <c r="I805" t="n">
        <v>0</v>
      </c>
      <c r="J805" t="n">
        <v>0</v>
      </c>
      <c r="K805" t="n">
        <v>0</v>
      </c>
      <c r="L805" t="n">
        <v>0</v>
      </c>
      <c r="M805" t="n">
        <v>0</v>
      </c>
      <c r="N805" t="n">
        <v>0</v>
      </c>
      <c r="O805" t="n">
        <v>0</v>
      </c>
      <c r="P805" t="n">
        <v>0</v>
      </c>
      <c r="Q805" t="n">
        <v>0</v>
      </c>
      <c r="R805" s="2" t="inlineStr"/>
    </row>
    <row r="806" ht="15" customHeight="1">
      <c r="A806" t="inlineStr">
        <is>
          <t>A 62306-2023</t>
        </is>
      </c>
      <c r="B806" s="1" t="n">
        <v>45266</v>
      </c>
      <c r="C806" s="1" t="n">
        <v>45757</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62307-2023</t>
        </is>
      </c>
      <c r="B807" s="1" t="n">
        <v>45266</v>
      </c>
      <c r="C807" s="1" t="n">
        <v>45757</v>
      </c>
      <c r="D807" t="inlineStr">
        <is>
          <t>DALARNAS LÄN</t>
        </is>
      </c>
      <c r="E807" t="inlineStr">
        <is>
          <t>LEKSAND</t>
        </is>
      </c>
      <c r="G807" t="n">
        <v>3.9</v>
      </c>
      <c r="H807" t="n">
        <v>0</v>
      </c>
      <c r="I807" t="n">
        <v>0</v>
      </c>
      <c r="J807" t="n">
        <v>0</v>
      </c>
      <c r="K807" t="n">
        <v>0</v>
      </c>
      <c r="L807" t="n">
        <v>0</v>
      </c>
      <c r="M807" t="n">
        <v>0</v>
      </c>
      <c r="N807" t="n">
        <v>0</v>
      </c>
      <c r="O807" t="n">
        <v>0</v>
      </c>
      <c r="P807" t="n">
        <v>0</v>
      </c>
      <c r="Q807" t="n">
        <v>0</v>
      </c>
      <c r="R807" s="2" t="inlineStr"/>
    </row>
    <row r="808" ht="15" customHeight="1">
      <c r="A808" t="inlineStr">
        <is>
          <t>A 62133-2023</t>
        </is>
      </c>
      <c r="B808" s="1" t="n">
        <v>45267</v>
      </c>
      <c r="C808" s="1" t="n">
        <v>45757</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62295-2023</t>
        </is>
      </c>
      <c r="B809" s="1" t="n">
        <v>45267</v>
      </c>
      <c r="C809" s="1" t="n">
        <v>45757</v>
      </c>
      <c r="D809" t="inlineStr">
        <is>
          <t>DALARNAS LÄN</t>
        </is>
      </c>
      <c r="E809" t="inlineStr">
        <is>
          <t>LEKSAND</t>
        </is>
      </c>
      <c r="G809" t="n">
        <v>2.5</v>
      </c>
      <c r="H809" t="n">
        <v>0</v>
      </c>
      <c r="I809" t="n">
        <v>0</v>
      </c>
      <c r="J809" t="n">
        <v>0</v>
      </c>
      <c r="K809" t="n">
        <v>0</v>
      </c>
      <c r="L809" t="n">
        <v>0</v>
      </c>
      <c r="M809" t="n">
        <v>0</v>
      </c>
      <c r="N809" t="n">
        <v>0</v>
      </c>
      <c r="O809" t="n">
        <v>0</v>
      </c>
      <c r="P809" t="n">
        <v>0</v>
      </c>
      <c r="Q809" t="n">
        <v>0</v>
      </c>
      <c r="R809" s="2" t="inlineStr"/>
    </row>
    <row r="810" ht="15" customHeight="1">
      <c r="A810" t="inlineStr">
        <is>
          <t>A 62305-2023</t>
        </is>
      </c>
      <c r="B810" s="1" t="n">
        <v>45267</v>
      </c>
      <c r="C810" s="1" t="n">
        <v>45757</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62587-2023</t>
        </is>
      </c>
      <c r="B811" s="1" t="n">
        <v>45270</v>
      </c>
      <c r="C811" s="1" t="n">
        <v>45757</v>
      </c>
      <c r="D811" t="inlineStr">
        <is>
          <t>DALARNAS LÄN</t>
        </is>
      </c>
      <c r="E811" t="inlineStr">
        <is>
          <t>LEKSAND</t>
        </is>
      </c>
      <c r="G811" t="n">
        <v>4.8</v>
      </c>
      <c r="H811" t="n">
        <v>0</v>
      </c>
      <c r="I811" t="n">
        <v>0</v>
      </c>
      <c r="J811" t="n">
        <v>0</v>
      </c>
      <c r="K811" t="n">
        <v>0</v>
      </c>
      <c r="L811" t="n">
        <v>0</v>
      </c>
      <c r="M811" t="n">
        <v>0</v>
      </c>
      <c r="N811" t="n">
        <v>0</v>
      </c>
      <c r="O811" t="n">
        <v>0</v>
      </c>
      <c r="P811" t="n">
        <v>0</v>
      </c>
      <c r="Q811" t="n">
        <v>0</v>
      </c>
      <c r="R811" s="2" t="inlineStr"/>
    </row>
    <row r="812" ht="15" customHeight="1">
      <c r="A812" t="inlineStr">
        <is>
          <t>A 62863-2023</t>
        </is>
      </c>
      <c r="B812" s="1" t="n">
        <v>45272</v>
      </c>
      <c r="C812" s="1" t="n">
        <v>45757</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62993-2023</t>
        </is>
      </c>
      <c r="B813" s="1" t="n">
        <v>45272</v>
      </c>
      <c r="C813" s="1" t="n">
        <v>45757</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63105-2023</t>
        </is>
      </c>
      <c r="B814" s="1" t="n">
        <v>45273</v>
      </c>
      <c r="C814" s="1" t="n">
        <v>45757</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63107-2023</t>
        </is>
      </c>
      <c r="B815" s="1" t="n">
        <v>45273</v>
      </c>
      <c r="C815" s="1" t="n">
        <v>45757</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63514-2023</t>
        </is>
      </c>
      <c r="B816" s="1" t="n">
        <v>45274</v>
      </c>
      <c r="C816" s="1" t="n">
        <v>45757</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63513-2023</t>
        </is>
      </c>
      <c r="B817" s="1" t="n">
        <v>45274</v>
      </c>
      <c r="C817" s="1" t="n">
        <v>45757</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63544-2023</t>
        </is>
      </c>
      <c r="B818" s="1" t="n">
        <v>45275</v>
      </c>
      <c r="C818" s="1" t="n">
        <v>45757</v>
      </c>
      <c r="D818" t="inlineStr">
        <is>
          <t>DALARNAS LÄN</t>
        </is>
      </c>
      <c r="E818" t="inlineStr">
        <is>
          <t>LEKSAND</t>
        </is>
      </c>
      <c r="G818" t="n">
        <v>0.3</v>
      </c>
      <c r="H818" t="n">
        <v>0</v>
      </c>
      <c r="I818" t="n">
        <v>0</v>
      </c>
      <c r="J818" t="n">
        <v>0</v>
      </c>
      <c r="K818" t="n">
        <v>0</v>
      </c>
      <c r="L818" t="n">
        <v>0</v>
      </c>
      <c r="M818" t="n">
        <v>0</v>
      </c>
      <c r="N818" t="n">
        <v>0</v>
      </c>
      <c r="O818" t="n">
        <v>0</v>
      </c>
      <c r="P818" t="n">
        <v>0</v>
      </c>
      <c r="Q818" t="n">
        <v>0</v>
      </c>
      <c r="R818" s="2" t="inlineStr"/>
    </row>
    <row r="819" ht="15" customHeight="1">
      <c r="A819" t="inlineStr">
        <is>
          <t>A 63548-2023</t>
        </is>
      </c>
      <c r="B819" s="1" t="n">
        <v>45275</v>
      </c>
      <c r="C819" s="1" t="n">
        <v>45757</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64146-2023</t>
        </is>
      </c>
      <c r="B820" s="1" t="n">
        <v>45279</v>
      </c>
      <c r="C820" s="1" t="n">
        <v>45757</v>
      </c>
      <c r="D820" t="inlineStr">
        <is>
          <t>DALARNAS LÄN</t>
        </is>
      </c>
      <c r="E820" t="inlineStr">
        <is>
          <t>LEKSAND</t>
        </is>
      </c>
      <c r="G820" t="n">
        <v>4.3</v>
      </c>
      <c r="H820" t="n">
        <v>0</v>
      </c>
      <c r="I820" t="n">
        <v>0</v>
      </c>
      <c r="J820" t="n">
        <v>0</v>
      </c>
      <c r="K820" t="n">
        <v>0</v>
      </c>
      <c r="L820" t="n">
        <v>0</v>
      </c>
      <c r="M820" t="n">
        <v>0</v>
      </c>
      <c r="N820" t="n">
        <v>0</v>
      </c>
      <c r="O820" t="n">
        <v>0</v>
      </c>
      <c r="P820" t="n">
        <v>0</v>
      </c>
      <c r="Q820" t="n">
        <v>0</v>
      </c>
      <c r="R820" s="2" t="inlineStr"/>
    </row>
    <row r="821" ht="15" customHeight="1">
      <c r="A821" t="inlineStr">
        <is>
          <t>A 64418-2023</t>
        </is>
      </c>
      <c r="B821" s="1" t="n">
        <v>45280</v>
      </c>
      <c r="C821" s="1" t="n">
        <v>45757</v>
      </c>
      <c r="D821" t="inlineStr">
        <is>
          <t>DALARNAS LÄN</t>
        </is>
      </c>
      <c r="E821" t="inlineStr">
        <is>
          <t>LEKSAND</t>
        </is>
      </c>
      <c r="G821" t="n">
        <v>3.4</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45757</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64515-2023</t>
        </is>
      </c>
      <c r="B823" s="1" t="n">
        <v>45280</v>
      </c>
      <c r="C823" s="1" t="n">
        <v>45757</v>
      </c>
      <c r="D823" t="inlineStr">
        <is>
          <t>DALARNAS LÄN</t>
        </is>
      </c>
      <c r="E823" t="inlineStr">
        <is>
          <t>LEKSAND</t>
        </is>
      </c>
      <c r="G823" t="n">
        <v>9.1</v>
      </c>
      <c r="H823" t="n">
        <v>0</v>
      </c>
      <c r="I823" t="n">
        <v>0</v>
      </c>
      <c r="J823" t="n">
        <v>0</v>
      </c>
      <c r="K823" t="n">
        <v>0</v>
      </c>
      <c r="L823" t="n">
        <v>0</v>
      </c>
      <c r="M823" t="n">
        <v>0</v>
      </c>
      <c r="N823" t="n">
        <v>0</v>
      </c>
      <c r="O823" t="n">
        <v>0</v>
      </c>
      <c r="P823" t="n">
        <v>0</v>
      </c>
      <c r="Q823" t="n">
        <v>0</v>
      </c>
      <c r="R823" s="2" t="inlineStr"/>
    </row>
    <row r="824" ht="15" customHeight="1">
      <c r="A824" t="inlineStr">
        <is>
          <t>A 64677-2023</t>
        </is>
      </c>
      <c r="B824" s="1" t="n">
        <v>45281</v>
      </c>
      <c r="C824" s="1" t="n">
        <v>45757</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64612-2023</t>
        </is>
      </c>
      <c r="B825" s="1" t="n">
        <v>45281</v>
      </c>
      <c r="C825" s="1" t="n">
        <v>45757</v>
      </c>
      <c r="D825" t="inlineStr">
        <is>
          <t>DALARNAS LÄN</t>
        </is>
      </c>
      <c r="E825" t="inlineStr">
        <is>
          <t>LEKSAND</t>
        </is>
      </c>
      <c r="G825" t="n">
        <v>3.6</v>
      </c>
      <c r="H825" t="n">
        <v>0</v>
      </c>
      <c r="I825" t="n">
        <v>0</v>
      </c>
      <c r="J825" t="n">
        <v>0</v>
      </c>
      <c r="K825" t="n">
        <v>0</v>
      </c>
      <c r="L825" t="n">
        <v>0</v>
      </c>
      <c r="M825" t="n">
        <v>0</v>
      </c>
      <c r="N825" t="n">
        <v>0</v>
      </c>
      <c r="O825" t="n">
        <v>0</v>
      </c>
      <c r="P825" t="n">
        <v>0</v>
      </c>
      <c r="Q825" t="n">
        <v>0</v>
      </c>
      <c r="R825" s="2" t="inlineStr"/>
    </row>
    <row r="826" ht="15" customHeight="1">
      <c r="A826" t="inlineStr">
        <is>
          <t>A 64867-2023</t>
        </is>
      </c>
      <c r="B826" s="1" t="n">
        <v>45282</v>
      </c>
      <c r="C826" s="1" t="n">
        <v>45757</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64931-2023</t>
        </is>
      </c>
      <c r="B827" s="1" t="n">
        <v>45282</v>
      </c>
      <c r="C827" s="1" t="n">
        <v>45757</v>
      </c>
      <c r="D827" t="inlineStr">
        <is>
          <t>DALARNAS LÄN</t>
        </is>
      </c>
      <c r="E827" t="inlineStr">
        <is>
          <t>LEKSAND</t>
        </is>
      </c>
      <c r="G827" t="n">
        <v>6.3</v>
      </c>
      <c r="H827" t="n">
        <v>0</v>
      </c>
      <c r="I827" t="n">
        <v>0</v>
      </c>
      <c r="J827" t="n">
        <v>0</v>
      </c>
      <c r="K827" t="n">
        <v>0</v>
      </c>
      <c r="L827" t="n">
        <v>0</v>
      </c>
      <c r="M827" t="n">
        <v>0</v>
      </c>
      <c r="N827" t="n">
        <v>0</v>
      </c>
      <c r="O827" t="n">
        <v>0</v>
      </c>
      <c r="P827" t="n">
        <v>0</v>
      </c>
      <c r="Q827" t="n">
        <v>0</v>
      </c>
      <c r="R827" s="2" t="inlineStr"/>
    </row>
    <row r="828" ht="15" customHeight="1">
      <c r="A828" t="inlineStr">
        <is>
          <t>A 64933-2023</t>
        </is>
      </c>
      <c r="B828" s="1" t="n">
        <v>45282</v>
      </c>
      <c r="C828" s="1" t="n">
        <v>45757</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65047-2023</t>
        </is>
      </c>
      <c r="B829" s="1" t="n">
        <v>45283</v>
      </c>
      <c r="C829" s="1" t="n">
        <v>45757</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23-2024</t>
        </is>
      </c>
      <c r="B830" s="1" t="n">
        <v>45293</v>
      </c>
      <c r="C830" s="1" t="n">
        <v>45757</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32-2024</t>
        </is>
      </c>
      <c r="B831" s="1" t="n">
        <v>45293</v>
      </c>
      <c r="C831" s="1" t="n">
        <v>45757</v>
      </c>
      <c r="D831" t="inlineStr">
        <is>
          <t>DALARNAS LÄN</t>
        </is>
      </c>
      <c r="E831" t="inlineStr">
        <is>
          <t>LEKSAND</t>
        </is>
      </c>
      <c r="G831" t="n">
        <v>0.6</v>
      </c>
      <c r="H831" t="n">
        <v>0</v>
      </c>
      <c r="I831" t="n">
        <v>0</v>
      </c>
      <c r="J831" t="n">
        <v>0</v>
      </c>
      <c r="K831" t="n">
        <v>0</v>
      </c>
      <c r="L831" t="n">
        <v>0</v>
      </c>
      <c r="M831" t="n">
        <v>0</v>
      </c>
      <c r="N831" t="n">
        <v>0</v>
      </c>
      <c r="O831" t="n">
        <v>0</v>
      </c>
      <c r="P831" t="n">
        <v>0</v>
      </c>
      <c r="Q831" t="n">
        <v>0</v>
      </c>
      <c r="R831" s="2" t="inlineStr"/>
    </row>
    <row r="832" ht="15" customHeight="1">
      <c r="A832" t="inlineStr">
        <is>
          <t>A 121-2024</t>
        </is>
      </c>
      <c r="B832" s="1" t="n">
        <v>45294</v>
      </c>
      <c r="C832" s="1" t="n">
        <v>45757</v>
      </c>
      <c r="D832" t="inlineStr">
        <is>
          <t>DALARNAS LÄN</t>
        </is>
      </c>
      <c r="E832" t="inlineStr">
        <is>
          <t>LEKSAND</t>
        </is>
      </c>
      <c r="G832" t="n">
        <v>8.6</v>
      </c>
      <c r="H832" t="n">
        <v>0</v>
      </c>
      <c r="I832" t="n">
        <v>0</v>
      </c>
      <c r="J832" t="n">
        <v>0</v>
      </c>
      <c r="K832" t="n">
        <v>0</v>
      </c>
      <c r="L832" t="n">
        <v>0</v>
      </c>
      <c r="M832" t="n">
        <v>0</v>
      </c>
      <c r="N832" t="n">
        <v>0</v>
      </c>
      <c r="O832" t="n">
        <v>0</v>
      </c>
      <c r="P832" t="n">
        <v>0</v>
      </c>
      <c r="Q832" t="n">
        <v>0</v>
      </c>
      <c r="R832" s="2" t="inlineStr"/>
    </row>
    <row r="833" ht="15" customHeight="1">
      <c r="A833" t="inlineStr">
        <is>
          <t>A 402-2024</t>
        </is>
      </c>
      <c r="B833" s="1" t="n">
        <v>45296</v>
      </c>
      <c r="C833" s="1" t="n">
        <v>45757</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412-2024</t>
        </is>
      </c>
      <c r="B834" s="1" t="n">
        <v>45296</v>
      </c>
      <c r="C834" s="1" t="n">
        <v>45757</v>
      </c>
      <c r="D834" t="inlineStr">
        <is>
          <t>DALARNAS LÄN</t>
        </is>
      </c>
      <c r="E834" t="inlineStr">
        <is>
          <t>LEKSAND</t>
        </is>
      </c>
      <c r="G834" t="n">
        <v>1.9</v>
      </c>
      <c r="H834" t="n">
        <v>0</v>
      </c>
      <c r="I834" t="n">
        <v>0</v>
      </c>
      <c r="J834" t="n">
        <v>0</v>
      </c>
      <c r="K834" t="n">
        <v>0</v>
      </c>
      <c r="L834" t="n">
        <v>0</v>
      </c>
      <c r="M834" t="n">
        <v>0</v>
      </c>
      <c r="N834" t="n">
        <v>0</v>
      </c>
      <c r="O834" t="n">
        <v>0</v>
      </c>
      <c r="P834" t="n">
        <v>0</v>
      </c>
      <c r="Q834" t="n">
        <v>0</v>
      </c>
      <c r="R834" s="2" t="inlineStr"/>
    </row>
    <row r="835" ht="15" customHeight="1">
      <c r="A835" t="inlineStr">
        <is>
          <t>A 481-2024</t>
        </is>
      </c>
      <c r="B835" s="1" t="n">
        <v>45298</v>
      </c>
      <c r="C835" s="1" t="n">
        <v>45757</v>
      </c>
      <c r="D835" t="inlineStr">
        <is>
          <t>DALARNAS LÄN</t>
        </is>
      </c>
      <c r="E835" t="inlineStr">
        <is>
          <t>LEKSAND</t>
        </is>
      </c>
      <c r="G835" t="n">
        <v>7</v>
      </c>
      <c r="H835" t="n">
        <v>0</v>
      </c>
      <c r="I835" t="n">
        <v>0</v>
      </c>
      <c r="J835" t="n">
        <v>0</v>
      </c>
      <c r="K835" t="n">
        <v>0</v>
      </c>
      <c r="L835" t="n">
        <v>0</v>
      </c>
      <c r="M835" t="n">
        <v>0</v>
      </c>
      <c r="N835" t="n">
        <v>0</v>
      </c>
      <c r="O835" t="n">
        <v>0</v>
      </c>
      <c r="P835" t="n">
        <v>0</v>
      </c>
      <c r="Q835" t="n">
        <v>0</v>
      </c>
      <c r="R835" s="2" t="inlineStr"/>
    </row>
    <row r="836" ht="15" customHeight="1">
      <c r="A836" t="inlineStr">
        <is>
          <t>A 511-2024</t>
        </is>
      </c>
      <c r="B836" s="1" t="n">
        <v>45299</v>
      </c>
      <c r="C836" s="1" t="n">
        <v>45757</v>
      </c>
      <c r="D836" t="inlineStr">
        <is>
          <t>DALARNAS LÄN</t>
        </is>
      </c>
      <c r="E836" t="inlineStr">
        <is>
          <t>LEKSAND</t>
        </is>
      </c>
      <c r="G836" t="n">
        <v>1.1</v>
      </c>
      <c r="H836" t="n">
        <v>0</v>
      </c>
      <c r="I836" t="n">
        <v>0</v>
      </c>
      <c r="J836" t="n">
        <v>0</v>
      </c>
      <c r="K836" t="n">
        <v>0</v>
      </c>
      <c r="L836" t="n">
        <v>0</v>
      </c>
      <c r="M836" t="n">
        <v>0</v>
      </c>
      <c r="N836" t="n">
        <v>0</v>
      </c>
      <c r="O836" t="n">
        <v>0</v>
      </c>
      <c r="P836" t="n">
        <v>0</v>
      </c>
      <c r="Q836" t="n">
        <v>0</v>
      </c>
      <c r="R836" s="2" t="inlineStr"/>
    </row>
    <row r="837" ht="15" customHeight="1">
      <c r="A837" t="inlineStr">
        <is>
          <t>A 613-2024</t>
        </is>
      </c>
      <c r="B837" s="1" t="n">
        <v>45299</v>
      </c>
      <c r="C837" s="1" t="n">
        <v>45757</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962-2024</t>
        </is>
      </c>
      <c r="B838" s="1" t="n">
        <v>45301</v>
      </c>
      <c r="C838" s="1" t="n">
        <v>45757</v>
      </c>
      <c r="D838" t="inlineStr">
        <is>
          <t>DALARNAS LÄN</t>
        </is>
      </c>
      <c r="E838" t="inlineStr">
        <is>
          <t>LEKSAND</t>
        </is>
      </c>
      <c r="G838" t="n">
        <v>3.8</v>
      </c>
      <c r="H838" t="n">
        <v>0</v>
      </c>
      <c r="I838" t="n">
        <v>0</v>
      </c>
      <c r="J838" t="n">
        <v>0</v>
      </c>
      <c r="K838" t="n">
        <v>0</v>
      </c>
      <c r="L838" t="n">
        <v>0</v>
      </c>
      <c r="M838" t="n">
        <v>0</v>
      </c>
      <c r="N838" t="n">
        <v>0</v>
      </c>
      <c r="O838" t="n">
        <v>0</v>
      </c>
      <c r="P838" t="n">
        <v>0</v>
      </c>
      <c r="Q838" t="n">
        <v>0</v>
      </c>
      <c r="R838" s="2" t="inlineStr"/>
    </row>
    <row r="839" ht="15" customHeight="1">
      <c r="A839" t="inlineStr">
        <is>
          <t>A 1179-2024</t>
        </is>
      </c>
      <c r="B839" s="1" t="n">
        <v>45302</v>
      </c>
      <c r="C839" s="1" t="n">
        <v>45757</v>
      </c>
      <c r="D839" t="inlineStr">
        <is>
          <t>DALARNAS LÄN</t>
        </is>
      </c>
      <c r="E839" t="inlineStr">
        <is>
          <t>LEKSAND</t>
        </is>
      </c>
      <c r="G839" t="n">
        <v>2.8</v>
      </c>
      <c r="H839" t="n">
        <v>0</v>
      </c>
      <c r="I839" t="n">
        <v>0</v>
      </c>
      <c r="J839" t="n">
        <v>0</v>
      </c>
      <c r="K839" t="n">
        <v>0</v>
      </c>
      <c r="L839" t="n">
        <v>0</v>
      </c>
      <c r="M839" t="n">
        <v>0</v>
      </c>
      <c r="N839" t="n">
        <v>0</v>
      </c>
      <c r="O839" t="n">
        <v>0</v>
      </c>
      <c r="P839" t="n">
        <v>0</v>
      </c>
      <c r="Q839" t="n">
        <v>0</v>
      </c>
      <c r="R839" s="2" t="inlineStr"/>
    </row>
    <row r="840" ht="15" customHeight="1">
      <c r="A840" t="inlineStr">
        <is>
          <t>A 1215-2024</t>
        </is>
      </c>
      <c r="B840" s="1" t="n">
        <v>45302</v>
      </c>
      <c r="C840" s="1" t="n">
        <v>45757</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1458-2024</t>
        </is>
      </c>
      <c r="B841" s="1" t="n">
        <v>45303</v>
      </c>
      <c r="C841" s="1" t="n">
        <v>45757</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1443-2024</t>
        </is>
      </c>
      <c r="B842" s="1" t="n">
        <v>45303</v>
      </c>
      <c r="C842" s="1" t="n">
        <v>45757</v>
      </c>
      <c r="D842" t="inlineStr">
        <is>
          <t>DALARNAS LÄN</t>
        </is>
      </c>
      <c r="E842" t="inlineStr">
        <is>
          <t>LEKSAND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1457-2024</t>
        </is>
      </c>
      <c r="B843" s="1" t="n">
        <v>45303</v>
      </c>
      <c r="C843" s="1" t="n">
        <v>45757</v>
      </c>
      <c r="D843" t="inlineStr">
        <is>
          <t>DALARNAS LÄN</t>
        </is>
      </c>
      <c r="E843" t="inlineStr">
        <is>
          <t>LEKSAND</t>
        </is>
      </c>
      <c r="G843" t="n">
        <v>4.4</v>
      </c>
      <c r="H843" t="n">
        <v>0</v>
      </c>
      <c r="I843" t="n">
        <v>0</v>
      </c>
      <c r="J843" t="n">
        <v>0</v>
      </c>
      <c r="K843" t="n">
        <v>0</v>
      </c>
      <c r="L843" t="n">
        <v>0</v>
      </c>
      <c r="M843" t="n">
        <v>0</v>
      </c>
      <c r="N843" t="n">
        <v>0</v>
      </c>
      <c r="O843" t="n">
        <v>0</v>
      </c>
      <c r="P843" t="n">
        <v>0</v>
      </c>
      <c r="Q843" t="n">
        <v>0</v>
      </c>
      <c r="R843" s="2" t="inlineStr"/>
    </row>
    <row r="844" ht="15" customHeight="1">
      <c r="A844" t="inlineStr">
        <is>
          <t>A 1461-2024</t>
        </is>
      </c>
      <c r="B844" s="1" t="n">
        <v>45303</v>
      </c>
      <c r="C844" s="1" t="n">
        <v>45757</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1463-2024</t>
        </is>
      </c>
      <c r="B845" s="1" t="n">
        <v>45303</v>
      </c>
      <c r="C845" s="1" t="n">
        <v>45757</v>
      </c>
      <c r="D845" t="inlineStr">
        <is>
          <t>DALARNAS LÄN</t>
        </is>
      </c>
      <c r="E845" t="inlineStr">
        <is>
          <t>LEKSAND</t>
        </is>
      </c>
      <c r="G845" t="n">
        <v>1.5</v>
      </c>
      <c r="H845" t="n">
        <v>0</v>
      </c>
      <c r="I845" t="n">
        <v>0</v>
      </c>
      <c r="J845" t="n">
        <v>0</v>
      </c>
      <c r="K845" t="n">
        <v>0</v>
      </c>
      <c r="L845" t="n">
        <v>0</v>
      </c>
      <c r="M845" t="n">
        <v>0</v>
      </c>
      <c r="N845" t="n">
        <v>0</v>
      </c>
      <c r="O845" t="n">
        <v>0</v>
      </c>
      <c r="P845" t="n">
        <v>0</v>
      </c>
      <c r="Q845" t="n">
        <v>0</v>
      </c>
      <c r="R845" s="2" t="inlineStr"/>
    </row>
    <row r="846" ht="15" customHeight="1">
      <c r="A846" t="inlineStr">
        <is>
          <t>A 1476-2024</t>
        </is>
      </c>
      <c r="B846" s="1" t="n">
        <v>45304</v>
      </c>
      <c r="C846" s="1" t="n">
        <v>45757</v>
      </c>
      <c r="D846" t="inlineStr">
        <is>
          <t>DALARNAS LÄN</t>
        </is>
      </c>
      <c r="E846" t="inlineStr">
        <is>
          <t>LEKSAND</t>
        </is>
      </c>
      <c r="G846" t="n">
        <v>4.3</v>
      </c>
      <c r="H846" t="n">
        <v>0</v>
      </c>
      <c r="I846" t="n">
        <v>0</v>
      </c>
      <c r="J846" t="n">
        <v>0</v>
      </c>
      <c r="K846" t="n">
        <v>0</v>
      </c>
      <c r="L846" t="n">
        <v>0</v>
      </c>
      <c r="M846" t="n">
        <v>0</v>
      </c>
      <c r="N846" t="n">
        <v>0</v>
      </c>
      <c r="O846" t="n">
        <v>0</v>
      </c>
      <c r="P846" t="n">
        <v>0</v>
      </c>
      <c r="Q846" t="n">
        <v>0</v>
      </c>
      <c r="R846" s="2" t="inlineStr"/>
    </row>
    <row r="847" ht="15" customHeight="1">
      <c r="A847" t="inlineStr">
        <is>
          <t>A 1519-2024</t>
        </is>
      </c>
      <c r="B847" s="1" t="n">
        <v>45306</v>
      </c>
      <c r="C847" s="1" t="n">
        <v>45757</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1616-2024</t>
        </is>
      </c>
      <c r="B848" s="1" t="n">
        <v>45306</v>
      </c>
      <c r="C848" s="1" t="n">
        <v>45757</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1849-2024</t>
        </is>
      </c>
      <c r="B849" s="1" t="n">
        <v>45307</v>
      </c>
      <c r="C849" s="1" t="n">
        <v>45757</v>
      </c>
      <c r="D849" t="inlineStr">
        <is>
          <t>DALARNAS LÄN</t>
        </is>
      </c>
      <c r="E849" t="inlineStr">
        <is>
          <t>LEKSAND</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1706-2024</t>
        </is>
      </c>
      <c r="B850" s="1" t="n">
        <v>45307</v>
      </c>
      <c r="C850" s="1" t="n">
        <v>45757</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1719-2024</t>
        </is>
      </c>
      <c r="B851" s="1" t="n">
        <v>45307</v>
      </c>
      <c r="C851" s="1" t="n">
        <v>45757</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1946-2024</t>
        </is>
      </c>
      <c r="B852" s="1" t="n">
        <v>45308</v>
      </c>
      <c r="C852" s="1" t="n">
        <v>45757</v>
      </c>
      <c r="D852" t="inlineStr">
        <is>
          <t>DALARNAS LÄN</t>
        </is>
      </c>
      <c r="E852" t="inlineStr">
        <is>
          <t>LEKSAND</t>
        </is>
      </c>
      <c r="G852" t="n">
        <v>2.3</v>
      </c>
      <c r="H852" t="n">
        <v>0</v>
      </c>
      <c r="I852" t="n">
        <v>0</v>
      </c>
      <c r="J852" t="n">
        <v>0</v>
      </c>
      <c r="K852" t="n">
        <v>0</v>
      </c>
      <c r="L852" t="n">
        <v>0</v>
      </c>
      <c r="M852" t="n">
        <v>0</v>
      </c>
      <c r="N852" t="n">
        <v>0</v>
      </c>
      <c r="O852" t="n">
        <v>0</v>
      </c>
      <c r="P852" t="n">
        <v>0</v>
      </c>
      <c r="Q852" t="n">
        <v>0</v>
      </c>
      <c r="R852" s="2" t="inlineStr"/>
    </row>
    <row r="853" ht="15" customHeight="1">
      <c r="A853" t="inlineStr">
        <is>
          <t>A 2158-2024</t>
        </is>
      </c>
      <c r="B853" s="1" t="n">
        <v>45309</v>
      </c>
      <c r="C853" s="1" t="n">
        <v>45757</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2140-2024</t>
        </is>
      </c>
      <c r="B854" s="1" t="n">
        <v>45309</v>
      </c>
      <c r="C854" s="1" t="n">
        <v>45757</v>
      </c>
      <c r="D854" t="inlineStr">
        <is>
          <t>DALARNAS LÄN</t>
        </is>
      </c>
      <c r="E854" t="inlineStr">
        <is>
          <t>LEKSAND</t>
        </is>
      </c>
      <c r="G854" t="n">
        <v>1.5</v>
      </c>
      <c r="H854" t="n">
        <v>0</v>
      </c>
      <c r="I854" t="n">
        <v>0</v>
      </c>
      <c r="J854" t="n">
        <v>0</v>
      </c>
      <c r="K854" t="n">
        <v>0</v>
      </c>
      <c r="L854" t="n">
        <v>0</v>
      </c>
      <c r="M854" t="n">
        <v>0</v>
      </c>
      <c r="N854" t="n">
        <v>0</v>
      </c>
      <c r="O854" t="n">
        <v>0</v>
      </c>
      <c r="P854" t="n">
        <v>0</v>
      </c>
      <c r="Q854" t="n">
        <v>0</v>
      </c>
      <c r="R854" s="2" t="inlineStr"/>
    </row>
    <row r="855" ht="15" customHeight="1">
      <c r="A855" t="inlineStr">
        <is>
          <t>A 2517-2024</t>
        </is>
      </c>
      <c r="B855" s="1" t="n">
        <v>45313</v>
      </c>
      <c r="C855" s="1" t="n">
        <v>45757</v>
      </c>
      <c r="D855" t="inlineStr">
        <is>
          <t>DALARNAS LÄN</t>
        </is>
      </c>
      <c r="E855" t="inlineStr">
        <is>
          <t>LEKSAND</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2536-2024</t>
        </is>
      </c>
      <c r="B856" s="1" t="n">
        <v>45313</v>
      </c>
      <c r="C856" s="1" t="n">
        <v>45757</v>
      </c>
      <c r="D856" t="inlineStr">
        <is>
          <t>DALARNAS LÄN</t>
        </is>
      </c>
      <c r="E856" t="inlineStr">
        <is>
          <t>LEKSAND</t>
        </is>
      </c>
      <c r="G856" t="n">
        <v>2.2</v>
      </c>
      <c r="H856" t="n">
        <v>0</v>
      </c>
      <c r="I856" t="n">
        <v>0</v>
      </c>
      <c r="J856" t="n">
        <v>0</v>
      </c>
      <c r="K856" t="n">
        <v>0</v>
      </c>
      <c r="L856" t="n">
        <v>0</v>
      </c>
      <c r="M856" t="n">
        <v>0</v>
      </c>
      <c r="N856" t="n">
        <v>0</v>
      </c>
      <c r="O856" t="n">
        <v>0</v>
      </c>
      <c r="P856" t="n">
        <v>0</v>
      </c>
      <c r="Q856" t="n">
        <v>0</v>
      </c>
      <c r="R856" s="2" t="inlineStr"/>
    </row>
    <row r="857" ht="15" customHeight="1">
      <c r="A857" t="inlineStr">
        <is>
          <t>A 2820-2024</t>
        </is>
      </c>
      <c r="B857" s="1" t="n">
        <v>45314</v>
      </c>
      <c r="C857" s="1" t="n">
        <v>45757</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2822-2024</t>
        </is>
      </c>
      <c r="B858" s="1" t="n">
        <v>45314</v>
      </c>
      <c r="C858" s="1" t="n">
        <v>45757</v>
      </c>
      <c r="D858" t="inlineStr">
        <is>
          <t>DALARNAS LÄN</t>
        </is>
      </c>
      <c r="E858" t="inlineStr">
        <is>
          <t>LEKSAND</t>
        </is>
      </c>
      <c r="G858" t="n">
        <v>1.6</v>
      </c>
      <c r="H858" t="n">
        <v>0</v>
      </c>
      <c r="I858" t="n">
        <v>0</v>
      </c>
      <c r="J858" t="n">
        <v>0</v>
      </c>
      <c r="K858" t="n">
        <v>0</v>
      </c>
      <c r="L858" t="n">
        <v>0</v>
      </c>
      <c r="M858" t="n">
        <v>0</v>
      </c>
      <c r="N858" t="n">
        <v>0</v>
      </c>
      <c r="O858" t="n">
        <v>0</v>
      </c>
      <c r="P858" t="n">
        <v>0</v>
      </c>
      <c r="Q858" t="n">
        <v>0</v>
      </c>
      <c r="R858" s="2" t="inlineStr"/>
    </row>
    <row r="859" ht="15" customHeight="1">
      <c r="A859" t="inlineStr">
        <is>
          <t>A 3138-2024</t>
        </is>
      </c>
      <c r="B859" s="1" t="n">
        <v>45316</v>
      </c>
      <c r="C859" s="1" t="n">
        <v>45757</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3048-2024</t>
        </is>
      </c>
      <c r="B860" s="1" t="n">
        <v>45316</v>
      </c>
      <c r="C860" s="1" t="n">
        <v>45757</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3205-2024</t>
        </is>
      </c>
      <c r="B861" s="1" t="n">
        <v>45316</v>
      </c>
      <c r="C861" s="1" t="n">
        <v>45757</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3202-2024</t>
        </is>
      </c>
      <c r="B862" s="1" t="n">
        <v>45316</v>
      </c>
      <c r="C862" s="1" t="n">
        <v>45757</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3352-2024</t>
        </is>
      </c>
      <c r="B863" s="1" t="n">
        <v>45317</v>
      </c>
      <c r="C863" s="1" t="n">
        <v>45757</v>
      </c>
      <c r="D863" t="inlineStr">
        <is>
          <t>DALARNAS LÄN</t>
        </is>
      </c>
      <c r="E863" t="inlineStr">
        <is>
          <t>LEKSAND</t>
        </is>
      </c>
      <c r="G863" t="n">
        <v>1.2</v>
      </c>
      <c r="H863" t="n">
        <v>0</v>
      </c>
      <c r="I863" t="n">
        <v>0</v>
      </c>
      <c r="J863" t="n">
        <v>0</v>
      </c>
      <c r="K863" t="n">
        <v>0</v>
      </c>
      <c r="L863" t="n">
        <v>0</v>
      </c>
      <c r="M863" t="n">
        <v>0</v>
      </c>
      <c r="N863" t="n">
        <v>0</v>
      </c>
      <c r="O863" t="n">
        <v>0</v>
      </c>
      <c r="P863" t="n">
        <v>0</v>
      </c>
      <c r="Q863" t="n">
        <v>0</v>
      </c>
      <c r="R863" s="2" t="inlineStr"/>
    </row>
    <row r="864" ht="15" customHeight="1">
      <c r="A864" t="inlineStr">
        <is>
          <t>A 3970-2024</t>
        </is>
      </c>
      <c r="B864" s="1" t="n">
        <v>45322</v>
      </c>
      <c r="C864" s="1" t="n">
        <v>45757</v>
      </c>
      <c r="D864" t="inlineStr">
        <is>
          <t>DALARNAS LÄN</t>
        </is>
      </c>
      <c r="E864" t="inlineStr">
        <is>
          <t>LEKSAND</t>
        </is>
      </c>
      <c r="G864" t="n">
        <v>2.4</v>
      </c>
      <c r="H864" t="n">
        <v>0</v>
      </c>
      <c r="I864" t="n">
        <v>0</v>
      </c>
      <c r="J864" t="n">
        <v>0</v>
      </c>
      <c r="K864" t="n">
        <v>0</v>
      </c>
      <c r="L864" t="n">
        <v>0</v>
      </c>
      <c r="M864" t="n">
        <v>0</v>
      </c>
      <c r="N864" t="n">
        <v>0</v>
      </c>
      <c r="O864" t="n">
        <v>0</v>
      </c>
      <c r="P864" t="n">
        <v>0</v>
      </c>
      <c r="Q864" t="n">
        <v>0</v>
      </c>
      <c r="R864" s="2" t="inlineStr"/>
    </row>
    <row r="865" ht="15" customHeight="1">
      <c r="A865" t="inlineStr">
        <is>
          <t>A 3974-2024</t>
        </is>
      </c>
      <c r="B865" s="1" t="n">
        <v>45322</v>
      </c>
      <c r="C865" s="1" t="n">
        <v>45757</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3901-2024</t>
        </is>
      </c>
      <c r="B866" s="1" t="n">
        <v>45322</v>
      </c>
      <c r="C866" s="1" t="n">
        <v>45757</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4121-2024</t>
        </is>
      </c>
      <c r="B867" s="1" t="n">
        <v>45323</v>
      </c>
      <c r="C867" s="1" t="n">
        <v>45757</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4248-2024</t>
        </is>
      </c>
      <c r="B868" s="1" t="n">
        <v>45324</v>
      </c>
      <c r="C868" s="1" t="n">
        <v>45757</v>
      </c>
      <c r="D868" t="inlineStr">
        <is>
          <t>DALARNAS LÄN</t>
        </is>
      </c>
      <c r="E868" t="inlineStr">
        <is>
          <t>LEKSAND</t>
        </is>
      </c>
      <c r="G868" t="n">
        <v>3.6</v>
      </c>
      <c r="H868" t="n">
        <v>0</v>
      </c>
      <c r="I868" t="n">
        <v>0</v>
      </c>
      <c r="J868" t="n">
        <v>0</v>
      </c>
      <c r="K868" t="n">
        <v>0</v>
      </c>
      <c r="L868" t="n">
        <v>0</v>
      </c>
      <c r="M868" t="n">
        <v>0</v>
      </c>
      <c r="N868" t="n">
        <v>0</v>
      </c>
      <c r="O868" t="n">
        <v>0</v>
      </c>
      <c r="P868" t="n">
        <v>0</v>
      </c>
      <c r="Q868" t="n">
        <v>0</v>
      </c>
      <c r="R868" s="2" t="inlineStr"/>
    </row>
    <row r="869" ht="15" customHeight="1">
      <c r="A869" t="inlineStr">
        <is>
          <t>A 4938-2024</t>
        </is>
      </c>
      <c r="B869" s="1" t="n">
        <v>45329</v>
      </c>
      <c r="C869" s="1" t="n">
        <v>45757</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4956-2024</t>
        </is>
      </c>
      <c r="B870" s="1" t="n">
        <v>45329</v>
      </c>
      <c r="C870" s="1" t="n">
        <v>45757</v>
      </c>
      <c r="D870" t="inlineStr">
        <is>
          <t>DALARNAS LÄN</t>
        </is>
      </c>
      <c r="E870" t="inlineStr">
        <is>
          <t>LEKSAND</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5231-2024</t>
        </is>
      </c>
      <c r="B871" s="1" t="n">
        <v>45330</v>
      </c>
      <c r="C871" s="1" t="n">
        <v>45757</v>
      </c>
      <c r="D871" t="inlineStr">
        <is>
          <t>DALARNAS LÄN</t>
        </is>
      </c>
      <c r="E871" t="inlineStr">
        <is>
          <t>LEKSAND</t>
        </is>
      </c>
      <c r="F871" t="inlineStr">
        <is>
          <t>Bergvik skog väst AB</t>
        </is>
      </c>
      <c r="G871" t="n">
        <v>11.2</v>
      </c>
      <c r="H871" t="n">
        <v>0</v>
      </c>
      <c r="I871" t="n">
        <v>0</v>
      </c>
      <c r="J871" t="n">
        <v>0</v>
      </c>
      <c r="K871" t="n">
        <v>0</v>
      </c>
      <c r="L871" t="n">
        <v>0</v>
      </c>
      <c r="M871" t="n">
        <v>0</v>
      </c>
      <c r="N871" t="n">
        <v>0</v>
      </c>
      <c r="O871" t="n">
        <v>0</v>
      </c>
      <c r="P871" t="n">
        <v>0</v>
      </c>
      <c r="Q871" t="n">
        <v>0</v>
      </c>
      <c r="R871" s="2" t="inlineStr"/>
    </row>
    <row r="872" ht="15" customHeight="1">
      <c r="A872" t="inlineStr">
        <is>
          <t>A 5369-2024</t>
        </is>
      </c>
      <c r="B872" s="1" t="n">
        <v>45331</v>
      </c>
      <c r="C872" s="1" t="n">
        <v>45757</v>
      </c>
      <c r="D872" t="inlineStr">
        <is>
          <t>DALARNAS LÄN</t>
        </is>
      </c>
      <c r="E872" t="inlineStr">
        <is>
          <t>LEKSAND</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5514-2024</t>
        </is>
      </c>
      <c r="B873" s="1" t="n">
        <v>45334</v>
      </c>
      <c r="C873" s="1" t="n">
        <v>45757</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5570-2024</t>
        </is>
      </c>
      <c r="B874" s="1" t="n">
        <v>45334</v>
      </c>
      <c r="C874" s="1" t="n">
        <v>45757</v>
      </c>
      <c r="D874" t="inlineStr">
        <is>
          <t>DALARNAS LÄN</t>
        </is>
      </c>
      <c r="E874" t="inlineStr">
        <is>
          <t>LEKSAND</t>
        </is>
      </c>
      <c r="G874" t="n">
        <v>0.3</v>
      </c>
      <c r="H874" t="n">
        <v>0</v>
      </c>
      <c r="I874" t="n">
        <v>0</v>
      </c>
      <c r="J874" t="n">
        <v>0</v>
      </c>
      <c r="K874" t="n">
        <v>0</v>
      </c>
      <c r="L874" t="n">
        <v>0</v>
      </c>
      <c r="M874" t="n">
        <v>0</v>
      </c>
      <c r="N874" t="n">
        <v>0</v>
      </c>
      <c r="O874" t="n">
        <v>0</v>
      </c>
      <c r="P874" t="n">
        <v>0</v>
      </c>
      <c r="Q874" t="n">
        <v>0</v>
      </c>
      <c r="R874" s="2" t="inlineStr"/>
    </row>
    <row r="875" ht="15" customHeight="1">
      <c r="A875" t="inlineStr">
        <is>
          <t>A 5574-2024</t>
        </is>
      </c>
      <c r="B875" s="1" t="n">
        <v>45334</v>
      </c>
      <c r="C875" s="1" t="n">
        <v>45757</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5583-2024</t>
        </is>
      </c>
      <c r="B876" s="1" t="n">
        <v>45334</v>
      </c>
      <c r="C876" s="1" t="n">
        <v>45757</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5584-2024</t>
        </is>
      </c>
      <c r="B877" s="1" t="n">
        <v>45334</v>
      </c>
      <c r="C877" s="1" t="n">
        <v>45757</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5582-2024</t>
        </is>
      </c>
      <c r="B878" s="1" t="n">
        <v>45334</v>
      </c>
      <c r="C878" s="1" t="n">
        <v>45757</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5900-2024</t>
        </is>
      </c>
      <c r="B879" s="1" t="n">
        <v>45335</v>
      </c>
      <c r="C879" s="1" t="n">
        <v>45757</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6758-2024</t>
        </is>
      </c>
      <c r="B880" s="1" t="n">
        <v>45342</v>
      </c>
      <c r="C880" s="1" t="n">
        <v>45757</v>
      </c>
      <c r="D880" t="inlineStr">
        <is>
          <t>DALARNAS LÄN</t>
        </is>
      </c>
      <c r="E880" t="inlineStr">
        <is>
          <t>LEKSAND</t>
        </is>
      </c>
      <c r="F880" t="inlineStr">
        <is>
          <t>Bergvik skog väst AB</t>
        </is>
      </c>
      <c r="G880" t="n">
        <v>6.2</v>
      </c>
      <c r="H880" t="n">
        <v>0</v>
      </c>
      <c r="I880" t="n">
        <v>0</v>
      </c>
      <c r="J880" t="n">
        <v>0</v>
      </c>
      <c r="K880" t="n">
        <v>0</v>
      </c>
      <c r="L880" t="n">
        <v>0</v>
      </c>
      <c r="M880" t="n">
        <v>0</v>
      </c>
      <c r="N880" t="n">
        <v>0</v>
      </c>
      <c r="O880" t="n">
        <v>0</v>
      </c>
      <c r="P880" t="n">
        <v>0</v>
      </c>
      <c r="Q880" t="n">
        <v>0</v>
      </c>
      <c r="R880" s="2" t="inlineStr"/>
    </row>
    <row r="881" ht="15" customHeight="1">
      <c r="A881" t="inlineStr">
        <is>
          <t>A 7417-2024</t>
        </is>
      </c>
      <c r="B881" s="1" t="n">
        <v>45345</v>
      </c>
      <c r="C881" s="1" t="n">
        <v>45757</v>
      </c>
      <c r="D881" t="inlineStr">
        <is>
          <t>DALARNAS LÄN</t>
        </is>
      </c>
      <c r="E881" t="inlineStr">
        <is>
          <t>LEKSAND</t>
        </is>
      </c>
      <c r="G881" t="n">
        <v>2.8</v>
      </c>
      <c r="H881" t="n">
        <v>0</v>
      </c>
      <c r="I881" t="n">
        <v>0</v>
      </c>
      <c r="J881" t="n">
        <v>0</v>
      </c>
      <c r="K881" t="n">
        <v>0</v>
      </c>
      <c r="L881" t="n">
        <v>0</v>
      </c>
      <c r="M881" t="n">
        <v>0</v>
      </c>
      <c r="N881" t="n">
        <v>0</v>
      </c>
      <c r="O881" t="n">
        <v>0</v>
      </c>
      <c r="P881" t="n">
        <v>0</v>
      </c>
      <c r="Q881" t="n">
        <v>0</v>
      </c>
      <c r="R881" s="2" t="inlineStr"/>
    </row>
    <row r="882" ht="15" customHeight="1">
      <c r="A882" t="inlineStr">
        <is>
          <t>A 7775-2024</t>
        </is>
      </c>
      <c r="B882" s="1" t="n">
        <v>45349</v>
      </c>
      <c r="C882" s="1" t="n">
        <v>45757</v>
      </c>
      <c r="D882" t="inlineStr">
        <is>
          <t>DALARNAS LÄN</t>
        </is>
      </c>
      <c r="E882" t="inlineStr">
        <is>
          <t>LEKSAND</t>
        </is>
      </c>
      <c r="G882" t="n">
        <v>1.9</v>
      </c>
      <c r="H882" t="n">
        <v>0</v>
      </c>
      <c r="I882" t="n">
        <v>0</v>
      </c>
      <c r="J882" t="n">
        <v>0</v>
      </c>
      <c r="K882" t="n">
        <v>0</v>
      </c>
      <c r="L882" t="n">
        <v>0</v>
      </c>
      <c r="M882" t="n">
        <v>0</v>
      </c>
      <c r="N882" t="n">
        <v>0</v>
      </c>
      <c r="O882" t="n">
        <v>0</v>
      </c>
      <c r="P882" t="n">
        <v>0</v>
      </c>
      <c r="Q882" t="n">
        <v>0</v>
      </c>
      <c r="R882" s="2" t="inlineStr"/>
    </row>
    <row r="883" ht="15" customHeight="1">
      <c r="A883" t="inlineStr">
        <is>
          <t>A 7768-2024</t>
        </is>
      </c>
      <c r="B883" s="1" t="n">
        <v>45349</v>
      </c>
      <c r="C883" s="1" t="n">
        <v>45757</v>
      </c>
      <c r="D883" t="inlineStr">
        <is>
          <t>DALARNAS LÄN</t>
        </is>
      </c>
      <c r="E883" t="inlineStr">
        <is>
          <t>LEKSAND</t>
        </is>
      </c>
      <c r="G883" t="n">
        <v>5.4</v>
      </c>
      <c r="H883" t="n">
        <v>0</v>
      </c>
      <c r="I883" t="n">
        <v>0</v>
      </c>
      <c r="J883" t="n">
        <v>0</v>
      </c>
      <c r="K883" t="n">
        <v>0</v>
      </c>
      <c r="L883" t="n">
        <v>0</v>
      </c>
      <c r="M883" t="n">
        <v>0</v>
      </c>
      <c r="N883" t="n">
        <v>0</v>
      </c>
      <c r="O883" t="n">
        <v>0</v>
      </c>
      <c r="P883" t="n">
        <v>0</v>
      </c>
      <c r="Q883" t="n">
        <v>0</v>
      </c>
      <c r="R883" s="2" t="inlineStr"/>
    </row>
    <row r="884" ht="15" customHeight="1">
      <c r="A884" t="inlineStr">
        <is>
          <t>A 7773-2024</t>
        </is>
      </c>
      <c r="B884" s="1" t="n">
        <v>45349</v>
      </c>
      <c r="C884" s="1" t="n">
        <v>45757</v>
      </c>
      <c r="D884" t="inlineStr">
        <is>
          <t>DALARNAS LÄN</t>
        </is>
      </c>
      <c r="E884" t="inlineStr">
        <is>
          <t>LEKSAND</t>
        </is>
      </c>
      <c r="G884" t="n">
        <v>1.2</v>
      </c>
      <c r="H884" t="n">
        <v>0</v>
      </c>
      <c r="I884" t="n">
        <v>0</v>
      </c>
      <c r="J884" t="n">
        <v>0</v>
      </c>
      <c r="K884" t="n">
        <v>0</v>
      </c>
      <c r="L884" t="n">
        <v>0</v>
      </c>
      <c r="M884" t="n">
        <v>0</v>
      </c>
      <c r="N884" t="n">
        <v>0</v>
      </c>
      <c r="O884" t="n">
        <v>0</v>
      </c>
      <c r="P884" t="n">
        <v>0</v>
      </c>
      <c r="Q884" t="n">
        <v>0</v>
      </c>
      <c r="R884" s="2" t="inlineStr"/>
    </row>
    <row r="885" ht="15" customHeight="1">
      <c r="A885" t="inlineStr">
        <is>
          <t>A 7827-2024</t>
        </is>
      </c>
      <c r="B885" s="1" t="n">
        <v>45349</v>
      </c>
      <c r="C885" s="1" t="n">
        <v>45757</v>
      </c>
      <c r="D885" t="inlineStr">
        <is>
          <t>DALARNAS LÄN</t>
        </is>
      </c>
      <c r="E885" t="inlineStr">
        <is>
          <t>LEKSAND</t>
        </is>
      </c>
      <c r="G885" t="n">
        <v>2.2</v>
      </c>
      <c r="H885" t="n">
        <v>0</v>
      </c>
      <c r="I885" t="n">
        <v>0</v>
      </c>
      <c r="J885" t="n">
        <v>0</v>
      </c>
      <c r="K885" t="n">
        <v>0</v>
      </c>
      <c r="L885" t="n">
        <v>0</v>
      </c>
      <c r="M885" t="n">
        <v>0</v>
      </c>
      <c r="N885" t="n">
        <v>0</v>
      </c>
      <c r="O885" t="n">
        <v>0</v>
      </c>
      <c r="P885" t="n">
        <v>0</v>
      </c>
      <c r="Q885" t="n">
        <v>0</v>
      </c>
      <c r="R885" s="2" t="inlineStr"/>
    </row>
    <row r="886" ht="15" customHeight="1">
      <c r="A886" t="inlineStr">
        <is>
          <t>A 7861-2024</t>
        </is>
      </c>
      <c r="B886" s="1" t="n">
        <v>45350</v>
      </c>
      <c r="C886" s="1" t="n">
        <v>45757</v>
      </c>
      <c r="D886" t="inlineStr">
        <is>
          <t>DALARNAS LÄN</t>
        </is>
      </c>
      <c r="E886" t="inlineStr">
        <is>
          <t>LEKSAND</t>
        </is>
      </c>
      <c r="G886" t="n">
        <v>1.8</v>
      </c>
      <c r="H886" t="n">
        <v>0</v>
      </c>
      <c r="I886" t="n">
        <v>0</v>
      </c>
      <c r="J886" t="n">
        <v>0</v>
      </c>
      <c r="K886" t="n">
        <v>0</v>
      </c>
      <c r="L886" t="n">
        <v>0</v>
      </c>
      <c r="M886" t="n">
        <v>0</v>
      </c>
      <c r="N886" t="n">
        <v>0</v>
      </c>
      <c r="O886" t="n">
        <v>0</v>
      </c>
      <c r="P886" t="n">
        <v>0</v>
      </c>
      <c r="Q886" t="n">
        <v>0</v>
      </c>
      <c r="R886" s="2" t="inlineStr"/>
    </row>
    <row r="887" ht="15" customHeight="1">
      <c r="A887" t="inlineStr">
        <is>
          <t>A 8046-2024</t>
        </is>
      </c>
      <c r="B887" s="1" t="n">
        <v>45351</v>
      </c>
      <c r="C887" s="1" t="n">
        <v>45757</v>
      </c>
      <c r="D887" t="inlineStr">
        <is>
          <t>DALARNAS LÄN</t>
        </is>
      </c>
      <c r="E887" t="inlineStr">
        <is>
          <t>LEKSAND</t>
        </is>
      </c>
      <c r="G887" t="n">
        <v>2.9</v>
      </c>
      <c r="H887" t="n">
        <v>0</v>
      </c>
      <c r="I887" t="n">
        <v>0</v>
      </c>
      <c r="J887" t="n">
        <v>0</v>
      </c>
      <c r="K887" t="n">
        <v>0</v>
      </c>
      <c r="L887" t="n">
        <v>0</v>
      </c>
      <c r="M887" t="n">
        <v>0</v>
      </c>
      <c r="N887" t="n">
        <v>0</v>
      </c>
      <c r="O887" t="n">
        <v>0</v>
      </c>
      <c r="P887" t="n">
        <v>0</v>
      </c>
      <c r="Q887" t="n">
        <v>0</v>
      </c>
      <c r="R887" s="2" t="inlineStr"/>
    </row>
    <row r="888" ht="15" customHeight="1">
      <c r="A888" t="inlineStr">
        <is>
          <t>A 8045-2024</t>
        </is>
      </c>
      <c r="B888" s="1" t="n">
        <v>45351</v>
      </c>
      <c r="C888" s="1" t="n">
        <v>45757</v>
      </c>
      <c r="D888" t="inlineStr">
        <is>
          <t>DALARNAS LÄN</t>
        </is>
      </c>
      <c r="E888" t="inlineStr">
        <is>
          <t>LEKSAND</t>
        </is>
      </c>
      <c r="G888" t="n">
        <v>6.7</v>
      </c>
      <c r="H888" t="n">
        <v>0</v>
      </c>
      <c r="I888" t="n">
        <v>0</v>
      </c>
      <c r="J888" t="n">
        <v>0</v>
      </c>
      <c r="K888" t="n">
        <v>0</v>
      </c>
      <c r="L888" t="n">
        <v>0</v>
      </c>
      <c r="M888" t="n">
        <v>0</v>
      </c>
      <c r="N888" t="n">
        <v>0</v>
      </c>
      <c r="O888" t="n">
        <v>0</v>
      </c>
      <c r="P888" t="n">
        <v>0</v>
      </c>
      <c r="Q888" t="n">
        <v>0</v>
      </c>
      <c r="R888" s="2" t="inlineStr"/>
    </row>
    <row r="889" ht="15" customHeight="1">
      <c r="A889" t="inlineStr">
        <is>
          <t>A 9781-2024</t>
        </is>
      </c>
      <c r="B889" s="1" t="n">
        <v>45362</v>
      </c>
      <c r="C889" s="1" t="n">
        <v>45757</v>
      </c>
      <c r="D889" t="inlineStr">
        <is>
          <t>DALARNAS LÄN</t>
        </is>
      </c>
      <c r="E889" t="inlineStr">
        <is>
          <t>LEKSAND</t>
        </is>
      </c>
      <c r="G889" t="n">
        <v>1.1</v>
      </c>
      <c r="H889" t="n">
        <v>0</v>
      </c>
      <c r="I889" t="n">
        <v>0</v>
      </c>
      <c r="J889" t="n">
        <v>0</v>
      </c>
      <c r="K889" t="n">
        <v>0</v>
      </c>
      <c r="L889" t="n">
        <v>0</v>
      </c>
      <c r="M889" t="n">
        <v>0</v>
      </c>
      <c r="N889" t="n">
        <v>0</v>
      </c>
      <c r="O889" t="n">
        <v>0</v>
      </c>
      <c r="P889" t="n">
        <v>0</v>
      </c>
      <c r="Q889" t="n">
        <v>0</v>
      </c>
      <c r="R889" s="2" t="inlineStr"/>
    </row>
    <row r="890" ht="15" customHeight="1">
      <c r="A890" t="inlineStr">
        <is>
          <t>A 10299-2024</t>
        </is>
      </c>
      <c r="B890" s="1" t="n">
        <v>45365</v>
      </c>
      <c r="C890" s="1" t="n">
        <v>45757</v>
      </c>
      <c r="D890" t="inlineStr">
        <is>
          <t>DALARNAS LÄN</t>
        </is>
      </c>
      <c r="E890" t="inlineStr">
        <is>
          <t>LEKSAND</t>
        </is>
      </c>
      <c r="G890" t="n">
        <v>3.6</v>
      </c>
      <c r="H890" t="n">
        <v>0</v>
      </c>
      <c r="I890" t="n">
        <v>0</v>
      </c>
      <c r="J890" t="n">
        <v>0</v>
      </c>
      <c r="K890" t="n">
        <v>0</v>
      </c>
      <c r="L890" t="n">
        <v>0</v>
      </c>
      <c r="M890" t="n">
        <v>0</v>
      </c>
      <c r="N890" t="n">
        <v>0</v>
      </c>
      <c r="O890" t="n">
        <v>0</v>
      </c>
      <c r="P890" t="n">
        <v>0</v>
      </c>
      <c r="Q890" t="n">
        <v>0</v>
      </c>
      <c r="R890" s="2" t="inlineStr"/>
    </row>
    <row r="891" ht="15" customHeight="1">
      <c r="A891" t="inlineStr">
        <is>
          <t>A 10462-2024</t>
        </is>
      </c>
      <c r="B891" s="1" t="n">
        <v>45366</v>
      </c>
      <c r="C891" s="1" t="n">
        <v>45757</v>
      </c>
      <c r="D891" t="inlineStr">
        <is>
          <t>DALARNAS LÄN</t>
        </is>
      </c>
      <c r="E891" t="inlineStr">
        <is>
          <t>LEKSAND</t>
        </is>
      </c>
      <c r="G891" t="n">
        <v>1.2</v>
      </c>
      <c r="H891" t="n">
        <v>0</v>
      </c>
      <c r="I891" t="n">
        <v>0</v>
      </c>
      <c r="J891" t="n">
        <v>0</v>
      </c>
      <c r="K891" t="n">
        <v>0</v>
      </c>
      <c r="L891" t="n">
        <v>0</v>
      </c>
      <c r="M891" t="n">
        <v>0</v>
      </c>
      <c r="N891" t="n">
        <v>0</v>
      </c>
      <c r="O891" t="n">
        <v>0</v>
      </c>
      <c r="P891" t="n">
        <v>0</v>
      </c>
      <c r="Q891" t="n">
        <v>0</v>
      </c>
      <c r="R891" s="2" t="inlineStr"/>
    </row>
    <row r="892" ht="15" customHeight="1">
      <c r="A892" t="inlineStr">
        <is>
          <t>A 10743-2024</t>
        </is>
      </c>
      <c r="B892" s="1" t="n">
        <v>45369</v>
      </c>
      <c r="C892" s="1" t="n">
        <v>45757</v>
      </c>
      <c r="D892" t="inlineStr">
        <is>
          <t>DALARNAS LÄN</t>
        </is>
      </c>
      <c r="E892" t="inlineStr">
        <is>
          <t>LEKSAND</t>
        </is>
      </c>
      <c r="G892" t="n">
        <v>2.7</v>
      </c>
      <c r="H892" t="n">
        <v>0</v>
      </c>
      <c r="I892" t="n">
        <v>0</v>
      </c>
      <c r="J892" t="n">
        <v>0</v>
      </c>
      <c r="K892" t="n">
        <v>0</v>
      </c>
      <c r="L892" t="n">
        <v>0</v>
      </c>
      <c r="M892" t="n">
        <v>0</v>
      </c>
      <c r="N892" t="n">
        <v>0</v>
      </c>
      <c r="O892" t="n">
        <v>0</v>
      </c>
      <c r="P892" t="n">
        <v>0</v>
      </c>
      <c r="Q892" t="n">
        <v>0</v>
      </c>
      <c r="R892" s="2" t="inlineStr"/>
    </row>
    <row r="893" ht="15" customHeight="1">
      <c r="A893" t="inlineStr">
        <is>
          <t>A 10771-2024</t>
        </is>
      </c>
      <c r="B893" s="1" t="n">
        <v>45369</v>
      </c>
      <c r="C893" s="1" t="n">
        <v>45757</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11617-2024</t>
        </is>
      </c>
      <c r="B894" s="1" t="n">
        <v>45373</v>
      </c>
      <c r="C894" s="1" t="n">
        <v>45757</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11869-2024</t>
        </is>
      </c>
      <c r="B895" s="1" t="n">
        <v>45376</v>
      </c>
      <c r="C895" s="1" t="n">
        <v>45757</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11855-2024</t>
        </is>
      </c>
      <c r="B896" s="1" t="n">
        <v>45376</v>
      </c>
      <c r="C896" s="1" t="n">
        <v>45757</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c r="U896">
        <f>HYPERLINK("https://klasma.github.io/Logging_2029/knärot/A 11855-2024 karta knärot.png", "A 11855-2024")</f>
        <v/>
      </c>
      <c r="V896">
        <f>HYPERLINK("https://klasma.github.io/Logging_2029/klagomål/A 11855-2024 FSC-klagomål.docx", "A 11855-2024")</f>
        <v/>
      </c>
      <c r="W896">
        <f>HYPERLINK("https://klasma.github.io/Logging_2029/klagomålsmail/A 11855-2024 FSC-klagomål mail.docx", "A 11855-2024")</f>
        <v/>
      </c>
      <c r="X896">
        <f>HYPERLINK("https://klasma.github.io/Logging_2029/tillsyn/A 11855-2024 tillsynsbegäran.docx", "A 11855-2024")</f>
        <v/>
      </c>
      <c r="Y896">
        <f>HYPERLINK("https://klasma.github.io/Logging_2029/tillsynsmail/A 11855-2024 tillsynsbegäran mail.docx", "A 11855-2024")</f>
        <v/>
      </c>
    </row>
    <row r="897" ht="15" customHeight="1">
      <c r="A897" t="inlineStr">
        <is>
          <t>A 11859-2024</t>
        </is>
      </c>
      <c r="B897" s="1" t="n">
        <v>45376</v>
      </c>
      <c r="C897" s="1" t="n">
        <v>45757</v>
      </c>
      <c r="D897" t="inlineStr">
        <is>
          <t>DALARNAS LÄN</t>
        </is>
      </c>
      <c r="E897" t="inlineStr">
        <is>
          <t>LEKSAND</t>
        </is>
      </c>
      <c r="G897" t="n">
        <v>2.1</v>
      </c>
      <c r="H897" t="n">
        <v>0</v>
      </c>
      <c r="I897" t="n">
        <v>0</v>
      </c>
      <c r="J897" t="n">
        <v>0</v>
      </c>
      <c r="K897" t="n">
        <v>0</v>
      </c>
      <c r="L897" t="n">
        <v>0</v>
      </c>
      <c r="M897" t="n">
        <v>0</v>
      </c>
      <c r="N897" t="n">
        <v>0</v>
      </c>
      <c r="O897" t="n">
        <v>0</v>
      </c>
      <c r="P897" t="n">
        <v>0</v>
      </c>
      <c r="Q897" t="n">
        <v>0</v>
      </c>
      <c r="R897" s="2" t="inlineStr"/>
    </row>
    <row r="898" ht="15" customHeight="1">
      <c r="A898" t="inlineStr">
        <is>
          <t>A 11872-2024</t>
        </is>
      </c>
      <c r="B898" s="1" t="n">
        <v>45376</v>
      </c>
      <c r="C898" s="1" t="n">
        <v>45757</v>
      </c>
      <c r="D898" t="inlineStr">
        <is>
          <t>DALARNAS LÄN</t>
        </is>
      </c>
      <c r="E898" t="inlineStr">
        <is>
          <t>LEKSAND</t>
        </is>
      </c>
      <c r="G898" t="n">
        <v>3.1</v>
      </c>
      <c r="H898" t="n">
        <v>0</v>
      </c>
      <c r="I898" t="n">
        <v>0</v>
      </c>
      <c r="J898" t="n">
        <v>0</v>
      </c>
      <c r="K898" t="n">
        <v>0</v>
      </c>
      <c r="L898" t="n">
        <v>0</v>
      </c>
      <c r="M898" t="n">
        <v>0</v>
      </c>
      <c r="N898" t="n">
        <v>0</v>
      </c>
      <c r="O898" t="n">
        <v>0</v>
      </c>
      <c r="P898" t="n">
        <v>0</v>
      </c>
      <c r="Q898" t="n">
        <v>0</v>
      </c>
      <c r="R898" s="2" t="inlineStr"/>
    </row>
    <row r="899" ht="15" customHeight="1">
      <c r="A899" t="inlineStr">
        <is>
          <t>A 11870-2024</t>
        </is>
      </c>
      <c r="B899" s="1" t="n">
        <v>45376</v>
      </c>
      <c r="C899" s="1" t="n">
        <v>45757</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12290-2024</t>
        </is>
      </c>
      <c r="B900" s="1" t="n">
        <v>45378</v>
      </c>
      <c r="C900" s="1" t="n">
        <v>45757</v>
      </c>
      <c r="D900" t="inlineStr">
        <is>
          <t>DALARNAS LÄN</t>
        </is>
      </c>
      <c r="E900" t="inlineStr">
        <is>
          <t>LEKSAND</t>
        </is>
      </c>
      <c r="G900" t="n">
        <v>2.5</v>
      </c>
      <c r="H900" t="n">
        <v>0</v>
      </c>
      <c r="I900" t="n">
        <v>0</v>
      </c>
      <c r="J900" t="n">
        <v>0</v>
      </c>
      <c r="K900" t="n">
        <v>0</v>
      </c>
      <c r="L900" t="n">
        <v>0</v>
      </c>
      <c r="M900" t="n">
        <v>0</v>
      </c>
      <c r="N900" t="n">
        <v>0</v>
      </c>
      <c r="O900" t="n">
        <v>0</v>
      </c>
      <c r="P900" t="n">
        <v>0</v>
      </c>
      <c r="Q900" t="n">
        <v>0</v>
      </c>
      <c r="R900" s="2" t="inlineStr"/>
    </row>
    <row r="901" ht="15" customHeight="1">
      <c r="A901" t="inlineStr">
        <is>
          <t>A 12481-2024</t>
        </is>
      </c>
      <c r="B901" s="1" t="n">
        <v>45379</v>
      </c>
      <c r="C901" s="1" t="n">
        <v>45757</v>
      </c>
      <c r="D901" t="inlineStr">
        <is>
          <t>DALARNAS LÄN</t>
        </is>
      </c>
      <c r="E901" t="inlineStr">
        <is>
          <t>LEKSAND</t>
        </is>
      </c>
      <c r="G901" t="n">
        <v>4.6</v>
      </c>
      <c r="H901" t="n">
        <v>0</v>
      </c>
      <c r="I901" t="n">
        <v>0</v>
      </c>
      <c r="J901" t="n">
        <v>0</v>
      </c>
      <c r="K901" t="n">
        <v>0</v>
      </c>
      <c r="L901" t="n">
        <v>0</v>
      </c>
      <c r="M901" t="n">
        <v>0</v>
      </c>
      <c r="N901" t="n">
        <v>0</v>
      </c>
      <c r="O901" t="n">
        <v>0</v>
      </c>
      <c r="P901" t="n">
        <v>0</v>
      </c>
      <c r="Q901" t="n">
        <v>0</v>
      </c>
      <c r="R901" s="2" t="inlineStr"/>
    </row>
    <row r="902" ht="15" customHeight="1">
      <c r="A902" t="inlineStr">
        <is>
          <t>A 13161-2024</t>
        </is>
      </c>
      <c r="B902" s="1" t="n">
        <v>45386</v>
      </c>
      <c r="C902" s="1" t="n">
        <v>45757</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13165-2024</t>
        </is>
      </c>
      <c r="B903" s="1" t="n">
        <v>45386</v>
      </c>
      <c r="C903" s="1" t="n">
        <v>45757</v>
      </c>
      <c r="D903" t="inlineStr">
        <is>
          <t>DALARNAS LÄN</t>
        </is>
      </c>
      <c r="E903" t="inlineStr">
        <is>
          <t>LEKSAND</t>
        </is>
      </c>
      <c r="G903" t="n">
        <v>3.4</v>
      </c>
      <c r="H903" t="n">
        <v>0</v>
      </c>
      <c r="I903" t="n">
        <v>0</v>
      </c>
      <c r="J903" t="n">
        <v>0</v>
      </c>
      <c r="K903" t="n">
        <v>0</v>
      </c>
      <c r="L903" t="n">
        <v>0</v>
      </c>
      <c r="M903" t="n">
        <v>0</v>
      </c>
      <c r="N903" t="n">
        <v>0</v>
      </c>
      <c r="O903" t="n">
        <v>0</v>
      </c>
      <c r="P903" t="n">
        <v>0</v>
      </c>
      <c r="Q903" t="n">
        <v>0</v>
      </c>
      <c r="R903" s="2" t="inlineStr"/>
    </row>
    <row r="904" ht="15" customHeight="1">
      <c r="A904" t="inlineStr">
        <is>
          <t>A 13741-2024</t>
        </is>
      </c>
      <c r="B904" s="1" t="n">
        <v>45390</v>
      </c>
      <c r="C904" s="1" t="n">
        <v>45757</v>
      </c>
      <c r="D904" t="inlineStr">
        <is>
          <t>DALARNAS LÄN</t>
        </is>
      </c>
      <c r="E904" t="inlineStr">
        <is>
          <t>LEKSAND</t>
        </is>
      </c>
      <c r="G904" t="n">
        <v>5.9</v>
      </c>
      <c r="H904" t="n">
        <v>0</v>
      </c>
      <c r="I904" t="n">
        <v>0</v>
      </c>
      <c r="J904" t="n">
        <v>0</v>
      </c>
      <c r="K904" t="n">
        <v>0</v>
      </c>
      <c r="L904" t="n">
        <v>0</v>
      </c>
      <c r="M904" t="n">
        <v>0</v>
      </c>
      <c r="N904" t="n">
        <v>0</v>
      </c>
      <c r="O904" t="n">
        <v>0</v>
      </c>
      <c r="P904" t="n">
        <v>0</v>
      </c>
      <c r="Q904" t="n">
        <v>0</v>
      </c>
      <c r="R904" s="2" t="inlineStr"/>
    </row>
    <row r="905" ht="15" customHeight="1">
      <c r="A905" t="inlineStr">
        <is>
          <t>A 13783-2024</t>
        </is>
      </c>
      <c r="B905" s="1" t="n">
        <v>45391</v>
      </c>
      <c r="C905" s="1" t="n">
        <v>45757</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13811-2024</t>
        </is>
      </c>
      <c r="B906" s="1" t="n">
        <v>45391</v>
      </c>
      <c r="C906" s="1" t="n">
        <v>45757</v>
      </c>
      <c r="D906" t="inlineStr">
        <is>
          <t>DALARNAS LÄN</t>
        </is>
      </c>
      <c r="E906" t="inlineStr">
        <is>
          <t>LEKSAND</t>
        </is>
      </c>
      <c r="G906" t="n">
        <v>0.8</v>
      </c>
      <c r="H906" t="n">
        <v>0</v>
      </c>
      <c r="I906" t="n">
        <v>0</v>
      </c>
      <c r="J906" t="n">
        <v>0</v>
      </c>
      <c r="K906" t="n">
        <v>0</v>
      </c>
      <c r="L906" t="n">
        <v>0</v>
      </c>
      <c r="M906" t="n">
        <v>0</v>
      </c>
      <c r="N906" t="n">
        <v>0</v>
      </c>
      <c r="O906" t="n">
        <v>0</v>
      </c>
      <c r="P906" t="n">
        <v>0</v>
      </c>
      <c r="Q906" t="n">
        <v>0</v>
      </c>
      <c r="R906" s="2" t="inlineStr"/>
    </row>
    <row r="907" ht="15" customHeight="1">
      <c r="A907" t="inlineStr">
        <is>
          <t>A 13990-2024</t>
        </is>
      </c>
      <c r="B907" s="1" t="n">
        <v>45392</v>
      </c>
      <c r="C907" s="1" t="n">
        <v>45757</v>
      </c>
      <c r="D907" t="inlineStr">
        <is>
          <t>DALARNAS LÄN</t>
        </is>
      </c>
      <c r="E907" t="inlineStr">
        <is>
          <t>LEKSAND</t>
        </is>
      </c>
      <c r="G907" t="n">
        <v>1.1</v>
      </c>
      <c r="H907" t="n">
        <v>0</v>
      </c>
      <c r="I907" t="n">
        <v>0</v>
      </c>
      <c r="J907" t="n">
        <v>0</v>
      </c>
      <c r="K907" t="n">
        <v>0</v>
      </c>
      <c r="L907" t="n">
        <v>0</v>
      </c>
      <c r="M907" t="n">
        <v>0</v>
      </c>
      <c r="N907" t="n">
        <v>0</v>
      </c>
      <c r="O907" t="n">
        <v>0</v>
      </c>
      <c r="P907" t="n">
        <v>0</v>
      </c>
      <c r="Q907" t="n">
        <v>0</v>
      </c>
      <c r="R907" s="2" t="inlineStr"/>
    </row>
    <row r="908" ht="15" customHeight="1">
      <c r="A908" t="inlineStr">
        <is>
          <t>A 14276-2024</t>
        </is>
      </c>
      <c r="B908" s="1" t="n">
        <v>45393</v>
      </c>
      <c r="C908" s="1" t="n">
        <v>45757</v>
      </c>
      <c r="D908" t="inlineStr">
        <is>
          <t>DALARNAS LÄN</t>
        </is>
      </c>
      <c r="E908" t="inlineStr">
        <is>
          <t>LEKSAND</t>
        </is>
      </c>
      <c r="F908" t="inlineStr">
        <is>
          <t>Bergvik skog väst AB</t>
        </is>
      </c>
      <c r="G908" t="n">
        <v>14.2</v>
      </c>
      <c r="H908" t="n">
        <v>0</v>
      </c>
      <c r="I908" t="n">
        <v>0</v>
      </c>
      <c r="J908" t="n">
        <v>0</v>
      </c>
      <c r="K908" t="n">
        <v>0</v>
      </c>
      <c r="L908" t="n">
        <v>0</v>
      </c>
      <c r="M908" t="n">
        <v>0</v>
      </c>
      <c r="N908" t="n">
        <v>0</v>
      </c>
      <c r="O908" t="n">
        <v>0</v>
      </c>
      <c r="P908" t="n">
        <v>0</v>
      </c>
      <c r="Q908" t="n">
        <v>0</v>
      </c>
      <c r="R908" s="2" t="inlineStr"/>
    </row>
    <row r="909" ht="15" customHeight="1">
      <c r="A909" t="inlineStr">
        <is>
          <t>A 14616-2024</t>
        </is>
      </c>
      <c r="B909" s="1" t="n">
        <v>45397</v>
      </c>
      <c r="C909" s="1" t="n">
        <v>45757</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14615-2024</t>
        </is>
      </c>
      <c r="B910" s="1" t="n">
        <v>45397</v>
      </c>
      <c r="C910" s="1" t="n">
        <v>45757</v>
      </c>
      <c r="D910" t="inlineStr">
        <is>
          <t>DALARNAS LÄN</t>
        </is>
      </c>
      <c r="E910" t="inlineStr">
        <is>
          <t>LEKSAND</t>
        </is>
      </c>
      <c r="G910" t="n">
        <v>0.4</v>
      </c>
      <c r="H910" t="n">
        <v>0</v>
      </c>
      <c r="I910" t="n">
        <v>0</v>
      </c>
      <c r="J910" t="n">
        <v>0</v>
      </c>
      <c r="K910" t="n">
        <v>0</v>
      </c>
      <c r="L910" t="n">
        <v>0</v>
      </c>
      <c r="M910" t="n">
        <v>0</v>
      </c>
      <c r="N910" t="n">
        <v>0</v>
      </c>
      <c r="O910" t="n">
        <v>0</v>
      </c>
      <c r="P910" t="n">
        <v>0</v>
      </c>
      <c r="Q910" t="n">
        <v>0</v>
      </c>
      <c r="R910" s="2" t="inlineStr"/>
    </row>
    <row r="911" ht="15" customHeight="1">
      <c r="A911" t="inlineStr">
        <is>
          <t>A 14614-2024</t>
        </is>
      </c>
      <c r="B911" s="1" t="n">
        <v>45397</v>
      </c>
      <c r="C911" s="1" t="n">
        <v>45757</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14661-2024</t>
        </is>
      </c>
      <c r="B912" s="1" t="n">
        <v>45397</v>
      </c>
      <c r="C912" s="1" t="n">
        <v>45757</v>
      </c>
      <c r="D912" t="inlineStr">
        <is>
          <t>DALARNAS LÄN</t>
        </is>
      </c>
      <c r="E912" t="inlineStr">
        <is>
          <t>LEKSAND</t>
        </is>
      </c>
      <c r="G912" t="n">
        <v>1</v>
      </c>
      <c r="H912" t="n">
        <v>0</v>
      </c>
      <c r="I912" t="n">
        <v>0</v>
      </c>
      <c r="J912" t="n">
        <v>0</v>
      </c>
      <c r="K912" t="n">
        <v>0</v>
      </c>
      <c r="L912" t="n">
        <v>0</v>
      </c>
      <c r="M912" t="n">
        <v>0</v>
      </c>
      <c r="N912" t="n">
        <v>0</v>
      </c>
      <c r="O912" t="n">
        <v>0</v>
      </c>
      <c r="P912" t="n">
        <v>0</v>
      </c>
      <c r="Q912" t="n">
        <v>0</v>
      </c>
      <c r="R912" s="2" t="inlineStr"/>
    </row>
    <row r="913" ht="15" customHeight="1">
      <c r="A913" t="inlineStr">
        <is>
          <t>A 14688-2024</t>
        </is>
      </c>
      <c r="B913" s="1" t="n">
        <v>45397</v>
      </c>
      <c r="C913" s="1" t="n">
        <v>45757</v>
      </c>
      <c r="D913" t="inlineStr">
        <is>
          <t>DALARNAS LÄN</t>
        </is>
      </c>
      <c r="E913" t="inlineStr">
        <is>
          <t>LEKSAND</t>
        </is>
      </c>
      <c r="G913" t="n">
        <v>3.2</v>
      </c>
      <c r="H913" t="n">
        <v>0</v>
      </c>
      <c r="I913" t="n">
        <v>0</v>
      </c>
      <c r="J913" t="n">
        <v>0</v>
      </c>
      <c r="K913" t="n">
        <v>0</v>
      </c>
      <c r="L913" t="n">
        <v>0</v>
      </c>
      <c r="M913" t="n">
        <v>0</v>
      </c>
      <c r="N913" t="n">
        <v>0</v>
      </c>
      <c r="O913" t="n">
        <v>0</v>
      </c>
      <c r="P913" t="n">
        <v>0</v>
      </c>
      <c r="Q913" t="n">
        <v>0</v>
      </c>
      <c r="R913" s="2" t="inlineStr"/>
    </row>
    <row r="914" ht="15" customHeight="1">
      <c r="A914" t="inlineStr">
        <is>
          <t>A 14792-2024</t>
        </is>
      </c>
      <c r="B914" s="1" t="n">
        <v>45397</v>
      </c>
      <c r="C914" s="1" t="n">
        <v>45757</v>
      </c>
      <c r="D914" t="inlineStr">
        <is>
          <t>DALARNAS LÄN</t>
        </is>
      </c>
      <c r="E914" t="inlineStr">
        <is>
          <t>LEKSAND</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14617-2024</t>
        </is>
      </c>
      <c r="B915" s="1" t="n">
        <v>45397</v>
      </c>
      <c r="C915" s="1" t="n">
        <v>45757</v>
      </c>
      <c r="D915" t="inlineStr">
        <is>
          <t>DALARNAS LÄN</t>
        </is>
      </c>
      <c r="E915" t="inlineStr">
        <is>
          <t>LEKSAND</t>
        </is>
      </c>
      <c r="G915" t="n">
        <v>0.2</v>
      </c>
      <c r="H915" t="n">
        <v>0</v>
      </c>
      <c r="I915" t="n">
        <v>0</v>
      </c>
      <c r="J915" t="n">
        <v>0</v>
      </c>
      <c r="K915" t="n">
        <v>0</v>
      </c>
      <c r="L915" t="n">
        <v>0</v>
      </c>
      <c r="M915" t="n">
        <v>0</v>
      </c>
      <c r="N915" t="n">
        <v>0</v>
      </c>
      <c r="O915" t="n">
        <v>0</v>
      </c>
      <c r="P915" t="n">
        <v>0</v>
      </c>
      <c r="Q915" t="n">
        <v>0</v>
      </c>
      <c r="R915" s="2" t="inlineStr"/>
    </row>
    <row r="916" ht="15" customHeight="1">
      <c r="A916" t="inlineStr">
        <is>
          <t>A 14659-2024</t>
        </is>
      </c>
      <c r="B916" s="1" t="n">
        <v>45397</v>
      </c>
      <c r="C916" s="1" t="n">
        <v>45757</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14908-2024</t>
        </is>
      </c>
      <c r="B917" s="1" t="n">
        <v>45398</v>
      </c>
      <c r="C917" s="1" t="n">
        <v>45757</v>
      </c>
      <c r="D917" t="inlineStr">
        <is>
          <t>DALARNAS LÄN</t>
        </is>
      </c>
      <c r="E917" t="inlineStr">
        <is>
          <t>LEKSAND</t>
        </is>
      </c>
      <c r="F917" t="inlineStr">
        <is>
          <t>Bergvik skog väst AB</t>
        </is>
      </c>
      <c r="G917" t="n">
        <v>1.9</v>
      </c>
      <c r="H917" t="n">
        <v>0</v>
      </c>
      <c r="I917" t="n">
        <v>0</v>
      </c>
      <c r="J917" t="n">
        <v>0</v>
      </c>
      <c r="K917" t="n">
        <v>0</v>
      </c>
      <c r="L917" t="n">
        <v>0</v>
      </c>
      <c r="M917" t="n">
        <v>0</v>
      </c>
      <c r="N917" t="n">
        <v>0</v>
      </c>
      <c r="O917" t="n">
        <v>0</v>
      </c>
      <c r="P917" t="n">
        <v>0</v>
      </c>
      <c r="Q917" t="n">
        <v>0</v>
      </c>
      <c r="R917" s="2" t="inlineStr"/>
    </row>
    <row r="918" ht="15" customHeight="1">
      <c r="A918" t="inlineStr">
        <is>
          <t>A 14957-2024</t>
        </is>
      </c>
      <c r="B918" s="1" t="n">
        <v>45398</v>
      </c>
      <c r="C918" s="1" t="n">
        <v>45757</v>
      </c>
      <c r="D918" t="inlineStr">
        <is>
          <t>DALARNAS LÄN</t>
        </is>
      </c>
      <c r="E918" t="inlineStr">
        <is>
          <t>LEKSAND</t>
        </is>
      </c>
      <c r="G918" t="n">
        <v>11.5</v>
      </c>
      <c r="H918" t="n">
        <v>0</v>
      </c>
      <c r="I918" t="n">
        <v>0</v>
      </c>
      <c r="J918" t="n">
        <v>0</v>
      </c>
      <c r="K918" t="n">
        <v>0</v>
      </c>
      <c r="L918" t="n">
        <v>0</v>
      </c>
      <c r="M918" t="n">
        <v>0</v>
      </c>
      <c r="N918" t="n">
        <v>0</v>
      </c>
      <c r="O918" t="n">
        <v>0</v>
      </c>
      <c r="P918" t="n">
        <v>0</v>
      </c>
      <c r="Q918" t="n">
        <v>0</v>
      </c>
      <c r="R918" s="2" t="inlineStr"/>
    </row>
    <row r="919" ht="15" customHeight="1">
      <c r="A919" t="inlineStr">
        <is>
          <t>A 14903-2024</t>
        </is>
      </c>
      <c r="B919" s="1" t="n">
        <v>45398</v>
      </c>
      <c r="C919" s="1" t="n">
        <v>45757</v>
      </c>
      <c r="D919" t="inlineStr">
        <is>
          <t>DALARNAS LÄN</t>
        </is>
      </c>
      <c r="E919" t="inlineStr">
        <is>
          <t>LEKSAND</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15621-2024</t>
        </is>
      </c>
      <c r="B920" s="1" t="n">
        <v>45402</v>
      </c>
      <c r="C920" s="1" t="n">
        <v>45757</v>
      </c>
      <c r="D920" t="inlineStr">
        <is>
          <t>DALARNAS LÄN</t>
        </is>
      </c>
      <c r="E920" t="inlineStr">
        <is>
          <t>LEKSAND</t>
        </is>
      </c>
      <c r="G920" t="n">
        <v>1.6</v>
      </c>
      <c r="H920" t="n">
        <v>0</v>
      </c>
      <c r="I920" t="n">
        <v>0</v>
      </c>
      <c r="J920" t="n">
        <v>0</v>
      </c>
      <c r="K920" t="n">
        <v>0</v>
      </c>
      <c r="L920" t="n">
        <v>0</v>
      </c>
      <c r="M920" t="n">
        <v>0</v>
      </c>
      <c r="N920" t="n">
        <v>0</v>
      </c>
      <c r="O920" t="n">
        <v>0</v>
      </c>
      <c r="P920" t="n">
        <v>0</v>
      </c>
      <c r="Q920" t="n">
        <v>0</v>
      </c>
      <c r="R920" s="2" t="inlineStr"/>
    </row>
    <row r="921" ht="15" customHeight="1">
      <c r="A921" t="inlineStr">
        <is>
          <t>A 15680-2024</t>
        </is>
      </c>
      <c r="B921" s="1" t="n">
        <v>45404</v>
      </c>
      <c r="C921" s="1" t="n">
        <v>45757</v>
      </c>
      <c r="D921" t="inlineStr">
        <is>
          <t>DALARNAS LÄN</t>
        </is>
      </c>
      <c r="E921" t="inlineStr">
        <is>
          <t>LEKSAND</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15681-2024</t>
        </is>
      </c>
      <c r="B922" s="1" t="n">
        <v>45404</v>
      </c>
      <c r="C922" s="1" t="n">
        <v>45757</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15808-2024</t>
        </is>
      </c>
      <c r="B923" s="1" t="n">
        <v>45404</v>
      </c>
      <c r="C923" s="1" t="n">
        <v>45757</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16197-2024</t>
        </is>
      </c>
      <c r="B924" s="1" t="n">
        <v>45406</v>
      </c>
      <c r="C924" s="1" t="n">
        <v>45757</v>
      </c>
      <c r="D924" t="inlineStr">
        <is>
          <t>DALARNAS LÄN</t>
        </is>
      </c>
      <c r="E924" t="inlineStr">
        <is>
          <t>LEKSAND</t>
        </is>
      </c>
      <c r="G924" t="n">
        <v>2.4</v>
      </c>
      <c r="H924" t="n">
        <v>0</v>
      </c>
      <c r="I924" t="n">
        <v>0</v>
      </c>
      <c r="J924" t="n">
        <v>0</v>
      </c>
      <c r="K924" t="n">
        <v>0</v>
      </c>
      <c r="L924" t="n">
        <v>0</v>
      </c>
      <c r="M924" t="n">
        <v>0</v>
      </c>
      <c r="N924" t="n">
        <v>0</v>
      </c>
      <c r="O924" t="n">
        <v>0</v>
      </c>
      <c r="P924" t="n">
        <v>0</v>
      </c>
      <c r="Q924" t="n">
        <v>0</v>
      </c>
      <c r="R924" s="2" t="inlineStr"/>
    </row>
    <row r="925" ht="15" customHeight="1">
      <c r="A925" t="inlineStr">
        <is>
          <t>A 16265-2024</t>
        </is>
      </c>
      <c r="B925" s="1" t="n">
        <v>45407</v>
      </c>
      <c r="C925" s="1" t="n">
        <v>45757</v>
      </c>
      <c r="D925" t="inlineStr">
        <is>
          <t>DALARNAS LÄN</t>
        </is>
      </c>
      <c r="E925" t="inlineStr">
        <is>
          <t>LEKSAND</t>
        </is>
      </c>
      <c r="F925" t="inlineStr">
        <is>
          <t>Bergvik skog väst AB</t>
        </is>
      </c>
      <c r="G925" t="n">
        <v>0.7</v>
      </c>
      <c r="H925" t="n">
        <v>0</v>
      </c>
      <c r="I925" t="n">
        <v>0</v>
      </c>
      <c r="J925" t="n">
        <v>0</v>
      </c>
      <c r="K925" t="n">
        <v>0</v>
      </c>
      <c r="L925" t="n">
        <v>0</v>
      </c>
      <c r="M925" t="n">
        <v>0</v>
      </c>
      <c r="N925" t="n">
        <v>0</v>
      </c>
      <c r="O925" t="n">
        <v>0</v>
      </c>
      <c r="P925" t="n">
        <v>0</v>
      </c>
      <c r="Q925" t="n">
        <v>0</v>
      </c>
      <c r="R925" s="2" t="inlineStr"/>
    </row>
    <row r="926" ht="15" customHeight="1">
      <c r="A926" t="inlineStr">
        <is>
          <t>A 16417-2024</t>
        </is>
      </c>
      <c r="B926" s="1" t="n">
        <v>45407</v>
      </c>
      <c r="C926" s="1" t="n">
        <v>45757</v>
      </c>
      <c r="D926" t="inlineStr">
        <is>
          <t>DALARNAS LÄN</t>
        </is>
      </c>
      <c r="E926" t="inlineStr">
        <is>
          <t>LEKSAND</t>
        </is>
      </c>
      <c r="F926" t="inlineStr">
        <is>
          <t>Bergvik skog väst AB</t>
        </is>
      </c>
      <c r="G926" t="n">
        <v>17.4</v>
      </c>
      <c r="H926" t="n">
        <v>0</v>
      </c>
      <c r="I926" t="n">
        <v>0</v>
      </c>
      <c r="J926" t="n">
        <v>0</v>
      </c>
      <c r="K926" t="n">
        <v>0</v>
      </c>
      <c r="L926" t="n">
        <v>0</v>
      </c>
      <c r="M926" t="n">
        <v>0</v>
      </c>
      <c r="N926" t="n">
        <v>0</v>
      </c>
      <c r="O926" t="n">
        <v>0</v>
      </c>
      <c r="P926" t="n">
        <v>0</v>
      </c>
      <c r="Q926" t="n">
        <v>0</v>
      </c>
      <c r="R926" s="2" t="inlineStr"/>
    </row>
    <row r="927" ht="15" customHeight="1">
      <c r="A927" t="inlineStr">
        <is>
          <t>A 16264-2024</t>
        </is>
      </c>
      <c r="B927" s="1" t="n">
        <v>45407</v>
      </c>
      <c r="C927" s="1" t="n">
        <v>45757</v>
      </c>
      <c r="D927" t="inlineStr">
        <is>
          <t>DALARNAS LÄN</t>
        </is>
      </c>
      <c r="E927" t="inlineStr">
        <is>
          <t>LEKSAND</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16420-2024</t>
        </is>
      </c>
      <c r="B928" s="1" t="n">
        <v>45407</v>
      </c>
      <c r="C928" s="1" t="n">
        <v>45757</v>
      </c>
      <c r="D928" t="inlineStr">
        <is>
          <t>DALARNAS LÄN</t>
        </is>
      </c>
      <c r="E928" t="inlineStr">
        <is>
          <t>LEKSAND</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16581-2024</t>
        </is>
      </c>
      <c r="B929" s="1" t="n">
        <v>45408</v>
      </c>
      <c r="C929" s="1" t="n">
        <v>45757</v>
      </c>
      <c r="D929" t="inlineStr">
        <is>
          <t>DALARNAS LÄN</t>
        </is>
      </c>
      <c r="E929" t="inlineStr">
        <is>
          <t>LEKSAND</t>
        </is>
      </c>
      <c r="G929" t="n">
        <v>2.6</v>
      </c>
      <c r="H929" t="n">
        <v>0</v>
      </c>
      <c r="I929" t="n">
        <v>0</v>
      </c>
      <c r="J929" t="n">
        <v>0</v>
      </c>
      <c r="K929" t="n">
        <v>0</v>
      </c>
      <c r="L929" t="n">
        <v>0</v>
      </c>
      <c r="M929" t="n">
        <v>0</v>
      </c>
      <c r="N929" t="n">
        <v>0</v>
      </c>
      <c r="O929" t="n">
        <v>0</v>
      </c>
      <c r="P929" t="n">
        <v>0</v>
      </c>
      <c r="Q929" t="n">
        <v>0</v>
      </c>
      <c r="R929" s="2" t="inlineStr"/>
    </row>
    <row r="930" ht="15" customHeight="1">
      <c r="A930" t="inlineStr">
        <is>
          <t>A 16611-2024</t>
        </is>
      </c>
      <c r="B930" s="1" t="n">
        <v>45408</v>
      </c>
      <c r="C930" s="1" t="n">
        <v>45757</v>
      </c>
      <c r="D930" t="inlineStr">
        <is>
          <t>DALARNAS LÄN</t>
        </is>
      </c>
      <c r="E930" t="inlineStr">
        <is>
          <t>LEKSAND</t>
        </is>
      </c>
      <c r="G930" t="n">
        <v>5.9</v>
      </c>
      <c r="H930" t="n">
        <v>0</v>
      </c>
      <c r="I930" t="n">
        <v>0</v>
      </c>
      <c r="J930" t="n">
        <v>0</v>
      </c>
      <c r="K930" t="n">
        <v>0</v>
      </c>
      <c r="L930" t="n">
        <v>0</v>
      </c>
      <c r="M930" t="n">
        <v>0</v>
      </c>
      <c r="N930" t="n">
        <v>0</v>
      </c>
      <c r="O930" t="n">
        <v>0</v>
      </c>
      <c r="P930" t="n">
        <v>0</v>
      </c>
      <c r="Q930" t="n">
        <v>0</v>
      </c>
      <c r="R930" s="2" t="inlineStr"/>
    </row>
    <row r="931" ht="15" customHeight="1">
      <c r="A931" t="inlineStr">
        <is>
          <t>A 16894-2024</t>
        </is>
      </c>
      <c r="B931" s="1" t="n">
        <v>45411</v>
      </c>
      <c r="C931" s="1" t="n">
        <v>45757</v>
      </c>
      <c r="D931" t="inlineStr">
        <is>
          <t>DALARNAS LÄN</t>
        </is>
      </c>
      <c r="E931" t="inlineStr">
        <is>
          <t>LEKSAND</t>
        </is>
      </c>
      <c r="F931" t="inlineStr">
        <is>
          <t>Bergvik skog väst AB</t>
        </is>
      </c>
      <c r="G931" t="n">
        <v>3.7</v>
      </c>
      <c r="H931" t="n">
        <v>0</v>
      </c>
      <c r="I931" t="n">
        <v>0</v>
      </c>
      <c r="J931" t="n">
        <v>0</v>
      </c>
      <c r="K931" t="n">
        <v>0</v>
      </c>
      <c r="L931" t="n">
        <v>0</v>
      </c>
      <c r="M931" t="n">
        <v>0</v>
      </c>
      <c r="N931" t="n">
        <v>0</v>
      </c>
      <c r="O931" t="n">
        <v>0</v>
      </c>
      <c r="P931" t="n">
        <v>0</v>
      </c>
      <c r="Q931" t="n">
        <v>0</v>
      </c>
      <c r="R931" s="2" t="inlineStr"/>
    </row>
    <row r="932" ht="15" customHeight="1">
      <c r="A932" t="inlineStr">
        <is>
          <t>A 17198-2024</t>
        </is>
      </c>
      <c r="B932" s="1" t="n">
        <v>45413</v>
      </c>
      <c r="C932" s="1" t="n">
        <v>45757</v>
      </c>
      <c r="D932" t="inlineStr">
        <is>
          <t>DALARNAS LÄN</t>
        </is>
      </c>
      <c r="E932" t="inlineStr">
        <is>
          <t>LEKSAND</t>
        </is>
      </c>
      <c r="G932" t="n">
        <v>4.8</v>
      </c>
      <c r="H932" t="n">
        <v>0</v>
      </c>
      <c r="I932" t="n">
        <v>0</v>
      </c>
      <c r="J932" t="n">
        <v>0</v>
      </c>
      <c r="K932" t="n">
        <v>0</v>
      </c>
      <c r="L932" t="n">
        <v>0</v>
      </c>
      <c r="M932" t="n">
        <v>0</v>
      </c>
      <c r="N932" t="n">
        <v>0</v>
      </c>
      <c r="O932" t="n">
        <v>0</v>
      </c>
      <c r="P932" t="n">
        <v>0</v>
      </c>
      <c r="Q932" t="n">
        <v>0</v>
      </c>
      <c r="R932" s="2" t="inlineStr"/>
    </row>
    <row r="933" ht="15" customHeight="1">
      <c r="A933" t="inlineStr">
        <is>
          <t>A 17353-2024</t>
        </is>
      </c>
      <c r="B933" s="1" t="n">
        <v>45414</v>
      </c>
      <c r="C933" s="1" t="n">
        <v>45757</v>
      </c>
      <c r="D933" t="inlineStr">
        <is>
          <t>DALARNAS LÄN</t>
        </is>
      </c>
      <c r="E933" t="inlineStr">
        <is>
          <t>LEKSAND</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17606-2024</t>
        </is>
      </c>
      <c r="B934" s="1" t="n">
        <v>45415</v>
      </c>
      <c r="C934" s="1" t="n">
        <v>45757</v>
      </c>
      <c r="D934" t="inlineStr">
        <is>
          <t>DALARNAS LÄN</t>
        </is>
      </c>
      <c r="E934" t="inlineStr">
        <is>
          <t>LEKSAND</t>
        </is>
      </c>
      <c r="G934" t="n">
        <v>0.6</v>
      </c>
      <c r="H934" t="n">
        <v>0</v>
      </c>
      <c r="I934" t="n">
        <v>0</v>
      </c>
      <c r="J934" t="n">
        <v>0</v>
      </c>
      <c r="K934" t="n">
        <v>0</v>
      </c>
      <c r="L934" t="n">
        <v>0</v>
      </c>
      <c r="M934" t="n">
        <v>0</v>
      </c>
      <c r="N934" t="n">
        <v>0</v>
      </c>
      <c r="O934" t="n">
        <v>0</v>
      </c>
      <c r="P934" t="n">
        <v>0</v>
      </c>
      <c r="Q934" t="n">
        <v>0</v>
      </c>
      <c r="R934" s="2" t="inlineStr"/>
    </row>
    <row r="935" ht="15" customHeight="1">
      <c r="A935" t="inlineStr">
        <is>
          <t>A 17796-2024</t>
        </is>
      </c>
      <c r="B935" s="1" t="n">
        <v>45418</v>
      </c>
      <c r="C935" s="1" t="n">
        <v>45757</v>
      </c>
      <c r="D935" t="inlineStr">
        <is>
          <t>DALARNAS LÄN</t>
        </is>
      </c>
      <c r="E935" t="inlineStr">
        <is>
          <t>LEKSAND</t>
        </is>
      </c>
      <c r="G935" t="n">
        <v>3.4</v>
      </c>
      <c r="H935" t="n">
        <v>0</v>
      </c>
      <c r="I935" t="n">
        <v>0</v>
      </c>
      <c r="J935" t="n">
        <v>0</v>
      </c>
      <c r="K935" t="n">
        <v>0</v>
      </c>
      <c r="L935" t="n">
        <v>0</v>
      </c>
      <c r="M935" t="n">
        <v>0</v>
      </c>
      <c r="N935" t="n">
        <v>0</v>
      </c>
      <c r="O935" t="n">
        <v>0</v>
      </c>
      <c r="P935" t="n">
        <v>0</v>
      </c>
      <c r="Q935" t="n">
        <v>0</v>
      </c>
      <c r="R935" s="2" t="inlineStr"/>
    </row>
    <row r="936" ht="15" customHeight="1">
      <c r="A936" t="inlineStr">
        <is>
          <t>A 17726-2024</t>
        </is>
      </c>
      <c r="B936" s="1" t="n">
        <v>45418</v>
      </c>
      <c r="C936" s="1" t="n">
        <v>45757</v>
      </c>
      <c r="D936" t="inlineStr">
        <is>
          <t>DALARNAS LÄN</t>
        </is>
      </c>
      <c r="E936" t="inlineStr">
        <is>
          <t>LEKSAND</t>
        </is>
      </c>
      <c r="G936" t="n">
        <v>5.2</v>
      </c>
      <c r="H936" t="n">
        <v>0</v>
      </c>
      <c r="I936" t="n">
        <v>0</v>
      </c>
      <c r="J936" t="n">
        <v>0</v>
      </c>
      <c r="K936" t="n">
        <v>0</v>
      </c>
      <c r="L936" t="n">
        <v>0</v>
      </c>
      <c r="M936" t="n">
        <v>0</v>
      </c>
      <c r="N936" t="n">
        <v>0</v>
      </c>
      <c r="O936" t="n">
        <v>0</v>
      </c>
      <c r="P936" t="n">
        <v>0</v>
      </c>
      <c r="Q936" t="n">
        <v>0</v>
      </c>
      <c r="R936" s="2" t="inlineStr"/>
    </row>
    <row r="937" ht="15" customHeight="1">
      <c r="A937" t="inlineStr">
        <is>
          <t>A 17730-2024</t>
        </is>
      </c>
      <c r="B937" s="1" t="n">
        <v>45418</v>
      </c>
      <c r="C937" s="1" t="n">
        <v>45757</v>
      </c>
      <c r="D937" t="inlineStr">
        <is>
          <t>DALARNAS LÄN</t>
        </is>
      </c>
      <c r="E937" t="inlineStr">
        <is>
          <t>LEKSAND</t>
        </is>
      </c>
      <c r="G937" t="n">
        <v>2.4</v>
      </c>
      <c r="H937" t="n">
        <v>0</v>
      </c>
      <c r="I937" t="n">
        <v>0</v>
      </c>
      <c r="J937" t="n">
        <v>0</v>
      </c>
      <c r="K937" t="n">
        <v>0</v>
      </c>
      <c r="L937" t="n">
        <v>0</v>
      </c>
      <c r="M937" t="n">
        <v>0</v>
      </c>
      <c r="N937" t="n">
        <v>0</v>
      </c>
      <c r="O937" t="n">
        <v>0</v>
      </c>
      <c r="P937" t="n">
        <v>0</v>
      </c>
      <c r="Q937" t="n">
        <v>0</v>
      </c>
      <c r="R937" s="2" t="inlineStr"/>
    </row>
    <row r="938" ht="15" customHeight="1">
      <c r="A938" t="inlineStr">
        <is>
          <t>A 17938-2024</t>
        </is>
      </c>
      <c r="B938" s="1" t="n">
        <v>45419</v>
      </c>
      <c r="C938" s="1" t="n">
        <v>45757</v>
      </c>
      <c r="D938" t="inlineStr">
        <is>
          <t>DALARNAS LÄN</t>
        </is>
      </c>
      <c r="E938" t="inlineStr">
        <is>
          <t>LEKSAND</t>
        </is>
      </c>
      <c r="G938" t="n">
        <v>3.8</v>
      </c>
      <c r="H938" t="n">
        <v>0</v>
      </c>
      <c r="I938" t="n">
        <v>0</v>
      </c>
      <c r="J938" t="n">
        <v>0</v>
      </c>
      <c r="K938" t="n">
        <v>0</v>
      </c>
      <c r="L938" t="n">
        <v>0</v>
      </c>
      <c r="M938" t="n">
        <v>0</v>
      </c>
      <c r="N938" t="n">
        <v>0</v>
      </c>
      <c r="O938" t="n">
        <v>0</v>
      </c>
      <c r="P938" t="n">
        <v>0</v>
      </c>
      <c r="Q938" t="n">
        <v>0</v>
      </c>
      <c r="R938" s="2" t="inlineStr"/>
    </row>
    <row r="939" ht="15" customHeight="1">
      <c r="A939" t="inlineStr">
        <is>
          <t>A 17944-2024</t>
        </is>
      </c>
      <c r="B939" s="1" t="n">
        <v>45419</v>
      </c>
      <c r="C939" s="1" t="n">
        <v>45757</v>
      </c>
      <c r="D939" t="inlineStr">
        <is>
          <t>DALARNAS LÄN</t>
        </is>
      </c>
      <c r="E939" t="inlineStr">
        <is>
          <t>LEKSAND</t>
        </is>
      </c>
      <c r="G939" t="n">
        <v>2.9</v>
      </c>
      <c r="H939" t="n">
        <v>0</v>
      </c>
      <c r="I939" t="n">
        <v>0</v>
      </c>
      <c r="J939" t="n">
        <v>0</v>
      </c>
      <c r="K939" t="n">
        <v>0</v>
      </c>
      <c r="L939" t="n">
        <v>0</v>
      </c>
      <c r="M939" t="n">
        <v>0</v>
      </c>
      <c r="N939" t="n">
        <v>0</v>
      </c>
      <c r="O939" t="n">
        <v>0</v>
      </c>
      <c r="P939" t="n">
        <v>0</v>
      </c>
      <c r="Q939" t="n">
        <v>0</v>
      </c>
      <c r="R939" s="2" t="inlineStr"/>
    </row>
    <row r="940" ht="15" customHeight="1">
      <c r="A940" t="inlineStr">
        <is>
          <t>A 18040-2024</t>
        </is>
      </c>
      <c r="B940" s="1" t="n">
        <v>45420</v>
      </c>
      <c r="C940" s="1" t="n">
        <v>45757</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18176-2024</t>
        </is>
      </c>
      <c r="B941" s="1" t="n">
        <v>45420</v>
      </c>
      <c r="C941" s="1" t="n">
        <v>45757</v>
      </c>
      <c r="D941" t="inlineStr">
        <is>
          <t>DALARNAS LÄN</t>
        </is>
      </c>
      <c r="E941" t="inlineStr">
        <is>
          <t>LEKSAND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18484-2024</t>
        </is>
      </c>
      <c r="B942" s="1" t="n">
        <v>45425</v>
      </c>
      <c r="C942" s="1" t="n">
        <v>45757</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18481-2024</t>
        </is>
      </c>
      <c r="B943" s="1" t="n">
        <v>45425</v>
      </c>
      <c r="C943" s="1" t="n">
        <v>45757</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18483-2024</t>
        </is>
      </c>
      <c r="B944" s="1" t="n">
        <v>45425</v>
      </c>
      <c r="C944" s="1" t="n">
        <v>45757</v>
      </c>
      <c r="D944" t="inlineStr">
        <is>
          <t>DALARNAS LÄN</t>
        </is>
      </c>
      <c r="E944" t="inlineStr">
        <is>
          <t>LEKSAND</t>
        </is>
      </c>
      <c r="G944" t="n">
        <v>2</v>
      </c>
      <c r="H944" t="n">
        <v>0</v>
      </c>
      <c r="I944" t="n">
        <v>0</v>
      </c>
      <c r="J944" t="n">
        <v>0</v>
      </c>
      <c r="K944" t="n">
        <v>0</v>
      </c>
      <c r="L944" t="n">
        <v>0</v>
      </c>
      <c r="M944" t="n">
        <v>0</v>
      </c>
      <c r="N944" t="n">
        <v>0</v>
      </c>
      <c r="O944" t="n">
        <v>0</v>
      </c>
      <c r="P944" t="n">
        <v>0</v>
      </c>
      <c r="Q944" t="n">
        <v>0</v>
      </c>
      <c r="R944" s="2" t="inlineStr"/>
    </row>
    <row r="945" ht="15" customHeight="1">
      <c r="A945" t="inlineStr">
        <is>
          <t>A 18791-2024</t>
        </is>
      </c>
      <c r="B945" s="1" t="n">
        <v>45426</v>
      </c>
      <c r="C945" s="1" t="n">
        <v>45757</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19075-2024</t>
        </is>
      </c>
      <c r="B946" s="1" t="n">
        <v>45428</v>
      </c>
      <c r="C946" s="1" t="n">
        <v>45757</v>
      </c>
      <c r="D946" t="inlineStr">
        <is>
          <t>DALARNAS LÄN</t>
        </is>
      </c>
      <c r="E946" t="inlineStr">
        <is>
          <t>LEKSAND</t>
        </is>
      </c>
      <c r="G946" t="n">
        <v>4.9</v>
      </c>
      <c r="H946" t="n">
        <v>0</v>
      </c>
      <c r="I946" t="n">
        <v>0</v>
      </c>
      <c r="J946" t="n">
        <v>0</v>
      </c>
      <c r="K946" t="n">
        <v>0</v>
      </c>
      <c r="L946" t="n">
        <v>0</v>
      </c>
      <c r="M946" t="n">
        <v>0</v>
      </c>
      <c r="N946" t="n">
        <v>0</v>
      </c>
      <c r="O946" t="n">
        <v>0</v>
      </c>
      <c r="P946" t="n">
        <v>0</v>
      </c>
      <c r="Q946" t="n">
        <v>0</v>
      </c>
      <c r="R946" s="2" t="inlineStr"/>
    </row>
    <row r="947" ht="15" customHeight="1">
      <c r="A947" t="inlineStr">
        <is>
          <t>A 18991-2024</t>
        </is>
      </c>
      <c r="B947" s="1" t="n">
        <v>45427</v>
      </c>
      <c r="C947" s="1" t="n">
        <v>45757</v>
      </c>
      <c r="D947" t="inlineStr">
        <is>
          <t>DALARNAS LÄN</t>
        </is>
      </c>
      <c r="E947" t="inlineStr">
        <is>
          <t>LEKSAND</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19295-2024</t>
        </is>
      </c>
      <c r="B948" s="1" t="n">
        <v>45428</v>
      </c>
      <c r="C948" s="1" t="n">
        <v>45757</v>
      </c>
      <c r="D948" t="inlineStr">
        <is>
          <t>DALARNAS LÄN</t>
        </is>
      </c>
      <c r="E948" t="inlineStr">
        <is>
          <t>LEKSAND</t>
        </is>
      </c>
      <c r="G948" t="n">
        <v>1.6</v>
      </c>
      <c r="H948" t="n">
        <v>0</v>
      </c>
      <c r="I948" t="n">
        <v>0</v>
      </c>
      <c r="J948" t="n">
        <v>0</v>
      </c>
      <c r="K948" t="n">
        <v>0</v>
      </c>
      <c r="L948" t="n">
        <v>0</v>
      </c>
      <c r="M948" t="n">
        <v>0</v>
      </c>
      <c r="N948" t="n">
        <v>0</v>
      </c>
      <c r="O948" t="n">
        <v>0</v>
      </c>
      <c r="P948" t="n">
        <v>0</v>
      </c>
      <c r="Q948" t="n">
        <v>0</v>
      </c>
      <c r="R948" s="2" t="inlineStr"/>
    </row>
    <row r="949" ht="15" customHeight="1">
      <c r="A949" t="inlineStr">
        <is>
          <t>A 19296-2024</t>
        </is>
      </c>
      <c r="B949" s="1" t="n">
        <v>45428</v>
      </c>
      <c r="C949" s="1" t="n">
        <v>45757</v>
      </c>
      <c r="D949" t="inlineStr">
        <is>
          <t>DALARNAS LÄN</t>
        </is>
      </c>
      <c r="E949" t="inlineStr">
        <is>
          <t>LEKSAND</t>
        </is>
      </c>
      <c r="G949" t="n">
        <v>2.4</v>
      </c>
      <c r="H949" t="n">
        <v>0</v>
      </c>
      <c r="I949" t="n">
        <v>0</v>
      </c>
      <c r="J949" t="n">
        <v>0</v>
      </c>
      <c r="K949" t="n">
        <v>0</v>
      </c>
      <c r="L949" t="n">
        <v>0</v>
      </c>
      <c r="M949" t="n">
        <v>0</v>
      </c>
      <c r="N949" t="n">
        <v>0</v>
      </c>
      <c r="O949" t="n">
        <v>0</v>
      </c>
      <c r="P949" t="n">
        <v>0</v>
      </c>
      <c r="Q949" t="n">
        <v>0</v>
      </c>
      <c r="R949" s="2" t="inlineStr"/>
    </row>
    <row r="950" ht="15" customHeight="1">
      <c r="A950" t="inlineStr">
        <is>
          <t>A 19371-2024</t>
        </is>
      </c>
      <c r="B950" s="1" t="n">
        <v>45429</v>
      </c>
      <c r="C950" s="1" t="n">
        <v>45757</v>
      </c>
      <c r="D950" t="inlineStr">
        <is>
          <t>DALARNAS LÄN</t>
        </is>
      </c>
      <c r="E950" t="inlineStr">
        <is>
          <t>LEKSAND</t>
        </is>
      </c>
      <c r="G950" t="n">
        <v>0.6</v>
      </c>
      <c r="H950" t="n">
        <v>0</v>
      </c>
      <c r="I950" t="n">
        <v>0</v>
      </c>
      <c r="J950" t="n">
        <v>0</v>
      </c>
      <c r="K950" t="n">
        <v>0</v>
      </c>
      <c r="L950" t="n">
        <v>0</v>
      </c>
      <c r="M950" t="n">
        <v>0</v>
      </c>
      <c r="N950" t="n">
        <v>0</v>
      </c>
      <c r="O950" t="n">
        <v>0</v>
      </c>
      <c r="P950" t="n">
        <v>0</v>
      </c>
      <c r="Q950" t="n">
        <v>0</v>
      </c>
      <c r="R950" s="2" t="inlineStr"/>
    </row>
    <row r="951" ht="15" customHeight="1">
      <c r="A951" t="inlineStr">
        <is>
          <t>A 19670-2024</t>
        </is>
      </c>
      <c r="B951" s="1" t="n">
        <v>45432</v>
      </c>
      <c r="C951" s="1" t="n">
        <v>45757</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19738-2024</t>
        </is>
      </c>
      <c r="B952" s="1" t="n">
        <v>45432</v>
      </c>
      <c r="C952" s="1" t="n">
        <v>45757</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19741-2024</t>
        </is>
      </c>
      <c r="B953" s="1" t="n">
        <v>45432</v>
      </c>
      <c r="C953" s="1" t="n">
        <v>45757</v>
      </c>
      <c r="D953" t="inlineStr">
        <is>
          <t>DALARNAS LÄN</t>
        </is>
      </c>
      <c r="E953" t="inlineStr">
        <is>
          <t>LEKSAND</t>
        </is>
      </c>
      <c r="G953" t="n">
        <v>1.1</v>
      </c>
      <c r="H953" t="n">
        <v>0</v>
      </c>
      <c r="I953" t="n">
        <v>0</v>
      </c>
      <c r="J953" t="n">
        <v>0</v>
      </c>
      <c r="K953" t="n">
        <v>0</v>
      </c>
      <c r="L953" t="n">
        <v>0</v>
      </c>
      <c r="M953" t="n">
        <v>0</v>
      </c>
      <c r="N953" t="n">
        <v>0</v>
      </c>
      <c r="O953" t="n">
        <v>0</v>
      </c>
      <c r="P953" t="n">
        <v>0</v>
      </c>
      <c r="Q953" t="n">
        <v>0</v>
      </c>
      <c r="R953" s="2" t="inlineStr"/>
    </row>
    <row r="954" ht="15" customHeight="1">
      <c r="A954" t="inlineStr">
        <is>
          <t>A 19618-2024</t>
        </is>
      </c>
      <c r="B954" s="1" t="n">
        <v>45432</v>
      </c>
      <c r="C954" s="1" t="n">
        <v>45757</v>
      </c>
      <c r="D954" t="inlineStr">
        <is>
          <t>DALARNAS LÄN</t>
        </is>
      </c>
      <c r="E954" t="inlineStr">
        <is>
          <t>LEKSAND</t>
        </is>
      </c>
      <c r="G954" t="n">
        <v>1.5</v>
      </c>
      <c r="H954" t="n">
        <v>0</v>
      </c>
      <c r="I954" t="n">
        <v>0</v>
      </c>
      <c r="J954" t="n">
        <v>0</v>
      </c>
      <c r="K954" t="n">
        <v>0</v>
      </c>
      <c r="L954" t="n">
        <v>0</v>
      </c>
      <c r="M954" t="n">
        <v>0</v>
      </c>
      <c r="N954" t="n">
        <v>0</v>
      </c>
      <c r="O954" t="n">
        <v>0</v>
      </c>
      <c r="P954" t="n">
        <v>0</v>
      </c>
      <c r="Q954" t="n">
        <v>0</v>
      </c>
      <c r="R954" s="2" t="inlineStr"/>
    </row>
    <row r="955" ht="15" customHeight="1">
      <c r="A955" t="inlineStr">
        <is>
          <t>A 19622-2024</t>
        </is>
      </c>
      <c r="B955" s="1" t="n">
        <v>45432</v>
      </c>
      <c r="C955" s="1" t="n">
        <v>45757</v>
      </c>
      <c r="D955" t="inlineStr">
        <is>
          <t>DALARNAS LÄN</t>
        </is>
      </c>
      <c r="E955" t="inlineStr">
        <is>
          <t>LEKSAND</t>
        </is>
      </c>
      <c r="G955" t="n">
        <v>1.3</v>
      </c>
      <c r="H955" t="n">
        <v>0</v>
      </c>
      <c r="I955" t="n">
        <v>0</v>
      </c>
      <c r="J955" t="n">
        <v>0</v>
      </c>
      <c r="K955" t="n">
        <v>0</v>
      </c>
      <c r="L955" t="n">
        <v>0</v>
      </c>
      <c r="M955" t="n">
        <v>0</v>
      </c>
      <c r="N955" t="n">
        <v>0</v>
      </c>
      <c r="O955" t="n">
        <v>0</v>
      </c>
      <c r="P955" t="n">
        <v>0</v>
      </c>
      <c r="Q955" t="n">
        <v>0</v>
      </c>
      <c r="R955" s="2" t="inlineStr"/>
    </row>
    <row r="956" ht="15" customHeight="1">
      <c r="A956" t="inlineStr">
        <is>
          <t>A 19820-2024</t>
        </is>
      </c>
      <c r="B956" s="1" t="n">
        <v>45433</v>
      </c>
      <c r="C956" s="1" t="n">
        <v>45757</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19823-2024</t>
        </is>
      </c>
      <c r="B957" s="1" t="n">
        <v>45433</v>
      </c>
      <c r="C957" s="1" t="n">
        <v>45757</v>
      </c>
      <c r="D957" t="inlineStr">
        <is>
          <t>DALARNAS LÄN</t>
        </is>
      </c>
      <c r="E957" t="inlineStr">
        <is>
          <t>LEKSAND</t>
        </is>
      </c>
      <c r="G957" t="n">
        <v>0.3</v>
      </c>
      <c r="H957" t="n">
        <v>0</v>
      </c>
      <c r="I957" t="n">
        <v>0</v>
      </c>
      <c r="J957" t="n">
        <v>0</v>
      </c>
      <c r="K957" t="n">
        <v>0</v>
      </c>
      <c r="L957" t="n">
        <v>0</v>
      </c>
      <c r="M957" t="n">
        <v>0</v>
      </c>
      <c r="N957" t="n">
        <v>0</v>
      </c>
      <c r="O957" t="n">
        <v>0</v>
      </c>
      <c r="P957" t="n">
        <v>0</v>
      </c>
      <c r="Q957" t="n">
        <v>0</v>
      </c>
      <c r="R957" s="2" t="inlineStr"/>
    </row>
    <row r="958" ht="15" customHeight="1">
      <c r="A958" t="inlineStr">
        <is>
          <t>A 20110-2024</t>
        </is>
      </c>
      <c r="B958" s="1" t="n">
        <v>45434</v>
      </c>
      <c r="C958" s="1" t="n">
        <v>45757</v>
      </c>
      <c r="D958" t="inlineStr">
        <is>
          <t>DALARNAS LÄN</t>
        </is>
      </c>
      <c r="E958" t="inlineStr">
        <is>
          <t>LEKSAND</t>
        </is>
      </c>
      <c r="G958" t="n">
        <v>1.8</v>
      </c>
      <c r="H958" t="n">
        <v>0</v>
      </c>
      <c r="I958" t="n">
        <v>0</v>
      </c>
      <c r="J958" t="n">
        <v>0</v>
      </c>
      <c r="K958" t="n">
        <v>0</v>
      </c>
      <c r="L958" t="n">
        <v>0</v>
      </c>
      <c r="M958" t="n">
        <v>0</v>
      </c>
      <c r="N958" t="n">
        <v>0</v>
      </c>
      <c r="O958" t="n">
        <v>0</v>
      </c>
      <c r="P958" t="n">
        <v>0</v>
      </c>
      <c r="Q958" t="n">
        <v>0</v>
      </c>
      <c r="R958" s="2" t="inlineStr"/>
    </row>
    <row r="959" ht="15" customHeight="1">
      <c r="A959" t="inlineStr">
        <is>
          <t>A 20590-2024</t>
        </is>
      </c>
      <c r="B959" s="1" t="n">
        <v>45436</v>
      </c>
      <c r="C959" s="1" t="n">
        <v>45757</v>
      </c>
      <c r="D959" t="inlineStr">
        <is>
          <t>DALARNAS LÄN</t>
        </is>
      </c>
      <c r="E959" t="inlineStr">
        <is>
          <t>LEKSAND</t>
        </is>
      </c>
      <c r="G959" t="n">
        <v>0.9</v>
      </c>
      <c r="H959" t="n">
        <v>0</v>
      </c>
      <c r="I959" t="n">
        <v>0</v>
      </c>
      <c r="J959" t="n">
        <v>0</v>
      </c>
      <c r="K959" t="n">
        <v>0</v>
      </c>
      <c r="L959" t="n">
        <v>0</v>
      </c>
      <c r="M959" t="n">
        <v>0</v>
      </c>
      <c r="N959" t="n">
        <v>0</v>
      </c>
      <c r="O959" t="n">
        <v>0</v>
      </c>
      <c r="P959" t="n">
        <v>0</v>
      </c>
      <c r="Q959" t="n">
        <v>0</v>
      </c>
      <c r="R959" s="2" t="inlineStr"/>
    </row>
    <row r="960" ht="15" customHeight="1">
      <c r="A960" t="inlineStr">
        <is>
          <t>A 20588-2024</t>
        </is>
      </c>
      <c r="B960" s="1" t="n">
        <v>45436</v>
      </c>
      <c r="C960" s="1" t="n">
        <v>45757</v>
      </c>
      <c r="D960" t="inlineStr">
        <is>
          <t>DALARNAS LÄN</t>
        </is>
      </c>
      <c r="E960" t="inlineStr">
        <is>
          <t>LEKSAND</t>
        </is>
      </c>
      <c r="F960" t="inlineStr">
        <is>
          <t>Bergvik skog väst AB</t>
        </is>
      </c>
      <c r="G960" t="n">
        <v>34.4</v>
      </c>
      <c r="H960" t="n">
        <v>0</v>
      </c>
      <c r="I960" t="n">
        <v>0</v>
      </c>
      <c r="J960" t="n">
        <v>0</v>
      </c>
      <c r="K960" t="n">
        <v>0</v>
      </c>
      <c r="L960" t="n">
        <v>0</v>
      </c>
      <c r="M960" t="n">
        <v>0</v>
      </c>
      <c r="N960" t="n">
        <v>0</v>
      </c>
      <c r="O960" t="n">
        <v>0</v>
      </c>
      <c r="P960" t="n">
        <v>0</v>
      </c>
      <c r="Q960" t="n">
        <v>0</v>
      </c>
      <c r="R960" s="2" t="inlineStr"/>
    </row>
    <row r="961" ht="15" customHeight="1">
      <c r="A961" t="inlineStr">
        <is>
          <t>A 20718-2024</t>
        </is>
      </c>
      <c r="B961" s="1" t="n">
        <v>45436</v>
      </c>
      <c r="C961" s="1" t="n">
        <v>45757</v>
      </c>
      <c r="D961" t="inlineStr">
        <is>
          <t>DALARNAS LÄN</t>
        </is>
      </c>
      <c r="E961" t="inlineStr">
        <is>
          <t>LEKSAND</t>
        </is>
      </c>
      <c r="F961" t="inlineStr">
        <is>
          <t>Bergvik skog väst AB</t>
        </is>
      </c>
      <c r="G961" t="n">
        <v>4.7</v>
      </c>
      <c r="H961" t="n">
        <v>0</v>
      </c>
      <c r="I961" t="n">
        <v>0</v>
      </c>
      <c r="J961" t="n">
        <v>0</v>
      </c>
      <c r="K961" t="n">
        <v>0</v>
      </c>
      <c r="L961" t="n">
        <v>0</v>
      </c>
      <c r="M961" t="n">
        <v>0</v>
      </c>
      <c r="N961" t="n">
        <v>0</v>
      </c>
      <c r="O961" t="n">
        <v>0</v>
      </c>
      <c r="P961" t="n">
        <v>0</v>
      </c>
      <c r="Q961" t="n">
        <v>0</v>
      </c>
      <c r="R961" s="2" t="inlineStr"/>
    </row>
    <row r="962" ht="15" customHeight="1">
      <c r="A962" t="inlineStr">
        <is>
          <t>A 21017-2024</t>
        </is>
      </c>
      <c r="B962" s="1" t="n">
        <v>45439</v>
      </c>
      <c r="C962" s="1" t="n">
        <v>45757</v>
      </c>
      <c r="D962" t="inlineStr">
        <is>
          <t>DALARNAS LÄN</t>
        </is>
      </c>
      <c r="E962" t="inlineStr">
        <is>
          <t>LEKSAND</t>
        </is>
      </c>
      <c r="G962" t="n">
        <v>2.8</v>
      </c>
      <c r="H962" t="n">
        <v>0</v>
      </c>
      <c r="I962" t="n">
        <v>0</v>
      </c>
      <c r="J962" t="n">
        <v>0</v>
      </c>
      <c r="K962" t="n">
        <v>0</v>
      </c>
      <c r="L962" t="n">
        <v>0</v>
      </c>
      <c r="M962" t="n">
        <v>0</v>
      </c>
      <c r="N962" t="n">
        <v>0</v>
      </c>
      <c r="O962" t="n">
        <v>0</v>
      </c>
      <c r="P962" t="n">
        <v>0</v>
      </c>
      <c r="Q962" t="n">
        <v>0</v>
      </c>
      <c r="R962" s="2" t="inlineStr"/>
    </row>
    <row r="963" ht="15" customHeight="1">
      <c r="A963" t="inlineStr">
        <is>
          <t>A 21035-2024</t>
        </is>
      </c>
      <c r="B963" s="1" t="n">
        <v>45439</v>
      </c>
      <c r="C963" s="1" t="n">
        <v>45757</v>
      </c>
      <c r="D963" t="inlineStr">
        <is>
          <t>DALARNAS LÄN</t>
        </is>
      </c>
      <c r="E963" t="inlineStr">
        <is>
          <t>LEKSAND</t>
        </is>
      </c>
      <c r="G963" t="n">
        <v>11.6</v>
      </c>
      <c r="H963" t="n">
        <v>0</v>
      </c>
      <c r="I963" t="n">
        <v>0</v>
      </c>
      <c r="J963" t="n">
        <v>0</v>
      </c>
      <c r="K963" t="n">
        <v>0</v>
      </c>
      <c r="L963" t="n">
        <v>0</v>
      </c>
      <c r="M963" t="n">
        <v>0</v>
      </c>
      <c r="N963" t="n">
        <v>0</v>
      </c>
      <c r="O963" t="n">
        <v>0</v>
      </c>
      <c r="P963" t="n">
        <v>0</v>
      </c>
      <c r="Q963" t="n">
        <v>0</v>
      </c>
      <c r="R963" s="2" t="inlineStr"/>
    </row>
    <row r="964" ht="15" customHeight="1">
      <c r="A964" t="inlineStr">
        <is>
          <t>A 21556-2024</t>
        </is>
      </c>
      <c r="B964" s="1" t="n">
        <v>45441</v>
      </c>
      <c r="C964" s="1" t="n">
        <v>45757</v>
      </c>
      <c r="D964" t="inlineStr">
        <is>
          <t>DALARNAS LÄN</t>
        </is>
      </c>
      <c r="E964" t="inlineStr">
        <is>
          <t>LEKSAND</t>
        </is>
      </c>
      <c r="G964" t="n">
        <v>2.9</v>
      </c>
      <c r="H964" t="n">
        <v>0</v>
      </c>
      <c r="I964" t="n">
        <v>0</v>
      </c>
      <c r="J964" t="n">
        <v>0</v>
      </c>
      <c r="K964" t="n">
        <v>0</v>
      </c>
      <c r="L964" t="n">
        <v>0</v>
      </c>
      <c r="M964" t="n">
        <v>0</v>
      </c>
      <c r="N964" t="n">
        <v>0</v>
      </c>
      <c r="O964" t="n">
        <v>0</v>
      </c>
      <c r="P964" t="n">
        <v>0</v>
      </c>
      <c r="Q964" t="n">
        <v>0</v>
      </c>
      <c r="R964" s="2" t="inlineStr"/>
    </row>
    <row r="965" ht="15" customHeight="1">
      <c r="A965" t="inlineStr">
        <is>
          <t>A 21676-2024</t>
        </is>
      </c>
      <c r="B965" s="1" t="n">
        <v>45442</v>
      </c>
      <c r="C965" s="1" t="n">
        <v>45757</v>
      </c>
      <c r="D965" t="inlineStr">
        <is>
          <t>DALARNAS LÄN</t>
        </is>
      </c>
      <c r="E965" t="inlineStr">
        <is>
          <t>LEKSAND</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22059-2024</t>
        </is>
      </c>
      <c r="B966" s="1" t="n">
        <v>45443</v>
      </c>
      <c r="C966" s="1" t="n">
        <v>45757</v>
      </c>
      <c r="D966" t="inlineStr">
        <is>
          <t>DALARNAS LÄN</t>
        </is>
      </c>
      <c r="E966" t="inlineStr">
        <is>
          <t>LEKSAND</t>
        </is>
      </c>
      <c r="G966" t="n">
        <v>13.4</v>
      </c>
      <c r="H966" t="n">
        <v>0</v>
      </c>
      <c r="I966" t="n">
        <v>0</v>
      </c>
      <c r="J966" t="n">
        <v>0</v>
      </c>
      <c r="K966" t="n">
        <v>0</v>
      </c>
      <c r="L966" t="n">
        <v>0</v>
      </c>
      <c r="M966" t="n">
        <v>0</v>
      </c>
      <c r="N966" t="n">
        <v>0</v>
      </c>
      <c r="O966" t="n">
        <v>0</v>
      </c>
      <c r="P966" t="n">
        <v>0</v>
      </c>
      <c r="Q966" t="n">
        <v>0</v>
      </c>
      <c r="R966" s="2" t="inlineStr"/>
    </row>
    <row r="967" ht="15" customHeight="1">
      <c r="A967" t="inlineStr">
        <is>
          <t>A 22354-2024</t>
        </is>
      </c>
      <c r="B967" s="1" t="n">
        <v>45446</v>
      </c>
      <c r="C967" s="1" t="n">
        <v>45757</v>
      </c>
      <c r="D967" t="inlineStr">
        <is>
          <t>DALARNAS LÄN</t>
        </is>
      </c>
      <c r="E967" t="inlineStr">
        <is>
          <t>LEKSAND</t>
        </is>
      </c>
      <c r="G967" t="n">
        <v>1</v>
      </c>
      <c r="H967" t="n">
        <v>0</v>
      </c>
      <c r="I967" t="n">
        <v>0</v>
      </c>
      <c r="J967" t="n">
        <v>0</v>
      </c>
      <c r="K967" t="n">
        <v>0</v>
      </c>
      <c r="L967" t="n">
        <v>0</v>
      </c>
      <c r="M967" t="n">
        <v>0</v>
      </c>
      <c r="N967" t="n">
        <v>0</v>
      </c>
      <c r="O967" t="n">
        <v>0</v>
      </c>
      <c r="P967" t="n">
        <v>0</v>
      </c>
      <c r="Q967" t="n">
        <v>0</v>
      </c>
      <c r="R967" s="2" t="inlineStr"/>
    </row>
    <row r="968" ht="15" customHeight="1">
      <c r="A968" t="inlineStr">
        <is>
          <t>A 22388-2024</t>
        </is>
      </c>
      <c r="B968" s="1" t="n">
        <v>45446</v>
      </c>
      <c r="C968" s="1" t="n">
        <v>45757</v>
      </c>
      <c r="D968" t="inlineStr">
        <is>
          <t>DALARNAS LÄN</t>
        </is>
      </c>
      <c r="E968" t="inlineStr">
        <is>
          <t>LEKSAND</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22349-2024</t>
        </is>
      </c>
      <c r="B969" s="1" t="n">
        <v>45446</v>
      </c>
      <c r="C969" s="1" t="n">
        <v>45757</v>
      </c>
      <c r="D969" t="inlineStr">
        <is>
          <t>DALARNAS LÄN</t>
        </is>
      </c>
      <c r="E969" t="inlineStr">
        <is>
          <t>LEKSAND</t>
        </is>
      </c>
      <c r="G969" t="n">
        <v>0.6</v>
      </c>
      <c r="H969" t="n">
        <v>0</v>
      </c>
      <c r="I969" t="n">
        <v>0</v>
      </c>
      <c r="J969" t="n">
        <v>0</v>
      </c>
      <c r="K969" t="n">
        <v>0</v>
      </c>
      <c r="L969" t="n">
        <v>0</v>
      </c>
      <c r="M969" t="n">
        <v>0</v>
      </c>
      <c r="N969" t="n">
        <v>0</v>
      </c>
      <c r="O969" t="n">
        <v>0</v>
      </c>
      <c r="P969" t="n">
        <v>0</v>
      </c>
      <c r="Q969" t="n">
        <v>0</v>
      </c>
      <c r="R969" s="2" t="inlineStr"/>
    </row>
    <row r="970" ht="15" customHeight="1">
      <c r="A970" t="inlineStr">
        <is>
          <t>A 22281-2024</t>
        </is>
      </c>
      <c r="B970" s="1" t="n">
        <v>45446</v>
      </c>
      <c r="C970" s="1" t="n">
        <v>45757</v>
      </c>
      <c r="D970" t="inlineStr">
        <is>
          <t>DALARNAS LÄN</t>
        </is>
      </c>
      <c r="E970" t="inlineStr">
        <is>
          <t>LEKSAND</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22612-2024</t>
        </is>
      </c>
      <c r="B971" s="1" t="n">
        <v>45447</v>
      </c>
      <c r="C971" s="1" t="n">
        <v>45757</v>
      </c>
      <c r="D971" t="inlineStr">
        <is>
          <t>DALARNAS LÄN</t>
        </is>
      </c>
      <c r="E971" t="inlineStr">
        <is>
          <t>LEKSAND</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22517-2024</t>
        </is>
      </c>
      <c r="B972" s="1" t="n">
        <v>45447</v>
      </c>
      <c r="C972" s="1" t="n">
        <v>45757</v>
      </c>
      <c r="D972" t="inlineStr">
        <is>
          <t>DALARNAS LÄN</t>
        </is>
      </c>
      <c r="E972" t="inlineStr">
        <is>
          <t>LEKSAND</t>
        </is>
      </c>
      <c r="G972" t="n">
        <v>0.4</v>
      </c>
      <c r="H972" t="n">
        <v>0</v>
      </c>
      <c r="I972" t="n">
        <v>0</v>
      </c>
      <c r="J972" t="n">
        <v>0</v>
      </c>
      <c r="K972" t="n">
        <v>0</v>
      </c>
      <c r="L972" t="n">
        <v>0</v>
      </c>
      <c r="M972" t="n">
        <v>0</v>
      </c>
      <c r="N972" t="n">
        <v>0</v>
      </c>
      <c r="O972" t="n">
        <v>0</v>
      </c>
      <c r="P972" t="n">
        <v>0</v>
      </c>
      <c r="Q972" t="n">
        <v>0</v>
      </c>
      <c r="R972" s="2" t="inlineStr"/>
    </row>
    <row r="973" ht="15" customHeight="1">
      <c r="A973" t="inlineStr">
        <is>
          <t>A 22686-2024</t>
        </is>
      </c>
      <c r="B973" s="1" t="n">
        <v>45448</v>
      </c>
      <c r="C973" s="1" t="n">
        <v>45757</v>
      </c>
      <c r="D973" t="inlineStr">
        <is>
          <t>DALARNAS LÄN</t>
        </is>
      </c>
      <c r="E973" t="inlineStr">
        <is>
          <t>LEKSAND</t>
        </is>
      </c>
      <c r="G973" t="n">
        <v>2.3</v>
      </c>
      <c r="H973" t="n">
        <v>0</v>
      </c>
      <c r="I973" t="n">
        <v>0</v>
      </c>
      <c r="J973" t="n">
        <v>0</v>
      </c>
      <c r="K973" t="n">
        <v>0</v>
      </c>
      <c r="L973" t="n">
        <v>0</v>
      </c>
      <c r="M973" t="n">
        <v>0</v>
      </c>
      <c r="N973" t="n">
        <v>0</v>
      </c>
      <c r="O973" t="n">
        <v>0</v>
      </c>
      <c r="P973" t="n">
        <v>0</v>
      </c>
      <c r="Q973" t="n">
        <v>0</v>
      </c>
      <c r="R973" s="2" t="inlineStr"/>
    </row>
    <row r="974" ht="15" customHeight="1">
      <c r="A974" t="inlineStr">
        <is>
          <t>A 22708-2024</t>
        </is>
      </c>
      <c r="B974" s="1" t="n">
        <v>45448</v>
      </c>
      <c r="C974" s="1" t="n">
        <v>45757</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23068-2024</t>
        </is>
      </c>
      <c r="B975" s="1" t="n">
        <v>45450</v>
      </c>
      <c r="C975" s="1" t="n">
        <v>45757</v>
      </c>
      <c r="D975" t="inlineStr">
        <is>
          <t>DALARNAS LÄN</t>
        </is>
      </c>
      <c r="E975" t="inlineStr">
        <is>
          <t>LEKSAND</t>
        </is>
      </c>
      <c r="G975" t="n">
        <v>2.4</v>
      </c>
      <c r="H975" t="n">
        <v>0</v>
      </c>
      <c r="I975" t="n">
        <v>0</v>
      </c>
      <c r="J975" t="n">
        <v>0</v>
      </c>
      <c r="K975" t="n">
        <v>0</v>
      </c>
      <c r="L975" t="n">
        <v>0</v>
      </c>
      <c r="M975" t="n">
        <v>0</v>
      </c>
      <c r="N975" t="n">
        <v>0</v>
      </c>
      <c r="O975" t="n">
        <v>0</v>
      </c>
      <c r="P975" t="n">
        <v>0</v>
      </c>
      <c r="Q975" t="n">
        <v>0</v>
      </c>
      <c r="R975" s="2" t="inlineStr"/>
    </row>
    <row r="976" ht="15" customHeight="1">
      <c r="A976" t="inlineStr">
        <is>
          <t>A 23283-2024</t>
        </is>
      </c>
      <c r="B976" s="1" t="n">
        <v>45453</v>
      </c>
      <c r="C976" s="1" t="n">
        <v>45757</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23320-2024</t>
        </is>
      </c>
      <c r="B977" s="1" t="n">
        <v>45453</v>
      </c>
      <c r="C977" s="1" t="n">
        <v>45757</v>
      </c>
      <c r="D977" t="inlineStr">
        <is>
          <t>DALARNAS LÄN</t>
        </is>
      </c>
      <c r="E977" t="inlineStr">
        <is>
          <t>LEKSAND</t>
        </is>
      </c>
      <c r="G977" t="n">
        <v>4.6</v>
      </c>
      <c r="H977" t="n">
        <v>0</v>
      </c>
      <c r="I977" t="n">
        <v>0</v>
      </c>
      <c r="J977" t="n">
        <v>0</v>
      </c>
      <c r="K977" t="n">
        <v>0</v>
      </c>
      <c r="L977" t="n">
        <v>0</v>
      </c>
      <c r="M977" t="n">
        <v>0</v>
      </c>
      <c r="N977" t="n">
        <v>0</v>
      </c>
      <c r="O977" t="n">
        <v>0</v>
      </c>
      <c r="P977" t="n">
        <v>0</v>
      </c>
      <c r="Q977" t="n">
        <v>0</v>
      </c>
      <c r="R977" s="2" t="inlineStr"/>
    </row>
    <row r="978" ht="15" customHeight="1">
      <c r="A978" t="inlineStr">
        <is>
          <t>A 23391-2024</t>
        </is>
      </c>
      <c r="B978" s="1" t="n">
        <v>45453</v>
      </c>
      <c r="C978" s="1" t="n">
        <v>45757</v>
      </c>
      <c r="D978" t="inlineStr">
        <is>
          <t>DALARNAS LÄN</t>
        </is>
      </c>
      <c r="E978" t="inlineStr">
        <is>
          <t>LEKSAND</t>
        </is>
      </c>
      <c r="G978" t="n">
        <v>2.2</v>
      </c>
      <c r="H978" t="n">
        <v>0</v>
      </c>
      <c r="I978" t="n">
        <v>0</v>
      </c>
      <c r="J978" t="n">
        <v>0</v>
      </c>
      <c r="K978" t="n">
        <v>0</v>
      </c>
      <c r="L978" t="n">
        <v>0</v>
      </c>
      <c r="M978" t="n">
        <v>0</v>
      </c>
      <c r="N978" t="n">
        <v>0</v>
      </c>
      <c r="O978" t="n">
        <v>0</v>
      </c>
      <c r="P978" t="n">
        <v>0</v>
      </c>
      <c r="Q978" t="n">
        <v>0</v>
      </c>
      <c r="R978" s="2" t="inlineStr"/>
    </row>
    <row r="979" ht="15" customHeight="1">
      <c r="A979" t="inlineStr">
        <is>
          <t>A 23395-2024</t>
        </is>
      </c>
      <c r="B979" s="1" t="n">
        <v>45453</v>
      </c>
      <c r="C979" s="1" t="n">
        <v>45757</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23615-2024</t>
        </is>
      </c>
      <c r="B980" s="1" t="n">
        <v>45454</v>
      </c>
      <c r="C980" s="1" t="n">
        <v>45757</v>
      </c>
      <c r="D980" t="inlineStr">
        <is>
          <t>DALARNAS LÄN</t>
        </is>
      </c>
      <c r="E980" t="inlineStr">
        <is>
          <t>LEKSAND</t>
        </is>
      </c>
      <c r="G980" t="n">
        <v>1.7</v>
      </c>
      <c r="H980" t="n">
        <v>0</v>
      </c>
      <c r="I980" t="n">
        <v>0</v>
      </c>
      <c r="J980" t="n">
        <v>0</v>
      </c>
      <c r="K980" t="n">
        <v>0</v>
      </c>
      <c r="L980" t="n">
        <v>0</v>
      </c>
      <c r="M980" t="n">
        <v>0</v>
      </c>
      <c r="N980" t="n">
        <v>0</v>
      </c>
      <c r="O980" t="n">
        <v>0</v>
      </c>
      <c r="P980" t="n">
        <v>0</v>
      </c>
      <c r="Q980" t="n">
        <v>0</v>
      </c>
      <c r="R980" s="2" t="inlineStr"/>
    </row>
    <row r="981" ht="15" customHeight="1">
      <c r="A981" t="inlineStr">
        <is>
          <t>A 23663-2024</t>
        </is>
      </c>
      <c r="B981" s="1" t="n">
        <v>45454</v>
      </c>
      <c r="C981" s="1" t="n">
        <v>45757</v>
      </c>
      <c r="D981" t="inlineStr">
        <is>
          <t>DALARNAS LÄN</t>
        </is>
      </c>
      <c r="E981" t="inlineStr">
        <is>
          <t>LEKSAND</t>
        </is>
      </c>
      <c r="G981" t="n">
        <v>2.5</v>
      </c>
      <c r="H981" t="n">
        <v>0</v>
      </c>
      <c r="I981" t="n">
        <v>0</v>
      </c>
      <c r="J981" t="n">
        <v>0</v>
      </c>
      <c r="K981" t="n">
        <v>0</v>
      </c>
      <c r="L981" t="n">
        <v>0</v>
      </c>
      <c r="M981" t="n">
        <v>0</v>
      </c>
      <c r="N981" t="n">
        <v>0</v>
      </c>
      <c r="O981" t="n">
        <v>0</v>
      </c>
      <c r="P981" t="n">
        <v>0</v>
      </c>
      <c r="Q981" t="n">
        <v>0</v>
      </c>
      <c r="R981" s="2" t="inlineStr"/>
    </row>
    <row r="982" ht="15" customHeight="1">
      <c r="A982" t="inlineStr">
        <is>
          <t>A 23896-2024</t>
        </is>
      </c>
      <c r="B982" s="1" t="n">
        <v>45455</v>
      </c>
      <c r="C982" s="1" t="n">
        <v>45757</v>
      </c>
      <c r="D982" t="inlineStr">
        <is>
          <t>DALARNAS LÄN</t>
        </is>
      </c>
      <c r="E982" t="inlineStr">
        <is>
          <t>LEKSAND</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23743-2024</t>
        </is>
      </c>
      <c r="B983" s="1" t="n">
        <v>45455</v>
      </c>
      <c r="C983" s="1" t="n">
        <v>45757</v>
      </c>
      <c r="D983" t="inlineStr">
        <is>
          <t>DALARNAS LÄN</t>
        </is>
      </c>
      <c r="E983" t="inlineStr">
        <is>
          <t>LEKSAND</t>
        </is>
      </c>
      <c r="G983" t="n">
        <v>4.5</v>
      </c>
      <c r="H983" t="n">
        <v>0</v>
      </c>
      <c r="I983" t="n">
        <v>0</v>
      </c>
      <c r="J983" t="n">
        <v>0</v>
      </c>
      <c r="K983" t="n">
        <v>0</v>
      </c>
      <c r="L983" t="n">
        <v>0</v>
      </c>
      <c r="M983" t="n">
        <v>0</v>
      </c>
      <c r="N983" t="n">
        <v>0</v>
      </c>
      <c r="O983" t="n">
        <v>0</v>
      </c>
      <c r="P983" t="n">
        <v>0</v>
      </c>
      <c r="Q983" t="n">
        <v>0</v>
      </c>
      <c r="R983" s="2" t="inlineStr"/>
    </row>
    <row r="984" ht="15" customHeight="1">
      <c r="A984" t="inlineStr">
        <is>
          <t>A 23739-2024</t>
        </is>
      </c>
      <c r="B984" s="1" t="n">
        <v>45455</v>
      </c>
      <c r="C984" s="1" t="n">
        <v>45757</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24003-2024</t>
        </is>
      </c>
      <c r="B985" s="1" t="n">
        <v>45456</v>
      </c>
      <c r="C985" s="1" t="n">
        <v>45757</v>
      </c>
      <c r="D985" t="inlineStr">
        <is>
          <t>DALARNAS LÄN</t>
        </is>
      </c>
      <c r="E985" t="inlineStr">
        <is>
          <t>LEKSAND</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24005-2024</t>
        </is>
      </c>
      <c r="B986" s="1" t="n">
        <v>45456</v>
      </c>
      <c r="C986" s="1" t="n">
        <v>45757</v>
      </c>
      <c r="D986" t="inlineStr">
        <is>
          <t>DALARNAS LÄN</t>
        </is>
      </c>
      <c r="E986" t="inlineStr">
        <is>
          <t>LEKSAND</t>
        </is>
      </c>
      <c r="F986" t="inlineStr">
        <is>
          <t>Bergvik skog väst AB</t>
        </is>
      </c>
      <c r="G986" t="n">
        <v>3</v>
      </c>
      <c r="H986" t="n">
        <v>0</v>
      </c>
      <c r="I986" t="n">
        <v>0</v>
      </c>
      <c r="J986" t="n">
        <v>0</v>
      </c>
      <c r="K986" t="n">
        <v>0</v>
      </c>
      <c r="L986" t="n">
        <v>0</v>
      </c>
      <c r="M986" t="n">
        <v>0</v>
      </c>
      <c r="N986" t="n">
        <v>0</v>
      </c>
      <c r="O986" t="n">
        <v>0</v>
      </c>
      <c r="P986" t="n">
        <v>0</v>
      </c>
      <c r="Q986" t="n">
        <v>0</v>
      </c>
      <c r="R986" s="2" t="inlineStr"/>
    </row>
    <row r="987" ht="15" customHeight="1">
      <c r="A987" t="inlineStr">
        <is>
          <t>A 24063-2024</t>
        </is>
      </c>
      <c r="B987" s="1" t="n">
        <v>45456</v>
      </c>
      <c r="C987" s="1" t="n">
        <v>45757</v>
      </c>
      <c r="D987" t="inlineStr">
        <is>
          <t>DALARNAS LÄN</t>
        </is>
      </c>
      <c r="E987" t="inlineStr">
        <is>
          <t>LEKSAND</t>
        </is>
      </c>
      <c r="F987" t="inlineStr">
        <is>
          <t>Bergvik skog väst AB</t>
        </is>
      </c>
      <c r="G987" t="n">
        <v>8.9</v>
      </c>
      <c r="H987" t="n">
        <v>0</v>
      </c>
      <c r="I987" t="n">
        <v>0</v>
      </c>
      <c r="J987" t="n">
        <v>0</v>
      </c>
      <c r="K987" t="n">
        <v>0</v>
      </c>
      <c r="L987" t="n">
        <v>0</v>
      </c>
      <c r="M987" t="n">
        <v>0</v>
      </c>
      <c r="N987" t="n">
        <v>0</v>
      </c>
      <c r="O987" t="n">
        <v>0</v>
      </c>
      <c r="P987" t="n">
        <v>0</v>
      </c>
      <c r="Q987" t="n">
        <v>0</v>
      </c>
      <c r="R987" s="2" t="inlineStr"/>
    </row>
    <row r="988" ht="15" customHeight="1">
      <c r="A988" t="inlineStr">
        <is>
          <t>A 24135-2024</t>
        </is>
      </c>
      <c r="B988" s="1" t="n">
        <v>45456</v>
      </c>
      <c r="C988" s="1" t="n">
        <v>45757</v>
      </c>
      <c r="D988" t="inlineStr">
        <is>
          <t>DALARNAS LÄN</t>
        </is>
      </c>
      <c r="E988" t="inlineStr">
        <is>
          <t>LEKSAND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24481-2024</t>
        </is>
      </c>
      <c r="B989" s="1" t="n">
        <v>45459</v>
      </c>
      <c r="C989" s="1" t="n">
        <v>45757</v>
      </c>
      <c r="D989" t="inlineStr">
        <is>
          <t>DALARNAS LÄN</t>
        </is>
      </c>
      <c r="E989" t="inlineStr">
        <is>
          <t>LEKSAND</t>
        </is>
      </c>
      <c r="G989" t="n">
        <v>1</v>
      </c>
      <c r="H989" t="n">
        <v>0</v>
      </c>
      <c r="I989" t="n">
        <v>0</v>
      </c>
      <c r="J989" t="n">
        <v>0</v>
      </c>
      <c r="K989" t="n">
        <v>0</v>
      </c>
      <c r="L989" t="n">
        <v>0</v>
      </c>
      <c r="M989" t="n">
        <v>0</v>
      </c>
      <c r="N989" t="n">
        <v>0</v>
      </c>
      <c r="O989" t="n">
        <v>0</v>
      </c>
      <c r="P989" t="n">
        <v>0</v>
      </c>
      <c r="Q989" t="n">
        <v>0</v>
      </c>
      <c r="R989" s="2" t="inlineStr"/>
    </row>
    <row r="990" ht="15" customHeight="1">
      <c r="A990" t="inlineStr">
        <is>
          <t>A 24830-2024</t>
        </is>
      </c>
      <c r="B990" s="1" t="n">
        <v>45461</v>
      </c>
      <c r="C990" s="1" t="n">
        <v>45757</v>
      </c>
      <c r="D990" t="inlineStr">
        <is>
          <t>DALARNAS LÄN</t>
        </is>
      </c>
      <c r="E990" t="inlineStr">
        <is>
          <t>LEKSAND</t>
        </is>
      </c>
      <c r="G990" t="n">
        <v>2.2</v>
      </c>
      <c r="H990" t="n">
        <v>0</v>
      </c>
      <c r="I990" t="n">
        <v>0</v>
      </c>
      <c r="J990" t="n">
        <v>0</v>
      </c>
      <c r="K990" t="n">
        <v>0</v>
      </c>
      <c r="L990" t="n">
        <v>0</v>
      </c>
      <c r="M990" t="n">
        <v>0</v>
      </c>
      <c r="N990" t="n">
        <v>0</v>
      </c>
      <c r="O990" t="n">
        <v>0</v>
      </c>
      <c r="P990" t="n">
        <v>0</v>
      </c>
      <c r="Q990" t="n">
        <v>0</v>
      </c>
      <c r="R990" s="2" t="inlineStr"/>
    </row>
    <row r="991" ht="15" customHeight="1">
      <c r="A991" t="inlineStr">
        <is>
          <t>A 24837-2024</t>
        </is>
      </c>
      <c r="B991" s="1" t="n">
        <v>45461</v>
      </c>
      <c r="C991" s="1" t="n">
        <v>45757</v>
      </c>
      <c r="D991" t="inlineStr">
        <is>
          <t>DALARNAS LÄN</t>
        </is>
      </c>
      <c r="E991" t="inlineStr">
        <is>
          <t>LEKSAND</t>
        </is>
      </c>
      <c r="G991" t="n">
        <v>1.5</v>
      </c>
      <c r="H991" t="n">
        <v>0</v>
      </c>
      <c r="I991" t="n">
        <v>0</v>
      </c>
      <c r="J991" t="n">
        <v>0</v>
      </c>
      <c r="K991" t="n">
        <v>0</v>
      </c>
      <c r="L991" t="n">
        <v>0</v>
      </c>
      <c r="M991" t="n">
        <v>0</v>
      </c>
      <c r="N991" t="n">
        <v>0</v>
      </c>
      <c r="O991" t="n">
        <v>0</v>
      </c>
      <c r="P991" t="n">
        <v>0</v>
      </c>
      <c r="Q991" t="n">
        <v>0</v>
      </c>
      <c r="R991" s="2" t="inlineStr"/>
    </row>
    <row r="992" ht="15" customHeight="1">
      <c r="A992" t="inlineStr">
        <is>
          <t>A 24917-2024</t>
        </is>
      </c>
      <c r="B992" s="1" t="n">
        <v>45461</v>
      </c>
      <c r="C992" s="1" t="n">
        <v>45757</v>
      </c>
      <c r="D992" t="inlineStr">
        <is>
          <t>DALARNAS LÄN</t>
        </is>
      </c>
      <c r="E992" t="inlineStr">
        <is>
          <t>LEKSAND</t>
        </is>
      </c>
      <c r="G992" t="n">
        <v>3.7</v>
      </c>
      <c r="H992" t="n">
        <v>0</v>
      </c>
      <c r="I992" t="n">
        <v>0</v>
      </c>
      <c r="J992" t="n">
        <v>0</v>
      </c>
      <c r="K992" t="n">
        <v>0</v>
      </c>
      <c r="L992" t="n">
        <v>0</v>
      </c>
      <c r="M992" t="n">
        <v>0</v>
      </c>
      <c r="N992" t="n">
        <v>0</v>
      </c>
      <c r="O992" t="n">
        <v>0</v>
      </c>
      <c r="P992" t="n">
        <v>0</v>
      </c>
      <c r="Q992" t="n">
        <v>0</v>
      </c>
      <c r="R992" s="2" t="inlineStr"/>
    </row>
    <row r="993" ht="15" customHeight="1">
      <c r="A993" t="inlineStr">
        <is>
          <t>A 24919-2024</t>
        </is>
      </c>
      <c r="B993" s="1" t="n">
        <v>45461</v>
      </c>
      <c r="C993" s="1" t="n">
        <v>45757</v>
      </c>
      <c r="D993" t="inlineStr">
        <is>
          <t>DALARNAS LÄN</t>
        </is>
      </c>
      <c r="E993" t="inlineStr">
        <is>
          <t>LEKSAND</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25253-2024</t>
        </is>
      </c>
      <c r="B994" s="1" t="n">
        <v>45462</v>
      </c>
      <c r="C994" s="1" t="n">
        <v>45757</v>
      </c>
      <c r="D994" t="inlineStr">
        <is>
          <t>DALARNAS LÄN</t>
        </is>
      </c>
      <c r="E994" t="inlineStr">
        <is>
          <t>LEKSAND</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25249-2024</t>
        </is>
      </c>
      <c r="B995" s="1" t="n">
        <v>45462</v>
      </c>
      <c r="C995" s="1" t="n">
        <v>45757</v>
      </c>
      <c r="D995" t="inlineStr">
        <is>
          <t>DALARNAS LÄN</t>
        </is>
      </c>
      <c r="E995" t="inlineStr">
        <is>
          <t>LEKSAND</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25105-2024</t>
        </is>
      </c>
      <c r="B996" s="1" t="n">
        <v>45462</v>
      </c>
      <c r="C996" s="1" t="n">
        <v>45757</v>
      </c>
      <c r="D996" t="inlineStr">
        <is>
          <t>DALARNAS LÄN</t>
        </is>
      </c>
      <c r="E996" t="inlineStr">
        <is>
          <t>LEKSAND</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25047-2024</t>
        </is>
      </c>
      <c r="B997" s="1" t="n">
        <v>45462</v>
      </c>
      <c r="C997" s="1" t="n">
        <v>45757</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25048-2024</t>
        </is>
      </c>
      <c r="B998" s="1" t="n">
        <v>45462</v>
      </c>
      <c r="C998" s="1" t="n">
        <v>45757</v>
      </c>
      <c r="D998" t="inlineStr">
        <is>
          <t>DALARNAS LÄN</t>
        </is>
      </c>
      <c r="E998" t="inlineStr">
        <is>
          <t>LEKSAND</t>
        </is>
      </c>
      <c r="G998" t="n">
        <v>2.7</v>
      </c>
      <c r="H998" t="n">
        <v>0</v>
      </c>
      <c r="I998" t="n">
        <v>0</v>
      </c>
      <c r="J998" t="n">
        <v>0</v>
      </c>
      <c r="K998" t="n">
        <v>0</v>
      </c>
      <c r="L998" t="n">
        <v>0</v>
      </c>
      <c r="M998" t="n">
        <v>0</v>
      </c>
      <c r="N998" t="n">
        <v>0</v>
      </c>
      <c r="O998" t="n">
        <v>0</v>
      </c>
      <c r="P998" t="n">
        <v>0</v>
      </c>
      <c r="Q998" t="n">
        <v>0</v>
      </c>
      <c r="R998" s="2" t="inlineStr"/>
    </row>
    <row r="999" ht="15" customHeight="1">
      <c r="A999" t="inlineStr">
        <is>
          <t>A 25251-2024</t>
        </is>
      </c>
      <c r="B999" s="1" t="n">
        <v>45462</v>
      </c>
      <c r="C999" s="1" t="n">
        <v>45757</v>
      </c>
      <c r="D999" t="inlineStr">
        <is>
          <t>DALARNAS LÄN</t>
        </is>
      </c>
      <c r="E999" t="inlineStr">
        <is>
          <t>LEKSAND</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25109-2024</t>
        </is>
      </c>
      <c r="B1000" s="1" t="n">
        <v>45462</v>
      </c>
      <c r="C1000" s="1" t="n">
        <v>45757</v>
      </c>
      <c r="D1000" t="inlineStr">
        <is>
          <t>DALARNAS LÄN</t>
        </is>
      </c>
      <c r="E1000" t="inlineStr">
        <is>
          <t>LEKSAND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25042-2024</t>
        </is>
      </c>
      <c r="B1001" s="1" t="n">
        <v>45462</v>
      </c>
      <c r="C1001" s="1" t="n">
        <v>45757</v>
      </c>
      <c r="D1001" t="inlineStr">
        <is>
          <t>DALARNAS LÄN</t>
        </is>
      </c>
      <c r="E1001" t="inlineStr">
        <is>
          <t>LEKSAND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25921-2024</t>
        </is>
      </c>
      <c r="B1002" s="1" t="n">
        <v>45467</v>
      </c>
      <c r="C1002" s="1" t="n">
        <v>45757</v>
      </c>
      <c r="D1002" t="inlineStr">
        <is>
          <t>DALARNAS LÄN</t>
        </is>
      </c>
      <c r="E1002" t="inlineStr">
        <is>
          <t>LEKSAND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26062-2024</t>
        </is>
      </c>
      <c r="B1003" s="1" t="n">
        <v>45468</v>
      </c>
      <c r="C1003" s="1" t="n">
        <v>45757</v>
      </c>
      <c r="D1003" t="inlineStr">
        <is>
          <t>DALARNAS LÄN</t>
        </is>
      </c>
      <c r="E1003" t="inlineStr">
        <is>
          <t>LEKSAND</t>
        </is>
      </c>
      <c r="F1003" t="inlineStr">
        <is>
          <t>Övriga statliga verk och myndigheter</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26680-2024</t>
        </is>
      </c>
      <c r="B1004" s="1" t="n">
        <v>45470</v>
      </c>
      <c r="C1004" s="1" t="n">
        <v>45757</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27446-2024</t>
        </is>
      </c>
      <c r="B1005" s="1" t="n">
        <v>45474</v>
      </c>
      <c r="C1005" s="1" t="n">
        <v>45757</v>
      </c>
      <c r="D1005" t="inlineStr">
        <is>
          <t>DALARNAS LÄN</t>
        </is>
      </c>
      <c r="E1005" t="inlineStr">
        <is>
          <t>LEKSAND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27445-2024</t>
        </is>
      </c>
      <c r="B1006" s="1" t="n">
        <v>45474</v>
      </c>
      <c r="C1006" s="1" t="n">
        <v>45757</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28032-2024</t>
        </is>
      </c>
      <c r="B1007" s="1" t="n">
        <v>45476</v>
      </c>
      <c r="C1007" s="1" t="n">
        <v>45757</v>
      </c>
      <c r="D1007" t="inlineStr">
        <is>
          <t>DALARNAS LÄN</t>
        </is>
      </c>
      <c r="E1007" t="inlineStr">
        <is>
          <t>LEKSAND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28366-2024</t>
        </is>
      </c>
      <c r="B1008" s="1" t="n">
        <v>45477</v>
      </c>
      <c r="C1008" s="1" t="n">
        <v>45757</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28674-2024</t>
        </is>
      </c>
      <c r="B1009" s="1" t="n">
        <v>45478</v>
      </c>
      <c r="C1009" s="1" t="n">
        <v>45757</v>
      </c>
      <c r="D1009" t="inlineStr">
        <is>
          <t>DALARNAS LÄN</t>
        </is>
      </c>
      <c r="E1009" t="inlineStr">
        <is>
          <t>LEKSAND</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28920-2024</t>
        </is>
      </c>
      <c r="B1010" s="1" t="n">
        <v>45480</v>
      </c>
      <c r="C1010" s="1" t="n">
        <v>45757</v>
      </c>
      <c r="D1010" t="inlineStr">
        <is>
          <t>DALARNAS LÄN</t>
        </is>
      </c>
      <c r="E1010" t="inlineStr">
        <is>
          <t>LEKSAND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28913-2024</t>
        </is>
      </c>
      <c r="B1011" s="1" t="n">
        <v>45480</v>
      </c>
      <c r="C1011" s="1" t="n">
        <v>45757</v>
      </c>
      <c r="D1011" t="inlineStr">
        <is>
          <t>DALARNAS LÄN</t>
        </is>
      </c>
      <c r="E1011" t="inlineStr">
        <is>
          <t>LEKSAND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28985-2024</t>
        </is>
      </c>
      <c r="B1012" s="1" t="n">
        <v>45481</v>
      </c>
      <c r="C1012" s="1" t="n">
        <v>45757</v>
      </c>
      <c r="D1012" t="inlineStr">
        <is>
          <t>DALARNAS LÄN</t>
        </is>
      </c>
      <c r="E1012" t="inlineStr">
        <is>
          <t>LEKSAND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29149-2024</t>
        </is>
      </c>
      <c r="B1013" s="1" t="n">
        <v>45482</v>
      </c>
      <c r="C1013" s="1" t="n">
        <v>45757</v>
      </c>
      <c r="D1013" t="inlineStr">
        <is>
          <t>DALARNAS LÄN</t>
        </is>
      </c>
      <c r="E1013" t="inlineStr">
        <is>
          <t>LEKSAND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29512-2024</t>
        </is>
      </c>
      <c r="B1014" s="1" t="n">
        <v>45484</v>
      </c>
      <c r="C1014" s="1" t="n">
        <v>45757</v>
      </c>
      <c r="D1014" t="inlineStr">
        <is>
          <t>DALARNAS LÄN</t>
        </is>
      </c>
      <c r="E1014" t="inlineStr">
        <is>
          <t>LEKSAND</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29518-2024</t>
        </is>
      </c>
      <c r="B1015" s="1" t="n">
        <v>45484</v>
      </c>
      <c r="C1015" s="1" t="n">
        <v>45757</v>
      </c>
      <c r="D1015" t="inlineStr">
        <is>
          <t>DALARNAS LÄN</t>
        </is>
      </c>
      <c r="E1015" t="inlineStr">
        <is>
          <t>LEKSAND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30204-2024</t>
        </is>
      </c>
      <c r="B1016" s="1" t="n">
        <v>45490</v>
      </c>
      <c r="C1016" s="1" t="n">
        <v>45757</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30201-2024</t>
        </is>
      </c>
      <c r="B1017" s="1" t="n">
        <v>45490</v>
      </c>
      <c r="C1017" s="1" t="n">
        <v>45757</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30198-2024</t>
        </is>
      </c>
      <c r="B1018" s="1" t="n">
        <v>45490</v>
      </c>
      <c r="C1018" s="1" t="n">
        <v>45757</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30670-2024</t>
        </is>
      </c>
      <c r="B1019" s="1" t="n">
        <v>45495</v>
      </c>
      <c r="C1019" s="1" t="n">
        <v>45757</v>
      </c>
      <c r="D1019" t="inlineStr">
        <is>
          <t>DALARNAS LÄN</t>
        </is>
      </c>
      <c r="E1019" t="inlineStr">
        <is>
          <t>LEKSAND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30864-2024</t>
        </is>
      </c>
      <c r="B1020" s="1" t="n">
        <v>45497</v>
      </c>
      <c r="C1020" s="1" t="n">
        <v>45757</v>
      </c>
      <c r="D1020" t="inlineStr">
        <is>
          <t>DALARNAS LÄN</t>
        </is>
      </c>
      <c r="E1020" t="inlineStr">
        <is>
          <t>LEKSAND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30860-2024</t>
        </is>
      </c>
      <c r="B1021" s="1" t="n">
        <v>45497</v>
      </c>
      <c r="C1021" s="1" t="n">
        <v>45757</v>
      </c>
      <c r="D1021" t="inlineStr">
        <is>
          <t>DALARNAS LÄN</t>
        </is>
      </c>
      <c r="E1021" t="inlineStr">
        <is>
          <t>LEKSAND</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30858-2024</t>
        </is>
      </c>
      <c r="B1022" s="1" t="n">
        <v>45497</v>
      </c>
      <c r="C1022" s="1" t="n">
        <v>45757</v>
      </c>
      <c r="D1022" t="inlineStr">
        <is>
          <t>DALARNAS LÄN</t>
        </is>
      </c>
      <c r="E1022" t="inlineStr">
        <is>
          <t>LEKSAND</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30863-2024</t>
        </is>
      </c>
      <c r="B1023" s="1" t="n">
        <v>45497</v>
      </c>
      <c r="C1023" s="1" t="n">
        <v>45757</v>
      </c>
      <c r="D1023" t="inlineStr">
        <is>
          <t>DALARNAS LÄN</t>
        </is>
      </c>
      <c r="E1023" t="inlineStr">
        <is>
          <t>LEKSAND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31019-2024</t>
        </is>
      </c>
      <c r="B1024" s="1" t="n">
        <v>45499</v>
      </c>
      <c r="C1024" s="1" t="n">
        <v>45757</v>
      </c>
      <c r="D1024" t="inlineStr">
        <is>
          <t>DALARNAS LÄN</t>
        </is>
      </c>
      <c r="E1024" t="inlineStr">
        <is>
          <t>LEKSAND</t>
        </is>
      </c>
      <c r="F1024" t="inlineStr">
        <is>
          <t>Bergvik skog väst AB</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31123-2024</t>
        </is>
      </c>
      <c r="B1025" s="1" t="n">
        <v>45502</v>
      </c>
      <c r="C1025" s="1" t="n">
        <v>45757</v>
      </c>
      <c r="D1025" t="inlineStr">
        <is>
          <t>DALARNAS LÄN</t>
        </is>
      </c>
      <c r="E1025" t="inlineStr">
        <is>
          <t>LEKSAND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31292-2024</t>
        </is>
      </c>
      <c r="B1026" s="1" t="n">
        <v>45504</v>
      </c>
      <c r="C1026" s="1" t="n">
        <v>45757</v>
      </c>
      <c r="D1026" t="inlineStr">
        <is>
          <t>DALARNAS LÄN</t>
        </is>
      </c>
      <c r="E1026" t="inlineStr">
        <is>
          <t>LEKSAND</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31391-2024</t>
        </is>
      </c>
      <c r="B1027" s="1" t="n">
        <v>45505</v>
      </c>
      <c r="C1027" s="1" t="n">
        <v>45757</v>
      </c>
      <c r="D1027" t="inlineStr">
        <is>
          <t>DALARNAS LÄN</t>
        </is>
      </c>
      <c r="E1027" t="inlineStr">
        <is>
          <t>LEKSAND</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31726-2024</t>
        </is>
      </c>
      <c r="B1028" s="1" t="n">
        <v>45509</v>
      </c>
      <c r="C1028" s="1" t="n">
        <v>45757</v>
      </c>
      <c r="D1028" t="inlineStr">
        <is>
          <t>DALARNAS LÄN</t>
        </is>
      </c>
      <c r="E1028" t="inlineStr">
        <is>
          <t>LEKSAND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31789-2024</t>
        </is>
      </c>
      <c r="B1029" s="1" t="n">
        <v>45509</v>
      </c>
      <c r="C1029" s="1" t="n">
        <v>45757</v>
      </c>
      <c r="D1029" t="inlineStr">
        <is>
          <t>DALARNAS LÄN</t>
        </is>
      </c>
      <c r="E1029" t="inlineStr">
        <is>
          <t>LEKSAND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31728-2024</t>
        </is>
      </c>
      <c r="B1030" s="1" t="n">
        <v>45509</v>
      </c>
      <c r="C1030" s="1" t="n">
        <v>45757</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31720-2024</t>
        </is>
      </c>
      <c r="B1031" s="1" t="n">
        <v>45509</v>
      </c>
      <c r="C1031" s="1" t="n">
        <v>45757</v>
      </c>
      <c r="D1031" t="inlineStr">
        <is>
          <t>DALARNAS LÄN</t>
        </is>
      </c>
      <c r="E1031" t="inlineStr">
        <is>
          <t>LEKSAND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31850-2024</t>
        </is>
      </c>
      <c r="B1032" s="1" t="n">
        <v>45509</v>
      </c>
      <c r="C1032" s="1" t="n">
        <v>45757</v>
      </c>
      <c r="D1032" t="inlineStr">
        <is>
          <t>DALARNAS LÄN</t>
        </is>
      </c>
      <c r="E1032" t="inlineStr">
        <is>
          <t>LEKSAND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32072-2024</t>
        </is>
      </c>
      <c r="B1033" s="1" t="n">
        <v>45511</v>
      </c>
      <c r="C1033" s="1" t="n">
        <v>45757</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31918-2024</t>
        </is>
      </c>
      <c r="B1034" s="1" t="n">
        <v>45510</v>
      </c>
      <c r="C1034" s="1" t="n">
        <v>45757</v>
      </c>
      <c r="D1034" t="inlineStr">
        <is>
          <t>DALARNAS LÄN</t>
        </is>
      </c>
      <c r="E1034" t="inlineStr">
        <is>
          <t>LEKSAND</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32073-2024</t>
        </is>
      </c>
      <c r="B1035" s="1" t="n">
        <v>45511</v>
      </c>
      <c r="C1035" s="1" t="n">
        <v>45757</v>
      </c>
      <c r="D1035" t="inlineStr">
        <is>
          <t>DALARNAS LÄN</t>
        </is>
      </c>
      <c r="E1035" t="inlineStr">
        <is>
          <t>LEKSAND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32074-2024</t>
        </is>
      </c>
      <c r="B1036" s="1" t="n">
        <v>45511</v>
      </c>
      <c r="C1036" s="1" t="n">
        <v>45757</v>
      </c>
      <c r="D1036" t="inlineStr">
        <is>
          <t>DALARNAS LÄN</t>
        </is>
      </c>
      <c r="E1036" t="inlineStr">
        <is>
          <t>LEKSAND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31915-2024</t>
        </is>
      </c>
      <c r="B1037" s="1" t="n">
        <v>45510</v>
      </c>
      <c r="C1037" s="1" t="n">
        <v>45757</v>
      </c>
      <c r="D1037" t="inlineStr">
        <is>
          <t>DALARNAS LÄN</t>
        </is>
      </c>
      <c r="E1037" t="inlineStr">
        <is>
          <t>LEKSAND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31971-2024</t>
        </is>
      </c>
      <c r="B1038" s="1" t="n">
        <v>45510</v>
      </c>
      <c r="C1038" s="1" t="n">
        <v>45757</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32394-2024</t>
        </is>
      </c>
      <c r="B1039" s="1" t="n">
        <v>45512</v>
      </c>
      <c r="C1039" s="1" t="n">
        <v>45757</v>
      </c>
      <c r="D1039" t="inlineStr">
        <is>
          <t>DALARNAS LÄN</t>
        </is>
      </c>
      <c r="E1039" t="inlineStr">
        <is>
          <t>LEKSAND</t>
        </is>
      </c>
      <c r="F1039" t="inlineStr">
        <is>
          <t>Bergvik skog väst AB</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32494-2024</t>
        </is>
      </c>
      <c r="B1040" s="1" t="n">
        <v>45513</v>
      </c>
      <c r="C1040" s="1" t="n">
        <v>45757</v>
      </c>
      <c r="D1040" t="inlineStr">
        <is>
          <t>DALARNAS LÄN</t>
        </is>
      </c>
      <c r="E1040" t="inlineStr">
        <is>
          <t>LEKSAND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32689-2024</t>
        </is>
      </c>
      <c r="B1041" s="1" t="n">
        <v>45515</v>
      </c>
      <c r="C1041" s="1" t="n">
        <v>45757</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32688-2024</t>
        </is>
      </c>
      <c r="B1042" s="1" t="n">
        <v>45515</v>
      </c>
      <c r="C1042" s="1" t="n">
        <v>45757</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33182-2024</t>
        </is>
      </c>
      <c r="B1043" s="1" t="n">
        <v>45518</v>
      </c>
      <c r="C1043" s="1" t="n">
        <v>45757</v>
      </c>
      <c r="D1043" t="inlineStr">
        <is>
          <t>DALARNAS LÄN</t>
        </is>
      </c>
      <c r="E1043" t="inlineStr">
        <is>
          <t>LEKSAND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33138-2024</t>
        </is>
      </c>
      <c r="B1044" s="1" t="n">
        <v>45518</v>
      </c>
      <c r="C1044" s="1" t="n">
        <v>45757</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33180-2024</t>
        </is>
      </c>
      <c r="B1045" s="1" t="n">
        <v>45518</v>
      </c>
      <c r="C1045" s="1" t="n">
        <v>45757</v>
      </c>
      <c r="D1045" t="inlineStr">
        <is>
          <t>DALARNAS LÄN</t>
        </is>
      </c>
      <c r="E1045" t="inlineStr">
        <is>
          <t>LEKSAND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33147-2024</t>
        </is>
      </c>
      <c r="B1046" s="1" t="n">
        <v>45518</v>
      </c>
      <c r="C1046" s="1" t="n">
        <v>45757</v>
      </c>
      <c r="D1046" t="inlineStr">
        <is>
          <t>DALARNAS LÄN</t>
        </is>
      </c>
      <c r="E1046" t="inlineStr">
        <is>
          <t>LEKSAND</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33143-2024</t>
        </is>
      </c>
      <c r="B1047" s="1" t="n">
        <v>45518</v>
      </c>
      <c r="C1047" s="1" t="n">
        <v>45757</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33357-2024</t>
        </is>
      </c>
      <c r="B1048" s="1" t="n">
        <v>45519</v>
      </c>
      <c r="C1048" s="1" t="n">
        <v>45757</v>
      </c>
      <c r="D1048" t="inlineStr">
        <is>
          <t>DALARNAS LÄN</t>
        </is>
      </c>
      <c r="E1048" t="inlineStr">
        <is>
          <t>LEKSAND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33594-2024</t>
        </is>
      </c>
      <c r="B1049" s="1" t="n">
        <v>45520</v>
      </c>
      <c r="C1049" s="1" t="n">
        <v>45757</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33624-2024</t>
        </is>
      </c>
      <c r="B1050" s="1" t="n">
        <v>45520</v>
      </c>
      <c r="C1050" s="1" t="n">
        <v>45757</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33593-2024</t>
        </is>
      </c>
      <c r="B1051" s="1" t="n">
        <v>45520</v>
      </c>
      <c r="C1051" s="1" t="n">
        <v>45757</v>
      </c>
      <c r="D1051" t="inlineStr">
        <is>
          <t>DALARNAS LÄN</t>
        </is>
      </c>
      <c r="E1051" t="inlineStr">
        <is>
          <t>LEKSAND</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33695-2024</t>
        </is>
      </c>
      <c r="B1052" s="1" t="n">
        <v>45520</v>
      </c>
      <c r="C1052" s="1" t="n">
        <v>45757</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33709-2024</t>
        </is>
      </c>
      <c r="B1053" s="1" t="n">
        <v>45520</v>
      </c>
      <c r="C1053" s="1" t="n">
        <v>45757</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33712-2024</t>
        </is>
      </c>
      <c r="B1054" s="1" t="n">
        <v>45520</v>
      </c>
      <c r="C1054" s="1" t="n">
        <v>45757</v>
      </c>
      <c r="D1054" t="inlineStr">
        <is>
          <t>DALARNAS LÄN</t>
        </is>
      </c>
      <c r="E1054" t="inlineStr">
        <is>
          <t>LEKSAND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33702-2024</t>
        </is>
      </c>
      <c r="B1055" s="1" t="n">
        <v>45520</v>
      </c>
      <c r="C1055" s="1" t="n">
        <v>45757</v>
      </c>
      <c r="D1055" t="inlineStr">
        <is>
          <t>DALARNAS LÄN</t>
        </is>
      </c>
      <c r="E1055" t="inlineStr">
        <is>
          <t>LEKSAND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33884-2024</t>
        </is>
      </c>
      <c r="B1056" s="1" t="n">
        <v>45522</v>
      </c>
      <c r="C1056" s="1" t="n">
        <v>45757</v>
      </c>
      <c r="D1056" t="inlineStr">
        <is>
          <t>DALARNAS LÄN</t>
        </is>
      </c>
      <c r="E1056" t="inlineStr">
        <is>
          <t>LEKSAND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33900-2024</t>
        </is>
      </c>
      <c r="B1057" s="1" t="n">
        <v>45523</v>
      </c>
      <c r="C1057" s="1" t="n">
        <v>45757</v>
      </c>
      <c r="D1057" t="inlineStr">
        <is>
          <t>DALARNAS LÄN</t>
        </is>
      </c>
      <c r="E1057" t="inlineStr">
        <is>
          <t>LEKSAND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33957-2024</t>
        </is>
      </c>
      <c r="B1058" s="1" t="n">
        <v>45523</v>
      </c>
      <c r="C1058" s="1" t="n">
        <v>45757</v>
      </c>
      <c r="D1058" t="inlineStr">
        <is>
          <t>DALARNAS LÄN</t>
        </is>
      </c>
      <c r="E1058" t="inlineStr">
        <is>
          <t>LEKSAND</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34038-2024</t>
        </is>
      </c>
      <c r="B1059" s="1" t="n">
        <v>45523</v>
      </c>
      <c r="C1059" s="1" t="n">
        <v>45757</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34039-2024</t>
        </is>
      </c>
      <c r="B1060" s="1" t="n">
        <v>45523</v>
      </c>
      <c r="C1060" s="1" t="n">
        <v>45757</v>
      </c>
      <c r="D1060" t="inlineStr">
        <is>
          <t>DALARNAS LÄN</t>
        </is>
      </c>
      <c r="E1060" t="inlineStr">
        <is>
          <t>LEKSAND</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34033-2024</t>
        </is>
      </c>
      <c r="B1061" s="1" t="n">
        <v>45523</v>
      </c>
      <c r="C1061" s="1" t="n">
        <v>45757</v>
      </c>
      <c r="D1061" t="inlineStr">
        <is>
          <t>DALARNAS LÄN</t>
        </is>
      </c>
      <c r="E1061" t="inlineStr">
        <is>
          <t>LEKSAND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34041-2024</t>
        </is>
      </c>
      <c r="B1062" s="1" t="n">
        <v>45523</v>
      </c>
      <c r="C1062" s="1" t="n">
        <v>45757</v>
      </c>
      <c r="D1062" t="inlineStr">
        <is>
          <t>DALARNAS LÄN</t>
        </is>
      </c>
      <c r="E1062" t="inlineStr">
        <is>
          <t>LEKSAND</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33977-2024</t>
        </is>
      </c>
      <c r="B1063" s="1" t="n">
        <v>45523</v>
      </c>
      <c r="C1063" s="1" t="n">
        <v>45757</v>
      </c>
      <c r="D1063" t="inlineStr">
        <is>
          <t>DALARNAS LÄN</t>
        </is>
      </c>
      <c r="E1063" t="inlineStr">
        <is>
          <t>LEKSAND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34109-2024</t>
        </is>
      </c>
      <c r="B1064" s="1" t="n">
        <v>45524</v>
      </c>
      <c r="C1064" s="1" t="n">
        <v>45757</v>
      </c>
      <c r="D1064" t="inlineStr">
        <is>
          <t>DALARNAS LÄN</t>
        </is>
      </c>
      <c r="E1064" t="inlineStr">
        <is>
          <t>LEKSAND</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34244-2024</t>
        </is>
      </c>
      <c r="B1065" s="1" t="n">
        <v>45524</v>
      </c>
      <c r="C1065" s="1" t="n">
        <v>45757</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34347-2024</t>
        </is>
      </c>
      <c r="B1066" s="1" t="n">
        <v>45525</v>
      </c>
      <c r="C1066" s="1" t="n">
        <v>45757</v>
      </c>
      <c r="D1066" t="inlineStr">
        <is>
          <t>DALARNAS LÄN</t>
        </is>
      </c>
      <c r="E1066" t="inlineStr">
        <is>
          <t>LEKSAND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34585-2024</t>
        </is>
      </c>
      <c r="B1067" s="1" t="n">
        <v>45526</v>
      </c>
      <c r="C1067" s="1" t="n">
        <v>45757</v>
      </c>
      <c r="D1067" t="inlineStr">
        <is>
          <t>DALARNAS LÄN</t>
        </is>
      </c>
      <c r="E1067" t="inlineStr">
        <is>
          <t>LEKSAND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34778-2024</t>
        </is>
      </c>
      <c r="B1068" s="1" t="n">
        <v>45526</v>
      </c>
      <c r="C1068" s="1" t="n">
        <v>45757</v>
      </c>
      <c r="D1068" t="inlineStr">
        <is>
          <t>DALARNAS LÄN</t>
        </is>
      </c>
      <c r="E1068" t="inlineStr">
        <is>
          <t>LEKSAND</t>
        </is>
      </c>
      <c r="F1068" t="inlineStr">
        <is>
          <t>Bergvik skog väst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34954-2024</t>
        </is>
      </c>
      <c r="B1069" s="1" t="n">
        <v>45527</v>
      </c>
      <c r="C1069" s="1" t="n">
        <v>45757</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35262-2024</t>
        </is>
      </c>
      <c r="B1070" s="1" t="n">
        <v>45530</v>
      </c>
      <c r="C1070" s="1" t="n">
        <v>45757</v>
      </c>
      <c r="D1070" t="inlineStr">
        <is>
          <t>DALARNAS LÄN</t>
        </is>
      </c>
      <c r="E1070" t="inlineStr">
        <is>
          <t>LEKSAND</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36534-2024</t>
        </is>
      </c>
      <c r="B1071" s="1" t="n">
        <v>45537</v>
      </c>
      <c r="C1071" s="1" t="n">
        <v>45757</v>
      </c>
      <c r="D1071" t="inlineStr">
        <is>
          <t>DALARNAS LÄN</t>
        </is>
      </c>
      <c r="E1071" t="inlineStr">
        <is>
          <t>LEKSAND</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37952-2024</t>
        </is>
      </c>
      <c r="B1072" s="1" t="n">
        <v>45544</v>
      </c>
      <c r="C1072" s="1" t="n">
        <v>45757</v>
      </c>
      <c r="D1072" t="inlineStr">
        <is>
          <t>DALARNAS LÄN</t>
        </is>
      </c>
      <c r="E1072" t="inlineStr">
        <is>
          <t>LEKSAND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37850-2024</t>
        </is>
      </c>
      <c r="B1073" s="1" t="n">
        <v>45544</v>
      </c>
      <c r="C1073" s="1" t="n">
        <v>45757</v>
      </c>
      <c r="D1073" t="inlineStr">
        <is>
          <t>DALARNAS LÄN</t>
        </is>
      </c>
      <c r="E1073" t="inlineStr">
        <is>
          <t>LEKSAND</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38330-2024</t>
        </is>
      </c>
      <c r="B1074" s="1" t="n">
        <v>45545</v>
      </c>
      <c r="C1074" s="1" t="n">
        <v>45757</v>
      </c>
      <c r="D1074" t="inlineStr">
        <is>
          <t>DALARNAS LÄN</t>
        </is>
      </c>
      <c r="E1074" t="inlineStr">
        <is>
          <t>LEKSAND</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38617-2024</t>
        </is>
      </c>
      <c r="B1075" s="1" t="n">
        <v>45546</v>
      </c>
      <c r="C1075" s="1" t="n">
        <v>45757</v>
      </c>
      <c r="D1075" t="inlineStr">
        <is>
          <t>DALARNAS LÄN</t>
        </is>
      </c>
      <c r="E1075" t="inlineStr">
        <is>
          <t>LEKSAND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39416-2024</t>
        </is>
      </c>
      <c r="B1076" s="1" t="n">
        <v>45551</v>
      </c>
      <c r="C1076" s="1" t="n">
        <v>45757</v>
      </c>
      <c r="D1076" t="inlineStr">
        <is>
          <t>DALARNAS LÄN</t>
        </is>
      </c>
      <c r="E1076" t="inlineStr">
        <is>
          <t>LEKSAND</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39518-2024</t>
        </is>
      </c>
      <c r="B1077" s="1" t="n">
        <v>45551</v>
      </c>
      <c r="C1077" s="1" t="n">
        <v>45757</v>
      </c>
      <c r="D1077" t="inlineStr">
        <is>
          <t>DALARNAS LÄN</t>
        </is>
      </c>
      <c r="E1077" t="inlineStr">
        <is>
          <t>LEKSAND</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39620-2024</t>
        </is>
      </c>
      <c r="B1078" s="1" t="n">
        <v>45552</v>
      </c>
      <c r="C1078" s="1" t="n">
        <v>45757</v>
      </c>
      <c r="D1078" t="inlineStr">
        <is>
          <t>DALARNAS LÄN</t>
        </is>
      </c>
      <c r="E1078" t="inlineStr">
        <is>
          <t>LEKSAND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39819-2024</t>
        </is>
      </c>
      <c r="B1079" s="1" t="n">
        <v>45553</v>
      </c>
      <c r="C1079" s="1" t="n">
        <v>45757</v>
      </c>
      <c r="D1079" t="inlineStr">
        <is>
          <t>DALARNAS LÄN</t>
        </is>
      </c>
      <c r="E1079" t="inlineStr">
        <is>
          <t>LEKSAND</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39807-2024</t>
        </is>
      </c>
      <c r="B1080" s="1" t="n">
        <v>45553</v>
      </c>
      <c r="C1080" s="1" t="n">
        <v>45757</v>
      </c>
      <c r="D1080" t="inlineStr">
        <is>
          <t>DALARNAS LÄN</t>
        </is>
      </c>
      <c r="E1080" t="inlineStr">
        <is>
          <t>LEKSAND</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40007-2024</t>
        </is>
      </c>
      <c r="B1081" s="1" t="n">
        <v>45553</v>
      </c>
      <c r="C1081" s="1" t="n">
        <v>45757</v>
      </c>
      <c r="D1081" t="inlineStr">
        <is>
          <t>DALARNAS LÄN</t>
        </is>
      </c>
      <c r="E1081" t="inlineStr">
        <is>
          <t>LEKSAND</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40009-2024</t>
        </is>
      </c>
      <c r="B1082" s="1" t="n">
        <v>45553</v>
      </c>
      <c r="C1082" s="1" t="n">
        <v>45757</v>
      </c>
      <c r="D1082" t="inlineStr">
        <is>
          <t>DALARNAS LÄN</t>
        </is>
      </c>
      <c r="E1082" t="inlineStr">
        <is>
          <t>LEKSAND</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40193-2024</t>
        </is>
      </c>
      <c r="B1083" s="1" t="n">
        <v>45554</v>
      </c>
      <c r="C1083" s="1" t="n">
        <v>45757</v>
      </c>
      <c r="D1083" t="inlineStr">
        <is>
          <t>DALARNAS LÄN</t>
        </is>
      </c>
      <c r="E1083" t="inlineStr">
        <is>
          <t>LEKSAND</t>
        </is>
      </c>
      <c r="F1083" t="inlineStr">
        <is>
          <t>Övriga statliga verk och myndigheter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40523-2024</t>
        </is>
      </c>
      <c r="B1084" s="1" t="n">
        <v>45555</v>
      </c>
      <c r="C1084" s="1" t="n">
        <v>45757</v>
      </c>
      <c r="D1084" t="inlineStr">
        <is>
          <t>DALARNAS LÄN</t>
        </is>
      </c>
      <c r="E1084" t="inlineStr">
        <is>
          <t>LEKSAND</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40755-2024</t>
        </is>
      </c>
      <c r="B1085" s="1" t="n">
        <v>45558</v>
      </c>
      <c r="C1085" s="1" t="n">
        <v>45757</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40746-2024</t>
        </is>
      </c>
      <c r="B1086" s="1" t="n">
        <v>45558</v>
      </c>
      <c r="C1086" s="1" t="n">
        <v>45757</v>
      </c>
      <c r="D1086" t="inlineStr">
        <is>
          <t>DALARNAS LÄN</t>
        </is>
      </c>
      <c r="E1086" t="inlineStr">
        <is>
          <t>LEKSAND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40864-2024</t>
        </is>
      </c>
      <c r="B1087" s="1" t="n">
        <v>45558</v>
      </c>
      <c r="C1087" s="1" t="n">
        <v>45757</v>
      </c>
      <c r="D1087" t="inlineStr">
        <is>
          <t>DALARNAS LÄN</t>
        </is>
      </c>
      <c r="E1087" t="inlineStr">
        <is>
          <t>LEKSAND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40868-2024</t>
        </is>
      </c>
      <c r="B1088" s="1" t="n">
        <v>45558</v>
      </c>
      <c r="C1088" s="1" t="n">
        <v>45757</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40752-2024</t>
        </is>
      </c>
      <c r="B1089" s="1" t="n">
        <v>45558</v>
      </c>
      <c r="C1089" s="1" t="n">
        <v>45757</v>
      </c>
      <c r="D1089" t="inlineStr">
        <is>
          <t>DALARNAS LÄN</t>
        </is>
      </c>
      <c r="E1089" t="inlineStr">
        <is>
          <t>LEKSAND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41015-2024</t>
        </is>
      </c>
      <c r="B1090" s="1" t="n">
        <v>45559</v>
      </c>
      <c r="C1090" s="1" t="n">
        <v>45757</v>
      </c>
      <c r="D1090" t="inlineStr">
        <is>
          <t>DALARNAS LÄN</t>
        </is>
      </c>
      <c r="E1090" t="inlineStr">
        <is>
          <t>LEKSAND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41169-2024</t>
        </is>
      </c>
      <c r="B1091" s="1" t="n">
        <v>45559</v>
      </c>
      <c r="C1091" s="1" t="n">
        <v>45757</v>
      </c>
      <c r="D1091" t="inlineStr">
        <is>
          <t>DALARNAS LÄN</t>
        </is>
      </c>
      <c r="E1091" t="inlineStr">
        <is>
          <t>LEKSAND</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41046-2024</t>
        </is>
      </c>
      <c r="B1092" s="1" t="n">
        <v>45559</v>
      </c>
      <c r="C1092" s="1" t="n">
        <v>45757</v>
      </c>
      <c r="D1092" t="inlineStr">
        <is>
          <t>DALARNAS LÄN</t>
        </is>
      </c>
      <c r="E1092" t="inlineStr">
        <is>
          <t>LEKSAND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41306-2024</t>
        </is>
      </c>
      <c r="B1093" s="1" t="n">
        <v>45559</v>
      </c>
      <c r="C1093" s="1" t="n">
        <v>45757</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41840-2024</t>
        </is>
      </c>
      <c r="B1094" s="1" t="n">
        <v>45561</v>
      </c>
      <c r="C1094" s="1" t="n">
        <v>45757</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41896-2024</t>
        </is>
      </c>
      <c r="B1095" s="1" t="n">
        <v>45561</v>
      </c>
      <c r="C1095" s="1" t="n">
        <v>45757</v>
      </c>
      <c r="D1095" t="inlineStr">
        <is>
          <t>DALARNAS LÄN</t>
        </is>
      </c>
      <c r="E1095" t="inlineStr">
        <is>
          <t>LEKSAND</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41997-2024</t>
        </is>
      </c>
      <c r="B1096" s="1" t="n">
        <v>45561</v>
      </c>
      <c r="C1096" s="1" t="n">
        <v>45757</v>
      </c>
      <c r="D1096" t="inlineStr">
        <is>
          <t>DALARNAS LÄN</t>
        </is>
      </c>
      <c r="E1096" t="inlineStr">
        <is>
          <t>LEKSAND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42029-2024</t>
        </is>
      </c>
      <c r="B1097" s="1" t="n">
        <v>45561</v>
      </c>
      <c r="C1097" s="1" t="n">
        <v>45757</v>
      </c>
      <c r="D1097" t="inlineStr">
        <is>
          <t>DALARNAS LÄN</t>
        </is>
      </c>
      <c r="E1097" t="inlineStr">
        <is>
          <t>LEKSAND</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42125-2024</t>
        </is>
      </c>
      <c r="B1098" s="1" t="n">
        <v>45562</v>
      </c>
      <c r="C1098" s="1" t="n">
        <v>45757</v>
      </c>
      <c r="D1098" t="inlineStr">
        <is>
          <t>DALARNAS LÄN</t>
        </is>
      </c>
      <c r="E1098" t="inlineStr">
        <is>
          <t>LEKSAND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42808-2024</t>
        </is>
      </c>
      <c r="B1099" s="1" t="n">
        <v>45566</v>
      </c>
      <c r="C1099" s="1" t="n">
        <v>45757</v>
      </c>
      <c r="D1099" t="inlineStr">
        <is>
          <t>DALARNAS LÄN</t>
        </is>
      </c>
      <c r="E1099" t="inlineStr">
        <is>
          <t>LEKSAND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42727-2024</t>
        </is>
      </c>
      <c r="B1100" s="1" t="n">
        <v>45566</v>
      </c>
      <c r="C1100" s="1" t="n">
        <v>45757</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43142-2024</t>
        </is>
      </c>
      <c r="B1101" s="1" t="n">
        <v>45567</v>
      </c>
      <c r="C1101" s="1" t="n">
        <v>45757</v>
      </c>
      <c r="D1101" t="inlineStr">
        <is>
          <t>DALARNAS LÄN</t>
        </is>
      </c>
      <c r="E1101" t="inlineStr">
        <is>
          <t>LEKSAND</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43232-2024</t>
        </is>
      </c>
      <c r="B1102" s="1" t="n">
        <v>45567</v>
      </c>
      <c r="C1102" s="1" t="n">
        <v>45757</v>
      </c>
      <c r="D1102" t="inlineStr">
        <is>
          <t>DALARNAS LÄN</t>
        </is>
      </c>
      <c r="E1102" t="inlineStr">
        <is>
          <t>LEKSAND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43220-2024</t>
        </is>
      </c>
      <c r="B1103" s="1" t="n">
        <v>45567</v>
      </c>
      <c r="C1103" s="1" t="n">
        <v>45757</v>
      </c>
      <c r="D1103" t="inlineStr">
        <is>
          <t>DALARNAS LÄN</t>
        </is>
      </c>
      <c r="E1103" t="inlineStr">
        <is>
          <t>LEKSAND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43222-2024</t>
        </is>
      </c>
      <c r="B1104" s="1" t="n">
        <v>45567</v>
      </c>
      <c r="C1104" s="1" t="n">
        <v>45757</v>
      </c>
      <c r="D1104" t="inlineStr">
        <is>
          <t>DALARNAS LÄN</t>
        </is>
      </c>
      <c r="E1104" t="inlineStr">
        <is>
          <t>LEKSAND</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43233-2024</t>
        </is>
      </c>
      <c r="B1105" s="1" t="n">
        <v>45567</v>
      </c>
      <c r="C1105" s="1" t="n">
        <v>45757</v>
      </c>
      <c r="D1105" t="inlineStr">
        <is>
          <t>DALARNAS LÄN</t>
        </is>
      </c>
      <c r="E1105" t="inlineStr">
        <is>
          <t>LEKSAND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43237-2024</t>
        </is>
      </c>
      <c r="B1106" s="1" t="n">
        <v>45568</v>
      </c>
      <c r="C1106" s="1" t="n">
        <v>45757</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43221-2024</t>
        </is>
      </c>
      <c r="B1107" s="1" t="n">
        <v>45567</v>
      </c>
      <c r="C1107" s="1" t="n">
        <v>45757</v>
      </c>
      <c r="D1107" t="inlineStr">
        <is>
          <t>DALARNAS LÄN</t>
        </is>
      </c>
      <c r="E1107" t="inlineStr">
        <is>
          <t>LEKSAND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43231-2024</t>
        </is>
      </c>
      <c r="B1108" s="1" t="n">
        <v>45567</v>
      </c>
      <c r="C1108" s="1" t="n">
        <v>45757</v>
      </c>
      <c r="D1108" t="inlineStr">
        <is>
          <t>DALARNAS LÄN</t>
        </is>
      </c>
      <c r="E1108" t="inlineStr">
        <is>
          <t>LEKSAND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43234-2024</t>
        </is>
      </c>
      <c r="B1109" s="1" t="n">
        <v>45568</v>
      </c>
      <c r="C1109" s="1" t="n">
        <v>45757</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43077-2024</t>
        </is>
      </c>
      <c r="B1110" s="1" t="n">
        <v>45567</v>
      </c>
      <c r="C1110" s="1" t="n">
        <v>45757</v>
      </c>
      <c r="D1110" t="inlineStr">
        <is>
          <t>DALARNAS LÄN</t>
        </is>
      </c>
      <c r="E1110" t="inlineStr">
        <is>
          <t>LEKSAND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43419-2024</t>
        </is>
      </c>
      <c r="B1111" s="1" t="n">
        <v>45568</v>
      </c>
      <c r="C1111" s="1" t="n">
        <v>45757</v>
      </c>
      <c r="D1111" t="inlineStr">
        <is>
          <t>DALARNAS LÄN</t>
        </is>
      </c>
      <c r="E1111" t="inlineStr">
        <is>
          <t>LEKSAND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43412-2024</t>
        </is>
      </c>
      <c r="B1112" s="1" t="n">
        <v>45568</v>
      </c>
      <c r="C1112" s="1" t="n">
        <v>45757</v>
      </c>
      <c r="D1112" t="inlineStr">
        <is>
          <t>DALARNAS LÄN</t>
        </is>
      </c>
      <c r="E1112" t="inlineStr">
        <is>
          <t>LEKSAND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43470-2024</t>
        </is>
      </c>
      <c r="B1113" s="1" t="n">
        <v>45568</v>
      </c>
      <c r="C1113" s="1" t="n">
        <v>45757</v>
      </c>
      <c r="D1113" t="inlineStr">
        <is>
          <t>DALARNAS LÄN</t>
        </is>
      </c>
      <c r="E1113" t="inlineStr">
        <is>
          <t>LEKSAND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43331-2024</t>
        </is>
      </c>
      <c r="B1114" s="1" t="n">
        <v>45568</v>
      </c>
      <c r="C1114" s="1" t="n">
        <v>45757</v>
      </c>
      <c r="D1114" t="inlineStr">
        <is>
          <t>DALARNAS LÄN</t>
        </is>
      </c>
      <c r="E1114" t="inlineStr">
        <is>
          <t>LEKSAND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43832-2024</t>
        </is>
      </c>
      <c r="B1115" s="1" t="n">
        <v>45569</v>
      </c>
      <c r="C1115" s="1" t="n">
        <v>45757</v>
      </c>
      <c r="D1115" t="inlineStr">
        <is>
          <t>DALARNAS LÄN</t>
        </is>
      </c>
      <c r="E1115" t="inlineStr">
        <is>
          <t>LEKSAND</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44469-2024</t>
        </is>
      </c>
      <c r="B1116" s="1" t="n">
        <v>45574</v>
      </c>
      <c r="C1116" s="1" t="n">
        <v>45757</v>
      </c>
      <c r="D1116" t="inlineStr">
        <is>
          <t>DALARNAS LÄN</t>
        </is>
      </c>
      <c r="E1116" t="inlineStr">
        <is>
          <t>LEKSAND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44822-2024</t>
        </is>
      </c>
      <c r="B1117" s="1" t="n">
        <v>45574</v>
      </c>
      <c r="C1117" s="1" t="n">
        <v>45757</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45455-2024</t>
        </is>
      </c>
      <c r="B1118" s="1" t="n">
        <v>45576</v>
      </c>
      <c r="C1118" s="1" t="n">
        <v>45757</v>
      </c>
      <c r="D1118" t="inlineStr">
        <is>
          <t>DALARNAS LÄN</t>
        </is>
      </c>
      <c r="E1118" t="inlineStr">
        <is>
          <t>LEKSAND</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45760-2024</t>
        </is>
      </c>
      <c r="B1119" s="1" t="n">
        <v>45579</v>
      </c>
      <c r="C1119" s="1" t="n">
        <v>45757</v>
      </c>
      <c r="D1119" t="inlineStr">
        <is>
          <t>DALARNAS LÄN</t>
        </is>
      </c>
      <c r="E1119" t="inlineStr">
        <is>
          <t>LEKSAND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46076-2024</t>
        </is>
      </c>
      <c r="B1120" s="1" t="n">
        <v>45581</v>
      </c>
      <c r="C1120" s="1" t="n">
        <v>45757</v>
      </c>
      <c r="D1120" t="inlineStr">
        <is>
          <t>DALARNAS LÄN</t>
        </is>
      </c>
      <c r="E1120" t="inlineStr">
        <is>
          <t>LEKSAND</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46359-2024</t>
        </is>
      </c>
      <c r="B1121" s="1" t="n">
        <v>45582</v>
      </c>
      <c r="C1121" s="1" t="n">
        <v>45757</v>
      </c>
      <c r="D1121" t="inlineStr">
        <is>
          <t>DALARNAS LÄN</t>
        </is>
      </c>
      <c r="E1121" t="inlineStr">
        <is>
          <t>LEKSAND</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46628-2024</t>
        </is>
      </c>
      <c r="B1122" s="1" t="n">
        <v>45583</v>
      </c>
      <c r="C1122" s="1" t="n">
        <v>45757</v>
      </c>
      <c r="D1122" t="inlineStr">
        <is>
          <t>DALARNAS LÄN</t>
        </is>
      </c>
      <c r="E1122" t="inlineStr">
        <is>
          <t>LEKSAND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46653-2024</t>
        </is>
      </c>
      <c r="B1123" s="1" t="n">
        <v>45583</v>
      </c>
      <c r="C1123" s="1" t="n">
        <v>45757</v>
      </c>
      <c r="D1123" t="inlineStr">
        <is>
          <t>DALARNAS LÄN</t>
        </is>
      </c>
      <c r="E1123" t="inlineStr">
        <is>
          <t>LEKSAND</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47272-2024</t>
        </is>
      </c>
      <c r="B1124" s="1" t="n">
        <v>45586</v>
      </c>
      <c r="C1124" s="1" t="n">
        <v>45757</v>
      </c>
      <c r="D1124" t="inlineStr">
        <is>
          <t>DALARNAS LÄN</t>
        </is>
      </c>
      <c r="E1124" t="inlineStr">
        <is>
          <t>LEKSAND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47503-2024</t>
        </is>
      </c>
      <c r="B1125" s="1" t="n">
        <v>45587</v>
      </c>
      <c r="C1125" s="1" t="n">
        <v>45757</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47640-2024</t>
        </is>
      </c>
      <c r="B1126" s="1" t="n">
        <v>45588</v>
      </c>
      <c r="C1126" s="1" t="n">
        <v>45757</v>
      </c>
      <c r="D1126" t="inlineStr">
        <is>
          <t>DALARNAS LÄN</t>
        </is>
      </c>
      <c r="E1126" t="inlineStr">
        <is>
          <t>LEKSAND</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47913-2024</t>
        </is>
      </c>
      <c r="B1127" s="1" t="n">
        <v>45589</v>
      </c>
      <c r="C1127" s="1" t="n">
        <v>45757</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48501-2024</t>
        </is>
      </c>
      <c r="B1128" s="1" t="n">
        <v>45592</v>
      </c>
      <c r="C1128" s="1" t="n">
        <v>45757</v>
      </c>
      <c r="D1128" t="inlineStr">
        <is>
          <t>DALARNAS LÄN</t>
        </is>
      </c>
      <c r="E1128" t="inlineStr">
        <is>
          <t>LEKSAND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48677-2024</t>
        </is>
      </c>
      <c r="B1129" s="1" t="n">
        <v>45593</v>
      </c>
      <c r="C1129" s="1" t="n">
        <v>45757</v>
      </c>
      <c r="D1129" t="inlineStr">
        <is>
          <t>DALARNAS LÄN</t>
        </is>
      </c>
      <c r="E1129" t="inlineStr">
        <is>
          <t>LEKSAND</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48857-2024</t>
        </is>
      </c>
      <c r="B1130" s="1" t="n">
        <v>45593</v>
      </c>
      <c r="C1130" s="1" t="n">
        <v>45757</v>
      </c>
      <c r="D1130" t="inlineStr">
        <is>
          <t>DALARNAS LÄN</t>
        </is>
      </c>
      <c r="E1130" t="inlineStr">
        <is>
          <t>LEKSAND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49068-2024</t>
        </is>
      </c>
      <c r="B1131" s="1" t="n">
        <v>45594</v>
      </c>
      <c r="C1131" s="1" t="n">
        <v>45757</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48902-2024</t>
        </is>
      </c>
      <c r="B1132" s="1" t="n">
        <v>45594</v>
      </c>
      <c r="C1132" s="1" t="n">
        <v>45757</v>
      </c>
      <c r="D1132" t="inlineStr">
        <is>
          <t>DALARNAS LÄN</t>
        </is>
      </c>
      <c r="E1132" t="inlineStr">
        <is>
          <t>LEKSAND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49397-2024</t>
        </is>
      </c>
      <c r="B1133" s="1" t="n">
        <v>45595</v>
      </c>
      <c r="C1133" s="1" t="n">
        <v>45757</v>
      </c>
      <c r="D1133" t="inlineStr">
        <is>
          <t>DALARNAS LÄN</t>
        </is>
      </c>
      <c r="E1133" t="inlineStr">
        <is>
          <t>LEKSAND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49405-2024</t>
        </is>
      </c>
      <c r="B1134" s="1" t="n">
        <v>45595</v>
      </c>
      <c r="C1134" s="1" t="n">
        <v>45757</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49395-2024</t>
        </is>
      </c>
      <c r="B1135" s="1" t="n">
        <v>45595</v>
      </c>
      <c r="C1135" s="1" t="n">
        <v>45757</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49553-2024</t>
        </is>
      </c>
      <c r="B1136" s="1" t="n">
        <v>45596</v>
      </c>
      <c r="C1136" s="1" t="n">
        <v>45757</v>
      </c>
      <c r="D1136" t="inlineStr">
        <is>
          <t>DALARNAS LÄN</t>
        </is>
      </c>
      <c r="E1136" t="inlineStr">
        <is>
          <t>LEKSAND</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49499-2024</t>
        </is>
      </c>
      <c r="B1137" s="1" t="n">
        <v>45596</v>
      </c>
      <c r="C1137" s="1" t="n">
        <v>45757</v>
      </c>
      <c r="D1137" t="inlineStr">
        <is>
          <t>DALARNAS LÄN</t>
        </is>
      </c>
      <c r="E1137" t="inlineStr">
        <is>
          <t>LEKSAND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49850-2024</t>
        </is>
      </c>
      <c r="B1138" s="1" t="n">
        <v>45596</v>
      </c>
      <c r="C1138" s="1" t="n">
        <v>45757</v>
      </c>
      <c r="D1138" t="inlineStr">
        <is>
          <t>DALARNAS LÄN</t>
        </is>
      </c>
      <c r="E1138" t="inlineStr">
        <is>
          <t>LEKSAND</t>
        </is>
      </c>
      <c r="F1138" t="inlineStr">
        <is>
          <t>Övriga statliga verk och myndigheter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49506-2024</t>
        </is>
      </c>
      <c r="B1139" s="1" t="n">
        <v>45596</v>
      </c>
      <c r="C1139" s="1" t="n">
        <v>45757</v>
      </c>
      <c r="D1139" t="inlineStr">
        <is>
          <t>DALARNAS LÄN</t>
        </is>
      </c>
      <c r="E1139" t="inlineStr">
        <is>
          <t>LEKSAND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50307-2024</t>
        </is>
      </c>
      <c r="B1140" s="1" t="n">
        <v>45600</v>
      </c>
      <c r="C1140" s="1" t="n">
        <v>45757</v>
      </c>
      <c r="D1140" t="inlineStr">
        <is>
          <t>DALARNAS LÄN</t>
        </is>
      </c>
      <c r="E1140" t="inlineStr">
        <is>
          <t>LEKSAND</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50486-2024</t>
        </is>
      </c>
      <c r="B1141" s="1" t="n">
        <v>45601</v>
      </c>
      <c r="C1141" s="1" t="n">
        <v>45757</v>
      </c>
      <c r="D1141" t="inlineStr">
        <is>
          <t>DALARNAS LÄN</t>
        </is>
      </c>
      <c r="E1141" t="inlineStr">
        <is>
          <t>LEKSAND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51517-2024</t>
        </is>
      </c>
      <c r="B1142" s="1" t="n">
        <v>45603</v>
      </c>
      <c r="C1142" s="1" t="n">
        <v>45757</v>
      </c>
      <c r="D1142" t="inlineStr">
        <is>
          <t>DALARNAS LÄN</t>
        </is>
      </c>
      <c r="E1142" t="inlineStr">
        <is>
          <t>LEKSAND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51408-2024</t>
        </is>
      </c>
      <c r="B1143" s="1" t="n">
        <v>45604</v>
      </c>
      <c r="C1143" s="1" t="n">
        <v>45757</v>
      </c>
      <c r="D1143" t="inlineStr">
        <is>
          <t>DALARNAS LÄN</t>
        </is>
      </c>
      <c r="E1143" t="inlineStr">
        <is>
          <t>LEKSAND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51677-2024</t>
        </is>
      </c>
      <c r="B1144" s="1" t="n">
        <v>45607</v>
      </c>
      <c r="C1144" s="1" t="n">
        <v>45757</v>
      </c>
      <c r="D1144" t="inlineStr">
        <is>
          <t>DALARNAS LÄN</t>
        </is>
      </c>
      <c r="E1144" t="inlineStr">
        <is>
          <t>LEKSAND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51860-2024</t>
        </is>
      </c>
      <c r="B1145" s="1" t="n">
        <v>45607</v>
      </c>
      <c r="C1145" s="1" t="n">
        <v>45757</v>
      </c>
      <c r="D1145" t="inlineStr">
        <is>
          <t>DALARNAS LÄN</t>
        </is>
      </c>
      <c r="E1145" t="inlineStr">
        <is>
          <t>LEKSAND</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51907-2024</t>
        </is>
      </c>
      <c r="B1146" s="1" t="n">
        <v>45607</v>
      </c>
      <c r="C1146" s="1" t="n">
        <v>45757</v>
      </c>
      <c r="D1146" t="inlineStr">
        <is>
          <t>DALARNAS LÄN</t>
        </is>
      </c>
      <c r="E1146" t="inlineStr">
        <is>
          <t>LEKSAND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52277-2024</t>
        </is>
      </c>
      <c r="B1147" s="1" t="n">
        <v>45608</v>
      </c>
      <c r="C1147" s="1" t="n">
        <v>45757</v>
      </c>
      <c r="D1147" t="inlineStr">
        <is>
          <t>DALARNAS LÄN</t>
        </is>
      </c>
      <c r="E1147" t="inlineStr">
        <is>
          <t>LEKSAND</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52293-2024</t>
        </is>
      </c>
      <c r="B1148" s="1" t="n">
        <v>45608</v>
      </c>
      <c r="C1148" s="1" t="n">
        <v>45757</v>
      </c>
      <c r="D1148" t="inlineStr">
        <is>
          <t>DALARNAS LÄN</t>
        </is>
      </c>
      <c r="E1148" t="inlineStr">
        <is>
          <t>LEKSAND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52059-2024</t>
        </is>
      </c>
      <c r="B1149" s="1" t="n">
        <v>45608</v>
      </c>
      <c r="C1149" s="1" t="n">
        <v>45757</v>
      </c>
      <c r="D1149" t="inlineStr">
        <is>
          <t>DALARNAS LÄN</t>
        </is>
      </c>
      <c r="E1149" t="inlineStr">
        <is>
          <t>LEKSAND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52100-2024</t>
        </is>
      </c>
      <c r="B1150" s="1" t="n">
        <v>45608</v>
      </c>
      <c r="C1150" s="1" t="n">
        <v>45757</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52572-2024</t>
        </is>
      </c>
      <c r="B1151" s="1" t="n">
        <v>45609</v>
      </c>
      <c r="C1151" s="1" t="n">
        <v>45757</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52755-2024</t>
        </is>
      </c>
      <c r="B1152" s="1" t="n">
        <v>45610</v>
      </c>
      <c r="C1152" s="1" t="n">
        <v>45757</v>
      </c>
      <c r="D1152" t="inlineStr">
        <is>
          <t>DALARNAS LÄN</t>
        </is>
      </c>
      <c r="E1152" t="inlineStr">
        <is>
          <t>LEKSAND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53193-2024</t>
        </is>
      </c>
      <c r="B1153" s="1" t="n">
        <v>45610</v>
      </c>
      <c r="C1153" s="1" t="n">
        <v>45757</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53464-2024</t>
        </is>
      </c>
      <c r="B1154" s="1" t="n">
        <v>45611</v>
      </c>
      <c r="C1154" s="1" t="n">
        <v>45757</v>
      </c>
      <c r="D1154" t="inlineStr">
        <is>
          <t>DALARNAS LÄN</t>
        </is>
      </c>
      <c r="E1154" t="inlineStr">
        <is>
          <t>LEKSAND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53662-2024</t>
        </is>
      </c>
      <c r="B1155" s="1" t="n">
        <v>45612</v>
      </c>
      <c r="C1155" s="1" t="n">
        <v>45757</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53319-2024</t>
        </is>
      </c>
      <c r="B1156" s="1" t="n">
        <v>45614</v>
      </c>
      <c r="C1156" s="1" t="n">
        <v>45757</v>
      </c>
      <c r="D1156" t="inlineStr">
        <is>
          <t>DALARNAS LÄN</t>
        </is>
      </c>
      <c r="E1156" t="inlineStr">
        <is>
          <t>LEKSAND</t>
        </is>
      </c>
      <c r="G1156" t="n">
        <v>3.1</v>
      </c>
      <c r="H1156" t="n">
        <v>0</v>
      </c>
      <c r="I1156" t="n">
        <v>0</v>
      </c>
      <c r="J1156" t="n">
        <v>0</v>
      </c>
      <c r="K1156" t="n">
        <v>0</v>
      </c>
      <c r="L1156" t="n">
        <v>0</v>
      </c>
      <c r="M1156" t="n">
        <v>0</v>
      </c>
      <c r="N1156" t="n">
        <v>0</v>
      </c>
      <c r="O1156" t="n">
        <v>0</v>
      </c>
      <c r="P1156" t="n">
        <v>0</v>
      </c>
      <c r="Q1156" t="n">
        <v>0</v>
      </c>
      <c r="R1156" s="2" t="inlineStr"/>
      <c r="U1156">
        <f>HYPERLINK("https://klasma.github.io/Logging_2029/knärot/A 53319-2024 karta knärot.png", "A 53319-2024")</f>
        <v/>
      </c>
      <c r="V1156">
        <f>HYPERLINK("https://klasma.github.io/Logging_2029/klagomål/A 53319-2024 FSC-klagomål.docx", "A 53319-2024")</f>
        <v/>
      </c>
      <c r="W1156">
        <f>HYPERLINK("https://klasma.github.io/Logging_2029/klagomålsmail/A 53319-2024 FSC-klagomål mail.docx", "A 53319-2024")</f>
        <v/>
      </c>
      <c r="X1156">
        <f>HYPERLINK("https://klasma.github.io/Logging_2029/tillsyn/A 53319-2024 tillsynsbegäran.docx", "A 53319-2024")</f>
        <v/>
      </c>
      <c r="Y1156">
        <f>HYPERLINK("https://klasma.github.io/Logging_2029/tillsynsmail/A 53319-2024 tillsynsbegäran mail.docx", "A 53319-2024")</f>
        <v/>
      </c>
    </row>
    <row r="1157" ht="15" customHeight="1">
      <c r="A1157" t="inlineStr">
        <is>
          <t>A 53625-2024</t>
        </is>
      </c>
      <c r="B1157" s="1" t="n">
        <v>45614</v>
      </c>
      <c r="C1157" s="1" t="n">
        <v>45757</v>
      </c>
      <c r="D1157" t="inlineStr">
        <is>
          <t>DALARNAS LÄN</t>
        </is>
      </c>
      <c r="E1157" t="inlineStr">
        <is>
          <t>LEKSAND</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53634-2024</t>
        </is>
      </c>
      <c r="B1158" s="1" t="n">
        <v>45614</v>
      </c>
      <c r="C1158" s="1" t="n">
        <v>45757</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53633-2024</t>
        </is>
      </c>
      <c r="B1159" s="1" t="n">
        <v>45614</v>
      </c>
      <c r="C1159" s="1" t="n">
        <v>45757</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53313-2024</t>
        </is>
      </c>
      <c r="B1160" s="1" t="n">
        <v>45614</v>
      </c>
      <c r="C1160" s="1" t="n">
        <v>45757</v>
      </c>
      <c r="D1160" t="inlineStr">
        <is>
          <t>DALARNAS LÄN</t>
        </is>
      </c>
      <c r="E1160" t="inlineStr">
        <is>
          <t>LEKSAND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53981-2024</t>
        </is>
      </c>
      <c r="B1161" s="1" t="n">
        <v>45615</v>
      </c>
      <c r="C1161" s="1" t="n">
        <v>45757</v>
      </c>
      <c r="D1161" t="inlineStr">
        <is>
          <t>DALARNAS LÄN</t>
        </is>
      </c>
      <c r="E1161" t="inlineStr">
        <is>
          <t>LEKSAND</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53992-2024</t>
        </is>
      </c>
      <c r="B1162" s="1" t="n">
        <v>45616</v>
      </c>
      <c r="C1162" s="1" t="n">
        <v>45757</v>
      </c>
      <c r="D1162" t="inlineStr">
        <is>
          <t>DALARNAS LÄN</t>
        </is>
      </c>
      <c r="E1162" t="inlineStr">
        <is>
          <t>LEKSAND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54917-2024</t>
        </is>
      </c>
      <c r="B1163" s="1" t="n">
        <v>45618</v>
      </c>
      <c r="C1163" s="1" t="n">
        <v>45757</v>
      </c>
      <c r="D1163" t="inlineStr">
        <is>
          <t>DALARNAS LÄN</t>
        </is>
      </c>
      <c r="E1163" t="inlineStr">
        <is>
          <t>LEKSAND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54911-2024</t>
        </is>
      </c>
      <c r="B1164" s="1" t="n">
        <v>45618</v>
      </c>
      <c r="C1164" s="1" t="n">
        <v>45757</v>
      </c>
      <c r="D1164" t="inlineStr">
        <is>
          <t>DALARNAS LÄN</t>
        </is>
      </c>
      <c r="E1164" t="inlineStr">
        <is>
          <t>LEKSAND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54910-2024</t>
        </is>
      </c>
      <c r="B1165" s="1" t="n">
        <v>45618</v>
      </c>
      <c r="C1165" s="1" t="n">
        <v>45757</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54914-2024</t>
        </is>
      </c>
      <c r="B1166" s="1" t="n">
        <v>45618</v>
      </c>
      <c r="C1166" s="1" t="n">
        <v>45757</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55015-2024</t>
        </is>
      </c>
      <c r="B1167" s="1" t="n">
        <v>45621</v>
      </c>
      <c r="C1167" s="1" t="n">
        <v>45757</v>
      </c>
      <c r="D1167" t="inlineStr">
        <is>
          <t>DALARNAS LÄN</t>
        </is>
      </c>
      <c r="E1167" t="inlineStr">
        <is>
          <t>LEKSAND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45757</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55029-2024</t>
        </is>
      </c>
      <c r="B1169" s="1" t="n">
        <v>45621</v>
      </c>
      <c r="C1169" s="1" t="n">
        <v>45757</v>
      </c>
      <c r="D1169" t="inlineStr">
        <is>
          <t>DALARNAS LÄN</t>
        </is>
      </c>
      <c r="E1169" t="inlineStr">
        <is>
          <t>LEKSAND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55268-2024</t>
        </is>
      </c>
      <c r="B1170" s="1" t="n">
        <v>45621</v>
      </c>
      <c r="C1170" s="1" t="n">
        <v>45757</v>
      </c>
      <c r="D1170" t="inlineStr">
        <is>
          <t>DALARNAS LÄN</t>
        </is>
      </c>
      <c r="E1170" t="inlineStr">
        <is>
          <t>LEKSAND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55516-2024</t>
        </is>
      </c>
      <c r="B1171" s="1" t="n">
        <v>45621</v>
      </c>
      <c r="C1171" s="1" t="n">
        <v>45757</v>
      </c>
      <c r="D1171" t="inlineStr">
        <is>
          <t>DALARNAS LÄN</t>
        </is>
      </c>
      <c r="E1171" t="inlineStr">
        <is>
          <t>LEKSAND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55643-2024</t>
        </is>
      </c>
      <c r="B1172" s="1" t="n">
        <v>45621</v>
      </c>
      <c r="C1172" s="1" t="n">
        <v>45757</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55520-2024</t>
        </is>
      </c>
      <c r="B1173" s="1" t="n">
        <v>45621</v>
      </c>
      <c r="C1173" s="1" t="n">
        <v>45757</v>
      </c>
      <c r="D1173" t="inlineStr">
        <is>
          <t>DALARNAS LÄN</t>
        </is>
      </c>
      <c r="E1173" t="inlineStr">
        <is>
          <t>LEKSAND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55706-2024</t>
        </is>
      </c>
      <c r="B1174" s="1" t="n">
        <v>45622</v>
      </c>
      <c r="C1174" s="1" t="n">
        <v>45757</v>
      </c>
      <c r="D1174" t="inlineStr">
        <is>
          <t>DALARNAS LÄN</t>
        </is>
      </c>
      <c r="E1174" t="inlineStr">
        <is>
          <t>LEKSAND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55689-2024</t>
        </is>
      </c>
      <c r="B1175" s="1" t="n">
        <v>45622</v>
      </c>
      <c r="C1175" s="1" t="n">
        <v>45757</v>
      </c>
      <c r="D1175" t="inlineStr">
        <is>
          <t>DALARNAS LÄN</t>
        </is>
      </c>
      <c r="E1175" t="inlineStr">
        <is>
          <t>LEKSAND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55926-2024</t>
        </is>
      </c>
      <c r="B1176" s="1" t="n">
        <v>45623</v>
      </c>
      <c r="C1176" s="1" t="n">
        <v>45757</v>
      </c>
      <c r="D1176" t="inlineStr">
        <is>
          <t>DALARNAS LÄN</t>
        </is>
      </c>
      <c r="E1176" t="inlineStr">
        <is>
          <t>LEKSAND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56016-2024</t>
        </is>
      </c>
      <c r="B1177" s="1" t="n">
        <v>45623</v>
      </c>
      <c r="C1177" s="1" t="n">
        <v>45757</v>
      </c>
      <c r="D1177" t="inlineStr">
        <is>
          <t>DALARNAS LÄN</t>
        </is>
      </c>
      <c r="E1177" t="inlineStr">
        <is>
          <t>LEKSAND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56059-2024</t>
        </is>
      </c>
      <c r="B1178" s="1" t="n">
        <v>45624</v>
      </c>
      <c r="C1178" s="1" t="n">
        <v>45757</v>
      </c>
      <c r="D1178" t="inlineStr">
        <is>
          <t>DALARNAS LÄN</t>
        </is>
      </c>
      <c r="E1178" t="inlineStr">
        <is>
          <t>LEKSAND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56283-2024</t>
        </is>
      </c>
      <c r="B1179" s="1" t="n">
        <v>45624</v>
      </c>
      <c r="C1179" s="1" t="n">
        <v>45757</v>
      </c>
      <c r="D1179" t="inlineStr">
        <is>
          <t>DALARNAS LÄN</t>
        </is>
      </c>
      <c r="E1179" t="inlineStr">
        <is>
          <t>LEKSAND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56299-2024</t>
        </is>
      </c>
      <c r="B1180" s="1" t="n">
        <v>45624</v>
      </c>
      <c r="C1180" s="1" t="n">
        <v>45757</v>
      </c>
      <c r="D1180" t="inlineStr">
        <is>
          <t>DALARNAS LÄN</t>
        </is>
      </c>
      <c r="E1180" t="inlineStr">
        <is>
          <t>LEKSAND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56610-2024</t>
        </is>
      </c>
      <c r="B1181" s="1" t="n">
        <v>45625</v>
      </c>
      <c r="C1181" s="1" t="n">
        <v>45757</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45757</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56608-2024</t>
        </is>
      </c>
      <c r="B1183" s="1" t="n">
        <v>45625</v>
      </c>
      <c r="C1183" s="1" t="n">
        <v>45757</v>
      </c>
      <c r="D1183" t="inlineStr">
        <is>
          <t>DALARNAS LÄN</t>
        </is>
      </c>
      <c r="E1183" t="inlineStr">
        <is>
          <t>LEKSAND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56591-2024</t>
        </is>
      </c>
      <c r="B1184" s="1" t="n">
        <v>45625</v>
      </c>
      <c r="C1184" s="1" t="n">
        <v>45757</v>
      </c>
      <c r="D1184" t="inlineStr">
        <is>
          <t>DALARNAS LÄN</t>
        </is>
      </c>
      <c r="E1184" t="inlineStr">
        <is>
          <t>LEKSAND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56641-2024</t>
        </is>
      </c>
      <c r="B1185" s="1" t="n">
        <v>45625</v>
      </c>
      <c r="C1185" s="1" t="n">
        <v>45757</v>
      </c>
      <c r="D1185" t="inlineStr">
        <is>
          <t>DALARNAS LÄN</t>
        </is>
      </c>
      <c r="E1185" t="inlineStr">
        <is>
          <t>LEKSAND</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56943-2024</t>
        </is>
      </c>
      <c r="B1186" s="1" t="n">
        <v>45625</v>
      </c>
      <c r="C1186" s="1" t="n">
        <v>45757</v>
      </c>
      <c r="D1186" t="inlineStr">
        <is>
          <t>DALARNAS LÄN</t>
        </is>
      </c>
      <c r="E1186" t="inlineStr">
        <is>
          <t>LEKSAND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56950-2024</t>
        </is>
      </c>
      <c r="B1187" s="1" t="n">
        <v>45625</v>
      </c>
      <c r="C1187" s="1" t="n">
        <v>45757</v>
      </c>
      <c r="D1187" t="inlineStr">
        <is>
          <t>DALARNAS LÄN</t>
        </is>
      </c>
      <c r="E1187" t="inlineStr">
        <is>
          <t>LEKSAND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56777-2024</t>
        </is>
      </c>
      <c r="B1188" s="1" t="n">
        <v>45628</v>
      </c>
      <c r="C1188" s="1" t="n">
        <v>45757</v>
      </c>
      <c r="D1188" t="inlineStr">
        <is>
          <t>DALARNAS LÄN</t>
        </is>
      </c>
      <c r="E1188" t="inlineStr">
        <is>
          <t>LEKSAND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56749-2024</t>
        </is>
      </c>
      <c r="B1189" s="1" t="n">
        <v>45628</v>
      </c>
      <c r="C1189" s="1" t="n">
        <v>45757</v>
      </c>
      <c r="D1189" t="inlineStr">
        <is>
          <t>DALARNAS LÄN</t>
        </is>
      </c>
      <c r="E1189" t="inlineStr">
        <is>
          <t>LEKSAND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57599-2024</t>
        </is>
      </c>
      <c r="B1190" s="1" t="n">
        <v>45630</v>
      </c>
      <c r="C1190" s="1" t="n">
        <v>45757</v>
      </c>
      <c r="D1190" t="inlineStr">
        <is>
          <t>DALARNAS LÄN</t>
        </is>
      </c>
      <c r="E1190" t="inlineStr">
        <is>
          <t>LEKSAND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57925-2024</t>
        </is>
      </c>
      <c r="B1191" s="1" t="n">
        <v>45630</v>
      </c>
      <c r="C1191" s="1" t="n">
        <v>45757</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57907-2024</t>
        </is>
      </c>
      <c r="B1192" s="1" t="n">
        <v>45630</v>
      </c>
      <c r="C1192" s="1" t="n">
        <v>45757</v>
      </c>
      <c r="D1192" t="inlineStr">
        <is>
          <t>DALARNAS LÄN</t>
        </is>
      </c>
      <c r="E1192" t="inlineStr">
        <is>
          <t>LEKSAND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57899-2024</t>
        </is>
      </c>
      <c r="B1193" s="1" t="n">
        <v>45630</v>
      </c>
      <c r="C1193" s="1" t="n">
        <v>45757</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57933-2024</t>
        </is>
      </c>
      <c r="B1194" s="1" t="n">
        <v>45630</v>
      </c>
      <c r="C1194" s="1" t="n">
        <v>45757</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58555-2024</t>
        </is>
      </c>
      <c r="B1195" s="1" t="n">
        <v>45635</v>
      </c>
      <c r="C1195" s="1" t="n">
        <v>45757</v>
      </c>
      <c r="D1195" t="inlineStr">
        <is>
          <t>DALARNAS LÄN</t>
        </is>
      </c>
      <c r="E1195" t="inlineStr">
        <is>
          <t>LEKSAND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59103-2024</t>
        </is>
      </c>
      <c r="B1196" s="1" t="n">
        <v>45637</v>
      </c>
      <c r="C1196" s="1" t="n">
        <v>45757</v>
      </c>
      <c r="D1196" t="inlineStr">
        <is>
          <t>DALARNAS LÄN</t>
        </is>
      </c>
      <c r="E1196" t="inlineStr">
        <is>
          <t>LEKSAND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59192-2024</t>
        </is>
      </c>
      <c r="B1197" s="1" t="n">
        <v>45637</v>
      </c>
      <c r="C1197" s="1" t="n">
        <v>45757</v>
      </c>
      <c r="D1197" t="inlineStr">
        <is>
          <t>DALARNAS LÄN</t>
        </is>
      </c>
      <c r="E1197" t="inlineStr">
        <is>
          <t>LEKSAND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59260-2024</t>
        </is>
      </c>
      <c r="B1198" s="1" t="n">
        <v>45637</v>
      </c>
      <c r="C1198" s="1" t="n">
        <v>45757</v>
      </c>
      <c r="D1198" t="inlineStr">
        <is>
          <t>DALARNAS LÄN</t>
        </is>
      </c>
      <c r="E1198" t="inlineStr">
        <is>
          <t>LEKSAND</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59199-2024</t>
        </is>
      </c>
      <c r="B1199" s="1" t="n">
        <v>45637</v>
      </c>
      <c r="C1199" s="1" t="n">
        <v>45757</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59236-2024</t>
        </is>
      </c>
      <c r="B1200" s="1" t="n">
        <v>45637</v>
      </c>
      <c r="C1200" s="1" t="n">
        <v>45757</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59266-2024</t>
        </is>
      </c>
      <c r="B1201" s="1" t="n">
        <v>45637</v>
      </c>
      <c r="C1201" s="1" t="n">
        <v>45757</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59840-2024</t>
        </is>
      </c>
      <c r="B1202" s="1" t="n">
        <v>45638</v>
      </c>
      <c r="C1202" s="1" t="n">
        <v>45757</v>
      </c>
      <c r="D1202" t="inlineStr">
        <is>
          <t>DALARNAS LÄN</t>
        </is>
      </c>
      <c r="E1202" t="inlineStr">
        <is>
          <t>LEKSAND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59751-2024</t>
        </is>
      </c>
      <c r="B1203" s="1" t="n">
        <v>45638</v>
      </c>
      <c r="C1203" s="1" t="n">
        <v>45757</v>
      </c>
      <c r="D1203" t="inlineStr">
        <is>
          <t>DALARNAS LÄN</t>
        </is>
      </c>
      <c r="E1203" t="inlineStr">
        <is>
          <t>LEKSAND</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60544-2024</t>
        </is>
      </c>
      <c r="B1204" s="1" t="n">
        <v>45643</v>
      </c>
      <c r="C1204" s="1" t="n">
        <v>45757</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60552-2024</t>
        </is>
      </c>
      <c r="B1205" s="1" t="n">
        <v>45643</v>
      </c>
      <c r="C1205" s="1" t="n">
        <v>45757</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60489-2024</t>
        </is>
      </c>
      <c r="B1206" s="1" t="n">
        <v>45643</v>
      </c>
      <c r="C1206" s="1" t="n">
        <v>45757</v>
      </c>
      <c r="D1206" t="inlineStr">
        <is>
          <t>DALARNAS LÄN</t>
        </is>
      </c>
      <c r="E1206" t="inlineStr">
        <is>
          <t>LEKSAND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60906-2024</t>
        </is>
      </c>
      <c r="B1207" s="1" t="n">
        <v>45645</v>
      </c>
      <c r="C1207" s="1" t="n">
        <v>45757</v>
      </c>
      <c r="D1207" t="inlineStr">
        <is>
          <t>DALARNAS LÄN</t>
        </is>
      </c>
      <c r="E1207" t="inlineStr">
        <is>
          <t>LEKSAND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60945-2024</t>
        </is>
      </c>
      <c r="B1208" s="1" t="n">
        <v>45645</v>
      </c>
      <c r="C1208" s="1" t="n">
        <v>45757</v>
      </c>
      <c r="D1208" t="inlineStr">
        <is>
          <t>DALARNAS LÄN</t>
        </is>
      </c>
      <c r="E1208" t="inlineStr">
        <is>
          <t>LEKSAND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60993-2024</t>
        </is>
      </c>
      <c r="B1209" s="1" t="n">
        <v>45645</v>
      </c>
      <c r="C1209" s="1" t="n">
        <v>45757</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60986-2024</t>
        </is>
      </c>
      <c r="B1210" s="1" t="n">
        <v>45645</v>
      </c>
      <c r="C1210" s="1" t="n">
        <v>45757</v>
      </c>
      <c r="D1210" t="inlineStr">
        <is>
          <t>DALARNAS LÄN</t>
        </is>
      </c>
      <c r="E1210" t="inlineStr">
        <is>
          <t>LEKSAND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61554-2024</t>
        </is>
      </c>
      <c r="B1211" s="1" t="n">
        <v>45646</v>
      </c>
      <c r="C1211" s="1" t="n">
        <v>45757</v>
      </c>
      <c r="D1211" t="inlineStr">
        <is>
          <t>DALARNAS LÄN</t>
        </is>
      </c>
      <c r="E1211" t="inlineStr">
        <is>
          <t>LEKSAND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61573-2024</t>
        </is>
      </c>
      <c r="B1212" s="1" t="n">
        <v>45646</v>
      </c>
      <c r="C1212" s="1" t="n">
        <v>45757</v>
      </c>
      <c r="D1212" t="inlineStr">
        <is>
          <t>DALARNAS LÄN</t>
        </is>
      </c>
      <c r="E1212" t="inlineStr">
        <is>
          <t>LEKSAND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62116-2024</t>
        </is>
      </c>
      <c r="B1213" s="1" t="n">
        <v>45646</v>
      </c>
      <c r="C1213" s="1" t="n">
        <v>45757</v>
      </c>
      <c r="D1213" t="inlineStr">
        <is>
          <t>DALARNAS LÄN</t>
        </is>
      </c>
      <c r="E1213" t="inlineStr">
        <is>
          <t>LEKSAND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61680-2024</t>
        </is>
      </c>
      <c r="B1214" s="1" t="n">
        <v>45647</v>
      </c>
      <c r="C1214" s="1" t="n">
        <v>45757</v>
      </c>
      <c r="D1214" t="inlineStr">
        <is>
          <t>DALARNAS LÄN</t>
        </is>
      </c>
      <c r="E1214" t="inlineStr">
        <is>
          <t>LEKSAND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61714-2024</t>
        </is>
      </c>
      <c r="B1215" s="1" t="n">
        <v>45648</v>
      </c>
      <c r="C1215" s="1" t="n">
        <v>45757</v>
      </c>
      <c r="D1215" t="inlineStr">
        <is>
          <t>DALARNAS LÄN</t>
        </is>
      </c>
      <c r="E1215" t="inlineStr">
        <is>
          <t>LEKSAND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62130-2024</t>
        </is>
      </c>
      <c r="B1216" s="1" t="n">
        <v>45656</v>
      </c>
      <c r="C1216" s="1" t="n">
        <v>45757</v>
      </c>
      <c r="D1216" t="inlineStr">
        <is>
          <t>DALARNAS LÄN</t>
        </is>
      </c>
      <c r="E1216" t="inlineStr">
        <is>
          <t>LEKSAND</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62161-2024</t>
        </is>
      </c>
      <c r="B1217" s="1" t="n">
        <v>45656</v>
      </c>
      <c r="C1217" s="1" t="n">
        <v>45757</v>
      </c>
      <c r="D1217" t="inlineStr">
        <is>
          <t>DALARNAS LÄN</t>
        </is>
      </c>
      <c r="E1217" t="inlineStr">
        <is>
          <t>LEKSAND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377-2025</t>
        </is>
      </c>
      <c r="B1218" s="1" t="n">
        <v>45662</v>
      </c>
      <c r="C1218" s="1" t="n">
        <v>45757</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471-2025</t>
        </is>
      </c>
      <c r="B1219" s="1" t="n">
        <v>45664</v>
      </c>
      <c r="C1219" s="1" t="n">
        <v>45757</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1182-2025</t>
        </is>
      </c>
      <c r="B1220" s="1" t="n">
        <v>45667</v>
      </c>
      <c r="C1220" s="1" t="n">
        <v>45757</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1267-2025</t>
        </is>
      </c>
      <c r="B1221" s="1" t="n">
        <v>45667</v>
      </c>
      <c r="C1221" s="1" t="n">
        <v>45757</v>
      </c>
      <c r="D1221" t="inlineStr">
        <is>
          <t>DALARNAS LÄN</t>
        </is>
      </c>
      <c r="E1221" t="inlineStr">
        <is>
          <t>LEKSAND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1984-2025</t>
        </is>
      </c>
      <c r="B1222" s="1" t="n">
        <v>45670</v>
      </c>
      <c r="C1222" s="1" t="n">
        <v>45757</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1983-2025</t>
        </is>
      </c>
      <c r="B1223" s="1" t="n">
        <v>45670</v>
      </c>
      <c r="C1223" s="1" t="n">
        <v>45757</v>
      </c>
      <c r="D1223" t="inlineStr">
        <is>
          <t>DALARNAS LÄN</t>
        </is>
      </c>
      <c r="E1223" t="inlineStr">
        <is>
          <t>LEKSAND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2447-2025</t>
        </is>
      </c>
      <c r="B1224" s="1" t="n">
        <v>45674</v>
      </c>
      <c r="C1224" s="1" t="n">
        <v>45757</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2401-2025</t>
        </is>
      </c>
      <c r="B1225" s="1" t="n">
        <v>45674</v>
      </c>
      <c r="C1225" s="1" t="n">
        <v>45757</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2630-2025</t>
        </is>
      </c>
      <c r="B1226" s="1" t="n">
        <v>45675</v>
      </c>
      <c r="C1226" s="1" t="n">
        <v>45757</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2694-2025</t>
        </is>
      </c>
      <c r="B1227" s="1" t="n">
        <v>45677</v>
      </c>
      <c r="C1227" s="1" t="n">
        <v>45757</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45757</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3183-2025</t>
        </is>
      </c>
      <c r="B1229" s="1" t="n">
        <v>45679</v>
      </c>
      <c r="C1229" s="1" t="n">
        <v>45757</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3198-2025</t>
        </is>
      </c>
      <c r="B1230" s="1" t="n">
        <v>45679</v>
      </c>
      <c r="C1230" s="1" t="n">
        <v>45757</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3201-2025</t>
        </is>
      </c>
      <c r="B1231" s="1" t="n">
        <v>45679</v>
      </c>
      <c r="C1231" s="1" t="n">
        <v>45757</v>
      </c>
      <c r="D1231" t="inlineStr">
        <is>
          <t>DALARNAS LÄN</t>
        </is>
      </c>
      <c r="E1231" t="inlineStr">
        <is>
          <t>LEKSAND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3500-2025</t>
        </is>
      </c>
      <c r="B1232" s="1" t="n">
        <v>45680</v>
      </c>
      <c r="C1232" s="1" t="n">
        <v>45757</v>
      </c>
      <c r="D1232" t="inlineStr">
        <is>
          <t>DALARNAS LÄN</t>
        </is>
      </c>
      <c r="E1232" t="inlineStr">
        <is>
          <t>LEKSAND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4794-2025</t>
        </is>
      </c>
      <c r="B1233" s="1" t="n">
        <v>45688</v>
      </c>
      <c r="C1233" s="1" t="n">
        <v>45757</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4974-2025</t>
        </is>
      </c>
      <c r="B1234" s="1" t="n">
        <v>45690</v>
      </c>
      <c r="C1234" s="1" t="n">
        <v>45757</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5453-2025</t>
        </is>
      </c>
      <c r="B1235" s="1" t="n">
        <v>45692</v>
      </c>
      <c r="C1235" s="1" t="n">
        <v>45757</v>
      </c>
      <c r="D1235" t="inlineStr">
        <is>
          <t>DALARNAS LÄN</t>
        </is>
      </c>
      <c r="E1235" t="inlineStr">
        <is>
          <t>LEKSAND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5873-2025</t>
        </is>
      </c>
      <c r="B1236" s="1" t="n">
        <v>45695</v>
      </c>
      <c r="C1236" s="1" t="n">
        <v>45757</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45757</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6027-2025</t>
        </is>
      </c>
      <c r="B1238" s="1" t="n">
        <v>45695</v>
      </c>
      <c r="C1238" s="1" t="n">
        <v>45757</v>
      </c>
      <c r="D1238" t="inlineStr">
        <is>
          <t>DALARNAS LÄN</t>
        </is>
      </c>
      <c r="E1238" t="inlineStr">
        <is>
          <t>LEKSAND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5847-2025</t>
        </is>
      </c>
      <c r="B1239" s="1" t="n">
        <v>45695</v>
      </c>
      <c r="C1239" s="1" t="n">
        <v>45757</v>
      </c>
      <c r="D1239" t="inlineStr">
        <is>
          <t>DALARNAS LÄN</t>
        </is>
      </c>
      <c r="E1239" t="inlineStr">
        <is>
          <t>LEKSAND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6519-2025</t>
        </is>
      </c>
      <c r="B1240" s="1" t="n">
        <v>45699</v>
      </c>
      <c r="C1240" s="1" t="n">
        <v>45757</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6778-2025</t>
        </is>
      </c>
      <c r="B1241" s="1" t="n">
        <v>45700</v>
      </c>
      <c r="C1241" s="1" t="n">
        <v>45757</v>
      </c>
      <c r="D1241" t="inlineStr">
        <is>
          <t>DALARNAS LÄN</t>
        </is>
      </c>
      <c r="E1241" t="inlineStr">
        <is>
          <t>LEKSAND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45757</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7395-2025</t>
        </is>
      </c>
      <c r="B1243" s="1" t="n">
        <v>45705</v>
      </c>
      <c r="C1243" s="1" t="n">
        <v>45757</v>
      </c>
      <c r="D1243" t="inlineStr">
        <is>
          <t>DALARNAS LÄN</t>
        </is>
      </c>
      <c r="E1243" t="inlineStr">
        <is>
          <t>LEKSAND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7653-2025</t>
        </is>
      </c>
      <c r="B1244" s="1" t="n">
        <v>45705</v>
      </c>
      <c r="C1244" s="1" t="n">
        <v>45757</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45757</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7778-2025</t>
        </is>
      </c>
      <c r="B1246" s="1" t="n">
        <v>45706</v>
      </c>
      <c r="C1246" s="1" t="n">
        <v>45757</v>
      </c>
      <c r="D1246" t="inlineStr">
        <is>
          <t>DALARNAS LÄN</t>
        </is>
      </c>
      <c r="E1246" t="inlineStr">
        <is>
          <t>LEKSAND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45757</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7897-2025</t>
        </is>
      </c>
      <c r="B1248" s="1" t="n">
        <v>45707</v>
      </c>
      <c r="C1248" s="1" t="n">
        <v>45757</v>
      </c>
      <c r="D1248" t="inlineStr">
        <is>
          <t>DALARNAS LÄN</t>
        </is>
      </c>
      <c r="E1248" t="inlineStr">
        <is>
          <t>LEKSAND</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9857-2025</t>
        </is>
      </c>
      <c r="B1249" s="1" t="n">
        <v>45716</v>
      </c>
      <c r="C1249" s="1" t="n">
        <v>45757</v>
      </c>
      <c r="D1249" t="inlineStr">
        <is>
          <t>DALARNAS LÄN</t>
        </is>
      </c>
      <c r="E1249" t="inlineStr">
        <is>
          <t>LEKSAND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11277-2025</t>
        </is>
      </c>
      <c r="B1250" s="1" t="n">
        <v>45726</v>
      </c>
      <c r="C1250" s="1" t="n">
        <v>45757</v>
      </c>
      <c r="D1250" t="inlineStr">
        <is>
          <t>DALARNAS LÄN</t>
        </is>
      </c>
      <c r="E1250" t="inlineStr">
        <is>
          <t>LEKSAND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11606-2025</t>
        </is>
      </c>
      <c r="B1251" s="1" t="n">
        <v>45727</v>
      </c>
      <c r="C1251" s="1" t="n">
        <v>45757</v>
      </c>
      <c r="D1251" t="inlineStr">
        <is>
          <t>DALARNAS LÄN</t>
        </is>
      </c>
      <c r="E1251" t="inlineStr">
        <is>
          <t>LEKSAND</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45757</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11740-2025</t>
        </is>
      </c>
      <c r="B1253" s="1" t="n">
        <v>45727</v>
      </c>
      <c r="C1253" s="1" t="n">
        <v>45757</v>
      </c>
      <c r="D1253" t="inlineStr">
        <is>
          <t>DALARNAS LÄN</t>
        </is>
      </c>
      <c r="E1253" t="inlineStr">
        <is>
          <t>LEKSAND</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11958-2025</t>
        </is>
      </c>
      <c r="B1254" s="1" t="n">
        <v>45728</v>
      </c>
      <c r="C1254" s="1" t="n">
        <v>45757</v>
      </c>
      <c r="D1254" t="inlineStr">
        <is>
          <t>DALARNAS LÄN</t>
        </is>
      </c>
      <c r="E1254" t="inlineStr">
        <is>
          <t>LEKSAND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12582-2025</t>
        </is>
      </c>
      <c r="B1255" s="1" t="n">
        <v>45732</v>
      </c>
      <c r="C1255" s="1" t="n">
        <v>45757</v>
      </c>
      <c r="D1255" t="inlineStr">
        <is>
          <t>DALARNAS LÄN</t>
        </is>
      </c>
      <c r="E1255" t="inlineStr">
        <is>
          <t>LEKSAND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12581-2025</t>
        </is>
      </c>
      <c r="B1256" s="1" t="n">
        <v>45732</v>
      </c>
      <c r="C1256" s="1" t="n">
        <v>45757</v>
      </c>
      <c r="D1256" t="inlineStr">
        <is>
          <t>DALARNAS LÄN</t>
        </is>
      </c>
      <c r="E1256" t="inlineStr">
        <is>
          <t>LEKSAND</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12583-2025</t>
        </is>
      </c>
      <c r="B1257" s="1" t="n">
        <v>45732</v>
      </c>
      <c r="C1257" s="1" t="n">
        <v>45757</v>
      </c>
      <c r="D1257" t="inlineStr">
        <is>
          <t>DALARNAS LÄN</t>
        </is>
      </c>
      <c r="E1257" t="inlineStr">
        <is>
          <t>LEKSAND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12623-2025</t>
        </is>
      </c>
      <c r="B1258" s="1" t="n">
        <v>45733</v>
      </c>
      <c r="C1258" s="1" t="n">
        <v>45757</v>
      </c>
      <c r="D1258" t="inlineStr">
        <is>
          <t>DALARNAS LÄN</t>
        </is>
      </c>
      <c r="E1258" t="inlineStr">
        <is>
          <t>LEKSAND</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45757</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45757</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12621-2025</t>
        </is>
      </c>
      <c r="B1261" s="1" t="n">
        <v>45733</v>
      </c>
      <c r="C1261" s="1" t="n">
        <v>45757</v>
      </c>
      <c r="D1261" t="inlineStr">
        <is>
          <t>DALARNAS LÄN</t>
        </is>
      </c>
      <c r="E1261" t="inlineStr">
        <is>
          <t>LEKSAND</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12923-2025</t>
        </is>
      </c>
      <c r="B1262" s="1" t="n">
        <v>45734</v>
      </c>
      <c r="C1262" s="1" t="n">
        <v>45757</v>
      </c>
      <c r="D1262" t="inlineStr">
        <is>
          <t>DALARNAS LÄN</t>
        </is>
      </c>
      <c r="E1262" t="inlineStr">
        <is>
          <t>LEKSAND</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13384-2025</t>
        </is>
      </c>
      <c r="B1263" s="1" t="n">
        <v>45735</v>
      </c>
      <c r="C1263" s="1" t="n">
        <v>45757</v>
      </c>
      <c r="D1263" t="inlineStr">
        <is>
          <t>DALARNAS LÄN</t>
        </is>
      </c>
      <c r="E1263" t="inlineStr">
        <is>
          <t>LEKSAND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14504-2025</t>
        </is>
      </c>
      <c r="B1264" s="1" t="n">
        <v>45741</v>
      </c>
      <c r="C1264" s="1" t="n">
        <v>45757</v>
      </c>
      <c r="D1264" t="inlineStr">
        <is>
          <t>DALARNAS LÄN</t>
        </is>
      </c>
      <c r="E1264" t="inlineStr">
        <is>
          <t>LEKSAND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14797-2025</t>
        </is>
      </c>
      <c r="B1265" s="1" t="n">
        <v>45742</v>
      </c>
      <c r="C1265" s="1" t="n">
        <v>45757</v>
      </c>
      <c r="D1265" t="inlineStr">
        <is>
          <t>DALARNAS LÄN</t>
        </is>
      </c>
      <c r="E1265" t="inlineStr">
        <is>
          <t>LEKSAND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14865-2025</t>
        </is>
      </c>
      <c r="B1266" s="1" t="n">
        <v>45743</v>
      </c>
      <c r="C1266" s="1" t="n">
        <v>45757</v>
      </c>
      <c r="D1266" t="inlineStr">
        <is>
          <t>DALARNAS LÄN</t>
        </is>
      </c>
      <c r="E1266" t="inlineStr">
        <is>
          <t>LEKSAND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15257-2025</t>
        </is>
      </c>
      <c r="B1267" s="1" t="n">
        <v>45744</v>
      </c>
      <c r="C1267" s="1" t="n">
        <v>45757</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15173-2025</t>
        </is>
      </c>
      <c r="B1268" s="1" t="n">
        <v>45744</v>
      </c>
      <c r="C1268" s="1" t="n">
        <v>45757</v>
      </c>
      <c r="D1268" t="inlineStr">
        <is>
          <t>DALARNAS LÄN</t>
        </is>
      </c>
      <c r="E1268" t="inlineStr">
        <is>
          <t>LEKSAND</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45757</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45757</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15619-2025</t>
        </is>
      </c>
      <c r="B1271" s="1" t="n">
        <v>45747</v>
      </c>
      <c r="C1271" s="1" t="n">
        <v>45757</v>
      </c>
      <c r="D1271" t="inlineStr">
        <is>
          <t>DALARNAS LÄN</t>
        </is>
      </c>
      <c r="E1271" t="inlineStr">
        <is>
          <t>LEKSAND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15968-2025</t>
        </is>
      </c>
      <c r="B1272" s="1" t="n">
        <v>45749</v>
      </c>
      <c r="C1272" s="1" t="n">
        <v>45757</v>
      </c>
      <c r="D1272" t="inlineStr">
        <is>
          <t>DALARNAS LÄN</t>
        </is>
      </c>
      <c r="E1272" t="inlineStr">
        <is>
          <t>LEKSAND</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16005-2025</t>
        </is>
      </c>
      <c r="B1273" s="1" t="n">
        <v>45749</v>
      </c>
      <c r="C1273" s="1" t="n">
        <v>45757</v>
      </c>
      <c r="D1273" t="inlineStr">
        <is>
          <t>DALARNAS LÄN</t>
        </is>
      </c>
      <c r="E1273" t="inlineStr">
        <is>
          <t>LEKSAND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15986-2025</t>
        </is>
      </c>
      <c r="B1274" s="1" t="n">
        <v>45749</v>
      </c>
      <c r="C1274" s="1" t="n">
        <v>45757</v>
      </c>
      <c r="D1274" t="inlineStr">
        <is>
          <t>DALARNAS LÄN</t>
        </is>
      </c>
      <c r="E1274" t="inlineStr">
        <is>
          <t>LEKSAND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16293-2025</t>
        </is>
      </c>
      <c r="B1275" s="1" t="n">
        <v>45751</v>
      </c>
      <c r="C1275" s="1" t="n">
        <v>45757</v>
      </c>
      <c r="D1275" t="inlineStr">
        <is>
          <t>DALARNAS LÄN</t>
        </is>
      </c>
      <c r="E1275" t="inlineStr">
        <is>
          <t>LEKSAND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16815-2025</t>
        </is>
      </c>
      <c r="B1276" s="1" t="n">
        <v>45754</v>
      </c>
      <c r="C1276" s="1" t="n">
        <v>45757</v>
      </c>
      <c r="D1276" t="inlineStr">
        <is>
          <t>DALARNAS LÄN</t>
        </is>
      </c>
      <c r="E1276" t="inlineStr">
        <is>
          <t>LEKSAND</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16854-2025</t>
        </is>
      </c>
      <c r="B1277" s="1" t="n">
        <v>45754</v>
      </c>
      <c r="C1277" s="1" t="n">
        <v>45757</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17282-2025</t>
        </is>
      </c>
      <c r="B1278" s="1" t="n">
        <v>45756</v>
      </c>
      <c r="C1278" s="1" t="n">
        <v>45757</v>
      </c>
      <c r="D1278" t="inlineStr">
        <is>
          <t>DALARNAS LÄN</t>
        </is>
      </c>
      <c r="E1278" t="inlineStr">
        <is>
          <t>LEKSAND</t>
        </is>
      </c>
      <c r="G1278" t="n">
        <v>0.9</v>
      </c>
      <c r="H1278" t="n">
        <v>0</v>
      </c>
      <c r="I1278" t="n">
        <v>0</v>
      </c>
      <c r="J1278" t="n">
        <v>0</v>
      </c>
      <c r="K1278" t="n">
        <v>0</v>
      </c>
      <c r="L1278" t="n">
        <v>0</v>
      </c>
      <c r="M1278" t="n">
        <v>0</v>
      </c>
      <c r="N1278" t="n">
        <v>0</v>
      </c>
      <c r="O1278" t="n">
        <v>0</v>
      </c>
      <c r="P1278" t="n">
        <v>0</v>
      </c>
      <c r="Q1278" t="n">
        <v>0</v>
      </c>
      <c r="R1278" s="2" t="inlineStr"/>
    </row>
    <row r="1279">
      <c r="A1279" t="inlineStr">
        <is>
          <t>A 17377-2025</t>
        </is>
      </c>
      <c r="B1279" s="1" t="n">
        <v>45757</v>
      </c>
      <c r="C1279" s="1" t="n">
        <v>45757</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2025-04-10T16:09:49Z</dcterms:created>
  <dcterms:modified xmlns:dcterms="http://purl.org/dc/terms/" xmlns:xsi="http://www.w3.org/2001/XMLSchema-instance" xsi:type="dcterms:W3CDTF">2025-04-10T16:09:50Z</dcterms:modified>
</cp:coreProperties>
</file>