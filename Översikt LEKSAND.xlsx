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45630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45630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45630</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45630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45630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45630</v>
      </c>
      <c r="D7" t="inlineStr">
        <is>
          <t>DALARNAS LÄN</t>
        </is>
      </c>
      <c r="E7" t="inlineStr">
        <is>
          <t>LEKSAND</t>
        </is>
      </c>
      <c r="F7" t="inlineStr">
        <is>
          <t>Övriga statliga verk och myndigheter</t>
        </is>
      </c>
      <c r="G7" t="n">
        <v>2.5</v>
      </c>
      <c r="H7" t="n">
        <v>2</v>
      </c>
      <c r="I7" t="n">
        <v>2</v>
      </c>
      <c r="J7" t="n">
        <v>7</v>
      </c>
      <c r="K7" t="n">
        <v>2</v>
      </c>
      <c r="L7" t="n">
        <v>0</v>
      </c>
      <c r="M7" t="n">
        <v>0</v>
      </c>
      <c r="N7" t="n">
        <v>0</v>
      </c>
      <c r="O7" t="n">
        <v>9</v>
      </c>
      <c r="P7" t="n">
        <v>2</v>
      </c>
      <c r="Q7" t="n">
        <v>12</v>
      </c>
      <c r="R7" s="2" t="inlineStr">
        <is>
          <t>Olivinkremla
Rynkskinn
Granticka
Gränsticka
Rosenticka
Spillkråka
Stjärntagging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61373-2019</t>
        </is>
      </c>
      <c r="B8" s="1" t="n">
        <v>43783</v>
      </c>
      <c r="C8" s="1" t="n">
        <v>45630</v>
      </c>
      <c r="D8" t="inlineStr">
        <is>
          <t>DALARNAS LÄN</t>
        </is>
      </c>
      <c r="E8" t="inlineStr">
        <is>
          <t>LEKSAND</t>
        </is>
      </c>
      <c r="F8" t="inlineStr">
        <is>
          <t>Bergvik skog väst AB</t>
        </is>
      </c>
      <c r="G8" t="n">
        <v>4.4</v>
      </c>
      <c r="H8" t="n">
        <v>2</v>
      </c>
      <c r="I8" t="n">
        <v>6</v>
      </c>
      <c r="J8" t="n">
        <v>4</v>
      </c>
      <c r="K8" t="n">
        <v>1</v>
      </c>
      <c r="L8" t="n">
        <v>0</v>
      </c>
      <c r="M8" t="n">
        <v>0</v>
      </c>
      <c r="N8" t="n">
        <v>0</v>
      </c>
      <c r="O8" t="n">
        <v>5</v>
      </c>
      <c r="P8" t="n">
        <v>1</v>
      </c>
      <c r="Q8" t="n">
        <v>11</v>
      </c>
      <c r="R8" s="2" t="inlineStr">
        <is>
          <t>Aspgelélav
Kolflarnlav
Rosenticka
Tretåig hackspett
Vedskivlav
Bårdlav
Dropptaggsvamp
Mindre märgborre
Plattlummer
Skinnlav
Stuplav</t>
        </is>
      </c>
      <c r="S8">
        <f>HYPERLINK("https://klasma.github.io/Logging_2029/artfynd/A 61373-2019 artfynd.xlsx", "A 61373-2019")</f>
        <v/>
      </c>
      <c r="T8">
        <f>HYPERLINK("https://klasma.github.io/Logging_2029/kartor/A 61373-2019 karta.png", "A 61373-2019")</f>
        <v/>
      </c>
      <c r="V8">
        <f>HYPERLINK("https://klasma.github.io/Logging_2029/klagomål/A 61373-2019 FSC-klagomål.docx", "A 61373-2019")</f>
        <v/>
      </c>
      <c r="W8">
        <f>HYPERLINK("https://klasma.github.io/Logging_2029/klagomålsmail/A 61373-2019 FSC-klagomål mail.docx", "A 61373-2019")</f>
        <v/>
      </c>
      <c r="X8">
        <f>HYPERLINK("https://klasma.github.io/Logging_2029/tillsyn/A 61373-2019 tillsynsbegäran.docx", "A 61373-2019")</f>
        <v/>
      </c>
      <c r="Y8">
        <f>HYPERLINK("https://klasma.github.io/Logging_2029/tillsynsmail/A 61373-2019 tillsynsbegäran mail.docx", "A 61373-2019")</f>
        <v/>
      </c>
      <c r="Z8">
        <f>HYPERLINK("https://klasma.github.io/Logging_2029/fåglar/A 61373-2019 prioriterade fågelarter.docx", "A 61373-2019")</f>
        <v/>
      </c>
    </row>
    <row r="9" ht="15" customHeight="1">
      <c r="A9" t="inlineStr">
        <is>
          <t>A 61375-2019</t>
        </is>
      </c>
      <c r="B9" s="1" t="n">
        <v>43783</v>
      </c>
      <c r="C9" s="1" t="n">
        <v>45630</v>
      </c>
      <c r="D9" t="inlineStr">
        <is>
          <t>DALARNAS LÄN</t>
        </is>
      </c>
      <c r="E9" t="inlineStr">
        <is>
          <t>LEKSAND</t>
        </is>
      </c>
      <c r="F9" t="inlineStr">
        <is>
          <t>Bergvik skog väst AB</t>
        </is>
      </c>
      <c r="G9" t="n">
        <v>15.7</v>
      </c>
      <c r="H9" t="n">
        <v>1</v>
      </c>
      <c r="I9" t="n">
        <v>6</v>
      </c>
      <c r="J9" t="n">
        <v>3</v>
      </c>
      <c r="K9" t="n">
        <v>2</v>
      </c>
      <c r="L9" t="n">
        <v>0</v>
      </c>
      <c r="M9" t="n">
        <v>0</v>
      </c>
      <c r="N9" t="n">
        <v>0</v>
      </c>
      <c r="O9" t="n">
        <v>5</v>
      </c>
      <c r="P9" t="n">
        <v>2</v>
      </c>
      <c r="Q9" t="n">
        <v>11</v>
      </c>
      <c r="R9" s="2" t="inlineStr">
        <is>
          <t>Knärot
Rynkskinn
Kolflarnlav
Nordtagging
Vedskivlav
Bollvitmossa
Bronshjon
Dropptaggsvamp
Mindre märgborre
Vedticka
Vågbandad barkbock</t>
        </is>
      </c>
      <c r="S9">
        <f>HYPERLINK("https://klasma.github.io/Logging_2029/artfynd/A 61375-2019 artfynd.xlsx", "A 61375-2019")</f>
        <v/>
      </c>
      <c r="T9">
        <f>HYPERLINK("https://klasma.github.io/Logging_2029/kartor/A 61375-2019 karta.png", "A 61375-2019")</f>
        <v/>
      </c>
      <c r="U9">
        <f>HYPERLINK("https://klasma.github.io/Logging_2029/knärot/A 61375-2019 karta knärot.png", "A 61375-2019")</f>
        <v/>
      </c>
      <c r="V9">
        <f>HYPERLINK("https://klasma.github.io/Logging_2029/klagomål/A 61375-2019 FSC-klagomål.docx", "A 61375-2019")</f>
        <v/>
      </c>
      <c r="W9">
        <f>HYPERLINK("https://klasma.github.io/Logging_2029/klagomålsmail/A 61375-2019 FSC-klagomål mail.docx", "A 61375-2019")</f>
        <v/>
      </c>
      <c r="X9">
        <f>HYPERLINK("https://klasma.github.io/Logging_2029/tillsyn/A 61375-2019 tillsynsbegäran.docx", "A 61375-2019")</f>
        <v/>
      </c>
      <c r="Y9">
        <f>HYPERLINK("https://klasma.github.io/Logging_2029/tillsynsmail/A 61375-2019 tillsynsbegäran mail.docx", "A 61375-2019")</f>
        <v/>
      </c>
    </row>
    <row r="10" ht="15" customHeight="1">
      <c r="A10" t="inlineStr">
        <is>
          <t>A 59850-2022</t>
        </is>
      </c>
      <c r="B10" s="1" t="n">
        <v>44901</v>
      </c>
      <c r="C10" s="1" t="n">
        <v>45630</v>
      </c>
      <c r="D10" t="inlineStr">
        <is>
          <t>DALARNAS LÄN</t>
        </is>
      </c>
      <c r="E10" t="inlineStr">
        <is>
          <t>LEKSAND</t>
        </is>
      </c>
      <c r="G10" t="n">
        <v>1.7</v>
      </c>
      <c r="H10" t="n">
        <v>3</v>
      </c>
      <c r="I10" t="n">
        <v>2</v>
      </c>
      <c r="J10" t="n">
        <v>5</v>
      </c>
      <c r="K10" t="n">
        <v>0</v>
      </c>
      <c r="L10" t="n">
        <v>0</v>
      </c>
      <c r="M10" t="n">
        <v>0</v>
      </c>
      <c r="N10" t="n">
        <v>0</v>
      </c>
      <c r="O10" t="n">
        <v>5</v>
      </c>
      <c r="P10" t="n">
        <v>0</v>
      </c>
      <c r="Q10" t="n">
        <v>9</v>
      </c>
      <c r="R10" s="2" t="inlineStr">
        <is>
          <t>Garnlav
Granticka
Tretåig hackspett
Ullticka
Violettgrå tagellav
Bågpraktmossa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57812-2023</t>
        </is>
      </c>
      <c r="B11" s="1" t="n">
        <v>45247</v>
      </c>
      <c r="C11" s="1" t="n">
        <v>45630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45630</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45630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45630</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45630</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45630</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45630</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45630</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45630</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45630</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45630</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45630</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45630</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45630</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45630</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45630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45630</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45630</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45630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45630</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45630</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45630</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45630</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45630</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45630</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45630</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45630</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45630</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45630</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45630</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45630</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45630</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45630</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45630</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45630</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45630</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45630</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45630</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45630</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45630</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45630</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45630</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45630</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45630</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45630</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45630</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45630</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45630</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45630</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45630</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45630</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45630</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45630</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45630</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45630</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45630</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45630</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45630</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45630</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45630</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45630</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45630</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45630</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45630</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45630</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45630</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45630</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45630</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45630</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45630</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45630</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45630</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45630</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45630</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45630</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45630</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45630</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45630</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45630</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45630</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45630</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45630</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45630</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45630</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45630</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45630</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45630</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45630</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45630</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45630</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45630</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45630</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45630</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45630</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45630</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45630</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45630</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45630</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45630</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45630</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45630</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45630</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45630</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45630</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45630</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45630</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45630</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45630</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45630</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45630</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45630</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45630</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45630</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45630</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45630</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45630</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45630</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45630</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45630</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45630</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45630</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45630</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45630</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45630</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45630</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45630</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45630</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45630</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45630</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45630</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45630</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45630</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45630</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45630</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45630</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45630</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45630</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45630</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45630</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45630</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45630</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45630</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45630</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45630</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45630</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45630</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45630</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45630</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45630</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45630</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45630</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45630</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45630</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45630</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45630</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45630</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45630</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45630</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45630</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45630</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45630</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45630</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45630</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45630</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45630</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45630</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45630</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45630</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45630</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45630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45630</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45630</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45630</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45630</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45630</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45630</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45630</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45630</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45630</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45630</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45630</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45630</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45630</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45630</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45630</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45630</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45630</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45630</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45630</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45630</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45630</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45630</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45630</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45630</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45630</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45630</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45630</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45630</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45630</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45630</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45630</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45630</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45630</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45630</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45630</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45630</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45630</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45630</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45630</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45630</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45630</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45630</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45630</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45630</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45630</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45630</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45630</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45630</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45630</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45630</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45630</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45630</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45630</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45630</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45630</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45630</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45630</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45630</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45630</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45630</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45630</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45630</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45630</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45630</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45630</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45630</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45630</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45630</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45630</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45630</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45630</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45630</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45630</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45630</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45630</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45630</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45630</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45630</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45630</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45630</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45630</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45630</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45630</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45630</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45630</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45630</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45630</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45630</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45630</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45630</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45630</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45630</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45630</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45630</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45630</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45630</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45630</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45630</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45630</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45630</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45630</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45630</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45630</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45630</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45630</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45630</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45630</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45630</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45630</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45630</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45630</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45630</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45630</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45630</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45630</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45630</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45630</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45630</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45630</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45630</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45630</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45630</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45630</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45630</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45630</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45630</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45630</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45630</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45630</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45630</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45630</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45630</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45630</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45630</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45630</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45630</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45630</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45630</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45630</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45630</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45630</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45630</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45630</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45630</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45630</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45630</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45630</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45630</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45630</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45630</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45630</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45630</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45630</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45630</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45630</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45630</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45630</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45630</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45630</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45630</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45630</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45630</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45630</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45630</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45630</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45630</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45630</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45630</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45630</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45630</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45630</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45630</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45630</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45630</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45630</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45630</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45630</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45630</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45630</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45630</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45630</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45630</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45630</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45630</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45630</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45630</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45630</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45630</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45630</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45630</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45630</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45630</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45630</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45630</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45630</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45630</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45630</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45630</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45630</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45630</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45630</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45630</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45630</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45630</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45630</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45630</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45630</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45630</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45630</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45630</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45630</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45630</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45630</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45630</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45630</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45630</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45630</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45630</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45630</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45630</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45630</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45630</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45630</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45630</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45630</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45630</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45630</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45630</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45630</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45630</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45630</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45630</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45630</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45630</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45630</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45630</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45630</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45630</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45630</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45630</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45630</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45630</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45630</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45630</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45630</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45630</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45630</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45630</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45630</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45630</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45630</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45630</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45630</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45630</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45630</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45630</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45630</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45630</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45630</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45630</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45630</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45630</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45630</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45630</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45630</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45630</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45630</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45630</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45630</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45630</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45630</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45630</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45630</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45630</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45630</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45630</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45630</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45630</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45630</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45630</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45630</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45630</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45630</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45630</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45630</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45630</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45630</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45630</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45630</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45630</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45630</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45630</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45630</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45630</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45630</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45630</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45630</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45630</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45630</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45630</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45630</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45630</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45630</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45630</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45630</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45630</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45630</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45630</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45630</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45630</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45630</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45630</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45630</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45630</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45630</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45630</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45630</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45630</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45630</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45630</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45630</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45630</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45630</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45630</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45630</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45630</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45630</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45630</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45630</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45630</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45630</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45630</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45630</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45630</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45630</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45630</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45630</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45630</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45630</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45630</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45630</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45630</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45630</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45630</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45630</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45630</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45630</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45630</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45630</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45630</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45630</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45630</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45630</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45630</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45630</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45630</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45630</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45630</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45630</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45630</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45630</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45630</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45630</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45630</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45630</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45630</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45630</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45630</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45630</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45630</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45630</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45630</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45630</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45630</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45630</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45630</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45630</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45630</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45630</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45630</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45630</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45630</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45630</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45630</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45630</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45630</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45630</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45630</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45630</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45630</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45630</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45630</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45630</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45630</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45630</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45630</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45630</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45630</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45630</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45630</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45630</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45630</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45630</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45630</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45630</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45630</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45630</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45630</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45630</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45630</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45630</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45630</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45630</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45630</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45630</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45630</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45630</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45630</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45630</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45630</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45630</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45630</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45630</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45630</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45630</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45630</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45630</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45630</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45630</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45630</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45630</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45630</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45630</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45630</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45630</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45630</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45630</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45630</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45630</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45630</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45630</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45630</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45630</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45630</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45630</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45630</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45630</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45630</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45630</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45630</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45630</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45630</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45630</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45630</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45630</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45630</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45630</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45630</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45630</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45630</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45630</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45630</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45630</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45630</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45630</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45630</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45630</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45630</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45630</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45630</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45630</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45630</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45630</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45630</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45630</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45630</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45630</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45630</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45630</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45630</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45630</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45630</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45630</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45630</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45630</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45630</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45630</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45630</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45630</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45630</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45630</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45630</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45630</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45630</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45630</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45630</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45630</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45630</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45630</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45630</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45630</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45630</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45630</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45630</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45630</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45630</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45630</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45630</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45630</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45630</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45630</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45630</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45630</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45630</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45630</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45630</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45630</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45630</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45630</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45630</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45630</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45630</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45630</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45630</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45630</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45630</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45630</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45630</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45630</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45630</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45630</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45630</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45630</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45630</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45630</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45630</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45630</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45630</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45630</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45630</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45630</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45630</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45630</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45630</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45630</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45630</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45630</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45630</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45630</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45630</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45630</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45630</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45630</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45630</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45630</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45630</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45630</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45630</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45630</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45630</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45630</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45630</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45630</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45630</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45630</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45630</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45630</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45630</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45630</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45630</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45630</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45630</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45630</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45630</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45630</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45630</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45630</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45630</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45630</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45630</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45630</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45630</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45630</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45630</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45630</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45630</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45630</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45630</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45630</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45630</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45630</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45630</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45630</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45630</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45630</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45630</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45630</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45630</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45630</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45630</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45630</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45630</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45630</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45630</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45630</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45630</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45630</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45630</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45630</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45630</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45630</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45630</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45630</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45630</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45630</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45630</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45630</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45630</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45630</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45630</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45630</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45630</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45630</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45630</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45630</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45630</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45630</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45630</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45630</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45630</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45630</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45630</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45630</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45630</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45630</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45630</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45630</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45630</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45630</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45630</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45630</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45630</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45630</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45630</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45630</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45630</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45630</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45630</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45630</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45630</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45630</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45630</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45630</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45630</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45630</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45630</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45630</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45630</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45630</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45630</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45630</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45630</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45630</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45630</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45630</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45630</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45630</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45630</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45630</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45630</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45630</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45630</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45630</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45630</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45630</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45630</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45630</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45630</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45630</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45630</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45630</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45630</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45630</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45630</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45630</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45630</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45630</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45630</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45630</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45630</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45630</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45630</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45630</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45630</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45630</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45630</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45630</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45630</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45630</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45630</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45630</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45630</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45630</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45630</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45630</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45630</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45630</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45630</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45630</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45630</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45630</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45630</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45630</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45630</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45630</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45630</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45630</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45630</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45630</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45630</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45630</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45630</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45630</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45630</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45630</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45630</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45630</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45630</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45630</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45630</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45630</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45630</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45630</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45630</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45630</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45630</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45630</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45630</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45630</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45630</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45630</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45630</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45630</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45630</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45630</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45630</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45630</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45630</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45630</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45630</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45630</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45630</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45630</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45630</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45630</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45630</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45630</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45630</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45630</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45630</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45630</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45630</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45630</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45630</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45630</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45630</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45630</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45630</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45630</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45630</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45630</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45630</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45630</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45630</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45630</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45630</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45630</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45630</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45630</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45630</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45630</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45630</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45630</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45630</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45630</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45630</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45630</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45630</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45630</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45630</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45630</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45630</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45630</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45630</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45630</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45630</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45630</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45630</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45630</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45630</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45630</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45630</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45630</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45630</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45630</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45630</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45630</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45630</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45630</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45630</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45630</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45630</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45630</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45630</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45630</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45630</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45630</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45630</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45630</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45630</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45630</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45630</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45630</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45630</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45630</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45630</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45630</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45630</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45630</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45630</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45630</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45630</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45630</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45630</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45630</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45630</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45630</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45630</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45630</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45630</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45630</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45630</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45630</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45630</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45630</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45630</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45630</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45630</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45630</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45630</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45630</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45630</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45630</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45630</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45630</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45630</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45630</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45630</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45630</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45630</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45630</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45630</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45630</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45630</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45630</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45630</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45630</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45630</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45630</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45630</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45630</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45630</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45630</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45630</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45630</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45630</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45630</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45630</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45630</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45630</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45630</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45630</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45630</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45630</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45630</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45630</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45630</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45630</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45630</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45630</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45630</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45630</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45630</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45630</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45630</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45630</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45630</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45630</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45630</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45630</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45630</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45630</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45630</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45630</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45630</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45630</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45630</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45630</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45630</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45630</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45630</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45630</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45630</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45630</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45630</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45630</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45630</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45630</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45630</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45630</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45630</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45630</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45630</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45630</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45630</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45630</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45630</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45630</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45630</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45630</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45630</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45630</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45630</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45630</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45630</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45630</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45630</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45630</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45630</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45630</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45630</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45630</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45630</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45630</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45630</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45630</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45630</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45630</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45630</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49553-2024</t>
        </is>
      </c>
      <c r="B1130" s="1" t="n">
        <v>45596</v>
      </c>
      <c r="C1130" s="1" t="n">
        <v>45630</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49499-2024</t>
        </is>
      </c>
      <c r="B1131" s="1" t="n">
        <v>45596</v>
      </c>
      <c r="C1131" s="1" t="n">
        <v>45630</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49850-2024</t>
        </is>
      </c>
      <c r="B1132" s="1" t="n">
        <v>45596</v>
      </c>
      <c r="C1132" s="1" t="n">
        <v>45630</v>
      </c>
      <c r="D1132" t="inlineStr">
        <is>
          <t>DALARNAS LÄN</t>
        </is>
      </c>
      <c r="E1132" t="inlineStr">
        <is>
          <t>LEKSAND</t>
        </is>
      </c>
      <c r="F1132" t="inlineStr">
        <is>
          <t>Övriga statliga verk och myndigheter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49506-2024</t>
        </is>
      </c>
      <c r="B1133" s="1" t="n">
        <v>45596</v>
      </c>
      <c r="C1133" s="1" t="n">
        <v>45630</v>
      </c>
      <c r="D1133" t="inlineStr">
        <is>
          <t>DALARNAS LÄN</t>
        </is>
      </c>
      <c r="E1133" t="inlineStr">
        <is>
          <t>LEKSAND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45630</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45630</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45630</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45630</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45630</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51907-2024</t>
        </is>
      </c>
      <c r="B1139" s="1" t="n">
        <v>45607</v>
      </c>
      <c r="C1139" s="1" t="n">
        <v>45630</v>
      </c>
      <c r="D1139" t="inlineStr">
        <is>
          <t>DALARNAS LÄN</t>
        </is>
      </c>
      <c r="E1139" t="inlineStr">
        <is>
          <t>LEKSAND</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51860-2024</t>
        </is>
      </c>
      <c r="B1140" s="1" t="n">
        <v>45607</v>
      </c>
      <c r="C1140" s="1" t="n">
        <v>45630</v>
      </c>
      <c r="D1140" t="inlineStr">
        <is>
          <t>DALARNAS LÄN</t>
        </is>
      </c>
      <c r="E1140" t="inlineStr">
        <is>
          <t>LEKSAND</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52059-2024</t>
        </is>
      </c>
      <c r="B1141" s="1" t="n">
        <v>45608</v>
      </c>
      <c r="C1141" s="1" t="n">
        <v>45630</v>
      </c>
      <c r="D1141" t="inlineStr">
        <is>
          <t>DALARNAS LÄN</t>
        </is>
      </c>
      <c r="E1141" t="inlineStr">
        <is>
          <t>LEKSAND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52100-2024</t>
        </is>
      </c>
      <c r="B1142" s="1" t="n">
        <v>45608</v>
      </c>
      <c r="C1142" s="1" t="n">
        <v>45630</v>
      </c>
      <c r="D1142" t="inlineStr">
        <is>
          <t>DALARNAS LÄN</t>
        </is>
      </c>
      <c r="E1142" t="inlineStr">
        <is>
          <t>LEKSAND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45630</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45630</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45630</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52755-2024</t>
        </is>
      </c>
      <c r="B1146" s="1" t="n">
        <v>45610</v>
      </c>
      <c r="C1146" s="1" t="n">
        <v>45630</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53193-2024</t>
        </is>
      </c>
      <c r="B1147" s="1" t="n">
        <v>45610</v>
      </c>
      <c r="C1147" s="1" t="n">
        <v>45630</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45630</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53662-2024</t>
        </is>
      </c>
      <c r="B1149" s="1" t="n">
        <v>45612</v>
      </c>
      <c r="C1149" s="1" t="n">
        <v>45630</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53313-2024</t>
        </is>
      </c>
      <c r="B1150" s="1" t="n">
        <v>45614</v>
      </c>
      <c r="C1150" s="1" t="n">
        <v>45630</v>
      </c>
      <c r="D1150" t="inlineStr">
        <is>
          <t>DALARNAS LÄN</t>
        </is>
      </c>
      <c r="E1150" t="inlineStr">
        <is>
          <t>LEKSAND</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53633-2024</t>
        </is>
      </c>
      <c r="B1151" s="1" t="n">
        <v>45614</v>
      </c>
      <c r="C1151" s="1" t="n">
        <v>45630</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53625-2024</t>
        </is>
      </c>
      <c r="B1152" s="1" t="n">
        <v>45614</v>
      </c>
      <c r="C1152" s="1" t="n">
        <v>45630</v>
      </c>
      <c r="D1152" t="inlineStr">
        <is>
          <t>DALARNAS LÄN</t>
        </is>
      </c>
      <c r="E1152" t="inlineStr">
        <is>
          <t>LEKSAND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53634-2024</t>
        </is>
      </c>
      <c r="B1153" s="1" t="n">
        <v>45614</v>
      </c>
      <c r="C1153" s="1" t="n">
        <v>45630</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45630</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53981-2024</t>
        </is>
      </c>
      <c r="B1155" s="1" t="n">
        <v>45615</v>
      </c>
      <c r="C1155" s="1" t="n">
        <v>45630</v>
      </c>
      <c r="D1155" t="inlineStr">
        <is>
          <t>DALARNAS LÄN</t>
        </is>
      </c>
      <c r="E1155" t="inlineStr">
        <is>
          <t>LEKSAND</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53992-2024</t>
        </is>
      </c>
      <c r="B1156" s="1" t="n">
        <v>45616</v>
      </c>
      <c r="C1156" s="1" t="n">
        <v>45630</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54910-2024</t>
        </is>
      </c>
      <c r="B1157" s="1" t="n">
        <v>45618</v>
      </c>
      <c r="C1157" s="1" t="n">
        <v>45630</v>
      </c>
      <c r="D1157" t="inlineStr">
        <is>
          <t>DALARNAS LÄN</t>
        </is>
      </c>
      <c r="E1157" t="inlineStr">
        <is>
          <t>LEKSAND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54914-2024</t>
        </is>
      </c>
      <c r="B1158" s="1" t="n">
        <v>45618</v>
      </c>
      <c r="C1158" s="1" t="n">
        <v>45630</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54911-2024</t>
        </is>
      </c>
      <c r="B1159" s="1" t="n">
        <v>45618</v>
      </c>
      <c r="C1159" s="1" t="n">
        <v>45630</v>
      </c>
      <c r="D1159" t="inlineStr">
        <is>
          <t>DALARNAS LÄN</t>
        </is>
      </c>
      <c r="E1159" t="inlineStr">
        <is>
          <t>LEKSAND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45630</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55029-2024</t>
        </is>
      </c>
      <c r="B1161" s="1" t="n">
        <v>45621</v>
      </c>
      <c r="C1161" s="1" t="n">
        <v>45630</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55015-2024</t>
        </is>
      </c>
      <c r="B1162" s="1" t="n">
        <v>45621</v>
      </c>
      <c r="C1162" s="1" t="n">
        <v>45630</v>
      </c>
      <c r="D1162" t="inlineStr">
        <is>
          <t>DALARNAS LÄN</t>
        </is>
      </c>
      <c r="E1162" t="inlineStr">
        <is>
          <t>LEKSAND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55268-2024</t>
        </is>
      </c>
      <c r="B1163" s="1" t="n">
        <v>45621</v>
      </c>
      <c r="C1163" s="1" t="n">
        <v>45630</v>
      </c>
      <c r="D1163" t="inlineStr">
        <is>
          <t>DALARNAS LÄN</t>
        </is>
      </c>
      <c r="E1163" t="inlineStr">
        <is>
          <t>LEKSAND</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55520-2024</t>
        </is>
      </c>
      <c r="B1164" s="1" t="n">
        <v>45621</v>
      </c>
      <c r="C1164" s="1" t="n">
        <v>45630</v>
      </c>
      <c r="D1164" t="inlineStr">
        <is>
          <t>DALARNAS LÄN</t>
        </is>
      </c>
      <c r="E1164" t="inlineStr">
        <is>
          <t>LEKSAND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55516-2024</t>
        </is>
      </c>
      <c r="B1165" s="1" t="n">
        <v>45621</v>
      </c>
      <c r="C1165" s="1" t="n">
        <v>45630</v>
      </c>
      <c r="D1165" t="inlineStr">
        <is>
          <t>DALARNAS LÄN</t>
        </is>
      </c>
      <c r="E1165" t="inlineStr">
        <is>
          <t>LEKSAND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55643-2024</t>
        </is>
      </c>
      <c r="B1166" s="1" t="n">
        <v>45621</v>
      </c>
      <c r="C1166" s="1" t="n">
        <v>45630</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45630</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55706-2024</t>
        </is>
      </c>
      <c r="B1168" s="1" t="n">
        <v>45622</v>
      </c>
      <c r="C1168" s="1" t="n">
        <v>45630</v>
      </c>
      <c r="D1168" t="inlineStr">
        <is>
          <t>DALARNAS LÄN</t>
        </is>
      </c>
      <c r="E1168" t="inlineStr">
        <is>
          <t>LEKSAND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55689-2024</t>
        </is>
      </c>
      <c r="B1169" s="1" t="n">
        <v>45622</v>
      </c>
      <c r="C1169" s="1" t="n">
        <v>45630</v>
      </c>
      <c r="D1169" t="inlineStr">
        <is>
          <t>DALARNAS LÄN</t>
        </is>
      </c>
      <c r="E1169" t="inlineStr">
        <is>
          <t>LEKSAND</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56016-2024</t>
        </is>
      </c>
      <c r="B1170" s="1" t="n">
        <v>45623</v>
      </c>
      <c r="C1170" s="1" t="n">
        <v>45630</v>
      </c>
      <c r="D1170" t="inlineStr">
        <is>
          <t>DALARNAS LÄN</t>
        </is>
      </c>
      <c r="E1170" t="inlineStr">
        <is>
          <t>LEKSAND</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55926-2024</t>
        </is>
      </c>
      <c r="B1171" s="1" t="n">
        <v>45623</v>
      </c>
      <c r="C1171" s="1" t="n">
        <v>45630</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56283-2024</t>
        </is>
      </c>
      <c r="B1172" s="1" t="n">
        <v>45624</v>
      </c>
      <c r="C1172" s="1" t="n">
        <v>45630</v>
      </c>
      <c r="D1172" t="inlineStr">
        <is>
          <t>DALARNAS LÄN</t>
        </is>
      </c>
      <c r="E1172" t="inlineStr">
        <is>
          <t>LEKSAND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56299-2024</t>
        </is>
      </c>
      <c r="B1173" s="1" t="n">
        <v>45624</v>
      </c>
      <c r="C1173" s="1" t="n">
        <v>45630</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45630</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56608-2024</t>
        </is>
      </c>
      <c r="B1175" s="1" t="n">
        <v>45625</v>
      </c>
      <c r="C1175" s="1" t="n">
        <v>45630</v>
      </c>
      <c r="D1175" t="inlineStr">
        <is>
          <t>DALARNAS LÄN</t>
        </is>
      </c>
      <c r="E1175" t="inlineStr">
        <is>
          <t>LEKSAND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56943-2024</t>
        </is>
      </c>
      <c r="B1176" s="1" t="n">
        <v>45625</v>
      </c>
      <c r="C1176" s="1" t="n">
        <v>45630</v>
      </c>
      <c r="D1176" t="inlineStr">
        <is>
          <t>DALARNAS LÄN</t>
        </is>
      </c>
      <c r="E1176" t="inlineStr">
        <is>
          <t>LEKSAND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56641-2024</t>
        </is>
      </c>
      <c r="B1177" s="1" t="n">
        <v>45625</v>
      </c>
      <c r="C1177" s="1" t="n">
        <v>45630</v>
      </c>
      <c r="D1177" t="inlineStr">
        <is>
          <t>DALARNAS LÄN</t>
        </is>
      </c>
      <c r="E1177" t="inlineStr">
        <is>
          <t>LEKSAND</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56591-2024</t>
        </is>
      </c>
      <c r="B1178" s="1" t="n">
        <v>45625</v>
      </c>
      <c r="C1178" s="1" t="n">
        <v>45630</v>
      </c>
      <c r="D1178" t="inlineStr">
        <is>
          <t>DALARNAS LÄN</t>
        </is>
      </c>
      <c r="E1178" t="inlineStr">
        <is>
          <t>LEKSAND</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45630</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45630</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56950-2024</t>
        </is>
      </c>
      <c r="B1181" s="1" t="n">
        <v>45625</v>
      </c>
      <c r="C1181" s="1" t="n">
        <v>45630</v>
      </c>
      <c r="D1181" t="inlineStr">
        <is>
          <t>DALARNAS LÄN</t>
        </is>
      </c>
      <c r="E1181" t="inlineStr">
        <is>
          <t>LEKSAND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56777-2024</t>
        </is>
      </c>
      <c r="B1182" s="1" t="n">
        <v>45628</v>
      </c>
      <c r="C1182" s="1" t="n">
        <v>45630</v>
      </c>
      <c r="D1182" t="inlineStr">
        <is>
          <t>DALARNAS LÄN</t>
        </is>
      </c>
      <c r="E1182" t="inlineStr">
        <is>
          <t>LEKSAND</t>
        </is>
      </c>
      <c r="G1182" t="n">
        <v>2.4</v>
      </c>
      <c r="H1182" t="n">
        <v>0</v>
      </c>
      <c r="I1182" t="n">
        <v>0</v>
      </c>
      <c r="J1182" t="n">
        <v>0</v>
      </c>
      <c r="K1182" t="n">
        <v>0</v>
      </c>
      <c r="L1182" t="n">
        <v>0</v>
      </c>
      <c r="M1182" t="n">
        <v>0</v>
      </c>
      <c r="N1182" t="n">
        <v>0</v>
      </c>
      <c r="O1182" t="n">
        <v>0</v>
      </c>
      <c r="P1182" t="n">
        <v>0</v>
      </c>
      <c r="Q1182" t="n">
        <v>0</v>
      </c>
      <c r="R1182" s="2" t="inlineStr"/>
    </row>
    <row r="1183">
      <c r="A1183" t="inlineStr">
        <is>
          <t>A 56749-2024</t>
        </is>
      </c>
      <c r="B1183" s="1" t="n">
        <v>45628</v>
      </c>
      <c r="C1183" s="1" t="n">
        <v>45630</v>
      </c>
      <c r="D1183" t="inlineStr">
        <is>
          <t>DALARNAS LÄN</t>
        </is>
      </c>
      <c r="E1183" t="inlineStr">
        <is>
          <t>LEKSAND</t>
        </is>
      </c>
      <c r="G1183" t="n">
        <v>5</v>
      </c>
      <c r="H1183" t="n">
        <v>0</v>
      </c>
      <c r="I1183" t="n">
        <v>0</v>
      </c>
      <c r="J1183" t="n">
        <v>0</v>
      </c>
      <c r="K1183" t="n">
        <v>0</v>
      </c>
      <c r="L1183" t="n">
        <v>0</v>
      </c>
      <c r="M1183" t="n">
        <v>0</v>
      </c>
      <c r="N1183" t="n">
        <v>0</v>
      </c>
      <c r="O1183" t="n">
        <v>0</v>
      </c>
      <c r="P1183" t="n">
        <v>0</v>
      </c>
      <c r="Q1183" t="n">
        <v>0</v>
      </c>
      <c r="R1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2024-12-04T15:18:06Z</dcterms:created>
  <dcterms:modified xmlns:dcterms="http://purl.org/dc/terms/" xmlns:xsi="http://www.w3.org/2001/XMLSchema-instance" xsi:type="dcterms:W3CDTF">2024-12-04T15:18:07Z</dcterms:modified>
</cp:coreProperties>
</file>