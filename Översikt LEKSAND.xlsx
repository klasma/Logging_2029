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45931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45931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45931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45931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45931</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45931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45931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45931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45931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45931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45931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45931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45931</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8529-2023</t>
        </is>
      </c>
      <c r="B16" s="1" t="n">
        <v>44977</v>
      </c>
      <c r="C16" s="1" t="n">
        <v>45931</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45931</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45931</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45931</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45931</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45931</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45931</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55519-2021</t>
        </is>
      </c>
      <c r="B23" s="1" t="n">
        <v>44475</v>
      </c>
      <c r="C23" s="1" t="n">
        <v>45931</v>
      </c>
      <c r="D23" t="inlineStr">
        <is>
          <t>DALARNAS LÄN</t>
        </is>
      </c>
      <c r="E23" t="inlineStr">
        <is>
          <t>LEKSAND</t>
        </is>
      </c>
      <c r="G23" t="n">
        <v>1.8</v>
      </c>
      <c r="H23" t="n">
        <v>2</v>
      </c>
      <c r="I23" t="n">
        <v>0</v>
      </c>
      <c r="J23" t="n">
        <v>0</v>
      </c>
      <c r="K23" t="n">
        <v>0</v>
      </c>
      <c r="L23" t="n">
        <v>0</v>
      </c>
      <c r="M23" t="n">
        <v>0</v>
      </c>
      <c r="N23" t="n">
        <v>0</v>
      </c>
      <c r="O23" t="n">
        <v>0</v>
      </c>
      <c r="P23" t="n">
        <v>0</v>
      </c>
      <c r="Q23" t="n">
        <v>2</v>
      </c>
      <c r="R23" s="2" t="inlineStr">
        <is>
          <t>Fläcknycklar
Mattlummer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9408-2024</t>
        </is>
      </c>
      <c r="B24" s="1" t="n">
        <v>45358</v>
      </c>
      <c r="C24" s="1" t="n">
        <v>45931</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45931</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59111-2024</t>
        </is>
      </c>
      <c r="B26" s="1" t="n">
        <v>45637.36484953704</v>
      </c>
      <c r="C26" s="1" t="n">
        <v>45931</v>
      </c>
      <c r="D26" t="inlineStr">
        <is>
          <t>DALARNAS LÄN</t>
        </is>
      </c>
      <c r="E26" t="inlineStr">
        <is>
          <t>LEKSAND</t>
        </is>
      </c>
      <c r="G26" t="n">
        <v>8.800000000000001</v>
      </c>
      <c r="H26" t="n">
        <v>0</v>
      </c>
      <c r="I26" t="n">
        <v>0</v>
      </c>
      <c r="J26" t="n">
        <v>2</v>
      </c>
      <c r="K26" t="n">
        <v>0</v>
      </c>
      <c r="L26" t="n">
        <v>0</v>
      </c>
      <c r="M26" t="n">
        <v>0</v>
      </c>
      <c r="N26" t="n">
        <v>0</v>
      </c>
      <c r="O26" t="n">
        <v>2</v>
      </c>
      <c r="P26" t="n">
        <v>0</v>
      </c>
      <c r="Q26" t="n">
        <v>2</v>
      </c>
      <c r="R26" s="2" t="inlineStr">
        <is>
          <t>Garnlav
Violettgrå tagellav</t>
        </is>
      </c>
      <c r="S26">
        <f>HYPERLINK("https://klasma.github.io/Logging_2029/artfynd/A 59111-2024 artfynd.xlsx", "A 59111-2024")</f>
        <v/>
      </c>
      <c r="T26">
        <f>HYPERLINK("https://klasma.github.io/Logging_2029/kartor/A 59111-2024 karta.png", "A 59111-2024")</f>
        <v/>
      </c>
      <c r="V26">
        <f>HYPERLINK("https://klasma.github.io/Logging_2029/klagomål/A 59111-2024 FSC-klagomål.docx", "A 59111-2024")</f>
        <v/>
      </c>
      <c r="W26">
        <f>HYPERLINK("https://klasma.github.io/Logging_2029/klagomålsmail/A 59111-2024 FSC-klagomål mail.docx", "A 59111-2024")</f>
        <v/>
      </c>
      <c r="X26">
        <f>HYPERLINK("https://klasma.github.io/Logging_2029/tillsyn/A 59111-2024 tillsynsbegäran.docx", "A 59111-2024")</f>
        <v/>
      </c>
      <c r="Y26">
        <f>HYPERLINK("https://klasma.github.io/Logging_2029/tillsynsmail/A 59111-2024 tillsynsbegäran mail.docx", "A 59111-2024")</f>
        <v/>
      </c>
    </row>
    <row r="27" ht="15" customHeight="1">
      <c r="A27" t="inlineStr">
        <is>
          <t>A 18860-2025</t>
        </is>
      </c>
      <c r="B27" s="1" t="n">
        <v>45764.42738425926</v>
      </c>
      <c r="C27" s="1" t="n">
        <v>45931</v>
      </c>
      <c r="D27" t="inlineStr">
        <is>
          <t>DALARNAS LÄN</t>
        </is>
      </c>
      <c r="E27" t="inlineStr">
        <is>
          <t>LEKSAND</t>
        </is>
      </c>
      <c r="G27" t="n">
        <v>5.8</v>
      </c>
      <c r="H27" t="n">
        <v>2</v>
      </c>
      <c r="I27" t="n">
        <v>0</v>
      </c>
      <c r="J27" t="n">
        <v>2</v>
      </c>
      <c r="K27" t="n">
        <v>0</v>
      </c>
      <c r="L27" t="n">
        <v>0</v>
      </c>
      <c r="M27" t="n">
        <v>0</v>
      </c>
      <c r="N27" t="n">
        <v>0</v>
      </c>
      <c r="O27" t="n">
        <v>2</v>
      </c>
      <c r="P27" t="n">
        <v>0</v>
      </c>
      <c r="Q27" t="n">
        <v>2</v>
      </c>
      <c r="R27" s="2" t="inlineStr">
        <is>
          <t>Entita
Järpe</t>
        </is>
      </c>
      <c r="S27">
        <f>HYPERLINK("https://klasma.github.io/Logging_2029/artfynd/A 18860-2025 artfynd.xlsx", "A 18860-2025")</f>
        <v/>
      </c>
      <c r="T27">
        <f>HYPERLINK("https://klasma.github.io/Logging_2029/kartor/A 18860-2025 karta.png", "A 18860-2025")</f>
        <v/>
      </c>
      <c r="V27">
        <f>HYPERLINK("https://klasma.github.io/Logging_2029/klagomål/A 18860-2025 FSC-klagomål.docx", "A 18860-2025")</f>
        <v/>
      </c>
      <c r="W27">
        <f>HYPERLINK("https://klasma.github.io/Logging_2029/klagomålsmail/A 18860-2025 FSC-klagomål mail.docx", "A 18860-2025")</f>
        <v/>
      </c>
      <c r="X27">
        <f>HYPERLINK("https://klasma.github.io/Logging_2029/tillsyn/A 18860-2025 tillsynsbegäran.docx", "A 18860-2025")</f>
        <v/>
      </c>
      <c r="Y27">
        <f>HYPERLINK("https://klasma.github.io/Logging_2029/tillsynsmail/A 18860-2025 tillsynsbegäran mail.docx", "A 18860-2025")</f>
        <v/>
      </c>
      <c r="Z27">
        <f>HYPERLINK("https://klasma.github.io/Logging_2029/fåglar/A 18860-2025 prioriterade fågelarter.docx", "A 18860-2025")</f>
        <v/>
      </c>
    </row>
    <row r="28" ht="15" customHeight="1">
      <c r="A28" t="inlineStr">
        <is>
          <t>A 35865-2025</t>
        </is>
      </c>
      <c r="B28" s="1" t="n">
        <v>45861.7066087963</v>
      </c>
      <c r="C28" s="1" t="n">
        <v>45931</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41718-2021</t>
        </is>
      </c>
      <c r="B29" s="1" t="n">
        <v>44425</v>
      </c>
      <c r="C29" s="1" t="n">
        <v>45931</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41873-2022</t>
        </is>
      </c>
      <c r="B30" s="1" t="n">
        <v>44829</v>
      </c>
      <c r="C30" s="1" t="n">
        <v>45931</v>
      </c>
      <c r="D30" t="inlineStr">
        <is>
          <t>DALARNAS LÄN</t>
        </is>
      </c>
      <c r="E30" t="inlineStr">
        <is>
          <t>LEKSAND</t>
        </is>
      </c>
      <c r="G30" t="n">
        <v>2.1</v>
      </c>
      <c r="H30" t="n">
        <v>1</v>
      </c>
      <c r="I30" t="n">
        <v>0</v>
      </c>
      <c r="J30" t="n">
        <v>1</v>
      </c>
      <c r="K30" t="n">
        <v>0</v>
      </c>
      <c r="L30" t="n">
        <v>0</v>
      </c>
      <c r="M30" t="n">
        <v>0</v>
      </c>
      <c r="N30" t="n">
        <v>0</v>
      </c>
      <c r="O30" t="n">
        <v>1</v>
      </c>
      <c r="P30" t="n">
        <v>0</v>
      </c>
      <c r="Q30" t="n">
        <v>1</v>
      </c>
      <c r="R30" s="2" t="inlineStr">
        <is>
          <t>Spillkråka</t>
        </is>
      </c>
      <c r="S30">
        <f>HYPERLINK("https://klasma.github.io/Logging_2029/artfynd/A 41873-2022 artfynd.xlsx", "A 41873-2022")</f>
        <v/>
      </c>
      <c r="T30">
        <f>HYPERLINK("https://klasma.github.io/Logging_2029/kartor/A 41873-2022 karta.png", "A 41873-2022")</f>
        <v/>
      </c>
      <c r="V30">
        <f>HYPERLINK("https://klasma.github.io/Logging_2029/klagomål/A 41873-2022 FSC-klagomål.docx", "A 41873-2022")</f>
        <v/>
      </c>
      <c r="W30">
        <f>HYPERLINK("https://klasma.github.io/Logging_2029/klagomålsmail/A 41873-2022 FSC-klagomål mail.docx", "A 41873-2022")</f>
        <v/>
      </c>
      <c r="X30">
        <f>HYPERLINK("https://klasma.github.io/Logging_2029/tillsyn/A 41873-2022 tillsynsbegäran.docx", "A 41873-2022")</f>
        <v/>
      </c>
      <c r="Y30">
        <f>HYPERLINK("https://klasma.github.io/Logging_2029/tillsynsmail/A 41873-2022 tillsynsbegäran mail.docx", "A 41873-2022")</f>
        <v/>
      </c>
      <c r="Z30">
        <f>HYPERLINK("https://klasma.github.io/Logging_2029/fåglar/A 41873-2022 prioriterade fågelarter.docx", "A 41873-2022")</f>
        <v/>
      </c>
    </row>
    <row r="31" ht="15" customHeight="1">
      <c r="A31" t="inlineStr">
        <is>
          <t>A 16735-2025</t>
        </is>
      </c>
      <c r="B31" s="1" t="n">
        <v>45754.54314814815</v>
      </c>
      <c r="C31" s="1" t="n">
        <v>45931</v>
      </c>
      <c r="D31" t="inlineStr">
        <is>
          <t>DALARNAS LÄN</t>
        </is>
      </c>
      <c r="E31" t="inlineStr">
        <is>
          <t>LEKSAND</t>
        </is>
      </c>
      <c r="G31" t="n">
        <v>1.8</v>
      </c>
      <c r="H31" t="n">
        <v>1</v>
      </c>
      <c r="I31" t="n">
        <v>0</v>
      </c>
      <c r="J31" t="n">
        <v>0</v>
      </c>
      <c r="K31" t="n">
        <v>0</v>
      </c>
      <c r="L31" t="n">
        <v>0</v>
      </c>
      <c r="M31" t="n">
        <v>0</v>
      </c>
      <c r="N31" t="n">
        <v>0</v>
      </c>
      <c r="O31" t="n">
        <v>0</v>
      </c>
      <c r="P31" t="n">
        <v>0</v>
      </c>
      <c r="Q31" t="n">
        <v>1</v>
      </c>
      <c r="R31" s="2" t="inlineStr">
        <is>
          <t>Gröngöling</t>
        </is>
      </c>
      <c r="S31">
        <f>HYPERLINK("https://klasma.github.io/Logging_2029/artfynd/A 16735-2025 artfynd.xlsx", "A 16735-2025")</f>
        <v/>
      </c>
      <c r="T31">
        <f>HYPERLINK("https://klasma.github.io/Logging_2029/kartor/A 16735-2025 karta.png", "A 16735-2025")</f>
        <v/>
      </c>
      <c r="V31">
        <f>HYPERLINK("https://klasma.github.io/Logging_2029/klagomål/A 16735-2025 FSC-klagomål.docx", "A 16735-2025")</f>
        <v/>
      </c>
      <c r="W31">
        <f>HYPERLINK("https://klasma.github.io/Logging_2029/klagomålsmail/A 16735-2025 FSC-klagomål mail.docx", "A 16735-2025")</f>
        <v/>
      </c>
      <c r="X31">
        <f>HYPERLINK("https://klasma.github.io/Logging_2029/tillsyn/A 16735-2025 tillsynsbegäran.docx", "A 16735-2025")</f>
        <v/>
      </c>
      <c r="Y31">
        <f>HYPERLINK("https://klasma.github.io/Logging_2029/tillsynsmail/A 16735-2025 tillsynsbegäran mail.docx", "A 16735-2025")</f>
        <v/>
      </c>
      <c r="Z31">
        <f>HYPERLINK("https://klasma.github.io/Logging_2029/fåglar/A 16735-2025 prioriterade fågelarter.docx", "A 16735-2025")</f>
        <v/>
      </c>
    </row>
    <row r="32" ht="15" customHeight="1">
      <c r="A32" t="inlineStr">
        <is>
          <t>A 23137-2022</t>
        </is>
      </c>
      <c r="B32" s="1" t="n">
        <v>44719</v>
      </c>
      <c r="C32" s="1" t="n">
        <v>45931</v>
      </c>
      <c r="D32" t="inlineStr">
        <is>
          <t>DALARNAS LÄN</t>
        </is>
      </c>
      <c r="E32" t="inlineStr">
        <is>
          <t>LEKSAND</t>
        </is>
      </c>
      <c r="G32" t="n">
        <v>3</v>
      </c>
      <c r="H32" t="n">
        <v>0</v>
      </c>
      <c r="I32" t="n">
        <v>0</v>
      </c>
      <c r="J32" t="n">
        <v>0</v>
      </c>
      <c r="K32" t="n">
        <v>1</v>
      </c>
      <c r="L32" t="n">
        <v>0</v>
      </c>
      <c r="M32" t="n">
        <v>0</v>
      </c>
      <c r="N32" t="n">
        <v>0</v>
      </c>
      <c r="O32" t="n">
        <v>1</v>
      </c>
      <c r="P32" t="n">
        <v>1</v>
      </c>
      <c r="Q32" t="n">
        <v>1</v>
      </c>
      <c r="R32" s="2" t="inlineStr">
        <is>
          <t>Koppartaggsvamp</t>
        </is>
      </c>
      <c r="S32">
        <f>HYPERLINK("https://klasma.github.io/Logging_2029/artfynd/A 23137-2022 artfynd.xlsx", "A 23137-2022")</f>
        <v/>
      </c>
      <c r="T32">
        <f>HYPERLINK("https://klasma.github.io/Logging_2029/kartor/A 23137-2022 karta.png", "A 23137-2022")</f>
        <v/>
      </c>
      <c r="V32">
        <f>HYPERLINK("https://klasma.github.io/Logging_2029/klagomål/A 23137-2022 FSC-klagomål.docx", "A 23137-2022")</f>
        <v/>
      </c>
      <c r="W32">
        <f>HYPERLINK("https://klasma.github.io/Logging_2029/klagomålsmail/A 23137-2022 FSC-klagomål mail.docx", "A 23137-2022")</f>
        <v/>
      </c>
      <c r="X32">
        <f>HYPERLINK("https://klasma.github.io/Logging_2029/tillsyn/A 23137-2022 tillsynsbegäran.docx", "A 23137-2022")</f>
        <v/>
      </c>
      <c r="Y32">
        <f>HYPERLINK("https://klasma.github.io/Logging_2029/tillsynsmail/A 23137-2022 tillsynsbegäran mail.docx", "A 23137-2022")</f>
        <v/>
      </c>
    </row>
    <row r="33" ht="15" customHeight="1">
      <c r="A33" t="inlineStr">
        <is>
          <t>A 164-2024</t>
        </is>
      </c>
      <c r="B33" s="1" t="n">
        <v>45294.49954861111</v>
      </c>
      <c r="C33" s="1" t="n">
        <v>45931</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31124-2024</t>
        </is>
      </c>
      <c r="B34" s="1" t="n">
        <v>45502.62886574074</v>
      </c>
      <c r="C34" s="1" t="n">
        <v>45931</v>
      </c>
      <c r="D34" t="inlineStr">
        <is>
          <t>DALARNAS LÄN</t>
        </is>
      </c>
      <c r="E34" t="inlineStr">
        <is>
          <t>LEKSAND</t>
        </is>
      </c>
      <c r="G34" t="n">
        <v>1.9</v>
      </c>
      <c r="H34" t="n">
        <v>1</v>
      </c>
      <c r="I34" t="n">
        <v>0</v>
      </c>
      <c r="J34" t="n">
        <v>0</v>
      </c>
      <c r="K34" t="n">
        <v>1</v>
      </c>
      <c r="L34" t="n">
        <v>0</v>
      </c>
      <c r="M34" t="n">
        <v>0</v>
      </c>
      <c r="N34" t="n">
        <v>0</v>
      </c>
      <c r="O34" t="n">
        <v>1</v>
      </c>
      <c r="P34" t="n">
        <v>1</v>
      </c>
      <c r="Q34" t="n">
        <v>1</v>
      </c>
      <c r="R34" s="2" t="inlineStr">
        <is>
          <t>Väddnätfjäril</t>
        </is>
      </c>
      <c r="S34">
        <f>HYPERLINK("https://klasma.github.io/Logging_2029/artfynd/A 31124-2024 artfynd.xlsx", "A 31124-2024")</f>
        <v/>
      </c>
      <c r="T34">
        <f>HYPERLINK("https://klasma.github.io/Logging_2029/kartor/A 31124-2024 karta.png", "A 31124-2024")</f>
        <v/>
      </c>
      <c r="V34">
        <f>HYPERLINK("https://klasma.github.io/Logging_2029/klagomål/A 31124-2024 FSC-klagomål.docx", "A 31124-2024")</f>
        <v/>
      </c>
      <c r="W34">
        <f>HYPERLINK("https://klasma.github.io/Logging_2029/klagomålsmail/A 31124-2024 FSC-klagomål mail.docx", "A 31124-2024")</f>
        <v/>
      </c>
      <c r="X34">
        <f>HYPERLINK("https://klasma.github.io/Logging_2029/tillsyn/A 31124-2024 tillsynsbegäran.docx", "A 31124-2024")</f>
        <v/>
      </c>
      <c r="Y34">
        <f>HYPERLINK("https://klasma.github.io/Logging_2029/tillsynsmail/A 31124-2024 tillsynsbegäran mail.docx", "A 31124-2024")</f>
        <v/>
      </c>
    </row>
    <row r="35" ht="15" customHeight="1">
      <c r="A35" t="inlineStr">
        <is>
          <t>A 55633-2024</t>
        </is>
      </c>
      <c r="B35" s="1" t="n">
        <v>45621</v>
      </c>
      <c r="C35" s="1" t="n">
        <v>45931</v>
      </c>
      <c r="D35" t="inlineStr">
        <is>
          <t>DALARNAS LÄN</t>
        </is>
      </c>
      <c r="E35" t="inlineStr">
        <is>
          <t>LEKSAND</t>
        </is>
      </c>
      <c r="G35" t="n">
        <v>7.8</v>
      </c>
      <c r="H35" t="n">
        <v>0</v>
      </c>
      <c r="I35" t="n">
        <v>0</v>
      </c>
      <c r="J35" t="n">
        <v>1</v>
      </c>
      <c r="K35" t="n">
        <v>0</v>
      </c>
      <c r="L35" t="n">
        <v>0</v>
      </c>
      <c r="M35" t="n">
        <v>0</v>
      </c>
      <c r="N35" t="n">
        <v>0</v>
      </c>
      <c r="O35" t="n">
        <v>1</v>
      </c>
      <c r="P35" t="n">
        <v>0</v>
      </c>
      <c r="Q35" t="n">
        <v>1</v>
      </c>
      <c r="R35" s="2" t="inlineStr">
        <is>
          <t>Ullticka</t>
        </is>
      </c>
      <c r="S35">
        <f>HYPERLINK("https://klasma.github.io/Logging_2029/artfynd/A 55633-2024 artfynd.xlsx", "A 55633-2024")</f>
        <v/>
      </c>
      <c r="T35">
        <f>HYPERLINK("https://klasma.github.io/Logging_2029/kartor/A 55633-2024 karta.png", "A 55633-2024")</f>
        <v/>
      </c>
      <c r="V35">
        <f>HYPERLINK("https://klasma.github.io/Logging_2029/klagomål/A 55633-2024 FSC-klagomål.docx", "A 55633-2024")</f>
        <v/>
      </c>
      <c r="W35">
        <f>HYPERLINK("https://klasma.github.io/Logging_2029/klagomålsmail/A 55633-2024 FSC-klagomål mail.docx", "A 55633-2024")</f>
        <v/>
      </c>
      <c r="X35">
        <f>HYPERLINK("https://klasma.github.io/Logging_2029/tillsyn/A 55633-2024 tillsynsbegäran.docx", "A 55633-2024")</f>
        <v/>
      </c>
      <c r="Y35">
        <f>HYPERLINK("https://klasma.github.io/Logging_2029/tillsynsmail/A 55633-2024 tillsynsbegäran mail.docx", "A 55633-2024")</f>
        <v/>
      </c>
    </row>
    <row r="36" ht="15" customHeight="1">
      <c r="A36" t="inlineStr">
        <is>
          <t>A 52600-2024</t>
        </is>
      </c>
      <c r="B36" s="1" t="n">
        <v>45609</v>
      </c>
      <c r="C36" s="1" t="n">
        <v>45931</v>
      </c>
      <c r="D36" t="inlineStr">
        <is>
          <t>DALARNAS LÄN</t>
        </is>
      </c>
      <c r="E36" t="inlineStr">
        <is>
          <t>LEKSAND</t>
        </is>
      </c>
      <c r="G36" t="n">
        <v>3.4</v>
      </c>
      <c r="H36" t="n">
        <v>1</v>
      </c>
      <c r="I36" t="n">
        <v>0</v>
      </c>
      <c r="J36" t="n">
        <v>0</v>
      </c>
      <c r="K36" t="n">
        <v>0</v>
      </c>
      <c r="L36" t="n">
        <v>0</v>
      </c>
      <c r="M36" t="n">
        <v>0</v>
      </c>
      <c r="N36" t="n">
        <v>0</v>
      </c>
      <c r="O36" t="n">
        <v>0</v>
      </c>
      <c r="P36" t="n">
        <v>0</v>
      </c>
      <c r="Q36" t="n">
        <v>1</v>
      </c>
      <c r="R36" s="2" t="inlineStr">
        <is>
          <t>Fläcknycklar</t>
        </is>
      </c>
      <c r="S36">
        <f>HYPERLINK("https://klasma.github.io/Logging_2029/artfynd/A 52600-2024 artfynd.xlsx", "A 52600-2024")</f>
        <v/>
      </c>
      <c r="T36">
        <f>HYPERLINK("https://klasma.github.io/Logging_2029/kartor/A 52600-2024 karta.png", "A 52600-2024")</f>
        <v/>
      </c>
      <c r="V36">
        <f>HYPERLINK("https://klasma.github.io/Logging_2029/klagomål/A 52600-2024 FSC-klagomål.docx", "A 52600-2024")</f>
        <v/>
      </c>
      <c r="W36">
        <f>HYPERLINK("https://klasma.github.io/Logging_2029/klagomålsmail/A 52600-2024 FSC-klagomål mail.docx", "A 52600-2024")</f>
        <v/>
      </c>
      <c r="X36">
        <f>HYPERLINK("https://klasma.github.io/Logging_2029/tillsyn/A 52600-2024 tillsynsbegäran.docx", "A 52600-2024")</f>
        <v/>
      </c>
      <c r="Y36">
        <f>HYPERLINK("https://klasma.github.io/Logging_2029/tillsynsmail/A 52600-2024 tillsynsbegäran mail.docx", "A 52600-2024")</f>
        <v/>
      </c>
    </row>
    <row r="37" ht="15" customHeight="1">
      <c r="A37" t="inlineStr">
        <is>
          <t>A 59205-2023</t>
        </is>
      </c>
      <c r="B37" s="1" t="n">
        <v>45251</v>
      </c>
      <c r="C37" s="1" t="n">
        <v>45931</v>
      </c>
      <c r="D37" t="inlineStr">
        <is>
          <t>DALARNAS LÄN</t>
        </is>
      </c>
      <c r="E37" t="inlineStr">
        <is>
          <t>LEKSAND</t>
        </is>
      </c>
      <c r="G37" t="n">
        <v>1.9</v>
      </c>
      <c r="H37" t="n">
        <v>1</v>
      </c>
      <c r="I37" t="n">
        <v>0</v>
      </c>
      <c r="J37" t="n">
        <v>0</v>
      </c>
      <c r="K37" t="n">
        <v>0</v>
      </c>
      <c r="L37" t="n">
        <v>0</v>
      </c>
      <c r="M37" t="n">
        <v>0</v>
      </c>
      <c r="N37" t="n">
        <v>0</v>
      </c>
      <c r="O37" t="n">
        <v>0</v>
      </c>
      <c r="P37" t="n">
        <v>0</v>
      </c>
      <c r="Q37" t="n">
        <v>1</v>
      </c>
      <c r="R37" s="2" t="inlineStr">
        <is>
          <t>Revlummer</t>
        </is>
      </c>
      <c r="S37">
        <f>HYPERLINK("https://klasma.github.io/Logging_2029/artfynd/A 59205-2023 artfynd.xlsx", "A 59205-2023")</f>
        <v/>
      </c>
      <c r="T37">
        <f>HYPERLINK("https://klasma.github.io/Logging_2029/kartor/A 59205-2023 karta.png", "A 59205-2023")</f>
        <v/>
      </c>
      <c r="U37">
        <f>HYPERLINK("https://klasma.github.io/Logging_2029/knärot/A 59205-2023 karta knärot.png", "A 59205-2023")</f>
        <v/>
      </c>
      <c r="V37">
        <f>HYPERLINK("https://klasma.github.io/Logging_2029/klagomål/A 59205-2023 FSC-klagomål.docx", "A 59205-2023")</f>
        <v/>
      </c>
      <c r="W37">
        <f>HYPERLINK("https://klasma.github.io/Logging_2029/klagomålsmail/A 59205-2023 FSC-klagomål mail.docx", "A 59205-2023")</f>
        <v/>
      </c>
      <c r="X37">
        <f>HYPERLINK("https://klasma.github.io/Logging_2029/tillsyn/A 59205-2023 tillsynsbegäran.docx", "A 59205-2023")</f>
        <v/>
      </c>
      <c r="Y37">
        <f>HYPERLINK("https://klasma.github.io/Logging_2029/tillsynsmail/A 59205-2023 tillsynsbegäran mail.docx", "A 59205-2023")</f>
        <v/>
      </c>
    </row>
    <row r="38" ht="15" customHeight="1">
      <c r="A38" t="inlineStr">
        <is>
          <t>A 36778-2025</t>
        </is>
      </c>
      <c r="B38" s="1" t="n">
        <v>45873</v>
      </c>
      <c r="C38" s="1" t="n">
        <v>45931</v>
      </c>
      <c r="D38" t="inlineStr">
        <is>
          <t>DALARNAS LÄN</t>
        </is>
      </c>
      <c r="E38" t="inlineStr">
        <is>
          <t>LEKSAND</t>
        </is>
      </c>
      <c r="F38" t="inlineStr">
        <is>
          <t>Övriga statliga verk och myndigheter</t>
        </is>
      </c>
      <c r="G38" t="n">
        <v>0.6</v>
      </c>
      <c r="H38" t="n">
        <v>1</v>
      </c>
      <c r="I38" t="n">
        <v>0</v>
      </c>
      <c r="J38" t="n">
        <v>1</v>
      </c>
      <c r="K38" t="n">
        <v>0</v>
      </c>
      <c r="L38" t="n">
        <v>0</v>
      </c>
      <c r="M38" t="n">
        <v>0</v>
      </c>
      <c r="N38" t="n">
        <v>0</v>
      </c>
      <c r="O38" t="n">
        <v>1</v>
      </c>
      <c r="P38" t="n">
        <v>0</v>
      </c>
      <c r="Q38" t="n">
        <v>1</v>
      </c>
      <c r="R38" s="2" t="inlineStr">
        <is>
          <t>Tretåig hackspett</t>
        </is>
      </c>
      <c r="S38">
        <f>HYPERLINK("https://klasma.github.io/Logging_2029/artfynd/A 36778-2025 artfynd.xlsx", "A 36778-2025")</f>
        <v/>
      </c>
      <c r="T38">
        <f>HYPERLINK("https://klasma.github.io/Logging_2029/kartor/A 36778-2025 karta.png", "A 36778-2025")</f>
        <v/>
      </c>
      <c r="V38">
        <f>HYPERLINK("https://klasma.github.io/Logging_2029/klagomål/A 36778-2025 FSC-klagomål.docx", "A 36778-2025")</f>
        <v/>
      </c>
      <c r="W38">
        <f>HYPERLINK("https://klasma.github.io/Logging_2029/klagomålsmail/A 36778-2025 FSC-klagomål mail.docx", "A 36778-2025")</f>
        <v/>
      </c>
      <c r="X38">
        <f>HYPERLINK("https://klasma.github.io/Logging_2029/tillsyn/A 36778-2025 tillsynsbegäran.docx", "A 36778-2025")</f>
        <v/>
      </c>
      <c r="Y38">
        <f>HYPERLINK("https://klasma.github.io/Logging_2029/tillsynsmail/A 36778-2025 tillsynsbegäran mail.docx", "A 36778-2025")</f>
        <v/>
      </c>
      <c r="Z38">
        <f>HYPERLINK("https://klasma.github.io/Logging_2029/fåglar/A 36778-2025 prioriterade fågelarter.docx", "A 36778-2025")</f>
        <v/>
      </c>
    </row>
    <row r="39" ht="15" customHeight="1">
      <c r="A39" t="inlineStr">
        <is>
          <t>A 31951-2025</t>
        </is>
      </c>
      <c r="B39" s="1" t="n">
        <v>45835.33481481481</v>
      </c>
      <c r="C39" s="1" t="n">
        <v>45931</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53633-2024</t>
        </is>
      </c>
      <c r="B40" s="1" t="n">
        <v>45614.83726851852</v>
      </c>
      <c r="C40" s="1" t="n">
        <v>45931</v>
      </c>
      <c r="D40" t="inlineStr">
        <is>
          <t>DALARNAS LÄN</t>
        </is>
      </c>
      <c r="E40" t="inlineStr">
        <is>
          <t>LEKSAND</t>
        </is>
      </c>
      <c r="G40" t="n">
        <v>1.6</v>
      </c>
      <c r="H40" t="n">
        <v>1</v>
      </c>
      <c r="I40" t="n">
        <v>0</v>
      </c>
      <c r="J40" t="n">
        <v>1</v>
      </c>
      <c r="K40" t="n">
        <v>0</v>
      </c>
      <c r="L40" t="n">
        <v>0</v>
      </c>
      <c r="M40" t="n">
        <v>0</v>
      </c>
      <c r="N40" t="n">
        <v>0</v>
      </c>
      <c r="O40" t="n">
        <v>1</v>
      </c>
      <c r="P40" t="n">
        <v>0</v>
      </c>
      <c r="Q40" t="n">
        <v>1</v>
      </c>
      <c r="R40" s="2" t="inlineStr">
        <is>
          <t>Tretåig hackspett</t>
        </is>
      </c>
      <c r="S40">
        <f>HYPERLINK("https://klasma.github.io/Logging_2029/artfynd/A 53633-2024 artfynd.xlsx", "A 53633-2024")</f>
        <v/>
      </c>
      <c r="T40">
        <f>HYPERLINK("https://klasma.github.io/Logging_2029/kartor/A 53633-2024 karta.png", "A 53633-2024")</f>
        <v/>
      </c>
      <c r="V40">
        <f>HYPERLINK("https://klasma.github.io/Logging_2029/klagomål/A 53633-2024 FSC-klagomål.docx", "A 53633-2024")</f>
        <v/>
      </c>
      <c r="W40">
        <f>HYPERLINK("https://klasma.github.io/Logging_2029/klagomålsmail/A 53633-2024 FSC-klagomål mail.docx", "A 53633-2024")</f>
        <v/>
      </c>
      <c r="X40">
        <f>HYPERLINK("https://klasma.github.io/Logging_2029/tillsyn/A 53633-2024 tillsynsbegäran.docx", "A 53633-2024")</f>
        <v/>
      </c>
      <c r="Y40">
        <f>HYPERLINK("https://klasma.github.io/Logging_2029/tillsynsmail/A 53633-2024 tillsynsbegäran mail.docx", "A 53633-2024")</f>
        <v/>
      </c>
      <c r="Z40">
        <f>HYPERLINK("https://klasma.github.io/Logging_2029/fåglar/A 53633-2024 prioriterade fågelarter.docx", "A 53633-2024")</f>
        <v/>
      </c>
    </row>
    <row r="41" ht="15" customHeight="1">
      <c r="A41" t="inlineStr">
        <is>
          <t>A 34993-2025</t>
        </is>
      </c>
      <c r="B41" s="1" t="n">
        <v>45849.82383101852</v>
      </c>
      <c r="C41" s="1" t="n">
        <v>45931</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45931</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4974-2025</t>
        </is>
      </c>
      <c r="B43" s="1" t="n">
        <v>45690.8478587963</v>
      </c>
      <c r="C43" s="1" t="n">
        <v>45931</v>
      </c>
      <c r="D43" t="inlineStr">
        <is>
          <t>DALARNAS LÄN</t>
        </is>
      </c>
      <c r="E43" t="inlineStr">
        <is>
          <t>LEKSAND</t>
        </is>
      </c>
      <c r="G43" t="n">
        <v>0.9</v>
      </c>
      <c r="H43" t="n">
        <v>1</v>
      </c>
      <c r="I43" t="n">
        <v>0</v>
      </c>
      <c r="J43" t="n">
        <v>1</v>
      </c>
      <c r="K43" t="n">
        <v>0</v>
      </c>
      <c r="L43" t="n">
        <v>0</v>
      </c>
      <c r="M43" t="n">
        <v>0</v>
      </c>
      <c r="N43" t="n">
        <v>0</v>
      </c>
      <c r="O43" t="n">
        <v>1</v>
      </c>
      <c r="P43" t="n">
        <v>0</v>
      </c>
      <c r="Q43" t="n">
        <v>1</v>
      </c>
      <c r="R43" s="2" t="inlineStr">
        <is>
          <t>Spillkråka</t>
        </is>
      </c>
      <c r="S43">
        <f>HYPERLINK("https://klasma.github.io/Logging_2029/artfynd/A 4974-2025 artfynd.xlsx", "A 4974-2025")</f>
        <v/>
      </c>
      <c r="T43">
        <f>HYPERLINK("https://klasma.github.io/Logging_2029/kartor/A 4974-2025 karta.png", "A 4974-2025")</f>
        <v/>
      </c>
      <c r="V43">
        <f>HYPERLINK("https://klasma.github.io/Logging_2029/klagomål/A 4974-2025 FSC-klagomål.docx", "A 4974-2025")</f>
        <v/>
      </c>
      <c r="W43">
        <f>HYPERLINK("https://klasma.github.io/Logging_2029/klagomålsmail/A 4974-2025 FSC-klagomål mail.docx", "A 4974-2025")</f>
        <v/>
      </c>
      <c r="X43">
        <f>HYPERLINK("https://klasma.github.io/Logging_2029/tillsyn/A 4974-2025 tillsynsbegäran.docx", "A 4974-2025")</f>
        <v/>
      </c>
      <c r="Y43">
        <f>HYPERLINK("https://klasma.github.io/Logging_2029/tillsynsmail/A 4974-2025 tillsynsbegäran mail.docx", "A 4974-2025")</f>
        <v/>
      </c>
      <c r="Z43">
        <f>HYPERLINK("https://klasma.github.io/Logging_2029/fåglar/A 4974-2025 prioriterade fågelarter.docx", "A 4974-2025")</f>
        <v/>
      </c>
    </row>
    <row r="44" ht="15" customHeight="1">
      <c r="A44" t="inlineStr">
        <is>
          <t>A 6029-2025</t>
        </is>
      </c>
      <c r="B44" s="1" t="n">
        <v>45695</v>
      </c>
      <c r="C44" s="1" t="n">
        <v>45931</v>
      </c>
      <c r="D44" t="inlineStr">
        <is>
          <t>DALARNAS LÄN</t>
        </is>
      </c>
      <c r="E44" t="inlineStr">
        <is>
          <t>LEKSAND</t>
        </is>
      </c>
      <c r="G44" t="n">
        <v>3.5</v>
      </c>
      <c r="H44" t="n">
        <v>1</v>
      </c>
      <c r="I44" t="n">
        <v>0</v>
      </c>
      <c r="J44" t="n">
        <v>1</v>
      </c>
      <c r="K44" t="n">
        <v>0</v>
      </c>
      <c r="L44" t="n">
        <v>0</v>
      </c>
      <c r="M44" t="n">
        <v>0</v>
      </c>
      <c r="N44" t="n">
        <v>0</v>
      </c>
      <c r="O44" t="n">
        <v>1</v>
      </c>
      <c r="P44" t="n">
        <v>0</v>
      </c>
      <c r="Q44" t="n">
        <v>1</v>
      </c>
      <c r="R44" s="2" t="inlineStr">
        <is>
          <t>Spillkråka</t>
        </is>
      </c>
      <c r="S44">
        <f>HYPERLINK("https://klasma.github.io/Logging_2029/artfynd/A 6029-2025 artfynd.xlsx", "A 6029-2025")</f>
        <v/>
      </c>
      <c r="T44">
        <f>HYPERLINK("https://klasma.github.io/Logging_2029/kartor/A 6029-2025 karta.png", "A 6029-2025")</f>
        <v/>
      </c>
      <c r="V44">
        <f>HYPERLINK("https://klasma.github.io/Logging_2029/klagomål/A 6029-2025 FSC-klagomål.docx", "A 6029-2025")</f>
        <v/>
      </c>
      <c r="W44">
        <f>HYPERLINK("https://klasma.github.io/Logging_2029/klagomålsmail/A 6029-2025 FSC-klagomål mail.docx", "A 6029-2025")</f>
        <v/>
      </c>
      <c r="X44">
        <f>HYPERLINK("https://klasma.github.io/Logging_2029/tillsyn/A 6029-2025 tillsynsbegäran.docx", "A 6029-2025")</f>
        <v/>
      </c>
      <c r="Y44">
        <f>HYPERLINK("https://klasma.github.io/Logging_2029/tillsynsmail/A 6029-2025 tillsynsbegäran mail.docx", "A 6029-2025")</f>
        <v/>
      </c>
      <c r="Z44">
        <f>HYPERLINK("https://klasma.github.io/Logging_2029/fåglar/A 6029-2025 prioriterade fågelarter.docx", "A 6029-2025")</f>
        <v/>
      </c>
    </row>
    <row r="45" ht="15" customHeight="1">
      <c r="A45" t="inlineStr">
        <is>
          <t>A 16333-2023</t>
        </is>
      </c>
      <c r="B45" s="1" t="n">
        <v>45028</v>
      </c>
      <c r="C45" s="1" t="n">
        <v>45931</v>
      </c>
      <c r="D45" t="inlineStr">
        <is>
          <t>DALARNAS LÄN</t>
        </is>
      </c>
      <c r="E45" t="inlineStr">
        <is>
          <t>LEKSAND</t>
        </is>
      </c>
      <c r="G45" t="n">
        <v>1.5</v>
      </c>
      <c r="H45" t="n">
        <v>0</v>
      </c>
      <c r="I45" t="n">
        <v>1</v>
      </c>
      <c r="J45" t="n">
        <v>0</v>
      </c>
      <c r="K45" t="n">
        <v>0</v>
      </c>
      <c r="L45" t="n">
        <v>0</v>
      </c>
      <c r="M45" t="n">
        <v>0</v>
      </c>
      <c r="N45" t="n">
        <v>0</v>
      </c>
      <c r="O45" t="n">
        <v>0</v>
      </c>
      <c r="P45" t="n">
        <v>0</v>
      </c>
      <c r="Q45" t="n">
        <v>1</v>
      </c>
      <c r="R45" s="2" t="inlineStr">
        <is>
          <t>Läderskål</t>
        </is>
      </c>
      <c r="S45">
        <f>HYPERLINK("https://klasma.github.io/Logging_2029/artfynd/A 16333-2023 artfynd.xlsx", "A 16333-2023")</f>
        <v/>
      </c>
      <c r="T45">
        <f>HYPERLINK("https://klasma.github.io/Logging_2029/kartor/A 16333-2023 karta.png", "A 16333-2023")</f>
        <v/>
      </c>
      <c r="V45">
        <f>HYPERLINK("https://klasma.github.io/Logging_2029/klagomål/A 16333-2023 FSC-klagomål.docx", "A 16333-2023")</f>
        <v/>
      </c>
      <c r="W45">
        <f>HYPERLINK("https://klasma.github.io/Logging_2029/klagomålsmail/A 16333-2023 FSC-klagomål mail.docx", "A 16333-2023")</f>
        <v/>
      </c>
      <c r="X45">
        <f>HYPERLINK("https://klasma.github.io/Logging_2029/tillsyn/A 16333-2023 tillsynsbegäran.docx", "A 16333-2023")</f>
        <v/>
      </c>
      <c r="Y45">
        <f>HYPERLINK("https://klasma.github.io/Logging_2029/tillsynsmail/A 16333-2023 tillsynsbegäran mail.docx", "A 16333-2023")</f>
        <v/>
      </c>
    </row>
    <row r="46" ht="15" customHeight="1">
      <c r="A46" t="inlineStr">
        <is>
          <t>A 26287-2023</t>
        </is>
      </c>
      <c r="B46" s="1" t="n">
        <v>45091</v>
      </c>
      <c r="C46" s="1" t="n">
        <v>45931</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45375-2025</t>
        </is>
      </c>
      <c r="B47" s="1" t="n">
        <v>45922.39347222223</v>
      </c>
      <c r="C47" s="1" t="n">
        <v>45931</v>
      </c>
      <c r="D47" t="inlineStr">
        <is>
          <t>DALARNAS LÄN</t>
        </is>
      </c>
      <c r="E47" t="inlineStr">
        <is>
          <t>LEKSAND</t>
        </is>
      </c>
      <c r="G47" t="n">
        <v>4.3</v>
      </c>
      <c r="H47" t="n">
        <v>1</v>
      </c>
      <c r="I47" t="n">
        <v>0</v>
      </c>
      <c r="J47" t="n">
        <v>0</v>
      </c>
      <c r="K47" t="n">
        <v>0</v>
      </c>
      <c r="L47" t="n">
        <v>1</v>
      </c>
      <c r="M47" t="n">
        <v>0</v>
      </c>
      <c r="N47" t="n">
        <v>0</v>
      </c>
      <c r="O47" t="n">
        <v>1</v>
      </c>
      <c r="P47" t="n">
        <v>1</v>
      </c>
      <c r="Q47" t="n">
        <v>1</v>
      </c>
      <c r="R47" s="2" t="inlineStr">
        <is>
          <t>Mosippa</t>
        </is>
      </c>
      <c r="S47">
        <f>HYPERLINK("https://klasma.github.io/Logging_2029/artfynd/A 45375-2025 artfynd.xlsx", "A 45375-2025")</f>
        <v/>
      </c>
      <c r="T47">
        <f>HYPERLINK("https://klasma.github.io/Logging_2029/kartor/A 45375-2025 karta.png", "A 45375-2025")</f>
        <v/>
      </c>
      <c r="V47">
        <f>HYPERLINK("https://klasma.github.io/Logging_2029/klagomål/A 45375-2025 FSC-klagomål.docx", "A 45375-2025")</f>
        <v/>
      </c>
      <c r="W47">
        <f>HYPERLINK("https://klasma.github.io/Logging_2029/klagomålsmail/A 45375-2025 FSC-klagomål mail.docx", "A 45375-2025")</f>
        <v/>
      </c>
      <c r="X47">
        <f>HYPERLINK("https://klasma.github.io/Logging_2029/tillsyn/A 45375-2025 tillsynsbegäran.docx", "A 45375-2025")</f>
        <v/>
      </c>
      <c r="Y47">
        <f>HYPERLINK("https://klasma.github.io/Logging_2029/tillsynsmail/A 45375-2025 tillsynsbegäran mail.docx", "A 45375-2025")</f>
        <v/>
      </c>
    </row>
    <row r="48" ht="15" customHeight="1">
      <c r="A48" t="inlineStr">
        <is>
          <t>A 1078-2021</t>
        </is>
      </c>
      <c r="B48" s="1" t="n">
        <v>44207</v>
      </c>
      <c r="C48" s="1" t="n">
        <v>45931</v>
      </c>
      <c r="D48" t="inlineStr">
        <is>
          <t>DALARNAS LÄN</t>
        </is>
      </c>
      <c r="E48" t="inlineStr">
        <is>
          <t>LEKSAND</t>
        </is>
      </c>
      <c r="G48" t="n">
        <v>4.9</v>
      </c>
      <c r="H48" t="n">
        <v>0</v>
      </c>
      <c r="I48" t="n">
        <v>0</v>
      </c>
      <c r="J48" t="n">
        <v>0</v>
      </c>
      <c r="K48" t="n">
        <v>0</v>
      </c>
      <c r="L48" t="n">
        <v>0</v>
      </c>
      <c r="M48" t="n">
        <v>0</v>
      </c>
      <c r="N48" t="n">
        <v>0</v>
      </c>
      <c r="O48" t="n">
        <v>0</v>
      </c>
      <c r="P48" t="n">
        <v>0</v>
      </c>
      <c r="Q48" t="n">
        <v>0</v>
      </c>
      <c r="R48" s="2" t="inlineStr"/>
    </row>
    <row r="49" ht="15" customHeight="1">
      <c r="A49" t="inlineStr">
        <is>
          <t>A 36438-2021</t>
        </is>
      </c>
      <c r="B49" s="1" t="n">
        <v>44390.91288194444</v>
      </c>
      <c r="C49" s="1" t="n">
        <v>45931</v>
      </c>
      <c r="D49" t="inlineStr">
        <is>
          <t>DALARNAS LÄN</t>
        </is>
      </c>
      <c r="E49" t="inlineStr">
        <is>
          <t>LEKSAND</t>
        </is>
      </c>
      <c r="G49" t="n">
        <v>5</v>
      </c>
      <c r="H49" t="n">
        <v>0</v>
      </c>
      <c r="I49" t="n">
        <v>0</v>
      </c>
      <c r="J49" t="n">
        <v>0</v>
      </c>
      <c r="K49" t="n">
        <v>0</v>
      </c>
      <c r="L49" t="n">
        <v>0</v>
      </c>
      <c r="M49" t="n">
        <v>0</v>
      </c>
      <c r="N49" t="n">
        <v>0</v>
      </c>
      <c r="O49" t="n">
        <v>0</v>
      </c>
      <c r="P49" t="n">
        <v>0</v>
      </c>
      <c r="Q49" t="n">
        <v>0</v>
      </c>
      <c r="R49" s="2" t="inlineStr"/>
    </row>
    <row r="50" ht="15" customHeight="1">
      <c r="A50" t="inlineStr">
        <is>
          <t>A 42952-2021</t>
        </is>
      </c>
      <c r="B50" s="1" t="n">
        <v>44431.39752314815</v>
      </c>
      <c r="C50" s="1" t="n">
        <v>45931</v>
      </c>
      <c r="D50" t="inlineStr">
        <is>
          <t>DALARNAS LÄN</t>
        </is>
      </c>
      <c r="E50" t="inlineStr">
        <is>
          <t>LEKSAND</t>
        </is>
      </c>
      <c r="G50" t="n">
        <v>5.4</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45931</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32476-2022</t>
        </is>
      </c>
      <c r="B52" s="1" t="n">
        <v>44782.60024305555</v>
      </c>
      <c r="C52" s="1" t="n">
        <v>45931</v>
      </c>
      <c r="D52" t="inlineStr">
        <is>
          <t>DALARNAS LÄN</t>
        </is>
      </c>
      <c r="E52" t="inlineStr">
        <is>
          <t>LEKSAND</t>
        </is>
      </c>
      <c r="G52" t="n">
        <v>5.6</v>
      </c>
      <c r="H52" t="n">
        <v>0</v>
      </c>
      <c r="I52" t="n">
        <v>0</v>
      </c>
      <c r="J52" t="n">
        <v>0</v>
      </c>
      <c r="K52" t="n">
        <v>0</v>
      </c>
      <c r="L52" t="n">
        <v>0</v>
      </c>
      <c r="M52" t="n">
        <v>0</v>
      </c>
      <c r="N52" t="n">
        <v>0</v>
      </c>
      <c r="O52" t="n">
        <v>0</v>
      </c>
      <c r="P52" t="n">
        <v>0</v>
      </c>
      <c r="Q52" t="n">
        <v>0</v>
      </c>
      <c r="R52" s="2" t="inlineStr"/>
    </row>
    <row r="53" ht="15" customHeight="1">
      <c r="A53" t="inlineStr">
        <is>
          <t>A 51502-2022</t>
        </is>
      </c>
      <c r="B53" s="1" t="n">
        <v>44869</v>
      </c>
      <c r="C53" s="1" t="n">
        <v>45931</v>
      </c>
      <c r="D53" t="inlineStr">
        <is>
          <t>DALARNAS LÄN</t>
        </is>
      </c>
      <c r="E53" t="inlineStr">
        <is>
          <t>LEKSAND</t>
        </is>
      </c>
      <c r="F53" t="inlineStr">
        <is>
          <t>Bergvik skog väst AB</t>
        </is>
      </c>
      <c r="G53" t="n">
        <v>2.4</v>
      </c>
      <c r="H53" t="n">
        <v>0</v>
      </c>
      <c r="I53" t="n">
        <v>0</v>
      </c>
      <c r="J53" t="n">
        <v>0</v>
      </c>
      <c r="K53" t="n">
        <v>0</v>
      </c>
      <c r="L53" t="n">
        <v>0</v>
      </c>
      <c r="M53" t="n">
        <v>0</v>
      </c>
      <c r="N53" t="n">
        <v>0</v>
      </c>
      <c r="O53" t="n">
        <v>0</v>
      </c>
      <c r="P53" t="n">
        <v>0</v>
      </c>
      <c r="Q53" t="n">
        <v>0</v>
      </c>
      <c r="R53" s="2" t="inlineStr"/>
    </row>
    <row r="54" ht="15" customHeight="1">
      <c r="A54" t="inlineStr">
        <is>
          <t>A 59422-2021</t>
        </is>
      </c>
      <c r="B54" s="1" t="n">
        <v>44491</v>
      </c>
      <c r="C54" s="1" t="n">
        <v>45931</v>
      </c>
      <c r="D54" t="inlineStr">
        <is>
          <t>DALARNAS LÄN</t>
        </is>
      </c>
      <c r="E54" t="inlineStr">
        <is>
          <t>LEKSAND</t>
        </is>
      </c>
      <c r="G54" t="n">
        <v>0.7</v>
      </c>
      <c r="H54" t="n">
        <v>0</v>
      </c>
      <c r="I54" t="n">
        <v>0</v>
      </c>
      <c r="J54" t="n">
        <v>0</v>
      </c>
      <c r="K54" t="n">
        <v>0</v>
      </c>
      <c r="L54" t="n">
        <v>0</v>
      </c>
      <c r="M54" t="n">
        <v>0</v>
      </c>
      <c r="N54" t="n">
        <v>0</v>
      </c>
      <c r="O54" t="n">
        <v>0</v>
      </c>
      <c r="P54" t="n">
        <v>0</v>
      </c>
      <c r="Q54" t="n">
        <v>0</v>
      </c>
      <c r="R54" s="2" t="inlineStr"/>
    </row>
    <row r="55" ht="15" customHeight="1">
      <c r="A55" t="inlineStr">
        <is>
          <t>A 64109-2020</t>
        </is>
      </c>
      <c r="B55" s="1" t="n">
        <v>44167</v>
      </c>
      <c r="C55" s="1" t="n">
        <v>45931</v>
      </c>
      <c r="D55" t="inlineStr">
        <is>
          <t>DALARNAS LÄN</t>
        </is>
      </c>
      <c r="E55" t="inlineStr">
        <is>
          <t>LEKSAND</t>
        </is>
      </c>
      <c r="G55" t="n">
        <v>2.7</v>
      </c>
      <c r="H55" t="n">
        <v>0</v>
      </c>
      <c r="I55" t="n">
        <v>0</v>
      </c>
      <c r="J55" t="n">
        <v>0</v>
      </c>
      <c r="K55" t="n">
        <v>0</v>
      </c>
      <c r="L55" t="n">
        <v>0</v>
      </c>
      <c r="M55" t="n">
        <v>0</v>
      </c>
      <c r="N55" t="n">
        <v>0</v>
      </c>
      <c r="O55" t="n">
        <v>0</v>
      </c>
      <c r="P55" t="n">
        <v>0</v>
      </c>
      <c r="Q55" t="n">
        <v>0</v>
      </c>
      <c r="R55" s="2" t="inlineStr"/>
    </row>
    <row r="56" ht="15" customHeight="1">
      <c r="A56" t="inlineStr">
        <is>
          <t>A 9133-2021</t>
        </is>
      </c>
      <c r="B56" s="1" t="n">
        <v>44249</v>
      </c>
      <c r="C56" s="1" t="n">
        <v>45931</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64876-2020</t>
        </is>
      </c>
      <c r="B57" s="1" t="n">
        <v>44171</v>
      </c>
      <c r="C57" s="1" t="n">
        <v>45931</v>
      </c>
      <c r="D57" t="inlineStr">
        <is>
          <t>DALARNAS LÄN</t>
        </is>
      </c>
      <c r="E57" t="inlineStr">
        <is>
          <t>LEKSAND</t>
        </is>
      </c>
      <c r="G57" t="n">
        <v>2.1</v>
      </c>
      <c r="H57" t="n">
        <v>0</v>
      </c>
      <c r="I57" t="n">
        <v>0</v>
      </c>
      <c r="J57" t="n">
        <v>0</v>
      </c>
      <c r="K57" t="n">
        <v>0</v>
      </c>
      <c r="L57" t="n">
        <v>0</v>
      </c>
      <c r="M57" t="n">
        <v>0</v>
      </c>
      <c r="N57" t="n">
        <v>0</v>
      </c>
      <c r="O57" t="n">
        <v>0</v>
      </c>
      <c r="P57" t="n">
        <v>0</v>
      </c>
      <c r="Q57" t="n">
        <v>0</v>
      </c>
      <c r="R57" s="2" t="inlineStr"/>
    </row>
    <row r="58" ht="15" customHeight="1">
      <c r="A58" t="inlineStr">
        <is>
          <t>A 43300-2022</t>
        </is>
      </c>
      <c r="B58" s="1" t="n">
        <v>44834</v>
      </c>
      <c r="C58" s="1" t="n">
        <v>45931</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35801-2022</t>
        </is>
      </c>
      <c r="B59" s="1" t="n">
        <v>44802</v>
      </c>
      <c r="C59" s="1" t="n">
        <v>45931</v>
      </c>
      <c r="D59" t="inlineStr">
        <is>
          <t>DALARNAS LÄN</t>
        </is>
      </c>
      <c r="E59" t="inlineStr">
        <is>
          <t>LEKSAND</t>
        </is>
      </c>
      <c r="F59" t="inlineStr">
        <is>
          <t>Bergvik skog väst AB</t>
        </is>
      </c>
      <c r="G59" t="n">
        <v>6.4</v>
      </c>
      <c r="H59" t="n">
        <v>0</v>
      </c>
      <c r="I59" t="n">
        <v>0</v>
      </c>
      <c r="J59" t="n">
        <v>0</v>
      </c>
      <c r="K59" t="n">
        <v>0</v>
      </c>
      <c r="L59" t="n">
        <v>0</v>
      </c>
      <c r="M59" t="n">
        <v>0</v>
      </c>
      <c r="N59" t="n">
        <v>0</v>
      </c>
      <c r="O59" t="n">
        <v>0</v>
      </c>
      <c r="P59" t="n">
        <v>0</v>
      </c>
      <c r="Q59" t="n">
        <v>0</v>
      </c>
      <c r="R59" s="2" t="inlineStr"/>
    </row>
    <row r="60" ht="15" customHeight="1">
      <c r="A60" t="inlineStr">
        <is>
          <t>A 16375-2022</t>
        </is>
      </c>
      <c r="B60" s="1" t="n">
        <v>44671.336875</v>
      </c>
      <c r="C60" s="1" t="n">
        <v>45931</v>
      </c>
      <c r="D60" t="inlineStr">
        <is>
          <t>DALARNAS LÄN</t>
        </is>
      </c>
      <c r="E60" t="inlineStr">
        <is>
          <t>LEKSAND</t>
        </is>
      </c>
      <c r="G60" t="n">
        <v>0.9</v>
      </c>
      <c r="H60" t="n">
        <v>0</v>
      </c>
      <c r="I60" t="n">
        <v>0</v>
      </c>
      <c r="J60" t="n">
        <v>0</v>
      </c>
      <c r="K60" t="n">
        <v>0</v>
      </c>
      <c r="L60" t="n">
        <v>0</v>
      </c>
      <c r="M60" t="n">
        <v>0</v>
      </c>
      <c r="N60" t="n">
        <v>0</v>
      </c>
      <c r="O60" t="n">
        <v>0</v>
      </c>
      <c r="P60" t="n">
        <v>0</v>
      </c>
      <c r="Q60" t="n">
        <v>0</v>
      </c>
      <c r="R60" s="2" t="inlineStr"/>
    </row>
    <row r="61" ht="15" customHeight="1">
      <c r="A61" t="inlineStr">
        <is>
          <t>A 51842-2022</t>
        </is>
      </c>
      <c r="B61" s="1" t="n">
        <v>44872.57618055555</v>
      </c>
      <c r="C61" s="1" t="n">
        <v>45931</v>
      </c>
      <c r="D61" t="inlineStr">
        <is>
          <t>DALARNAS LÄN</t>
        </is>
      </c>
      <c r="E61" t="inlineStr">
        <is>
          <t>LEKSAND</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21132-2021</t>
        </is>
      </c>
      <c r="B62" s="1" t="n">
        <v>44319</v>
      </c>
      <c r="C62" s="1" t="n">
        <v>45931</v>
      </c>
      <c r="D62" t="inlineStr">
        <is>
          <t>DALARNAS LÄN</t>
        </is>
      </c>
      <c r="E62" t="inlineStr">
        <is>
          <t>LEKSAND</t>
        </is>
      </c>
      <c r="G62" t="n">
        <v>6.8</v>
      </c>
      <c r="H62" t="n">
        <v>0</v>
      </c>
      <c r="I62" t="n">
        <v>0</v>
      </c>
      <c r="J62" t="n">
        <v>0</v>
      </c>
      <c r="K62" t="n">
        <v>0</v>
      </c>
      <c r="L62" t="n">
        <v>0</v>
      </c>
      <c r="M62" t="n">
        <v>0</v>
      </c>
      <c r="N62" t="n">
        <v>0</v>
      </c>
      <c r="O62" t="n">
        <v>0</v>
      </c>
      <c r="P62" t="n">
        <v>0</v>
      </c>
      <c r="Q62" t="n">
        <v>0</v>
      </c>
      <c r="R62" s="2" t="inlineStr"/>
    </row>
    <row r="63" ht="15" customHeight="1">
      <c r="A63" t="inlineStr">
        <is>
          <t>A 64718-2021</t>
        </is>
      </c>
      <c r="B63" s="1" t="n">
        <v>44512.37575231482</v>
      </c>
      <c r="C63" s="1" t="n">
        <v>45931</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16976-2022</t>
        </is>
      </c>
      <c r="B64" s="1" t="n">
        <v>44676</v>
      </c>
      <c r="C64" s="1" t="n">
        <v>45931</v>
      </c>
      <c r="D64" t="inlineStr">
        <is>
          <t>DALARNAS LÄN</t>
        </is>
      </c>
      <c r="E64" t="inlineStr">
        <is>
          <t>LEKSAND</t>
        </is>
      </c>
      <c r="F64" t="inlineStr">
        <is>
          <t>Övriga Aktiebolag</t>
        </is>
      </c>
      <c r="G64" t="n">
        <v>0.7</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45931</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63481-2020</t>
        </is>
      </c>
      <c r="B66" s="1" t="n">
        <v>44161</v>
      </c>
      <c r="C66" s="1" t="n">
        <v>45931</v>
      </c>
      <c r="D66" t="inlineStr">
        <is>
          <t>DALARNAS LÄN</t>
        </is>
      </c>
      <c r="E66" t="inlineStr">
        <is>
          <t>LEKSAND</t>
        </is>
      </c>
      <c r="G66" t="n">
        <v>1.1</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45931</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45931</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45931</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45931</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45931</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45931</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45931</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45931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45931</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45931</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45931</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45931</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46672-2022</t>
        </is>
      </c>
      <c r="B79" s="1" t="n">
        <v>44851</v>
      </c>
      <c r="C79" s="1" t="n">
        <v>45931</v>
      </c>
      <c r="D79" t="inlineStr">
        <is>
          <t>DALARNAS LÄN</t>
        </is>
      </c>
      <c r="E79" t="inlineStr">
        <is>
          <t>LEKSAND</t>
        </is>
      </c>
      <c r="G79" t="n">
        <v>0.7</v>
      </c>
      <c r="H79" t="n">
        <v>0</v>
      </c>
      <c r="I79" t="n">
        <v>0</v>
      </c>
      <c r="J79" t="n">
        <v>0</v>
      </c>
      <c r="K79" t="n">
        <v>0</v>
      </c>
      <c r="L79" t="n">
        <v>0</v>
      </c>
      <c r="M79" t="n">
        <v>0</v>
      </c>
      <c r="N79" t="n">
        <v>0</v>
      </c>
      <c r="O79" t="n">
        <v>0</v>
      </c>
      <c r="P79" t="n">
        <v>0</v>
      </c>
      <c r="Q79" t="n">
        <v>0</v>
      </c>
      <c r="R79" s="2" t="inlineStr"/>
    </row>
    <row r="80" ht="15" customHeight="1">
      <c r="A80" t="inlineStr">
        <is>
          <t>A 31871-2022</t>
        </is>
      </c>
      <c r="B80" s="1" t="n">
        <v>44777.37854166667</v>
      </c>
      <c r="C80" s="1" t="n">
        <v>45931</v>
      </c>
      <c r="D80" t="inlineStr">
        <is>
          <t>DALARNAS LÄN</t>
        </is>
      </c>
      <c r="E80" t="inlineStr">
        <is>
          <t>LEKSAND</t>
        </is>
      </c>
      <c r="G80" t="n">
        <v>4.1</v>
      </c>
      <c r="H80" t="n">
        <v>0</v>
      </c>
      <c r="I80" t="n">
        <v>0</v>
      </c>
      <c r="J80" t="n">
        <v>0</v>
      </c>
      <c r="K80" t="n">
        <v>0</v>
      </c>
      <c r="L80" t="n">
        <v>0</v>
      </c>
      <c r="M80" t="n">
        <v>0</v>
      </c>
      <c r="N80" t="n">
        <v>0</v>
      </c>
      <c r="O80" t="n">
        <v>0</v>
      </c>
      <c r="P80" t="n">
        <v>0</v>
      </c>
      <c r="Q80" t="n">
        <v>0</v>
      </c>
      <c r="R80" s="2" t="inlineStr"/>
    </row>
    <row r="81" ht="15" customHeight="1">
      <c r="A81" t="inlineStr">
        <is>
          <t>A 14140-2022</t>
        </is>
      </c>
      <c r="B81" s="1" t="n">
        <v>44651</v>
      </c>
      <c r="C81" s="1" t="n">
        <v>45931</v>
      </c>
      <c r="D81" t="inlineStr">
        <is>
          <t>DALARNAS LÄN</t>
        </is>
      </c>
      <c r="E81" t="inlineStr">
        <is>
          <t>LEKSAND</t>
        </is>
      </c>
      <c r="G81" t="n">
        <v>0.9</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45931</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43410-2021</t>
        </is>
      </c>
      <c r="B83" s="1" t="n">
        <v>44432.60814814815</v>
      </c>
      <c r="C83" s="1" t="n">
        <v>45931</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68573-2021</t>
        </is>
      </c>
      <c r="B84" s="1" t="n">
        <v>44529</v>
      </c>
      <c r="C84" s="1" t="n">
        <v>45931</v>
      </c>
      <c r="D84" t="inlineStr">
        <is>
          <t>DALARNAS LÄN</t>
        </is>
      </c>
      <c r="E84" t="inlineStr">
        <is>
          <t>LEKSAND</t>
        </is>
      </c>
      <c r="G84" t="n">
        <v>1.6</v>
      </c>
      <c r="H84" t="n">
        <v>0</v>
      </c>
      <c r="I84" t="n">
        <v>0</v>
      </c>
      <c r="J84" t="n">
        <v>0</v>
      </c>
      <c r="K84" t="n">
        <v>0</v>
      </c>
      <c r="L84" t="n">
        <v>0</v>
      </c>
      <c r="M84" t="n">
        <v>0</v>
      </c>
      <c r="N84" t="n">
        <v>0</v>
      </c>
      <c r="O84" t="n">
        <v>0</v>
      </c>
      <c r="P84" t="n">
        <v>0</v>
      </c>
      <c r="Q84" t="n">
        <v>0</v>
      </c>
      <c r="R84" s="2" t="inlineStr"/>
    </row>
    <row r="85" ht="15" customHeight="1">
      <c r="A85" t="inlineStr">
        <is>
          <t>A 72155-2021</t>
        </is>
      </c>
      <c r="B85" s="1" t="n">
        <v>44543</v>
      </c>
      <c r="C85" s="1" t="n">
        <v>45931</v>
      </c>
      <c r="D85" t="inlineStr">
        <is>
          <t>DALARNAS LÄN</t>
        </is>
      </c>
      <c r="E85" t="inlineStr">
        <is>
          <t>LEKSAND</t>
        </is>
      </c>
      <c r="G85" t="n">
        <v>2.5</v>
      </c>
      <c r="H85" t="n">
        <v>0</v>
      </c>
      <c r="I85" t="n">
        <v>0</v>
      </c>
      <c r="J85" t="n">
        <v>0</v>
      </c>
      <c r="K85" t="n">
        <v>0</v>
      </c>
      <c r="L85" t="n">
        <v>0</v>
      </c>
      <c r="M85" t="n">
        <v>0</v>
      </c>
      <c r="N85" t="n">
        <v>0</v>
      </c>
      <c r="O85" t="n">
        <v>0</v>
      </c>
      <c r="P85" t="n">
        <v>0</v>
      </c>
      <c r="Q85" t="n">
        <v>0</v>
      </c>
      <c r="R85" s="2" t="inlineStr"/>
    </row>
    <row r="86" ht="15" customHeight="1">
      <c r="A86" t="inlineStr">
        <is>
          <t>A 45155-2021</t>
        </is>
      </c>
      <c r="B86" s="1" t="n">
        <v>44439</v>
      </c>
      <c r="C86" s="1" t="n">
        <v>45931</v>
      </c>
      <c r="D86" t="inlineStr">
        <is>
          <t>DALARNAS LÄN</t>
        </is>
      </c>
      <c r="E86" t="inlineStr">
        <is>
          <t>LEKSAND</t>
        </is>
      </c>
      <c r="G86" t="n">
        <v>0.6</v>
      </c>
      <c r="H86" t="n">
        <v>0</v>
      </c>
      <c r="I86" t="n">
        <v>0</v>
      </c>
      <c r="J86" t="n">
        <v>0</v>
      </c>
      <c r="K86" t="n">
        <v>0</v>
      </c>
      <c r="L86" t="n">
        <v>0</v>
      </c>
      <c r="M86" t="n">
        <v>0</v>
      </c>
      <c r="N86" t="n">
        <v>0</v>
      </c>
      <c r="O86" t="n">
        <v>0</v>
      </c>
      <c r="P86" t="n">
        <v>0</v>
      </c>
      <c r="Q86" t="n">
        <v>0</v>
      </c>
      <c r="R86" s="2" t="inlineStr"/>
    </row>
    <row r="87" ht="15" customHeight="1">
      <c r="A87" t="inlineStr">
        <is>
          <t>A 40584-2021</t>
        </is>
      </c>
      <c r="B87" s="1" t="n">
        <v>44420</v>
      </c>
      <c r="C87" s="1" t="n">
        <v>45931</v>
      </c>
      <c r="D87" t="inlineStr">
        <is>
          <t>DALARNAS LÄN</t>
        </is>
      </c>
      <c r="E87" t="inlineStr">
        <is>
          <t>LEKSAND</t>
        </is>
      </c>
      <c r="G87" t="n">
        <v>6</v>
      </c>
      <c r="H87" t="n">
        <v>0</v>
      </c>
      <c r="I87" t="n">
        <v>0</v>
      </c>
      <c r="J87" t="n">
        <v>0</v>
      </c>
      <c r="K87" t="n">
        <v>0</v>
      </c>
      <c r="L87" t="n">
        <v>0</v>
      </c>
      <c r="M87" t="n">
        <v>0</v>
      </c>
      <c r="N87" t="n">
        <v>0</v>
      </c>
      <c r="O87" t="n">
        <v>0</v>
      </c>
      <c r="P87" t="n">
        <v>0</v>
      </c>
      <c r="Q87" t="n">
        <v>0</v>
      </c>
      <c r="R87" s="2" t="inlineStr"/>
    </row>
    <row r="88" ht="15" customHeight="1">
      <c r="A88" t="inlineStr">
        <is>
          <t>A 49581-2022</t>
        </is>
      </c>
      <c r="B88" s="1" t="n">
        <v>44862.36287037037</v>
      </c>
      <c r="C88" s="1" t="n">
        <v>45931</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56153-2021</t>
        </is>
      </c>
      <c r="B89" s="1" t="n">
        <v>44477</v>
      </c>
      <c r="C89" s="1" t="n">
        <v>45931</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45931</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45931</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35080-2022</t>
        </is>
      </c>
      <c r="B92" s="1" t="n">
        <v>44797</v>
      </c>
      <c r="C92" s="1" t="n">
        <v>45931</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70098-2021</t>
        </is>
      </c>
      <c r="B93" s="1" t="n">
        <v>44533</v>
      </c>
      <c r="C93" s="1" t="n">
        <v>45931</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70296-2021</t>
        </is>
      </c>
      <c r="B94" s="1" t="n">
        <v>44536.40434027778</v>
      </c>
      <c r="C94" s="1" t="n">
        <v>45931</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50219-2022</t>
        </is>
      </c>
      <c r="B95" s="1" t="n">
        <v>44865.64244212963</v>
      </c>
      <c r="C95" s="1" t="n">
        <v>45931</v>
      </c>
      <c r="D95" t="inlineStr">
        <is>
          <t>DALARNAS LÄN</t>
        </is>
      </c>
      <c r="E95" t="inlineStr">
        <is>
          <t>LEKSAND</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19677-2021</t>
        </is>
      </c>
      <c r="B96" s="1" t="n">
        <v>44312</v>
      </c>
      <c r="C96" s="1" t="n">
        <v>45931</v>
      </c>
      <c r="D96" t="inlineStr">
        <is>
          <t>DALARNAS LÄN</t>
        </is>
      </c>
      <c r="E96" t="inlineStr">
        <is>
          <t>LEKSAND</t>
        </is>
      </c>
      <c r="F96" t="inlineStr">
        <is>
          <t>Bergvik skog väst AB</t>
        </is>
      </c>
      <c r="G96" t="n">
        <v>3.1</v>
      </c>
      <c r="H96" t="n">
        <v>0</v>
      </c>
      <c r="I96" t="n">
        <v>0</v>
      </c>
      <c r="J96" t="n">
        <v>0</v>
      </c>
      <c r="K96" t="n">
        <v>0</v>
      </c>
      <c r="L96" t="n">
        <v>0</v>
      </c>
      <c r="M96" t="n">
        <v>0</v>
      </c>
      <c r="N96" t="n">
        <v>0</v>
      </c>
      <c r="O96" t="n">
        <v>0</v>
      </c>
      <c r="P96" t="n">
        <v>0</v>
      </c>
      <c r="Q96" t="n">
        <v>0</v>
      </c>
      <c r="R96" s="2" t="inlineStr"/>
    </row>
    <row r="97" ht="15" customHeight="1">
      <c r="A97" t="inlineStr">
        <is>
          <t>A 40165-2022</t>
        </is>
      </c>
      <c r="B97" s="1" t="n">
        <v>44820.56857638889</v>
      </c>
      <c r="C97" s="1" t="n">
        <v>45931</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26289-2022</t>
        </is>
      </c>
      <c r="B98" s="1" t="n">
        <v>44735</v>
      </c>
      <c r="C98" s="1" t="n">
        <v>45931</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34317-2022</t>
        </is>
      </c>
      <c r="B99" s="1" t="n">
        <v>44792.38814814815</v>
      </c>
      <c r="C99" s="1" t="n">
        <v>45931</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45931</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18866-2022</t>
        </is>
      </c>
      <c r="B101" s="1" t="n">
        <v>44690</v>
      </c>
      <c r="C101" s="1" t="n">
        <v>45931</v>
      </c>
      <c r="D101" t="inlineStr">
        <is>
          <t>DALARNAS LÄN</t>
        </is>
      </c>
      <c r="E101" t="inlineStr">
        <is>
          <t>LEKSAND</t>
        </is>
      </c>
      <c r="F101" t="inlineStr">
        <is>
          <t>Övriga Aktiebolag</t>
        </is>
      </c>
      <c r="G101" t="n">
        <v>5.1</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45931</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43275-2022</t>
        </is>
      </c>
      <c r="B103" s="1" t="n">
        <v>44824</v>
      </c>
      <c r="C103" s="1" t="n">
        <v>45931</v>
      </c>
      <c r="D103" t="inlineStr">
        <is>
          <t>DALARNAS LÄN</t>
        </is>
      </c>
      <c r="E103" t="inlineStr">
        <is>
          <t>LEKSAND</t>
        </is>
      </c>
      <c r="G103" t="n">
        <v>2.1</v>
      </c>
      <c r="H103" t="n">
        <v>0</v>
      </c>
      <c r="I103" t="n">
        <v>0</v>
      </c>
      <c r="J103" t="n">
        <v>0</v>
      </c>
      <c r="K103" t="n">
        <v>0</v>
      </c>
      <c r="L103" t="n">
        <v>0</v>
      </c>
      <c r="M103" t="n">
        <v>0</v>
      </c>
      <c r="N103" t="n">
        <v>0</v>
      </c>
      <c r="O103" t="n">
        <v>0</v>
      </c>
      <c r="P103" t="n">
        <v>0</v>
      </c>
      <c r="Q103" t="n">
        <v>0</v>
      </c>
      <c r="R103" s="2" t="inlineStr"/>
    </row>
    <row r="104" ht="15" customHeight="1">
      <c r="A104" t="inlineStr">
        <is>
          <t>A 43304-2022</t>
        </is>
      </c>
      <c r="B104" s="1" t="n">
        <v>44834</v>
      </c>
      <c r="C104" s="1" t="n">
        <v>45931</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19480-2022</t>
        </is>
      </c>
      <c r="B105" s="1" t="n">
        <v>44693</v>
      </c>
      <c r="C105" s="1" t="n">
        <v>45931</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67307-2020</t>
        </is>
      </c>
      <c r="B106" s="1" t="n">
        <v>44181</v>
      </c>
      <c r="C106" s="1" t="n">
        <v>45931</v>
      </c>
      <c r="D106" t="inlineStr">
        <is>
          <t>DALARNAS LÄN</t>
        </is>
      </c>
      <c r="E106" t="inlineStr">
        <is>
          <t>LEKSAND</t>
        </is>
      </c>
      <c r="G106" t="n">
        <v>5.9</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45931</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8501-2022</t>
        </is>
      </c>
      <c r="B108" s="1" t="n">
        <v>44613.40672453704</v>
      </c>
      <c r="C108" s="1" t="n">
        <v>45931</v>
      </c>
      <c r="D108" t="inlineStr">
        <is>
          <t>DALARNAS LÄN</t>
        </is>
      </c>
      <c r="E108" t="inlineStr">
        <is>
          <t>LEKSAND</t>
        </is>
      </c>
      <c r="G108" t="n">
        <v>3</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45931</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62279-2021</t>
        </is>
      </c>
      <c r="B110" s="1" t="n">
        <v>44503</v>
      </c>
      <c r="C110" s="1" t="n">
        <v>45931</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18140-2022</t>
        </is>
      </c>
      <c r="B111" s="1" t="n">
        <v>44684.58278935185</v>
      </c>
      <c r="C111" s="1" t="n">
        <v>45931</v>
      </c>
      <c r="D111" t="inlineStr">
        <is>
          <t>DALARNAS LÄN</t>
        </is>
      </c>
      <c r="E111" t="inlineStr">
        <is>
          <t>LEKSAND</t>
        </is>
      </c>
      <c r="F111" t="inlineStr">
        <is>
          <t>Övriga Aktiebolag</t>
        </is>
      </c>
      <c r="G111" t="n">
        <v>0.7</v>
      </c>
      <c r="H111" t="n">
        <v>0</v>
      </c>
      <c r="I111" t="n">
        <v>0</v>
      </c>
      <c r="J111" t="n">
        <v>0</v>
      </c>
      <c r="K111" t="n">
        <v>0</v>
      </c>
      <c r="L111" t="n">
        <v>0</v>
      </c>
      <c r="M111" t="n">
        <v>0</v>
      </c>
      <c r="N111" t="n">
        <v>0</v>
      </c>
      <c r="O111" t="n">
        <v>0</v>
      </c>
      <c r="P111" t="n">
        <v>0</v>
      </c>
      <c r="Q111" t="n">
        <v>0</v>
      </c>
      <c r="R111" s="2" t="inlineStr"/>
    </row>
    <row r="112" ht="15" customHeight="1">
      <c r="A112" t="inlineStr">
        <is>
          <t>A 70026-2021</t>
        </is>
      </c>
      <c r="B112" s="1" t="n">
        <v>44533</v>
      </c>
      <c r="C112" s="1" t="n">
        <v>45931</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45040-2021</t>
        </is>
      </c>
      <c r="B113" s="1" t="n">
        <v>44438</v>
      </c>
      <c r="C113" s="1" t="n">
        <v>45931</v>
      </c>
      <c r="D113" t="inlineStr">
        <is>
          <t>DALARNAS LÄN</t>
        </is>
      </c>
      <c r="E113" t="inlineStr">
        <is>
          <t>LEKSAND</t>
        </is>
      </c>
      <c r="G113" t="n">
        <v>2.7</v>
      </c>
      <c r="H113" t="n">
        <v>0</v>
      </c>
      <c r="I113" t="n">
        <v>0</v>
      </c>
      <c r="J113" t="n">
        <v>0</v>
      </c>
      <c r="K113" t="n">
        <v>0</v>
      </c>
      <c r="L113" t="n">
        <v>0</v>
      </c>
      <c r="M113" t="n">
        <v>0</v>
      </c>
      <c r="N113" t="n">
        <v>0</v>
      </c>
      <c r="O113" t="n">
        <v>0</v>
      </c>
      <c r="P113" t="n">
        <v>0</v>
      </c>
      <c r="Q113" t="n">
        <v>0</v>
      </c>
      <c r="R113" s="2" t="inlineStr"/>
    </row>
    <row r="114" ht="15" customHeight="1">
      <c r="A114" t="inlineStr">
        <is>
          <t>A 46834-2023</t>
        </is>
      </c>
      <c r="B114" s="1" t="n">
        <v>45199.35668981481</v>
      </c>
      <c r="C114" s="1" t="n">
        <v>45931</v>
      </c>
      <c r="D114" t="inlineStr">
        <is>
          <t>DALARNAS LÄN</t>
        </is>
      </c>
      <c r="E114" t="inlineStr">
        <is>
          <t>LEKSAND</t>
        </is>
      </c>
      <c r="G114" t="n">
        <v>16.3</v>
      </c>
      <c r="H114" t="n">
        <v>0</v>
      </c>
      <c r="I114" t="n">
        <v>0</v>
      </c>
      <c r="J114" t="n">
        <v>0</v>
      </c>
      <c r="K114" t="n">
        <v>0</v>
      </c>
      <c r="L114" t="n">
        <v>0</v>
      </c>
      <c r="M114" t="n">
        <v>0</v>
      </c>
      <c r="N114" t="n">
        <v>0</v>
      </c>
      <c r="O114" t="n">
        <v>0</v>
      </c>
      <c r="P114" t="n">
        <v>0</v>
      </c>
      <c r="Q114" t="n">
        <v>0</v>
      </c>
      <c r="R114" s="2" t="inlineStr"/>
    </row>
    <row r="115" ht="15" customHeight="1">
      <c r="A115" t="inlineStr">
        <is>
          <t>A 30449-2022</t>
        </is>
      </c>
      <c r="B115" s="1" t="n">
        <v>44761.59276620371</v>
      </c>
      <c r="C115" s="1" t="n">
        <v>45931</v>
      </c>
      <c r="D115" t="inlineStr">
        <is>
          <t>DALARNAS LÄN</t>
        </is>
      </c>
      <c r="E115" t="inlineStr">
        <is>
          <t>LEKSAND</t>
        </is>
      </c>
      <c r="G115" t="n">
        <v>5.7</v>
      </c>
      <c r="H115" t="n">
        <v>0</v>
      </c>
      <c r="I115" t="n">
        <v>0</v>
      </c>
      <c r="J115" t="n">
        <v>0</v>
      </c>
      <c r="K115" t="n">
        <v>0</v>
      </c>
      <c r="L115" t="n">
        <v>0</v>
      </c>
      <c r="M115" t="n">
        <v>0</v>
      </c>
      <c r="N115" t="n">
        <v>0</v>
      </c>
      <c r="O115" t="n">
        <v>0</v>
      </c>
      <c r="P115" t="n">
        <v>0</v>
      </c>
      <c r="Q115" t="n">
        <v>0</v>
      </c>
      <c r="R115" s="2" t="inlineStr"/>
    </row>
    <row r="116" ht="15" customHeight="1">
      <c r="A116" t="inlineStr">
        <is>
          <t>A 19559-2023</t>
        </is>
      </c>
      <c r="B116" s="1" t="n">
        <v>45050</v>
      </c>
      <c r="C116" s="1" t="n">
        <v>45931</v>
      </c>
      <c r="D116" t="inlineStr">
        <is>
          <t>DALARNAS LÄN</t>
        </is>
      </c>
      <c r="E116" t="inlineStr">
        <is>
          <t>LEKSAND</t>
        </is>
      </c>
      <c r="G116" t="n">
        <v>0.1</v>
      </c>
      <c r="H116" t="n">
        <v>0</v>
      </c>
      <c r="I116" t="n">
        <v>0</v>
      </c>
      <c r="J116" t="n">
        <v>0</v>
      </c>
      <c r="K116" t="n">
        <v>0</v>
      </c>
      <c r="L116" t="n">
        <v>0</v>
      </c>
      <c r="M116" t="n">
        <v>0</v>
      </c>
      <c r="N116" t="n">
        <v>0</v>
      </c>
      <c r="O116" t="n">
        <v>0</v>
      </c>
      <c r="P116" t="n">
        <v>0</v>
      </c>
      <c r="Q116" t="n">
        <v>0</v>
      </c>
      <c r="R116" s="2" t="inlineStr"/>
    </row>
    <row r="117" ht="15" customHeight="1">
      <c r="A117" t="inlineStr">
        <is>
          <t>A 8046-2024</t>
        </is>
      </c>
      <c r="B117" s="1" t="n">
        <v>45351.31555555556</v>
      </c>
      <c r="C117" s="1" t="n">
        <v>45931</v>
      </c>
      <c r="D117" t="inlineStr">
        <is>
          <t>DALARNAS LÄN</t>
        </is>
      </c>
      <c r="E117" t="inlineStr">
        <is>
          <t>LEKSAND</t>
        </is>
      </c>
      <c r="G117" t="n">
        <v>2.9</v>
      </c>
      <c r="H117" t="n">
        <v>0</v>
      </c>
      <c r="I117" t="n">
        <v>0</v>
      </c>
      <c r="J117" t="n">
        <v>0</v>
      </c>
      <c r="K117" t="n">
        <v>0</v>
      </c>
      <c r="L117" t="n">
        <v>0</v>
      </c>
      <c r="M117" t="n">
        <v>0</v>
      </c>
      <c r="N117" t="n">
        <v>0</v>
      </c>
      <c r="O117" t="n">
        <v>0</v>
      </c>
      <c r="P117" t="n">
        <v>0</v>
      </c>
      <c r="Q117" t="n">
        <v>0</v>
      </c>
      <c r="R117" s="2" t="inlineStr"/>
    </row>
    <row r="118" ht="15" customHeight="1">
      <c r="A118" t="inlineStr">
        <is>
          <t>A 1983-2025</t>
        </is>
      </c>
      <c r="B118" s="1" t="n">
        <v>45670</v>
      </c>
      <c r="C118" s="1" t="n">
        <v>45931</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11015-2022</t>
        </is>
      </c>
      <c r="B119" s="1" t="n">
        <v>44628.52340277778</v>
      </c>
      <c r="C119" s="1" t="n">
        <v>45931</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21402-2023</t>
        </is>
      </c>
      <c r="B120" s="1" t="n">
        <v>45061</v>
      </c>
      <c r="C120" s="1" t="n">
        <v>45931</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36956-2021</t>
        </is>
      </c>
      <c r="B121" s="1" t="n">
        <v>44393.55643518519</v>
      </c>
      <c r="C121" s="1" t="n">
        <v>45931</v>
      </c>
      <c r="D121" t="inlineStr">
        <is>
          <t>DALARNAS LÄN</t>
        </is>
      </c>
      <c r="E121" t="inlineStr">
        <is>
          <t>LEKSAND</t>
        </is>
      </c>
      <c r="G121" t="n">
        <v>4.1</v>
      </c>
      <c r="H121" t="n">
        <v>0</v>
      </c>
      <c r="I121" t="n">
        <v>0</v>
      </c>
      <c r="J121" t="n">
        <v>0</v>
      </c>
      <c r="K121" t="n">
        <v>0</v>
      </c>
      <c r="L121" t="n">
        <v>0</v>
      </c>
      <c r="M121" t="n">
        <v>0</v>
      </c>
      <c r="N121" t="n">
        <v>0</v>
      </c>
      <c r="O121" t="n">
        <v>0</v>
      </c>
      <c r="P121" t="n">
        <v>0</v>
      </c>
      <c r="Q121" t="n">
        <v>0</v>
      </c>
      <c r="R121" s="2" t="inlineStr"/>
    </row>
    <row r="122" ht="15" customHeight="1">
      <c r="A122" t="inlineStr">
        <is>
          <t>A 12582-2025</t>
        </is>
      </c>
      <c r="B122" s="1" t="n">
        <v>45732.62988425926</v>
      </c>
      <c r="C122" s="1" t="n">
        <v>45931</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1182-2025</t>
        </is>
      </c>
      <c r="B123" s="1" t="n">
        <v>45667.35712962963</v>
      </c>
      <c r="C123" s="1" t="n">
        <v>45931</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1519-2024</t>
        </is>
      </c>
      <c r="B124" s="1" t="n">
        <v>45306</v>
      </c>
      <c r="C124" s="1" t="n">
        <v>45931</v>
      </c>
      <c r="D124" t="inlineStr">
        <is>
          <t>DALARNAS LÄN</t>
        </is>
      </c>
      <c r="E124" t="inlineStr">
        <is>
          <t>LEKSAND</t>
        </is>
      </c>
      <c r="G124" t="n">
        <v>3.3</v>
      </c>
      <c r="H124" t="n">
        <v>0</v>
      </c>
      <c r="I124" t="n">
        <v>0</v>
      </c>
      <c r="J124" t="n">
        <v>0</v>
      </c>
      <c r="K124" t="n">
        <v>0</v>
      </c>
      <c r="L124" t="n">
        <v>0</v>
      </c>
      <c r="M124" t="n">
        <v>0</v>
      </c>
      <c r="N124" t="n">
        <v>0</v>
      </c>
      <c r="O124" t="n">
        <v>0</v>
      </c>
      <c r="P124" t="n">
        <v>0</v>
      </c>
      <c r="Q124" t="n">
        <v>0</v>
      </c>
      <c r="R124" s="2" t="inlineStr"/>
    </row>
    <row r="125" ht="15" customHeight="1">
      <c r="A125" t="inlineStr">
        <is>
          <t>A 14797-2025</t>
        </is>
      </c>
      <c r="B125" s="1" t="n">
        <v>45742.90363425926</v>
      </c>
      <c r="C125" s="1" t="n">
        <v>45931</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43142-2024</t>
        </is>
      </c>
      <c r="B126" s="1" t="n">
        <v>45567.62144675926</v>
      </c>
      <c r="C126" s="1" t="n">
        <v>45931</v>
      </c>
      <c r="D126" t="inlineStr">
        <is>
          <t>DALARNAS LÄN</t>
        </is>
      </c>
      <c r="E126" t="inlineStr">
        <is>
          <t>LEKSAND</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28128-2022</t>
        </is>
      </c>
      <c r="B127" s="1" t="n">
        <v>44746.50628472222</v>
      </c>
      <c r="C127" s="1" t="n">
        <v>45931</v>
      </c>
      <c r="D127" t="inlineStr">
        <is>
          <t>DALARNAS LÄN</t>
        </is>
      </c>
      <c r="E127" t="inlineStr">
        <is>
          <t>LEKSAND</t>
        </is>
      </c>
      <c r="G127" t="n">
        <v>3.5</v>
      </c>
      <c r="H127" t="n">
        <v>0</v>
      </c>
      <c r="I127" t="n">
        <v>0</v>
      </c>
      <c r="J127" t="n">
        <v>0</v>
      </c>
      <c r="K127" t="n">
        <v>0</v>
      </c>
      <c r="L127" t="n">
        <v>0</v>
      </c>
      <c r="M127" t="n">
        <v>0</v>
      </c>
      <c r="N127" t="n">
        <v>0</v>
      </c>
      <c r="O127" t="n">
        <v>0</v>
      </c>
      <c r="P127" t="n">
        <v>0</v>
      </c>
      <c r="Q127" t="n">
        <v>0</v>
      </c>
      <c r="R127" s="2" t="inlineStr"/>
    </row>
    <row r="128" ht="15" customHeight="1">
      <c r="A128" t="inlineStr">
        <is>
          <t>A 71817-2021</t>
        </is>
      </c>
      <c r="B128" s="1" t="n">
        <v>44543.59780092593</v>
      </c>
      <c r="C128" s="1" t="n">
        <v>45931</v>
      </c>
      <c r="D128" t="inlineStr">
        <is>
          <t>DALARNAS LÄN</t>
        </is>
      </c>
      <c r="E128" t="inlineStr">
        <is>
          <t>LEKSAND</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32-2024</t>
        </is>
      </c>
      <c r="B129" s="1" t="n">
        <v>45293</v>
      </c>
      <c r="C129" s="1" t="n">
        <v>45931</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47673-2023</t>
        </is>
      </c>
      <c r="B130" s="1" t="n">
        <v>45203</v>
      </c>
      <c r="C130" s="1" t="n">
        <v>45931</v>
      </c>
      <c r="D130" t="inlineStr">
        <is>
          <t>DALARNAS LÄN</t>
        </is>
      </c>
      <c r="E130" t="inlineStr">
        <is>
          <t>LEKSAND</t>
        </is>
      </c>
      <c r="G130" t="n">
        <v>2</v>
      </c>
      <c r="H130" t="n">
        <v>0</v>
      </c>
      <c r="I130" t="n">
        <v>0</v>
      </c>
      <c r="J130" t="n">
        <v>0</v>
      </c>
      <c r="K130" t="n">
        <v>0</v>
      </c>
      <c r="L130" t="n">
        <v>0</v>
      </c>
      <c r="M130" t="n">
        <v>0</v>
      </c>
      <c r="N130" t="n">
        <v>0</v>
      </c>
      <c r="O130" t="n">
        <v>0</v>
      </c>
      <c r="P130" t="n">
        <v>0</v>
      </c>
      <c r="Q130" t="n">
        <v>0</v>
      </c>
      <c r="R130" s="2" t="inlineStr"/>
    </row>
    <row r="131" ht="15" customHeight="1">
      <c r="A131" t="inlineStr">
        <is>
          <t>A 38001-2023</t>
        </is>
      </c>
      <c r="B131" s="1" t="n">
        <v>45160</v>
      </c>
      <c r="C131" s="1" t="n">
        <v>45931</v>
      </c>
      <c r="D131" t="inlineStr">
        <is>
          <t>DALARNAS LÄN</t>
        </is>
      </c>
      <c r="E131" t="inlineStr">
        <is>
          <t>LEKSAND</t>
        </is>
      </c>
      <c r="G131" t="n">
        <v>3.6</v>
      </c>
      <c r="H131" t="n">
        <v>0</v>
      </c>
      <c r="I131" t="n">
        <v>0</v>
      </c>
      <c r="J131" t="n">
        <v>0</v>
      </c>
      <c r="K131" t="n">
        <v>0</v>
      </c>
      <c r="L131" t="n">
        <v>0</v>
      </c>
      <c r="M131" t="n">
        <v>0</v>
      </c>
      <c r="N131" t="n">
        <v>0</v>
      </c>
      <c r="O131" t="n">
        <v>0</v>
      </c>
      <c r="P131" t="n">
        <v>0</v>
      </c>
      <c r="Q131" t="n">
        <v>0</v>
      </c>
      <c r="R131" s="2" t="inlineStr"/>
    </row>
    <row r="132" ht="15" customHeight="1">
      <c r="A132" t="inlineStr">
        <is>
          <t>A 59718-2023</t>
        </is>
      </c>
      <c r="B132" s="1" t="n">
        <v>45257</v>
      </c>
      <c r="C132" s="1" t="n">
        <v>45931</v>
      </c>
      <c r="D132" t="inlineStr">
        <is>
          <t>DALARNAS LÄN</t>
        </is>
      </c>
      <c r="E132" t="inlineStr">
        <is>
          <t>LEKSAND</t>
        </is>
      </c>
      <c r="G132" t="n">
        <v>2.2</v>
      </c>
      <c r="H132" t="n">
        <v>0</v>
      </c>
      <c r="I132" t="n">
        <v>0</v>
      </c>
      <c r="J132" t="n">
        <v>0</v>
      </c>
      <c r="K132" t="n">
        <v>0</v>
      </c>
      <c r="L132" t="n">
        <v>0</v>
      </c>
      <c r="M132" t="n">
        <v>0</v>
      </c>
      <c r="N132" t="n">
        <v>0</v>
      </c>
      <c r="O132" t="n">
        <v>0</v>
      </c>
      <c r="P132" t="n">
        <v>0</v>
      </c>
      <c r="Q132" t="n">
        <v>0</v>
      </c>
      <c r="R132" s="2" t="inlineStr"/>
    </row>
    <row r="133" ht="15" customHeight="1">
      <c r="A133" t="inlineStr">
        <is>
          <t>A 36932-2023</t>
        </is>
      </c>
      <c r="B133" s="1" t="n">
        <v>45154</v>
      </c>
      <c r="C133" s="1" t="n">
        <v>45931</v>
      </c>
      <c r="D133" t="inlineStr">
        <is>
          <t>DALARNAS LÄN</t>
        </is>
      </c>
      <c r="E133" t="inlineStr">
        <is>
          <t>LEKSAND</t>
        </is>
      </c>
      <c r="G133" t="n">
        <v>1.3</v>
      </c>
      <c r="H133" t="n">
        <v>0</v>
      </c>
      <c r="I133" t="n">
        <v>0</v>
      </c>
      <c r="J133" t="n">
        <v>0</v>
      </c>
      <c r="K133" t="n">
        <v>0</v>
      </c>
      <c r="L133" t="n">
        <v>0</v>
      </c>
      <c r="M133" t="n">
        <v>0</v>
      </c>
      <c r="N133" t="n">
        <v>0</v>
      </c>
      <c r="O133" t="n">
        <v>0</v>
      </c>
      <c r="P133" t="n">
        <v>0</v>
      </c>
      <c r="Q133" t="n">
        <v>0</v>
      </c>
      <c r="R133" s="2" t="inlineStr"/>
    </row>
    <row r="134" ht="15" customHeight="1">
      <c r="A134" t="inlineStr">
        <is>
          <t>A 23663-2024</t>
        </is>
      </c>
      <c r="B134" s="1" t="n">
        <v>45454.57049768518</v>
      </c>
      <c r="C134" s="1" t="n">
        <v>45931</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33180-2024</t>
        </is>
      </c>
      <c r="B135" s="1" t="n">
        <v>45518.44481481481</v>
      </c>
      <c r="C135" s="1" t="n">
        <v>45931</v>
      </c>
      <c r="D135" t="inlineStr">
        <is>
          <t>DALARNAS LÄN</t>
        </is>
      </c>
      <c r="E135" t="inlineStr">
        <is>
          <t>LEKSAND</t>
        </is>
      </c>
      <c r="G135" t="n">
        <v>7.6</v>
      </c>
      <c r="H135" t="n">
        <v>0</v>
      </c>
      <c r="I135" t="n">
        <v>0</v>
      </c>
      <c r="J135" t="n">
        <v>0</v>
      </c>
      <c r="K135" t="n">
        <v>0</v>
      </c>
      <c r="L135" t="n">
        <v>0</v>
      </c>
      <c r="M135" t="n">
        <v>0</v>
      </c>
      <c r="N135" t="n">
        <v>0</v>
      </c>
      <c r="O135" t="n">
        <v>0</v>
      </c>
      <c r="P135" t="n">
        <v>0</v>
      </c>
      <c r="Q135" t="n">
        <v>0</v>
      </c>
      <c r="R135" s="2" t="inlineStr"/>
    </row>
    <row r="136" ht="15" customHeight="1">
      <c r="A136" t="inlineStr">
        <is>
          <t>A 1775-2022</t>
        </is>
      </c>
      <c r="B136" s="1" t="n">
        <v>44574</v>
      </c>
      <c r="C136" s="1" t="n">
        <v>45931</v>
      </c>
      <c r="D136" t="inlineStr">
        <is>
          <t>DALARNAS LÄN</t>
        </is>
      </c>
      <c r="E136" t="inlineStr">
        <is>
          <t>LEKSAND</t>
        </is>
      </c>
      <c r="G136" t="n">
        <v>2</v>
      </c>
      <c r="H136" t="n">
        <v>0</v>
      </c>
      <c r="I136" t="n">
        <v>0</v>
      </c>
      <c r="J136" t="n">
        <v>0</v>
      </c>
      <c r="K136" t="n">
        <v>0</v>
      </c>
      <c r="L136" t="n">
        <v>0</v>
      </c>
      <c r="M136" t="n">
        <v>0</v>
      </c>
      <c r="N136" t="n">
        <v>0</v>
      </c>
      <c r="O136" t="n">
        <v>0</v>
      </c>
      <c r="P136" t="n">
        <v>0</v>
      </c>
      <c r="Q136" t="n">
        <v>0</v>
      </c>
      <c r="R136" s="2" t="inlineStr"/>
    </row>
    <row r="137" ht="15" customHeight="1">
      <c r="A137" t="inlineStr">
        <is>
          <t>A 30994-2023</t>
        </is>
      </c>
      <c r="B137" s="1" t="n">
        <v>45113</v>
      </c>
      <c r="C137" s="1" t="n">
        <v>45931</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5583-2024</t>
        </is>
      </c>
      <c r="B138" s="1" t="n">
        <v>45334</v>
      </c>
      <c r="C138" s="1" t="n">
        <v>45931</v>
      </c>
      <c r="D138" t="inlineStr">
        <is>
          <t>DALARNAS LÄN</t>
        </is>
      </c>
      <c r="E138" t="inlineStr">
        <is>
          <t>LEKSAND</t>
        </is>
      </c>
      <c r="F138" t="inlineStr">
        <is>
          <t>Kyrkan</t>
        </is>
      </c>
      <c r="G138" t="n">
        <v>0.4</v>
      </c>
      <c r="H138" t="n">
        <v>0</v>
      </c>
      <c r="I138" t="n">
        <v>0</v>
      </c>
      <c r="J138" t="n">
        <v>0</v>
      </c>
      <c r="K138" t="n">
        <v>0</v>
      </c>
      <c r="L138" t="n">
        <v>0</v>
      </c>
      <c r="M138" t="n">
        <v>0</v>
      </c>
      <c r="N138" t="n">
        <v>0</v>
      </c>
      <c r="O138" t="n">
        <v>0</v>
      </c>
      <c r="P138" t="n">
        <v>0</v>
      </c>
      <c r="Q138" t="n">
        <v>0</v>
      </c>
      <c r="R138" s="2" t="inlineStr"/>
    </row>
    <row r="139" ht="15" customHeight="1">
      <c r="A139" t="inlineStr">
        <is>
          <t>A 60715-2022</t>
        </is>
      </c>
      <c r="B139" s="1" t="n">
        <v>44912</v>
      </c>
      <c r="C139" s="1" t="n">
        <v>45931</v>
      </c>
      <c r="D139" t="inlineStr">
        <is>
          <t>DALARNAS LÄN</t>
        </is>
      </c>
      <c r="E139" t="inlineStr">
        <is>
          <t>LEKSAND</t>
        </is>
      </c>
      <c r="G139" t="n">
        <v>1</v>
      </c>
      <c r="H139" t="n">
        <v>0</v>
      </c>
      <c r="I139" t="n">
        <v>0</v>
      </c>
      <c r="J139" t="n">
        <v>0</v>
      </c>
      <c r="K139" t="n">
        <v>0</v>
      </c>
      <c r="L139" t="n">
        <v>0</v>
      </c>
      <c r="M139" t="n">
        <v>0</v>
      </c>
      <c r="N139" t="n">
        <v>0</v>
      </c>
      <c r="O139" t="n">
        <v>0</v>
      </c>
      <c r="P139" t="n">
        <v>0</v>
      </c>
      <c r="Q139" t="n">
        <v>0</v>
      </c>
      <c r="R139" s="2" t="inlineStr"/>
    </row>
    <row r="140" ht="15" customHeight="1">
      <c r="A140" t="inlineStr">
        <is>
          <t>A 11092-2023</t>
        </is>
      </c>
      <c r="B140" s="1" t="n">
        <v>44992</v>
      </c>
      <c r="C140" s="1" t="n">
        <v>45931</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57665-2023</t>
        </is>
      </c>
      <c r="B141" s="1" t="n">
        <v>45246</v>
      </c>
      <c r="C141" s="1" t="n">
        <v>45931</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15882-2023</t>
        </is>
      </c>
      <c r="B142" s="1" t="n">
        <v>45022</v>
      </c>
      <c r="C142" s="1" t="n">
        <v>45931</v>
      </c>
      <c r="D142" t="inlineStr">
        <is>
          <t>DALARNAS LÄN</t>
        </is>
      </c>
      <c r="E142" t="inlineStr">
        <is>
          <t>LEKSAND</t>
        </is>
      </c>
      <c r="G142" t="n">
        <v>0.1</v>
      </c>
      <c r="H142" t="n">
        <v>0</v>
      </c>
      <c r="I142" t="n">
        <v>0</v>
      </c>
      <c r="J142" t="n">
        <v>0</v>
      </c>
      <c r="K142" t="n">
        <v>0</v>
      </c>
      <c r="L142" t="n">
        <v>0</v>
      </c>
      <c r="M142" t="n">
        <v>0</v>
      </c>
      <c r="N142" t="n">
        <v>0</v>
      </c>
      <c r="O142" t="n">
        <v>0</v>
      </c>
      <c r="P142" t="n">
        <v>0</v>
      </c>
      <c r="Q142" t="n">
        <v>0</v>
      </c>
      <c r="R142" s="2" t="inlineStr"/>
    </row>
    <row r="143" ht="15" customHeight="1">
      <c r="A143" t="inlineStr">
        <is>
          <t>A 1443-2024</t>
        </is>
      </c>
      <c r="B143" s="1" t="n">
        <v>45303</v>
      </c>
      <c r="C143" s="1" t="n">
        <v>45931</v>
      </c>
      <c r="D143" t="inlineStr">
        <is>
          <t>DALARNAS LÄN</t>
        </is>
      </c>
      <c r="E143" t="inlineStr">
        <is>
          <t>LEKSAND</t>
        </is>
      </c>
      <c r="G143" t="n">
        <v>9.800000000000001</v>
      </c>
      <c r="H143" t="n">
        <v>0</v>
      </c>
      <c r="I143" t="n">
        <v>0</v>
      </c>
      <c r="J143" t="n">
        <v>0</v>
      </c>
      <c r="K143" t="n">
        <v>0</v>
      </c>
      <c r="L143" t="n">
        <v>0</v>
      </c>
      <c r="M143" t="n">
        <v>0</v>
      </c>
      <c r="N143" t="n">
        <v>0</v>
      </c>
      <c r="O143" t="n">
        <v>0</v>
      </c>
      <c r="P143" t="n">
        <v>0</v>
      </c>
      <c r="Q143" t="n">
        <v>0</v>
      </c>
      <c r="R143" s="2" t="inlineStr"/>
    </row>
    <row r="144" ht="15" customHeight="1">
      <c r="A144" t="inlineStr">
        <is>
          <t>A 1457-2024</t>
        </is>
      </c>
      <c r="B144" s="1" t="n">
        <v>45303</v>
      </c>
      <c r="C144" s="1" t="n">
        <v>45931</v>
      </c>
      <c r="D144" t="inlineStr">
        <is>
          <t>DALARNAS LÄN</t>
        </is>
      </c>
      <c r="E144" t="inlineStr">
        <is>
          <t>LEKSAND</t>
        </is>
      </c>
      <c r="G144" t="n">
        <v>4.4</v>
      </c>
      <c r="H144" t="n">
        <v>0</v>
      </c>
      <c r="I144" t="n">
        <v>0</v>
      </c>
      <c r="J144" t="n">
        <v>0</v>
      </c>
      <c r="K144" t="n">
        <v>0</v>
      </c>
      <c r="L144" t="n">
        <v>0</v>
      </c>
      <c r="M144" t="n">
        <v>0</v>
      </c>
      <c r="N144" t="n">
        <v>0</v>
      </c>
      <c r="O144" t="n">
        <v>0</v>
      </c>
      <c r="P144" t="n">
        <v>0</v>
      </c>
      <c r="Q144" t="n">
        <v>0</v>
      </c>
      <c r="R144" s="2" t="inlineStr"/>
    </row>
    <row r="145" ht="15" customHeight="1">
      <c r="A145" t="inlineStr">
        <is>
          <t>A 31915-2024</t>
        </is>
      </c>
      <c r="B145" s="1" t="n">
        <v>45510.38956018518</v>
      </c>
      <c r="C145" s="1" t="n">
        <v>45931</v>
      </c>
      <c r="D145" t="inlineStr">
        <is>
          <t>DALARNAS LÄN</t>
        </is>
      </c>
      <c r="E145" t="inlineStr">
        <is>
          <t>LEKSAND</t>
        </is>
      </c>
      <c r="G145" t="n">
        <v>1.9</v>
      </c>
      <c r="H145" t="n">
        <v>0</v>
      </c>
      <c r="I145" t="n">
        <v>0</v>
      </c>
      <c r="J145" t="n">
        <v>0</v>
      </c>
      <c r="K145" t="n">
        <v>0</v>
      </c>
      <c r="L145" t="n">
        <v>0</v>
      </c>
      <c r="M145" t="n">
        <v>0</v>
      </c>
      <c r="N145" t="n">
        <v>0</v>
      </c>
      <c r="O145" t="n">
        <v>0</v>
      </c>
      <c r="P145" t="n">
        <v>0</v>
      </c>
      <c r="Q145" t="n">
        <v>0</v>
      </c>
      <c r="R145" s="2" t="inlineStr"/>
    </row>
    <row r="146" ht="15" customHeight="1">
      <c r="A146" t="inlineStr">
        <is>
          <t>A 1215-2024</t>
        </is>
      </c>
      <c r="B146" s="1" t="n">
        <v>45302</v>
      </c>
      <c r="C146" s="1" t="n">
        <v>45931</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51480-2022</t>
        </is>
      </c>
      <c r="B147" s="1" t="n">
        <v>44869.57961805556</v>
      </c>
      <c r="C147" s="1" t="n">
        <v>45931</v>
      </c>
      <c r="D147" t="inlineStr">
        <is>
          <t>DALARNAS LÄN</t>
        </is>
      </c>
      <c r="E147" t="inlineStr">
        <is>
          <t>LEKSAND</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53464-2024</t>
        </is>
      </c>
      <c r="B148" s="1" t="n">
        <v>45611</v>
      </c>
      <c r="C148" s="1" t="n">
        <v>45931</v>
      </c>
      <c r="D148" t="inlineStr">
        <is>
          <t>DALARNAS LÄN</t>
        </is>
      </c>
      <c r="E148" t="inlineStr">
        <is>
          <t>LEKSAND</t>
        </is>
      </c>
      <c r="G148" t="n">
        <v>1.7</v>
      </c>
      <c r="H148" t="n">
        <v>0</v>
      </c>
      <c r="I148" t="n">
        <v>0</v>
      </c>
      <c r="J148" t="n">
        <v>0</v>
      </c>
      <c r="K148" t="n">
        <v>0</v>
      </c>
      <c r="L148" t="n">
        <v>0</v>
      </c>
      <c r="M148" t="n">
        <v>0</v>
      </c>
      <c r="N148" t="n">
        <v>0</v>
      </c>
      <c r="O148" t="n">
        <v>0</v>
      </c>
      <c r="P148" t="n">
        <v>0</v>
      </c>
      <c r="Q148" t="n">
        <v>0</v>
      </c>
      <c r="R148" s="2" t="inlineStr"/>
    </row>
    <row r="149" ht="15" customHeight="1">
      <c r="A149" t="inlineStr">
        <is>
          <t>A 56330-2022</t>
        </is>
      </c>
      <c r="B149" s="1" t="n">
        <v>44890.62630787037</v>
      </c>
      <c r="C149" s="1" t="n">
        <v>45931</v>
      </c>
      <c r="D149" t="inlineStr">
        <is>
          <t>DALARNAS LÄN</t>
        </is>
      </c>
      <c r="E149" t="inlineStr">
        <is>
          <t>LEKSAND</t>
        </is>
      </c>
      <c r="G149" t="n">
        <v>4.9</v>
      </c>
      <c r="H149" t="n">
        <v>0</v>
      </c>
      <c r="I149" t="n">
        <v>0</v>
      </c>
      <c r="J149" t="n">
        <v>0</v>
      </c>
      <c r="K149" t="n">
        <v>0</v>
      </c>
      <c r="L149" t="n">
        <v>0</v>
      </c>
      <c r="M149" t="n">
        <v>0</v>
      </c>
      <c r="N149" t="n">
        <v>0</v>
      </c>
      <c r="O149" t="n">
        <v>0</v>
      </c>
      <c r="P149" t="n">
        <v>0</v>
      </c>
      <c r="Q149" t="n">
        <v>0</v>
      </c>
      <c r="R149" s="2" t="inlineStr"/>
    </row>
    <row r="150" ht="15" customHeight="1">
      <c r="A150" t="inlineStr">
        <is>
          <t>A 2140-2024</t>
        </is>
      </c>
      <c r="B150" s="1" t="n">
        <v>45309</v>
      </c>
      <c r="C150" s="1" t="n">
        <v>45931</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59826-2023</t>
        </is>
      </c>
      <c r="B151" s="1" t="n">
        <v>45254</v>
      </c>
      <c r="C151" s="1" t="n">
        <v>45931</v>
      </c>
      <c r="D151" t="inlineStr">
        <is>
          <t>DALARNAS LÄN</t>
        </is>
      </c>
      <c r="E151" t="inlineStr">
        <is>
          <t>LEKSAND</t>
        </is>
      </c>
      <c r="G151" t="n">
        <v>1.1</v>
      </c>
      <c r="H151" t="n">
        <v>0</v>
      </c>
      <c r="I151" t="n">
        <v>0</v>
      </c>
      <c r="J151" t="n">
        <v>0</v>
      </c>
      <c r="K151" t="n">
        <v>0</v>
      </c>
      <c r="L151" t="n">
        <v>0</v>
      </c>
      <c r="M151" t="n">
        <v>0</v>
      </c>
      <c r="N151" t="n">
        <v>0</v>
      </c>
      <c r="O151" t="n">
        <v>0</v>
      </c>
      <c r="P151" t="n">
        <v>0</v>
      </c>
      <c r="Q151" t="n">
        <v>0</v>
      </c>
      <c r="R151" s="2" t="inlineStr"/>
    </row>
    <row r="152" ht="15" customHeight="1">
      <c r="A152" t="inlineStr">
        <is>
          <t>A 7417-2024</t>
        </is>
      </c>
      <c r="B152" s="1" t="n">
        <v>45345.62378472222</v>
      </c>
      <c r="C152" s="1" t="n">
        <v>45931</v>
      </c>
      <c r="D152" t="inlineStr">
        <is>
          <t>DALARNAS LÄN</t>
        </is>
      </c>
      <c r="E152" t="inlineStr">
        <is>
          <t>LEKSAND</t>
        </is>
      </c>
      <c r="G152" t="n">
        <v>2.8</v>
      </c>
      <c r="H152" t="n">
        <v>0</v>
      </c>
      <c r="I152" t="n">
        <v>0</v>
      </c>
      <c r="J152" t="n">
        <v>0</v>
      </c>
      <c r="K152" t="n">
        <v>0</v>
      </c>
      <c r="L152" t="n">
        <v>0</v>
      </c>
      <c r="M152" t="n">
        <v>0</v>
      </c>
      <c r="N152" t="n">
        <v>0</v>
      </c>
      <c r="O152" t="n">
        <v>0</v>
      </c>
      <c r="P152" t="n">
        <v>0</v>
      </c>
      <c r="Q152" t="n">
        <v>0</v>
      </c>
      <c r="R152" s="2" t="inlineStr"/>
    </row>
    <row r="153" ht="15" customHeight="1">
      <c r="A153" t="inlineStr">
        <is>
          <t>A 19296-2024</t>
        </is>
      </c>
      <c r="B153" s="1" t="n">
        <v>45428.69438657408</v>
      </c>
      <c r="C153" s="1" t="n">
        <v>45931</v>
      </c>
      <c r="D153" t="inlineStr">
        <is>
          <t>DALARNAS LÄN</t>
        </is>
      </c>
      <c r="E153" t="inlineStr">
        <is>
          <t>LEKSAND</t>
        </is>
      </c>
      <c r="G153" t="n">
        <v>2.4</v>
      </c>
      <c r="H153" t="n">
        <v>0</v>
      </c>
      <c r="I153" t="n">
        <v>0</v>
      </c>
      <c r="J153" t="n">
        <v>0</v>
      </c>
      <c r="K153" t="n">
        <v>0</v>
      </c>
      <c r="L153" t="n">
        <v>0</v>
      </c>
      <c r="M153" t="n">
        <v>0</v>
      </c>
      <c r="N153" t="n">
        <v>0</v>
      </c>
      <c r="O153" t="n">
        <v>0</v>
      </c>
      <c r="P153" t="n">
        <v>0</v>
      </c>
      <c r="Q153" t="n">
        <v>0</v>
      </c>
      <c r="R153" s="2" t="inlineStr"/>
    </row>
    <row r="154" ht="15" customHeight="1">
      <c r="A154" t="inlineStr">
        <is>
          <t>A 13161-2024</t>
        </is>
      </c>
      <c r="B154" s="1" t="n">
        <v>45386.38972222222</v>
      </c>
      <c r="C154" s="1" t="n">
        <v>45931</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43237-2024</t>
        </is>
      </c>
      <c r="B155" s="1" t="n">
        <v>45567</v>
      </c>
      <c r="C155" s="1" t="n">
        <v>45931</v>
      </c>
      <c r="D155" t="inlineStr">
        <is>
          <t>DALARNAS LÄN</t>
        </is>
      </c>
      <c r="E155" t="inlineStr">
        <is>
          <t>LEKSAND</t>
        </is>
      </c>
      <c r="G155" t="n">
        <v>0.8</v>
      </c>
      <c r="H155" t="n">
        <v>0</v>
      </c>
      <c r="I155" t="n">
        <v>0</v>
      </c>
      <c r="J155" t="n">
        <v>0</v>
      </c>
      <c r="K155" t="n">
        <v>0</v>
      </c>
      <c r="L155" t="n">
        <v>0</v>
      </c>
      <c r="M155" t="n">
        <v>0</v>
      </c>
      <c r="N155" t="n">
        <v>0</v>
      </c>
      <c r="O155" t="n">
        <v>0</v>
      </c>
      <c r="P155" t="n">
        <v>0</v>
      </c>
      <c r="Q155" t="n">
        <v>0</v>
      </c>
      <c r="R155" s="2" t="inlineStr"/>
    </row>
    <row r="156" ht="15" customHeight="1">
      <c r="A156" t="inlineStr">
        <is>
          <t>A 34482-2022</t>
        </is>
      </c>
      <c r="B156" s="1" t="n">
        <v>44792</v>
      </c>
      <c r="C156" s="1" t="n">
        <v>45931</v>
      </c>
      <c r="D156" t="inlineStr">
        <is>
          <t>DALARNAS LÄN</t>
        </is>
      </c>
      <c r="E156" t="inlineStr">
        <is>
          <t>LEKSAND</t>
        </is>
      </c>
      <c r="G156" t="n">
        <v>2.6</v>
      </c>
      <c r="H156" t="n">
        <v>0</v>
      </c>
      <c r="I156" t="n">
        <v>0</v>
      </c>
      <c r="J156" t="n">
        <v>0</v>
      </c>
      <c r="K156" t="n">
        <v>0</v>
      </c>
      <c r="L156" t="n">
        <v>0</v>
      </c>
      <c r="M156" t="n">
        <v>0</v>
      </c>
      <c r="N156" t="n">
        <v>0</v>
      </c>
      <c r="O156" t="n">
        <v>0</v>
      </c>
      <c r="P156" t="n">
        <v>0</v>
      </c>
      <c r="Q156" t="n">
        <v>0</v>
      </c>
      <c r="R156" s="2" t="inlineStr"/>
    </row>
    <row r="157" ht="15" customHeight="1">
      <c r="A157" t="inlineStr">
        <is>
          <t>A 17485-2025</t>
        </is>
      </c>
      <c r="B157" s="1" t="n">
        <v>45757.49976851852</v>
      </c>
      <c r="C157" s="1" t="n">
        <v>45931</v>
      </c>
      <c r="D157" t="inlineStr">
        <is>
          <t>DALARNAS LÄN</t>
        </is>
      </c>
      <c r="E157" t="inlineStr">
        <is>
          <t>LEKSAND</t>
        </is>
      </c>
      <c r="G157" t="n">
        <v>3.7</v>
      </c>
      <c r="H157" t="n">
        <v>0</v>
      </c>
      <c r="I157" t="n">
        <v>0</v>
      </c>
      <c r="J157" t="n">
        <v>0</v>
      </c>
      <c r="K157" t="n">
        <v>0</v>
      </c>
      <c r="L157" t="n">
        <v>0</v>
      </c>
      <c r="M157" t="n">
        <v>0</v>
      </c>
      <c r="N157" t="n">
        <v>0</v>
      </c>
      <c r="O157" t="n">
        <v>0</v>
      </c>
      <c r="P157" t="n">
        <v>0</v>
      </c>
      <c r="Q157" t="n">
        <v>0</v>
      </c>
      <c r="R157" s="2" t="inlineStr"/>
    </row>
    <row r="158" ht="15" customHeight="1">
      <c r="A158" t="inlineStr">
        <is>
          <t>A 2694-2025</t>
        </is>
      </c>
      <c r="B158" s="1" t="n">
        <v>45677.38246527778</v>
      </c>
      <c r="C158" s="1" t="n">
        <v>45931</v>
      </c>
      <c r="D158" t="inlineStr">
        <is>
          <t>DALARNAS LÄN</t>
        </is>
      </c>
      <c r="E158" t="inlineStr">
        <is>
          <t>LEKSAND</t>
        </is>
      </c>
      <c r="G158" t="n">
        <v>1</v>
      </c>
      <c r="H158" t="n">
        <v>0</v>
      </c>
      <c r="I158" t="n">
        <v>0</v>
      </c>
      <c r="J158" t="n">
        <v>0</v>
      </c>
      <c r="K158" t="n">
        <v>0</v>
      </c>
      <c r="L158" t="n">
        <v>0</v>
      </c>
      <c r="M158" t="n">
        <v>0</v>
      </c>
      <c r="N158" t="n">
        <v>0</v>
      </c>
      <c r="O158" t="n">
        <v>0</v>
      </c>
      <c r="P158" t="n">
        <v>0</v>
      </c>
      <c r="Q158" t="n">
        <v>0</v>
      </c>
      <c r="R158" s="2" t="inlineStr"/>
    </row>
    <row r="159" ht="15" customHeight="1">
      <c r="A159" t="inlineStr">
        <is>
          <t>A 12290-2024</t>
        </is>
      </c>
      <c r="B159" s="1" t="n">
        <v>45378.57877314815</v>
      </c>
      <c r="C159" s="1" t="n">
        <v>45931</v>
      </c>
      <c r="D159" t="inlineStr">
        <is>
          <t>DALARNAS LÄN</t>
        </is>
      </c>
      <c r="E159" t="inlineStr">
        <is>
          <t>LEKSAND</t>
        </is>
      </c>
      <c r="G159" t="n">
        <v>2.5</v>
      </c>
      <c r="H159" t="n">
        <v>0</v>
      </c>
      <c r="I159" t="n">
        <v>0</v>
      </c>
      <c r="J159" t="n">
        <v>0</v>
      </c>
      <c r="K159" t="n">
        <v>0</v>
      </c>
      <c r="L159" t="n">
        <v>0</v>
      </c>
      <c r="M159" t="n">
        <v>0</v>
      </c>
      <c r="N159" t="n">
        <v>0</v>
      </c>
      <c r="O159" t="n">
        <v>0</v>
      </c>
      <c r="P159" t="n">
        <v>0</v>
      </c>
      <c r="Q159" t="n">
        <v>0</v>
      </c>
      <c r="R159" s="2" t="inlineStr"/>
    </row>
    <row r="160" ht="15" customHeight="1">
      <c r="A160" t="inlineStr">
        <is>
          <t>A 18176-2024</t>
        </is>
      </c>
      <c r="B160" s="1" t="n">
        <v>45420.63901620371</v>
      </c>
      <c r="C160" s="1" t="n">
        <v>45931</v>
      </c>
      <c r="D160" t="inlineStr">
        <is>
          <t>DALARNAS LÄN</t>
        </is>
      </c>
      <c r="E160" t="inlineStr">
        <is>
          <t>LEKSAND</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30595-2023</t>
        </is>
      </c>
      <c r="B161" s="1" t="n">
        <v>45112</v>
      </c>
      <c r="C161" s="1" t="n">
        <v>45931</v>
      </c>
      <c r="D161" t="inlineStr">
        <is>
          <t>DALARNAS LÄN</t>
        </is>
      </c>
      <c r="E161" t="inlineStr">
        <is>
          <t>LEKSAND</t>
        </is>
      </c>
      <c r="G161" t="n">
        <v>1.1</v>
      </c>
      <c r="H161" t="n">
        <v>0</v>
      </c>
      <c r="I161" t="n">
        <v>0</v>
      </c>
      <c r="J161" t="n">
        <v>0</v>
      </c>
      <c r="K161" t="n">
        <v>0</v>
      </c>
      <c r="L161" t="n">
        <v>0</v>
      </c>
      <c r="M161" t="n">
        <v>0</v>
      </c>
      <c r="N161" t="n">
        <v>0</v>
      </c>
      <c r="O161" t="n">
        <v>0</v>
      </c>
      <c r="P161" t="n">
        <v>0</v>
      </c>
      <c r="Q161" t="n">
        <v>0</v>
      </c>
      <c r="R161" s="2" t="inlineStr"/>
    </row>
    <row r="162" ht="15" customHeight="1">
      <c r="A162" t="inlineStr">
        <is>
          <t>A 55268-2024</t>
        </is>
      </c>
      <c r="B162" s="1" t="n">
        <v>45621.61266203703</v>
      </c>
      <c r="C162" s="1" t="n">
        <v>45931</v>
      </c>
      <c r="D162" t="inlineStr">
        <is>
          <t>DALARNAS LÄN</t>
        </is>
      </c>
      <c r="E162" t="inlineStr">
        <is>
          <t>LEKSAND</t>
        </is>
      </c>
      <c r="G162" t="n">
        <v>4.2</v>
      </c>
      <c r="H162" t="n">
        <v>0</v>
      </c>
      <c r="I162" t="n">
        <v>0</v>
      </c>
      <c r="J162" t="n">
        <v>0</v>
      </c>
      <c r="K162" t="n">
        <v>0</v>
      </c>
      <c r="L162" t="n">
        <v>0</v>
      </c>
      <c r="M162" t="n">
        <v>0</v>
      </c>
      <c r="N162" t="n">
        <v>0</v>
      </c>
      <c r="O162" t="n">
        <v>0</v>
      </c>
      <c r="P162" t="n">
        <v>0</v>
      </c>
      <c r="Q162" t="n">
        <v>0</v>
      </c>
      <c r="R162" s="2" t="inlineStr"/>
    </row>
    <row r="163" ht="15" customHeight="1">
      <c r="A163" t="inlineStr">
        <is>
          <t>A 62130-2024</t>
        </is>
      </c>
      <c r="B163" s="1" t="n">
        <v>45656.61827546296</v>
      </c>
      <c r="C163" s="1" t="n">
        <v>45931</v>
      </c>
      <c r="D163" t="inlineStr">
        <is>
          <t>DALARNAS LÄN</t>
        </is>
      </c>
      <c r="E163" t="inlineStr">
        <is>
          <t>LEKSAND</t>
        </is>
      </c>
      <c r="G163" t="n">
        <v>11.4</v>
      </c>
      <c r="H163" t="n">
        <v>0</v>
      </c>
      <c r="I163" t="n">
        <v>0</v>
      </c>
      <c r="J163" t="n">
        <v>0</v>
      </c>
      <c r="K163" t="n">
        <v>0</v>
      </c>
      <c r="L163" t="n">
        <v>0</v>
      </c>
      <c r="M163" t="n">
        <v>0</v>
      </c>
      <c r="N163" t="n">
        <v>0</v>
      </c>
      <c r="O163" t="n">
        <v>0</v>
      </c>
      <c r="P163" t="n">
        <v>0</v>
      </c>
      <c r="Q163" t="n">
        <v>0</v>
      </c>
      <c r="R163" s="2" t="inlineStr"/>
    </row>
    <row r="164" ht="15" customHeight="1">
      <c r="A164" t="inlineStr">
        <is>
          <t>A 56943-2024</t>
        </is>
      </c>
      <c r="B164" s="1" t="n">
        <v>45625</v>
      </c>
      <c r="C164" s="1" t="n">
        <v>45931</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16748-2025</t>
        </is>
      </c>
      <c r="B165" s="1" t="n">
        <v>45754</v>
      </c>
      <c r="C165" s="1" t="n">
        <v>45931</v>
      </c>
      <c r="D165" t="inlineStr">
        <is>
          <t>DALARNAS LÄN</t>
        </is>
      </c>
      <c r="E165" t="inlineStr">
        <is>
          <t>LEKSAND</t>
        </is>
      </c>
      <c r="F165" t="inlineStr">
        <is>
          <t>Bergvik skog väst AB</t>
        </is>
      </c>
      <c r="G165" t="n">
        <v>2.9</v>
      </c>
      <c r="H165" t="n">
        <v>0</v>
      </c>
      <c r="I165" t="n">
        <v>0</v>
      </c>
      <c r="J165" t="n">
        <v>0</v>
      </c>
      <c r="K165" t="n">
        <v>0</v>
      </c>
      <c r="L165" t="n">
        <v>0</v>
      </c>
      <c r="M165" t="n">
        <v>0</v>
      </c>
      <c r="N165" t="n">
        <v>0</v>
      </c>
      <c r="O165" t="n">
        <v>0</v>
      </c>
      <c r="P165" t="n">
        <v>0</v>
      </c>
      <c r="Q165" t="n">
        <v>0</v>
      </c>
      <c r="R165" s="2" t="inlineStr"/>
    </row>
    <row r="166" ht="15" customHeight="1">
      <c r="A166" t="inlineStr">
        <is>
          <t>A 15257-2025</t>
        </is>
      </c>
      <c r="B166" s="1" t="n">
        <v>45744</v>
      </c>
      <c r="C166" s="1" t="n">
        <v>45931</v>
      </c>
      <c r="D166" t="inlineStr">
        <is>
          <t>DALARNAS LÄN</t>
        </is>
      </c>
      <c r="E166" t="inlineStr">
        <is>
          <t>LEKSAND</t>
        </is>
      </c>
      <c r="G166" t="n">
        <v>0.9</v>
      </c>
      <c r="H166" t="n">
        <v>0</v>
      </c>
      <c r="I166" t="n">
        <v>0</v>
      </c>
      <c r="J166" t="n">
        <v>0</v>
      </c>
      <c r="K166" t="n">
        <v>0</v>
      </c>
      <c r="L166" t="n">
        <v>0</v>
      </c>
      <c r="M166" t="n">
        <v>0</v>
      </c>
      <c r="N166" t="n">
        <v>0</v>
      </c>
      <c r="O166" t="n">
        <v>0</v>
      </c>
      <c r="P166" t="n">
        <v>0</v>
      </c>
      <c r="Q166" t="n">
        <v>0</v>
      </c>
      <c r="R166" s="2" t="inlineStr"/>
    </row>
    <row r="167" ht="15" customHeight="1">
      <c r="A167" t="inlineStr">
        <is>
          <t>A 6758-2024</t>
        </is>
      </c>
      <c r="B167" s="1" t="n">
        <v>45342.46857638889</v>
      </c>
      <c r="C167" s="1" t="n">
        <v>45931</v>
      </c>
      <c r="D167" t="inlineStr">
        <is>
          <t>DALARNAS LÄN</t>
        </is>
      </c>
      <c r="E167" t="inlineStr">
        <is>
          <t>LEKSAND</t>
        </is>
      </c>
      <c r="F167" t="inlineStr">
        <is>
          <t>Bergvik skog väst AB</t>
        </is>
      </c>
      <c r="G167" t="n">
        <v>6.2</v>
      </c>
      <c r="H167" t="n">
        <v>0</v>
      </c>
      <c r="I167" t="n">
        <v>0</v>
      </c>
      <c r="J167" t="n">
        <v>0</v>
      </c>
      <c r="K167" t="n">
        <v>0</v>
      </c>
      <c r="L167" t="n">
        <v>0</v>
      </c>
      <c r="M167" t="n">
        <v>0</v>
      </c>
      <c r="N167" t="n">
        <v>0</v>
      </c>
      <c r="O167" t="n">
        <v>0</v>
      </c>
      <c r="P167" t="n">
        <v>0</v>
      </c>
      <c r="Q167" t="n">
        <v>0</v>
      </c>
      <c r="R167" s="2" t="inlineStr"/>
    </row>
    <row r="168" ht="15" customHeight="1">
      <c r="A168" t="inlineStr">
        <is>
          <t>A 46405-2025</t>
        </is>
      </c>
      <c r="B168" s="1" t="n">
        <v>45925.56306712963</v>
      </c>
      <c r="C168" s="1" t="n">
        <v>45931</v>
      </c>
      <c r="D168" t="inlineStr">
        <is>
          <t>DALARNAS LÄN</t>
        </is>
      </c>
      <c r="E168" t="inlineStr">
        <is>
          <t>LEKSAND</t>
        </is>
      </c>
      <c r="G168" t="n">
        <v>5.7</v>
      </c>
      <c r="H168" t="n">
        <v>0</v>
      </c>
      <c r="I168" t="n">
        <v>0</v>
      </c>
      <c r="J168" t="n">
        <v>0</v>
      </c>
      <c r="K168" t="n">
        <v>0</v>
      </c>
      <c r="L168" t="n">
        <v>0</v>
      </c>
      <c r="M168" t="n">
        <v>0</v>
      </c>
      <c r="N168" t="n">
        <v>0</v>
      </c>
      <c r="O168" t="n">
        <v>0</v>
      </c>
      <c r="P168" t="n">
        <v>0</v>
      </c>
      <c r="Q168" t="n">
        <v>0</v>
      </c>
      <c r="R168" s="2" t="inlineStr"/>
    </row>
    <row r="169" ht="15" customHeight="1">
      <c r="A169" t="inlineStr">
        <is>
          <t>A 24142-2021</t>
        </is>
      </c>
      <c r="B169" s="1" t="n">
        <v>44336</v>
      </c>
      <c r="C169" s="1" t="n">
        <v>45931</v>
      </c>
      <c r="D169" t="inlineStr">
        <is>
          <t>DALARNAS LÄN</t>
        </is>
      </c>
      <c r="E169" t="inlineStr">
        <is>
          <t>LEKSAND</t>
        </is>
      </c>
      <c r="F169" t="inlineStr">
        <is>
          <t>Bergvik skog väst AB</t>
        </is>
      </c>
      <c r="G169" t="n">
        <v>18.9</v>
      </c>
      <c r="H169" t="n">
        <v>0</v>
      </c>
      <c r="I169" t="n">
        <v>0</v>
      </c>
      <c r="J169" t="n">
        <v>0</v>
      </c>
      <c r="K169" t="n">
        <v>0</v>
      </c>
      <c r="L169" t="n">
        <v>0</v>
      </c>
      <c r="M169" t="n">
        <v>0</v>
      </c>
      <c r="N169" t="n">
        <v>0</v>
      </c>
      <c r="O169" t="n">
        <v>0</v>
      </c>
      <c r="P169" t="n">
        <v>0</v>
      </c>
      <c r="Q169" t="n">
        <v>0</v>
      </c>
      <c r="R169" s="2" t="inlineStr"/>
    </row>
    <row r="170" ht="15" customHeight="1">
      <c r="A170" t="inlineStr">
        <is>
          <t>A 14616-2024</t>
        </is>
      </c>
      <c r="B170" s="1" t="n">
        <v>45397.2624537037</v>
      </c>
      <c r="C170" s="1" t="n">
        <v>45931</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16815-2025</t>
        </is>
      </c>
      <c r="B171" s="1" t="n">
        <v>45754</v>
      </c>
      <c r="C171" s="1" t="n">
        <v>45931</v>
      </c>
      <c r="D171" t="inlineStr">
        <is>
          <t>DALARNAS LÄN</t>
        </is>
      </c>
      <c r="E171" t="inlineStr">
        <is>
          <t>LEKSAND</t>
        </is>
      </c>
      <c r="G171" t="n">
        <v>2.8</v>
      </c>
      <c r="H171" t="n">
        <v>0</v>
      </c>
      <c r="I171" t="n">
        <v>0</v>
      </c>
      <c r="J171" t="n">
        <v>0</v>
      </c>
      <c r="K171" t="n">
        <v>0</v>
      </c>
      <c r="L171" t="n">
        <v>0</v>
      </c>
      <c r="M171" t="n">
        <v>0</v>
      </c>
      <c r="N171" t="n">
        <v>0</v>
      </c>
      <c r="O171" t="n">
        <v>0</v>
      </c>
      <c r="P171" t="n">
        <v>0</v>
      </c>
      <c r="Q171" t="n">
        <v>0</v>
      </c>
      <c r="R171" s="2" t="inlineStr"/>
    </row>
    <row r="172" ht="15" customHeight="1">
      <c r="A172" t="inlineStr">
        <is>
          <t>A 30998-2023</t>
        </is>
      </c>
      <c r="B172" s="1" t="n">
        <v>45113.54193287037</v>
      </c>
      <c r="C172" s="1" t="n">
        <v>45931</v>
      </c>
      <c r="D172" t="inlineStr">
        <is>
          <t>DALARNAS LÄN</t>
        </is>
      </c>
      <c r="E172" t="inlineStr">
        <is>
          <t>LEKSAND</t>
        </is>
      </c>
      <c r="G172" t="n">
        <v>0.5</v>
      </c>
      <c r="H172" t="n">
        <v>0</v>
      </c>
      <c r="I172" t="n">
        <v>0</v>
      </c>
      <c r="J172" t="n">
        <v>0</v>
      </c>
      <c r="K172" t="n">
        <v>0</v>
      </c>
      <c r="L172" t="n">
        <v>0</v>
      </c>
      <c r="M172" t="n">
        <v>0</v>
      </c>
      <c r="N172" t="n">
        <v>0</v>
      </c>
      <c r="O172" t="n">
        <v>0</v>
      </c>
      <c r="P172" t="n">
        <v>0</v>
      </c>
      <c r="Q172" t="n">
        <v>0</v>
      </c>
      <c r="R172" s="2" t="inlineStr"/>
    </row>
    <row r="173" ht="15" customHeight="1">
      <c r="A173" t="inlineStr">
        <is>
          <t>A 48644-2023</t>
        </is>
      </c>
      <c r="B173" s="1" t="n">
        <v>45208.58997685185</v>
      </c>
      <c r="C173" s="1" t="n">
        <v>45931</v>
      </c>
      <c r="D173" t="inlineStr">
        <is>
          <t>DALARNAS LÄN</t>
        </is>
      </c>
      <c r="E173" t="inlineStr">
        <is>
          <t>LEKSAND</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61208-2023</t>
        </is>
      </c>
      <c r="B174" s="1" t="n">
        <v>45260</v>
      </c>
      <c r="C174" s="1" t="n">
        <v>45931</v>
      </c>
      <c r="D174" t="inlineStr">
        <is>
          <t>DALARNAS LÄN</t>
        </is>
      </c>
      <c r="E174" t="inlineStr">
        <is>
          <t>LEKSAND</t>
        </is>
      </c>
      <c r="G174" t="n">
        <v>1.7</v>
      </c>
      <c r="H174" t="n">
        <v>0</v>
      </c>
      <c r="I174" t="n">
        <v>0</v>
      </c>
      <c r="J174" t="n">
        <v>0</v>
      </c>
      <c r="K174" t="n">
        <v>0</v>
      </c>
      <c r="L174" t="n">
        <v>0</v>
      </c>
      <c r="M174" t="n">
        <v>0</v>
      </c>
      <c r="N174" t="n">
        <v>0</v>
      </c>
      <c r="O174" t="n">
        <v>0</v>
      </c>
      <c r="P174" t="n">
        <v>0</v>
      </c>
      <c r="Q174" t="n">
        <v>0</v>
      </c>
      <c r="R174" s="2" t="inlineStr"/>
    </row>
    <row r="175" ht="15" customHeight="1">
      <c r="A175" t="inlineStr">
        <is>
          <t>A 52977-2022</t>
        </is>
      </c>
      <c r="B175" s="1" t="n">
        <v>44875</v>
      </c>
      <c r="C175" s="1" t="n">
        <v>45931</v>
      </c>
      <c r="D175" t="inlineStr">
        <is>
          <t>DALARNAS LÄN</t>
        </is>
      </c>
      <c r="E175" t="inlineStr">
        <is>
          <t>LEKSAND</t>
        </is>
      </c>
      <c r="G175" t="n">
        <v>1.5</v>
      </c>
      <c r="H175" t="n">
        <v>0</v>
      </c>
      <c r="I175" t="n">
        <v>0</v>
      </c>
      <c r="J175" t="n">
        <v>0</v>
      </c>
      <c r="K175" t="n">
        <v>0</v>
      </c>
      <c r="L175" t="n">
        <v>0</v>
      </c>
      <c r="M175" t="n">
        <v>0</v>
      </c>
      <c r="N175" t="n">
        <v>0</v>
      </c>
      <c r="O175" t="n">
        <v>0</v>
      </c>
      <c r="P175" t="n">
        <v>0</v>
      </c>
      <c r="Q175" t="n">
        <v>0</v>
      </c>
      <c r="R175" s="2" t="inlineStr"/>
    </row>
    <row r="176" ht="15" customHeight="1">
      <c r="A176" t="inlineStr">
        <is>
          <t>A 25025-2023</t>
        </is>
      </c>
      <c r="B176" s="1" t="n">
        <v>45085.92146990741</v>
      </c>
      <c r="C176" s="1" t="n">
        <v>45931</v>
      </c>
      <c r="D176" t="inlineStr">
        <is>
          <t>DALARNAS LÄN</t>
        </is>
      </c>
      <c r="E176" t="inlineStr">
        <is>
          <t>LEKSAND</t>
        </is>
      </c>
      <c r="G176" t="n">
        <v>3</v>
      </c>
      <c r="H176" t="n">
        <v>0</v>
      </c>
      <c r="I176" t="n">
        <v>0</v>
      </c>
      <c r="J176" t="n">
        <v>0</v>
      </c>
      <c r="K176" t="n">
        <v>0</v>
      </c>
      <c r="L176" t="n">
        <v>0</v>
      </c>
      <c r="M176" t="n">
        <v>0</v>
      </c>
      <c r="N176" t="n">
        <v>0</v>
      </c>
      <c r="O176" t="n">
        <v>0</v>
      </c>
      <c r="P176" t="n">
        <v>0</v>
      </c>
      <c r="Q176" t="n">
        <v>0</v>
      </c>
      <c r="R176" s="2" t="inlineStr"/>
    </row>
    <row r="177" ht="15" customHeight="1">
      <c r="A177" t="inlineStr">
        <is>
          <t>A 25038-2023</t>
        </is>
      </c>
      <c r="B177" s="1" t="n">
        <v>45085</v>
      </c>
      <c r="C177" s="1" t="n">
        <v>45931</v>
      </c>
      <c r="D177" t="inlineStr">
        <is>
          <t>DALARNAS LÄN</t>
        </is>
      </c>
      <c r="E177" t="inlineStr">
        <is>
          <t>LEKSAND</t>
        </is>
      </c>
      <c r="G177" t="n">
        <v>0.7</v>
      </c>
      <c r="H177" t="n">
        <v>0</v>
      </c>
      <c r="I177" t="n">
        <v>0</v>
      </c>
      <c r="J177" t="n">
        <v>0</v>
      </c>
      <c r="K177" t="n">
        <v>0</v>
      </c>
      <c r="L177" t="n">
        <v>0</v>
      </c>
      <c r="M177" t="n">
        <v>0</v>
      </c>
      <c r="N177" t="n">
        <v>0</v>
      </c>
      <c r="O177" t="n">
        <v>0</v>
      </c>
      <c r="P177" t="n">
        <v>0</v>
      </c>
      <c r="Q177" t="n">
        <v>0</v>
      </c>
      <c r="R177" s="2" t="inlineStr"/>
    </row>
    <row r="178" ht="15" customHeight="1">
      <c r="A178" t="inlineStr">
        <is>
          <t>A 6519-2025</t>
        </is>
      </c>
      <c r="B178" s="1" t="n">
        <v>45699</v>
      </c>
      <c r="C178" s="1" t="n">
        <v>45931</v>
      </c>
      <c r="D178" t="inlineStr">
        <is>
          <t>DALARNAS LÄN</t>
        </is>
      </c>
      <c r="E178" t="inlineStr">
        <is>
          <t>LEKSAND</t>
        </is>
      </c>
      <c r="G178" t="n">
        <v>0.8</v>
      </c>
      <c r="H178" t="n">
        <v>0</v>
      </c>
      <c r="I178" t="n">
        <v>0</v>
      </c>
      <c r="J178" t="n">
        <v>0</v>
      </c>
      <c r="K178" t="n">
        <v>0</v>
      </c>
      <c r="L178" t="n">
        <v>0</v>
      </c>
      <c r="M178" t="n">
        <v>0</v>
      </c>
      <c r="N178" t="n">
        <v>0</v>
      </c>
      <c r="O178" t="n">
        <v>0</v>
      </c>
      <c r="P178" t="n">
        <v>0</v>
      </c>
      <c r="Q178" t="n">
        <v>0</v>
      </c>
      <c r="R178" s="2" t="inlineStr"/>
    </row>
    <row r="179" ht="15" customHeight="1">
      <c r="A179" t="inlineStr">
        <is>
          <t>A 9143-2023</t>
        </is>
      </c>
      <c r="B179" s="1" t="n">
        <v>44974</v>
      </c>
      <c r="C179" s="1" t="n">
        <v>45931</v>
      </c>
      <c r="D179" t="inlineStr">
        <is>
          <t>DALARNAS LÄN</t>
        </is>
      </c>
      <c r="E179" t="inlineStr">
        <is>
          <t>LEKSAND</t>
        </is>
      </c>
      <c r="G179" t="n">
        <v>4.3</v>
      </c>
      <c r="H179" t="n">
        <v>0</v>
      </c>
      <c r="I179" t="n">
        <v>0</v>
      </c>
      <c r="J179" t="n">
        <v>0</v>
      </c>
      <c r="K179" t="n">
        <v>0</v>
      </c>
      <c r="L179" t="n">
        <v>0</v>
      </c>
      <c r="M179" t="n">
        <v>0</v>
      </c>
      <c r="N179" t="n">
        <v>0</v>
      </c>
      <c r="O179" t="n">
        <v>0</v>
      </c>
      <c r="P179" t="n">
        <v>0</v>
      </c>
      <c r="Q179" t="n">
        <v>0</v>
      </c>
      <c r="R179" s="2" t="inlineStr"/>
    </row>
    <row r="180" ht="15" customHeight="1">
      <c r="A180" t="inlineStr">
        <is>
          <t>A 25921-2024</t>
        </is>
      </c>
      <c r="B180" s="1" t="n">
        <v>45467.6053587963</v>
      </c>
      <c r="C180" s="1" t="n">
        <v>45931</v>
      </c>
      <c r="D180" t="inlineStr">
        <is>
          <t>DALARNAS LÄN</t>
        </is>
      </c>
      <c r="E180" t="inlineStr">
        <is>
          <t>LEKSAND</t>
        </is>
      </c>
      <c r="G180" t="n">
        <v>2.8</v>
      </c>
      <c r="H180" t="n">
        <v>0</v>
      </c>
      <c r="I180" t="n">
        <v>0</v>
      </c>
      <c r="J180" t="n">
        <v>0</v>
      </c>
      <c r="K180" t="n">
        <v>0</v>
      </c>
      <c r="L180" t="n">
        <v>0</v>
      </c>
      <c r="M180" t="n">
        <v>0</v>
      </c>
      <c r="N180" t="n">
        <v>0</v>
      </c>
      <c r="O180" t="n">
        <v>0</v>
      </c>
      <c r="P180" t="n">
        <v>0</v>
      </c>
      <c r="Q180" t="n">
        <v>0</v>
      </c>
      <c r="R180" s="2" t="inlineStr"/>
    </row>
    <row r="181" ht="15" customHeight="1">
      <c r="A181" t="inlineStr">
        <is>
          <t>A 51857-2022</t>
        </is>
      </c>
      <c r="B181" s="1" t="n">
        <v>44867</v>
      </c>
      <c r="C181" s="1" t="n">
        <v>45931</v>
      </c>
      <c r="D181" t="inlineStr">
        <is>
          <t>DALARNAS LÄN</t>
        </is>
      </c>
      <c r="E181" t="inlineStr">
        <is>
          <t>LEKSAND</t>
        </is>
      </c>
      <c r="G181" t="n">
        <v>1.2</v>
      </c>
      <c r="H181" t="n">
        <v>0</v>
      </c>
      <c r="I181" t="n">
        <v>0</v>
      </c>
      <c r="J181" t="n">
        <v>0</v>
      </c>
      <c r="K181" t="n">
        <v>0</v>
      </c>
      <c r="L181" t="n">
        <v>0</v>
      </c>
      <c r="M181" t="n">
        <v>0</v>
      </c>
      <c r="N181" t="n">
        <v>0</v>
      </c>
      <c r="O181" t="n">
        <v>0</v>
      </c>
      <c r="P181" t="n">
        <v>0</v>
      </c>
      <c r="Q181" t="n">
        <v>0</v>
      </c>
      <c r="R181" s="2" t="inlineStr"/>
    </row>
    <row r="182" ht="15" customHeight="1">
      <c r="A182" t="inlineStr">
        <is>
          <t>A 28892-2022</t>
        </is>
      </c>
      <c r="B182" s="1" t="n">
        <v>44749</v>
      </c>
      <c r="C182" s="1" t="n">
        <v>45931</v>
      </c>
      <c r="D182" t="inlineStr">
        <is>
          <t>DALARNAS LÄN</t>
        </is>
      </c>
      <c r="E182" t="inlineStr">
        <is>
          <t>LEKSAND</t>
        </is>
      </c>
      <c r="F182" t="inlineStr">
        <is>
          <t>Bergvik skog väst AB</t>
        </is>
      </c>
      <c r="G182" t="n">
        <v>9.1</v>
      </c>
      <c r="H182" t="n">
        <v>0</v>
      </c>
      <c r="I182" t="n">
        <v>0</v>
      </c>
      <c r="J182" t="n">
        <v>0</v>
      </c>
      <c r="K182" t="n">
        <v>0</v>
      </c>
      <c r="L182" t="n">
        <v>0</v>
      </c>
      <c r="M182" t="n">
        <v>0</v>
      </c>
      <c r="N182" t="n">
        <v>0</v>
      </c>
      <c r="O182" t="n">
        <v>0</v>
      </c>
      <c r="P182" t="n">
        <v>0</v>
      </c>
      <c r="Q182" t="n">
        <v>0</v>
      </c>
      <c r="R182" s="2" t="inlineStr"/>
    </row>
    <row r="183" ht="15" customHeight="1">
      <c r="A183" t="inlineStr">
        <is>
          <t>A 36262-2023</t>
        </is>
      </c>
      <c r="B183" s="1" t="n">
        <v>45151.9096875</v>
      </c>
      <c r="C183" s="1" t="n">
        <v>45931</v>
      </c>
      <c r="D183" t="inlineStr">
        <is>
          <t>DALARNAS LÄN</t>
        </is>
      </c>
      <c r="E183" t="inlineStr">
        <is>
          <t>LEKSAND</t>
        </is>
      </c>
      <c r="G183" t="n">
        <v>1.2</v>
      </c>
      <c r="H183" t="n">
        <v>0</v>
      </c>
      <c r="I183" t="n">
        <v>0</v>
      </c>
      <c r="J183" t="n">
        <v>0</v>
      </c>
      <c r="K183" t="n">
        <v>0</v>
      </c>
      <c r="L183" t="n">
        <v>0</v>
      </c>
      <c r="M183" t="n">
        <v>0</v>
      </c>
      <c r="N183" t="n">
        <v>0</v>
      </c>
      <c r="O183" t="n">
        <v>0</v>
      </c>
      <c r="P183" t="n">
        <v>0</v>
      </c>
      <c r="Q183" t="n">
        <v>0</v>
      </c>
      <c r="R183" s="2" t="inlineStr"/>
    </row>
    <row r="184" ht="15" customHeight="1">
      <c r="A184" t="inlineStr">
        <is>
          <t>A 15968-2025</t>
        </is>
      </c>
      <c r="B184" s="1" t="n">
        <v>45749.54818287037</v>
      </c>
      <c r="C184" s="1" t="n">
        <v>45931</v>
      </c>
      <c r="D184" t="inlineStr">
        <is>
          <t>DALARNAS LÄN</t>
        </is>
      </c>
      <c r="E184" t="inlineStr">
        <is>
          <t>LEKSAND</t>
        </is>
      </c>
      <c r="G184" t="n">
        <v>3.2</v>
      </c>
      <c r="H184" t="n">
        <v>0</v>
      </c>
      <c r="I184" t="n">
        <v>0</v>
      </c>
      <c r="J184" t="n">
        <v>0</v>
      </c>
      <c r="K184" t="n">
        <v>0</v>
      </c>
      <c r="L184" t="n">
        <v>0</v>
      </c>
      <c r="M184" t="n">
        <v>0</v>
      </c>
      <c r="N184" t="n">
        <v>0</v>
      </c>
      <c r="O184" t="n">
        <v>0</v>
      </c>
      <c r="P184" t="n">
        <v>0</v>
      </c>
      <c r="Q184" t="n">
        <v>0</v>
      </c>
      <c r="R184" s="2" t="inlineStr"/>
    </row>
    <row r="185" ht="15" customHeight="1">
      <c r="A185" t="inlineStr">
        <is>
          <t>A 16005-2025</t>
        </is>
      </c>
      <c r="B185" s="1" t="n">
        <v>45749.59765046297</v>
      </c>
      <c r="C185" s="1" t="n">
        <v>45931</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60095-2022</t>
        </is>
      </c>
      <c r="B186" s="1" t="n">
        <v>44909</v>
      </c>
      <c r="C186" s="1" t="n">
        <v>45931</v>
      </c>
      <c r="D186" t="inlineStr">
        <is>
          <t>DALARNAS LÄN</t>
        </is>
      </c>
      <c r="E186" t="inlineStr">
        <is>
          <t>LEKSAND</t>
        </is>
      </c>
      <c r="G186" t="n">
        <v>2.4</v>
      </c>
      <c r="H186" t="n">
        <v>0</v>
      </c>
      <c r="I186" t="n">
        <v>0</v>
      </c>
      <c r="J186" t="n">
        <v>0</v>
      </c>
      <c r="K186" t="n">
        <v>0</v>
      </c>
      <c r="L186" t="n">
        <v>0</v>
      </c>
      <c r="M186" t="n">
        <v>0</v>
      </c>
      <c r="N186" t="n">
        <v>0</v>
      </c>
      <c r="O186" t="n">
        <v>0</v>
      </c>
      <c r="P186" t="n">
        <v>0</v>
      </c>
      <c r="Q186" t="n">
        <v>0</v>
      </c>
      <c r="R186" s="2" t="inlineStr"/>
    </row>
    <row r="187" ht="15" customHeight="1">
      <c r="A187" t="inlineStr">
        <is>
          <t>A 320-2023</t>
        </is>
      </c>
      <c r="B187" s="1" t="n">
        <v>44929</v>
      </c>
      <c r="C187" s="1" t="n">
        <v>45931</v>
      </c>
      <c r="D187" t="inlineStr">
        <is>
          <t>DALARNAS LÄN</t>
        </is>
      </c>
      <c r="E187" t="inlineStr">
        <is>
          <t>LEKSAND</t>
        </is>
      </c>
      <c r="F187" t="inlineStr">
        <is>
          <t>Övriga Aktiebolag</t>
        </is>
      </c>
      <c r="G187" t="n">
        <v>5.4</v>
      </c>
      <c r="H187" t="n">
        <v>0</v>
      </c>
      <c r="I187" t="n">
        <v>0</v>
      </c>
      <c r="J187" t="n">
        <v>0</v>
      </c>
      <c r="K187" t="n">
        <v>0</v>
      </c>
      <c r="L187" t="n">
        <v>0</v>
      </c>
      <c r="M187" t="n">
        <v>0</v>
      </c>
      <c r="N187" t="n">
        <v>0</v>
      </c>
      <c r="O187" t="n">
        <v>0</v>
      </c>
      <c r="P187" t="n">
        <v>0</v>
      </c>
      <c r="Q187" t="n">
        <v>0</v>
      </c>
      <c r="R187" s="2" t="inlineStr"/>
    </row>
    <row r="188" ht="15" customHeight="1">
      <c r="A188" t="inlineStr">
        <is>
          <t>A 38117-2023</t>
        </is>
      </c>
      <c r="B188" s="1" t="n">
        <v>45161</v>
      </c>
      <c r="C188" s="1" t="n">
        <v>45931</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11418-2023</t>
        </is>
      </c>
      <c r="B189" s="1" t="n">
        <v>44993</v>
      </c>
      <c r="C189" s="1" t="n">
        <v>45931</v>
      </c>
      <c r="D189" t="inlineStr">
        <is>
          <t>DALARNAS LÄN</t>
        </is>
      </c>
      <c r="E189" t="inlineStr">
        <is>
          <t>LEKSAND</t>
        </is>
      </c>
      <c r="G189" t="n">
        <v>2.7</v>
      </c>
      <c r="H189" t="n">
        <v>0</v>
      </c>
      <c r="I189" t="n">
        <v>0</v>
      </c>
      <c r="J189" t="n">
        <v>0</v>
      </c>
      <c r="K189" t="n">
        <v>0</v>
      </c>
      <c r="L189" t="n">
        <v>0</v>
      </c>
      <c r="M189" t="n">
        <v>0</v>
      </c>
      <c r="N189" t="n">
        <v>0</v>
      </c>
      <c r="O189" t="n">
        <v>0</v>
      </c>
      <c r="P189" t="n">
        <v>0</v>
      </c>
      <c r="Q189" t="n">
        <v>0</v>
      </c>
      <c r="R189" s="2" t="inlineStr"/>
    </row>
    <row r="190" ht="15" customHeight="1">
      <c r="A190" t="inlineStr">
        <is>
          <t>A 19820-2024</t>
        </is>
      </c>
      <c r="B190" s="1" t="n">
        <v>45433.33907407407</v>
      </c>
      <c r="C190" s="1" t="n">
        <v>45931</v>
      </c>
      <c r="D190" t="inlineStr">
        <is>
          <t>DALARNAS LÄN</t>
        </is>
      </c>
      <c r="E190" t="inlineStr">
        <is>
          <t>LEKSAND</t>
        </is>
      </c>
      <c r="G190" t="n">
        <v>0.7</v>
      </c>
      <c r="H190" t="n">
        <v>0</v>
      </c>
      <c r="I190" t="n">
        <v>0</v>
      </c>
      <c r="J190" t="n">
        <v>0</v>
      </c>
      <c r="K190" t="n">
        <v>0</v>
      </c>
      <c r="L190" t="n">
        <v>0</v>
      </c>
      <c r="M190" t="n">
        <v>0</v>
      </c>
      <c r="N190" t="n">
        <v>0</v>
      </c>
      <c r="O190" t="n">
        <v>0</v>
      </c>
      <c r="P190" t="n">
        <v>0</v>
      </c>
      <c r="Q190" t="n">
        <v>0</v>
      </c>
      <c r="R190" s="2" t="inlineStr"/>
    </row>
    <row r="191" ht="15" customHeight="1">
      <c r="A191" t="inlineStr">
        <is>
          <t>A 19823-2024</t>
        </is>
      </c>
      <c r="B191" s="1" t="n">
        <v>45433.34469907408</v>
      </c>
      <c r="C191" s="1" t="n">
        <v>45931</v>
      </c>
      <c r="D191" t="inlineStr">
        <is>
          <t>DALARNAS LÄN</t>
        </is>
      </c>
      <c r="E191" t="inlineStr">
        <is>
          <t>LEKSAND</t>
        </is>
      </c>
      <c r="G191" t="n">
        <v>0.3</v>
      </c>
      <c r="H191" t="n">
        <v>0</v>
      </c>
      <c r="I191" t="n">
        <v>0</v>
      </c>
      <c r="J191" t="n">
        <v>0</v>
      </c>
      <c r="K191" t="n">
        <v>0</v>
      </c>
      <c r="L191" t="n">
        <v>0</v>
      </c>
      <c r="M191" t="n">
        <v>0</v>
      </c>
      <c r="N191" t="n">
        <v>0</v>
      </c>
      <c r="O191" t="n">
        <v>0</v>
      </c>
      <c r="P191" t="n">
        <v>0</v>
      </c>
      <c r="Q191" t="n">
        <v>0</v>
      </c>
      <c r="R191" s="2" t="inlineStr"/>
    </row>
    <row r="192" ht="15" customHeight="1">
      <c r="A192" t="inlineStr">
        <is>
          <t>A 12581-2025</t>
        </is>
      </c>
      <c r="B192" s="1" t="n">
        <v>45732.62201388889</v>
      </c>
      <c r="C192" s="1" t="n">
        <v>45931</v>
      </c>
      <c r="D192" t="inlineStr">
        <is>
          <t>DALARNAS LÄN</t>
        </is>
      </c>
      <c r="E192" t="inlineStr">
        <is>
          <t>LEKSAND</t>
        </is>
      </c>
      <c r="G192" t="n">
        <v>5.1</v>
      </c>
      <c r="H192" t="n">
        <v>0</v>
      </c>
      <c r="I192" t="n">
        <v>0</v>
      </c>
      <c r="J192" t="n">
        <v>0</v>
      </c>
      <c r="K192" t="n">
        <v>0</v>
      </c>
      <c r="L192" t="n">
        <v>0</v>
      </c>
      <c r="M192" t="n">
        <v>0</v>
      </c>
      <c r="N192" t="n">
        <v>0</v>
      </c>
      <c r="O192" t="n">
        <v>0</v>
      </c>
      <c r="P192" t="n">
        <v>0</v>
      </c>
      <c r="Q192" t="n">
        <v>0</v>
      </c>
      <c r="R192" s="2" t="inlineStr"/>
    </row>
    <row r="193" ht="15" customHeight="1">
      <c r="A193" t="inlineStr">
        <is>
          <t>A 12620-2025</t>
        </is>
      </c>
      <c r="B193" s="1" t="n">
        <v>45733.35498842593</v>
      </c>
      <c r="C193" s="1" t="n">
        <v>45931</v>
      </c>
      <c r="D193" t="inlineStr">
        <is>
          <t>DALARNAS LÄN</t>
        </is>
      </c>
      <c r="E193" t="inlineStr">
        <is>
          <t>LEKSAND</t>
        </is>
      </c>
      <c r="F193" t="inlineStr">
        <is>
          <t>Bergvik skog väst AB</t>
        </is>
      </c>
      <c r="G193" t="n">
        <v>3.9</v>
      </c>
      <c r="H193" t="n">
        <v>0</v>
      </c>
      <c r="I193" t="n">
        <v>0</v>
      </c>
      <c r="J193" t="n">
        <v>0</v>
      </c>
      <c r="K193" t="n">
        <v>0</v>
      </c>
      <c r="L193" t="n">
        <v>0</v>
      </c>
      <c r="M193" t="n">
        <v>0</v>
      </c>
      <c r="N193" t="n">
        <v>0</v>
      </c>
      <c r="O193" t="n">
        <v>0</v>
      </c>
      <c r="P193" t="n">
        <v>0</v>
      </c>
      <c r="Q193" t="n">
        <v>0</v>
      </c>
      <c r="R193" s="2" t="inlineStr"/>
    </row>
    <row r="194" ht="15" customHeight="1">
      <c r="A194" t="inlineStr">
        <is>
          <t>A 12623-2025</t>
        </is>
      </c>
      <c r="B194" s="1" t="n">
        <v>45733.36079861111</v>
      </c>
      <c r="C194" s="1" t="n">
        <v>45931</v>
      </c>
      <c r="D194" t="inlineStr">
        <is>
          <t>DALARNAS LÄN</t>
        </is>
      </c>
      <c r="E194" t="inlineStr">
        <is>
          <t>LEKSAND</t>
        </is>
      </c>
      <c r="F194" t="inlineStr">
        <is>
          <t>Bergvik skog väst AB</t>
        </is>
      </c>
      <c r="G194" t="n">
        <v>13</v>
      </c>
      <c r="H194" t="n">
        <v>0</v>
      </c>
      <c r="I194" t="n">
        <v>0</v>
      </c>
      <c r="J194" t="n">
        <v>0</v>
      </c>
      <c r="K194" t="n">
        <v>0</v>
      </c>
      <c r="L194" t="n">
        <v>0</v>
      </c>
      <c r="M194" t="n">
        <v>0</v>
      </c>
      <c r="N194" t="n">
        <v>0</v>
      </c>
      <c r="O194" t="n">
        <v>0</v>
      </c>
      <c r="P194" t="n">
        <v>0</v>
      </c>
      <c r="Q194" t="n">
        <v>0</v>
      </c>
      <c r="R194" s="2" t="inlineStr"/>
    </row>
    <row r="195" ht="15" customHeight="1">
      <c r="A195" t="inlineStr">
        <is>
          <t>A 39558-2023</t>
        </is>
      </c>
      <c r="B195" s="1" t="n">
        <v>45167.38664351852</v>
      </c>
      <c r="C195" s="1" t="n">
        <v>45931</v>
      </c>
      <c r="D195" t="inlineStr">
        <is>
          <t>DALARNAS LÄN</t>
        </is>
      </c>
      <c r="E195" t="inlineStr">
        <is>
          <t>LEKSAND</t>
        </is>
      </c>
      <c r="G195" t="n">
        <v>39.9</v>
      </c>
      <c r="H195" t="n">
        <v>0</v>
      </c>
      <c r="I195" t="n">
        <v>0</v>
      </c>
      <c r="J195" t="n">
        <v>0</v>
      </c>
      <c r="K195" t="n">
        <v>0</v>
      </c>
      <c r="L195" t="n">
        <v>0</v>
      </c>
      <c r="M195" t="n">
        <v>0</v>
      </c>
      <c r="N195" t="n">
        <v>0</v>
      </c>
      <c r="O195" t="n">
        <v>0</v>
      </c>
      <c r="P195" t="n">
        <v>0</v>
      </c>
      <c r="Q195" t="n">
        <v>0</v>
      </c>
      <c r="R195" s="2" t="inlineStr"/>
    </row>
    <row r="196" ht="15" customHeight="1">
      <c r="A196" t="inlineStr">
        <is>
          <t>A 32666-2023</t>
        </is>
      </c>
      <c r="B196" s="1" t="n">
        <v>45121</v>
      </c>
      <c r="C196" s="1" t="n">
        <v>45931</v>
      </c>
      <c r="D196" t="inlineStr">
        <is>
          <t>DALARNAS LÄN</t>
        </is>
      </c>
      <c r="E196" t="inlineStr">
        <is>
          <t>LEKSAND</t>
        </is>
      </c>
      <c r="G196" t="n">
        <v>9.9</v>
      </c>
      <c r="H196" t="n">
        <v>0</v>
      </c>
      <c r="I196" t="n">
        <v>0</v>
      </c>
      <c r="J196" t="n">
        <v>0</v>
      </c>
      <c r="K196" t="n">
        <v>0</v>
      </c>
      <c r="L196" t="n">
        <v>0</v>
      </c>
      <c r="M196" t="n">
        <v>0</v>
      </c>
      <c r="N196" t="n">
        <v>0</v>
      </c>
      <c r="O196" t="n">
        <v>0</v>
      </c>
      <c r="P196" t="n">
        <v>0</v>
      </c>
      <c r="Q196" t="n">
        <v>0</v>
      </c>
      <c r="R196" s="2" t="inlineStr"/>
    </row>
    <row r="197" ht="15" customHeight="1">
      <c r="A197" t="inlineStr">
        <is>
          <t>A 43222-2024</t>
        </is>
      </c>
      <c r="B197" s="1" t="n">
        <v>45567.87177083334</v>
      </c>
      <c r="C197" s="1" t="n">
        <v>45931</v>
      </c>
      <c r="D197" t="inlineStr">
        <is>
          <t>DALARNAS LÄN</t>
        </is>
      </c>
      <c r="E197" t="inlineStr">
        <is>
          <t>LEKSAND</t>
        </is>
      </c>
      <c r="F197" t="inlineStr">
        <is>
          <t>Bergvik skog väst AB</t>
        </is>
      </c>
      <c r="G197" t="n">
        <v>8.6</v>
      </c>
      <c r="H197" t="n">
        <v>0</v>
      </c>
      <c r="I197" t="n">
        <v>0</v>
      </c>
      <c r="J197" t="n">
        <v>0</v>
      </c>
      <c r="K197" t="n">
        <v>0</v>
      </c>
      <c r="L197" t="n">
        <v>0</v>
      </c>
      <c r="M197" t="n">
        <v>0</v>
      </c>
      <c r="N197" t="n">
        <v>0</v>
      </c>
      <c r="O197" t="n">
        <v>0</v>
      </c>
      <c r="P197" t="n">
        <v>0</v>
      </c>
      <c r="Q197" t="n">
        <v>0</v>
      </c>
      <c r="R197" s="2" t="inlineStr"/>
    </row>
    <row r="198" ht="15" customHeight="1">
      <c r="A198" t="inlineStr">
        <is>
          <t>A 43231-2024</t>
        </is>
      </c>
      <c r="B198" s="1" t="n">
        <v>45567.89709490741</v>
      </c>
      <c r="C198" s="1" t="n">
        <v>45931</v>
      </c>
      <c r="D198" t="inlineStr">
        <is>
          <t>DALARNAS LÄN</t>
        </is>
      </c>
      <c r="E198" t="inlineStr">
        <is>
          <t>LEKSAND</t>
        </is>
      </c>
      <c r="G198" t="n">
        <v>1.9</v>
      </c>
      <c r="H198" t="n">
        <v>0</v>
      </c>
      <c r="I198" t="n">
        <v>0</v>
      </c>
      <c r="J198" t="n">
        <v>0</v>
      </c>
      <c r="K198" t="n">
        <v>0</v>
      </c>
      <c r="L198" t="n">
        <v>0</v>
      </c>
      <c r="M198" t="n">
        <v>0</v>
      </c>
      <c r="N198" t="n">
        <v>0</v>
      </c>
      <c r="O198" t="n">
        <v>0</v>
      </c>
      <c r="P198" t="n">
        <v>0</v>
      </c>
      <c r="Q198" t="n">
        <v>0</v>
      </c>
      <c r="R198" s="2" t="inlineStr"/>
    </row>
    <row r="199" ht="15" customHeight="1">
      <c r="A199" t="inlineStr">
        <is>
          <t>A 53122-2023</t>
        </is>
      </c>
      <c r="B199" s="1" t="n">
        <v>45228</v>
      </c>
      <c r="C199" s="1" t="n">
        <v>45931</v>
      </c>
      <c r="D199" t="inlineStr">
        <is>
          <t>DALARNAS LÄN</t>
        </is>
      </c>
      <c r="E199" t="inlineStr">
        <is>
          <t>LEKSAND</t>
        </is>
      </c>
      <c r="G199" t="n">
        <v>1.9</v>
      </c>
      <c r="H199" t="n">
        <v>0</v>
      </c>
      <c r="I199" t="n">
        <v>0</v>
      </c>
      <c r="J199" t="n">
        <v>0</v>
      </c>
      <c r="K199" t="n">
        <v>0</v>
      </c>
      <c r="L199" t="n">
        <v>0</v>
      </c>
      <c r="M199" t="n">
        <v>0</v>
      </c>
      <c r="N199" t="n">
        <v>0</v>
      </c>
      <c r="O199" t="n">
        <v>0</v>
      </c>
      <c r="P199" t="n">
        <v>0</v>
      </c>
      <c r="Q199" t="n">
        <v>0</v>
      </c>
      <c r="R199" s="2" t="inlineStr"/>
    </row>
    <row r="200" ht="15" customHeight="1">
      <c r="A200" t="inlineStr">
        <is>
          <t>A 5231-2024</t>
        </is>
      </c>
      <c r="B200" s="1" t="n">
        <v>45330</v>
      </c>
      <c r="C200" s="1" t="n">
        <v>45931</v>
      </c>
      <c r="D200" t="inlineStr">
        <is>
          <t>DALARNAS LÄN</t>
        </is>
      </c>
      <c r="E200" t="inlineStr">
        <is>
          <t>LEKSAND</t>
        </is>
      </c>
      <c r="F200" t="inlineStr">
        <is>
          <t>Bergvik skog väst AB</t>
        </is>
      </c>
      <c r="G200" t="n">
        <v>11.2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45931</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23896-2024</t>
        </is>
      </c>
      <c r="B202" s="1" t="n">
        <v>45455.6758449074</v>
      </c>
      <c r="C202" s="1" t="n">
        <v>45931</v>
      </c>
      <c r="D202" t="inlineStr">
        <is>
          <t>DALARNAS LÄN</t>
        </is>
      </c>
      <c r="E202" t="inlineStr">
        <is>
          <t>LEKSAND</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28578-2023</t>
        </is>
      </c>
      <c r="B203" s="1" t="n">
        <v>45103</v>
      </c>
      <c r="C203" s="1" t="n">
        <v>45931</v>
      </c>
      <c r="D203" t="inlineStr">
        <is>
          <t>DALARNAS LÄN</t>
        </is>
      </c>
      <c r="E203" t="inlineStr">
        <is>
          <t>LEKSAND</t>
        </is>
      </c>
      <c r="G203" t="n">
        <v>4.4</v>
      </c>
      <c r="H203" t="n">
        <v>0</v>
      </c>
      <c r="I203" t="n">
        <v>0</v>
      </c>
      <c r="J203" t="n">
        <v>0</v>
      </c>
      <c r="K203" t="n">
        <v>0</v>
      </c>
      <c r="L203" t="n">
        <v>0</v>
      </c>
      <c r="M203" t="n">
        <v>0</v>
      </c>
      <c r="N203" t="n">
        <v>0</v>
      </c>
      <c r="O203" t="n">
        <v>0</v>
      </c>
      <c r="P203" t="n">
        <v>0</v>
      </c>
      <c r="Q203" t="n">
        <v>0</v>
      </c>
      <c r="R203" s="2" t="inlineStr"/>
    </row>
    <row r="204" ht="15" customHeight="1">
      <c r="A204" t="inlineStr">
        <is>
          <t>A 64516-2023</t>
        </is>
      </c>
      <c r="B204" s="1" t="n">
        <v>45280</v>
      </c>
      <c r="C204" s="1" t="n">
        <v>45931</v>
      </c>
      <c r="D204" t="inlineStr">
        <is>
          <t>DALARNAS LÄN</t>
        </is>
      </c>
      <c r="E204" t="inlineStr">
        <is>
          <t>LEKSAND</t>
        </is>
      </c>
      <c r="G204" t="n">
        <v>4.4</v>
      </c>
      <c r="H204" t="n">
        <v>0</v>
      </c>
      <c r="I204" t="n">
        <v>0</v>
      </c>
      <c r="J204" t="n">
        <v>0</v>
      </c>
      <c r="K204" t="n">
        <v>0</v>
      </c>
      <c r="L204" t="n">
        <v>0</v>
      </c>
      <c r="M204" t="n">
        <v>0</v>
      </c>
      <c r="N204" t="n">
        <v>0</v>
      </c>
      <c r="O204" t="n">
        <v>0</v>
      </c>
      <c r="P204" t="n">
        <v>0</v>
      </c>
      <c r="Q204" t="n">
        <v>0</v>
      </c>
      <c r="R204" s="2" t="inlineStr"/>
    </row>
    <row r="205" ht="15" customHeight="1">
      <c r="A205" t="inlineStr">
        <is>
          <t>A 61288-2022</t>
        </is>
      </c>
      <c r="B205" s="1" t="n">
        <v>44915</v>
      </c>
      <c r="C205" s="1" t="n">
        <v>45931</v>
      </c>
      <c r="D205" t="inlineStr">
        <is>
          <t>DALARNAS LÄN</t>
        </is>
      </c>
      <c r="E205" t="inlineStr">
        <is>
          <t>LEKSAND</t>
        </is>
      </c>
      <c r="G205" t="n">
        <v>1.7</v>
      </c>
      <c r="H205" t="n">
        <v>0</v>
      </c>
      <c r="I205" t="n">
        <v>0</v>
      </c>
      <c r="J205" t="n">
        <v>0</v>
      </c>
      <c r="K205" t="n">
        <v>0</v>
      </c>
      <c r="L205" t="n">
        <v>0</v>
      </c>
      <c r="M205" t="n">
        <v>0</v>
      </c>
      <c r="N205" t="n">
        <v>0</v>
      </c>
      <c r="O205" t="n">
        <v>0</v>
      </c>
      <c r="P205" t="n">
        <v>0</v>
      </c>
      <c r="Q205" t="n">
        <v>0</v>
      </c>
      <c r="R205" s="2" t="inlineStr"/>
    </row>
    <row r="206" ht="15" customHeight="1">
      <c r="A206" t="inlineStr">
        <is>
          <t>A 20936-2023</t>
        </is>
      </c>
      <c r="B206" s="1" t="n">
        <v>45061</v>
      </c>
      <c r="C206" s="1" t="n">
        <v>45931</v>
      </c>
      <c r="D206" t="inlineStr">
        <is>
          <t>DALARNAS LÄN</t>
        </is>
      </c>
      <c r="E206" t="inlineStr">
        <is>
          <t>LEKSAND</t>
        </is>
      </c>
      <c r="G206" t="n">
        <v>0.3</v>
      </c>
      <c r="H206" t="n">
        <v>0</v>
      </c>
      <c r="I206" t="n">
        <v>0</v>
      </c>
      <c r="J206" t="n">
        <v>0</v>
      </c>
      <c r="K206" t="n">
        <v>0</v>
      </c>
      <c r="L206" t="n">
        <v>0</v>
      </c>
      <c r="M206" t="n">
        <v>0</v>
      </c>
      <c r="N206" t="n">
        <v>0</v>
      </c>
      <c r="O206" t="n">
        <v>0</v>
      </c>
      <c r="P206" t="n">
        <v>0</v>
      </c>
      <c r="Q206" t="n">
        <v>0</v>
      </c>
      <c r="R206" s="2" t="inlineStr"/>
    </row>
    <row r="207" ht="15" customHeight="1">
      <c r="A207" t="inlineStr">
        <is>
          <t>A 41169-2024</t>
        </is>
      </c>
      <c r="B207" s="1" t="n">
        <v>45559.48637731482</v>
      </c>
      <c r="C207" s="1" t="n">
        <v>45931</v>
      </c>
      <c r="D207" t="inlineStr">
        <is>
          <t>DALARNAS LÄN</t>
        </is>
      </c>
      <c r="E207" t="inlineStr">
        <is>
          <t>LEKSAND</t>
        </is>
      </c>
      <c r="G207" t="n">
        <v>8.9</v>
      </c>
      <c r="H207" t="n">
        <v>0</v>
      </c>
      <c r="I207" t="n">
        <v>0</v>
      </c>
      <c r="J207" t="n">
        <v>0</v>
      </c>
      <c r="K207" t="n">
        <v>0</v>
      </c>
      <c r="L207" t="n">
        <v>0</v>
      </c>
      <c r="M207" t="n">
        <v>0</v>
      </c>
      <c r="N207" t="n">
        <v>0</v>
      </c>
      <c r="O207" t="n">
        <v>0</v>
      </c>
      <c r="P207" t="n">
        <v>0</v>
      </c>
      <c r="Q207" t="n">
        <v>0</v>
      </c>
      <c r="R207" s="2" t="inlineStr"/>
    </row>
    <row r="208" ht="15" customHeight="1">
      <c r="A208" t="inlineStr">
        <is>
          <t>A 412-2024</t>
        </is>
      </c>
      <c r="B208" s="1" t="n">
        <v>45296</v>
      </c>
      <c r="C208" s="1" t="n">
        <v>45931</v>
      </c>
      <c r="D208" t="inlineStr">
        <is>
          <t>DALARNAS LÄN</t>
        </is>
      </c>
      <c r="E208" t="inlineStr">
        <is>
          <t>LEKSAND</t>
        </is>
      </c>
      <c r="G208" t="n">
        <v>1.9</v>
      </c>
      <c r="H208" t="n">
        <v>0</v>
      </c>
      <c r="I208" t="n">
        <v>0</v>
      </c>
      <c r="J208" t="n">
        <v>0</v>
      </c>
      <c r="K208" t="n">
        <v>0</v>
      </c>
      <c r="L208" t="n">
        <v>0</v>
      </c>
      <c r="M208" t="n">
        <v>0</v>
      </c>
      <c r="N208" t="n">
        <v>0</v>
      </c>
      <c r="O208" t="n">
        <v>0</v>
      </c>
      <c r="P208" t="n">
        <v>0</v>
      </c>
      <c r="Q208" t="n">
        <v>0</v>
      </c>
      <c r="R208" s="2" t="inlineStr"/>
    </row>
    <row r="209" ht="15" customHeight="1">
      <c r="A209" t="inlineStr">
        <is>
          <t>A 59673-2023</t>
        </is>
      </c>
      <c r="B209" s="1" t="n">
        <v>45255.44603009259</v>
      </c>
      <c r="C209" s="1" t="n">
        <v>45931</v>
      </c>
      <c r="D209" t="inlineStr">
        <is>
          <t>DALARNAS LÄN</t>
        </is>
      </c>
      <c r="E209" t="inlineStr">
        <is>
          <t>LEKSAND</t>
        </is>
      </c>
      <c r="G209" t="n">
        <v>12.2</v>
      </c>
      <c r="H209" t="n">
        <v>0</v>
      </c>
      <c r="I209" t="n">
        <v>0</v>
      </c>
      <c r="J209" t="n">
        <v>0</v>
      </c>
      <c r="K209" t="n">
        <v>0</v>
      </c>
      <c r="L209" t="n">
        <v>0</v>
      </c>
      <c r="M209" t="n">
        <v>0</v>
      </c>
      <c r="N209" t="n">
        <v>0</v>
      </c>
      <c r="O209" t="n">
        <v>0</v>
      </c>
      <c r="P209" t="n">
        <v>0</v>
      </c>
      <c r="Q209" t="n">
        <v>0</v>
      </c>
      <c r="R209" s="2" t="inlineStr"/>
    </row>
    <row r="210" ht="15" customHeight="1">
      <c r="A210" t="inlineStr">
        <is>
          <t>A 23068-2024</t>
        </is>
      </c>
      <c r="B210" s="1" t="n">
        <v>45450.45521990741</v>
      </c>
      <c r="C210" s="1" t="n">
        <v>45931</v>
      </c>
      <c r="D210" t="inlineStr">
        <is>
          <t>DALARNAS LÄN</t>
        </is>
      </c>
      <c r="E210" t="inlineStr">
        <is>
          <t>LEKSAND</t>
        </is>
      </c>
      <c r="G210" t="n">
        <v>2.4</v>
      </c>
      <c r="H210" t="n">
        <v>0</v>
      </c>
      <c r="I210" t="n">
        <v>0</v>
      </c>
      <c r="J210" t="n">
        <v>0</v>
      </c>
      <c r="K210" t="n">
        <v>0</v>
      </c>
      <c r="L210" t="n">
        <v>0</v>
      </c>
      <c r="M210" t="n">
        <v>0</v>
      </c>
      <c r="N210" t="n">
        <v>0</v>
      </c>
      <c r="O210" t="n">
        <v>0</v>
      </c>
      <c r="P210" t="n">
        <v>0</v>
      </c>
      <c r="Q210" t="n">
        <v>0</v>
      </c>
      <c r="R210" s="2" t="inlineStr"/>
    </row>
    <row r="211" ht="15" customHeight="1">
      <c r="A211" t="inlineStr">
        <is>
          <t>A 22281-2024</t>
        </is>
      </c>
      <c r="B211" s="1" t="n">
        <v>45446.54756944445</v>
      </c>
      <c r="C211" s="1" t="n">
        <v>45931</v>
      </c>
      <c r="D211" t="inlineStr">
        <is>
          <t>DALARNAS LÄN</t>
        </is>
      </c>
      <c r="E211" t="inlineStr">
        <is>
          <t>LEKSAND</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53799-2023</t>
        </is>
      </c>
      <c r="B212" s="1" t="n">
        <v>45231.35564814815</v>
      </c>
      <c r="C212" s="1" t="n">
        <v>45931</v>
      </c>
      <c r="D212" t="inlineStr">
        <is>
          <t>DALARNAS LÄN</t>
        </is>
      </c>
      <c r="E212" t="inlineStr">
        <is>
          <t>LEKSAND</t>
        </is>
      </c>
      <c r="F212" t="inlineStr">
        <is>
          <t>Bergvik skog väst AB</t>
        </is>
      </c>
      <c r="G212" t="n">
        <v>0.9</v>
      </c>
      <c r="H212" t="n">
        <v>0</v>
      </c>
      <c r="I212" t="n">
        <v>0</v>
      </c>
      <c r="J212" t="n">
        <v>0</v>
      </c>
      <c r="K212" t="n">
        <v>0</v>
      </c>
      <c r="L212" t="n">
        <v>0</v>
      </c>
      <c r="M212" t="n">
        <v>0</v>
      </c>
      <c r="N212" t="n">
        <v>0</v>
      </c>
      <c r="O212" t="n">
        <v>0</v>
      </c>
      <c r="P212" t="n">
        <v>0</v>
      </c>
      <c r="Q212" t="n">
        <v>0</v>
      </c>
      <c r="R212" s="2" t="inlineStr"/>
    </row>
    <row r="213" ht="15" customHeight="1">
      <c r="A213" t="inlineStr">
        <is>
          <t>A 40193-2024</t>
        </is>
      </c>
      <c r="B213" s="1" t="n">
        <v>45554.5734375</v>
      </c>
      <c r="C213" s="1" t="n">
        <v>45931</v>
      </c>
      <c r="D213" t="inlineStr">
        <is>
          <t>DALARNAS LÄN</t>
        </is>
      </c>
      <c r="E213" t="inlineStr">
        <is>
          <t>LEKSAND</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31728-2024</t>
        </is>
      </c>
      <c r="B214" s="1" t="n">
        <v>45509.34517361111</v>
      </c>
      <c r="C214" s="1" t="n">
        <v>45931</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32394-2024</t>
        </is>
      </c>
      <c r="B215" s="1" t="n">
        <v>45512.64349537037</v>
      </c>
      <c r="C215" s="1" t="n">
        <v>45931</v>
      </c>
      <c r="D215" t="inlineStr">
        <is>
          <t>DALARNAS LÄN</t>
        </is>
      </c>
      <c r="E215" t="inlineStr">
        <is>
          <t>LEKSAND</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43221-2024</t>
        </is>
      </c>
      <c r="B216" s="1" t="n">
        <v>45567.86695601852</v>
      </c>
      <c r="C216" s="1" t="n">
        <v>45931</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60920-2020</t>
        </is>
      </c>
      <c r="B217" s="1" t="n">
        <v>44153</v>
      </c>
      <c r="C217" s="1" t="n">
        <v>45931</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40755-2024</t>
        </is>
      </c>
      <c r="B218" s="1" t="n">
        <v>45558.45815972222</v>
      </c>
      <c r="C218" s="1" t="n">
        <v>45931</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23615-2024</t>
        </is>
      </c>
      <c r="B219" s="1" t="n">
        <v>45454.43050925926</v>
      </c>
      <c r="C219" s="1" t="n">
        <v>45931</v>
      </c>
      <c r="D219" t="inlineStr">
        <is>
          <t>DALARNAS LÄN</t>
        </is>
      </c>
      <c r="E219" t="inlineStr">
        <is>
          <t>LEKSAND</t>
        </is>
      </c>
      <c r="G219" t="n">
        <v>1.7</v>
      </c>
      <c r="H219" t="n">
        <v>0</v>
      </c>
      <c r="I219" t="n">
        <v>0</v>
      </c>
      <c r="J219" t="n">
        <v>0</v>
      </c>
      <c r="K219" t="n">
        <v>0</v>
      </c>
      <c r="L219" t="n">
        <v>0</v>
      </c>
      <c r="M219" t="n">
        <v>0</v>
      </c>
      <c r="N219" t="n">
        <v>0</v>
      </c>
      <c r="O219" t="n">
        <v>0</v>
      </c>
      <c r="P219" t="n">
        <v>0</v>
      </c>
      <c r="Q219" t="n">
        <v>0</v>
      </c>
      <c r="R219" s="2" t="inlineStr"/>
    </row>
    <row r="220" ht="15" customHeight="1">
      <c r="A220" t="inlineStr">
        <is>
          <t>A 17377-2025</t>
        </is>
      </c>
      <c r="B220" s="1" t="n">
        <v>45756.983125</v>
      </c>
      <c r="C220" s="1" t="n">
        <v>45931</v>
      </c>
      <c r="D220" t="inlineStr">
        <is>
          <t>DALARNAS LÄN</t>
        </is>
      </c>
      <c r="E220" t="inlineStr">
        <is>
          <t>LEKSAND</t>
        </is>
      </c>
      <c r="G220" t="n">
        <v>0.9</v>
      </c>
      <c r="H220" t="n">
        <v>0</v>
      </c>
      <c r="I220" t="n">
        <v>0</v>
      </c>
      <c r="J220" t="n">
        <v>0</v>
      </c>
      <c r="K220" t="n">
        <v>0</v>
      </c>
      <c r="L220" t="n">
        <v>0</v>
      </c>
      <c r="M220" t="n">
        <v>0</v>
      </c>
      <c r="N220" t="n">
        <v>0</v>
      </c>
      <c r="O220" t="n">
        <v>0</v>
      </c>
      <c r="P220" t="n">
        <v>0</v>
      </c>
      <c r="Q220" t="n">
        <v>0</v>
      </c>
      <c r="R220" s="2" t="inlineStr"/>
    </row>
    <row r="221" ht="15" customHeight="1">
      <c r="A221" t="inlineStr">
        <is>
          <t>A 61269-2022</t>
        </is>
      </c>
      <c r="B221" s="1" t="n">
        <v>44909</v>
      </c>
      <c r="C221" s="1" t="n">
        <v>45931</v>
      </c>
      <c r="D221" t="inlineStr">
        <is>
          <t>DALARNAS LÄN</t>
        </is>
      </c>
      <c r="E221" t="inlineStr">
        <is>
          <t>LEKSAND</t>
        </is>
      </c>
      <c r="G221" t="n">
        <v>4.2</v>
      </c>
      <c r="H221" t="n">
        <v>0</v>
      </c>
      <c r="I221" t="n">
        <v>0</v>
      </c>
      <c r="J221" t="n">
        <v>0</v>
      </c>
      <c r="K221" t="n">
        <v>0</v>
      </c>
      <c r="L221" t="n">
        <v>0</v>
      </c>
      <c r="M221" t="n">
        <v>0</v>
      </c>
      <c r="N221" t="n">
        <v>0</v>
      </c>
      <c r="O221" t="n">
        <v>0</v>
      </c>
      <c r="P221" t="n">
        <v>0</v>
      </c>
      <c r="Q221" t="n">
        <v>0</v>
      </c>
      <c r="R221" s="2" t="inlineStr"/>
    </row>
    <row r="222" ht="15" customHeight="1">
      <c r="A222" t="inlineStr">
        <is>
          <t>A 21839-2022</t>
        </is>
      </c>
      <c r="B222" s="1" t="n">
        <v>44711</v>
      </c>
      <c r="C222" s="1" t="n">
        <v>45931</v>
      </c>
      <c r="D222" t="inlineStr">
        <is>
          <t>DALARNAS LÄN</t>
        </is>
      </c>
      <c r="E222" t="inlineStr">
        <is>
          <t>LEKSAND</t>
        </is>
      </c>
      <c r="F222" t="inlineStr">
        <is>
          <t>Bergvik skog väst AB</t>
        </is>
      </c>
      <c r="G222" t="n">
        <v>3</v>
      </c>
      <c r="H222" t="n">
        <v>0</v>
      </c>
      <c r="I222" t="n">
        <v>0</v>
      </c>
      <c r="J222" t="n">
        <v>0</v>
      </c>
      <c r="K222" t="n">
        <v>0</v>
      </c>
      <c r="L222" t="n">
        <v>0</v>
      </c>
      <c r="M222" t="n">
        <v>0</v>
      </c>
      <c r="N222" t="n">
        <v>0</v>
      </c>
      <c r="O222" t="n">
        <v>0</v>
      </c>
      <c r="P222" t="n">
        <v>0</v>
      </c>
      <c r="Q222" t="n">
        <v>0</v>
      </c>
      <c r="R222" s="2" t="inlineStr"/>
    </row>
    <row r="223" ht="15" customHeight="1">
      <c r="A223" t="inlineStr">
        <is>
          <t>A 53817-2023</t>
        </is>
      </c>
      <c r="B223" s="1" t="n">
        <v>45231.40488425926</v>
      </c>
      <c r="C223" s="1" t="n">
        <v>45931</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22388-2024</t>
        </is>
      </c>
      <c r="B224" s="1" t="n">
        <v>45446</v>
      </c>
      <c r="C224" s="1" t="n">
        <v>45931</v>
      </c>
      <c r="D224" t="inlineStr">
        <is>
          <t>DALARNAS LÄN</t>
        </is>
      </c>
      <c r="E224" t="inlineStr">
        <is>
          <t>LEKSAND</t>
        </is>
      </c>
      <c r="F224" t="inlineStr">
        <is>
          <t>Bergvik skog väst AB</t>
        </is>
      </c>
      <c r="G224" t="n">
        <v>5.3</v>
      </c>
      <c r="H224" t="n">
        <v>0</v>
      </c>
      <c r="I224" t="n">
        <v>0</v>
      </c>
      <c r="J224" t="n">
        <v>0</v>
      </c>
      <c r="K224" t="n">
        <v>0</v>
      </c>
      <c r="L224" t="n">
        <v>0</v>
      </c>
      <c r="M224" t="n">
        <v>0</v>
      </c>
      <c r="N224" t="n">
        <v>0</v>
      </c>
      <c r="O224" t="n">
        <v>0</v>
      </c>
      <c r="P224" t="n">
        <v>0</v>
      </c>
      <c r="Q224" t="n">
        <v>0</v>
      </c>
      <c r="R224" s="2" t="inlineStr"/>
    </row>
    <row r="225" ht="15" customHeight="1">
      <c r="A225" t="inlineStr">
        <is>
          <t>A 28633-2023</t>
        </is>
      </c>
      <c r="B225" s="1" t="n">
        <v>45103.61575231481</v>
      </c>
      <c r="C225" s="1" t="n">
        <v>45931</v>
      </c>
      <c r="D225" t="inlineStr">
        <is>
          <t>DALARNAS LÄN</t>
        </is>
      </c>
      <c r="E225" t="inlineStr">
        <is>
          <t>LEKSAND</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14943-2023</t>
        </is>
      </c>
      <c r="B226" s="1" t="n">
        <v>45015</v>
      </c>
      <c r="C226" s="1" t="n">
        <v>45931</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41840-2024</t>
        </is>
      </c>
      <c r="B227" s="1" t="n">
        <v>45561.42170138889</v>
      </c>
      <c r="C227" s="1" t="n">
        <v>45931</v>
      </c>
      <c r="D227" t="inlineStr">
        <is>
          <t>DALARNAS LÄN</t>
        </is>
      </c>
      <c r="E227" t="inlineStr">
        <is>
          <t>LEKSAND</t>
        </is>
      </c>
      <c r="G227" t="n">
        <v>0.4</v>
      </c>
      <c r="H227" t="n">
        <v>0</v>
      </c>
      <c r="I227" t="n">
        <v>0</v>
      </c>
      <c r="J227" t="n">
        <v>0</v>
      </c>
      <c r="K227" t="n">
        <v>0</v>
      </c>
      <c r="L227" t="n">
        <v>0</v>
      </c>
      <c r="M227" t="n">
        <v>0</v>
      </c>
      <c r="N227" t="n">
        <v>0</v>
      </c>
      <c r="O227" t="n">
        <v>0</v>
      </c>
      <c r="P227" t="n">
        <v>0</v>
      </c>
      <c r="Q227" t="n">
        <v>0</v>
      </c>
      <c r="R227" s="2" t="inlineStr"/>
    </row>
    <row r="228" ht="15" customHeight="1">
      <c r="A228" t="inlineStr">
        <is>
          <t>A 33143-2024</t>
        </is>
      </c>
      <c r="B228" s="1" t="n">
        <v>45518</v>
      </c>
      <c r="C228" s="1" t="n">
        <v>45931</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5738-2023</t>
        </is>
      </c>
      <c r="B229" s="1" t="n">
        <v>44962</v>
      </c>
      <c r="C229" s="1" t="n">
        <v>45931</v>
      </c>
      <c r="D229" t="inlineStr">
        <is>
          <t>DALARNAS LÄN</t>
        </is>
      </c>
      <c r="E229" t="inlineStr">
        <is>
          <t>LEKSAND</t>
        </is>
      </c>
      <c r="G229" t="n">
        <v>0.2</v>
      </c>
      <c r="H229" t="n">
        <v>0</v>
      </c>
      <c r="I229" t="n">
        <v>0</v>
      </c>
      <c r="J229" t="n">
        <v>0</v>
      </c>
      <c r="K229" t="n">
        <v>0</v>
      </c>
      <c r="L229" t="n">
        <v>0</v>
      </c>
      <c r="M229" t="n">
        <v>0</v>
      </c>
      <c r="N229" t="n">
        <v>0</v>
      </c>
      <c r="O229" t="n">
        <v>0</v>
      </c>
      <c r="P229" t="n">
        <v>0</v>
      </c>
      <c r="Q229" t="n">
        <v>0</v>
      </c>
      <c r="R229" s="2" t="inlineStr"/>
    </row>
    <row r="230" ht="15" customHeight="1">
      <c r="A230" t="inlineStr">
        <is>
          <t>A 15120-2023</t>
        </is>
      </c>
      <c r="B230" s="1" t="n">
        <v>45016.46484953703</v>
      </c>
      <c r="C230" s="1" t="n">
        <v>45931</v>
      </c>
      <c r="D230" t="inlineStr">
        <is>
          <t>DALARNAS LÄN</t>
        </is>
      </c>
      <c r="E230" t="inlineStr">
        <is>
          <t>LEKSAND</t>
        </is>
      </c>
      <c r="G230" t="n">
        <v>2.7</v>
      </c>
      <c r="H230" t="n">
        <v>0</v>
      </c>
      <c r="I230" t="n">
        <v>0</v>
      </c>
      <c r="J230" t="n">
        <v>0</v>
      </c>
      <c r="K230" t="n">
        <v>0</v>
      </c>
      <c r="L230" t="n">
        <v>0</v>
      </c>
      <c r="M230" t="n">
        <v>0</v>
      </c>
      <c r="N230" t="n">
        <v>0</v>
      </c>
      <c r="O230" t="n">
        <v>0</v>
      </c>
      <c r="P230" t="n">
        <v>0</v>
      </c>
      <c r="Q230" t="n">
        <v>0</v>
      </c>
      <c r="R230" s="2" t="inlineStr"/>
    </row>
    <row r="231" ht="15" customHeight="1">
      <c r="A231" t="inlineStr">
        <is>
          <t>A 5570-2024</t>
        </is>
      </c>
      <c r="B231" s="1" t="n">
        <v>45334</v>
      </c>
      <c r="C231" s="1" t="n">
        <v>45931</v>
      </c>
      <c r="D231" t="inlineStr">
        <is>
          <t>DALARNAS LÄN</t>
        </is>
      </c>
      <c r="E231" t="inlineStr">
        <is>
          <t>LEKSAND</t>
        </is>
      </c>
      <c r="G231" t="n">
        <v>0.3</v>
      </c>
      <c r="H231" t="n">
        <v>0</v>
      </c>
      <c r="I231" t="n">
        <v>0</v>
      </c>
      <c r="J231" t="n">
        <v>0</v>
      </c>
      <c r="K231" t="n">
        <v>0</v>
      </c>
      <c r="L231" t="n">
        <v>0</v>
      </c>
      <c r="M231" t="n">
        <v>0</v>
      </c>
      <c r="N231" t="n">
        <v>0</v>
      </c>
      <c r="O231" t="n">
        <v>0</v>
      </c>
      <c r="P231" t="n">
        <v>0</v>
      </c>
      <c r="Q231" t="n">
        <v>0</v>
      </c>
      <c r="R231" s="2" t="inlineStr"/>
    </row>
    <row r="232" ht="15" customHeight="1">
      <c r="A232" t="inlineStr">
        <is>
          <t>A 17413-2023</t>
        </is>
      </c>
      <c r="B232" s="1" t="n">
        <v>45035</v>
      </c>
      <c r="C232" s="1" t="n">
        <v>45931</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9138-2023</t>
        </is>
      </c>
      <c r="B233" s="1" t="n">
        <v>44974</v>
      </c>
      <c r="C233" s="1" t="n">
        <v>45931</v>
      </c>
      <c r="D233" t="inlineStr">
        <is>
          <t>DALARNAS LÄN</t>
        </is>
      </c>
      <c r="E233" t="inlineStr">
        <is>
          <t>LEKSAND</t>
        </is>
      </c>
      <c r="G233" t="n">
        <v>4.6</v>
      </c>
      <c r="H233" t="n">
        <v>0</v>
      </c>
      <c r="I233" t="n">
        <v>0</v>
      </c>
      <c r="J233" t="n">
        <v>0</v>
      </c>
      <c r="K233" t="n">
        <v>0</v>
      </c>
      <c r="L233" t="n">
        <v>0</v>
      </c>
      <c r="M233" t="n">
        <v>0</v>
      </c>
      <c r="N233" t="n">
        <v>0</v>
      </c>
      <c r="O233" t="n">
        <v>0</v>
      </c>
      <c r="P233" t="n">
        <v>0</v>
      </c>
      <c r="Q233" t="n">
        <v>0</v>
      </c>
      <c r="R233" s="2" t="inlineStr"/>
    </row>
    <row r="234" ht="15" customHeight="1">
      <c r="A234" t="inlineStr">
        <is>
          <t>A 61680-2024</t>
        </is>
      </c>
      <c r="B234" s="1" t="n">
        <v>45647.42890046296</v>
      </c>
      <c r="C234" s="1" t="n">
        <v>45931</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43693-2022</t>
        </is>
      </c>
      <c r="B235" s="1" t="n">
        <v>44837.6369212963</v>
      </c>
      <c r="C235" s="1" t="n">
        <v>45931</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43735-2022</t>
        </is>
      </c>
      <c r="B236" s="1" t="n">
        <v>44837.70210648148</v>
      </c>
      <c r="C236" s="1" t="n">
        <v>45931</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54911-2024</t>
        </is>
      </c>
      <c r="B237" s="1" t="n">
        <v>45618.68929398148</v>
      </c>
      <c r="C237" s="1" t="n">
        <v>45931</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17726-2024</t>
        </is>
      </c>
      <c r="B238" s="1" t="n">
        <v>45418.55609953704</v>
      </c>
      <c r="C238" s="1" t="n">
        <v>45931</v>
      </c>
      <c r="D238" t="inlineStr">
        <is>
          <t>DALARNAS LÄN</t>
        </is>
      </c>
      <c r="E238" t="inlineStr">
        <is>
          <t>LEKSAND</t>
        </is>
      </c>
      <c r="G238" t="n">
        <v>5.2</v>
      </c>
      <c r="H238" t="n">
        <v>0</v>
      </c>
      <c r="I238" t="n">
        <v>0</v>
      </c>
      <c r="J238" t="n">
        <v>0</v>
      </c>
      <c r="K238" t="n">
        <v>0</v>
      </c>
      <c r="L238" t="n">
        <v>0</v>
      </c>
      <c r="M238" t="n">
        <v>0</v>
      </c>
      <c r="N238" t="n">
        <v>0</v>
      </c>
      <c r="O238" t="n">
        <v>0</v>
      </c>
      <c r="P238" t="n">
        <v>0</v>
      </c>
      <c r="Q238" t="n">
        <v>0</v>
      </c>
      <c r="R238" s="2" t="inlineStr"/>
    </row>
    <row r="239" ht="15" customHeight="1">
      <c r="A239" t="inlineStr">
        <is>
          <t>A 16611-2024</t>
        </is>
      </c>
      <c r="B239" s="1" t="n">
        <v>45408.55504629629</v>
      </c>
      <c r="C239" s="1" t="n">
        <v>45931</v>
      </c>
      <c r="D239" t="inlineStr">
        <is>
          <t>DALARNAS LÄN</t>
        </is>
      </c>
      <c r="E239" t="inlineStr">
        <is>
          <t>LEKSAND</t>
        </is>
      </c>
      <c r="G239" t="n">
        <v>5.9</v>
      </c>
      <c r="H239" t="n">
        <v>0</v>
      </c>
      <c r="I239" t="n">
        <v>0</v>
      </c>
      <c r="J239" t="n">
        <v>0</v>
      </c>
      <c r="K239" t="n">
        <v>0</v>
      </c>
      <c r="L239" t="n">
        <v>0</v>
      </c>
      <c r="M239" t="n">
        <v>0</v>
      </c>
      <c r="N239" t="n">
        <v>0</v>
      </c>
      <c r="O239" t="n">
        <v>0</v>
      </c>
      <c r="P239" t="n">
        <v>0</v>
      </c>
      <c r="Q239" t="n">
        <v>0</v>
      </c>
      <c r="R239" s="2" t="inlineStr"/>
    </row>
    <row r="240" ht="15" customHeight="1">
      <c r="A240" t="inlineStr">
        <is>
          <t>A 2517-2024</t>
        </is>
      </c>
      <c r="B240" s="1" t="n">
        <v>45313</v>
      </c>
      <c r="C240" s="1" t="n">
        <v>45931</v>
      </c>
      <c r="D240" t="inlineStr">
        <is>
          <t>DALARNAS LÄN</t>
        </is>
      </c>
      <c r="E240" t="inlineStr">
        <is>
          <t>LEKSAND</t>
        </is>
      </c>
      <c r="F240" t="inlineStr">
        <is>
          <t>Bergvik skog väst AB</t>
        </is>
      </c>
      <c r="G240" t="n">
        <v>4</v>
      </c>
      <c r="H240" t="n">
        <v>0</v>
      </c>
      <c r="I240" t="n">
        <v>0</v>
      </c>
      <c r="J240" t="n">
        <v>0</v>
      </c>
      <c r="K240" t="n">
        <v>0</v>
      </c>
      <c r="L240" t="n">
        <v>0</v>
      </c>
      <c r="M240" t="n">
        <v>0</v>
      </c>
      <c r="N240" t="n">
        <v>0</v>
      </c>
      <c r="O240" t="n">
        <v>0</v>
      </c>
      <c r="P240" t="n">
        <v>0</v>
      </c>
      <c r="Q240" t="n">
        <v>0</v>
      </c>
      <c r="R240" s="2" t="inlineStr"/>
    </row>
    <row r="241" ht="15" customHeight="1">
      <c r="A241" t="inlineStr">
        <is>
          <t>A 60692-2023</t>
        </is>
      </c>
      <c r="B241" s="1" t="n">
        <v>45260.50008101852</v>
      </c>
      <c r="C241" s="1" t="n">
        <v>45931</v>
      </c>
      <c r="D241" t="inlineStr">
        <is>
          <t>DALARNAS LÄN</t>
        </is>
      </c>
      <c r="E241" t="inlineStr">
        <is>
          <t>LEKSAND</t>
        </is>
      </c>
      <c r="G241" t="n">
        <v>1.2</v>
      </c>
      <c r="H241" t="n">
        <v>0</v>
      </c>
      <c r="I241" t="n">
        <v>0</v>
      </c>
      <c r="J241" t="n">
        <v>0</v>
      </c>
      <c r="K241" t="n">
        <v>0</v>
      </c>
      <c r="L241" t="n">
        <v>0</v>
      </c>
      <c r="M241" t="n">
        <v>0</v>
      </c>
      <c r="N241" t="n">
        <v>0</v>
      </c>
      <c r="O241" t="n">
        <v>0</v>
      </c>
      <c r="P241" t="n">
        <v>0</v>
      </c>
      <c r="Q241" t="n">
        <v>0</v>
      </c>
      <c r="R241" s="2" t="inlineStr"/>
    </row>
    <row r="242" ht="15" customHeight="1">
      <c r="A242" t="inlineStr">
        <is>
          <t>A 5574-2024</t>
        </is>
      </c>
      <c r="B242" s="1" t="n">
        <v>45334</v>
      </c>
      <c r="C242" s="1" t="n">
        <v>45931</v>
      </c>
      <c r="D242" t="inlineStr">
        <is>
          <t>DALARNAS LÄN</t>
        </is>
      </c>
      <c r="E242" t="inlineStr">
        <is>
          <t>LEKSAND</t>
        </is>
      </c>
      <c r="G242" t="n">
        <v>0.4</v>
      </c>
      <c r="H242" t="n">
        <v>0</v>
      </c>
      <c r="I242" t="n">
        <v>0</v>
      </c>
      <c r="J242" t="n">
        <v>0</v>
      </c>
      <c r="K242" t="n">
        <v>0</v>
      </c>
      <c r="L242" t="n">
        <v>0</v>
      </c>
      <c r="M242" t="n">
        <v>0</v>
      </c>
      <c r="N242" t="n">
        <v>0</v>
      </c>
      <c r="O242" t="n">
        <v>0</v>
      </c>
      <c r="P242" t="n">
        <v>0</v>
      </c>
      <c r="Q242" t="n">
        <v>0</v>
      </c>
      <c r="R242" s="2" t="inlineStr"/>
    </row>
    <row r="243" ht="15" customHeight="1">
      <c r="A243" t="inlineStr">
        <is>
          <t>A 471-2025</t>
        </is>
      </c>
      <c r="B243" s="1" t="n">
        <v>45664.43394675926</v>
      </c>
      <c r="C243" s="1" t="n">
        <v>45931</v>
      </c>
      <c r="D243" t="inlineStr">
        <is>
          <t>DALARNAS LÄN</t>
        </is>
      </c>
      <c r="E243" t="inlineStr">
        <is>
          <t>LEKSAND</t>
        </is>
      </c>
      <c r="G243" t="n">
        <v>1.3</v>
      </c>
      <c r="H243" t="n">
        <v>0</v>
      </c>
      <c r="I243" t="n">
        <v>0</v>
      </c>
      <c r="J243" t="n">
        <v>0</v>
      </c>
      <c r="K243" t="n">
        <v>0</v>
      </c>
      <c r="L243" t="n">
        <v>0</v>
      </c>
      <c r="M243" t="n">
        <v>0</v>
      </c>
      <c r="N243" t="n">
        <v>0</v>
      </c>
      <c r="O243" t="n">
        <v>0</v>
      </c>
      <c r="P243" t="n">
        <v>0</v>
      </c>
      <c r="Q243" t="n">
        <v>0</v>
      </c>
      <c r="R243" s="2" t="inlineStr"/>
    </row>
    <row r="244" ht="15" customHeight="1">
      <c r="A244" t="inlineStr">
        <is>
          <t>A 45512-2023</t>
        </is>
      </c>
      <c r="B244" s="1" t="n">
        <v>45194.49178240741</v>
      </c>
      <c r="C244" s="1" t="n">
        <v>45931</v>
      </c>
      <c r="D244" t="inlineStr">
        <is>
          <t>DALARNAS LÄN</t>
        </is>
      </c>
      <c r="E244" t="inlineStr">
        <is>
          <t>LEKSAND</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402-2024</t>
        </is>
      </c>
      <c r="B245" s="1" t="n">
        <v>45296.45545138889</v>
      </c>
      <c r="C245" s="1" t="n">
        <v>45931</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30204-2024</t>
        </is>
      </c>
      <c r="B246" s="1" t="n">
        <v>45490.35402777778</v>
      </c>
      <c r="C246" s="1" t="n">
        <v>45931</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11128-2023</t>
        </is>
      </c>
      <c r="B247" s="1" t="n">
        <v>44992</v>
      </c>
      <c r="C247" s="1" t="n">
        <v>45931</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11218-2023</t>
        </is>
      </c>
      <c r="B248" s="1" t="n">
        <v>44992.62401620371</v>
      </c>
      <c r="C248" s="1" t="n">
        <v>45931</v>
      </c>
      <c r="D248" t="inlineStr">
        <is>
          <t>DALARNAS LÄN</t>
        </is>
      </c>
      <c r="E248" t="inlineStr">
        <is>
          <t>LEKSAND</t>
        </is>
      </c>
      <c r="G248" t="n">
        <v>2.6</v>
      </c>
      <c r="H248" t="n">
        <v>0</v>
      </c>
      <c r="I248" t="n">
        <v>0</v>
      </c>
      <c r="J248" t="n">
        <v>0</v>
      </c>
      <c r="K248" t="n">
        <v>0</v>
      </c>
      <c r="L248" t="n">
        <v>0</v>
      </c>
      <c r="M248" t="n">
        <v>0</v>
      </c>
      <c r="N248" t="n">
        <v>0</v>
      </c>
      <c r="O248" t="n">
        <v>0</v>
      </c>
      <c r="P248" t="n">
        <v>0</v>
      </c>
      <c r="Q248" t="n">
        <v>0</v>
      </c>
      <c r="R248" s="2" t="inlineStr"/>
    </row>
    <row r="249" ht="15" customHeight="1">
      <c r="A249" t="inlineStr">
        <is>
          <t>A 60024-2023</t>
        </is>
      </c>
      <c r="B249" s="1" t="n">
        <v>45258</v>
      </c>
      <c r="C249" s="1" t="n">
        <v>45931</v>
      </c>
      <c r="D249" t="inlineStr">
        <is>
          <t>DALARNAS LÄN</t>
        </is>
      </c>
      <c r="E249" t="inlineStr">
        <is>
          <t>LEKSAND</t>
        </is>
      </c>
      <c r="G249" t="n">
        <v>4.2</v>
      </c>
      <c r="H249" t="n">
        <v>0</v>
      </c>
      <c r="I249" t="n">
        <v>0</v>
      </c>
      <c r="J249" t="n">
        <v>0</v>
      </c>
      <c r="K249" t="n">
        <v>0</v>
      </c>
      <c r="L249" t="n">
        <v>0</v>
      </c>
      <c r="M249" t="n">
        <v>0</v>
      </c>
      <c r="N249" t="n">
        <v>0</v>
      </c>
      <c r="O249" t="n">
        <v>0</v>
      </c>
      <c r="P249" t="n">
        <v>0</v>
      </c>
      <c r="Q249" t="n">
        <v>0</v>
      </c>
      <c r="R249" s="2" t="inlineStr"/>
    </row>
    <row r="250" ht="15" customHeight="1">
      <c r="A250" t="inlineStr">
        <is>
          <t>A 19618-2024</t>
        </is>
      </c>
      <c r="B250" s="1" t="n">
        <v>45432.32896990741</v>
      </c>
      <c r="C250" s="1" t="n">
        <v>45931</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11859-2024</t>
        </is>
      </c>
      <c r="B251" s="1" t="n">
        <v>45376.44569444445</v>
      </c>
      <c r="C251" s="1" t="n">
        <v>45931</v>
      </c>
      <c r="D251" t="inlineStr">
        <is>
          <t>DALARNAS LÄN</t>
        </is>
      </c>
      <c r="E251" t="inlineStr">
        <is>
          <t>LEKSAND</t>
        </is>
      </c>
      <c r="G251" t="n">
        <v>2.1</v>
      </c>
      <c r="H251" t="n">
        <v>0</v>
      </c>
      <c r="I251" t="n">
        <v>0</v>
      </c>
      <c r="J251" t="n">
        <v>0</v>
      </c>
      <c r="K251" t="n">
        <v>0</v>
      </c>
      <c r="L251" t="n">
        <v>0</v>
      </c>
      <c r="M251" t="n">
        <v>0</v>
      </c>
      <c r="N251" t="n">
        <v>0</v>
      </c>
      <c r="O251" t="n">
        <v>0</v>
      </c>
      <c r="P251" t="n">
        <v>0</v>
      </c>
      <c r="Q251" t="n">
        <v>0</v>
      </c>
      <c r="R251" s="2" t="inlineStr"/>
    </row>
    <row r="252" ht="15" customHeight="1">
      <c r="A252" t="inlineStr">
        <is>
          <t>A 7778-2025</t>
        </is>
      </c>
      <c r="B252" s="1" t="n">
        <v>45706</v>
      </c>
      <c r="C252" s="1" t="n">
        <v>45931</v>
      </c>
      <c r="D252" t="inlineStr">
        <is>
          <t>DALARNAS LÄN</t>
        </is>
      </c>
      <c r="E252" t="inlineStr">
        <is>
          <t>LEKSAND</t>
        </is>
      </c>
      <c r="G252" t="n">
        <v>2.2</v>
      </c>
      <c r="H252" t="n">
        <v>0</v>
      </c>
      <c r="I252" t="n">
        <v>0</v>
      </c>
      <c r="J252" t="n">
        <v>0</v>
      </c>
      <c r="K252" t="n">
        <v>0</v>
      </c>
      <c r="L252" t="n">
        <v>0</v>
      </c>
      <c r="M252" t="n">
        <v>0</v>
      </c>
      <c r="N252" t="n">
        <v>0</v>
      </c>
      <c r="O252" t="n">
        <v>0</v>
      </c>
      <c r="P252" t="n">
        <v>0</v>
      </c>
      <c r="Q252" t="n">
        <v>0</v>
      </c>
      <c r="R252" s="2" t="inlineStr"/>
    </row>
    <row r="253" ht="15" customHeight="1">
      <c r="A253" t="inlineStr">
        <is>
          <t>A 23283-2024</t>
        </is>
      </c>
      <c r="B253" s="1" t="n">
        <v>45453</v>
      </c>
      <c r="C253" s="1" t="n">
        <v>45931</v>
      </c>
      <c r="D253" t="inlineStr">
        <is>
          <t>DALARNAS LÄN</t>
        </is>
      </c>
      <c r="E253" t="inlineStr">
        <is>
          <t>LEKSAND</t>
        </is>
      </c>
      <c r="G253" t="n">
        <v>0.9</v>
      </c>
      <c r="H253" t="n">
        <v>0</v>
      </c>
      <c r="I253" t="n">
        <v>0</v>
      </c>
      <c r="J253" t="n">
        <v>0</v>
      </c>
      <c r="K253" t="n">
        <v>0</v>
      </c>
      <c r="L253" t="n">
        <v>0</v>
      </c>
      <c r="M253" t="n">
        <v>0</v>
      </c>
      <c r="N253" t="n">
        <v>0</v>
      </c>
      <c r="O253" t="n">
        <v>0</v>
      </c>
      <c r="P253" t="n">
        <v>0</v>
      </c>
      <c r="Q253" t="n">
        <v>0</v>
      </c>
      <c r="R253" s="2" t="inlineStr"/>
    </row>
    <row r="254" ht="15" customHeight="1">
      <c r="A254" t="inlineStr">
        <is>
          <t>A 62133-2023</t>
        </is>
      </c>
      <c r="B254" s="1" t="n">
        <v>45267.35582175926</v>
      </c>
      <c r="C254" s="1" t="n">
        <v>45931</v>
      </c>
      <c r="D254" t="inlineStr">
        <is>
          <t>DALARNAS LÄN</t>
        </is>
      </c>
      <c r="E254" t="inlineStr">
        <is>
          <t>LEKSAND</t>
        </is>
      </c>
      <c r="G254" t="n">
        <v>1.3</v>
      </c>
      <c r="H254" t="n">
        <v>0</v>
      </c>
      <c r="I254" t="n">
        <v>0</v>
      </c>
      <c r="J254" t="n">
        <v>0</v>
      </c>
      <c r="K254" t="n">
        <v>0</v>
      </c>
      <c r="L254" t="n">
        <v>0</v>
      </c>
      <c r="M254" t="n">
        <v>0</v>
      </c>
      <c r="N254" t="n">
        <v>0</v>
      </c>
      <c r="O254" t="n">
        <v>0</v>
      </c>
      <c r="P254" t="n">
        <v>0</v>
      </c>
      <c r="Q254" t="n">
        <v>0</v>
      </c>
      <c r="R254" s="2" t="inlineStr"/>
    </row>
    <row r="255" ht="15" customHeight="1">
      <c r="A255" t="inlineStr">
        <is>
          <t>A 58495-2023</t>
        </is>
      </c>
      <c r="B255" s="1" t="n">
        <v>45251</v>
      </c>
      <c r="C255" s="1" t="n">
        <v>45931</v>
      </c>
      <c r="D255" t="inlineStr">
        <is>
          <t>DALARNAS LÄN</t>
        </is>
      </c>
      <c r="E255" t="inlineStr">
        <is>
          <t>LEKSAND</t>
        </is>
      </c>
      <c r="G255" t="n">
        <v>1.7</v>
      </c>
      <c r="H255" t="n">
        <v>0</v>
      </c>
      <c r="I255" t="n">
        <v>0</v>
      </c>
      <c r="J255" t="n">
        <v>0</v>
      </c>
      <c r="K255" t="n">
        <v>0</v>
      </c>
      <c r="L255" t="n">
        <v>0</v>
      </c>
      <c r="M255" t="n">
        <v>0</v>
      </c>
      <c r="N255" t="n">
        <v>0</v>
      </c>
      <c r="O255" t="n">
        <v>0</v>
      </c>
      <c r="P255" t="n">
        <v>0</v>
      </c>
      <c r="Q255" t="n">
        <v>0</v>
      </c>
      <c r="R255" s="2" t="inlineStr"/>
    </row>
    <row r="256" ht="15" customHeight="1">
      <c r="A256" t="inlineStr">
        <is>
          <t>A 46483-2025</t>
        </is>
      </c>
      <c r="B256" s="1" t="n">
        <v>45925.70248842592</v>
      </c>
      <c r="C256" s="1" t="n">
        <v>45931</v>
      </c>
      <c r="D256" t="inlineStr">
        <is>
          <t>DALARNAS LÄN</t>
        </is>
      </c>
      <c r="E256" t="inlineStr">
        <is>
          <t>LEKSAND</t>
        </is>
      </c>
      <c r="G256" t="n">
        <v>3.6</v>
      </c>
      <c r="H256" t="n">
        <v>0</v>
      </c>
      <c r="I256" t="n">
        <v>0</v>
      </c>
      <c r="J256" t="n">
        <v>0</v>
      </c>
      <c r="K256" t="n">
        <v>0</v>
      </c>
      <c r="L256" t="n">
        <v>0</v>
      </c>
      <c r="M256" t="n">
        <v>0</v>
      </c>
      <c r="N256" t="n">
        <v>0</v>
      </c>
      <c r="O256" t="n">
        <v>0</v>
      </c>
      <c r="P256" t="n">
        <v>0</v>
      </c>
      <c r="Q256" t="n">
        <v>0</v>
      </c>
      <c r="R256" s="2" t="inlineStr"/>
    </row>
    <row r="257" ht="15" customHeight="1">
      <c r="A257" t="inlineStr">
        <is>
          <t>A 6039-2023</t>
        </is>
      </c>
      <c r="B257" s="1" t="n">
        <v>44959</v>
      </c>
      <c r="C257" s="1" t="n">
        <v>45931</v>
      </c>
      <c r="D257" t="inlineStr">
        <is>
          <t>DALARNAS LÄN</t>
        </is>
      </c>
      <c r="E257" t="inlineStr">
        <is>
          <t>LEKSAND</t>
        </is>
      </c>
      <c r="G257" t="n">
        <v>1.3</v>
      </c>
      <c r="H257" t="n">
        <v>0</v>
      </c>
      <c r="I257" t="n">
        <v>0</v>
      </c>
      <c r="J257" t="n">
        <v>0</v>
      </c>
      <c r="K257" t="n">
        <v>0</v>
      </c>
      <c r="L257" t="n">
        <v>0</v>
      </c>
      <c r="M257" t="n">
        <v>0</v>
      </c>
      <c r="N257" t="n">
        <v>0</v>
      </c>
      <c r="O257" t="n">
        <v>0</v>
      </c>
      <c r="P257" t="n">
        <v>0</v>
      </c>
      <c r="Q257" t="n">
        <v>0</v>
      </c>
      <c r="R257" s="2" t="inlineStr"/>
    </row>
    <row r="258" ht="15" customHeight="1">
      <c r="A258" t="inlineStr">
        <is>
          <t>A 47121-2021</t>
        </is>
      </c>
      <c r="B258" s="1" t="n">
        <v>44446</v>
      </c>
      <c r="C258" s="1" t="n">
        <v>45931</v>
      </c>
      <c r="D258" t="inlineStr">
        <is>
          <t>DALARNAS LÄN</t>
        </is>
      </c>
      <c r="E258" t="inlineStr">
        <is>
          <t>LEKSAND</t>
        </is>
      </c>
      <c r="G258" t="n">
        <v>3.5</v>
      </c>
      <c r="H258" t="n">
        <v>0</v>
      </c>
      <c r="I258" t="n">
        <v>0</v>
      </c>
      <c r="J258" t="n">
        <v>0</v>
      </c>
      <c r="K258" t="n">
        <v>0</v>
      </c>
      <c r="L258" t="n">
        <v>0</v>
      </c>
      <c r="M258" t="n">
        <v>0</v>
      </c>
      <c r="N258" t="n">
        <v>0</v>
      </c>
      <c r="O258" t="n">
        <v>0</v>
      </c>
      <c r="P258" t="n">
        <v>0</v>
      </c>
      <c r="Q258" t="n">
        <v>0</v>
      </c>
      <c r="R258" s="2" t="inlineStr"/>
    </row>
    <row r="259" ht="15" customHeight="1">
      <c r="A259" t="inlineStr">
        <is>
          <t>A 32688-2024</t>
        </is>
      </c>
      <c r="B259" s="1" t="n">
        <v>45515.83091435185</v>
      </c>
      <c r="C259" s="1" t="n">
        <v>45931</v>
      </c>
      <c r="D259" t="inlineStr">
        <is>
          <t>DALARNAS LÄN</t>
        </is>
      </c>
      <c r="E259" t="inlineStr">
        <is>
          <t>LEKSAND</t>
        </is>
      </c>
      <c r="G259" t="n">
        <v>1.3</v>
      </c>
      <c r="H259" t="n">
        <v>0</v>
      </c>
      <c r="I259" t="n">
        <v>0</v>
      </c>
      <c r="J259" t="n">
        <v>0</v>
      </c>
      <c r="K259" t="n">
        <v>0</v>
      </c>
      <c r="L259" t="n">
        <v>0</v>
      </c>
      <c r="M259" t="n">
        <v>0</v>
      </c>
      <c r="N259" t="n">
        <v>0</v>
      </c>
      <c r="O259" t="n">
        <v>0</v>
      </c>
      <c r="P259" t="n">
        <v>0</v>
      </c>
      <c r="Q259" t="n">
        <v>0</v>
      </c>
      <c r="R259" s="2" t="inlineStr"/>
    </row>
    <row r="260" ht="15" customHeight="1">
      <c r="A260" t="inlineStr">
        <is>
          <t>A 22517-2024</t>
        </is>
      </c>
      <c r="B260" s="1" t="n">
        <v>45447.40143518519</v>
      </c>
      <c r="C260" s="1" t="n">
        <v>45931</v>
      </c>
      <c r="D260" t="inlineStr">
        <is>
          <t>DALARNAS LÄN</t>
        </is>
      </c>
      <c r="E260" t="inlineStr">
        <is>
          <t>LEKSAND</t>
        </is>
      </c>
      <c r="G260" t="n">
        <v>0.4</v>
      </c>
      <c r="H260" t="n">
        <v>0</v>
      </c>
      <c r="I260" t="n">
        <v>0</v>
      </c>
      <c r="J260" t="n">
        <v>0</v>
      </c>
      <c r="K260" t="n">
        <v>0</v>
      </c>
      <c r="L260" t="n">
        <v>0</v>
      </c>
      <c r="M260" t="n">
        <v>0</v>
      </c>
      <c r="N260" t="n">
        <v>0</v>
      </c>
      <c r="O260" t="n">
        <v>0</v>
      </c>
      <c r="P260" t="n">
        <v>0</v>
      </c>
      <c r="Q260" t="n">
        <v>0</v>
      </c>
      <c r="R260" s="2" t="inlineStr"/>
    </row>
    <row r="261" ht="15" customHeight="1">
      <c r="A261" t="inlineStr">
        <is>
          <t>A 19590-2023</t>
        </is>
      </c>
      <c r="B261" s="1" t="n">
        <v>45049</v>
      </c>
      <c r="C261" s="1" t="n">
        <v>45931</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39807-2024</t>
        </is>
      </c>
      <c r="B262" s="1" t="n">
        <v>45553.35763888889</v>
      </c>
      <c r="C262" s="1" t="n">
        <v>45931</v>
      </c>
      <c r="D262" t="inlineStr">
        <is>
          <t>DALARNAS LÄN</t>
        </is>
      </c>
      <c r="E262" t="inlineStr">
        <is>
          <t>LEKSAND</t>
        </is>
      </c>
      <c r="F262" t="inlineStr">
        <is>
          <t>Bergvik skog väst AB</t>
        </is>
      </c>
      <c r="G262" t="n">
        <v>1.2</v>
      </c>
      <c r="H262" t="n">
        <v>0</v>
      </c>
      <c r="I262" t="n">
        <v>0</v>
      </c>
      <c r="J262" t="n">
        <v>0</v>
      </c>
      <c r="K262" t="n">
        <v>0</v>
      </c>
      <c r="L262" t="n">
        <v>0</v>
      </c>
      <c r="M262" t="n">
        <v>0</v>
      </c>
      <c r="N262" t="n">
        <v>0</v>
      </c>
      <c r="O262" t="n">
        <v>0</v>
      </c>
      <c r="P262" t="n">
        <v>0</v>
      </c>
      <c r="Q262" t="n">
        <v>0</v>
      </c>
      <c r="R262" s="2" t="inlineStr"/>
    </row>
    <row r="263" ht="15" customHeight="1">
      <c r="A263" t="inlineStr">
        <is>
          <t>A 52801-2023</t>
        </is>
      </c>
      <c r="B263" s="1" t="n">
        <v>45219</v>
      </c>
      <c r="C263" s="1" t="n">
        <v>45931</v>
      </c>
      <c r="D263" t="inlineStr">
        <is>
          <t>DALARNAS LÄN</t>
        </is>
      </c>
      <c r="E263" t="inlineStr">
        <is>
          <t>LEKSAND</t>
        </is>
      </c>
      <c r="G263" t="n">
        <v>4.9</v>
      </c>
      <c r="H263" t="n">
        <v>0</v>
      </c>
      <c r="I263" t="n">
        <v>0</v>
      </c>
      <c r="J263" t="n">
        <v>0</v>
      </c>
      <c r="K263" t="n">
        <v>0</v>
      </c>
      <c r="L263" t="n">
        <v>0</v>
      </c>
      <c r="M263" t="n">
        <v>0</v>
      </c>
      <c r="N263" t="n">
        <v>0</v>
      </c>
      <c r="O263" t="n">
        <v>0</v>
      </c>
      <c r="P263" t="n">
        <v>0</v>
      </c>
      <c r="Q263" t="n">
        <v>0</v>
      </c>
      <c r="R263" s="2" t="inlineStr"/>
    </row>
    <row r="264" ht="15" customHeight="1">
      <c r="A264" t="inlineStr">
        <is>
          <t>A 45768-2023</t>
        </is>
      </c>
      <c r="B264" s="1" t="n">
        <v>45195</v>
      </c>
      <c r="C264" s="1" t="n">
        <v>45931</v>
      </c>
      <c r="D264" t="inlineStr">
        <is>
          <t>DALARNAS LÄN</t>
        </is>
      </c>
      <c r="E264" t="inlineStr">
        <is>
          <t>LEKSAND</t>
        </is>
      </c>
      <c r="G264" t="n">
        <v>0.4</v>
      </c>
      <c r="H264" t="n">
        <v>0</v>
      </c>
      <c r="I264" t="n">
        <v>0</v>
      </c>
      <c r="J264" t="n">
        <v>0</v>
      </c>
      <c r="K264" t="n">
        <v>0</v>
      </c>
      <c r="L264" t="n">
        <v>0</v>
      </c>
      <c r="M264" t="n">
        <v>0</v>
      </c>
      <c r="N264" t="n">
        <v>0</v>
      </c>
      <c r="O264" t="n">
        <v>0</v>
      </c>
      <c r="P264" t="n">
        <v>0</v>
      </c>
      <c r="Q264" t="n">
        <v>0</v>
      </c>
      <c r="R264" s="2" t="inlineStr"/>
    </row>
    <row r="265" ht="15" customHeight="1">
      <c r="A265" t="inlineStr">
        <is>
          <t>A 31850-2024</t>
        </is>
      </c>
      <c r="B265" s="1" t="n">
        <v>45509.67334490741</v>
      </c>
      <c r="C265" s="1" t="n">
        <v>45931</v>
      </c>
      <c r="D265" t="inlineStr">
        <is>
          <t>DALARNAS LÄN</t>
        </is>
      </c>
      <c r="E265" t="inlineStr">
        <is>
          <t>LEKSAND</t>
        </is>
      </c>
      <c r="G265" t="n">
        <v>0.5</v>
      </c>
      <c r="H265" t="n">
        <v>0</v>
      </c>
      <c r="I265" t="n">
        <v>0</v>
      </c>
      <c r="J265" t="n">
        <v>0</v>
      </c>
      <c r="K265" t="n">
        <v>0</v>
      </c>
      <c r="L265" t="n">
        <v>0</v>
      </c>
      <c r="M265" t="n">
        <v>0</v>
      </c>
      <c r="N265" t="n">
        <v>0</v>
      </c>
      <c r="O265" t="n">
        <v>0</v>
      </c>
      <c r="P265" t="n">
        <v>0</v>
      </c>
      <c r="Q265" t="n">
        <v>0</v>
      </c>
      <c r="R265" s="2" t="inlineStr"/>
    </row>
    <row r="266" ht="15" customHeight="1">
      <c r="A266" t="inlineStr">
        <is>
          <t>A 4121-2024</t>
        </is>
      </c>
      <c r="B266" s="1" t="n">
        <v>45323</v>
      </c>
      <c r="C266" s="1" t="n">
        <v>45931</v>
      </c>
      <c r="D266" t="inlineStr">
        <is>
          <t>DALARNAS LÄN</t>
        </is>
      </c>
      <c r="E266" t="inlineStr">
        <is>
          <t>LEKSAND</t>
        </is>
      </c>
      <c r="G266" t="n">
        <v>1.3</v>
      </c>
      <c r="H266" t="n">
        <v>0</v>
      </c>
      <c r="I266" t="n">
        <v>0</v>
      </c>
      <c r="J266" t="n">
        <v>0</v>
      </c>
      <c r="K266" t="n">
        <v>0</v>
      </c>
      <c r="L266" t="n">
        <v>0</v>
      </c>
      <c r="M266" t="n">
        <v>0</v>
      </c>
      <c r="N266" t="n">
        <v>0</v>
      </c>
      <c r="O266" t="n">
        <v>0</v>
      </c>
      <c r="P266" t="n">
        <v>0</v>
      </c>
      <c r="Q266" t="n">
        <v>0</v>
      </c>
      <c r="R266" s="2" t="inlineStr"/>
    </row>
    <row r="267" ht="15" customHeight="1">
      <c r="A267" t="inlineStr">
        <is>
          <t>A 41306-2024</t>
        </is>
      </c>
      <c r="B267" s="1" t="n">
        <v>45559.62550925926</v>
      </c>
      <c r="C267" s="1" t="n">
        <v>45931</v>
      </c>
      <c r="D267" t="inlineStr">
        <is>
          <t>DALARNAS LÄN</t>
        </is>
      </c>
      <c r="E267" t="inlineStr">
        <is>
          <t>LEKSAND</t>
        </is>
      </c>
      <c r="G267" t="n">
        <v>0.5</v>
      </c>
      <c r="H267" t="n">
        <v>0</v>
      </c>
      <c r="I267" t="n">
        <v>0</v>
      </c>
      <c r="J267" t="n">
        <v>0</v>
      </c>
      <c r="K267" t="n">
        <v>0</v>
      </c>
      <c r="L267" t="n">
        <v>0</v>
      </c>
      <c r="M267" t="n">
        <v>0</v>
      </c>
      <c r="N267" t="n">
        <v>0</v>
      </c>
      <c r="O267" t="n">
        <v>0</v>
      </c>
      <c r="P267" t="n">
        <v>0</v>
      </c>
      <c r="Q267" t="n">
        <v>0</v>
      </c>
      <c r="R267" s="2" t="inlineStr"/>
    </row>
    <row r="268" ht="15" customHeight="1">
      <c r="A268" t="inlineStr">
        <is>
          <t>A 11277-2025</t>
        </is>
      </c>
      <c r="B268" s="1" t="n">
        <v>45726.41565972222</v>
      </c>
      <c r="C268" s="1" t="n">
        <v>45931</v>
      </c>
      <c r="D268" t="inlineStr">
        <is>
          <t>DALARNAS LÄN</t>
        </is>
      </c>
      <c r="E268" t="inlineStr">
        <is>
          <t>LEKSAND</t>
        </is>
      </c>
      <c r="G268" t="n">
        <v>2</v>
      </c>
      <c r="H268" t="n">
        <v>0</v>
      </c>
      <c r="I268" t="n">
        <v>0</v>
      </c>
      <c r="J268" t="n">
        <v>0</v>
      </c>
      <c r="K268" t="n">
        <v>0</v>
      </c>
      <c r="L268" t="n">
        <v>0</v>
      </c>
      <c r="M268" t="n">
        <v>0</v>
      </c>
      <c r="N268" t="n">
        <v>0</v>
      </c>
      <c r="O268" t="n">
        <v>0</v>
      </c>
      <c r="P268" t="n">
        <v>0</v>
      </c>
      <c r="Q268" t="n">
        <v>0</v>
      </c>
      <c r="R268" s="2" t="inlineStr"/>
    </row>
    <row r="269" ht="15" customHeight="1">
      <c r="A269" t="inlineStr">
        <is>
          <t>A 36450-2023</t>
        </is>
      </c>
      <c r="B269" s="1" t="n">
        <v>45152.64842592592</v>
      </c>
      <c r="C269" s="1" t="n">
        <v>45931</v>
      </c>
      <c r="D269" t="inlineStr">
        <is>
          <t>DALARNAS LÄN</t>
        </is>
      </c>
      <c r="E269" t="inlineStr">
        <is>
          <t>LEKSAND</t>
        </is>
      </c>
      <c r="G269" t="n">
        <v>2.4</v>
      </c>
      <c r="H269" t="n">
        <v>0</v>
      </c>
      <c r="I269" t="n">
        <v>0</v>
      </c>
      <c r="J269" t="n">
        <v>0</v>
      </c>
      <c r="K269" t="n">
        <v>0</v>
      </c>
      <c r="L269" t="n">
        <v>0</v>
      </c>
      <c r="M269" t="n">
        <v>0</v>
      </c>
      <c r="N269" t="n">
        <v>0</v>
      </c>
      <c r="O269" t="n">
        <v>0</v>
      </c>
      <c r="P269" t="n">
        <v>0</v>
      </c>
      <c r="Q269" t="n">
        <v>0</v>
      </c>
      <c r="R269" s="2" t="inlineStr"/>
    </row>
    <row r="270" ht="15" customHeight="1">
      <c r="A270" t="inlineStr">
        <is>
          <t>A 325-2023</t>
        </is>
      </c>
      <c r="B270" s="1" t="n">
        <v>44929</v>
      </c>
      <c r="C270" s="1" t="n">
        <v>45931</v>
      </c>
      <c r="D270" t="inlineStr">
        <is>
          <t>DALARNAS LÄN</t>
        </is>
      </c>
      <c r="E270" t="inlineStr">
        <is>
          <t>LEKSAND</t>
        </is>
      </c>
      <c r="F270" t="inlineStr">
        <is>
          <t>Övriga Aktiebolag</t>
        </is>
      </c>
      <c r="G270" t="n">
        <v>7.1</v>
      </c>
      <c r="H270" t="n">
        <v>0</v>
      </c>
      <c r="I270" t="n">
        <v>0</v>
      </c>
      <c r="J270" t="n">
        <v>0</v>
      </c>
      <c r="K270" t="n">
        <v>0</v>
      </c>
      <c r="L270" t="n">
        <v>0</v>
      </c>
      <c r="M270" t="n">
        <v>0</v>
      </c>
      <c r="N270" t="n">
        <v>0</v>
      </c>
      <c r="O270" t="n">
        <v>0</v>
      </c>
      <c r="P270" t="n">
        <v>0</v>
      </c>
      <c r="Q270" t="n">
        <v>0</v>
      </c>
      <c r="R270" s="2" t="inlineStr"/>
    </row>
    <row r="271" ht="15" customHeight="1">
      <c r="A271" t="inlineStr">
        <is>
          <t>A 72575-2021</t>
        </is>
      </c>
      <c r="B271" s="1" t="n">
        <v>44546</v>
      </c>
      <c r="C271" s="1" t="n">
        <v>45931</v>
      </c>
      <c r="D271" t="inlineStr">
        <is>
          <t>DALARNAS LÄN</t>
        </is>
      </c>
      <c r="E271" t="inlineStr">
        <is>
          <t>LEKSAND</t>
        </is>
      </c>
      <c r="G271" t="n">
        <v>0.7</v>
      </c>
      <c r="H271" t="n">
        <v>0</v>
      </c>
      <c r="I271" t="n">
        <v>0</v>
      </c>
      <c r="J271" t="n">
        <v>0</v>
      </c>
      <c r="K271" t="n">
        <v>0</v>
      </c>
      <c r="L271" t="n">
        <v>0</v>
      </c>
      <c r="M271" t="n">
        <v>0</v>
      </c>
      <c r="N271" t="n">
        <v>0</v>
      </c>
      <c r="O271" t="n">
        <v>0</v>
      </c>
      <c r="P271" t="n">
        <v>0</v>
      </c>
      <c r="Q271" t="n">
        <v>0</v>
      </c>
      <c r="R271" s="2" t="inlineStr"/>
    </row>
    <row r="272" ht="15" customHeight="1">
      <c r="A272" t="inlineStr">
        <is>
          <t>A 72581-2021</t>
        </is>
      </c>
      <c r="B272" s="1" t="n">
        <v>44546.46354166666</v>
      </c>
      <c r="C272" s="1" t="n">
        <v>45931</v>
      </c>
      <c r="D272" t="inlineStr">
        <is>
          <t>DALARNAS LÄN</t>
        </is>
      </c>
      <c r="E272" t="inlineStr">
        <is>
          <t>LEKSAND</t>
        </is>
      </c>
      <c r="G272" t="n">
        <v>0.6</v>
      </c>
      <c r="H272" t="n">
        <v>0</v>
      </c>
      <c r="I272" t="n">
        <v>0</v>
      </c>
      <c r="J272" t="n">
        <v>0</v>
      </c>
      <c r="K272" t="n">
        <v>0</v>
      </c>
      <c r="L272" t="n">
        <v>0</v>
      </c>
      <c r="M272" t="n">
        <v>0</v>
      </c>
      <c r="N272" t="n">
        <v>0</v>
      </c>
      <c r="O272" t="n">
        <v>0</v>
      </c>
      <c r="P272" t="n">
        <v>0</v>
      </c>
      <c r="Q272" t="n">
        <v>0</v>
      </c>
      <c r="R272" s="2" t="inlineStr"/>
    </row>
    <row r="273" ht="15" customHeight="1">
      <c r="A273" t="inlineStr">
        <is>
          <t>A 1458-2024</t>
        </is>
      </c>
      <c r="B273" s="1" t="n">
        <v>45303</v>
      </c>
      <c r="C273" s="1" t="n">
        <v>45931</v>
      </c>
      <c r="D273" t="inlineStr">
        <is>
          <t>DALARNAS LÄN</t>
        </is>
      </c>
      <c r="E273" t="inlineStr">
        <is>
          <t>LEKSAND</t>
        </is>
      </c>
      <c r="G273" t="n">
        <v>2</v>
      </c>
      <c r="H273" t="n">
        <v>0</v>
      </c>
      <c r="I273" t="n">
        <v>0</v>
      </c>
      <c r="J273" t="n">
        <v>0</v>
      </c>
      <c r="K273" t="n">
        <v>0</v>
      </c>
      <c r="L273" t="n">
        <v>0</v>
      </c>
      <c r="M273" t="n">
        <v>0</v>
      </c>
      <c r="N273" t="n">
        <v>0</v>
      </c>
      <c r="O273" t="n">
        <v>0</v>
      </c>
      <c r="P273" t="n">
        <v>0</v>
      </c>
      <c r="Q273" t="n">
        <v>0</v>
      </c>
      <c r="R273" s="2" t="inlineStr"/>
    </row>
    <row r="274" ht="15" customHeight="1">
      <c r="A274" t="inlineStr">
        <is>
          <t>A 1461-2024</t>
        </is>
      </c>
      <c r="B274" s="1" t="n">
        <v>45303</v>
      </c>
      <c r="C274" s="1" t="n">
        <v>45931</v>
      </c>
      <c r="D274" t="inlineStr">
        <is>
          <t>DALARNAS LÄN</t>
        </is>
      </c>
      <c r="E274" t="inlineStr">
        <is>
          <t>LEKSAND</t>
        </is>
      </c>
      <c r="G274" t="n">
        <v>2.4</v>
      </c>
      <c r="H274" t="n">
        <v>0</v>
      </c>
      <c r="I274" t="n">
        <v>0</v>
      </c>
      <c r="J274" t="n">
        <v>0</v>
      </c>
      <c r="K274" t="n">
        <v>0</v>
      </c>
      <c r="L274" t="n">
        <v>0</v>
      </c>
      <c r="M274" t="n">
        <v>0</v>
      </c>
      <c r="N274" t="n">
        <v>0</v>
      </c>
      <c r="O274" t="n">
        <v>0</v>
      </c>
      <c r="P274" t="n">
        <v>0</v>
      </c>
      <c r="Q274" t="n">
        <v>0</v>
      </c>
      <c r="R274" s="2" t="inlineStr"/>
    </row>
    <row r="275" ht="15" customHeight="1">
      <c r="A275" t="inlineStr">
        <is>
          <t>A 11678-2025</t>
        </is>
      </c>
      <c r="B275" s="1" t="n">
        <v>45726</v>
      </c>
      <c r="C275" s="1" t="n">
        <v>45931</v>
      </c>
      <c r="D275" t="inlineStr">
        <is>
          <t>DALARNAS LÄN</t>
        </is>
      </c>
      <c r="E275" t="inlineStr">
        <is>
          <t>LEKSAND</t>
        </is>
      </c>
      <c r="G275" t="n">
        <v>9.4</v>
      </c>
      <c r="H275" t="n">
        <v>0</v>
      </c>
      <c r="I275" t="n">
        <v>0</v>
      </c>
      <c r="J275" t="n">
        <v>0</v>
      </c>
      <c r="K275" t="n">
        <v>0</v>
      </c>
      <c r="L275" t="n">
        <v>0</v>
      </c>
      <c r="M275" t="n">
        <v>0</v>
      </c>
      <c r="N275" t="n">
        <v>0</v>
      </c>
      <c r="O275" t="n">
        <v>0</v>
      </c>
      <c r="P275" t="n">
        <v>0</v>
      </c>
      <c r="Q275" t="n">
        <v>0</v>
      </c>
      <c r="R275" s="2" t="inlineStr"/>
    </row>
    <row r="276" ht="15" customHeight="1">
      <c r="A276" t="inlineStr">
        <is>
          <t>A 3737-2023</t>
        </is>
      </c>
      <c r="B276" s="1" t="n">
        <v>44951.42983796296</v>
      </c>
      <c r="C276" s="1" t="n">
        <v>45931</v>
      </c>
      <c r="D276" t="inlineStr">
        <is>
          <t>DALARNAS LÄN</t>
        </is>
      </c>
      <c r="E276" t="inlineStr">
        <is>
          <t>LEKSAND</t>
        </is>
      </c>
      <c r="G276" t="n">
        <v>3.1</v>
      </c>
      <c r="H276" t="n">
        <v>0</v>
      </c>
      <c r="I276" t="n">
        <v>0</v>
      </c>
      <c r="J276" t="n">
        <v>0</v>
      </c>
      <c r="K276" t="n">
        <v>0</v>
      </c>
      <c r="L276" t="n">
        <v>0</v>
      </c>
      <c r="M276" t="n">
        <v>0</v>
      </c>
      <c r="N276" t="n">
        <v>0</v>
      </c>
      <c r="O276" t="n">
        <v>0</v>
      </c>
      <c r="P276" t="n">
        <v>0</v>
      </c>
      <c r="Q276" t="n">
        <v>0</v>
      </c>
      <c r="R276" s="2" t="inlineStr"/>
    </row>
    <row r="277" ht="15" customHeight="1">
      <c r="A277" t="inlineStr">
        <is>
          <t>A 61614-2023</t>
        </is>
      </c>
      <c r="B277" s="1" t="n">
        <v>45261</v>
      </c>
      <c r="C277" s="1" t="n">
        <v>45931</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28630-2023</t>
        </is>
      </c>
      <c r="B278" s="1" t="n">
        <v>45103.61003472222</v>
      </c>
      <c r="C278" s="1" t="n">
        <v>45931</v>
      </c>
      <c r="D278" t="inlineStr">
        <is>
          <t>DALARNAS LÄN</t>
        </is>
      </c>
      <c r="E278" t="inlineStr">
        <is>
          <t>LEKSAND</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7759-2025</t>
        </is>
      </c>
      <c r="B279" s="1" t="n">
        <v>45706.53827546296</v>
      </c>
      <c r="C279" s="1" t="n">
        <v>45931</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26062-2024</t>
        </is>
      </c>
      <c r="B280" s="1" t="n">
        <v>45468.3509375</v>
      </c>
      <c r="C280" s="1" t="n">
        <v>45931</v>
      </c>
      <c r="D280" t="inlineStr">
        <is>
          <t>DALARNAS LÄN</t>
        </is>
      </c>
      <c r="E280" t="inlineStr">
        <is>
          <t>LEKSAND</t>
        </is>
      </c>
      <c r="F280" t="inlineStr">
        <is>
          <t>Övriga statliga verk och myndigheter</t>
        </is>
      </c>
      <c r="G280" t="n">
        <v>6.4</v>
      </c>
      <c r="H280" t="n">
        <v>0</v>
      </c>
      <c r="I280" t="n">
        <v>0</v>
      </c>
      <c r="J280" t="n">
        <v>0</v>
      </c>
      <c r="K280" t="n">
        <v>0</v>
      </c>
      <c r="L280" t="n">
        <v>0</v>
      </c>
      <c r="M280" t="n">
        <v>0</v>
      </c>
      <c r="N280" t="n">
        <v>0</v>
      </c>
      <c r="O280" t="n">
        <v>0</v>
      </c>
      <c r="P280" t="n">
        <v>0</v>
      </c>
      <c r="Q280" t="n">
        <v>0</v>
      </c>
      <c r="R280" s="2" t="inlineStr"/>
    </row>
    <row r="281" ht="15" customHeight="1">
      <c r="A281" t="inlineStr">
        <is>
          <t>A 34585-2024</t>
        </is>
      </c>
      <c r="B281" s="1" t="n">
        <v>45526.37697916666</v>
      </c>
      <c r="C281" s="1" t="n">
        <v>45931</v>
      </c>
      <c r="D281" t="inlineStr">
        <is>
          <t>DALARNAS LÄN</t>
        </is>
      </c>
      <c r="E281" t="inlineStr">
        <is>
          <t>LEKSAND</t>
        </is>
      </c>
      <c r="G281" t="n">
        <v>0.9</v>
      </c>
      <c r="H281" t="n">
        <v>0</v>
      </c>
      <c r="I281" t="n">
        <v>0</v>
      </c>
      <c r="J281" t="n">
        <v>0</v>
      </c>
      <c r="K281" t="n">
        <v>0</v>
      </c>
      <c r="L281" t="n">
        <v>0</v>
      </c>
      <c r="M281" t="n">
        <v>0</v>
      </c>
      <c r="N281" t="n">
        <v>0</v>
      </c>
      <c r="O281" t="n">
        <v>0</v>
      </c>
      <c r="P281" t="n">
        <v>0</v>
      </c>
      <c r="Q281" t="n">
        <v>0</v>
      </c>
      <c r="R281" s="2" t="inlineStr"/>
    </row>
    <row r="282" ht="15" customHeight="1">
      <c r="A282" t="inlineStr">
        <is>
          <t>A 38498-2025</t>
        </is>
      </c>
      <c r="B282" s="1" t="n">
        <v>45884.3706712963</v>
      </c>
      <c r="C282" s="1" t="n">
        <v>45931</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11678-2023</t>
        </is>
      </c>
      <c r="B283" s="1" t="n">
        <v>44994</v>
      </c>
      <c r="C283" s="1" t="n">
        <v>45931</v>
      </c>
      <c r="D283" t="inlineStr">
        <is>
          <t>DALARNAS LÄN</t>
        </is>
      </c>
      <c r="E283" t="inlineStr">
        <is>
          <t>LEKSAND</t>
        </is>
      </c>
      <c r="G283" t="n">
        <v>0.9</v>
      </c>
      <c r="H283" t="n">
        <v>0</v>
      </c>
      <c r="I283" t="n">
        <v>0</v>
      </c>
      <c r="J283" t="n">
        <v>0</v>
      </c>
      <c r="K283" t="n">
        <v>0</v>
      </c>
      <c r="L283" t="n">
        <v>0</v>
      </c>
      <c r="M283" t="n">
        <v>0</v>
      </c>
      <c r="N283" t="n">
        <v>0</v>
      </c>
      <c r="O283" t="n">
        <v>0</v>
      </c>
      <c r="P283" t="n">
        <v>0</v>
      </c>
      <c r="Q283" t="n">
        <v>0</v>
      </c>
      <c r="R283" s="2" t="inlineStr"/>
    </row>
    <row r="284" ht="15" customHeight="1">
      <c r="A284" t="inlineStr">
        <is>
          <t>A 63514-2023</t>
        </is>
      </c>
      <c r="B284" s="1" t="n">
        <v>45274</v>
      </c>
      <c r="C284" s="1" t="n">
        <v>45931</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17078-2023</t>
        </is>
      </c>
      <c r="B285" s="1" t="n">
        <v>45034</v>
      </c>
      <c r="C285" s="1" t="n">
        <v>45931</v>
      </c>
      <c r="D285" t="inlineStr">
        <is>
          <t>DALARNAS LÄN</t>
        </is>
      </c>
      <c r="E285" t="inlineStr">
        <is>
          <t>LEKSAND</t>
        </is>
      </c>
      <c r="G285" t="n">
        <v>0.5</v>
      </c>
      <c r="H285" t="n">
        <v>0</v>
      </c>
      <c r="I285" t="n">
        <v>0</v>
      </c>
      <c r="J285" t="n">
        <v>0</v>
      </c>
      <c r="K285" t="n">
        <v>0</v>
      </c>
      <c r="L285" t="n">
        <v>0</v>
      </c>
      <c r="M285" t="n">
        <v>0</v>
      </c>
      <c r="N285" t="n">
        <v>0</v>
      </c>
      <c r="O285" t="n">
        <v>0</v>
      </c>
      <c r="P285" t="n">
        <v>0</v>
      </c>
      <c r="Q285" t="n">
        <v>0</v>
      </c>
      <c r="R285" s="2" t="inlineStr"/>
    </row>
    <row r="286" ht="15" customHeight="1">
      <c r="A286" t="inlineStr">
        <is>
          <t>A 13288-2023</t>
        </is>
      </c>
      <c r="B286" s="1" t="n">
        <v>45004.8160300926</v>
      </c>
      <c r="C286" s="1" t="n">
        <v>45931</v>
      </c>
      <c r="D286" t="inlineStr">
        <is>
          <t>DALARNAS LÄN</t>
        </is>
      </c>
      <c r="E286" t="inlineStr">
        <is>
          <t>LEKSAND</t>
        </is>
      </c>
      <c r="G286" t="n">
        <v>1.3</v>
      </c>
      <c r="H286" t="n">
        <v>0</v>
      </c>
      <c r="I286" t="n">
        <v>0</v>
      </c>
      <c r="J286" t="n">
        <v>0</v>
      </c>
      <c r="K286" t="n">
        <v>0</v>
      </c>
      <c r="L286" t="n">
        <v>0</v>
      </c>
      <c r="M286" t="n">
        <v>0</v>
      </c>
      <c r="N286" t="n">
        <v>0</v>
      </c>
      <c r="O286" t="n">
        <v>0</v>
      </c>
      <c r="P286" t="n">
        <v>0</v>
      </c>
      <c r="Q286" t="n">
        <v>0</v>
      </c>
      <c r="R286" s="2" t="inlineStr"/>
    </row>
    <row r="287" ht="15" customHeight="1">
      <c r="A287" t="inlineStr">
        <is>
          <t>A 11869-2024</t>
        </is>
      </c>
      <c r="B287" s="1" t="n">
        <v>45376.45800925926</v>
      </c>
      <c r="C287" s="1" t="n">
        <v>45931</v>
      </c>
      <c r="D287" t="inlineStr">
        <is>
          <t>DALARNAS LÄN</t>
        </is>
      </c>
      <c r="E287" t="inlineStr">
        <is>
          <t>LEKSAND</t>
        </is>
      </c>
      <c r="G287" t="n">
        <v>0.5</v>
      </c>
      <c r="H287" t="n">
        <v>0</v>
      </c>
      <c r="I287" t="n">
        <v>0</v>
      </c>
      <c r="J287" t="n">
        <v>0</v>
      </c>
      <c r="K287" t="n">
        <v>0</v>
      </c>
      <c r="L287" t="n">
        <v>0</v>
      </c>
      <c r="M287" t="n">
        <v>0</v>
      </c>
      <c r="N287" t="n">
        <v>0</v>
      </c>
      <c r="O287" t="n">
        <v>0</v>
      </c>
      <c r="P287" t="n">
        <v>0</v>
      </c>
      <c r="Q287" t="n">
        <v>0</v>
      </c>
      <c r="R287" s="2" t="inlineStr"/>
    </row>
    <row r="288" ht="15" customHeight="1">
      <c r="A288" t="inlineStr">
        <is>
          <t>A 14865-2025</t>
        </is>
      </c>
      <c r="B288" s="1" t="n">
        <v>45743.43929398148</v>
      </c>
      <c r="C288" s="1" t="n">
        <v>45931</v>
      </c>
      <c r="D288" t="inlineStr">
        <is>
          <t>DALARNAS LÄN</t>
        </is>
      </c>
      <c r="E288" t="inlineStr">
        <is>
          <t>LEKSAND</t>
        </is>
      </c>
      <c r="G288" t="n">
        <v>0.9</v>
      </c>
      <c r="H288" t="n">
        <v>0</v>
      </c>
      <c r="I288" t="n">
        <v>0</v>
      </c>
      <c r="J288" t="n">
        <v>0</v>
      </c>
      <c r="K288" t="n">
        <v>0</v>
      </c>
      <c r="L288" t="n">
        <v>0</v>
      </c>
      <c r="M288" t="n">
        <v>0</v>
      </c>
      <c r="N288" t="n">
        <v>0</v>
      </c>
      <c r="O288" t="n">
        <v>0</v>
      </c>
      <c r="P288" t="n">
        <v>0</v>
      </c>
      <c r="Q288" t="n">
        <v>0</v>
      </c>
      <c r="R288" s="2" t="inlineStr"/>
    </row>
    <row r="289" ht="15" customHeight="1">
      <c r="A289" t="inlineStr">
        <is>
          <t>A 16854-2025</t>
        </is>
      </c>
      <c r="B289" s="1" t="n">
        <v>45754.72883101852</v>
      </c>
      <c r="C289" s="1" t="n">
        <v>45931</v>
      </c>
      <c r="D289" t="inlineStr">
        <is>
          <t>DALARNAS LÄN</t>
        </is>
      </c>
      <c r="E289" t="inlineStr">
        <is>
          <t>LEKSAND</t>
        </is>
      </c>
      <c r="G289" t="n">
        <v>1.2</v>
      </c>
      <c r="H289" t="n">
        <v>0</v>
      </c>
      <c r="I289" t="n">
        <v>0</v>
      </c>
      <c r="J289" t="n">
        <v>0</v>
      </c>
      <c r="K289" t="n">
        <v>0</v>
      </c>
      <c r="L289" t="n">
        <v>0</v>
      </c>
      <c r="M289" t="n">
        <v>0</v>
      </c>
      <c r="N289" t="n">
        <v>0</v>
      </c>
      <c r="O289" t="n">
        <v>0</v>
      </c>
      <c r="P289" t="n">
        <v>0</v>
      </c>
      <c r="Q289" t="n">
        <v>0</v>
      </c>
      <c r="R289" s="2" t="inlineStr"/>
    </row>
    <row r="290" ht="15" customHeight="1">
      <c r="A290" t="inlineStr">
        <is>
          <t>A 27520-2023</t>
        </is>
      </c>
      <c r="B290" s="1" t="n">
        <v>45097</v>
      </c>
      <c r="C290" s="1" t="n">
        <v>45931</v>
      </c>
      <c r="D290" t="inlineStr">
        <is>
          <t>DALARNAS LÄN</t>
        </is>
      </c>
      <c r="E290" t="inlineStr">
        <is>
          <t>LEKSAND</t>
        </is>
      </c>
      <c r="G290" t="n">
        <v>0.7</v>
      </c>
      <c r="H290" t="n">
        <v>0</v>
      </c>
      <c r="I290" t="n">
        <v>0</v>
      </c>
      <c r="J290" t="n">
        <v>0</v>
      </c>
      <c r="K290" t="n">
        <v>0</v>
      </c>
      <c r="L290" t="n">
        <v>0</v>
      </c>
      <c r="M290" t="n">
        <v>0</v>
      </c>
      <c r="N290" t="n">
        <v>0</v>
      </c>
      <c r="O290" t="n">
        <v>0</v>
      </c>
      <c r="P290" t="n">
        <v>0</v>
      </c>
      <c r="Q290" t="n">
        <v>0</v>
      </c>
      <c r="R290" s="2" t="inlineStr"/>
    </row>
    <row r="291" ht="15" customHeight="1">
      <c r="A291" t="inlineStr">
        <is>
          <t>A 30169-2023</t>
        </is>
      </c>
      <c r="B291" s="1" t="n">
        <v>45110</v>
      </c>
      <c r="C291" s="1" t="n">
        <v>45931</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37952-2024</t>
        </is>
      </c>
      <c r="B292" s="1" t="n">
        <v>45544.5200462963</v>
      </c>
      <c r="C292" s="1" t="n">
        <v>45931</v>
      </c>
      <c r="D292" t="inlineStr">
        <is>
          <t>DALARNAS LÄN</t>
        </is>
      </c>
      <c r="E292" t="inlineStr">
        <is>
          <t>LEKSAND</t>
        </is>
      </c>
      <c r="G292" t="n">
        <v>1</v>
      </c>
      <c r="H292" t="n">
        <v>0</v>
      </c>
      <c r="I292" t="n">
        <v>0</v>
      </c>
      <c r="J292" t="n">
        <v>0</v>
      </c>
      <c r="K292" t="n">
        <v>0</v>
      </c>
      <c r="L292" t="n">
        <v>0</v>
      </c>
      <c r="M292" t="n">
        <v>0</v>
      </c>
      <c r="N292" t="n">
        <v>0</v>
      </c>
      <c r="O292" t="n">
        <v>0</v>
      </c>
      <c r="P292" t="n">
        <v>0</v>
      </c>
      <c r="Q292" t="n">
        <v>0</v>
      </c>
      <c r="R292" s="2" t="inlineStr"/>
    </row>
    <row r="293" ht="15" customHeight="1">
      <c r="A293" t="inlineStr">
        <is>
          <t>A 5847-2025</t>
        </is>
      </c>
      <c r="B293" s="1" t="n">
        <v>45695.30824074074</v>
      </c>
      <c r="C293" s="1" t="n">
        <v>45931</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5873-2025</t>
        </is>
      </c>
      <c r="B294" s="1" t="n">
        <v>45695.36715277778</v>
      </c>
      <c r="C294" s="1" t="n">
        <v>45931</v>
      </c>
      <c r="D294" t="inlineStr">
        <is>
          <t>DALARNAS LÄN</t>
        </is>
      </c>
      <c r="E294" t="inlineStr">
        <is>
          <t>LEKSAND</t>
        </is>
      </c>
      <c r="G294" t="n">
        <v>1.4</v>
      </c>
      <c r="H294" t="n">
        <v>0</v>
      </c>
      <c r="I294" t="n">
        <v>0</v>
      </c>
      <c r="J294" t="n">
        <v>0</v>
      </c>
      <c r="K294" t="n">
        <v>0</v>
      </c>
      <c r="L294" t="n">
        <v>0</v>
      </c>
      <c r="M294" t="n">
        <v>0</v>
      </c>
      <c r="N294" t="n">
        <v>0</v>
      </c>
      <c r="O294" t="n">
        <v>0</v>
      </c>
      <c r="P294" t="n">
        <v>0</v>
      </c>
      <c r="Q294" t="n">
        <v>0</v>
      </c>
      <c r="R294" s="2" t="inlineStr"/>
    </row>
    <row r="295" ht="15" customHeight="1">
      <c r="A295" t="inlineStr">
        <is>
          <t>A 18481-2024</t>
        </is>
      </c>
      <c r="B295" s="1" t="n">
        <v>45425.52193287037</v>
      </c>
      <c r="C295" s="1" t="n">
        <v>45931</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18484-2024</t>
        </is>
      </c>
      <c r="B296" s="1" t="n">
        <v>45425.52559027778</v>
      </c>
      <c r="C296" s="1" t="n">
        <v>45931</v>
      </c>
      <c r="D296" t="inlineStr">
        <is>
          <t>DALARNAS LÄN</t>
        </is>
      </c>
      <c r="E296" t="inlineStr">
        <is>
          <t>LEKSAND</t>
        </is>
      </c>
      <c r="G296" t="n">
        <v>2</v>
      </c>
      <c r="H296" t="n">
        <v>0</v>
      </c>
      <c r="I296" t="n">
        <v>0</v>
      </c>
      <c r="J296" t="n">
        <v>0</v>
      </c>
      <c r="K296" t="n">
        <v>0</v>
      </c>
      <c r="L296" t="n">
        <v>0</v>
      </c>
      <c r="M296" t="n">
        <v>0</v>
      </c>
      <c r="N296" t="n">
        <v>0</v>
      </c>
      <c r="O296" t="n">
        <v>0</v>
      </c>
      <c r="P296" t="n">
        <v>0</v>
      </c>
      <c r="Q296" t="n">
        <v>0</v>
      </c>
      <c r="R296" s="2" t="inlineStr"/>
    </row>
    <row r="297" ht="15" customHeight="1">
      <c r="A297" t="inlineStr">
        <is>
          <t>A 53193-2024</t>
        </is>
      </c>
      <c r="B297" s="1" t="n">
        <v>45610</v>
      </c>
      <c r="C297" s="1" t="n">
        <v>45931</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11080-2023</t>
        </is>
      </c>
      <c r="B298" s="1" t="n">
        <v>44992</v>
      </c>
      <c r="C298" s="1" t="n">
        <v>45931</v>
      </c>
      <c r="D298" t="inlineStr">
        <is>
          <t>DALARNAS LÄN</t>
        </is>
      </c>
      <c r="E298" t="inlineStr">
        <is>
          <t>LEKSAND</t>
        </is>
      </c>
      <c r="G298" t="n">
        <v>6.9</v>
      </c>
      <c r="H298" t="n">
        <v>0</v>
      </c>
      <c r="I298" t="n">
        <v>0</v>
      </c>
      <c r="J298" t="n">
        <v>0</v>
      </c>
      <c r="K298" t="n">
        <v>0</v>
      </c>
      <c r="L298" t="n">
        <v>0</v>
      </c>
      <c r="M298" t="n">
        <v>0</v>
      </c>
      <c r="N298" t="n">
        <v>0</v>
      </c>
      <c r="O298" t="n">
        <v>0</v>
      </c>
      <c r="P298" t="n">
        <v>0</v>
      </c>
      <c r="Q298" t="n">
        <v>0</v>
      </c>
      <c r="R298" s="2" t="inlineStr"/>
    </row>
    <row r="299" ht="15" customHeight="1">
      <c r="A299" t="inlineStr">
        <is>
          <t>A 3352-2024</t>
        </is>
      </c>
      <c r="B299" s="1" t="n">
        <v>45317</v>
      </c>
      <c r="C299" s="1" t="n">
        <v>45931</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26957-2023</t>
        </is>
      </c>
      <c r="B300" s="1" t="n">
        <v>45093</v>
      </c>
      <c r="C300" s="1" t="n">
        <v>45931</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31391-2024</t>
        </is>
      </c>
      <c r="B301" s="1" t="n">
        <v>45505.46616898148</v>
      </c>
      <c r="C301" s="1" t="n">
        <v>45931</v>
      </c>
      <c r="D301" t="inlineStr">
        <is>
          <t>DALARNAS LÄN</t>
        </is>
      </c>
      <c r="E301" t="inlineStr">
        <is>
          <t>LEKSAND</t>
        </is>
      </c>
      <c r="F301" t="inlineStr">
        <is>
          <t>Bergvik skog väst AB</t>
        </is>
      </c>
      <c r="G301" t="n">
        <v>2.7</v>
      </c>
      <c r="H301" t="n">
        <v>0</v>
      </c>
      <c r="I301" t="n">
        <v>0</v>
      </c>
      <c r="J301" t="n">
        <v>0</v>
      </c>
      <c r="K301" t="n">
        <v>0</v>
      </c>
      <c r="L301" t="n">
        <v>0</v>
      </c>
      <c r="M301" t="n">
        <v>0</v>
      </c>
      <c r="N301" t="n">
        <v>0</v>
      </c>
      <c r="O301" t="n">
        <v>0</v>
      </c>
      <c r="P301" t="n">
        <v>0</v>
      </c>
      <c r="Q301" t="n">
        <v>0</v>
      </c>
      <c r="R301" s="2" t="inlineStr"/>
    </row>
    <row r="302" ht="15" customHeight="1">
      <c r="A302" t="inlineStr">
        <is>
          <t>A 7928-2023</t>
        </is>
      </c>
      <c r="B302" s="1" t="n">
        <v>44973</v>
      </c>
      <c r="C302" s="1" t="n">
        <v>45931</v>
      </c>
      <c r="D302" t="inlineStr">
        <is>
          <t>DALARNAS LÄN</t>
        </is>
      </c>
      <c r="E302" t="inlineStr">
        <is>
          <t>LEKSAND</t>
        </is>
      </c>
      <c r="G302" t="n">
        <v>1.9</v>
      </c>
      <c r="H302" t="n">
        <v>0</v>
      </c>
      <c r="I302" t="n">
        <v>0</v>
      </c>
      <c r="J302" t="n">
        <v>0</v>
      </c>
      <c r="K302" t="n">
        <v>0</v>
      </c>
      <c r="L302" t="n">
        <v>0</v>
      </c>
      <c r="M302" t="n">
        <v>0</v>
      </c>
      <c r="N302" t="n">
        <v>0</v>
      </c>
      <c r="O302" t="n">
        <v>0</v>
      </c>
      <c r="P302" t="n">
        <v>0</v>
      </c>
      <c r="Q302" t="n">
        <v>0</v>
      </c>
      <c r="R302" s="2" t="inlineStr"/>
    </row>
    <row r="303" ht="15" customHeight="1">
      <c r="A303" t="inlineStr">
        <is>
          <t>A 19371-2024</t>
        </is>
      </c>
      <c r="B303" s="1" t="n">
        <v>45429.34969907408</v>
      </c>
      <c r="C303" s="1" t="n">
        <v>45931</v>
      </c>
      <c r="D303" t="inlineStr">
        <is>
          <t>DALARNAS LÄN</t>
        </is>
      </c>
      <c r="E303" t="inlineStr">
        <is>
          <t>LEKSAND</t>
        </is>
      </c>
      <c r="G303" t="n">
        <v>0.6</v>
      </c>
      <c r="H303" t="n">
        <v>0</v>
      </c>
      <c r="I303" t="n">
        <v>0</v>
      </c>
      <c r="J303" t="n">
        <v>0</v>
      </c>
      <c r="K303" t="n">
        <v>0</v>
      </c>
      <c r="L303" t="n">
        <v>0</v>
      </c>
      <c r="M303" t="n">
        <v>0</v>
      </c>
      <c r="N303" t="n">
        <v>0</v>
      </c>
      <c r="O303" t="n">
        <v>0</v>
      </c>
      <c r="P303" t="n">
        <v>0</v>
      </c>
      <c r="Q303" t="n">
        <v>0</v>
      </c>
      <c r="R303" s="2" t="inlineStr"/>
    </row>
    <row r="304" ht="15" customHeight="1">
      <c r="A304" t="inlineStr">
        <is>
          <t>A 7827-2024</t>
        </is>
      </c>
      <c r="B304" s="1" t="n">
        <v>45349.7467824074</v>
      </c>
      <c r="C304" s="1" t="n">
        <v>45931</v>
      </c>
      <c r="D304" t="inlineStr">
        <is>
          <t>DALARNAS LÄN</t>
        </is>
      </c>
      <c r="E304" t="inlineStr">
        <is>
          <t>LEKSAND</t>
        </is>
      </c>
      <c r="G304" t="n">
        <v>2.2</v>
      </c>
      <c r="H304" t="n">
        <v>0</v>
      </c>
      <c r="I304" t="n">
        <v>0</v>
      </c>
      <c r="J304" t="n">
        <v>0</v>
      </c>
      <c r="K304" t="n">
        <v>0</v>
      </c>
      <c r="L304" t="n">
        <v>0</v>
      </c>
      <c r="M304" t="n">
        <v>0</v>
      </c>
      <c r="N304" t="n">
        <v>0</v>
      </c>
      <c r="O304" t="n">
        <v>0</v>
      </c>
      <c r="P304" t="n">
        <v>0</v>
      </c>
      <c r="Q304" t="n">
        <v>0</v>
      </c>
      <c r="R304" s="2" t="inlineStr"/>
    </row>
    <row r="305" ht="15" customHeight="1">
      <c r="A305" t="inlineStr">
        <is>
          <t>A 49405-2024</t>
        </is>
      </c>
      <c r="B305" s="1" t="n">
        <v>45595</v>
      </c>
      <c r="C305" s="1" t="n">
        <v>45931</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11004-2023</t>
        </is>
      </c>
      <c r="B306" s="1" t="n">
        <v>44986</v>
      </c>
      <c r="C306" s="1" t="n">
        <v>45931</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30860-2024</t>
        </is>
      </c>
      <c r="B307" s="1" t="n">
        <v>45497.69108796296</v>
      </c>
      <c r="C307" s="1" t="n">
        <v>45931</v>
      </c>
      <c r="D307" t="inlineStr">
        <is>
          <t>DALARNAS LÄN</t>
        </is>
      </c>
      <c r="E307" t="inlineStr">
        <is>
          <t>LEKSAND</t>
        </is>
      </c>
      <c r="F307" t="inlineStr">
        <is>
          <t>Bergvik skog väst AB</t>
        </is>
      </c>
      <c r="G307" t="n">
        <v>0.7</v>
      </c>
      <c r="H307" t="n">
        <v>0</v>
      </c>
      <c r="I307" t="n">
        <v>0</v>
      </c>
      <c r="J307" t="n">
        <v>0</v>
      </c>
      <c r="K307" t="n">
        <v>0</v>
      </c>
      <c r="L307" t="n">
        <v>0</v>
      </c>
      <c r="M307" t="n">
        <v>0</v>
      </c>
      <c r="N307" t="n">
        <v>0</v>
      </c>
      <c r="O307" t="n">
        <v>0</v>
      </c>
      <c r="P307" t="n">
        <v>0</v>
      </c>
      <c r="Q307" t="n">
        <v>0</v>
      </c>
      <c r="R307" s="2" t="inlineStr"/>
    </row>
    <row r="308" ht="15" customHeight="1">
      <c r="A308" t="inlineStr">
        <is>
          <t>A 30864-2024</t>
        </is>
      </c>
      <c r="B308" s="1" t="n">
        <v>45497.71550925926</v>
      </c>
      <c r="C308" s="1" t="n">
        <v>45931</v>
      </c>
      <c r="D308" t="inlineStr">
        <is>
          <t>DALARNAS LÄN</t>
        </is>
      </c>
      <c r="E308" t="inlineStr">
        <is>
          <t>LEKSAND</t>
        </is>
      </c>
      <c r="F308" t="inlineStr">
        <is>
          <t>Bergvik skog väst AB</t>
        </is>
      </c>
      <c r="G308" t="n">
        <v>2.3</v>
      </c>
      <c r="H308" t="n">
        <v>0</v>
      </c>
      <c r="I308" t="n">
        <v>0</v>
      </c>
      <c r="J308" t="n">
        <v>0</v>
      </c>
      <c r="K308" t="n">
        <v>0</v>
      </c>
      <c r="L308" t="n">
        <v>0</v>
      </c>
      <c r="M308" t="n">
        <v>0</v>
      </c>
      <c r="N308" t="n">
        <v>0</v>
      </c>
      <c r="O308" t="n">
        <v>0</v>
      </c>
      <c r="P308" t="n">
        <v>0</v>
      </c>
      <c r="Q308" t="n">
        <v>0</v>
      </c>
      <c r="R308" s="2" t="inlineStr"/>
    </row>
    <row r="309" ht="15" customHeight="1">
      <c r="A309" t="inlineStr">
        <is>
          <t>A 27244-2023</t>
        </is>
      </c>
      <c r="B309" s="1" t="n">
        <v>45096</v>
      </c>
      <c r="C309" s="1" t="n">
        <v>45931</v>
      </c>
      <c r="D309" t="inlineStr">
        <is>
          <t>DALARNAS LÄN</t>
        </is>
      </c>
      <c r="E309" t="inlineStr">
        <is>
          <t>LEKSAND</t>
        </is>
      </c>
      <c r="G309" t="n">
        <v>5</v>
      </c>
      <c r="H309" t="n">
        <v>0</v>
      </c>
      <c r="I309" t="n">
        <v>0</v>
      </c>
      <c r="J309" t="n">
        <v>0</v>
      </c>
      <c r="K309" t="n">
        <v>0</v>
      </c>
      <c r="L309" t="n">
        <v>0</v>
      </c>
      <c r="M309" t="n">
        <v>0</v>
      </c>
      <c r="N309" t="n">
        <v>0</v>
      </c>
      <c r="O309" t="n">
        <v>0</v>
      </c>
      <c r="P309" t="n">
        <v>0</v>
      </c>
      <c r="Q309" t="n">
        <v>0</v>
      </c>
      <c r="R309" s="2" t="inlineStr"/>
    </row>
    <row r="310" ht="15" customHeight="1">
      <c r="A310" t="inlineStr">
        <is>
          <t>A 20683-2025</t>
        </is>
      </c>
      <c r="B310" s="1" t="n">
        <v>45776</v>
      </c>
      <c r="C310" s="1" t="n">
        <v>45931</v>
      </c>
      <c r="D310" t="inlineStr">
        <is>
          <t>DALARNAS LÄN</t>
        </is>
      </c>
      <c r="E310" t="inlineStr">
        <is>
          <t>LEKSAND</t>
        </is>
      </c>
      <c r="F310" t="inlineStr">
        <is>
          <t>Bergvik skog väst AB</t>
        </is>
      </c>
      <c r="G310" t="n">
        <v>4.1</v>
      </c>
      <c r="H310" t="n">
        <v>0</v>
      </c>
      <c r="I310" t="n">
        <v>0</v>
      </c>
      <c r="J310" t="n">
        <v>0</v>
      </c>
      <c r="K310" t="n">
        <v>0</v>
      </c>
      <c r="L310" t="n">
        <v>0</v>
      </c>
      <c r="M310" t="n">
        <v>0</v>
      </c>
      <c r="N310" t="n">
        <v>0</v>
      </c>
      <c r="O310" t="n">
        <v>0</v>
      </c>
      <c r="P310" t="n">
        <v>0</v>
      </c>
      <c r="Q310" t="n">
        <v>0</v>
      </c>
      <c r="R310" s="2" t="inlineStr"/>
    </row>
    <row r="311" ht="15" customHeight="1">
      <c r="A311" t="inlineStr">
        <is>
          <t>A 5582-2024</t>
        </is>
      </c>
      <c r="B311" s="1" t="n">
        <v>45334</v>
      </c>
      <c r="C311" s="1" t="n">
        <v>45931</v>
      </c>
      <c r="D311" t="inlineStr">
        <is>
          <t>DALARNAS LÄN</t>
        </is>
      </c>
      <c r="E311" t="inlineStr">
        <is>
          <t>LEKSAND</t>
        </is>
      </c>
      <c r="G311" t="n">
        <v>0.5</v>
      </c>
      <c r="H311" t="n">
        <v>0</v>
      </c>
      <c r="I311" t="n">
        <v>0</v>
      </c>
      <c r="J311" t="n">
        <v>0</v>
      </c>
      <c r="K311" t="n">
        <v>0</v>
      </c>
      <c r="L311" t="n">
        <v>0</v>
      </c>
      <c r="M311" t="n">
        <v>0</v>
      </c>
      <c r="N311" t="n">
        <v>0</v>
      </c>
      <c r="O311" t="n">
        <v>0</v>
      </c>
      <c r="P311" t="n">
        <v>0</v>
      </c>
      <c r="Q311" t="n">
        <v>0</v>
      </c>
      <c r="R311" s="2" t="inlineStr"/>
    </row>
    <row r="312" ht="15" customHeight="1">
      <c r="A312" t="inlineStr">
        <is>
          <t>A 5584-2024</t>
        </is>
      </c>
      <c r="B312" s="1" t="n">
        <v>45334</v>
      </c>
      <c r="C312" s="1" t="n">
        <v>45931</v>
      </c>
      <c r="D312" t="inlineStr">
        <is>
          <t>DALARNAS LÄN</t>
        </is>
      </c>
      <c r="E312" t="inlineStr">
        <is>
          <t>LEKSAND</t>
        </is>
      </c>
      <c r="F312" t="inlineStr">
        <is>
          <t>Kyrkan</t>
        </is>
      </c>
      <c r="G312" t="n">
        <v>0.4</v>
      </c>
      <c r="H312" t="n">
        <v>0</v>
      </c>
      <c r="I312" t="n">
        <v>0</v>
      </c>
      <c r="J312" t="n">
        <v>0</v>
      </c>
      <c r="K312" t="n">
        <v>0</v>
      </c>
      <c r="L312" t="n">
        <v>0</v>
      </c>
      <c r="M312" t="n">
        <v>0</v>
      </c>
      <c r="N312" t="n">
        <v>0</v>
      </c>
      <c r="O312" t="n">
        <v>0</v>
      </c>
      <c r="P312" t="n">
        <v>0</v>
      </c>
      <c r="Q312" t="n">
        <v>0</v>
      </c>
      <c r="R312" s="2" t="inlineStr"/>
    </row>
    <row r="313" ht="15" customHeight="1">
      <c r="A313" t="inlineStr">
        <is>
          <t>A 18107-2025</t>
        </is>
      </c>
      <c r="B313" s="1" t="n">
        <v>45761.55939814815</v>
      </c>
      <c r="C313" s="1" t="n">
        <v>45931</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16051-2023</t>
        </is>
      </c>
      <c r="B314" s="1" t="n">
        <v>45027</v>
      </c>
      <c r="C314" s="1" t="n">
        <v>45931</v>
      </c>
      <c r="D314" t="inlineStr">
        <is>
          <t>DALARNAS LÄN</t>
        </is>
      </c>
      <c r="E314" t="inlineStr">
        <is>
          <t>LEKSAND</t>
        </is>
      </c>
      <c r="G314" t="n">
        <v>0.7</v>
      </c>
      <c r="H314" t="n">
        <v>0</v>
      </c>
      <c r="I314" t="n">
        <v>0</v>
      </c>
      <c r="J314" t="n">
        <v>0</v>
      </c>
      <c r="K314" t="n">
        <v>0</v>
      </c>
      <c r="L314" t="n">
        <v>0</v>
      </c>
      <c r="M314" t="n">
        <v>0</v>
      </c>
      <c r="N314" t="n">
        <v>0</v>
      </c>
      <c r="O314" t="n">
        <v>0</v>
      </c>
      <c r="P314" t="n">
        <v>0</v>
      </c>
      <c r="Q314" t="n">
        <v>0</v>
      </c>
      <c r="R314" s="2" t="inlineStr"/>
    </row>
    <row r="315" ht="15" customHeight="1">
      <c r="A315" t="inlineStr">
        <is>
          <t>A 56059-2024</t>
        </is>
      </c>
      <c r="B315" s="1" t="n">
        <v>45624.36729166667</v>
      </c>
      <c r="C315" s="1" t="n">
        <v>45931</v>
      </c>
      <c r="D315" t="inlineStr">
        <is>
          <t>DALARNAS LÄN</t>
        </is>
      </c>
      <c r="E315" t="inlineStr">
        <is>
          <t>LEKSAND</t>
        </is>
      </c>
      <c r="G315" t="n">
        <v>3.1</v>
      </c>
      <c r="H315" t="n">
        <v>0</v>
      </c>
      <c r="I315" t="n">
        <v>0</v>
      </c>
      <c r="J315" t="n">
        <v>0</v>
      </c>
      <c r="K315" t="n">
        <v>0</v>
      </c>
      <c r="L315" t="n">
        <v>0</v>
      </c>
      <c r="M315" t="n">
        <v>0</v>
      </c>
      <c r="N315" t="n">
        <v>0</v>
      </c>
      <c r="O315" t="n">
        <v>0</v>
      </c>
      <c r="P315" t="n">
        <v>0</v>
      </c>
      <c r="Q315" t="n">
        <v>0</v>
      </c>
      <c r="R315" s="2" t="inlineStr"/>
    </row>
    <row r="316" ht="15" customHeight="1">
      <c r="A316" t="inlineStr">
        <is>
          <t>A 40752-2024</t>
        </is>
      </c>
      <c r="B316" s="1" t="n">
        <v>45558.45638888889</v>
      </c>
      <c r="C316" s="1" t="n">
        <v>45931</v>
      </c>
      <c r="D316" t="inlineStr">
        <is>
          <t>DALARNAS LÄN</t>
        </is>
      </c>
      <c r="E316" t="inlineStr">
        <is>
          <t>LEKSAND</t>
        </is>
      </c>
      <c r="G316" t="n">
        <v>1</v>
      </c>
      <c r="H316" t="n">
        <v>0</v>
      </c>
      <c r="I316" t="n">
        <v>0</v>
      </c>
      <c r="J316" t="n">
        <v>0</v>
      </c>
      <c r="K316" t="n">
        <v>0</v>
      </c>
      <c r="L316" t="n">
        <v>0</v>
      </c>
      <c r="M316" t="n">
        <v>0</v>
      </c>
      <c r="N316" t="n">
        <v>0</v>
      </c>
      <c r="O316" t="n">
        <v>0</v>
      </c>
      <c r="P316" t="n">
        <v>0</v>
      </c>
      <c r="Q316" t="n">
        <v>0</v>
      </c>
      <c r="R316" s="2" t="inlineStr"/>
    </row>
    <row r="317" ht="15" customHeight="1">
      <c r="A317" t="inlineStr">
        <is>
          <t>A 2579-2022</t>
        </is>
      </c>
      <c r="B317" s="1" t="n">
        <v>44580</v>
      </c>
      <c r="C317" s="1" t="n">
        <v>45931</v>
      </c>
      <c r="D317" t="inlineStr">
        <is>
          <t>DALARNAS LÄN</t>
        </is>
      </c>
      <c r="E317" t="inlineStr">
        <is>
          <t>LEKSAND</t>
        </is>
      </c>
      <c r="G317" t="n">
        <v>0.3</v>
      </c>
      <c r="H317" t="n">
        <v>0</v>
      </c>
      <c r="I317" t="n">
        <v>0</v>
      </c>
      <c r="J317" t="n">
        <v>0</v>
      </c>
      <c r="K317" t="n">
        <v>0</v>
      </c>
      <c r="L317" t="n">
        <v>0</v>
      </c>
      <c r="M317" t="n">
        <v>0</v>
      </c>
      <c r="N317" t="n">
        <v>0</v>
      </c>
      <c r="O317" t="n">
        <v>0</v>
      </c>
      <c r="P317" t="n">
        <v>0</v>
      </c>
      <c r="Q317" t="n">
        <v>0</v>
      </c>
      <c r="R317" s="2" t="inlineStr"/>
    </row>
    <row r="318" ht="15" customHeight="1">
      <c r="A318" t="inlineStr">
        <is>
          <t>A 58244-2024</t>
        </is>
      </c>
      <c r="B318" s="1" t="n">
        <v>45631</v>
      </c>
      <c r="C318" s="1" t="n">
        <v>45931</v>
      </c>
      <c r="D318" t="inlineStr">
        <is>
          <t>DALARNAS LÄN</t>
        </is>
      </c>
      <c r="E318" t="inlineStr">
        <is>
          <t>LEKSAND</t>
        </is>
      </c>
      <c r="G318" t="n">
        <v>1.9</v>
      </c>
      <c r="H318" t="n">
        <v>0</v>
      </c>
      <c r="I318" t="n">
        <v>0</v>
      </c>
      <c r="J318" t="n">
        <v>0</v>
      </c>
      <c r="K318" t="n">
        <v>0</v>
      </c>
      <c r="L318" t="n">
        <v>0</v>
      </c>
      <c r="M318" t="n">
        <v>0</v>
      </c>
      <c r="N318" t="n">
        <v>0</v>
      </c>
      <c r="O318" t="n">
        <v>0</v>
      </c>
      <c r="P318" t="n">
        <v>0</v>
      </c>
      <c r="Q318" t="n">
        <v>0</v>
      </c>
      <c r="R318" s="2" t="inlineStr"/>
    </row>
    <row r="319" ht="15" customHeight="1">
      <c r="A319" t="inlineStr">
        <is>
          <t>A 20937-2025</t>
        </is>
      </c>
      <c r="B319" s="1" t="n">
        <v>45777.42769675926</v>
      </c>
      <c r="C319" s="1" t="n">
        <v>45931</v>
      </c>
      <c r="D319" t="inlineStr">
        <is>
          <t>DALARNAS LÄN</t>
        </is>
      </c>
      <c r="E319" t="inlineStr">
        <is>
          <t>LEKSAND</t>
        </is>
      </c>
      <c r="G319" t="n">
        <v>2.2</v>
      </c>
      <c r="H319" t="n">
        <v>0</v>
      </c>
      <c r="I319" t="n">
        <v>0</v>
      </c>
      <c r="J319" t="n">
        <v>0</v>
      </c>
      <c r="K319" t="n">
        <v>0</v>
      </c>
      <c r="L319" t="n">
        <v>0</v>
      </c>
      <c r="M319" t="n">
        <v>0</v>
      </c>
      <c r="N319" t="n">
        <v>0</v>
      </c>
      <c r="O319" t="n">
        <v>0</v>
      </c>
      <c r="P319" t="n">
        <v>0</v>
      </c>
      <c r="Q319" t="n">
        <v>0</v>
      </c>
      <c r="R319" s="2" t="inlineStr"/>
    </row>
    <row r="320" ht="15" customHeight="1">
      <c r="A320" t="inlineStr">
        <is>
          <t>A 49395-2024</t>
        </is>
      </c>
      <c r="B320" s="1" t="n">
        <v>45595</v>
      </c>
      <c r="C320" s="1" t="n">
        <v>45931</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62161-2024</t>
        </is>
      </c>
      <c r="B321" s="1" t="n">
        <v>45656.86009259259</v>
      </c>
      <c r="C321" s="1" t="n">
        <v>45931</v>
      </c>
      <c r="D321" t="inlineStr">
        <is>
          <t>DALARNAS LÄN</t>
        </is>
      </c>
      <c r="E321" t="inlineStr">
        <is>
          <t>LEKSAND</t>
        </is>
      </c>
      <c r="G321" t="n">
        <v>2</v>
      </c>
      <c r="H321" t="n">
        <v>0</v>
      </c>
      <c r="I321" t="n">
        <v>0</v>
      </c>
      <c r="J321" t="n">
        <v>0</v>
      </c>
      <c r="K321" t="n">
        <v>0</v>
      </c>
      <c r="L321" t="n">
        <v>0</v>
      </c>
      <c r="M321" t="n">
        <v>0</v>
      </c>
      <c r="N321" t="n">
        <v>0</v>
      </c>
      <c r="O321" t="n">
        <v>0</v>
      </c>
      <c r="P321" t="n">
        <v>0</v>
      </c>
      <c r="Q321" t="n">
        <v>0</v>
      </c>
      <c r="R321" s="2" t="inlineStr"/>
    </row>
    <row r="322" ht="15" customHeight="1">
      <c r="A322" t="inlineStr">
        <is>
          <t>A 21457-2025</t>
        </is>
      </c>
      <c r="B322" s="1" t="n">
        <v>45782.55451388889</v>
      </c>
      <c r="C322" s="1" t="n">
        <v>45931</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21230-2025</t>
        </is>
      </c>
      <c r="B323" s="1" t="n">
        <v>45779.54589120371</v>
      </c>
      <c r="C323" s="1" t="n">
        <v>45931</v>
      </c>
      <c r="D323" t="inlineStr">
        <is>
          <t>DALARNAS LÄN</t>
        </is>
      </c>
      <c r="E323" t="inlineStr">
        <is>
          <t>LEKSAND</t>
        </is>
      </c>
      <c r="G323" t="n">
        <v>0.5</v>
      </c>
      <c r="H323" t="n">
        <v>0</v>
      </c>
      <c r="I323" t="n">
        <v>0</v>
      </c>
      <c r="J323" t="n">
        <v>0</v>
      </c>
      <c r="K323" t="n">
        <v>0</v>
      </c>
      <c r="L323" t="n">
        <v>0</v>
      </c>
      <c r="M323" t="n">
        <v>0</v>
      </c>
      <c r="N323" t="n">
        <v>0</v>
      </c>
      <c r="O323" t="n">
        <v>0</v>
      </c>
      <c r="P323" t="n">
        <v>0</v>
      </c>
      <c r="Q323" t="n">
        <v>0</v>
      </c>
      <c r="R323" s="2" t="inlineStr"/>
    </row>
    <row r="324" ht="15" customHeight="1">
      <c r="A324" t="inlineStr">
        <is>
          <t>A 21193-2025</t>
        </is>
      </c>
      <c r="B324" s="1" t="n">
        <v>45779.46675925926</v>
      </c>
      <c r="C324" s="1" t="n">
        <v>45931</v>
      </c>
      <c r="D324" t="inlineStr">
        <is>
          <t>DALARNAS LÄN</t>
        </is>
      </c>
      <c r="E324" t="inlineStr">
        <is>
          <t>LEKSAND</t>
        </is>
      </c>
      <c r="G324" t="n">
        <v>3.7</v>
      </c>
      <c r="H324" t="n">
        <v>0</v>
      </c>
      <c r="I324" t="n">
        <v>0</v>
      </c>
      <c r="J324" t="n">
        <v>0</v>
      </c>
      <c r="K324" t="n">
        <v>0</v>
      </c>
      <c r="L324" t="n">
        <v>0</v>
      </c>
      <c r="M324" t="n">
        <v>0</v>
      </c>
      <c r="N324" t="n">
        <v>0</v>
      </c>
      <c r="O324" t="n">
        <v>0</v>
      </c>
      <c r="P324" t="n">
        <v>0</v>
      </c>
      <c r="Q324" t="n">
        <v>0</v>
      </c>
      <c r="R324" s="2" t="inlineStr"/>
    </row>
    <row r="325" ht="15" customHeight="1">
      <c r="A325" t="inlineStr">
        <is>
          <t>A 11606-2025</t>
        </is>
      </c>
      <c r="B325" s="1" t="n">
        <v>45727</v>
      </c>
      <c r="C325" s="1" t="n">
        <v>45931</v>
      </c>
      <c r="D325" t="inlineStr">
        <is>
          <t>DALARNAS LÄN</t>
        </is>
      </c>
      <c r="E325" t="inlineStr">
        <is>
          <t>LEKSAND</t>
        </is>
      </c>
      <c r="G325" t="n">
        <v>2.3</v>
      </c>
      <c r="H325" t="n">
        <v>0</v>
      </c>
      <c r="I325" t="n">
        <v>0</v>
      </c>
      <c r="J325" t="n">
        <v>0</v>
      </c>
      <c r="K325" t="n">
        <v>0</v>
      </c>
      <c r="L325" t="n">
        <v>0</v>
      </c>
      <c r="M325" t="n">
        <v>0</v>
      </c>
      <c r="N325" t="n">
        <v>0</v>
      </c>
      <c r="O325" t="n">
        <v>0</v>
      </c>
      <c r="P325" t="n">
        <v>0</v>
      </c>
      <c r="Q325" t="n">
        <v>0</v>
      </c>
      <c r="R325" s="2" t="inlineStr"/>
    </row>
    <row r="326" ht="15" customHeight="1">
      <c r="A326" t="inlineStr">
        <is>
          <t>A 47640-2024</t>
        </is>
      </c>
      <c r="B326" s="1" t="n">
        <v>45588.36508101852</v>
      </c>
      <c r="C326" s="1" t="n">
        <v>45931</v>
      </c>
      <c r="D326" t="inlineStr">
        <is>
          <t>DALARNAS LÄN</t>
        </is>
      </c>
      <c r="E326" t="inlineStr">
        <is>
          <t>LEKSAND</t>
        </is>
      </c>
      <c r="G326" t="n">
        <v>9.1</v>
      </c>
      <c r="H326" t="n">
        <v>0</v>
      </c>
      <c r="I326" t="n">
        <v>0</v>
      </c>
      <c r="J326" t="n">
        <v>0</v>
      </c>
      <c r="K326" t="n">
        <v>0</v>
      </c>
      <c r="L326" t="n">
        <v>0</v>
      </c>
      <c r="M326" t="n">
        <v>0</v>
      </c>
      <c r="N326" t="n">
        <v>0</v>
      </c>
      <c r="O326" t="n">
        <v>0</v>
      </c>
      <c r="P326" t="n">
        <v>0</v>
      </c>
      <c r="Q326" t="n">
        <v>0</v>
      </c>
      <c r="R326" s="2" t="inlineStr"/>
    </row>
    <row r="327" ht="15" customHeight="1">
      <c r="A327" t="inlineStr">
        <is>
          <t>A 21954-2023</t>
        </is>
      </c>
      <c r="B327" s="1" t="n">
        <v>45068</v>
      </c>
      <c r="C327" s="1" t="n">
        <v>45931</v>
      </c>
      <c r="D327" t="inlineStr">
        <is>
          <t>DALARNAS LÄN</t>
        </is>
      </c>
      <c r="E327" t="inlineStr">
        <is>
          <t>LEKSAND</t>
        </is>
      </c>
      <c r="G327" t="n">
        <v>0.8</v>
      </c>
      <c r="H327" t="n">
        <v>0</v>
      </c>
      <c r="I327" t="n">
        <v>0</v>
      </c>
      <c r="J327" t="n">
        <v>0</v>
      </c>
      <c r="K327" t="n">
        <v>0</v>
      </c>
      <c r="L327" t="n">
        <v>0</v>
      </c>
      <c r="M327" t="n">
        <v>0</v>
      </c>
      <c r="N327" t="n">
        <v>0</v>
      </c>
      <c r="O327" t="n">
        <v>0</v>
      </c>
      <c r="P327" t="n">
        <v>0</v>
      </c>
      <c r="Q327" t="n">
        <v>0</v>
      </c>
      <c r="R327" s="2" t="inlineStr"/>
    </row>
    <row r="328" ht="15" customHeight="1">
      <c r="A328" t="inlineStr">
        <is>
          <t>A 46949-2025</t>
        </is>
      </c>
      <c r="B328" s="1" t="n">
        <v>45929.46811342592</v>
      </c>
      <c r="C328" s="1" t="n">
        <v>45931</v>
      </c>
      <c r="D328" t="inlineStr">
        <is>
          <t>DALARNAS LÄN</t>
        </is>
      </c>
      <c r="E328" t="inlineStr">
        <is>
          <t>LEKSAND</t>
        </is>
      </c>
      <c r="G328" t="n">
        <v>5</v>
      </c>
      <c r="H328" t="n">
        <v>0</v>
      </c>
      <c r="I328" t="n">
        <v>0</v>
      </c>
      <c r="J328" t="n">
        <v>0</v>
      </c>
      <c r="K328" t="n">
        <v>0</v>
      </c>
      <c r="L328" t="n">
        <v>0</v>
      </c>
      <c r="M328" t="n">
        <v>0</v>
      </c>
      <c r="N328" t="n">
        <v>0</v>
      </c>
      <c r="O328" t="n">
        <v>0</v>
      </c>
      <c r="P328" t="n">
        <v>0</v>
      </c>
      <c r="Q328" t="n">
        <v>0</v>
      </c>
      <c r="R328" s="2" t="inlineStr"/>
    </row>
    <row r="329" ht="15" customHeight="1">
      <c r="A329" t="inlineStr">
        <is>
          <t>A 8743-2023</t>
        </is>
      </c>
      <c r="B329" s="1" t="n">
        <v>44978</v>
      </c>
      <c r="C329" s="1" t="n">
        <v>45931</v>
      </c>
      <c r="D329" t="inlineStr">
        <is>
          <t>DALARNAS LÄN</t>
        </is>
      </c>
      <c r="E329" t="inlineStr">
        <is>
          <t>LEKSAND</t>
        </is>
      </c>
      <c r="G329" t="n">
        <v>3</v>
      </c>
      <c r="H329" t="n">
        <v>0</v>
      </c>
      <c r="I329" t="n">
        <v>0</v>
      </c>
      <c r="J329" t="n">
        <v>0</v>
      </c>
      <c r="K329" t="n">
        <v>0</v>
      </c>
      <c r="L329" t="n">
        <v>0</v>
      </c>
      <c r="M329" t="n">
        <v>0</v>
      </c>
      <c r="N329" t="n">
        <v>0</v>
      </c>
      <c r="O329" t="n">
        <v>0</v>
      </c>
      <c r="P329" t="n">
        <v>0</v>
      </c>
      <c r="Q329" t="n">
        <v>0</v>
      </c>
      <c r="R329" s="2" t="inlineStr"/>
    </row>
    <row r="330" ht="15" customHeight="1">
      <c r="A330" t="inlineStr">
        <is>
          <t>A 11872-2024</t>
        </is>
      </c>
      <c r="B330" s="1" t="n">
        <v>45376.46833333333</v>
      </c>
      <c r="C330" s="1" t="n">
        <v>45931</v>
      </c>
      <c r="D330" t="inlineStr">
        <is>
          <t>DALARNAS LÄN</t>
        </is>
      </c>
      <c r="E330" t="inlineStr">
        <is>
          <t>LEKSAND</t>
        </is>
      </c>
      <c r="G330" t="n">
        <v>3.1</v>
      </c>
      <c r="H330" t="n">
        <v>0</v>
      </c>
      <c r="I330" t="n">
        <v>0</v>
      </c>
      <c r="J330" t="n">
        <v>0</v>
      </c>
      <c r="K330" t="n">
        <v>0</v>
      </c>
      <c r="L330" t="n">
        <v>0</v>
      </c>
      <c r="M330" t="n">
        <v>0</v>
      </c>
      <c r="N330" t="n">
        <v>0</v>
      </c>
      <c r="O330" t="n">
        <v>0</v>
      </c>
      <c r="P330" t="n">
        <v>0</v>
      </c>
      <c r="Q330" t="n">
        <v>0</v>
      </c>
      <c r="R330" s="2" t="inlineStr"/>
    </row>
    <row r="331" ht="15" customHeight="1">
      <c r="A331" t="inlineStr">
        <is>
          <t>A 21600-2025</t>
        </is>
      </c>
      <c r="B331" s="1" t="n">
        <v>45783.3521875</v>
      </c>
      <c r="C331" s="1" t="n">
        <v>45931</v>
      </c>
      <c r="D331" t="inlineStr">
        <is>
          <t>DALARNAS LÄN</t>
        </is>
      </c>
      <c r="E331" t="inlineStr">
        <is>
          <t>LEKSAND</t>
        </is>
      </c>
      <c r="G331" t="n">
        <v>7.7</v>
      </c>
      <c r="H331" t="n">
        <v>0</v>
      </c>
      <c r="I331" t="n">
        <v>0</v>
      </c>
      <c r="J331" t="n">
        <v>0</v>
      </c>
      <c r="K331" t="n">
        <v>0</v>
      </c>
      <c r="L331" t="n">
        <v>0</v>
      </c>
      <c r="M331" t="n">
        <v>0</v>
      </c>
      <c r="N331" t="n">
        <v>0</v>
      </c>
      <c r="O331" t="n">
        <v>0</v>
      </c>
      <c r="P331" t="n">
        <v>0</v>
      </c>
      <c r="Q331" t="n">
        <v>0</v>
      </c>
      <c r="R331" s="2" t="inlineStr"/>
    </row>
    <row r="332" ht="15" customHeight="1">
      <c r="A332" t="inlineStr">
        <is>
          <t>A 40627-2023</t>
        </is>
      </c>
      <c r="B332" s="1" t="n">
        <v>45170</v>
      </c>
      <c r="C332" s="1" t="n">
        <v>45931</v>
      </c>
      <c r="D332" t="inlineStr">
        <is>
          <t>DALARNAS LÄN</t>
        </is>
      </c>
      <c r="E332" t="inlineStr">
        <is>
          <t>LEKSAND</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7897-2025</t>
        </is>
      </c>
      <c r="B333" s="1" t="n">
        <v>45707.30969907407</v>
      </c>
      <c r="C333" s="1" t="n">
        <v>45931</v>
      </c>
      <c r="D333" t="inlineStr">
        <is>
          <t>DALARNAS LÄN</t>
        </is>
      </c>
      <c r="E333" t="inlineStr">
        <is>
          <t>LEKSAND</t>
        </is>
      </c>
      <c r="G333" t="n">
        <v>3.1</v>
      </c>
      <c r="H333" t="n">
        <v>0</v>
      </c>
      <c r="I333" t="n">
        <v>0</v>
      </c>
      <c r="J333" t="n">
        <v>0</v>
      </c>
      <c r="K333" t="n">
        <v>0</v>
      </c>
      <c r="L333" t="n">
        <v>0</v>
      </c>
      <c r="M333" t="n">
        <v>0</v>
      </c>
      <c r="N333" t="n">
        <v>0</v>
      </c>
      <c r="O333" t="n">
        <v>0</v>
      </c>
      <c r="P333" t="n">
        <v>0</v>
      </c>
      <c r="Q333" t="n">
        <v>0</v>
      </c>
      <c r="R333" s="2" t="inlineStr"/>
    </row>
    <row r="334" ht="15" customHeight="1">
      <c r="A334" t="inlineStr">
        <is>
          <t>A 21916-2025</t>
        </is>
      </c>
      <c r="B334" s="1" t="n">
        <v>45784.50115740741</v>
      </c>
      <c r="C334" s="1" t="n">
        <v>45931</v>
      </c>
      <c r="D334" t="inlineStr">
        <is>
          <t>DALARNAS LÄN</t>
        </is>
      </c>
      <c r="E334" t="inlineStr">
        <is>
          <t>LEKSAND</t>
        </is>
      </c>
      <c r="G334" t="n">
        <v>2.6</v>
      </c>
      <c r="H334" t="n">
        <v>0</v>
      </c>
      <c r="I334" t="n">
        <v>0</v>
      </c>
      <c r="J334" t="n">
        <v>0</v>
      </c>
      <c r="K334" t="n">
        <v>0</v>
      </c>
      <c r="L334" t="n">
        <v>0</v>
      </c>
      <c r="M334" t="n">
        <v>0</v>
      </c>
      <c r="N334" t="n">
        <v>0</v>
      </c>
      <c r="O334" t="n">
        <v>0</v>
      </c>
      <c r="P334" t="n">
        <v>0</v>
      </c>
      <c r="Q334" t="n">
        <v>0</v>
      </c>
      <c r="R334" s="2" t="inlineStr"/>
    </row>
    <row r="335" ht="15" customHeight="1">
      <c r="A335" t="inlineStr">
        <is>
          <t>A 14967-2023</t>
        </is>
      </c>
      <c r="B335" s="1" t="n">
        <v>45015</v>
      </c>
      <c r="C335" s="1" t="n">
        <v>45931</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63544-2023</t>
        </is>
      </c>
      <c r="B336" s="1" t="n">
        <v>45275</v>
      </c>
      <c r="C336" s="1" t="n">
        <v>45931</v>
      </c>
      <c r="D336" t="inlineStr">
        <is>
          <t>DALARNAS LÄN</t>
        </is>
      </c>
      <c r="E336" t="inlineStr">
        <is>
          <t>LEKSAND</t>
        </is>
      </c>
      <c r="G336" t="n">
        <v>0.3</v>
      </c>
      <c r="H336" t="n">
        <v>0</v>
      </c>
      <c r="I336" t="n">
        <v>0</v>
      </c>
      <c r="J336" t="n">
        <v>0</v>
      </c>
      <c r="K336" t="n">
        <v>0</v>
      </c>
      <c r="L336" t="n">
        <v>0</v>
      </c>
      <c r="M336" t="n">
        <v>0</v>
      </c>
      <c r="N336" t="n">
        <v>0</v>
      </c>
      <c r="O336" t="n">
        <v>0</v>
      </c>
      <c r="P336" t="n">
        <v>0</v>
      </c>
      <c r="Q336" t="n">
        <v>0</v>
      </c>
      <c r="R336" s="2" t="inlineStr"/>
    </row>
    <row r="337" ht="15" customHeight="1">
      <c r="A337" t="inlineStr">
        <is>
          <t>A 38721-2025</t>
        </is>
      </c>
      <c r="B337" s="1" t="n">
        <v>45886.83605324074</v>
      </c>
      <c r="C337" s="1" t="n">
        <v>45931</v>
      </c>
      <c r="D337" t="inlineStr">
        <is>
          <t>DALARNAS LÄN</t>
        </is>
      </c>
      <c r="E337" t="inlineStr">
        <is>
          <t>LEKSAND</t>
        </is>
      </c>
      <c r="G337" t="n">
        <v>1.3</v>
      </c>
      <c r="H337" t="n">
        <v>0</v>
      </c>
      <c r="I337" t="n">
        <v>0</v>
      </c>
      <c r="J337" t="n">
        <v>0</v>
      </c>
      <c r="K337" t="n">
        <v>0</v>
      </c>
      <c r="L337" t="n">
        <v>0</v>
      </c>
      <c r="M337" t="n">
        <v>0</v>
      </c>
      <c r="N337" t="n">
        <v>0</v>
      </c>
      <c r="O337" t="n">
        <v>0</v>
      </c>
      <c r="P337" t="n">
        <v>0</v>
      </c>
      <c r="Q337" t="n">
        <v>0</v>
      </c>
      <c r="R337" s="2" t="inlineStr"/>
    </row>
    <row r="338" ht="15" customHeight="1">
      <c r="A338" t="inlineStr">
        <is>
          <t>A 33317-2023</t>
        </is>
      </c>
      <c r="B338" s="1" t="n">
        <v>45127.84586805556</v>
      </c>
      <c r="C338" s="1" t="n">
        <v>45931</v>
      </c>
      <c r="D338" t="inlineStr">
        <is>
          <t>DALARNAS LÄN</t>
        </is>
      </c>
      <c r="E338" t="inlineStr">
        <is>
          <t>LEKSAND</t>
        </is>
      </c>
      <c r="G338" t="n">
        <v>2.7</v>
      </c>
      <c r="H338" t="n">
        <v>0</v>
      </c>
      <c r="I338" t="n">
        <v>0</v>
      </c>
      <c r="J338" t="n">
        <v>0</v>
      </c>
      <c r="K338" t="n">
        <v>0</v>
      </c>
      <c r="L338" t="n">
        <v>0</v>
      </c>
      <c r="M338" t="n">
        <v>0</v>
      </c>
      <c r="N338" t="n">
        <v>0</v>
      </c>
      <c r="O338" t="n">
        <v>0</v>
      </c>
      <c r="P338" t="n">
        <v>0</v>
      </c>
      <c r="Q338" t="n">
        <v>0</v>
      </c>
      <c r="R338" s="2" t="inlineStr"/>
    </row>
    <row r="339" ht="15" customHeight="1">
      <c r="A339" t="inlineStr">
        <is>
          <t>A 33318-2023</t>
        </is>
      </c>
      <c r="B339" s="1" t="n">
        <v>45127</v>
      </c>
      <c r="C339" s="1" t="n">
        <v>45931</v>
      </c>
      <c r="D339" t="inlineStr">
        <is>
          <t>DALARNAS LÄN</t>
        </is>
      </c>
      <c r="E339" t="inlineStr">
        <is>
          <t>LEKSAND</t>
        </is>
      </c>
      <c r="G339" t="n">
        <v>5.5</v>
      </c>
      <c r="H339" t="n">
        <v>0</v>
      </c>
      <c r="I339" t="n">
        <v>0</v>
      </c>
      <c r="J339" t="n">
        <v>0</v>
      </c>
      <c r="K339" t="n">
        <v>0</v>
      </c>
      <c r="L339" t="n">
        <v>0</v>
      </c>
      <c r="M339" t="n">
        <v>0</v>
      </c>
      <c r="N339" t="n">
        <v>0</v>
      </c>
      <c r="O339" t="n">
        <v>0</v>
      </c>
      <c r="P339" t="n">
        <v>0</v>
      </c>
      <c r="Q339" t="n">
        <v>0</v>
      </c>
      <c r="R339" s="2" t="inlineStr"/>
    </row>
    <row r="340" ht="15" customHeight="1">
      <c r="A340" t="inlineStr">
        <is>
          <t>A 47068-2025</t>
        </is>
      </c>
      <c r="B340" s="1" t="n">
        <v>45929.63511574074</v>
      </c>
      <c r="C340" s="1" t="n">
        <v>45931</v>
      </c>
      <c r="D340" t="inlineStr">
        <is>
          <t>DALARNAS LÄN</t>
        </is>
      </c>
      <c r="E340" t="inlineStr">
        <is>
          <t>LEKSAND</t>
        </is>
      </c>
      <c r="G340" t="n">
        <v>3.4</v>
      </c>
      <c r="H340" t="n">
        <v>0</v>
      </c>
      <c r="I340" t="n">
        <v>0</v>
      </c>
      <c r="J340" t="n">
        <v>0</v>
      </c>
      <c r="K340" t="n">
        <v>0</v>
      </c>
      <c r="L340" t="n">
        <v>0</v>
      </c>
      <c r="M340" t="n">
        <v>0</v>
      </c>
      <c r="N340" t="n">
        <v>0</v>
      </c>
      <c r="O340" t="n">
        <v>0</v>
      </c>
      <c r="P340" t="n">
        <v>0</v>
      </c>
      <c r="Q340" t="n">
        <v>0</v>
      </c>
      <c r="R340" s="2" t="inlineStr"/>
    </row>
    <row r="341" ht="15" customHeight="1">
      <c r="A341" t="inlineStr">
        <is>
          <t>A 46978-2025</t>
        </is>
      </c>
      <c r="B341" s="1" t="n">
        <v>45929.51811342593</v>
      </c>
      <c r="C341" s="1" t="n">
        <v>45931</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62307-2023</t>
        </is>
      </c>
      <c r="B342" s="1" t="n">
        <v>45266</v>
      </c>
      <c r="C342" s="1" t="n">
        <v>45931</v>
      </c>
      <c r="D342" t="inlineStr">
        <is>
          <t>DALARNAS LÄN</t>
        </is>
      </c>
      <c r="E342" t="inlineStr">
        <is>
          <t>LEKSAND</t>
        </is>
      </c>
      <c r="G342" t="n">
        <v>3.9</v>
      </c>
      <c r="H342" t="n">
        <v>0</v>
      </c>
      <c r="I342" t="n">
        <v>0</v>
      </c>
      <c r="J342" t="n">
        <v>0</v>
      </c>
      <c r="K342" t="n">
        <v>0</v>
      </c>
      <c r="L342" t="n">
        <v>0</v>
      </c>
      <c r="M342" t="n">
        <v>0</v>
      </c>
      <c r="N342" t="n">
        <v>0</v>
      </c>
      <c r="O342" t="n">
        <v>0</v>
      </c>
      <c r="P342" t="n">
        <v>0</v>
      </c>
      <c r="Q342" t="n">
        <v>0</v>
      </c>
      <c r="R342" s="2" t="inlineStr"/>
    </row>
    <row r="343" ht="15" customHeight="1">
      <c r="A343" t="inlineStr">
        <is>
          <t>A 61554-2024</t>
        </is>
      </c>
      <c r="B343" s="1" t="n">
        <v>45646.60748842593</v>
      </c>
      <c r="C343" s="1" t="n">
        <v>45931</v>
      </c>
      <c r="D343" t="inlineStr">
        <is>
          <t>DALARNAS LÄN</t>
        </is>
      </c>
      <c r="E343" t="inlineStr">
        <is>
          <t>LEKSAND</t>
        </is>
      </c>
      <c r="G343" t="n">
        <v>2.6</v>
      </c>
      <c r="H343" t="n">
        <v>0</v>
      </c>
      <c r="I343" t="n">
        <v>0</v>
      </c>
      <c r="J343" t="n">
        <v>0</v>
      </c>
      <c r="K343" t="n">
        <v>0</v>
      </c>
      <c r="L343" t="n">
        <v>0</v>
      </c>
      <c r="M343" t="n">
        <v>0</v>
      </c>
      <c r="N343" t="n">
        <v>0</v>
      </c>
      <c r="O343" t="n">
        <v>0</v>
      </c>
      <c r="P343" t="n">
        <v>0</v>
      </c>
      <c r="Q343" t="n">
        <v>0</v>
      </c>
      <c r="R343" s="2" t="inlineStr"/>
    </row>
    <row r="344" ht="15" customHeight="1">
      <c r="A344" t="inlineStr">
        <is>
          <t>A 36534-2024</t>
        </is>
      </c>
      <c r="B344" s="1" t="n">
        <v>45537.45143518518</v>
      </c>
      <c r="C344" s="1" t="n">
        <v>45931</v>
      </c>
      <c r="D344" t="inlineStr">
        <is>
          <t>DALARNAS LÄN</t>
        </is>
      </c>
      <c r="E344" t="inlineStr">
        <is>
          <t>LEKSAND</t>
        </is>
      </c>
      <c r="G344" t="n">
        <v>4</v>
      </c>
      <c r="H344" t="n">
        <v>0</v>
      </c>
      <c r="I344" t="n">
        <v>0</v>
      </c>
      <c r="J344" t="n">
        <v>0</v>
      </c>
      <c r="K344" t="n">
        <v>0</v>
      </c>
      <c r="L344" t="n">
        <v>0</v>
      </c>
      <c r="M344" t="n">
        <v>0</v>
      </c>
      <c r="N344" t="n">
        <v>0</v>
      </c>
      <c r="O344" t="n">
        <v>0</v>
      </c>
      <c r="P344" t="n">
        <v>0</v>
      </c>
      <c r="Q344" t="n">
        <v>0</v>
      </c>
      <c r="R344" s="2" t="inlineStr"/>
    </row>
    <row r="345" ht="15" customHeight="1">
      <c r="A345" t="inlineStr">
        <is>
          <t>A 34244-2024</t>
        </is>
      </c>
      <c r="B345" s="1" t="n">
        <v>45524.58349537037</v>
      </c>
      <c r="C345" s="1" t="n">
        <v>45931</v>
      </c>
      <c r="D345" t="inlineStr">
        <is>
          <t>DALARNAS LÄN</t>
        </is>
      </c>
      <c r="E345" t="inlineStr">
        <is>
          <t>LEKSAND</t>
        </is>
      </c>
      <c r="G345" t="n">
        <v>1.5</v>
      </c>
      <c r="H345" t="n">
        <v>0</v>
      </c>
      <c r="I345" t="n">
        <v>0</v>
      </c>
      <c r="J345" t="n">
        <v>0</v>
      </c>
      <c r="K345" t="n">
        <v>0</v>
      </c>
      <c r="L345" t="n">
        <v>0</v>
      </c>
      <c r="M345" t="n">
        <v>0</v>
      </c>
      <c r="N345" t="n">
        <v>0</v>
      </c>
      <c r="O345" t="n">
        <v>0</v>
      </c>
      <c r="P345" t="n">
        <v>0</v>
      </c>
      <c r="Q345" t="n">
        <v>0</v>
      </c>
      <c r="R345" s="2" t="inlineStr"/>
    </row>
    <row r="346" ht="15" customHeight="1">
      <c r="A346" t="inlineStr">
        <is>
          <t>A 7861-2024</t>
        </is>
      </c>
      <c r="B346" s="1" t="n">
        <v>45350.30831018519</v>
      </c>
      <c r="C346" s="1" t="n">
        <v>45931</v>
      </c>
      <c r="D346" t="inlineStr">
        <is>
          <t>DALARNAS LÄN</t>
        </is>
      </c>
      <c r="E346" t="inlineStr">
        <is>
          <t>LEKSAND</t>
        </is>
      </c>
      <c r="G346" t="n">
        <v>1.8</v>
      </c>
      <c r="H346" t="n">
        <v>0</v>
      </c>
      <c r="I346" t="n">
        <v>0</v>
      </c>
      <c r="J346" t="n">
        <v>0</v>
      </c>
      <c r="K346" t="n">
        <v>0</v>
      </c>
      <c r="L346" t="n">
        <v>0</v>
      </c>
      <c r="M346" t="n">
        <v>0</v>
      </c>
      <c r="N346" t="n">
        <v>0</v>
      </c>
      <c r="O346" t="n">
        <v>0</v>
      </c>
      <c r="P346" t="n">
        <v>0</v>
      </c>
      <c r="Q346" t="n">
        <v>0</v>
      </c>
      <c r="R346" s="2" t="inlineStr"/>
    </row>
    <row r="347" ht="15" customHeight="1">
      <c r="A347" t="inlineStr">
        <is>
          <t>A 40009-2024</t>
        </is>
      </c>
      <c r="B347" s="1" t="n">
        <v>45553.65361111111</v>
      </c>
      <c r="C347" s="1" t="n">
        <v>45931</v>
      </c>
      <c r="D347" t="inlineStr">
        <is>
          <t>DALARNAS LÄN</t>
        </is>
      </c>
      <c r="E347" t="inlineStr">
        <is>
          <t>LEKSAND</t>
        </is>
      </c>
      <c r="F347" t="inlineStr">
        <is>
          <t>Bergvik skog väst AB</t>
        </is>
      </c>
      <c r="G347" t="n">
        <v>3</v>
      </c>
      <c r="H347" t="n">
        <v>0</v>
      </c>
      <c r="I347" t="n">
        <v>0</v>
      </c>
      <c r="J347" t="n">
        <v>0</v>
      </c>
      <c r="K347" t="n">
        <v>0</v>
      </c>
      <c r="L347" t="n">
        <v>0</v>
      </c>
      <c r="M347" t="n">
        <v>0</v>
      </c>
      <c r="N347" t="n">
        <v>0</v>
      </c>
      <c r="O347" t="n">
        <v>0</v>
      </c>
      <c r="P347" t="n">
        <v>0</v>
      </c>
      <c r="Q347" t="n">
        <v>0</v>
      </c>
      <c r="R347" s="2" t="inlineStr"/>
    </row>
    <row r="348" ht="15" customHeight="1">
      <c r="A348" t="inlineStr">
        <is>
          <t>A 52572-2024</t>
        </is>
      </c>
      <c r="B348" s="1" t="n">
        <v>45609.66488425926</v>
      </c>
      <c r="C348" s="1" t="n">
        <v>45931</v>
      </c>
      <c r="D348" t="inlineStr">
        <is>
          <t>DALARNAS LÄN</t>
        </is>
      </c>
      <c r="E348" t="inlineStr">
        <is>
          <t>LEKSAND</t>
        </is>
      </c>
      <c r="G348" t="n">
        <v>0.7</v>
      </c>
      <c r="H348" t="n">
        <v>0</v>
      </c>
      <c r="I348" t="n">
        <v>0</v>
      </c>
      <c r="J348" t="n">
        <v>0</v>
      </c>
      <c r="K348" t="n">
        <v>0</v>
      </c>
      <c r="L348" t="n">
        <v>0</v>
      </c>
      <c r="M348" t="n">
        <v>0</v>
      </c>
      <c r="N348" t="n">
        <v>0</v>
      </c>
      <c r="O348" t="n">
        <v>0</v>
      </c>
      <c r="P348" t="n">
        <v>0</v>
      </c>
      <c r="Q348" t="n">
        <v>0</v>
      </c>
      <c r="R348" s="2" t="inlineStr"/>
    </row>
    <row r="349" ht="15" customHeight="1">
      <c r="A349" t="inlineStr">
        <is>
          <t>A 28032-2024</t>
        </is>
      </c>
      <c r="B349" s="1" t="n">
        <v>45476.49346064815</v>
      </c>
      <c r="C349" s="1" t="n">
        <v>45931</v>
      </c>
      <c r="D349" t="inlineStr">
        <is>
          <t>DALARNAS LÄN</t>
        </is>
      </c>
      <c r="E349" t="inlineStr">
        <is>
          <t>LEKSAND</t>
        </is>
      </c>
      <c r="G349" t="n">
        <v>2</v>
      </c>
      <c r="H349" t="n">
        <v>0</v>
      </c>
      <c r="I349" t="n">
        <v>0</v>
      </c>
      <c r="J349" t="n">
        <v>0</v>
      </c>
      <c r="K349" t="n">
        <v>0</v>
      </c>
      <c r="L349" t="n">
        <v>0</v>
      </c>
      <c r="M349" t="n">
        <v>0</v>
      </c>
      <c r="N349" t="n">
        <v>0</v>
      </c>
      <c r="O349" t="n">
        <v>0</v>
      </c>
      <c r="P349" t="n">
        <v>0</v>
      </c>
      <c r="Q349" t="n">
        <v>0</v>
      </c>
      <c r="R349" s="2" t="inlineStr"/>
    </row>
    <row r="350" ht="15" customHeight="1">
      <c r="A350" t="inlineStr">
        <is>
          <t>A 19550-2023</t>
        </is>
      </c>
      <c r="B350" s="1" t="n">
        <v>45049</v>
      </c>
      <c r="C350" s="1" t="n">
        <v>45931</v>
      </c>
      <c r="D350" t="inlineStr">
        <is>
          <t>DALARNAS LÄN</t>
        </is>
      </c>
      <c r="E350" t="inlineStr">
        <is>
          <t>LEKSAND</t>
        </is>
      </c>
      <c r="G350" t="n">
        <v>1.1</v>
      </c>
      <c r="H350" t="n">
        <v>0</v>
      </c>
      <c r="I350" t="n">
        <v>0</v>
      </c>
      <c r="J350" t="n">
        <v>0</v>
      </c>
      <c r="K350" t="n">
        <v>0</v>
      </c>
      <c r="L350" t="n">
        <v>0</v>
      </c>
      <c r="M350" t="n">
        <v>0</v>
      </c>
      <c r="N350" t="n">
        <v>0</v>
      </c>
      <c r="O350" t="n">
        <v>0</v>
      </c>
      <c r="P350" t="n">
        <v>0</v>
      </c>
      <c r="Q350" t="n">
        <v>0</v>
      </c>
      <c r="R350" s="2" t="inlineStr"/>
    </row>
    <row r="351" ht="15" customHeight="1">
      <c r="A351" t="inlineStr">
        <is>
          <t>A 33593-2024</t>
        </is>
      </c>
      <c r="B351" s="1" t="n">
        <v>45520.36055555556</v>
      </c>
      <c r="C351" s="1" t="n">
        <v>45931</v>
      </c>
      <c r="D351" t="inlineStr">
        <is>
          <t>DALARNAS LÄN</t>
        </is>
      </c>
      <c r="E351" t="inlineStr">
        <is>
          <t>LEKSAND</t>
        </is>
      </c>
      <c r="G351" t="n">
        <v>0.3</v>
      </c>
      <c r="H351" t="n">
        <v>0</v>
      </c>
      <c r="I351" t="n">
        <v>0</v>
      </c>
      <c r="J351" t="n">
        <v>0</v>
      </c>
      <c r="K351" t="n">
        <v>0</v>
      </c>
      <c r="L351" t="n">
        <v>0</v>
      </c>
      <c r="M351" t="n">
        <v>0</v>
      </c>
      <c r="N351" t="n">
        <v>0</v>
      </c>
      <c r="O351" t="n">
        <v>0</v>
      </c>
      <c r="P351" t="n">
        <v>0</v>
      </c>
      <c r="Q351" t="n">
        <v>0</v>
      </c>
      <c r="R351" s="2" t="inlineStr"/>
    </row>
    <row r="352" ht="15" customHeight="1">
      <c r="A352" t="inlineStr">
        <is>
          <t>A 12851-2023</t>
        </is>
      </c>
      <c r="B352" s="1" t="n">
        <v>45001.49347222222</v>
      </c>
      <c r="C352" s="1" t="n">
        <v>45931</v>
      </c>
      <c r="D352" t="inlineStr">
        <is>
          <t>DALARNAS LÄN</t>
        </is>
      </c>
      <c r="E352" t="inlineStr">
        <is>
          <t>LEKSAND</t>
        </is>
      </c>
      <c r="G352" t="n">
        <v>1.9</v>
      </c>
      <c r="H352" t="n">
        <v>0</v>
      </c>
      <c r="I352" t="n">
        <v>0</v>
      </c>
      <c r="J352" t="n">
        <v>0</v>
      </c>
      <c r="K352" t="n">
        <v>0</v>
      </c>
      <c r="L352" t="n">
        <v>0</v>
      </c>
      <c r="M352" t="n">
        <v>0</v>
      </c>
      <c r="N352" t="n">
        <v>0</v>
      </c>
      <c r="O352" t="n">
        <v>0</v>
      </c>
      <c r="P352" t="n">
        <v>0</v>
      </c>
      <c r="Q352" t="n">
        <v>0</v>
      </c>
      <c r="R352" s="2" t="inlineStr"/>
    </row>
    <row r="353" ht="15" customHeight="1">
      <c r="A353" t="inlineStr">
        <is>
          <t>A 22080-2025</t>
        </is>
      </c>
      <c r="B353" s="1" t="n">
        <v>45785</v>
      </c>
      <c r="C353" s="1" t="n">
        <v>45931</v>
      </c>
      <c r="D353" t="inlineStr">
        <is>
          <t>DALARNAS LÄN</t>
        </is>
      </c>
      <c r="E353" t="inlineStr">
        <is>
          <t>LEKSAND</t>
        </is>
      </c>
      <c r="G353" t="n">
        <v>7</v>
      </c>
      <c r="H353" t="n">
        <v>0</v>
      </c>
      <c r="I353" t="n">
        <v>0</v>
      </c>
      <c r="J353" t="n">
        <v>0</v>
      </c>
      <c r="K353" t="n">
        <v>0</v>
      </c>
      <c r="L353" t="n">
        <v>0</v>
      </c>
      <c r="M353" t="n">
        <v>0</v>
      </c>
      <c r="N353" t="n">
        <v>0</v>
      </c>
      <c r="O353" t="n">
        <v>0</v>
      </c>
      <c r="P353" t="n">
        <v>0</v>
      </c>
      <c r="Q353" t="n">
        <v>0</v>
      </c>
      <c r="R353" s="2" t="inlineStr"/>
    </row>
    <row r="354" ht="15" customHeight="1">
      <c r="A354" t="inlineStr">
        <is>
          <t>A 19295-2024</t>
        </is>
      </c>
      <c r="B354" s="1" t="n">
        <v>45428.69106481481</v>
      </c>
      <c r="C354" s="1" t="n">
        <v>45931</v>
      </c>
      <c r="D354" t="inlineStr">
        <is>
          <t>DALARNAS LÄN</t>
        </is>
      </c>
      <c r="E354" t="inlineStr">
        <is>
          <t>LEKSAND</t>
        </is>
      </c>
      <c r="G354" t="n">
        <v>1.6</v>
      </c>
      <c r="H354" t="n">
        <v>0</v>
      </c>
      <c r="I354" t="n">
        <v>0</v>
      </c>
      <c r="J354" t="n">
        <v>0</v>
      </c>
      <c r="K354" t="n">
        <v>0</v>
      </c>
      <c r="L354" t="n">
        <v>0</v>
      </c>
      <c r="M354" t="n">
        <v>0</v>
      </c>
      <c r="N354" t="n">
        <v>0</v>
      </c>
      <c r="O354" t="n">
        <v>0</v>
      </c>
      <c r="P354" t="n">
        <v>0</v>
      </c>
      <c r="Q354" t="n">
        <v>0</v>
      </c>
      <c r="R354" s="2" t="inlineStr"/>
    </row>
    <row r="355" ht="15" customHeight="1">
      <c r="A355" t="inlineStr">
        <is>
          <t>A 47203-2023</t>
        </is>
      </c>
      <c r="B355" s="1" t="n">
        <v>45202</v>
      </c>
      <c r="C355" s="1" t="n">
        <v>45931</v>
      </c>
      <c r="D355" t="inlineStr">
        <is>
          <t>DALARNAS LÄN</t>
        </is>
      </c>
      <c r="E355" t="inlineStr">
        <is>
          <t>LEKSAND</t>
        </is>
      </c>
      <c r="G355" t="n">
        <v>2.1</v>
      </c>
      <c r="H355" t="n">
        <v>0</v>
      </c>
      <c r="I355" t="n">
        <v>0</v>
      </c>
      <c r="J355" t="n">
        <v>0</v>
      </c>
      <c r="K355" t="n">
        <v>0</v>
      </c>
      <c r="L355" t="n">
        <v>0</v>
      </c>
      <c r="M355" t="n">
        <v>0</v>
      </c>
      <c r="N355" t="n">
        <v>0</v>
      </c>
      <c r="O355" t="n">
        <v>0</v>
      </c>
      <c r="P355" t="n">
        <v>0</v>
      </c>
      <c r="Q355" t="n">
        <v>0</v>
      </c>
      <c r="R355" s="2" t="inlineStr"/>
    </row>
    <row r="356" ht="15" customHeight="1">
      <c r="A356" t="inlineStr">
        <is>
          <t>A 9105-2024</t>
        </is>
      </c>
      <c r="B356" s="1" t="n">
        <v>45357</v>
      </c>
      <c r="C356" s="1" t="n">
        <v>45931</v>
      </c>
      <c r="D356" t="inlineStr">
        <is>
          <t>DALARNAS LÄN</t>
        </is>
      </c>
      <c r="E356" t="inlineStr">
        <is>
          <t>LEKSAND</t>
        </is>
      </c>
      <c r="G356" t="n">
        <v>1.2</v>
      </c>
      <c r="H356" t="n">
        <v>0</v>
      </c>
      <c r="I356" t="n">
        <v>0</v>
      </c>
      <c r="J356" t="n">
        <v>0</v>
      </c>
      <c r="K356" t="n">
        <v>0</v>
      </c>
      <c r="L356" t="n">
        <v>0</v>
      </c>
      <c r="M356" t="n">
        <v>0</v>
      </c>
      <c r="N356" t="n">
        <v>0</v>
      </c>
      <c r="O356" t="n">
        <v>0</v>
      </c>
      <c r="P356" t="n">
        <v>0</v>
      </c>
      <c r="Q356" t="n">
        <v>0</v>
      </c>
      <c r="R356" s="2" t="inlineStr"/>
    </row>
    <row r="357" ht="15" customHeight="1">
      <c r="A357" t="inlineStr">
        <is>
          <t>A 50447-2023</t>
        </is>
      </c>
      <c r="B357" s="1" t="n">
        <v>45216.72185185185</v>
      </c>
      <c r="C357" s="1" t="n">
        <v>45931</v>
      </c>
      <c r="D357" t="inlineStr">
        <is>
          <t>DALARNAS LÄN</t>
        </is>
      </c>
      <c r="E357" t="inlineStr">
        <is>
          <t>LEKSAND</t>
        </is>
      </c>
      <c r="G357" t="n">
        <v>1.1</v>
      </c>
      <c r="H357" t="n">
        <v>0</v>
      </c>
      <c r="I357" t="n">
        <v>0</v>
      </c>
      <c r="J357" t="n">
        <v>0</v>
      </c>
      <c r="K357" t="n">
        <v>0</v>
      </c>
      <c r="L357" t="n">
        <v>0</v>
      </c>
      <c r="M357" t="n">
        <v>0</v>
      </c>
      <c r="N357" t="n">
        <v>0</v>
      </c>
      <c r="O357" t="n">
        <v>0</v>
      </c>
      <c r="P357" t="n">
        <v>0</v>
      </c>
      <c r="Q357" t="n">
        <v>0</v>
      </c>
      <c r="R357" s="2" t="inlineStr"/>
    </row>
    <row r="358" ht="15" customHeight="1">
      <c r="A358" t="inlineStr">
        <is>
          <t>A 9781-2024</t>
        </is>
      </c>
      <c r="B358" s="1" t="n">
        <v>45362.66299768518</v>
      </c>
      <c r="C358" s="1" t="n">
        <v>45931</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60945-2024</t>
        </is>
      </c>
      <c r="B359" s="1" t="n">
        <v>45645.37893518519</v>
      </c>
      <c r="C359" s="1" t="n">
        <v>45931</v>
      </c>
      <c r="D359" t="inlineStr">
        <is>
          <t>DALARNAS LÄN</t>
        </is>
      </c>
      <c r="E359" t="inlineStr">
        <is>
          <t>LEKSAND</t>
        </is>
      </c>
      <c r="G359" t="n">
        <v>2.2</v>
      </c>
      <c r="H359" t="n">
        <v>0</v>
      </c>
      <c r="I359" t="n">
        <v>0</v>
      </c>
      <c r="J359" t="n">
        <v>0</v>
      </c>
      <c r="K359" t="n">
        <v>0</v>
      </c>
      <c r="L359" t="n">
        <v>0</v>
      </c>
      <c r="M359" t="n">
        <v>0</v>
      </c>
      <c r="N359" t="n">
        <v>0</v>
      </c>
      <c r="O359" t="n">
        <v>0</v>
      </c>
      <c r="P359" t="n">
        <v>0</v>
      </c>
      <c r="Q359" t="n">
        <v>0</v>
      </c>
      <c r="R359" s="2" t="inlineStr"/>
    </row>
    <row r="360" ht="15" customHeight="1">
      <c r="A360" t="inlineStr">
        <is>
          <t>A 63513-2023</t>
        </is>
      </c>
      <c r="B360" s="1" t="n">
        <v>45274</v>
      </c>
      <c r="C360" s="1" t="n">
        <v>45931</v>
      </c>
      <c r="D360" t="inlineStr">
        <is>
          <t>DALARNAS LÄN</t>
        </is>
      </c>
      <c r="E360" t="inlineStr">
        <is>
          <t>LEKSAND</t>
        </is>
      </c>
      <c r="G360" t="n">
        <v>2.3</v>
      </c>
      <c r="H360" t="n">
        <v>0</v>
      </c>
      <c r="I360" t="n">
        <v>0</v>
      </c>
      <c r="J360" t="n">
        <v>0</v>
      </c>
      <c r="K360" t="n">
        <v>0</v>
      </c>
      <c r="L360" t="n">
        <v>0</v>
      </c>
      <c r="M360" t="n">
        <v>0</v>
      </c>
      <c r="N360" t="n">
        <v>0</v>
      </c>
      <c r="O360" t="n">
        <v>0</v>
      </c>
      <c r="P360" t="n">
        <v>0</v>
      </c>
      <c r="Q360" t="n">
        <v>0</v>
      </c>
      <c r="R360" s="2" t="inlineStr"/>
    </row>
    <row r="361" ht="15" customHeight="1">
      <c r="A361" t="inlineStr">
        <is>
          <t>A 40230-2023</t>
        </is>
      </c>
      <c r="B361" s="1" t="n">
        <v>45169.46887731482</v>
      </c>
      <c r="C361" s="1" t="n">
        <v>45931</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61787-2022</t>
        </is>
      </c>
      <c r="B362" s="1" t="n">
        <v>44917</v>
      </c>
      <c r="C362" s="1" t="n">
        <v>45931</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39819-2024</t>
        </is>
      </c>
      <c r="B363" s="1" t="n">
        <v>45553.38774305556</v>
      </c>
      <c r="C363" s="1" t="n">
        <v>45931</v>
      </c>
      <c r="D363" t="inlineStr">
        <is>
          <t>DALARNAS LÄN</t>
        </is>
      </c>
      <c r="E363" t="inlineStr">
        <is>
          <t>LEKSAND</t>
        </is>
      </c>
      <c r="F363" t="inlineStr">
        <is>
          <t>Bergvik skog väst AB</t>
        </is>
      </c>
      <c r="G363" t="n">
        <v>3.7</v>
      </c>
      <c r="H363" t="n">
        <v>0</v>
      </c>
      <c r="I363" t="n">
        <v>0</v>
      </c>
      <c r="J363" t="n">
        <v>0</v>
      </c>
      <c r="K363" t="n">
        <v>0</v>
      </c>
      <c r="L363" t="n">
        <v>0</v>
      </c>
      <c r="M363" t="n">
        <v>0</v>
      </c>
      <c r="N363" t="n">
        <v>0</v>
      </c>
      <c r="O363" t="n">
        <v>0</v>
      </c>
      <c r="P363" t="n">
        <v>0</v>
      </c>
      <c r="Q363" t="n">
        <v>0</v>
      </c>
      <c r="R363" s="2" t="inlineStr"/>
    </row>
    <row r="364" ht="15" customHeight="1">
      <c r="A364" t="inlineStr">
        <is>
          <t>A 28913-2024</t>
        </is>
      </c>
      <c r="B364" s="1" t="n">
        <v>45480.75318287037</v>
      </c>
      <c r="C364" s="1" t="n">
        <v>45931</v>
      </c>
      <c r="D364" t="inlineStr">
        <is>
          <t>DALARNAS LÄN</t>
        </is>
      </c>
      <c r="E364" t="inlineStr">
        <is>
          <t>LEKSAND</t>
        </is>
      </c>
      <c r="G364" t="n">
        <v>1.5</v>
      </c>
      <c r="H364" t="n">
        <v>0</v>
      </c>
      <c r="I364" t="n">
        <v>0</v>
      </c>
      <c r="J364" t="n">
        <v>0</v>
      </c>
      <c r="K364" t="n">
        <v>0</v>
      </c>
      <c r="L364" t="n">
        <v>0</v>
      </c>
      <c r="M364" t="n">
        <v>0</v>
      </c>
      <c r="N364" t="n">
        <v>0</v>
      </c>
      <c r="O364" t="n">
        <v>0</v>
      </c>
      <c r="P364" t="n">
        <v>0</v>
      </c>
      <c r="Q364" t="n">
        <v>0</v>
      </c>
      <c r="R364" s="2" t="inlineStr"/>
    </row>
    <row r="365" ht="15" customHeight="1">
      <c r="A365" t="inlineStr">
        <is>
          <t>A 22536-2025</t>
        </is>
      </c>
      <c r="B365" s="1" t="n">
        <v>45787.33037037037</v>
      </c>
      <c r="C365" s="1" t="n">
        <v>45931</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39921-2024</t>
        </is>
      </c>
      <c r="B366" s="1" t="n">
        <v>45553</v>
      </c>
      <c r="C366" s="1" t="n">
        <v>45931</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60042-2023</t>
        </is>
      </c>
      <c r="B367" s="1" t="n">
        <v>45256</v>
      </c>
      <c r="C367" s="1" t="n">
        <v>45931</v>
      </c>
      <c r="D367" t="inlineStr">
        <is>
          <t>DALARNAS LÄN</t>
        </is>
      </c>
      <c r="E367" t="inlineStr">
        <is>
          <t>LEKSAND</t>
        </is>
      </c>
      <c r="G367" t="n">
        <v>2</v>
      </c>
      <c r="H367" t="n">
        <v>0</v>
      </c>
      <c r="I367" t="n">
        <v>0</v>
      </c>
      <c r="J367" t="n">
        <v>0</v>
      </c>
      <c r="K367" t="n">
        <v>0</v>
      </c>
      <c r="L367" t="n">
        <v>0</v>
      </c>
      <c r="M367" t="n">
        <v>0</v>
      </c>
      <c r="N367" t="n">
        <v>0</v>
      </c>
      <c r="O367" t="n">
        <v>0</v>
      </c>
      <c r="P367" t="n">
        <v>0</v>
      </c>
      <c r="Q367" t="n">
        <v>0</v>
      </c>
      <c r="R367" s="2" t="inlineStr"/>
    </row>
    <row r="368" ht="15" customHeight="1">
      <c r="A368" t="inlineStr">
        <is>
          <t>A 41015-2024</t>
        </is>
      </c>
      <c r="B368" s="1" t="n">
        <v>45559.32537037037</v>
      </c>
      <c r="C368" s="1" t="n">
        <v>45931</v>
      </c>
      <c r="D368" t="inlineStr">
        <is>
          <t>DALARNAS LÄN</t>
        </is>
      </c>
      <c r="E368" t="inlineStr">
        <is>
          <t>LEKSAND</t>
        </is>
      </c>
      <c r="G368" t="n">
        <v>1.6</v>
      </c>
      <c r="H368" t="n">
        <v>0</v>
      </c>
      <c r="I368" t="n">
        <v>0</v>
      </c>
      <c r="J368" t="n">
        <v>0</v>
      </c>
      <c r="K368" t="n">
        <v>0</v>
      </c>
      <c r="L368" t="n">
        <v>0</v>
      </c>
      <c r="M368" t="n">
        <v>0</v>
      </c>
      <c r="N368" t="n">
        <v>0</v>
      </c>
      <c r="O368" t="n">
        <v>0</v>
      </c>
      <c r="P368" t="n">
        <v>0</v>
      </c>
      <c r="Q368" t="n">
        <v>0</v>
      </c>
      <c r="R368" s="2" t="inlineStr"/>
    </row>
    <row r="369" ht="15" customHeight="1">
      <c r="A369" t="inlineStr">
        <is>
          <t>A 52100-2024</t>
        </is>
      </c>
      <c r="B369" s="1" t="n">
        <v>45608.41634259259</v>
      </c>
      <c r="C369" s="1" t="n">
        <v>45931</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4257-2022</t>
        </is>
      </c>
      <c r="B370" s="1" t="n">
        <v>44588</v>
      </c>
      <c r="C370" s="1" t="n">
        <v>45931</v>
      </c>
      <c r="D370" t="inlineStr">
        <is>
          <t>DALARNAS LÄN</t>
        </is>
      </c>
      <c r="E370" t="inlineStr">
        <is>
          <t>LEKSAND</t>
        </is>
      </c>
      <c r="G370" t="n">
        <v>6.8</v>
      </c>
      <c r="H370" t="n">
        <v>0</v>
      </c>
      <c r="I370" t="n">
        <v>0</v>
      </c>
      <c r="J370" t="n">
        <v>0</v>
      </c>
      <c r="K370" t="n">
        <v>0</v>
      </c>
      <c r="L370" t="n">
        <v>0</v>
      </c>
      <c r="M370" t="n">
        <v>0</v>
      </c>
      <c r="N370" t="n">
        <v>0</v>
      </c>
      <c r="O370" t="n">
        <v>0</v>
      </c>
      <c r="P370" t="n">
        <v>0</v>
      </c>
      <c r="Q370" t="n">
        <v>0</v>
      </c>
      <c r="R370" s="2" t="inlineStr"/>
    </row>
    <row r="371" ht="15" customHeight="1">
      <c r="A371" t="inlineStr">
        <is>
          <t>A 31726-2024</t>
        </is>
      </c>
      <c r="B371" s="1" t="n">
        <v>45509.33908564815</v>
      </c>
      <c r="C371" s="1" t="n">
        <v>45931</v>
      </c>
      <c r="D371" t="inlineStr">
        <is>
          <t>DALARNAS LÄN</t>
        </is>
      </c>
      <c r="E371" t="inlineStr">
        <is>
          <t>LEKSAND</t>
        </is>
      </c>
      <c r="G371" t="n">
        <v>1.1</v>
      </c>
      <c r="H371" t="n">
        <v>0</v>
      </c>
      <c r="I371" t="n">
        <v>0</v>
      </c>
      <c r="J371" t="n">
        <v>0</v>
      </c>
      <c r="K371" t="n">
        <v>0</v>
      </c>
      <c r="L371" t="n">
        <v>0</v>
      </c>
      <c r="M371" t="n">
        <v>0</v>
      </c>
      <c r="N371" t="n">
        <v>0</v>
      </c>
      <c r="O371" t="n">
        <v>0</v>
      </c>
      <c r="P371" t="n">
        <v>0</v>
      </c>
      <c r="Q371" t="n">
        <v>0</v>
      </c>
      <c r="R371" s="2" t="inlineStr"/>
    </row>
    <row r="372" ht="15" customHeight="1">
      <c r="A372" t="inlineStr">
        <is>
          <t>A 22876-2025</t>
        </is>
      </c>
      <c r="B372" s="1" t="n">
        <v>45790.3728587963</v>
      </c>
      <c r="C372" s="1" t="n">
        <v>45931</v>
      </c>
      <c r="D372" t="inlineStr">
        <is>
          <t>DALARNAS LÄN</t>
        </is>
      </c>
      <c r="E372" t="inlineStr">
        <is>
          <t>LEKSAND</t>
        </is>
      </c>
      <c r="G372" t="n">
        <v>5.9</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45931</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23517-2025</t>
        </is>
      </c>
      <c r="B374" s="1" t="n">
        <v>45792</v>
      </c>
      <c r="C374" s="1" t="n">
        <v>45931</v>
      </c>
      <c r="D374" t="inlineStr">
        <is>
          <t>DALARNAS LÄN</t>
        </is>
      </c>
      <c r="E374" t="inlineStr">
        <is>
          <t>LEKSAND</t>
        </is>
      </c>
      <c r="G374" t="n">
        <v>2.2</v>
      </c>
      <c r="H374" t="n">
        <v>0</v>
      </c>
      <c r="I374" t="n">
        <v>0</v>
      </c>
      <c r="J374" t="n">
        <v>0</v>
      </c>
      <c r="K374" t="n">
        <v>0</v>
      </c>
      <c r="L374" t="n">
        <v>0</v>
      </c>
      <c r="M374" t="n">
        <v>0</v>
      </c>
      <c r="N374" t="n">
        <v>0</v>
      </c>
      <c r="O374" t="n">
        <v>0</v>
      </c>
      <c r="P374" t="n">
        <v>0</v>
      </c>
      <c r="Q374" t="n">
        <v>0</v>
      </c>
      <c r="R374" s="2" t="inlineStr"/>
    </row>
    <row r="375" ht="15" customHeight="1">
      <c r="A375" t="inlineStr">
        <is>
          <t>A 27791-2023</t>
        </is>
      </c>
      <c r="B375" s="1" t="n">
        <v>45098</v>
      </c>
      <c r="C375" s="1" t="n">
        <v>45931</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55512-2024</t>
        </is>
      </c>
      <c r="B376" s="1" t="n">
        <v>45621</v>
      </c>
      <c r="C376" s="1" t="n">
        <v>45931</v>
      </c>
      <c r="D376" t="inlineStr">
        <is>
          <t>DALARNAS LÄN</t>
        </is>
      </c>
      <c r="E376" t="inlineStr">
        <is>
          <t>LEKSAND</t>
        </is>
      </c>
      <c r="G376" t="n">
        <v>1.5</v>
      </c>
      <c r="H376" t="n">
        <v>0</v>
      </c>
      <c r="I376" t="n">
        <v>0</v>
      </c>
      <c r="J376" t="n">
        <v>0</v>
      </c>
      <c r="K376" t="n">
        <v>0</v>
      </c>
      <c r="L376" t="n">
        <v>0</v>
      </c>
      <c r="M376" t="n">
        <v>0</v>
      </c>
      <c r="N376" t="n">
        <v>0</v>
      </c>
      <c r="O376" t="n">
        <v>0</v>
      </c>
      <c r="P376" t="n">
        <v>0</v>
      </c>
      <c r="Q376" t="n">
        <v>0</v>
      </c>
      <c r="R376" s="2" t="inlineStr"/>
    </row>
    <row r="377" ht="15" customHeight="1">
      <c r="A377" t="inlineStr">
        <is>
          <t>A 52059-2024</t>
        </is>
      </c>
      <c r="B377" s="1" t="n">
        <v>45608.35609953704</v>
      </c>
      <c r="C377" s="1" t="n">
        <v>45931</v>
      </c>
      <c r="D377" t="inlineStr">
        <is>
          <t>DALARNAS LÄN</t>
        </is>
      </c>
      <c r="E377" t="inlineStr">
        <is>
          <t>LEKSAND</t>
        </is>
      </c>
      <c r="G377" t="n">
        <v>0.8</v>
      </c>
      <c r="H377" t="n">
        <v>0</v>
      </c>
      <c r="I377" t="n">
        <v>0</v>
      </c>
      <c r="J377" t="n">
        <v>0</v>
      </c>
      <c r="K377" t="n">
        <v>0</v>
      </c>
      <c r="L377" t="n">
        <v>0</v>
      </c>
      <c r="M377" t="n">
        <v>0</v>
      </c>
      <c r="N377" t="n">
        <v>0</v>
      </c>
      <c r="O377" t="n">
        <v>0</v>
      </c>
      <c r="P377" t="n">
        <v>0</v>
      </c>
      <c r="Q377" t="n">
        <v>0</v>
      </c>
      <c r="R377" s="2" t="inlineStr"/>
    </row>
    <row r="378" ht="15" customHeight="1">
      <c r="A378" t="inlineStr">
        <is>
          <t>A 12992-2022</t>
        </is>
      </c>
      <c r="B378" s="1" t="n">
        <v>44643</v>
      </c>
      <c r="C378" s="1" t="n">
        <v>45931</v>
      </c>
      <c r="D378" t="inlineStr">
        <is>
          <t>DALARNAS LÄN</t>
        </is>
      </c>
      <c r="E378" t="inlineStr">
        <is>
          <t>LEKSAND</t>
        </is>
      </c>
      <c r="G378" t="n">
        <v>1.5</v>
      </c>
      <c r="H378" t="n">
        <v>0</v>
      </c>
      <c r="I378" t="n">
        <v>0</v>
      </c>
      <c r="J378" t="n">
        <v>0</v>
      </c>
      <c r="K378" t="n">
        <v>0</v>
      </c>
      <c r="L378" t="n">
        <v>0</v>
      </c>
      <c r="M378" t="n">
        <v>0</v>
      </c>
      <c r="N378" t="n">
        <v>0</v>
      </c>
      <c r="O378" t="n">
        <v>0</v>
      </c>
      <c r="P378" t="n">
        <v>0</v>
      </c>
      <c r="Q378" t="n">
        <v>0</v>
      </c>
      <c r="R378" s="2" t="inlineStr"/>
    </row>
    <row r="379" ht="15" customHeight="1">
      <c r="A379" t="inlineStr">
        <is>
          <t>A 14504-2025</t>
        </is>
      </c>
      <c r="B379" s="1" t="n">
        <v>45741</v>
      </c>
      <c r="C379" s="1" t="n">
        <v>45931</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23058-2025</t>
        </is>
      </c>
      <c r="B380" s="1" t="n">
        <v>45790.78076388889</v>
      </c>
      <c r="C380" s="1" t="n">
        <v>45931</v>
      </c>
      <c r="D380" t="inlineStr">
        <is>
          <t>DALARNAS LÄN</t>
        </is>
      </c>
      <c r="E380" t="inlineStr">
        <is>
          <t>LEKSAND</t>
        </is>
      </c>
      <c r="G380" t="n">
        <v>6.7</v>
      </c>
      <c r="H380" t="n">
        <v>0</v>
      </c>
      <c r="I380" t="n">
        <v>0</v>
      </c>
      <c r="J380" t="n">
        <v>0</v>
      </c>
      <c r="K380" t="n">
        <v>0</v>
      </c>
      <c r="L380" t="n">
        <v>0</v>
      </c>
      <c r="M380" t="n">
        <v>0</v>
      </c>
      <c r="N380" t="n">
        <v>0</v>
      </c>
      <c r="O380" t="n">
        <v>0</v>
      </c>
      <c r="P380" t="n">
        <v>0</v>
      </c>
      <c r="Q380" t="n">
        <v>0</v>
      </c>
      <c r="R380" s="2" t="inlineStr"/>
    </row>
    <row r="381" ht="15" customHeight="1">
      <c r="A381" t="inlineStr">
        <is>
          <t>A 23076-2025</t>
        </is>
      </c>
      <c r="B381" s="1" t="n">
        <v>45790.90960648148</v>
      </c>
      <c r="C381" s="1" t="n">
        <v>45931</v>
      </c>
      <c r="D381" t="inlineStr">
        <is>
          <t>DALARNAS LÄN</t>
        </is>
      </c>
      <c r="E381" t="inlineStr">
        <is>
          <t>LEKSAND</t>
        </is>
      </c>
      <c r="G381" t="n">
        <v>0.9</v>
      </c>
      <c r="H381" t="n">
        <v>0</v>
      </c>
      <c r="I381" t="n">
        <v>0</v>
      </c>
      <c r="J381" t="n">
        <v>0</v>
      </c>
      <c r="K381" t="n">
        <v>0</v>
      </c>
      <c r="L381" t="n">
        <v>0</v>
      </c>
      <c r="M381" t="n">
        <v>0</v>
      </c>
      <c r="N381" t="n">
        <v>0</v>
      </c>
      <c r="O381" t="n">
        <v>0</v>
      </c>
      <c r="P381" t="n">
        <v>0</v>
      </c>
      <c r="Q381" t="n">
        <v>0</v>
      </c>
      <c r="R381" s="2" t="inlineStr"/>
    </row>
    <row r="382" ht="15" customHeight="1">
      <c r="A382" t="inlineStr">
        <is>
          <t>A 11712-2025</t>
        </is>
      </c>
      <c r="B382" s="1" t="n">
        <v>45727</v>
      </c>
      <c r="C382" s="1" t="n">
        <v>45931</v>
      </c>
      <c r="D382" t="inlineStr">
        <is>
          <t>DALARNAS LÄN</t>
        </is>
      </c>
      <c r="E382" t="inlineStr">
        <is>
          <t>LEKSAND</t>
        </is>
      </c>
      <c r="G382" t="n">
        <v>6</v>
      </c>
      <c r="H382" t="n">
        <v>0</v>
      </c>
      <c r="I382" t="n">
        <v>0</v>
      </c>
      <c r="J382" t="n">
        <v>0</v>
      </c>
      <c r="K382" t="n">
        <v>0</v>
      </c>
      <c r="L382" t="n">
        <v>0</v>
      </c>
      <c r="M382" t="n">
        <v>0</v>
      </c>
      <c r="N382" t="n">
        <v>0</v>
      </c>
      <c r="O382" t="n">
        <v>0</v>
      </c>
      <c r="P382" t="n">
        <v>0</v>
      </c>
      <c r="Q382" t="n">
        <v>0</v>
      </c>
      <c r="R382" s="2" t="inlineStr"/>
    </row>
    <row r="383" ht="15" customHeight="1">
      <c r="A383" t="inlineStr">
        <is>
          <t>A 57468-2023</t>
        </is>
      </c>
      <c r="B383" s="1" t="n">
        <v>45246</v>
      </c>
      <c r="C383" s="1" t="n">
        <v>45931</v>
      </c>
      <c r="D383" t="inlineStr">
        <is>
          <t>DALARNAS LÄN</t>
        </is>
      </c>
      <c r="E383" t="inlineStr">
        <is>
          <t>LEKSAND</t>
        </is>
      </c>
      <c r="G383" t="n">
        <v>4.6</v>
      </c>
      <c r="H383" t="n">
        <v>0</v>
      </c>
      <c r="I383" t="n">
        <v>0</v>
      </c>
      <c r="J383" t="n">
        <v>0</v>
      </c>
      <c r="K383" t="n">
        <v>0</v>
      </c>
      <c r="L383" t="n">
        <v>0</v>
      </c>
      <c r="M383" t="n">
        <v>0</v>
      </c>
      <c r="N383" t="n">
        <v>0</v>
      </c>
      <c r="O383" t="n">
        <v>0</v>
      </c>
      <c r="P383" t="n">
        <v>0</v>
      </c>
      <c r="Q383" t="n">
        <v>0</v>
      </c>
      <c r="R383" s="2" t="inlineStr"/>
    </row>
    <row r="384" ht="15" customHeight="1">
      <c r="A384" t="inlineStr">
        <is>
          <t>A 44822-2024</t>
        </is>
      </c>
      <c r="B384" s="1" t="n">
        <v>45574.6646412037</v>
      </c>
      <c r="C384" s="1" t="n">
        <v>45931</v>
      </c>
      <c r="D384" t="inlineStr">
        <is>
          <t>DALARNAS LÄN</t>
        </is>
      </c>
      <c r="E384" t="inlineStr">
        <is>
          <t>LEKSAND</t>
        </is>
      </c>
      <c r="G384" t="n">
        <v>1</v>
      </c>
      <c r="H384" t="n">
        <v>0</v>
      </c>
      <c r="I384" t="n">
        <v>0</v>
      </c>
      <c r="J384" t="n">
        <v>0</v>
      </c>
      <c r="K384" t="n">
        <v>0</v>
      </c>
      <c r="L384" t="n">
        <v>0</v>
      </c>
      <c r="M384" t="n">
        <v>0</v>
      </c>
      <c r="N384" t="n">
        <v>0</v>
      </c>
      <c r="O384" t="n">
        <v>0</v>
      </c>
      <c r="P384" t="n">
        <v>0</v>
      </c>
      <c r="Q384" t="n">
        <v>0</v>
      </c>
      <c r="R384" s="2" t="inlineStr"/>
    </row>
    <row r="385" ht="15" customHeight="1">
      <c r="A385" t="inlineStr">
        <is>
          <t>A 49499-2024</t>
        </is>
      </c>
      <c r="B385" s="1" t="n">
        <v>45596</v>
      </c>
      <c r="C385" s="1" t="n">
        <v>45931</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40007-2024</t>
        </is>
      </c>
      <c r="B386" s="1" t="n">
        <v>45553.6516550926</v>
      </c>
      <c r="C386" s="1" t="n">
        <v>45931</v>
      </c>
      <c r="D386" t="inlineStr">
        <is>
          <t>DALARNAS LÄN</t>
        </is>
      </c>
      <c r="E386" t="inlineStr">
        <is>
          <t>LEKSAND</t>
        </is>
      </c>
      <c r="F386" t="inlineStr">
        <is>
          <t>Bergvik skog väst AB</t>
        </is>
      </c>
      <c r="G386" t="n">
        <v>3.2</v>
      </c>
      <c r="H386" t="n">
        <v>0</v>
      </c>
      <c r="I386" t="n">
        <v>0</v>
      </c>
      <c r="J386" t="n">
        <v>0</v>
      </c>
      <c r="K386" t="n">
        <v>0</v>
      </c>
      <c r="L386" t="n">
        <v>0</v>
      </c>
      <c r="M386" t="n">
        <v>0</v>
      </c>
      <c r="N386" t="n">
        <v>0</v>
      </c>
      <c r="O386" t="n">
        <v>0</v>
      </c>
      <c r="P386" t="n">
        <v>0</v>
      </c>
      <c r="Q386" t="n">
        <v>0</v>
      </c>
      <c r="R386" s="2" t="inlineStr"/>
    </row>
    <row r="387" ht="15" customHeight="1">
      <c r="A387" t="inlineStr">
        <is>
          <t>A 2311-2021</t>
        </is>
      </c>
      <c r="B387" s="1" t="n">
        <v>44213</v>
      </c>
      <c r="C387" s="1" t="n">
        <v>45931</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32072-2024</t>
        </is>
      </c>
      <c r="B388" s="1" t="n">
        <v>45510.98405092592</v>
      </c>
      <c r="C388" s="1" t="n">
        <v>45931</v>
      </c>
      <c r="D388" t="inlineStr">
        <is>
          <t>DALARNAS LÄN</t>
        </is>
      </c>
      <c r="E388" t="inlineStr">
        <is>
          <t>LEKSAND</t>
        </is>
      </c>
      <c r="G388" t="n">
        <v>1.4</v>
      </c>
      <c r="H388" t="n">
        <v>0</v>
      </c>
      <c r="I388" t="n">
        <v>0</v>
      </c>
      <c r="J388" t="n">
        <v>0</v>
      </c>
      <c r="K388" t="n">
        <v>0</v>
      </c>
      <c r="L388" t="n">
        <v>0</v>
      </c>
      <c r="M388" t="n">
        <v>0</v>
      </c>
      <c r="N388" t="n">
        <v>0</v>
      </c>
      <c r="O388" t="n">
        <v>0</v>
      </c>
      <c r="P388" t="n">
        <v>0</v>
      </c>
      <c r="Q388" t="n">
        <v>0</v>
      </c>
      <c r="R388" s="2" t="inlineStr"/>
    </row>
    <row r="389" ht="15" customHeight="1">
      <c r="A389" t="inlineStr">
        <is>
          <t>A 23855-2025</t>
        </is>
      </c>
      <c r="B389" s="1" t="n">
        <v>45793.65900462963</v>
      </c>
      <c r="C389" s="1" t="n">
        <v>45931</v>
      </c>
      <c r="D389" t="inlineStr">
        <is>
          <t>DALARNAS LÄN</t>
        </is>
      </c>
      <c r="E389" t="inlineStr">
        <is>
          <t>LEKSAND</t>
        </is>
      </c>
      <c r="G389" t="n">
        <v>0.6</v>
      </c>
      <c r="H389" t="n">
        <v>0</v>
      </c>
      <c r="I389" t="n">
        <v>0</v>
      </c>
      <c r="J389" t="n">
        <v>0</v>
      </c>
      <c r="K389" t="n">
        <v>0</v>
      </c>
      <c r="L389" t="n">
        <v>0</v>
      </c>
      <c r="M389" t="n">
        <v>0</v>
      </c>
      <c r="N389" t="n">
        <v>0</v>
      </c>
      <c r="O389" t="n">
        <v>0</v>
      </c>
      <c r="P389" t="n">
        <v>0</v>
      </c>
      <c r="Q389" t="n">
        <v>0</v>
      </c>
      <c r="R389" s="2" t="inlineStr"/>
    </row>
    <row r="390" ht="15" customHeight="1">
      <c r="A390" t="inlineStr">
        <is>
          <t>A 24003-2024</t>
        </is>
      </c>
      <c r="B390" s="1" t="n">
        <v>45456.39003472222</v>
      </c>
      <c r="C390" s="1" t="n">
        <v>45931</v>
      </c>
      <c r="D390" t="inlineStr">
        <is>
          <t>DALARNAS LÄN</t>
        </is>
      </c>
      <c r="E390" t="inlineStr">
        <is>
          <t>LEKSAND</t>
        </is>
      </c>
      <c r="F390" t="inlineStr">
        <is>
          <t>Bergvik skog väst AB</t>
        </is>
      </c>
      <c r="G390" t="n">
        <v>3.2</v>
      </c>
      <c r="H390" t="n">
        <v>0</v>
      </c>
      <c r="I390" t="n">
        <v>0</v>
      </c>
      <c r="J390" t="n">
        <v>0</v>
      </c>
      <c r="K390" t="n">
        <v>0</v>
      </c>
      <c r="L390" t="n">
        <v>0</v>
      </c>
      <c r="M390" t="n">
        <v>0</v>
      </c>
      <c r="N390" t="n">
        <v>0</v>
      </c>
      <c r="O390" t="n">
        <v>0</v>
      </c>
      <c r="P390" t="n">
        <v>0</v>
      </c>
      <c r="Q390" t="n">
        <v>0</v>
      </c>
      <c r="R390" s="2" t="inlineStr"/>
    </row>
    <row r="391" ht="15" customHeight="1">
      <c r="A391" t="inlineStr">
        <is>
          <t>A 40642-2023</t>
        </is>
      </c>
      <c r="B391" s="1" t="n">
        <v>45169</v>
      </c>
      <c r="C391" s="1" t="n">
        <v>45931</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24919-2024</t>
        </is>
      </c>
      <c r="B392" s="1" t="n">
        <v>45461.60636574074</v>
      </c>
      <c r="C392" s="1" t="n">
        <v>45931</v>
      </c>
      <c r="D392" t="inlineStr">
        <is>
          <t>DALARNAS LÄN</t>
        </is>
      </c>
      <c r="E392" t="inlineStr">
        <is>
          <t>LEKSAND</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47854-2023</t>
        </is>
      </c>
      <c r="B393" s="1" t="n">
        <v>45198</v>
      </c>
      <c r="C393" s="1" t="n">
        <v>45931</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7450-2023</t>
        </is>
      </c>
      <c r="B394" s="1" t="n">
        <v>44971</v>
      </c>
      <c r="C394" s="1" t="n">
        <v>45931</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13165-2023</t>
        </is>
      </c>
      <c r="B395" s="1" t="n">
        <v>45002.57731481481</v>
      </c>
      <c r="C395" s="1" t="n">
        <v>45931</v>
      </c>
      <c r="D395" t="inlineStr">
        <is>
          <t>DALARNAS LÄN</t>
        </is>
      </c>
      <c r="E395" t="inlineStr">
        <is>
          <t>LEKSAND</t>
        </is>
      </c>
      <c r="G395" t="n">
        <v>2.4</v>
      </c>
      <c r="H395" t="n">
        <v>0</v>
      </c>
      <c r="I395" t="n">
        <v>0</v>
      </c>
      <c r="J395" t="n">
        <v>0</v>
      </c>
      <c r="K395" t="n">
        <v>0</v>
      </c>
      <c r="L395" t="n">
        <v>0</v>
      </c>
      <c r="M395" t="n">
        <v>0</v>
      </c>
      <c r="N395" t="n">
        <v>0</v>
      </c>
      <c r="O395" t="n">
        <v>0</v>
      </c>
      <c r="P395" t="n">
        <v>0</v>
      </c>
      <c r="Q395" t="n">
        <v>0</v>
      </c>
      <c r="R395" s="2" t="inlineStr"/>
    </row>
    <row r="396" ht="15" customHeight="1">
      <c r="A396" t="inlineStr">
        <is>
          <t>A 39136-2023</t>
        </is>
      </c>
      <c r="B396" s="1" t="n">
        <v>45165</v>
      </c>
      <c r="C396" s="1" t="n">
        <v>45931</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7467-2023</t>
        </is>
      </c>
      <c r="B397" s="1" t="n">
        <v>44966</v>
      </c>
      <c r="C397" s="1" t="n">
        <v>45931</v>
      </c>
      <c r="D397" t="inlineStr">
        <is>
          <t>DALARNAS LÄN</t>
        </is>
      </c>
      <c r="E397" t="inlineStr">
        <is>
          <t>LEKSAND</t>
        </is>
      </c>
      <c r="G397" t="n">
        <v>2.4</v>
      </c>
      <c r="H397" t="n">
        <v>0</v>
      </c>
      <c r="I397" t="n">
        <v>0</v>
      </c>
      <c r="J397" t="n">
        <v>0</v>
      </c>
      <c r="K397" t="n">
        <v>0</v>
      </c>
      <c r="L397" t="n">
        <v>0</v>
      </c>
      <c r="M397" t="n">
        <v>0</v>
      </c>
      <c r="N397" t="n">
        <v>0</v>
      </c>
      <c r="O397" t="n">
        <v>0</v>
      </c>
      <c r="P397" t="n">
        <v>0</v>
      </c>
      <c r="Q397" t="n">
        <v>0</v>
      </c>
      <c r="R397" s="2" t="inlineStr"/>
    </row>
    <row r="398" ht="15" customHeight="1">
      <c r="A398" t="inlineStr">
        <is>
          <t>A 45788-2021</t>
        </is>
      </c>
      <c r="B398" s="1" t="n">
        <v>44441</v>
      </c>
      <c r="C398" s="1" t="n">
        <v>45931</v>
      </c>
      <c r="D398" t="inlineStr">
        <is>
          <t>DALARNAS LÄN</t>
        </is>
      </c>
      <c r="E398" t="inlineStr">
        <is>
          <t>LEKSAND</t>
        </is>
      </c>
      <c r="G398" t="n">
        <v>3</v>
      </c>
      <c r="H398" t="n">
        <v>0</v>
      </c>
      <c r="I398" t="n">
        <v>0</v>
      </c>
      <c r="J398" t="n">
        <v>0</v>
      </c>
      <c r="K398" t="n">
        <v>0</v>
      </c>
      <c r="L398" t="n">
        <v>0</v>
      </c>
      <c r="M398" t="n">
        <v>0</v>
      </c>
      <c r="N398" t="n">
        <v>0</v>
      </c>
      <c r="O398" t="n">
        <v>0</v>
      </c>
      <c r="P398" t="n">
        <v>0</v>
      </c>
      <c r="Q398" t="n">
        <v>0</v>
      </c>
      <c r="R398" s="2" t="inlineStr"/>
    </row>
    <row r="399" ht="15" customHeight="1">
      <c r="A399" t="inlineStr">
        <is>
          <t>A 44469-2024</t>
        </is>
      </c>
      <c r="B399" s="1" t="n">
        <v>45574</v>
      </c>
      <c r="C399" s="1" t="n">
        <v>45931</v>
      </c>
      <c r="D399" t="inlineStr">
        <is>
          <t>DALARNAS LÄN</t>
        </is>
      </c>
      <c r="E399" t="inlineStr">
        <is>
          <t>LEKSAND</t>
        </is>
      </c>
      <c r="G399" t="n">
        <v>2</v>
      </c>
      <c r="H399" t="n">
        <v>0</v>
      </c>
      <c r="I399" t="n">
        <v>0</v>
      </c>
      <c r="J399" t="n">
        <v>0</v>
      </c>
      <c r="K399" t="n">
        <v>0</v>
      </c>
      <c r="L399" t="n">
        <v>0</v>
      </c>
      <c r="M399" t="n">
        <v>0</v>
      </c>
      <c r="N399" t="n">
        <v>0</v>
      </c>
      <c r="O399" t="n">
        <v>0</v>
      </c>
      <c r="P399" t="n">
        <v>0</v>
      </c>
      <c r="Q399" t="n">
        <v>0</v>
      </c>
      <c r="R399" s="2" t="inlineStr"/>
    </row>
    <row r="400" ht="15" customHeight="1">
      <c r="A400" t="inlineStr">
        <is>
          <t>A 52293-2024</t>
        </is>
      </c>
      <c r="B400" s="1" t="n">
        <v>45608.71297453704</v>
      </c>
      <c r="C400" s="1" t="n">
        <v>45931</v>
      </c>
      <c r="D400" t="inlineStr">
        <is>
          <t>DALARNAS LÄN</t>
        </is>
      </c>
      <c r="E400" t="inlineStr">
        <is>
          <t>LEKSAND</t>
        </is>
      </c>
      <c r="G400" t="n">
        <v>1.6</v>
      </c>
      <c r="H400" t="n">
        <v>0</v>
      </c>
      <c r="I400" t="n">
        <v>0</v>
      </c>
      <c r="J400" t="n">
        <v>0</v>
      </c>
      <c r="K400" t="n">
        <v>0</v>
      </c>
      <c r="L400" t="n">
        <v>0</v>
      </c>
      <c r="M400" t="n">
        <v>0</v>
      </c>
      <c r="N400" t="n">
        <v>0</v>
      </c>
      <c r="O400" t="n">
        <v>0</v>
      </c>
      <c r="P400" t="n">
        <v>0</v>
      </c>
      <c r="Q400" t="n">
        <v>0</v>
      </c>
      <c r="R400" s="2" t="inlineStr"/>
    </row>
    <row r="401" ht="15" customHeight="1">
      <c r="A401" t="inlineStr">
        <is>
          <t>A 28592-2023</t>
        </is>
      </c>
      <c r="B401" s="1" t="n">
        <v>45103</v>
      </c>
      <c r="C401" s="1" t="n">
        <v>45931</v>
      </c>
      <c r="D401" t="inlineStr">
        <is>
          <t>DALARNAS LÄN</t>
        </is>
      </c>
      <c r="E401" t="inlineStr">
        <is>
          <t>LEKSAND</t>
        </is>
      </c>
      <c r="G401" t="n">
        <v>0.5</v>
      </c>
      <c r="H401" t="n">
        <v>0</v>
      </c>
      <c r="I401" t="n">
        <v>0</v>
      </c>
      <c r="J401" t="n">
        <v>0</v>
      </c>
      <c r="K401" t="n">
        <v>0</v>
      </c>
      <c r="L401" t="n">
        <v>0</v>
      </c>
      <c r="M401" t="n">
        <v>0</v>
      </c>
      <c r="N401" t="n">
        <v>0</v>
      </c>
      <c r="O401" t="n">
        <v>0</v>
      </c>
      <c r="P401" t="n">
        <v>0</v>
      </c>
      <c r="Q401" t="n">
        <v>0</v>
      </c>
      <c r="R401" s="2" t="inlineStr"/>
    </row>
    <row r="402" ht="15" customHeight="1">
      <c r="A402" t="inlineStr">
        <is>
          <t>A 46876-2023</t>
        </is>
      </c>
      <c r="B402" s="1" t="n">
        <v>45200</v>
      </c>
      <c r="C402" s="1" t="n">
        <v>45931</v>
      </c>
      <c r="D402" t="inlineStr">
        <is>
          <t>DALARNAS LÄN</t>
        </is>
      </c>
      <c r="E402" t="inlineStr">
        <is>
          <t>LEKSAND</t>
        </is>
      </c>
      <c r="G402" t="n">
        <v>2.4</v>
      </c>
      <c r="H402" t="n">
        <v>0</v>
      </c>
      <c r="I402" t="n">
        <v>0</v>
      </c>
      <c r="J402" t="n">
        <v>0</v>
      </c>
      <c r="K402" t="n">
        <v>0</v>
      </c>
      <c r="L402" t="n">
        <v>0</v>
      </c>
      <c r="M402" t="n">
        <v>0</v>
      </c>
      <c r="N402" t="n">
        <v>0</v>
      </c>
      <c r="O402" t="n">
        <v>0</v>
      </c>
      <c r="P402" t="n">
        <v>0</v>
      </c>
      <c r="Q402" t="n">
        <v>0</v>
      </c>
      <c r="R402" s="2" t="inlineStr"/>
    </row>
    <row r="403" ht="15" customHeight="1">
      <c r="A403" t="inlineStr">
        <is>
          <t>A 23891-2025</t>
        </is>
      </c>
      <c r="B403" s="1" t="n">
        <v>45793</v>
      </c>
      <c r="C403" s="1" t="n">
        <v>45931</v>
      </c>
      <c r="D403" t="inlineStr">
        <is>
          <t>DALARNAS LÄN</t>
        </is>
      </c>
      <c r="E403" t="inlineStr">
        <is>
          <t>LEKSAND</t>
        </is>
      </c>
      <c r="F403" t="inlineStr">
        <is>
          <t>Kommuner</t>
        </is>
      </c>
      <c r="G403" t="n">
        <v>1.5</v>
      </c>
      <c r="H403" t="n">
        <v>0</v>
      </c>
      <c r="I403" t="n">
        <v>0</v>
      </c>
      <c r="J403" t="n">
        <v>0</v>
      </c>
      <c r="K403" t="n">
        <v>0</v>
      </c>
      <c r="L403" t="n">
        <v>0</v>
      </c>
      <c r="M403" t="n">
        <v>0</v>
      </c>
      <c r="N403" t="n">
        <v>0</v>
      </c>
      <c r="O403" t="n">
        <v>0</v>
      </c>
      <c r="P403" t="n">
        <v>0</v>
      </c>
      <c r="Q403" t="n">
        <v>0</v>
      </c>
      <c r="R403" s="2" t="inlineStr"/>
    </row>
    <row r="404" ht="15" customHeight="1">
      <c r="A404" t="inlineStr">
        <is>
          <t>A 9857-2025</t>
        </is>
      </c>
      <c r="B404" s="1" t="n">
        <v>45716.62609953704</v>
      </c>
      <c r="C404" s="1" t="n">
        <v>45931</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40181-2023</t>
        </is>
      </c>
      <c r="B405" s="1" t="n">
        <v>45169</v>
      </c>
      <c r="C405" s="1" t="n">
        <v>45931</v>
      </c>
      <c r="D405" t="inlineStr">
        <is>
          <t>DALARNAS LÄN</t>
        </is>
      </c>
      <c r="E405" t="inlineStr">
        <is>
          <t>LEKSAND</t>
        </is>
      </c>
      <c r="G405" t="n">
        <v>2.8</v>
      </c>
      <c r="H405" t="n">
        <v>0</v>
      </c>
      <c r="I405" t="n">
        <v>0</v>
      </c>
      <c r="J405" t="n">
        <v>0</v>
      </c>
      <c r="K405" t="n">
        <v>0</v>
      </c>
      <c r="L405" t="n">
        <v>0</v>
      </c>
      <c r="M405" t="n">
        <v>0</v>
      </c>
      <c r="N405" t="n">
        <v>0</v>
      </c>
      <c r="O405" t="n">
        <v>0</v>
      </c>
      <c r="P405" t="n">
        <v>0</v>
      </c>
      <c r="Q405" t="n">
        <v>0</v>
      </c>
      <c r="R405" s="2" t="inlineStr"/>
    </row>
    <row r="406" ht="15" customHeight="1">
      <c r="A406" t="inlineStr">
        <is>
          <t>A 24187-2025</t>
        </is>
      </c>
      <c r="B406" s="1" t="n">
        <v>45796</v>
      </c>
      <c r="C406" s="1" t="n">
        <v>45931</v>
      </c>
      <c r="D406" t="inlineStr">
        <is>
          <t>DALARNAS LÄN</t>
        </is>
      </c>
      <c r="E406" t="inlineStr">
        <is>
          <t>LEKSAND</t>
        </is>
      </c>
      <c r="G406" t="n">
        <v>2.1</v>
      </c>
      <c r="H406" t="n">
        <v>0</v>
      </c>
      <c r="I406" t="n">
        <v>0</v>
      </c>
      <c r="J406" t="n">
        <v>0</v>
      </c>
      <c r="K406" t="n">
        <v>0</v>
      </c>
      <c r="L406" t="n">
        <v>0</v>
      </c>
      <c r="M406" t="n">
        <v>0</v>
      </c>
      <c r="N406" t="n">
        <v>0</v>
      </c>
      <c r="O406" t="n">
        <v>0</v>
      </c>
      <c r="P406" t="n">
        <v>0</v>
      </c>
      <c r="Q406" t="n">
        <v>0</v>
      </c>
      <c r="R406" s="2" t="inlineStr"/>
    </row>
    <row r="407" ht="15" customHeight="1">
      <c r="A407" t="inlineStr">
        <is>
          <t>A 24188-2025</t>
        </is>
      </c>
      <c r="B407" s="1" t="n">
        <v>45796</v>
      </c>
      <c r="C407" s="1" t="n">
        <v>45931</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56211-2023</t>
        </is>
      </c>
      <c r="B408" s="1" t="n">
        <v>45240</v>
      </c>
      <c r="C408" s="1" t="n">
        <v>45931</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1267-2025</t>
        </is>
      </c>
      <c r="B409" s="1" t="n">
        <v>45667</v>
      </c>
      <c r="C409" s="1" t="n">
        <v>45931</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42230-2023</t>
        </is>
      </c>
      <c r="B410" s="1" t="n">
        <v>45180</v>
      </c>
      <c r="C410" s="1" t="n">
        <v>45931</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3183-2025</t>
        </is>
      </c>
      <c r="B411" s="1" t="n">
        <v>45679.40298611111</v>
      </c>
      <c r="C411" s="1" t="n">
        <v>45931</v>
      </c>
      <c r="D411" t="inlineStr">
        <is>
          <t>DALARNAS LÄN</t>
        </is>
      </c>
      <c r="E411" t="inlineStr">
        <is>
          <t>LEKSAND</t>
        </is>
      </c>
      <c r="G411" t="n">
        <v>1</v>
      </c>
      <c r="H411" t="n">
        <v>0</v>
      </c>
      <c r="I411" t="n">
        <v>0</v>
      </c>
      <c r="J411" t="n">
        <v>0</v>
      </c>
      <c r="K411" t="n">
        <v>0</v>
      </c>
      <c r="L411" t="n">
        <v>0</v>
      </c>
      <c r="M411" t="n">
        <v>0</v>
      </c>
      <c r="N411" t="n">
        <v>0</v>
      </c>
      <c r="O411" t="n">
        <v>0</v>
      </c>
      <c r="P411" t="n">
        <v>0</v>
      </c>
      <c r="Q411" t="n">
        <v>0</v>
      </c>
      <c r="R411" s="2" t="inlineStr"/>
    </row>
    <row r="412" ht="15" customHeight="1">
      <c r="A412" t="inlineStr">
        <is>
          <t>A 59751-2024</t>
        </is>
      </c>
      <c r="B412" s="1" t="n">
        <v>45638</v>
      </c>
      <c r="C412" s="1" t="n">
        <v>45931</v>
      </c>
      <c r="D412" t="inlineStr">
        <is>
          <t>DALARNAS LÄN</t>
        </is>
      </c>
      <c r="E412" t="inlineStr">
        <is>
          <t>LEKSAND</t>
        </is>
      </c>
      <c r="G412" t="n">
        <v>5.2</v>
      </c>
      <c r="H412" t="n">
        <v>0</v>
      </c>
      <c r="I412" t="n">
        <v>0</v>
      </c>
      <c r="J412" t="n">
        <v>0</v>
      </c>
      <c r="K412" t="n">
        <v>0</v>
      </c>
      <c r="L412" t="n">
        <v>0</v>
      </c>
      <c r="M412" t="n">
        <v>0</v>
      </c>
      <c r="N412" t="n">
        <v>0</v>
      </c>
      <c r="O412" t="n">
        <v>0</v>
      </c>
      <c r="P412" t="n">
        <v>0</v>
      </c>
      <c r="Q412" t="n">
        <v>0</v>
      </c>
      <c r="R412" s="2" t="inlineStr"/>
    </row>
    <row r="413" ht="15" customHeight="1">
      <c r="A413" t="inlineStr">
        <is>
          <t>A 24373-2025</t>
        </is>
      </c>
      <c r="B413" s="1" t="n">
        <v>45797.61113425926</v>
      </c>
      <c r="C413" s="1" t="n">
        <v>45931</v>
      </c>
      <c r="D413" t="inlineStr">
        <is>
          <t>DALARNAS LÄN</t>
        </is>
      </c>
      <c r="E413" t="inlineStr">
        <is>
          <t>LEKSAND</t>
        </is>
      </c>
      <c r="G413" t="n">
        <v>2.4</v>
      </c>
      <c r="H413" t="n">
        <v>0</v>
      </c>
      <c r="I413" t="n">
        <v>0</v>
      </c>
      <c r="J413" t="n">
        <v>0</v>
      </c>
      <c r="K413" t="n">
        <v>0</v>
      </c>
      <c r="L413" t="n">
        <v>0</v>
      </c>
      <c r="M413" t="n">
        <v>0</v>
      </c>
      <c r="N413" t="n">
        <v>0</v>
      </c>
      <c r="O413" t="n">
        <v>0</v>
      </c>
      <c r="P413" t="n">
        <v>0</v>
      </c>
      <c r="Q413" t="n">
        <v>0</v>
      </c>
      <c r="R413" s="2" t="inlineStr"/>
    </row>
    <row r="414" ht="15" customHeight="1">
      <c r="A414" t="inlineStr">
        <is>
          <t>A 2630-2025</t>
        </is>
      </c>
      <c r="B414" s="1" t="n">
        <v>45675.85865740741</v>
      </c>
      <c r="C414" s="1" t="n">
        <v>45931</v>
      </c>
      <c r="D414" t="inlineStr">
        <is>
          <t>DALARNAS LÄN</t>
        </is>
      </c>
      <c r="E414" t="inlineStr">
        <is>
          <t>LEKSAND</t>
        </is>
      </c>
      <c r="G414" t="n">
        <v>1.6</v>
      </c>
      <c r="H414" t="n">
        <v>0</v>
      </c>
      <c r="I414" t="n">
        <v>0</v>
      </c>
      <c r="J414" t="n">
        <v>0</v>
      </c>
      <c r="K414" t="n">
        <v>0</v>
      </c>
      <c r="L414" t="n">
        <v>0</v>
      </c>
      <c r="M414" t="n">
        <v>0</v>
      </c>
      <c r="N414" t="n">
        <v>0</v>
      </c>
      <c r="O414" t="n">
        <v>0</v>
      </c>
      <c r="P414" t="n">
        <v>0</v>
      </c>
      <c r="Q414" t="n">
        <v>0</v>
      </c>
      <c r="R414" s="2" t="inlineStr"/>
    </row>
    <row r="415" ht="15" customHeight="1">
      <c r="A415" t="inlineStr">
        <is>
          <t>A 24317-2025</t>
        </is>
      </c>
      <c r="B415" s="1" t="n">
        <v>45797.53577546297</v>
      </c>
      <c r="C415" s="1" t="n">
        <v>45931</v>
      </c>
      <c r="D415" t="inlineStr">
        <is>
          <t>DALARNAS LÄN</t>
        </is>
      </c>
      <c r="E415" t="inlineStr">
        <is>
          <t>LEKSAND</t>
        </is>
      </c>
      <c r="G415" t="n">
        <v>3.4</v>
      </c>
      <c r="H415" t="n">
        <v>0</v>
      </c>
      <c r="I415" t="n">
        <v>0</v>
      </c>
      <c r="J415" t="n">
        <v>0</v>
      </c>
      <c r="K415" t="n">
        <v>0</v>
      </c>
      <c r="L415" t="n">
        <v>0</v>
      </c>
      <c r="M415" t="n">
        <v>0</v>
      </c>
      <c r="N415" t="n">
        <v>0</v>
      </c>
      <c r="O415" t="n">
        <v>0</v>
      </c>
      <c r="P415" t="n">
        <v>0</v>
      </c>
      <c r="Q415" t="n">
        <v>0</v>
      </c>
      <c r="R415" s="2" t="inlineStr"/>
    </row>
    <row r="416" ht="15" customHeight="1">
      <c r="A416" t="inlineStr">
        <is>
          <t>A 40868-2024</t>
        </is>
      </c>
      <c r="B416" s="1" t="n">
        <v>45558</v>
      </c>
      <c r="C416" s="1" t="n">
        <v>45931</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22646-2025</t>
        </is>
      </c>
      <c r="B417" s="1" t="n">
        <v>45786</v>
      </c>
      <c r="C417" s="1" t="n">
        <v>45931</v>
      </c>
      <c r="D417" t="inlineStr">
        <is>
          <t>DALARNAS LÄN</t>
        </is>
      </c>
      <c r="E417" t="inlineStr">
        <is>
          <t>LEKSAND</t>
        </is>
      </c>
      <c r="F417" t="inlineStr">
        <is>
          <t>Kommuner</t>
        </is>
      </c>
      <c r="G417" t="n">
        <v>1.6</v>
      </c>
      <c r="H417" t="n">
        <v>0</v>
      </c>
      <c r="I417" t="n">
        <v>0</v>
      </c>
      <c r="J417" t="n">
        <v>0</v>
      </c>
      <c r="K417" t="n">
        <v>0</v>
      </c>
      <c r="L417" t="n">
        <v>0</v>
      </c>
      <c r="M417" t="n">
        <v>0</v>
      </c>
      <c r="N417" t="n">
        <v>0</v>
      </c>
      <c r="O417" t="n">
        <v>0</v>
      </c>
      <c r="P417" t="n">
        <v>0</v>
      </c>
      <c r="Q417" t="n">
        <v>0</v>
      </c>
      <c r="R417" s="2" t="inlineStr"/>
    </row>
    <row r="418" ht="15" customHeight="1">
      <c r="A418" t="inlineStr">
        <is>
          <t>A 24369-2025</t>
        </is>
      </c>
      <c r="B418" s="1" t="n">
        <v>45797.60731481481</v>
      </c>
      <c r="C418" s="1" t="n">
        <v>45931</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54917-2024</t>
        </is>
      </c>
      <c r="B419" s="1" t="n">
        <v>45618.69581018519</v>
      </c>
      <c r="C419" s="1" t="n">
        <v>45931</v>
      </c>
      <c r="D419" t="inlineStr">
        <is>
          <t>DALARNAS LÄN</t>
        </is>
      </c>
      <c r="E419" t="inlineStr">
        <is>
          <t>LEKSAND</t>
        </is>
      </c>
      <c r="G419" t="n">
        <v>1.2</v>
      </c>
      <c r="H419" t="n">
        <v>0</v>
      </c>
      <c r="I419" t="n">
        <v>0</v>
      </c>
      <c r="J419" t="n">
        <v>0</v>
      </c>
      <c r="K419" t="n">
        <v>0</v>
      </c>
      <c r="L419" t="n">
        <v>0</v>
      </c>
      <c r="M419" t="n">
        <v>0</v>
      </c>
      <c r="N419" t="n">
        <v>0</v>
      </c>
      <c r="O419" t="n">
        <v>0</v>
      </c>
      <c r="P419" t="n">
        <v>0</v>
      </c>
      <c r="Q419" t="n">
        <v>0</v>
      </c>
      <c r="R419" s="2" t="inlineStr"/>
    </row>
    <row r="420" ht="15" customHeight="1">
      <c r="A420" t="inlineStr">
        <is>
          <t>A 19700-2025</t>
        </is>
      </c>
      <c r="B420" s="1" t="n">
        <v>45771.32445601852</v>
      </c>
      <c r="C420" s="1" t="n">
        <v>45931</v>
      </c>
      <c r="D420" t="inlineStr">
        <is>
          <t>DALARNAS LÄN</t>
        </is>
      </c>
      <c r="E420" t="inlineStr">
        <is>
          <t>LEKSAND</t>
        </is>
      </c>
      <c r="G420" t="n">
        <v>0.9</v>
      </c>
      <c r="H420" t="n">
        <v>0</v>
      </c>
      <c r="I420" t="n">
        <v>0</v>
      </c>
      <c r="J420" t="n">
        <v>0</v>
      </c>
      <c r="K420" t="n">
        <v>0</v>
      </c>
      <c r="L420" t="n">
        <v>0</v>
      </c>
      <c r="M420" t="n">
        <v>0</v>
      </c>
      <c r="N420" t="n">
        <v>0</v>
      </c>
      <c r="O420" t="n">
        <v>0</v>
      </c>
      <c r="P420" t="n">
        <v>0</v>
      </c>
      <c r="Q420" t="n">
        <v>0</v>
      </c>
      <c r="R420" s="2" t="inlineStr"/>
    </row>
    <row r="421" ht="15" customHeight="1">
      <c r="A421" t="inlineStr">
        <is>
          <t>A 24715-2025</t>
        </is>
      </c>
      <c r="B421" s="1" t="n">
        <v>45798.97899305556</v>
      </c>
      <c r="C421" s="1" t="n">
        <v>45931</v>
      </c>
      <c r="D421" t="inlineStr">
        <is>
          <t>DALARNAS LÄN</t>
        </is>
      </c>
      <c r="E421" t="inlineStr">
        <is>
          <t>LEKSAND</t>
        </is>
      </c>
      <c r="G421" t="n">
        <v>8.4</v>
      </c>
      <c r="H421" t="n">
        <v>0</v>
      </c>
      <c r="I421" t="n">
        <v>0</v>
      </c>
      <c r="J421" t="n">
        <v>0</v>
      </c>
      <c r="K421" t="n">
        <v>0</v>
      </c>
      <c r="L421" t="n">
        <v>0</v>
      </c>
      <c r="M421" t="n">
        <v>0</v>
      </c>
      <c r="N421" t="n">
        <v>0</v>
      </c>
      <c r="O421" t="n">
        <v>0</v>
      </c>
      <c r="P421" t="n">
        <v>0</v>
      </c>
      <c r="Q421" t="n">
        <v>0</v>
      </c>
      <c r="R421" s="2" t="inlineStr"/>
    </row>
    <row r="422" ht="15" customHeight="1">
      <c r="A422" t="inlineStr">
        <is>
          <t>A 13063-2023</t>
        </is>
      </c>
      <c r="B422" s="1" t="n">
        <v>45001</v>
      </c>
      <c r="C422" s="1" t="n">
        <v>45931</v>
      </c>
      <c r="D422" t="inlineStr">
        <is>
          <t>DALARNAS LÄN</t>
        </is>
      </c>
      <c r="E422" t="inlineStr">
        <is>
          <t>LEKSAND</t>
        </is>
      </c>
      <c r="G422" t="n">
        <v>1</v>
      </c>
      <c r="H422" t="n">
        <v>0</v>
      </c>
      <c r="I422" t="n">
        <v>0</v>
      </c>
      <c r="J422" t="n">
        <v>0</v>
      </c>
      <c r="K422" t="n">
        <v>0</v>
      </c>
      <c r="L422" t="n">
        <v>0</v>
      </c>
      <c r="M422" t="n">
        <v>0</v>
      </c>
      <c r="N422" t="n">
        <v>0</v>
      </c>
      <c r="O422" t="n">
        <v>0</v>
      </c>
      <c r="P422" t="n">
        <v>0</v>
      </c>
      <c r="Q422" t="n">
        <v>0</v>
      </c>
      <c r="R422" s="2" t="inlineStr"/>
    </row>
    <row r="423" ht="15" customHeight="1">
      <c r="A423" t="inlineStr">
        <is>
          <t>A 25096-2025</t>
        </is>
      </c>
      <c r="B423" s="1" t="n">
        <v>45800.33868055556</v>
      </c>
      <c r="C423" s="1" t="n">
        <v>45931</v>
      </c>
      <c r="D423" t="inlineStr">
        <is>
          <t>DALARNAS LÄN</t>
        </is>
      </c>
      <c r="E423" t="inlineStr">
        <is>
          <t>LEKSAND</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25105-2025</t>
        </is>
      </c>
      <c r="B424" s="1" t="n">
        <v>45800.34751157407</v>
      </c>
      <c r="C424" s="1" t="n">
        <v>45931</v>
      </c>
      <c r="D424" t="inlineStr">
        <is>
          <t>DALARNAS LÄN</t>
        </is>
      </c>
      <c r="E424" t="inlineStr">
        <is>
          <t>LEKSAND</t>
        </is>
      </c>
      <c r="F424" t="inlineStr">
        <is>
          <t>Bergvik skog väst AB</t>
        </is>
      </c>
      <c r="G424" t="n">
        <v>1.8</v>
      </c>
      <c r="H424" t="n">
        <v>0</v>
      </c>
      <c r="I424" t="n">
        <v>0</v>
      </c>
      <c r="J424" t="n">
        <v>0</v>
      </c>
      <c r="K424" t="n">
        <v>0</v>
      </c>
      <c r="L424" t="n">
        <v>0</v>
      </c>
      <c r="M424" t="n">
        <v>0</v>
      </c>
      <c r="N424" t="n">
        <v>0</v>
      </c>
      <c r="O424" t="n">
        <v>0</v>
      </c>
      <c r="P424" t="n">
        <v>0</v>
      </c>
      <c r="Q424" t="n">
        <v>0</v>
      </c>
      <c r="R424" s="2" t="inlineStr"/>
    </row>
    <row r="425" ht="15" customHeight="1">
      <c r="A425" t="inlineStr">
        <is>
          <t>A 8045-2024</t>
        </is>
      </c>
      <c r="B425" s="1" t="n">
        <v>45351.31371527778</v>
      </c>
      <c r="C425" s="1" t="n">
        <v>45931</v>
      </c>
      <c r="D425" t="inlineStr">
        <is>
          <t>DALARNAS LÄN</t>
        </is>
      </c>
      <c r="E425" t="inlineStr">
        <is>
          <t>LEKSAND</t>
        </is>
      </c>
      <c r="G425" t="n">
        <v>6.7</v>
      </c>
      <c r="H425" t="n">
        <v>0</v>
      </c>
      <c r="I425" t="n">
        <v>0</v>
      </c>
      <c r="J425" t="n">
        <v>0</v>
      </c>
      <c r="K425" t="n">
        <v>0</v>
      </c>
      <c r="L425" t="n">
        <v>0</v>
      </c>
      <c r="M425" t="n">
        <v>0</v>
      </c>
      <c r="N425" t="n">
        <v>0</v>
      </c>
      <c r="O425" t="n">
        <v>0</v>
      </c>
      <c r="P425" t="n">
        <v>0</v>
      </c>
      <c r="Q425" t="n">
        <v>0</v>
      </c>
      <c r="R425" s="2" t="inlineStr"/>
    </row>
    <row r="426" ht="15" customHeight="1">
      <c r="A426" t="inlineStr">
        <is>
          <t>A 24714-2025</t>
        </is>
      </c>
      <c r="B426" s="1" t="n">
        <v>45798.96927083333</v>
      </c>
      <c r="C426" s="1" t="n">
        <v>45931</v>
      </c>
      <c r="D426" t="inlineStr">
        <is>
          <t>DALARNAS LÄN</t>
        </is>
      </c>
      <c r="E426" t="inlineStr">
        <is>
          <t>LEKSAND</t>
        </is>
      </c>
      <c r="F426" t="inlineStr">
        <is>
          <t>Bergvik skog väst AB</t>
        </is>
      </c>
      <c r="G426" t="n">
        <v>6.2</v>
      </c>
      <c r="H426" t="n">
        <v>0</v>
      </c>
      <c r="I426" t="n">
        <v>0</v>
      </c>
      <c r="J426" t="n">
        <v>0</v>
      </c>
      <c r="K426" t="n">
        <v>0</v>
      </c>
      <c r="L426" t="n">
        <v>0</v>
      </c>
      <c r="M426" t="n">
        <v>0</v>
      </c>
      <c r="N426" t="n">
        <v>0</v>
      </c>
      <c r="O426" t="n">
        <v>0</v>
      </c>
      <c r="P426" t="n">
        <v>0</v>
      </c>
      <c r="Q426" t="n">
        <v>0</v>
      </c>
      <c r="R426" s="2" t="inlineStr"/>
    </row>
    <row r="427" ht="15" customHeight="1">
      <c r="A427" t="inlineStr">
        <is>
          <t>A 776-2021</t>
        </is>
      </c>
      <c r="B427" s="1" t="n">
        <v>44203</v>
      </c>
      <c r="C427" s="1" t="n">
        <v>45931</v>
      </c>
      <c r="D427" t="inlineStr">
        <is>
          <t>DALARNAS LÄN</t>
        </is>
      </c>
      <c r="E427" t="inlineStr">
        <is>
          <t>LEKSAND</t>
        </is>
      </c>
      <c r="G427" t="n">
        <v>21</v>
      </c>
      <c r="H427" t="n">
        <v>0</v>
      </c>
      <c r="I427" t="n">
        <v>0</v>
      </c>
      <c r="J427" t="n">
        <v>0</v>
      </c>
      <c r="K427" t="n">
        <v>0</v>
      </c>
      <c r="L427" t="n">
        <v>0</v>
      </c>
      <c r="M427" t="n">
        <v>0</v>
      </c>
      <c r="N427" t="n">
        <v>0</v>
      </c>
      <c r="O427" t="n">
        <v>0</v>
      </c>
      <c r="P427" t="n">
        <v>0</v>
      </c>
      <c r="Q427" t="n">
        <v>0</v>
      </c>
      <c r="R427" s="2" t="inlineStr"/>
    </row>
    <row r="428" ht="15" customHeight="1">
      <c r="A428" t="inlineStr">
        <is>
          <t>A 57013-2023</t>
        </is>
      </c>
      <c r="B428" s="1" t="n">
        <v>45244</v>
      </c>
      <c r="C428" s="1" t="n">
        <v>45931</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31255-2023</t>
        </is>
      </c>
      <c r="B429" s="1" t="n">
        <v>45114.36729166667</v>
      </c>
      <c r="C429" s="1" t="n">
        <v>45931</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42727-2024</t>
        </is>
      </c>
      <c r="B430" s="1" t="n">
        <v>45566</v>
      </c>
      <c r="C430" s="1" t="n">
        <v>45931</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36444-2023</t>
        </is>
      </c>
      <c r="B431" s="1" t="n">
        <v>45152.63138888889</v>
      </c>
      <c r="C431" s="1" t="n">
        <v>45931</v>
      </c>
      <c r="D431" t="inlineStr">
        <is>
          <t>DALARNAS LÄN</t>
        </is>
      </c>
      <c r="E431" t="inlineStr">
        <is>
          <t>LEKSAND</t>
        </is>
      </c>
      <c r="G431" t="n">
        <v>0.5</v>
      </c>
      <c r="H431" t="n">
        <v>0</v>
      </c>
      <c r="I431" t="n">
        <v>0</v>
      </c>
      <c r="J431" t="n">
        <v>0</v>
      </c>
      <c r="K431" t="n">
        <v>0</v>
      </c>
      <c r="L431" t="n">
        <v>0</v>
      </c>
      <c r="M431" t="n">
        <v>0</v>
      </c>
      <c r="N431" t="n">
        <v>0</v>
      </c>
      <c r="O431" t="n">
        <v>0</v>
      </c>
      <c r="P431" t="n">
        <v>0</v>
      </c>
      <c r="Q431" t="n">
        <v>0</v>
      </c>
      <c r="R431" s="2" t="inlineStr"/>
    </row>
    <row r="432" ht="15" customHeight="1">
      <c r="A432" t="inlineStr">
        <is>
          <t>A 25610-2025</t>
        </is>
      </c>
      <c r="B432" s="1" t="n">
        <v>45803.56033564815</v>
      </c>
      <c r="C432" s="1" t="n">
        <v>45931</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40407-2024</t>
        </is>
      </c>
      <c r="B433" s="1" t="n">
        <v>45555</v>
      </c>
      <c r="C433" s="1" t="n">
        <v>45931</v>
      </c>
      <c r="D433" t="inlineStr">
        <is>
          <t>DALARNAS LÄN</t>
        </is>
      </c>
      <c r="E433" t="inlineStr">
        <is>
          <t>LEKSAND</t>
        </is>
      </c>
      <c r="G433" t="n">
        <v>1.4</v>
      </c>
      <c r="H433" t="n">
        <v>0</v>
      </c>
      <c r="I433" t="n">
        <v>0</v>
      </c>
      <c r="J433" t="n">
        <v>0</v>
      </c>
      <c r="K433" t="n">
        <v>0</v>
      </c>
      <c r="L433" t="n">
        <v>0</v>
      </c>
      <c r="M433" t="n">
        <v>0</v>
      </c>
      <c r="N433" t="n">
        <v>0</v>
      </c>
      <c r="O433" t="n">
        <v>0</v>
      </c>
      <c r="P433" t="n">
        <v>0</v>
      </c>
      <c r="Q433" t="n">
        <v>0</v>
      </c>
      <c r="R433" s="2" t="inlineStr"/>
    </row>
    <row r="434" ht="15" customHeight="1">
      <c r="A434" t="inlineStr">
        <is>
          <t>A 37832-2023</t>
        </is>
      </c>
      <c r="B434" s="1" t="n">
        <v>45160.3479050926</v>
      </c>
      <c r="C434" s="1" t="n">
        <v>45931</v>
      </c>
      <c r="D434" t="inlineStr">
        <is>
          <t>DALARNAS LÄN</t>
        </is>
      </c>
      <c r="E434" t="inlineStr">
        <is>
          <t>LEKSAND</t>
        </is>
      </c>
      <c r="G434" t="n">
        <v>2</v>
      </c>
      <c r="H434" t="n">
        <v>0</v>
      </c>
      <c r="I434" t="n">
        <v>0</v>
      </c>
      <c r="J434" t="n">
        <v>0</v>
      </c>
      <c r="K434" t="n">
        <v>0</v>
      </c>
      <c r="L434" t="n">
        <v>0</v>
      </c>
      <c r="M434" t="n">
        <v>0</v>
      </c>
      <c r="N434" t="n">
        <v>0</v>
      </c>
      <c r="O434" t="n">
        <v>0</v>
      </c>
      <c r="P434" t="n">
        <v>0</v>
      </c>
      <c r="Q434" t="n">
        <v>0</v>
      </c>
      <c r="R434" s="2" t="inlineStr"/>
    </row>
    <row r="435" ht="15" customHeight="1">
      <c r="A435" t="inlineStr">
        <is>
          <t>A 46628-2024</t>
        </is>
      </c>
      <c r="B435" s="1" t="n">
        <v>45583.33195601852</v>
      </c>
      <c r="C435" s="1" t="n">
        <v>45931</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18040-2024</t>
        </is>
      </c>
      <c r="B436" s="1" t="n">
        <v>45420.36664351852</v>
      </c>
      <c r="C436" s="1" t="n">
        <v>45931</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9141-2023</t>
        </is>
      </c>
      <c r="B437" s="1" t="n">
        <v>44974</v>
      </c>
      <c r="C437" s="1" t="n">
        <v>45931</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6778-2025</t>
        </is>
      </c>
      <c r="B438" s="1" t="n">
        <v>45700.64615740741</v>
      </c>
      <c r="C438" s="1" t="n">
        <v>45931</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54844-2021</t>
        </is>
      </c>
      <c r="B439" s="1" t="n">
        <v>44474.30614583333</v>
      </c>
      <c r="C439" s="1" t="n">
        <v>45931</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8211-2023</t>
        </is>
      </c>
      <c r="B440" s="1" t="n">
        <v>44974</v>
      </c>
      <c r="C440" s="1" t="n">
        <v>45931</v>
      </c>
      <c r="D440" t="inlineStr">
        <is>
          <t>DALARNAS LÄN</t>
        </is>
      </c>
      <c r="E440" t="inlineStr">
        <is>
          <t>LEKSAND</t>
        </is>
      </c>
      <c r="G440" t="n">
        <v>5.2</v>
      </c>
      <c r="H440" t="n">
        <v>0</v>
      </c>
      <c r="I440" t="n">
        <v>0</v>
      </c>
      <c r="J440" t="n">
        <v>0</v>
      </c>
      <c r="K440" t="n">
        <v>0</v>
      </c>
      <c r="L440" t="n">
        <v>0</v>
      </c>
      <c r="M440" t="n">
        <v>0</v>
      </c>
      <c r="N440" t="n">
        <v>0</v>
      </c>
      <c r="O440" t="n">
        <v>0</v>
      </c>
      <c r="P440" t="n">
        <v>0</v>
      </c>
      <c r="Q440" t="n">
        <v>0</v>
      </c>
      <c r="R440" s="2" t="inlineStr"/>
    </row>
    <row r="441" ht="15" customHeight="1">
      <c r="A441" t="inlineStr">
        <is>
          <t>A 43419-2024</t>
        </is>
      </c>
      <c r="B441" s="1" t="n">
        <v>45568</v>
      </c>
      <c r="C441" s="1" t="n">
        <v>45931</v>
      </c>
      <c r="D441" t="inlineStr">
        <is>
          <t>DALARNAS LÄN</t>
        </is>
      </c>
      <c r="E441" t="inlineStr">
        <is>
          <t>LEKSAND</t>
        </is>
      </c>
      <c r="G441" t="n">
        <v>0.4</v>
      </c>
      <c r="H441" t="n">
        <v>0</v>
      </c>
      <c r="I441" t="n">
        <v>0</v>
      </c>
      <c r="J441" t="n">
        <v>0</v>
      </c>
      <c r="K441" t="n">
        <v>0</v>
      </c>
      <c r="L441" t="n">
        <v>0</v>
      </c>
      <c r="M441" t="n">
        <v>0</v>
      </c>
      <c r="N441" t="n">
        <v>0</v>
      </c>
      <c r="O441" t="n">
        <v>0</v>
      </c>
      <c r="P441" t="n">
        <v>0</v>
      </c>
      <c r="Q441" t="n">
        <v>0</v>
      </c>
      <c r="R441" s="2" t="inlineStr"/>
    </row>
    <row r="442" ht="15" customHeight="1">
      <c r="A442" t="inlineStr">
        <is>
          <t>A 39595-2023</t>
        </is>
      </c>
      <c r="B442" s="1" t="n">
        <v>45167</v>
      </c>
      <c r="C442" s="1" t="n">
        <v>45931</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24481-2024</t>
        </is>
      </c>
      <c r="B443" s="1" t="n">
        <v>45459.36460648148</v>
      </c>
      <c r="C443" s="1" t="n">
        <v>45931</v>
      </c>
      <c r="D443" t="inlineStr">
        <is>
          <t>DALARNAS LÄN</t>
        </is>
      </c>
      <c r="E443" t="inlineStr">
        <is>
          <t>LEKSAND</t>
        </is>
      </c>
      <c r="G443" t="n">
        <v>1</v>
      </c>
      <c r="H443" t="n">
        <v>0</v>
      </c>
      <c r="I443" t="n">
        <v>0</v>
      </c>
      <c r="J443" t="n">
        <v>0</v>
      </c>
      <c r="K443" t="n">
        <v>0</v>
      </c>
      <c r="L443" t="n">
        <v>0</v>
      </c>
      <c r="M443" t="n">
        <v>0</v>
      </c>
      <c r="N443" t="n">
        <v>0</v>
      </c>
      <c r="O443" t="n">
        <v>0</v>
      </c>
      <c r="P443" t="n">
        <v>0</v>
      </c>
      <c r="Q443" t="n">
        <v>0</v>
      </c>
      <c r="R443" s="2" t="inlineStr"/>
    </row>
    <row r="444" ht="15" customHeight="1">
      <c r="A444" t="inlineStr">
        <is>
          <t>A 17606-2024</t>
        </is>
      </c>
      <c r="B444" s="1" t="n">
        <v>45415</v>
      </c>
      <c r="C444" s="1" t="n">
        <v>45931</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26386-2025</t>
        </is>
      </c>
      <c r="B445" s="1" t="n">
        <v>45806</v>
      </c>
      <c r="C445" s="1" t="n">
        <v>45931</v>
      </c>
      <c r="D445" t="inlineStr">
        <is>
          <t>DALARNAS LÄN</t>
        </is>
      </c>
      <c r="E445" t="inlineStr">
        <is>
          <t>LEKSAND</t>
        </is>
      </c>
      <c r="F445" t="inlineStr">
        <is>
          <t>Bergvik skog väst AB</t>
        </is>
      </c>
      <c r="G445" t="n">
        <v>26.3</v>
      </c>
      <c r="H445" t="n">
        <v>0</v>
      </c>
      <c r="I445" t="n">
        <v>0</v>
      </c>
      <c r="J445" t="n">
        <v>0</v>
      </c>
      <c r="K445" t="n">
        <v>0</v>
      </c>
      <c r="L445" t="n">
        <v>0</v>
      </c>
      <c r="M445" t="n">
        <v>0</v>
      </c>
      <c r="N445" t="n">
        <v>0</v>
      </c>
      <c r="O445" t="n">
        <v>0</v>
      </c>
      <c r="P445" t="n">
        <v>0</v>
      </c>
      <c r="Q445" t="n">
        <v>0</v>
      </c>
      <c r="R445" s="2" t="inlineStr"/>
    </row>
    <row r="446" ht="15" customHeight="1">
      <c r="A446" t="inlineStr">
        <is>
          <t>A 46665-2023</t>
        </is>
      </c>
      <c r="B446" s="1" t="n">
        <v>45198.47399305556</v>
      </c>
      <c r="C446" s="1" t="n">
        <v>45931</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34033-2024</t>
        </is>
      </c>
      <c r="B447" s="1" t="n">
        <v>45523.59265046296</v>
      </c>
      <c r="C447" s="1" t="n">
        <v>45931</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25329-2022</t>
        </is>
      </c>
      <c r="B448" s="1" t="n">
        <v>44731.8799537037</v>
      </c>
      <c r="C448" s="1" t="n">
        <v>45931</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61054-2023</t>
        </is>
      </c>
      <c r="B449" s="1" t="n">
        <v>45261</v>
      </c>
      <c r="C449" s="1" t="n">
        <v>45931</v>
      </c>
      <c r="D449" t="inlineStr">
        <is>
          <t>DALARNAS LÄN</t>
        </is>
      </c>
      <c r="E449" t="inlineStr">
        <is>
          <t>LEKSAND</t>
        </is>
      </c>
      <c r="G449" t="n">
        <v>0.4</v>
      </c>
      <c r="H449" t="n">
        <v>0</v>
      </c>
      <c r="I449" t="n">
        <v>0</v>
      </c>
      <c r="J449" t="n">
        <v>0</v>
      </c>
      <c r="K449" t="n">
        <v>0</v>
      </c>
      <c r="L449" t="n">
        <v>0</v>
      </c>
      <c r="M449" t="n">
        <v>0</v>
      </c>
      <c r="N449" t="n">
        <v>0</v>
      </c>
      <c r="O449" t="n">
        <v>0</v>
      </c>
      <c r="P449" t="n">
        <v>0</v>
      </c>
      <c r="Q449" t="n">
        <v>0</v>
      </c>
      <c r="R449" s="2" t="inlineStr"/>
    </row>
    <row r="450" ht="15" customHeight="1">
      <c r="A450" t="inlineStr">
        <is>
          <t>A 61056-2023</t>
        </is>
      </c>
      <c r="B450" s="1" t="n">
        <v>45261</v>
      </c>
      <c r="C450" s="1" t="n">
        <v>45931</v>
      </c>
      <c r="D450" t="inlineStr">
        <is>
          <t>DALARNAS LÄN</t>
        </is>
      </c>
      <c r="E450" t="inlineStr">
        <is>
          <t>LEKSAND</t>
        </is>
      </c>
      <c r="G450" t="n">
        <v>0.3</v>
      </c>
      <c r="H450" t="n">
        <v>0</v>
      </c>
      <c r="I450" t="n">
        <v>0</v>
      </c>
      <c r="J450" t="n">
        <v>0</v>
      </c>
      <c r="K450" t="n">
        <v>0</v>
      </c>
      <c r="L450" t="n">
        <v>0</v>
      </c>
      <c r="M450" t="n">
        <v>0</v>
      </c>
      <c r="N450" t="n">
        <v>0</v>
      </c>
      <c r="O450" t="n">
        <v>0</v>
      </c>
      <c r="P450" t="n">
        <v>0</v>
      </c>
      <c r="Q450" t="n">
        <v>0</v>
      </c>
      <c r="R450" s="2" t="inlineStr"/>
    </row>
    <row r="451" ht="15" customHeight="1">
      <c r="A451" t="inlineStr">
        <is>
          <t>A 14615-2024</t>
        </is>
      </c>
      <c r="B451" s="1" t="n">
        <v>45397.26047453703</v>
      </c>
      <c r="C451" s="1" t="n">
        <v>45931</v>
      </c>
      <c r="D451" t="inlineStr">
        <is>
          <t>DALARNAS LÄN</t>
        </is>
      </c>
      <c r="E451" t="inlineStr">
        <is>
          <t>LEKSAND</t>
        </is>
      </c>
      <c r="G451" t="n">
        <v>0.4</v>
      </c>
      <c r="H451" t="n">
        <v>0</v>
      </c>
      <c r="I451" t="n">
        <v>0</v>
      </c>
      <c r="J451" t="n">
        <v>0</v>
      </c>
      <c r="K451" t="n">
        <v>0</v>
      </c>
      <c r="L451" t="n">
        <v>0</v>
      </c>
      <c r="M451" t="n">
        <v>0</v>
      </c>
      <c r="N451" t="n">
        <v>0</v>
      </c>
      <c r="O451" t="n">
        <v>0</v>
      </c>
      <c r="P451" t="n">
        <v>0</v>
      </c>
      <c r="Q451" t="n">
        <v>0</v>
      </c>
      <c r="R451" s="2" t="inlineStr"/>
    </row>
    <row r="452" ht="15" customHeight="1">
      <c r="A452" t="inlineStr">
        <is>
          <t>A 26423-2025</t>
        </is>
      </c>
      <c r="B452" s="1" t="n">
        <v>45807.37829861111</v>
      </c>
      <c r="C452" s="1" t="n">
        <v>45931</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27323-2025</t>
        </is>
      </c>
      <c r="B453" s="1" t="n">
        <v>45812.60392361111</v>
      </c>
      <c r="C453" s="1" t="n">
        <v>45931</v>
      </c>
      <c r="D453" t="inlineStr">
        <is>
          <t>DALARNAS LÄN</t>
        </is>
      </c>
      <c r="E453" t="inlineStr">
        <is>
          <t>LEKSAND</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30863-2024</t>
        </is>
      </c>
      <c r="B454" s="1" t="n">
        <v>45497.71074074074</v>
      </c>
      <c r="C454" s="1" t="n">
        <v>45931</v>
      </c>
      <c r="D454" t="inlineStr">
        <is>
          <t>DALARNAS LÄN</t>
        </is>
      </c>
      <c r="E454" t="inlineStr">
        <is>
          <t>LEKSAND</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7894-2025</t>
        </is>
      </c>
      <c r="B455" s="1" t="n">
        <v>45707.30268518518</v>
      </c>
      <c r="C455" s="1" t="n">
        <v>45931</v>
      </c>
      <c r="D455" t="inlineStr">
        <is>
          <t>DALARNAS LÄN</t>
        </is>
      </c>
      <c r="E455" t="inlineStr">
        <is>
          <t>LEKSAND</t>
        </is>
      </c>
      <c r="G455" t="n">
        <v>1.6</v>
      </c>
      <c r="H455" t="n">
        <v>0</v>
      </c>
      <c r="I455" t="n">
        <v>0</v>
      </c>
      <c r="J455" t="n">
        <v>0</v>
      </c>
      <c r="K455" t="n">
        <v>0</v>
      </c>
      <c r="L455" t="n">
        <v>0</v>
      </c>
      <c r="M455" t="n">
        <v>0</v>
      </c>
      <c r="N455" t="n">
        <v>0</v>
      </c>
      <c r="O455" t="n">
        <v>0</v>
      </c>
      <c r="P455" t="n">
        <v>0</v>
      </c>
      <c r="Q455" t="n">
        <v>0</v>
      </c>
      <c r="R455" s="2" t="inlineStr"/>
    </row>
    <row r="456" ht="15" customHeight="1">
      <c r="A456" t="inlineStr">
        <is>
          <t>A 27183-2025</t>
        </is>
      </c>
      <c r="B456" s="1" t="n">
        <v>45812.36097222222</v>
      </c>
      <c r="C456" s="1" t="n">
        <v>45931</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27262-2025</t>
        </is>
      </c>
      <c r="B457" s="1" t="n">
        <v>45812</v>
      </c>
      <c r="C457" s="1" t="n">
        <v>45931</v>
      </c>
      <c r="D457" t="inlineStr">
        <is>
          <t>DALARNAS LÄN</t>
        </is>
      </c>
      <c r="E457" t="inlineStr">
        <is>
          <t>LEKSAND</t>
        </is>
      </c>
      <c r="F457" t="inlineStr">
        <is>
          <t>Bergvik skog väst AB</t>
        </is>
      </c>
      <c r="G457" t="n">
        <v>7.7</v>
      </c>
      <c r="H457" t="n">
        <v>0</v>
      </c>
      <c r="I457" t="n">
        <v>0</v>
      </c>
      <c r="J457" t="n">
        <v>0</v>
      </c>
      <c r="K457" t="n">
        <v>0</v>
      </c>
      <c r="L457" t="n">
        <v>0</v>
      </c>
      <c r="M457" t="n">
        <v>0</v>
      </c>
      <c r="N457" t="n">
        <v>0</v>
      </c>
      <c r="O457" t="n">
        <v>0</v>
      </c>
      <c r="P457" t="n">
        <v>0</v>
      </c>
      <c r="Q457" t="n">
        <v>0</v>
      </c>
      <c r="R457" s="2" t="inlineStr"/>
    </row>
    <row r="458" ht="15" customHeight="1">
      <c r="A458" t="inlineStr">
        <is>
          <t>A 27329-2025</t>
        </is>
      </c>
      <c r="B458" s="1" t="n">
        <v>45812.60864583333</v>
      </c>
      <c r="C458" s="1" t="n">
        <v>45931</v>
      </c>
      <c r="D458" t="inlineStr">
        <is>
          <t>DALARNAS LÄN</t>
        </is>
      </c>
      <c r="E458" t="inlineStr">
        <is>
          <t>LEKSAND</t>
        </is>
      </c>
      <c r="F458" t="inlineStr">
        <is>
          <t>Bergvik skog väst AB</t>
        </is>
      </c>
      <c r="G458" t="n">
        <v>3</v>
      </c>
      <c r="H458" t="n">
        <v>0</v>
      </c>
      <c r="I458" t="n">
        <v>0</v>
      </c>
      <c r="J458" t="n">
        <v>0</v>
      </c>
      <c r="K458" t="n">
        <v>0</v>
      </c>
      <c r="L458" t="n">
        <v>0</v>
      </c>
      <c r="M458" t="n">
        <v>0</v>
      </c>
      <c r="N458" t="n">
        <v>0</v>
      </c>
      <c r="O458" t="n">
        <v>0</v>
      </c>
      <c r="P458" t="n">
        <v>0</v>
      </c>
      <c r="Q458" t="n">
        <v>0</v>
      </c>
      <c r="R458" s="2" t="inlineStr"/>
    </row>
    <row r="459" ht="15" customHeight="1">
      <c r="A459" t="inlineStr">
        <is>
          <t>A 27332-2025</t>
        </is>
      </c>
      <c r="B459" s="1" t="n">
        <v>45812.61265046296</v>
      </c>
      <c r="C459" s="1" t="n">
        <v>45931</v>
      </c>
      <c r="D459" t="inlineStr">
        <is>
          <t>DALARNAS LÄN</t>
        </is>
      </c>
      <c r="E459" t="inlineStr">
        <is>
          <t>LEKSAND</t>
        </is>
      </c>
      <c r="F459" t="inlineStr">
        <is>
          <t>Bergvik skog väst AB</t>
        </is>
      </c>
      <c r="G459" t="n">
        <v>2.9</v>
      </c>
      <c r="H459" t="n">
        <v>0</v>
      </c>
      <c r="I459" t="n">
        <v>0</v>
      </c>
      <c r="J459" t="n">
        <v>0</v>
      </c>
      <c r="K459" t="n">
        <v>0</v>
      </c>
      <c r="L459" t="n">
        <v>0</v>
      </c>
      <c r="M459" t="n">
        <v>0</v>
      </c>
      <c r="N459" t="n">
        <v>0</v>
      </c>
      <c r="O459" t="n">
        <v>0</v>
      </c>
      <c r="P459" t="n">
        <v>0</v>
      </c>
      <c r="Q459" t="n">
        <v>0</v>
      </c>
      <c r="R459" s="2" t="inlineStr"/>
    </row>
    <row r="460" ht="15" customHeight="1">
      <c r="A460" t="inlineStr">
        <is>
          <t>A 58877-2023</t>
        </is>
      </c>
      <c r="B460" s="1" t="n">
        <v>45252</v>
      </c>
      <c r="C460" s="1" t="n">
        <v>45931</v>
      </c>
      <c r="D460" t="inlineStr">
        <is>
          <t>DALARNAS LÄN</t>
        </is>
      </c>
      <c r="E460" t="inlineStr">
        <is>
          <t>LEKSAND</t>
        </is>
      </c>
      <c r="G460" t="n">
        <v>1.9</v>
      </c>
      <c r="H460" t="n">
        <v>0</v>
      </c>
      <c r="I460" t="n">
        <v>0</v>
      </c>
      <c r="J460" t="n">
        <v>0</v>
      </c>
      <c r="K460" t="n">
        <v>0</v>
      </c>
      <c r="L460" t="n">
        <v>0</v>
      </c>
      <c r="M460" t="n">
        <v>0</v>
      </c>
      <c r="N460" t="n">
        <v>0</v>
      </c>
      <c r="O460" t="n">
        <v>0</v>
      </c>
      <c r="P460" t="n">
        <v>0</v>
      </c>
      <c r="Q460" t="n">
        <v>0</v>
      </c>
      <c r="R460" s="2" t="inlineStr"/>
    </row>
    <row r="461" ht="15" customHeight="1">
      <c r="A461" t="inlineStr">
        <is>
          <t>A 17455-2022</t>
        </is>
      </c>
      <c r="B461" s="1" t="n">
        <v>44679.3775</v>
      </c>
      <c r="C461" s="1" t="n">
        <v>45931</v>
      </c>
      <c r="D461" t="inlineStr">
        <is>
          <t>DALARNAS LÄN</t>
        </is>
      </c>
      <c r="E461" t="inlineStr">
        <is>
          <t>LEKSAND</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54289-2023</t>
        </is>
      </c>
      <c r="B462" s="1" t="n">
        <v>45232.71193287037</v>
      </c>
      <c r="C462" s="1" t="n">
        <v>45931</v>
      </c>
      <c r="D462" t="inlineStr">
        <is>
          <t>DALARNAS LÄN</t>
        </is>
      </c>
      <c r="E462" t="inlineStr">
        <is>
          <t>LEKSAND</t>
        </is>
      </c>
      <c r="G462" t="n">
        <v>2</v>
      </c>
      <c r="H462" t="n">
        <v>0</v>
      </c>
      <c r="I462" t="n">
        <v>0</v>
      </c>
      <c r="J462" t="n">
        <v>0</v>
      </c>
      <c r="K462" t="n">
        <v>0</v>
      </c>
      <c r="L462" t="n">
        <v>0</v>
      </c>
      <c r="M462" t="n">
        <v>0</v>
      </c>
      <c r="N462" t="n">
        <v>0</v>
      </c>
      <c r="O462" t="n">
        <v>0</v>
      </c>
      <c r="P462" t="n">
        <v>0</v>
      </c>
      <c r="Q462" t="n">
        <v>0</v>
      </c>
      <c r="R462" s="2" t="inlineStr"/>
    </row>
    <row r="463" ht="15" customHeight="1">
      <c r="A463" t="inlineStr">
        <is>
          <t>A 60040-2023</t>
        </is>
      </c>
      <c r="B463" s="1" t="n">
        <v>45256</v>
      </c>
      <c r="C463" s="1" t="n">
        <v>45931</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33306-2023</t>
        </is>
      </c>
      <c r="B464" s="1" t="n">
        <v>45127</v>
      </c>
      <c r="C464" s="1" t="n">
        <v>45931</v>
      </c>
      <c r="D464" t="inlineStr">
        <is>
          <t>DALARNAS LÄN</t>
        </is>
      </c>
      <c r="E464" t="inlineStr">
        <is>
          <t>LEKSAND</t>
        </is>
      </c>
      <c r="G464" t="n">
        <v>2.2</v>
      </c>
      <c r="H464" t="n">
        <v>0</v>
      </c>
      <c r="I464" t="n">
        <v>0</v>
      </c>
      <c r="J464" t="n">
        <v>0</v>
      </c>
      <c r="K464" t="n">
        <v>0</v>
      </c>
      <c r="L464" t="n">
        <v>0</v>
      </c>
      <c r="M464" t="n">
        <v>0</v>
      </c>
      <c r="N464" t="n">
        <v>0</v>
      </c>
      <c r="O464" t="n">
        <v>0</v>
      </c>
      <c r="P464" t="n">
        <v>0</v>
      </c>
      <c r="Q464" t="n">
        <v>0</v>
      </c>
      <c r="R464" s="2" t="inlineStr"/>
    </row>
    <row r="465" ht="15" customHeight="1">
      <c r="A465" t="inlineStr">
        <is>
          <t>A 33316-2023</t>
        </is>
      </c>
      <c r="B465" s="1" t="n">
        <v>45127</v>
      </c>
      <c r="C465" s="1" t="n">
        <v>45931</v>
      </c>
      <c r="D465" t="inlineStr">
        <is>
          <t>DALARNAS LÄN</t>
        </is>
      </c>
      <c r="E465" t="inlineStr">
        <is>
          <t>LEKSAND</t>
        </is>
      </c>
      <c r="G465" t="n">
        <v>8.9</v>
      </c>
      <c r="H465" t="n">
        <v>0</v>
      </c>
      <c r="I465" t="n">
        <v>0</v>
      </c>
      <c r="J465" t="n">
        <v>0</v>
      </c>
      <c r="K465" t="n">
        <v>0</v>
      </c>
      <c r="L465" t="n">
        <v>0</v>
      </c>
      <c r="M465" t="n">
        <v>0</v>
      </c>
      <c r="N465" t="n">
        <v>0</v>
      </c>
      <c r="O465" t="n">
        <v>0</v>
      </c>
      <c r="P465" t="n">
        <v>0</v>
      </c>
      <c r="Q465" t="n">
        <v>0</v>
      </c>
      <c r="R465" s="2" t="inlineStr"/>
    </row>
    <row r="466" ht="15" customHeight="1">
      <c r="A466" t="inlineStr">
        <is>
          <t>A 27682-2025</t>
        </is>
      </c>
      <c r="B466" s="1" t="n">
        <v>45813.64782407408</v>
      </c>
      <c r="C466" s="1" t="n">
        <v>45931</v>
      </c>
      <c r="D466" t="inlineStr">
        <is>
          <t>DALARNAS LÄN</t>
        </is>
      </c>
      <c r="E466" t="inlineStr">
        <is>
          <t>LEKSAND</t>
        </is>
      </c>
      <c r="G466" t="n">
        <v>1.2</v>
      </c>
      <c r="H466" t="n">
        <v>0</v>
      </c>
      <c r="I466" t="n">
        <v>0</v>
      </c>
      <c r="J466" t="n">
        <v>0</v>
      </c>
      <c r="K466" t="n">
        <v>0</v>
      </c>
      <c r="L466" t="n">
        <v>0</v>
      </c>
      <c r="M466" t="n">
        <v>0</v>
      </c>
      <c r="N466" t="n">
        <v>0</v>
      </c>
      <c r="O466" t="n">
        <v>0</v>
      </c>
      <c r="P466" t="n">
        <v>0</v>
      </c>
      <c r="Q466" t="n">
        <v>0</v>
      </c>
      <c r="R466" s="2" t="inlineStr"/>
    </row>
    <row r="467" ht="15" customHeight="1">
      <c r="A467" t="inlineStr">
        <is>
          <t>A 27705-2025</t>
        </is>
      </c>
      <c r="B467" s="1" t="n">
        <v>45813</v>
      </c>
      <c r="C467" s="1" t="n">
        <v>45931</v>
      </c>
      <c r="D467" t="inlineStr">
        <is>
          <t>DALARNAS LÄN</t>
        </is>
      </c>
      <c r="E467" t="inlineStr">
        <is>
          <t>LEKSAND</t>
        </is>
      </c>
      <c r="G467" t="n">
        <v>0.8</v>
      </c>
      <c r="H467" t="n">
        <v>0</v>
      </c>
      <c r="I467" t="n">
        <v>0</v>
      </c>
      <c r="J467" t="n">
        <v>0</v>
      </c>
      <c r="K467" t="n">
        <v>0</v>
      </c>
      <c r="L467" t="n">
        <v>0</v>
      </c>
      <c r="M467" t="n">
        <v>0</v>
      </c>
      <c r="N467" t="n">
        <v>0</v>
      </c>
      <c r="O467" t="n">
        <v>0</v>
      </c>
      <c r="P467" t="n">
        <v>0</v>
      </c>
      <c r="Q467" t="n">
        <v>0</v>
      </c>
      <c r="R467" s="2" t="inlineStr"/>
    </row>
    <row r="468" ht="15" customHeight="1">
      <c r="A468" t="inlineStr">
        <is>
          <t>A 29157-2022</t>
        </is>
      </c>
      <c r="B468" s="1" t="n">
        <v>44750.48355324074</v>
      </c>
      <c r="C468" s="1" t="n">
        <v>45931</v>
      </c>
      <c r="D468" t="inlineStr">
        <is>
          <t>DALARNAS LÄN</t>
        </is>
      </c>
      <c r="E468" t="inlineStr">
        <is>
          <t>LEKSAND</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27680-2025</t>
        </is>
      </c>
      <c r="B469" s="1" t="n">
        <v>45813.64618055556</v>
      </c>
      <c r="C469" s="1" t="n">
        <v>45931</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22681-2022</t>
        </is>
      </c>
      <c r="B470" s="1" t="n">
        <v>44714.50961805556</v>
      </c>
      <c r="C470" s="1" t="n">
        <v>45931</v>
      </c>
      <c r="D470" t="inlineStr">
        <is>
          <t>DALARNAS LÄN</t>
        </is>
      </c>
      <c r="E470" t="inlineStr">
        <is>
          <t>LEKSAND</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28483-2025</t>
        </is>
      </c>
      <c r="B471" s="1" t="n">
        <v>45818</v>
      </c>
      <c r="C471" s="1" t="n">
        <v>45931</v>
      </c>
      <c r="D471" t="inlineStr">
        <is>
          <t>DALARNAS LÄN</t>
        </is>
      </c>
      <c r="E471" t="inlineStr">
        <is>
          <t>LEKSAND</t>
        </is>
      </c>
      <c r="F471" t="inlineStr">
        <is>
          <t>Bergvik skog väst AB</t>
        </is>
      </c>
      <c r="G471" t="n">
        <v>1.6</v>
      </c>
      <c r="H471" t="n">
        <v>0</v>
      </c>
      <c r="I471" t="n">
        <v>0</v>
      </c>
      <c r="J471" t="n">
        <v>0</v>
      </c>
      <c r="K471" t="n">
        <v>0</v>
      </c>
      <c r="L471" t="n">
        <v>0</v>
      </c>
      <c r="M471" t="n">
        <v>0</v>
      </c>
      <c r="N471" t="n">
        <v>0</v>
      </c>
      <c r="O471" t="n">
        <v>0</v>
      </c>
      <c r="P471" t="n">
        <v>0</v>
      </c>
      <c r="Q471" t="n">
        <v>0</v>
      </c>
      <c r="R471" s="2" t="inlineStr"/>
    </row>
    <row r="472" ht="15" customHeight="1">
      <c r="A472" t="inlineStr">
        <is>
          <t>A 30196-2023</t>
        </is>
      </c>
      <c r="B472" s="1" t="n">
        <v>45110</v>
      </c>
      <c r="C472" s="1" t="n">
        <v>45931</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28505-2025</t>
        </is>
      </c>
      <c r="B473" s="1" t="n">
        <v>45818</v>
      </c>
      <c r="C473" s="1" t="n">
        <v>45931</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46446-2023</t>
        </is>
      </c>
      <c r="B474" s="1" t="n">
        <v>45197.59344907408</v>
      </c>
      <c r="C474" s="1" t="n">
        <v>45931</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28499-2025</t>
        </is>
      </c>
      <c r="B475" s="1" t="n">
        <v>45818</v>
      </c>
      <c r="C475" s="1" t="n">
        <v>45931</v>
      </c>
      <c r="D475" t="inlineStr">
        <is>
          <t>DALARNAS LÄN</t>
        </is>
      </c>
      <c r="E475" t="inlineStr">
        <is>
          <t>LEKSAND</t>
        </is>
      </c>
      <c r="G475" t="n">
        <v>0.7</v>
      </c>
      <c r="H475" t="n">
        <v>0</v>
      </c>
      <c r="I475" t="n">
        <v>0</v>
      </c>
      <c r="J475" t="n">
        <v>0</v>
      </c>
      <c r="K475" t="n">
        <v>0</v>
      </c>
      <c r="L475" t="n">
        <v>0</v>
      </c>
      <c r="M475" t="n">
        <v>0</v>
      </c>
      <c r="N475" t="n">
        <v>0</v>
      </c>
      <c r="O475" t="n">
        <v>0</v>
      </c>
      <c r="P475" t="n">
        <v>0</v>
      </c>
      <c r="Q475" t="n">
        <v>0</v>
      </c>
      <c r="R475" s="2" t="inlineStr"/>
    </row>
    <row r="476" ht="15" customHeight="1">
      <c r="A476" t="inlineStr">
        <is>
          <t>A 27984-2025</t>
        </is>
      </c>
      <c r="B476" s="1" t="n">
        <v>45817.57710648148</v>
      </c>
      <c r="C476" s="1" t="n">
        <v>45931</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28488-2025</t>
        </is>
      </c>
      <c r="B477" s="1" t="n">
        <v>45818</v>
      </c>
      <c r="C477" s="1" t="n">
        <v>45931</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12356-2023</t>
        </is>
      </c>
      <c r="B478" s="1" t="n">
        <v>44998</v>
      </c>
      <c r="C478" s="1" t="n">
        <v>45931</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54682-2023</t>
        </is>
      </c>
      <c r="B479" s="1" t="n">
        <v>45235.90439814814</v>
      </c>
      <c r="C479" s="1" t="n">
        <v>45931</v>
      </c>
      <c r="D479" t="inlineStr">
        <is>
          <t>DALARNAS LÄN</t>
        </is>
      </c>
      <c r="E479" t="inlineStr">
        <is>
          <t>LEKSAND</t>
        </is>
      </c>
      <c r="G479" t="n">
        <v>1.5</v>
      </c>
      <c r="H479" t="n">
        <v>0</v>
      </c>
      <c r="I479" t="n">
        <v>0</v>
      </c>
      <c r="J479" t="n">
        <v>0</v>
      </c>
      <c r="K479" t="n">
        <v>0</v>
      </c>
      <c r="L479" t="n">
        <v>0</v>
      </c>
      <c r="M479" t="n">
        <v>0</v>
      </c>
      <c r="N479" t="n">
        <v>0</v>
      </c>
      <c r="O479" t="n">
        <v>0</v>
      </c>
      <c r="P479" t="n">
        <v>0</v>
      </c>
      <c r="Q479" t="n">
        <v>0</v>
      </c>
      <c r="R479" s="2" t="inlineStr"/>
    </row>
    <row r="480" ht="15" customHeight="1">
      <c r="A480" t="inlineStr">
        <is>
          <t>A 41046-2024</t>
        </is>
      </c>
      <c r="B480" s="1" t="n">
        <v>45559.36677083333</v>
      </c>
      <c r="C480" s="1" t="n">
        <v>45931</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56016-2024</t>
        </is>
      </c>
      <c r="B481" s="1" t="n">
        <v>45623.87737268519</v>
      </c>
      <c r="C481" s="1" t="n">
        <v>45931</v>
      </c>
      <c r="D481" t="inlineStr">
        <is>
          <t>DALARNAS LÄN</t>
        </is>
      </c>
      <c r="E481" t="inlineStr">
        <is>
          <t>LEKSAND</t>
        </is>
      </c>
      <c r="G481" t="n">
        <v>6.1</v>
      </c>
      <c r="H481" t="n">
        <v>0</v>
      </c>
      <c r="I481" t="n">
        <v>0</v>
      </c>
      <c r="J481" t="n">
        <v>0</v>
      </c>
      <c r="K481" t="n">
        <v>0</v>
      </c>
      <c r="L481" t="n">
        <v>0</v>
      </c>
      <c r="M481" t="n">
        <v>0</v>
      </c>
      <c r="N481" t="n">
        <v>0</v>
      </c>
      <c r="O481" t="n">
        <v>0</v>
      </c>
      <c r="P481" t="n">
        <v>0</v>
      </c>
      <c r="Q481" t="n">
        <v>0</v>
      </c>
      <c r="R481" s="2" t="inlineStr"/>
    </row>
    <row r="482" ht="15" customHeight="1">
      <c r="A482" t="inlineStr">
        <is>
          <t>A 28770-2025</t>
        </is>
      </c>
      <c r="B482" s="1" t="n">
        <v>45820</v>
      </c>
      <c r="C482" s="1" t="n">
        <v>45931</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1463-2024</t>
        </is>
      </c>
      <c r="B483" s="1" t="n">
        <v>45303</v>
      </c>
      <c r="C483" s="1" t="n">
        <v>45931</v>
      </c>
      <c r="D483" t="inlineStr">
        <is>
          <t>DALARNAS LÄN</t>
        </is>
      </c>
      <c r="E483" t="inlineStr">
        <is>
          <t>LEKSAND</t>
        </is>
      </c>
      <c r="G483" t="n">
        <v>1.5</v>
      </c>
      <c r="H483" t="n">
        <v>0</v>
      </c>
      <c r="I483" t="n">
        <v>0</v>
      </c>
      <c r="J483" t="n">
        <v>0</v>
      </c>
      <c r="K483" t="n">
        <v>0</v>
      </c>
      <c r="L483" t="n">
        <v>0</v>
      </c>
      <c r="M483" t="n">
        <v>0</v>
      </c>
      <c r="N483" t="n">
        <v>0</v>
      </c>
      <c r="O483" t="n">
        <v>0</v>
      </c>
      <c r="P483" t="n">
        <v>0</v>
      </c>
      <c r="Q483" t="n">
        <v>0</v>
      </c>
      <c r="R483" s="2" t="inlineStr"/>
    </row>
    <row r="484" ht="15" customHeight="1">
      <c r="A484" t="inlineStr">
        <is>
          <t>A 28458-2025</t>
        </is>
      </c>
      <c r="B484" s="1" t="n">
        <v>45819.413125</v>
      </c>
      <c r="C484" s="1" t="n">
        <v>45931</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29005-2025</t>
        </is>
      </c>
      <c r="B485" s="1" t="n">
        <v>45821.39326388889</v>
      </c>
      <c r="C485" s="1" t="n">
        <v>45931</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28985-2025</t>
        </is>
      </c>
      <c r="B486" s="1" t="n">
        <v>45821.36862268519</v>
      </c>
      <c r="C486" s="1" t="n">
        <v>45931</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55926-2024</t>
        </is>
      </c>
      <c r="B487" s="1" t="n">
        <v>45623.601875</v>
      </c>
      <c r="C487" s="1" t="n">
        <v>45931</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16293-2025</t>
        </is>
      </c>
      <c r="B488" s="1" t="n">
        <v>45751.33447916667</v>
      </c>
      <c r="C488" s="1" t="n">
        <v>45931</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30000-2023</t>
        </is>
      </c>
      <c r="B489" s="1" t="n">
        <v>45109.71128472222</v>
      </c>
      <c r="C489" s="1" t="n">
        <v>45931</v>
      </c>
      <c r="D489" t="inlineStr">
        <is>
          <t>DALARNAS LÄN</t>
        </is>
      </c>
      <c r="E489" t="inlineStr">
        <is>
          <t>LEKSAND</t>
        </is>
      </c>
      <c r="G489" t="n">
        <v>1.1</v>
      </c>
      <c r="H489" t="n">
        <v>0</v>
      </c>
      <c r="I489" t="n">
        <v>0</v>
      </c>
      <c r="J489" t="n">
        <v>0</v>
      </c>
      <c r="K489" t="n">
        <v>0</v>
      </c>
      <c r="L489" t="n">
        <v>0</v>
      </c>
      <c r="M489" t="n">
        <v>0</v>
      </c>
      <c r="N489" t="n">
        <v>0</v>
      </c>
      <c r="O489" t="n">
        <v>0</v>
      </c>
      <c r="P489" t="n">
        <v>0</v>
      </c>
      <c r="Q489" t="n">
        <v>0</v>
      </c>
      <c r="R489" s="2" t="inlineStr"/>
    </row>
    <row r="490" ht="15" customHeight="1">
      <c r="A490" t="inlineStr">
        <is>
          <t>A 51860-2024</t>
        </is>
      </c>
      <c r="B490" s="1" t="n">
        <v>45607.54511574074</v>
      </c>
      <c r="C490" s="1" t="n">
        <v>45931</v>
      </c>
      <c r="D490" t="inlineStr">
        <is>
          <t>DALARNAS LÄN</t>
        </is>
      </c>
      <c r="E490" t="inlineStr">
        <is>
          <t>LEKSAND</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17282-2025</t>
        </is>
      </c>
      <c r="B491" s="1" t="n">
        <v>45756.57114583333</v>
      </c>
      <c r="C491" s="1" t="n">
        <v>45931</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12923-2025</t>
        </is>
      </c>
      <c r="B492" s="1" t="n">
        <v>45734.29193287037</v>
      </c>
      <c r="C492" s="1" t="n">
        <v>45931</v>
      </c>
      <c r="D492" t="inlineStr">
        <is>
          <t>DALARNAS LÄN</t>
        </is>
      </c>
      <c r="E492" t="inlineStr">
        <is>
          <t>LEKSAND</t>
        </is>
      </c>
      <c r="G492" t="n">
        <v>7.2</v>
      </c>
      <c r="H492" t="n">
        <v>0</v>
      </c>
      <c r="I492" t="n">
        <v>0</v>
      </c>
      <c r="J492" t="n">
        <v>0</v>
      </c>
      <c r="K492" t="n">
        <v>0</v>
      </c>
      <c r="L492" t="n">
        <v>0</v>
      </c>
      <c r="M492" t="n">
        <v>0</v>
      </c>
      <c r="N492" t="n">
        <v>0</v>
      </c>
      <c r="O492" t="n">
        <v>0</v>
      </c>
      <c r="P492" t="n">
        <v>0</v>
      </c>
      <c r="Q492" t="n">
        <v>0</v>
      </c>
      <c r="R492" s="2" t="inlineStr"/>
    </row>
    <row r="493" ht="15" customHeight="1">
      <c r="A493" t="inlineStr">
        <is>
          <t>A 12363-2023</t>
        </is>
      </c>
      <c r="B493" s="1" t="n">
        <v>44998</v>
      </c>
      <c r="C493" s="1" t="n">
        <v>45931</v>
      </c>
      <c r="D493" t="inlineStr">
        <is>
          <t>DALARNAS LÄN</t>
        </is>
      </c>
      <c r="E493" t="inlineStr">
        <is>
          <t>LEKSAND</t>
        </is>
      </c>
      <c r="G493" t="n">
        <v>10</v>
      </c>
      <c r="H493" t="n">
        <v>0</v>
      </c>
      <c r="I493" t="n">
        <v>0</v>
      </c>
      <c r="J493" t="n">
        <v>0</v>
      </c>
      <c r="K493" t="n">
        <v>0</v>
      </c>
      <c r="L493" t="n">
        <v>0</v>
      </c>
      <c r="M493" t="n">
        <v>0</v>
      </c>
      <c r="N493" t="n">
        <v>0</v>
      </c>
      <c r="O493" t="n">
        <v>0</v>
      </c>
      <c r="P493" t="n">
        <v>0</v>
      </c>
      <c r="Q493" t="n">
        <v>0</v>
      </c>
      <c r="R493" s="2" t="inlineStr"/>
    </row>
    <row r="494" ht="15" customHeight="1">
      <c r="A494" t="inlineStr">
        <is>
          <t>A 2820-2024</t>
        </is>
      </c>
      <c r="B494" s="1" t="n">
        <v>45314.76287037037</v>
      </c>
      <c r="C494" s="1" t="n">
        <v>45931</v>
      </c>
      <c r="D494" t="inlineStr">
        <is>
          <t>DALARNAS LÄN</t>
        </is>
      </c>
      <c r="E494" t="inlineStr">
        <is>
          <t>LEKSAND</t>
        </is>
      </c>
      <c r="G494" t="n">
        <v>1.7</v>
      </c>
      <c r="H494" t="n">
        <v>0</v>
      </c>
      <c r="I494" t="n">
        <v>0</v>
      </c>
      <c r="J494" t="n">
        <v>0</v>
      </c>
      <c r="K494" t="n">
        <v>0</v>
      </c>
      <c r="L494" t="n">
        <v>0</v>
      </c>
      <c r="M494" t="n">
        <v>0</v>
      </c>
      <c r="N494" t="n">
        <v>0</v>
      </c>
      <c r="O494" t="n">
        <v>0</v>
      </c>
      <c r="P494" t="n">
        <v>0</v>
      </c>
      <c r="Q494" t="n">
        <v>0</v>
      </c>
      <c r="R494" s="2" t="inlineStr"/>
    </row>
    <row r="495" ht="15" customHeight="1">
      <c r="A495" t="inlineStr">
        <is>
          <t>A 2822-2024</t>
        </is>
      </c>
      <c r="B495" s="1" t="n">
        <v>45314.76622685185</v>
      </c>
      <c r="C495" s="1" t="n">
        <v>45931</v>
      </c>
      <c r="D495" t="inlineStr">
        <is>
          <t>DALARNAS LÄN</t>
        </is>
      </c>
      <c r="E495" t="inlineStr">
        <is>
          <t>LEKSAND</t>
        </is>
      </c>
      <c r="G495" t="n">
        <v>1.6</v>
      </c>
      <c r="H495" t="n">
        <v>0</v>
      </c>
      <c r="I495" t="n">
        <v>0</v>
      </c>
      <c r="J495" t="n">
        <v>0</v>
      </c>
      <c r="K495" t="n">
        <v>0</v>
      </c>
      <c r="L495" t="n">
        <v>0</v>
      </c>
      <c r="M495" t="n">
        <v>0</v>
      </c>
      <c r="N495" t="n">
        <v>0</v>
      </c>
      <c r="O495" t="n">
        <v>0</v>
      </c>
      <c r="P495" t="n">
        <v>0</v>
      </c>
      <c r="Q495" t="n">
        <v>0</v>
      </c>
      <c r="R495" s="2" t="inlineStr"/>
    </row>
    <row r="496" ht="15" customHeight="1">
      <c r="A496" t="inlineStr">
        <is>
          <t>A 51320-2023</t>
        </is>
      </c>
      <c r="B496" s="1" t="n">
        <v>45219.57456018519</v>
      </c>
      <c r="C496" s="1" t="n">
        <v>45931</v>
      </c>
      <c r="D496" t="inlineStr">
        <is>
          <t>DALARNAS LÄN</t>
        </is>
      </c>
      <c r="E496" t="inlineStr">
        <is>
          <t>LEKSAND</t>
        </is>
      </c>
      <c r="G496" t="n">
        <v>2.1</v>
      </c>
      <c r="H496" t="n">
        <v>0</v>
      </c>
      <c r="I496" t="n">
        <v>0</v>
      </c>
      <c r="J496" t="n">
        <v>0</v>
      </c>
      <c r="K496" t="n">
        <v>0</v>
      </c>
      <c r="L496" t="n">
        <v>0</v>
      </c>
      <c r="M496" t="n">
        <v>0</v>
      </c>
      <c r="N496" t="n">
        <v>0</v>
      </c>
      <c r="O496" t="n">
        <v>0</v>
      </c>
      <c r="P496" t="n">
        <v>0</v>
      </c>
      <c r="Q496" t="n">
        <v>0</v>
      </c>
      <c r="R496" s="2" t="inlineStr"/>
    </row>
    <row r="497" ht="15" customHeight="1">
      <c r="A497" t="inlineStr">
        <is>
          <t>A 12621-2025</t>
        </is>
      </c>
      <c r="B497" s="1" t="n">
        <v>45733.3575</v>
      </c>
      <c r="C497" s="1" t="n">
        <v>45931</v>
      </c>
      <c r="D497" t="inlineStr">
        <is>
          <t>DALARNAS LÄN</t>
        </is>
      </c>
      <c r="E497" t="inlineStr">
        <is>
          <t>LEKSAND</t>
        </is>
      </c>
      <c r="F497" t="inlineStr">
        <is>
          <t>Bergvik skog väst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15020-2023</t>
        </is>
      </c>
      <c r="B498" s="1" t="n">
        <v>45015.6196412037</v>
      </c>
      <c r="C498" s="1" t="n">
        <v>45931</v>
      </c>
      <c r="D498" t="inlineStr">
        <is>
          <t>DALARNAS LÄN</t>
        </is>
      </c>
      <c r="E498" t="inlineStr">
        <is>
          <t>LEKSAND</t>
        </is>
      </c>
      <c r="G498" t="n">
        <v>2.6</v>
      </c>
      <c r="H498" t="n">
        <v>0</v>
      </c>
      <c r="I498" t="n">
        <v>0</v>
      </c>
      <c r="J498" t="n">
        <v>0</v>
      </c>
      <c r="K498" t="n">
        <v>0</v>
      </c>
      <c r="L498" t="n">
        <v>0</v>
      </c>
      <c r="M498" t="n">
        <v>0</v>
      </c>
      <c r="N498" t="n">
        <v>0</v>
      </c>
      <c r="O498" t="n">
        <v>0</v>
      </c>
      <c r="P498" t="n">
        <v>0</v>
      </c>
      <c r="Q498" t="n">
        <v>0</v>
      </c>
      <c r="R498" s="2" t="inlineStr"/>
    </row>
    <row r="499" ht="15" customHeight="1">
      <c r="A499" t="inlineStr">
        <is>
          <t>A 29729-2025</t>
        </is>
      </c>
      <c r="B499" s="1" t="n">
        <v>45825.58077546296</v>
      </c>
      <c r="C499" s="1" t="n">
        <v>45931</v>
      </c>
      <c r="D499" t="inlineStr">
        <is>
          <t>DALARNAS LÄN</t>
        </is>
      </c>
      <c r="E499" t="inlineStr">
        <is>
          <t>LEKSAND</t>
        </is>
      </c>
      <c r="F499" t="inlineStr">
        <is>
          <t>Bergvik skog väst AB</t>
        </is>
      </c>
      <c r="G499" t="n">
        <v>4.3</v>
      </c>
      <c r="H499" t="n">
        <v>0</v>
      </c>
      <c r="I499" t="n">
        <v>0</v>
      </c>
      <c r="J499" t="n">
        <v>0</v>
      </c>
      <c r="K499" t="n">
        <v>0</v>
      </c>
      <c r="L499" t="n">
        <v>0</v>
      </c>
      <c r="M499" t="n">
        <v>0</v>
      </c>
      <c r="N499" t="n">
        <v>0</v>
      </c>
      <c r="O499" t="n">
        <v>0</v>
      </c>
      <c r="P499" t="n">
        <v>0</v>
      </c>
      <c r="Q499" t="n">
        <v>0</v>
      </c>
      <c r="R499" s="2" t="inlineStr"/>
    </row>
    <row r="500" ht="15" customHeight="1">
      <c r="A500" t="inlineStr">
        <is>
          <t>A 51377-2023</t>
        </is>
      </c>
      <c r="B500" s="1" t="n">
        <v>45219</v>
      </c>
      <c r="C500" s="1" t="n">
        <v>45931</v>
      </c>
      <c r="D500" t="inlineStr">
        <is>
          <t>DALARNAS LÄN</t>
        </is>
      </c>
      <c r="E500" t="inlineStr">
        <is>
          <t>LEKSAND</t>
        </is>
      </c>
      <c r="G500" t="n">
        <v>0.9</v>
      </c>
      <c r="H500" t="n">
        <v>0</v>
      </c>
      <c r="I500" t="n">
        <v>0</v>
      </c>
      <c r="J500" t="n">
        <v>0</v>
      </c>
      <c r="K500" t="n">
        <v>0</v>
      </c>
      <c r="L500" t="n">
        <v>0</v>
      </c>
      <c r="M500" t="n">
        <v>0</v>
      </c>
      <c r="N500" t="n">
        <v>0</v>
      </c>
      <c r="O500" t="n">
        <v>0</v>
      </c>
      <c r="P500" t="n">
        <v>0</v>
      </c>
      <c r="Q500" t="n">
        <v>0</v>
      </c>
      <c r="R500" s="2" t="inlineStr"/>
    </row>
    <row r="501" ht="15" customHeight="1">
      <c r="A501" t="inlineStr">
        <is>
          <t>A 59859-2023</t>
        </is>
      </c>
      <c r="B501" s="1" t="n">
        <v>45257</v>
      </c>
      <c r="C501" s="1" t="n">
        <v>45931</v>
      </c>
      <c r="D501" t="inlineStr">
        <is>
          <t>DALARNAS LÄN</t>
        </is>
      </c>
      <c r="E501" t="inlineStr">
        <is>
          <t>LEKSAND</t>
        </is>
      </c>
      <c r="F501" t="inlineStr">
        <is>
          <t>Bergvik skog väst AB</t>
        </is>
      </c>
      <c r="G501" t="n">
        <v>2.1</v>
      </c>
      <c r="H501" t="n">
        <v>0</v>
      </c>
      <c r="I501" t="n">
        <v>0</v>
      </c>
      <c r="J501" t="n">
        <v>0</v>
      </c>
      <c r="K501" t="n">
        <v>0</v>
      </c>
      <c r="L501" t="n">
        <v>0</v>
      </c>
      <c r="M501" t="n">
        <v>0</v>
      </c>
      <c r="N501" t="n">
        <v>0</v>
      </c>
      <c r="O501" t="n">
        <v>0</v>
      </c>
      <c r="P501" t="n">
        <v>0</v>
      </c>
      <c r="Q501" t="n">
        <v>0</v>
      </c>
      <c r="R501" s="2" t="inlineStr"/>
    </row>
    <row r="502" ht="15" customHeight="1">
      <c r="A502" t="inlineStr">
        <is>
          <t>A 29553-2025</t>
        </is>
      </c>
      <c r="B502" s="1" t="n">
        <v>45825.35315972222</v>
      </c>
      <c r="C502" s="1" t="n">
        <v>45931</v>
      </c>
      <c r="D502" t="inlineStr">
        <is>
          <t>DALARNAS LÄN</t>
        </is>
      </c>
      <c r="E502" t="inlineStr">
        <is>
          <t>LEKSAND</t>
        </is>
      </c>
      <c r="G502" t="n">
        <v>1.8</v>
      </c>
      <c r="H502" t="n">
        <v>0</v>
      </c>
      <c r="I502" t="n">
        <v>0</v>
      </c>
      <c r="J502" t="n">
        <v>0</v>
      </c>
      <c r="K502" t="n">
        <v>0</v>
      </c>
      <c r="L502" t="n">
        <v>0</v>
      </c>
      <c r="M502" t="n">
        <v>0</v>
      </c>
      <c r="N502" t="n">
        <v>0</v>
      </c>
      <c r="O502" t="n">
        <v>0</v>
      </c>
      <c r="P502" t="n">
        <v>0</v>
      </c>
      <c r="Q502" t="n">
        <v>0</v>
      </c>
      <c r="R502" s="2" t="inlineStr"/>
    </row>
    <row r="503" ht="15" customHeight="1">
      <c r="A503" t="inlineStr">
        <is>
          <t>A 30254-2025</t>
        </is>
      </c>
      <c r="B503" s="1" t="n">
        <v>45827.42336805556</v>
      </c>
      <c r="C503" s="1" t="n">
        <v>45931</v>
      </c>
      <c r="D503" t="inlineStr">
        <is>
          <t>DALARNAS LÄN</t>
        </is>
      </c>
      <c r="E503" t="inlineStr">
        <is>
          <t>LEKSAND</t>
        </is>
      </c>
      <c r="G503" t="n">
        <v>3.5</v>
      </c>
      <c r="H503" t="n">
        <v>0</v>
      </c>
      <c r="I503" t="n">
        <v>0</v>
      </c>
      <c r="J503" t="n">
        <v>0</v>
      </c>
      <c r="K503" t="n">
        <v>0</v>
      </c>
      <c r="L503" t="n">
        <v>0</v>
      </c>
      <c r="M503" t="n">
        <v>0</v>
      </c>
      <c r="N503" t="n">
        <v>0</v>
      </c>
      <c r="O503" t="n">
        <v>0</v>
      </c>
      <c r="P503" t="n">
        <v>0</v>
      </c>
      <c r="Q503" t="n">
        <v>0</v>
      </c>
      <c r="R503" s="2" t="inlineStr"/>
    </row>
    <row r="504" ht="15" customHeight="1">
      <c r="A504" t="inlineStr">
        <is>
          <t>A 19330-2025</t>
        </is>
      </c>
      <c r="B504" s="1" t="n">
        <v>45769</v>
      </c>
      <c r="C504" s="1" t="n">
        <v>45931</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45943-2022</t>
        </is>
      </c>
      <c r="B505" s="1" t="n">
        <v>44846.64418981481</v>
      </c>
      <c r="C505" s="1" t="n">
        <v>45931</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23323-2023</t>
        </is>
      </c>
      <c r="B506" s="1" t="n">
        <v>45076</v>
      </c>
      <c r="C506" s="1" t="n">
        <v>45931</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10299-2024</t>
        </is>
      </c>
      <c r="B507" s="1" t="n">
        <v>45365.50425925926</v>
      </c>
      <c r="C507" s="1" t="n">
        <v>45931</v>
      </c>
      <c r="D507" t="inlineStr">
        <is>
          <t>DALARNAS LÄN</t>
        </is>
      </c>
      <c r="E507" t="inlineStr">
        <is>
          <t>LEKSAND</t>
        </is>
      </c>
      <c r="G507" t="n">
        <v>3.6</v>
      </c>
      <c r="H507" t="n">
        <v>0</v>
      </c>
      <c r="I507" t="n">
        <v>0</v>
      </c>
      <c r="J507" t="n">
        <v>0</v>
      </c>
      <c r="K507" t="n">
        <v>0</v>
      </c>
      <c r="L507" t="n">
        <v>0</v>
      </c>
      <c r="M507" t="n">
        <v>0</v>
      </c>
      <c r="N507" t="n">
        <v>0</v>
      </c>
      <c r="O507" t="n">
        <v>0</v>
      </c>
      <c r="P507" t="n">
        <v>0</v>
      </c>
      <c r="Q507" t="n">
        <v>0</v>
      </c>
      <c r="R507" s="2" t="inlineStr"/>
    </row>
    <row r="508" ht="15" customHeight="1">
      <c r="A508" t="inlineStr">
        <is>
          <t>A 55643-2024</t>
        </is>
      </c>
      <c r="B508" s="1" t="n">
        <v>45621</v>
      </c>
      <c r="C508" s="1" t="n">
        <v>45931</v>
      </c>
      <c r="D508" t="inlineStr">
        <is>
          <t>DALARNAS LÄN</t>
        </is>
      </c>
      <c r="E508" t="inlineStr">
        <is>
          <t>LEKSAND</t>
        </is>
      </c>
      <c r="G508" t="n">
        <v>1.7</v>
      </c>
      <c r="H508" t="n">
        <v>0</v>
      </c>
      <c r="I508" t="n">
        <v>0</v>
      </c>
      <c r="J508" t="n">
        <v>0</v>
      </c>
      <c r="K508" t="n">
        <v>0</v>
      </c>
      <c r="L508" t="n">
        <v>0</v>
      </c>
      <c r="M508" t="n">
        <v>0</v>
      </c>
      <c r="N508" t="n">
        <v>0</v>
      </c>
      <c r="O508" t="n">
        <v>0</v>
      </c>
      <c r="P508" t="n">
        <v>0</v>
      </c>
      <c r="Q508" t="n">
        <v>0</v>
      </c>
      <c r="R508" s="2" t="inlineStr"/>
    </row>
    <row r="509" ht="15" customHeight="1">
      <c r="A509" t="inlineStr">
        <is>
          <t>A 60129-2023</t>
        </is>
      </c>
      <c r="B509" s="1" t="n">
        <v>45258.49056712963</v>
      </c>
      <c r="C509" s="1" t="n">
        <v>45931</v>
      </c>
      <c r="D509" t="inlineStr">
        <is>
          <t>DALARNAS LÄN</t>
        </is>
      </c>
      <c r="E509" t="inlineStr">
        <is>
          <t>LEKSAND</t>
        </is>
      </c>
      <c r="F509" t="inlineStr">
        <is>
          <t>Bergvik skog väst AB</t>
        </is>
      </c>
      <c r="G509" t="n">
        <v>1.5</v>
      </c>
      <c r="H509" t="n">
        <v>0</v>
      </c>
      <c r="I509" t="n">
        <v>0</v>
      </c>
      <c r="J509" t="n">
        <v>0</v>
      </c>
      <c r="K509" t="n">
        <v>0</v>
      </c>
      <c r="L509" t="n">
        <v>0</v>
      </c>
      <c r="M509" t="n">
        <v>0</v>
      </c>
      <c r="N509" t="n">
        <v>0</v>
      </c>
      <c r="O509" t="n">
        <v>0</v>
      </c>
      <c r="P509" t="n">
        <v>0</v>
      </c>
      <c r="Q509" t="n">
        <v>0</v>
      </c>
      <c r="R509" s="2" t="inlineStr"/>
    </row>
    <row r="510" ht="15" customHeight="1">
      <c r="A510" t="inlineStr">
        <is>
          <t>A 60878-2023</t>
        </is>
      </c>
      <c r="B510" s="1" t="n">
        <v>45259</v>
      </c>
      <c r="C510" s="1" t="n">
        <v>45931</v>
      </c>
      <c r="D510" t="inlineStr">
        <is>
          <t>DALARNAS LÄN</t>
        </is>
      </c>
      <c r="E510" t="inlineStr">
        <is>
          <t>LEKSAND</t>
        </is>
      </c>
      <c r="G510" t="n">
        <v>0.6</v>
      </c>
      <c r="H510" t="n">
        <v>0</v>
      </c>
      <c r="I510" t="n">
        <v>0</v>
      </c>
      <c r="J510" t="n">
        <v>0</v>
      </c>
      <c r="K510" t="n">
        <v>0</v>
      </c>
      <c r="L510" t="n">
        <v>0</v>
      </c>
      <c r="M510" t="n">
        <v>0</v>
      </c>
      <c r="N510" t="n">
        <v>0</v>
      </c>
      <c r="O510" t="n">
        <v>0</v>
      </c>
      <c r="P510" t="n">
        <v>0</v>
      </c>
      <c r="Q510" t="n">
        <v>0</v>
      </c>
      <c r="R510" s="2" t="inlineStr"/>
    </row>
    <row r="511" ht="15" customHeight="1">
      <c r="A511" t="inlineStr">
        <is>
          <t>A 61502-2023</t>
        </is>
      </c>
      <c r="B511" s="1" t="n">
        <v>45264</v>
      </c>
      <c r="C511" s="1" t="n">
        <v>45931</v>
      </c>
      <c r="D511" t="inlineStr">
        <is>
          <t>DALARNAS LÄN</t>
        </is>
      </c>
      <c r="E511" t="inlineStr">
        <is>
          <t>LEKSAND</t>
        </is>
      </c>
      <c r="G511" t="n">
        <v>5.2</v>
      </c>
      <c r="H511" t="n">
        <v>0</v>
      </c>
      <c r="I511" t="n">
        <v>0</v>
      </c>
      <c r="J511" t="n">
        <v>0</v>
      </c>
      <c r="K511" t="n">
        <v>0</v>
      </c>
      <c r="L511" t="n">
        <v>0</v>
      </c>
      <c r="M511" t="n">
        <v>0</v>
      </c>
      <c r="N511" t="n">
        <v>0</v>
      </c>
      <c r="O511" t="n">
        <v>0</v>
      </c>
      <c r="P511" t="n">
        <v>0</v>
      </c>
      <c r="Q511" t="n">
        <v>0</v>
      </c>
      <c r="R511" s="2" t="inlineStr"/>
    </row>
    <row r="512" ht="15" customHeight="1">
      <c r="A512" t="inlineStr">
        <is>
          <t>A 16137-2023</t>
        </is>
      </c>
      <c r="B512" s="1" t="n">
        <v>45027</v>
      </c>
      <c r="C512" s="1" t="n">
        <v>45931</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28965-2023</t>
        </is>
      </c>
      <c r="B513" s="1" t="n">
        <v>45104</v>
      </c>
      <c r="C513" s="1" t="n">
        <v>45931</v>
      </c>
      <c r="D513" t="inlineStr">
        <is>
          <t>DALARNAS LÄN</t>
        </is>
      </c>
      <c r="E513" t="inlineStr">
        <is>
          <t>LEKSAND</t>
        </is>
      </c>
      <c r="F513" t="inlineStr">
        <is>
          <t>Bergvik skog väst AB</t>
        </is>
      </c>
      <c r="G513" t="n">
        <v>0.9</v>
      </c>
      <c r="H513" t="n">
        <v>0</v>
      </c>
      <c r="I513" t="n">
        <v>0</v>
      </c>
      <c r="J513" t="n">
        <v>0</v>
      </c>
      <c r="K513" t="n">
        <v>0</v>
      </c>
      <c r="L513" t="n">
        <v>0</v>
      </c>
      <c r="M513" t="n">
        <v>0</v>
      </c>
      <c r="N513" t="n">
        <v>0</v>
      </c>
      <c r="O513" t="n">
        <v>0</v>
      </c>
      <c r="P513" t="n">
        <v>0</v>
      </c>
      <c r="Q513" t="n">
        <v>0</v>
      </c>
      <c r="R513" s="2" t="inlineStr"/>
    </row>
    <row r="514" ht="15" customHeight="1">
      <c r="A514" t="inlineStr">
        <is>
          <t>A 30917-2025</t>
        </is>
      </c>
      <c r="B514" s="1" t="n">
        <v>45832.37989583334</v>
      </c>
      <c r="C514" s="1" t="n">
        <v>45931</v>
      </c>
      <c r="D514" t="inlineStr">
        <is>
          <t>DALARNAS LÄN</t>
        </is>
      </c>
      <c r="E514" t="inlineStr">
        <is>
          <t>LEKSAND</t>
        </is>
      </c>
      <c r="G514" t="n">
        <v>1.2</v>
      </c>
      <c r="H514" t="n">
        <v>0</v>
      </c>
      <c r="I514" t="n">
        <v>0</v>
      </c>
      <c r="J514" t="n">
        <v>0</v>
      </c>
      <c r="K514" t="n">
        <v>0</v>
      </c>
      <c r="L514" t="n">
        <v>0</v>
      </c>
      <c r="M514" t="n">
        <v>0</v>
      </c>
      <c r="N514" t="n">
        <v>0</v>
      </c>
      <c r="O514" t="n">
        <v>0</v>
      </c>
      <c r="P514" t="n">
        <v>0</v>
      </c>
      <c r="Q514" t="n">
        <v>0</v>
      </c>
      <c r="R514" s="2" t="inlineStr"/>
    </row>
    <row r="515" ht="15" customHeight="1">
      <c r="A515" t="inlineStr">
        <is>
          <t>A 31179-2025</t>
        </is>
      </c>
      <c r="B515" s="1" t="n">
        <v>45832.67648148148</v>
      </c>
      <c r="C515" s="1" t="n">
        <v>45931</v>
      </c>
      <c r="D515" t="inlineStr">
        <is>
          <t>DALARNAS LÄN</t>
        </is>
      </c>
      <c r="E515" t="inlineStr">
        <is>
          <t>LEKSAND</t>
        </is>
      </c>
      <c r="G515" t="n">
        <v>4.7</v>
      </c>
      <c r="H515" t="n">
        <v>0</v>
      </c>
      <c r="I515" t="n">
        <v>0</v>
      </c>
      <c r="J515" t="n">
        <v>0</v>
      </c>
      <c r="K515" t="n">
        <v>0</v>
      </c>
      <c r="L515" t="n">
        <v>0</v>
      </c>
      <c r="M515" t="n">
        <v>0</v>
      </c>
      <c r="N515" t="n">
        <v>0</v>
      </c>
      <c r="O515" t="n">
        <v>0</v>
      </c>
      <c r="P515" t="n">
        <v>0</v>
      </c>
      <c r="Q515" t="n">
        <v>0</v>
      </c>
      <c r="R515" s="2" t="inlineStr"/>
    </row>
    <row r="516" ht="15" customHeight="1">
      <c r="A516" t="inlineStr">
        <is>
          <t>A 30969-2025</t>
        </is>
      </c>
      <c r="B516" s="1" t="n">
        <v>45832.45914351852</v>
      </c>
      <c r="C516" s="1" t="n">
        <v>45931</v>
      </c>
      <c r="D516" t="inlineStr">
        <is>
          <t>DALARNAS LÄN</t>
        </is>
      </c>
      <c r="E516" t="inlineStr">
        <is>
          <t>LEKSAND</t>
        </is>
      </c>
      <c r="F516" t="inlineStr">
        <is>
          <t>Bergvik skog väst AB</t>
        </is>
      </c>
      <c r="G516" t="n">
        <v>1.5</v>
      </c>
      <c r="H516" t="n">
        <v>0</v>
      </c>
      <c r="I516" t="n">
        <v>0</v>
      </c>
      <c r="J516" t="n">
        <v>0</v>
      </c>
      <c r="K516" t="n">
        <v>0</v>
      </c>
      <c r="L516" t="n">
        <v>0</v>
      </c>
      <c r="M516" t="n">
        <v>0</v>
      </c>
      <c r="N516" t="n">
        <v>0</v>
      </c>
      <c r="O516" t="n">
        <v>0</v>
      </c>
      <c r="P516" t="n">
        <v>0</v>
      </c>
      <c r="Q516" t="n">
        <v>0</v>
      </c>
      <c r="R516" s="2" t="inlineStr"/>
    </row>
    <row r="517" ht="15" customHeight="1">
      <c r="A517" t="inlineStr">
        <is>
          <t>A 1719-2024</t>
        </is>
      </c>
      <c r="B517" s="1" t="n">
        <v>45307</v>
      </c>
      <c r="C517" s="1" t="n">
        <v>45931</v>
      </c>
      <c r="D517" t="inlineStr">
        <is>
          <t>DALARNAS LÄN</t>
        </is>
      </c>
      <c r="E517" t="inlineStr">
        <is>
          <t>LEKSAND</t>
        </is>
      </c>
      <c r="G517" t="n">
        <v>2.8</v>
      </c>
      <c r="H517" t="n">
        <v>0</v>
      </c>
      <c r="I517" t="n">
        <v>0</v>
      </c>
      <c r="J517" t="n">
        <v>0</v>
      </c>
      <c r="K517" t="n">
        <v>0</v>
      </c>
      <c r="L517" t="n">
        <v>0</v>
      </c>
      <c r="M517" t="n">
        <v>0</v>
      </c>
      <c r="N517" t="n">
        <v>0</v>
      </c>
      <c r="O517" t="n">
        <v>0</v>
      </c>
      <c r="P517" t="n">
        <v>0</v>
      </c>
      <c r="Q517" t="n">
        <v>0</v>
      </c>
      <c r="R517" s="2" t="inlineStr"/>
    </row>
    <row r="518" ht="15" customHeight="1">
      <c r="A518" t="inlineStr">
        <is>
          <t>A 16744-2025</t>
        </is>
      </c>
      <c r="B518" s="1" t="n">
        <v>45754</v>
      </c>
      <c r="C518" s="1" t="n">
        <v>45931</v>
      </c>
      <c r="D518" t="inlineStr">
        <is>
          <t>DALARNAS LÄN</t>
        </is>
      </c>
      <c r="E518" t="inlineStr">
        <is>
          <t>LEKSAND</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30911-2025</t>
        </is>
      </c>
      <c r="B519" s="1" t="n">
        <v>45832.37547453704</v>
      </c>
      <c r="C519" s="1" t="n">
        <v>45931</v>
      </c>
      <c r="D519" t="inlineStr">
        <is>
          <t>DALARNAS LÄN</t>
        </is>
      </c>
      <c r="E519" t="inlineStr">
        <is>
          <t>LEKSAND</t>
        </is>
      </c>
      <c r="G519" t="n">
        <v>0.5</v>
      </c>
      <c r="H519" t="n">
        <v>0</v>
      </c>
      <c r="I519" t="n">
        <v>0</v>
      </c>
      <c r="J519" t="n">
        <v>0</v>
      </c>
      <c r="K519" t="n">
        <v>0</v>
      </c>
      <c r="L519" t="n">
        <v>0</v>
      </c>
      <c r="M519" t="n">
        <v>0</v>
      </c>
      <c r="N519" t="n">
        <v>0</v>
      </c>
      <c r="O519" t="n">
        <v>0</v>
      </c>
      <c r="P519" t="n">
        <v>0</v>
      </c>
      <c r="Q519" t="n">
        <v>0</v>
      </c>
      <c r="R519" s="2" t="inlineStr"/>
    </row>
    <row r="520" ht="15" customHeight="1">
      <c r="A520" t="inlineStr">
        <is>
          <t>A 30920-2025</t>
        </is>
      </c>
      <c r="B520" s="1" t="n">
        <v>45832.38484953704</v>
      </c>
      <c r="C520" s="1" t="n">
        <v>45931</v>
      </c>
      <c r="D520" t="inlineStr">
        <is>
          <t>DALARNAS LÄN</t>
        </is>
      </c>
      <c r="E520" t="inlineStr">
        <is>
          <t>LEKSAND</t>
        </is>
      </c>
      <c r="G520" t="n">
        <v>1.9</v>
      </c>
      <c r="H520" t="n">
        <v>0</v>
      </c>
      <c r="I520" t="n">
        <v>0</v>
      </c>
      <c r="J520" t="n">
        <v>0</v>
      </c>
      <c r="K520" t="n">
        <v>0</v>
      </c>
      <c r="L520" t="n">
        <v>0</v>
      </c>
      <c r="M520" t="n">
        <v>0</v>
      </c>
      <c r="N520" t="n">
        <v>0</v>
      </c>
      <c r="O520" t="n">
        <v>0</v>
      </c>
      <c r="P520" t="n">
        <v>0</v>
      </c>
      <c r="Q520" t="n">
        <v>0</v>
      </c>
      <c r="R520" s="2" t="inlineStr"/>
    </row>
    <row r="521" ht="15" customHeight="1">
      <c r="A521" t="inlineStr">
        <is>
          <t>A 56283-2024</t>
        </is>
      </c>
      <c r="B521" s="1" t="n">
        <v>45624.67864583333</v>
      </c>
      <c r="C521" s="1" t="n">
        <v>45931</v>
      </c>
      <c r="D521" t="inlineStr">
        <is>
          <t>DALARNAS LÄN</t>
        </is>
      </c>
      <c r="E521" t="inlineStr">
        <is>
          <t>LEKSAND</t>
        </is>
      </c>
      <c r="G521" t="n">
        <v>1.3</v>
      </c>
      <c r="H521" t="n">
        <v>0</v>
      </c>
      <c r="I521" t="n">
        <v>0</v>
      </c>
      <c r="J521" t="n">
        <v>0</v>
      </c>
      <c r="K521" t="n">
        <v>0</v>
      </c>
      <c r="L521" t="n">
        <v>0</v>
      </c>
      <c r="M521" t="n">
        <v>0</v>
      </c>
      <c r="N521" t="n">
        <v>0</v>
      </c>
      <c r="O521" t="n">
        <v>0</v>
      </c>
      <c r="P521" t="n">
        <v>0</v>
      </c>
      <c r="Q521" t="n">
        <v>0</v>
      </c>
      <c r="R521" s="2" t="inlineStr"/>
    </row>
    <row r="522" ht="15" customHeight="1">
      <c r="A522" t="inlineStr">
        <is>
          <t>A 56299-2024</t>
        </is>
      </c>
      <c r="B522" s="1" t="n">
        <v>45624.68607638889</v>
      </c>
      <c r="C522" s="1" t="n">
        <v>45931</v>
      </c>
      <c r="D522" t="inlineStr">
        <is>
          <t>DALARNAS LÄN</t>
        </is>
      </c>
      <c r="E522" t="inlineStr">
        <is>
          <t>LEKSAND</t>
        </is>
      </c>
      <c r="G522" t="n">
        <v>1.6</v>
      </c>
      <c r="H522" t="n">
        <v>0</v>
      </c>
      <c r="I522" t="n">
        <v>0</v>
      </c>
      <c r="J522" t="n">
        <v>0</v>
      </c>
      <c r="K522" t="n">
        <v>0</v>
      </c>
      <c r="L522" t="n">
        <v>0</v>
      </c>
      <c r="M522" t="n">
        <v>0</v>
      </c>
      <c r="N522" t="n">
        <v>0</v>
      </c>
      <c r="O522" t="n">
        <v>0</v>
      </c>
      <c r="P522" t="n">
        <v>0</v>
      </c>
      <c r="Q522" t="n">
        <v>0</v>
      </c>
      <c r="R522" s="2" t="inlineStr"/>
    </row>
    <row r="523" ht="15" customHeight="1">
      <c r="A523" t="inlineStr">
        <is>
          <t>A 30916-2025</t>
        </is>
      </c>
      <c r="B523" s="1" t="n">
        <v>45832.37885416667</v>
      </c>
      <c r="C523" s="1" t="n">
        <v>45931</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30973-2025</t>
        </is>
      </c>
      <c r="B524" s="1" t="n">
        <v>45832.46300925926</v>
      </c>
      <c r="C524" s="1" t="n">
        <v>45931</v>
      </c>
      <c r="D524" t="inlineStr">
        <is>
          <t>DALARNAS LÄN</t>
        </is>
      </c>
      <c r="E524" t="inlineStr">
        <is>
          <t>LEKSAND</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22349-2024</t>
        </is>
      </c>
      <c r="B525" s="1" t="n">
        <v>45446</v>
      </c>
      <c r="C525" s="1" t="n">
        <v>45931</v>
      </c>
      <c r="D525" t="inlineStr">
        <is>
          <t>DALARNAS LÄN</t>
        </is>
      </c>
      <c r="E525" t="inlineStr">
        <is>
          <t>LEKSAND</t>
        </is>
      </c>
      <c r="G525" t="n">
        <v>0.6</v>
      </c>
      <c r="H525" t="n">
        <v>0</v>
      </c>
      <c r="I525" t="n">
        <v>0</v>
      </c>
      <c r="J525" t="n">
        <v>0</v>
      </c>
      <c r="K525" t="n">
        <v>0</v>
      </c>
      <c r="L525" t="n">
        <v>0</v>
      </c>
      <c r="M525" t="n">
        <v>0</v>
      </c>
      <c r="N525" t="n">
        <v>0</v>
      </c>
      <c r="O525" t="n">
        <v>0</v>
      </c>
      <c r="P525" t="n">
        <v>0</v>
      </c>
      <c r="Q525" t="n">
        <v>0</v>
      </c>
      <c r="R525" s="2" t="inlineStr"/>
    </row>
    <row r="526" ht="15" customHeight="1">
      <c r="A526" t="inlineStr">
        <is>
          <t>A 11617-2024</t>
        </is>
      </c>
      <c r="B526" s="1" t="n">
        <v>45373.42898148148</v>
      </c>
      <c r="C526" s="1" t="n">
        <v>45931</v>
      </c>
      <c r="D526" t="inlineStr">
        <is>
          <t>DALARNAS LÄN</t>
        </is>
      </c>
      <c r="E526" t="inlineStr">
        <is>
          <t>LEKSAND</t>
        </is>
      </c>
      <c r="G526" t="n">
        <v>1.9</v>
      </c>
      <c r="H526" t="n">
        <v>0</v>
      </c>
      <c r="I526" t="n">
        <v>0</v>
      </c>
      <c r="J526" t="n">
        <v>0</v>
      </c>
      <c r="K526" t="n">
        <v>0</v>
      </c>
      <c r="L526" t="n">
        <v>0</v>
      </c>
      <c r="M526" t="n">
        <v>0</v>
      </c>
      <c r="N526" t="n">
        <v>0</v>
      </c>
      <c r="O526" t="n">
        <v>0</v>
      </c>
      <c r="P526" t="n">
        <v>0</v>
      </c>
      <c r="Q526" t="n">
        <v>0</v>
      </c>
      <c r="R526" s="2" t="inlineStr"/>
    </row>
    <row r="527" ht="15" customHeight="1">
      <c r="A527" t="inlineStr">
        <is>
          <t>A 31189-2025</t>
        </is>
      </c>
      <c r="B527" s="1" t="n">
        <v>45832.6799537037</v>
      </c>
      <c r="C527" s="1" t="n">
        <v>45931</v>
      </c>
      <c r="D527" t="inlineStr">
        <is>
          <t>DALARNAS LÄN</t>
        </is>
      </c>
      <c r="E527" t="inlineStr">
        <is>
          <t>LEKSAND</t>
        </is>
      </c>
      <c r="G527" t="n">
        <v>5</v>
      </c>
      <c r="H527" t="n">
        <v>0</v>
      </c>
      <c r="I527" t="n">
        <v>0</v>
      </c>
      <c r="J527" t="n">
        <v>0</v>
      </c>
      <c r="K527" t="n">
        <v>0</v>
      </c>
      <c r="L527" t="n">
        <v>0</v>
      </c>
      <c r="M527" t="n">
        <v>0</v>
      </c>
      <c r="N527" t="n">
        <v>0</v>
      </c>
      <c r="O527" t="n">
        <v>0</v>
      </c>
      <c r="P527" t="n">
        <v>0</v>
      </c>
      <c r="Q527" t="n">
        <v>0</v>
      </c>
      <c r="R527" s="2" t="inlineStr"/>
    </row>
    <row r="528" ht="15" customHeight="1">
      <c r="A528" t="inlineStr">
        <is>
          <t>A 61953-2023</t>
        </is>
      </c>
      <c r="B528" s="1" t="n">
        <v>45266</v>
      </c>
      <c r="C528" s="1" t="n">
        <v>45931</v>
      </c>
      <c r="D528" t="inlineStr">
        <is>
          <t>DALARNAS LÄN</t>
        </is>
      </c>
      <c r="E528" t="inlineStr">
        <is>
          <t>LEKSAND</t>
        </is>
      </c>
      <c r="G528" t="n">
        <v>0.1</v>
      </c>
      <c r="H528" t="n">
        <v>0</v>
      </c>
      <c r="I528" t="n">
        <v>0</v>
      </c>
      <c r="J528" t="n">
        <v>0</v>
      </c>
      <c r="K528" t="n">
        <v>0</v>
      </c>
      <c r="L528" t="n">
        <v>0</v>
      </c>
      <c r="M528" t="n">
        <v>0</v>
      </c>
      <c r="N528" t="n">
        <v>0</v>
      </c>
      <c r="O528" t="n">
        <v>0</v>
      </c>
      <c r="P528" t="n">
        <v>0</v>
      </c>
      <c r="Q528" t="n">
        <v>0</v>
      </c>
      <c r="R528" s="2" t="inlineStr"/>
    </row>
    <row r="529" ht="15" customHeight="1">
      <c r="A529" t="inlineStr">
        <is>
          <t>A 58619-2022</t>
        </is>
      </c>
      <c r="B529" s="1" t="n">
        <v>44902.59579861111</v>
      </c>
      <c r="C529" s="1" t="n">
        <v>45931</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43077-2024</t>
        </is>
      </c>
      <c r="B530" s="1" t="n">
        <v>45567.50030092592</v>
      </c>
      <c r="C530" s="1" t="n">
        <v>45931</v>
      </c>
      <c r="D530" t="inlineStr">
        <is>
          <t>DALARNAS LÄN</t>
        </is>
      </c>
      <c r="E530" t="inlineStr">
        <is>
          <t>LEKSAND</t>
        </is>
      </c>
      <c r="G530" t="n">
        <v>1.6</v>
      </c>
      <c r="H530" t="n">
        <v>0</v>
      </c>
      <c r="I530" t="n">
        <v>0</v>
      </c>
      <c r="J530" t="n">
        <v>0</v>
      </c>
      <c r="K530" t="n">
        <v>0</v>
      </c>
      <c r="L530" t="n">
        <v>0</v>
      </c>
      <c r="M530" t="n">
        <v>0</v>
      </c>
      <c r="N530" t="n">
        <v>0</v>
      </c>
      <c r="O530" t="n">
        <v>0</v>
      </c>
      <c r="P530" t="n">
        <v>0</v>
      </c>
      <c r="Q530" t="n">
        <v>0</v>
      </c>
      <c r="R530" s="2" t="inlineStr"/>
    </row>
    <row r="531" ht="15" customHeight="1">
      <c r="A531" t="inlineStr">
        <is>
          <t>A 20946-2023</t>
        </is>
      </c>
      <c r="B531" s="1" t="n">
        <v>45061</v>
      </c>
      <c r="C531" s="1" t="n">
        <v>45931</v>
      </c>
      <c r="D531" t="inlineStr">
        <is>
          <t>DALARNAS LÄN</t>
        </is>
      </c>
      <c r="E531" t="inlineStr">
        <is>
          <t>LEKSAND</t>
        </is>
      </c>
      <c r="G531" t="n">
        <v>2.7</v>
      </c>
      <c r="H531" t="n">
        <v>0</v>
      </c>
      <c r="I531" t="n">
        <v>0</v>
      </c>
      <c r="J531" t="n">
        <v>0</v>
      </c>
      <c r="K531" t="n">
        <v>0</v>
      </c>
      <c r="L531" t="n">
        <v>0</v>
      </c>
      <c r="M531" t="n">
        <v>0</v>
      </c>
      <c r="N531" t="n">
        <v>0</v>
      </c>
      <c r="O531" t="n">
        <v>0</v>
      </c>
      <c r="P531" t="n">
        <v>0</v>
      </c>
      <c r="Q531" t="n">
        <v>0</v>
      </c>
      <c r="R531" s="2" t="inlineStr"/>
    </row>
    <row r="532" ht="15" customHeight="1">
      <c r="A532" t="inlineStr">
        <is>
          <t>A 61225-2023</t>
        </is>
      </c>
      <c r="B532" s="1" t="n">
        <v>45264</v>
      </c>
      <c r="C532" s="1" t="n">
        <v>45931</v>
      </c>
      <c r="D532" t="inlineStr">
        <is>
          <t>DALARNAS LÄN</t>
        </is>
      </c>
      <c r="E532" t="inlineStr">
        <is>
          <t>LEKSAND</t>
        </is>
      </c>
      <c r="G532" t="n">
        <v>7</v>
      </c>
      <c r="H532" t="n">
        <v>0</v>
      </c>
      <c r="I532" t="n">
        <v>0</v>
      </c>
      <c r="J532" t="n">
        <v>0</v>
      </c>
      <c r="K532" t="n">
        <v>0</v>
      </c>
      <c r="L532" t="n">
        <v>0</v>
      </c>
      <c r="M532" t="n">
        <v>0</v>
      </c>
      <c r="N532" t="n">
        <v>0</v>
      </c>
      <c r="O532" t="n">
        <v>0</v>
      </c>
      <c r="P532" t="n">
        <v>0</v>
      </c>
      <c r="Q532" t="n">
        <v>0</v>
      </c>
      <c r="R532" s="2" t="inlineStr"/>
    </row>
    <row r="533" ht="15" customHeight="1">
      <c r="A533" t="inlineStr">
        <is>
          <t>A 61252-2023</t>
        </is>
      </c>
      <c r="B533" s="1" t="n">
        <v>45261</v>
      </c>
      <c r="C533" s="1" t="n">
        <v>45931</v>
      </c>
      <c r="D533" t="inlineStr">
        <is>
          <t>DALARNAS LÄN</t>
        </is>
      </c>
      <c r="E533" t="inlineStr">
        <is>
          <t>LEKSAND</t>
        </is>
      </c>
      <c r="G533" t="n">
        <v>1.9</v>
      </c>
      <c r="H533" t="n">
        <v>0</v>
      </c>
      <c r="I533" t="n">
        <v>0</v>
      </c>
      <c r="J533" t="n">
        <v>0</v>
      </c>
      <c r="K533" t="n">
        <v>0</v>
      </c>
      <c r="L533" t="n">
        <v>0</v>
      </c>
      <c r="M533" t="n">
        <v>0</v>
      </c>
      <c r="N533" t="n">
        <v>0</v>
      </c>
      <c r="O533" t="n">
        <v>0</v>
      </c>
      <c r="P533" t="n">
        <v>0</v>
      </c>
      <c r="Q533" t="n">
        <v>0</v>
      </c>
      <c r="R533" s="2" t="inlineStr"/>
    </row>
    <row r="534" ht="15" customHeight="1">
      <c r="A534" t="inlineStr">
        <is>
          <t>A 31619-2025</t>
        </is>
      </c>
      <c r="B534" s="1" t="n">
        <v>45833</v>
      </c>
      <c r="C534" s="1" t="n">
        <v>45931</v>
      </c>
      <c r="D534" t="inlineStr">
        <is>
          <t>DALARNAS LÄN</t>
        </is>
      </c>
      <c r="E534" t="inlineStr">
        <is>
          <t>LEKSAND</t>
        </is>
      </c>
      <c r="G534" t="n">
        <v>2.5</v>
      </c>
      <c r="H534" t="n">
        <v>0</v>
      </c>
      <c r="I534" t="n">
        <v>0</v>
      </c>
      <c r="J534" t="n">
        <v>0</v>
      </c>
      <c r="K534" t="n">
        <v>0</v>
      </c>
      <c r="L534" t="n">
        <v>0</v>
      </c>
      <c r="M534" t="n">
        <v>0</v>
      </c>
      <c r="N534" t="n">
        <v>0</v>
      </c>
      <c r="O534" t="n">
        <v>0</v>
      </c>
      <c r="P534" t="n">
        <v>0</v>
      </c>
      <c r="Q534" t="n">
        <v>0</v>
      </c>
      <c r="R534" s="2" t="inlineStr"/>
    </row>
    <row r="535" ht="15" customHeight="1">
      <c r="A535" t="inlineStr">
        <is>
          <t>A 31446-2025</t>
        </is>
      </c>
      <c r="B535" s="1" t="n">
        <v>45833</v>
      </c>
      <c r="C535" s="1" t="n">
        <v>45931</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14617-2024</t>
        </is>
      </c>
      <c r="B536" s="1" t="n">
        <v>45397</v>
      </c>
      <c r="C536" s="1" t="n">
        <v>45931</v>
      </c>
      <c r="D536" t="inlineStr">
        <is>
          <t>DALARNAS LÄN</t>
        </is>
      </c>
      <c r="E536" t="inlineStr">
        <is>
          <t>LEKSAND</t>
        </is>
      </c>
      <c r="G536" t="n">
        <v>0.2</v>
      </c>
      <c r="H536" t="n">
        <v>0</v>
      </c>
      <c r="I536" t="n">
        <v>0</v>
      </c>
      <c r="J536" t="n">
        <v>0</v>
      </c>
      <c r="K536" t="n">
        <v>0</v>
      </c>
      <c r="L536" t="n">
        <v>0</v>
      </c>
      <c r="M536" t="n">
        <v>0</v>
      </c>
      <c r="N536" t="n">
        <v>0</v>
      </c>
      <c r="O536" t="n">
        <v>0</v>
      </c>
      <c r="P536" t="n">
        <v>0</v>
      </c>
      <c r="Q536" t="n">
        <v>0</v>
      </c>
      <c r="R536" s="2" t="inlineStr"/>
    </row>
    <row r="537" ht="15" customHeight="1">
      <c r="A537" t="inlineStr">
        <is>
          <t>A 31787-2025</t>
        </is>
      </c>
      <c r="B537" s="1" t="n">
        <v>45834</v>
      </c>
      <c r="C537" s="1" t="n">
        <v>45931</v>
      </c>
      <c r="D537" t="inlineStr">
        <is>
          <t>DALARNAS LÄN</t>
        </is>
      </c>
      <c r="E537" t="inlineStr">
        <is>
          <t>LEKSAND</t>
        </is>
      </c>
      <c r="F537" t="inlineStr">
        <is>
          <t>Bergvik skog väst AB</t>
        </is>
      </c>
      <c r="G537" t="n">
        <v>1.3</v>
      </c>
      <c r="H537" t="n">
        <v>0</v>
      </c>
      <c r="I537" t="n">
        <v>0</v>
      </c>
      <c r="J537" t="n">
        <v>0</v>
      </c>
      <c r="K537" t="n">
        <v>0</v>
      </c>
      <c r="L537" t="n">
        <v>0</v>
      </c>
      <c r="M537" t="n">
        <v>0</v>
      </c>
      <c r="N537" t="n">
        <v>0</v>
      </c>
      <c r="O537" t="n">
        <v>0</v>
      </c>
      <c r="P537" t="n">
        <v>0</v>
      </c>
      <c r="Q537" t="n">
        <v>0</v>
      </c>
      <c r="R537" s="2" t="inlineStr"/>
    </row>
    <row r="538" ht="15" customHeight="1">
      <c r="A538" t="inlineStr">
        <is>
          <t>A 31493-2025</t>
        </is>
      </c>
      <c r="B538" s="1" t="n">
        <v>45833</v>
      </c>
      <c r="C538" s="1" t="n">
        <v>45931</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32104-2025</t>
        </is>
      </c>
      <c r="B539" s="1" t="n">
        <v>45835</v>
      </c>
      <c r="C539" s="1" t="n">
        <v>45931</v>
      </c>
      <c r="D539" t="inlineStr">
        <is>
          <t>DALARNAS LÄN</t>
        </is>
      </c>
      <c r="E539" t="inlineStr">
        <is>
          <t>LEKSAND</t>
        </is>
      </c>
      <c r="G539" t="n">
        <v>3.1</v>
      </c>
      <c r="H539" t="n">
        <v>0</v>
      </c>
      <c r="I539" t="n">
        <v>0</v>
      </c>
      <c r="J539" t="n">
        <v>0</v>
      </c>
      <c r="K539" t="n">
        <v>0</v>
      </c>
      <c r="L539" t="n">
        <v>0</v>
      </c>
      <c r="M539" t="n">
        <v>0</v>
      </c>
      <c r="N539" t="n">
        <v>0</v>
      </c>
      <c r="O539" t="n">
        <v>0</v>
      </c>
      <c r="P539" t="n">
        <v>0</v>
      </c>
      <c r="Q539" t="n">
        <v>0</v>
      </c>
      <c r="R539" s="2" t="inlineStr"/>
    </row>
    <row r="540" ht="15" customHeight="1">
      <c r="A540" t="inlineStr">
        <is>
          <t>A 32593-2025</t>
        </is>
      </c>
      <c r="B540" s="1" t="n">
        <v>45838</v>
      </c>
      <c r="C540" s="1" t="n">
        <v>45931</v>
      </c>
      <c r="D540" t="inlineStr">
        <is>
          <t>DALARNAS LÄN</t>
        </is>
      </c>
      <c r="E540" t="inlineStr">
        <is>
          <t>LEKSAND</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32661-2025</t>
        </is>
      </c>
      <c r="B541" s="1" t="n">
        <v>45838.67953703704</v>
      </c>
      <c r="C541" s="1" t="n">
        <v>45931</v>
      </c>
      <c r="D541" t="inlineStr">
        <is>
          <t>DALARNAS LÄN</t>
        </is>
      </c>
      <c r="E541" t="inlineStr">
        <is>
          <t>LEKSAND</t>
        </is>
      </c>
      <c r="G541" t="n">
        <v>0.8</v>
      </c>
      <c r="H541" t="n">
        <v>0</v>
      </c>
      <c r="I541" t="n">
        <v>0</v>
      </c>
      <c r="J541" t="n">
        <v>0</v>
      </c>
      <c r="K541" t="n">
        <v>0</v>
      </c>
      <c r="L541" t="n">
        <v>0</v>
      </c>
      <c r="M541" t="n">
        <v>0</v>
      </c>
      <c r="N541" t="n">
        <v>0</v>
      </c>
      <c r="O541" t="n">
        <v>0</v>
      </c>
      <c r="P541" t="n">
        <v>0</v>
      </c>
      <c r="Q541" t="n">
        <v>0</v>
      </c>
      <c r="R541" s="2" t="inlineStr"/>
    </row>
    <row r="542" ht="15" customHeight="1">
      <c r="A542" t="inlineStr">
        <is>
          <t>A 24005-2024</t>
        </is>
      </c>
      <c r="B542" s="1" t="n">
        <v>45456.39239583333</v>
      </c>
      <c r="C542" s="1" t="n">
        <v>45931</v>
      </c>
      <c r="D542" t="inlineStr">
        <is>
          <t>DALARNAS LÄN</t>
        </is>
      </c>
      <c r="E542" t="inlineStr">
        <is>
          <t>LEKSAND</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1984-2025</t>
        </is>
      </c>
      <c r="B543" s="1" t="n">
        <v>45670</v>
      </c>
      <c r="C543" s="1" t="n">
        <v>45931</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32274-2025</t>
        </is>
      </c>
      <c r="B544" s="1" t="n">
        <v>45835</v>
      </c>
      <c r="C544" s="1" t="n">
        <v>45931</v>
      </c>
      <c r="D544" t="inlineStr">
        <is>
          <t>DALARNAS LÄN</t>
        </is>
      </c>
      <c r="E544" t="inlineStr">
        <is>
          <t>LEKSAND</t>
        </is>
      </c>
      <c r="G544" t="n">
        <v>4.5</v>
      </c>
      <c r="H544" t="n">
        <v>0</v>
      </c>
      <c r="I544" t="n">
        <v>0</v>
      </c>
      <c r="J544" t="n">
        <v>0</v>
      </c>
      <c r="K544" t="n">
        <v>0</v>
      </c>
      <c r="L544" t="n">
        <v>0</v>
      </c>
      <c r="M544" t="n">
        <v>0</v>
      </c>
      <c r="N544" t="n">
        <v>0</v>
      </c>
      <c r="O544" t="n">
        <v>0</v>
      </c>
      <c r="P544" t="n">
        <v>0</v>
      </c>
      <c r="Q544" t="n">
        <v>0</v>
      </c>
      <c r="R544" s="2" t="inlineStr"/>
    </row>
    <row r="545" ht="15" customHeight="1">
      <c r="A545" t="inlineStr">
        <is>
          <t>A 32301-2025</t>
        </is>
      </c>
      <c r="B545" s="1" t="n">
        <v>45835</v>
      </c>
      <c r="C545" s="1" t="n">
        <v>45931</v>
      </c>
      <c r="D545" t="inlineStr">
        <is>
          <t>DALARNAS LÄN</t>
        </is>
      </c>
      <c r="E545" t="inlineStr">
        <is>
          <t>LEKSAND</t>
        </is>
      </c>
      <c r="G545" t="n">
        <v>2.2</v>
      </c>
      <c r="H545" t="n">
        <v>0</v>
      </c>
      <c r="I545" t="n">
        <v>0</v>
      </c>
      <c r="J545" t="n">
        <v>0</v>
      </c>
      <c r="K545" t="n">
        <v>0</v>
      </c>
      <c r="L545" t="n">
        <v>0</v>
      </c>
      <c r="M545" t="n">
        <v>0</v>
      </c>
      <c r="N545" t="n">
        <v>0</v>
      </c>
      <c r="O545" t="n">
        <v>0</v>
      </c>
      <c r="P545" t="n">
        <v>0</v>
      </c>
      <c r="Q545" t="n">
        <v>0</v>
      </c>
      <c r="R545" s="2" t="inlineStr"/>
    </row>
    <row r="546" ht="15" customHeight="1">
      <c r="A546" t="inlineStr">
        <is>
          <t>A 59199-2024</t>
        </is>
      </c>
      <c r="B546" s="1" t="n">
        <v>45637</v>
      </c>
      <c r="C546" s="1" t="n">
        <v>45931</v>
      </c>
      <c r="D546" t="inlineStr">
        <is>
          <t>DALARNAS LÄN</t>
        </is>
      </c>
      <c r="E546" t="inlineStr">
        <is>
          <t>LEKSAND</t>
        </is>
      </c>
      <c r="G546" t="n">
        <v>5.4</v>
      </c>
      <c r="H546" t="n">
        <v>0</v>
      </c>
      <c r="I546" t="n">
        <v>0</v>
      </c>
      <c r="J546" t="n">
        <v>0</v>
      </c>
      <c r="K546" t="n">
        <v>0</v>
      </c>
      <c r="L546" t="n">
        <v>0</v>
      </c>
      <c r="M546" t="n">
        <v>0</v>
      </c>
      <c r="N546" t="n">
        <v>0</v>
      </c>
      <c r="O546" t="n">
        <v>0</v>
      </c>
      <c r="P546" t="n">
        <v>0</v>
      </c>
      <c r="Q546" t="n">
        <v>0</v>
      </c>
      <c r="R546" s="2" t="inlineStr"/>
    </row>
    <row r="547" ht="15" customHeight="1">
      <c r="A547" t="inlineStr">
        <is>
          <t>A 46141-2022</t>
        </is>
      </c>
      <c r="B547" s="1" t="n">
        <v>44846</v>
      </c>
      <c r="C547" s="1" t="n">
        <v>45931</v>
      </c>
      <c r="D547" t="inlineStr">
        <is>
          <t>DALARNAS LÄN</t>
        </is>
      </c>
      <c r="E547" t="inlineStr">
        <is>
          <t>LEKSAND</t>
        </is>
      </c>
      <c r="G547" t="n">
        <v>2.8</v>
      </c>
      <c r="H547" t="n">
        <v>0</v>
      </c>
      <c r="I547" t="n">
        <v>0</v>
      </c>
      <c r="J547" t="n">
        <v>0</v>
      </c>
      <c r="K547" t="n">
        <v>0</v>
      </c>
      <c r="L547" t="n">
        <v>0</v>
      </c>
      <c r="M547" t="n">
        <v>0</v>
      </c>
      <c r="N547" t="n">
        <v>0</v>
      </c>
      <c r="O547" t="n">
        <v>0</v>
      </c>
      <c r="P547" t="n">
        <v>0</v>
      </c>
      <c r="Q547" t="n">
        <v>0</v>
      </c>
      <c r="R547" s="2" t="inlineStr"/>
    </row>
    <row r="548" ht="15" customHeight="1">
      <c r="A548" t="inlineStr">
        <is>
          <t>A 62993-2023</t>
        </is>
      </c>
      <c r="B548" s="1" t="n">
        <v>45272</v>
      </c>
      <c r="C548" s="1" t="n">
        <v>45931</v>
      </c>
      <c r="D548" t="inlineStr">
        <is>
          <t>DALARNAS LÄN</t>
        </is>
      </c>
      <c r="E548" t="inlineStr">
        <is>
          <t>LEKSAND</t>
        </is>
      </c>
      <c r="G548" t="n">
        <v>0.6</v>
      </c>
      <c r="H548" t="n">
        <v>0</v>
      </c>
      <c r="I548" t="n">
        <v>0</v>
      </c>
      <c r="J548" t="n">
        <v>0</v>
      </c>
      <c r="K548" t="n">
        <v>0</v>
      </c>
      <c r="L548" t="n">
        <v>0</v>
      </c>
      <c r="M548" t="n">
        <v>0</v>
      </c>
      <c r="N548" t="n">
        <v>0</v>
      </c>
      <c r="O548" t="n">
        <v>0</v>
      </c>
      <c r="P548" t="n">
        <v>0</v>
      </c>
      <c r="Q548" t="n">
        <v>0</v>
      </c>
      <c r="R548" s="2" t="inlineStr"/>
    </row>
    <row r="549" ht="15" customHeight="1">
      <c r="A549" t="inlineStr">
        <is>
          <t>A 32653-2025</t>
        </is>
      </c>
      <c r="B549" s="1" t="n">
        <v>45838</v>
      </c>
      <c r="C549" s="1" t="n">
        <v>45931</v>
      </c>
      <c r="D549" t="inlineStr">
        <is>
          <t>DALARNAS LÄN</t>
        </is>
      </c>
      <c r="E549" t="inlineStr">
        <is>
          <t>LEKSAND</t>
        </is>
      </c>
      <c r="G549" t="n">
        <v>5.6</v>
      </c>
      <c r="H549" t="n">
        <v>0</v>
      </c>
      <c r="I549" t="n">
        <v>0</v>
      </c>
      <c r="J549" t="n">
        <v>0</v>
      </c>
      <c r="K549" t="n">
        <v>0</v>
      </c>
      <c r="L549" t="n">
        <v>0</v>
      </c>
      <c r="M549" t="n">
        <v>0</v>
      </c>
      <c r="N549" t="n">
        <v>0</v>
      </c>
      <c r="O549" t="n">
        <v>0</v>
      </c>
      <c r="P549" t="n">
        <v>0</v>
      </c>
      <c r="Q549" t="n">
        <v>0</v>
      </c>
      <c r="R549" s="2" t="inlineStr"/>
    </row>
    <row r="550" ht="15" customHeight="1">
      <c r="A550" t="inlineStr">
        <is>
          <t>A 31945-2025</t>
        </is>
      </c>
      <c r="B550" s="1" t="n">
        <v>45835</v>
      </c>
      <c r="C550" s="1" t="n">
        <v>45931</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61933-2023</t>
        </is>
      </c>
      <c r="B551" s="1" t="n">
        <v>45266</v>
      </c>
      <c r="C551" s="1" t="n">
        <v>45931</v>
      </c>
      <c r="D551" t="inlineStr">
        <is>
          <t>DALARNAS LÄN</t>
        </is>
      </c>
      <c r="E551" t="inlineStr">
        <is>
          <t>LEKSAND</t>
        </is>
      </c>
      <c r="G551" t="n">
        <v>0.2</v>
      </c>
      <c r="H551" t="n">
        <v>0</v>
      </c>
      <c r="I551" t="n">
        <v>0</v>
      </c>
      <c r="J551" t="n">
        <v>0</v>
      </c>
      <c r="K551" t="n">
        <v>0</v>
      </c>
      <c r="L551" t="n">
        <v>0</v>
      </c>
      <c r="M551" t="n">
        <v>0</v>
      </c>
      <c r="N551" t="n">
        <v>0</v>
      </c>
      <c r="O551" t="n">
        <v>0</v>
      </c>
      <c r="P551" t="n">
        <v>0</v>
      </c>
      <c r="Q551" t="n">
        <v>0</v>
      </c>
      <c r="R551" s="2" t="inlineStr"/>
    </row>
    <row r="552" ht="15" customHeight="1">
      <c r="A552" t="inlineStr">
        <is>
          <t>A 33198-2022</t>
        </is>
      </c>
      <c r="B552" s="1" t="n">
        <v>44785.68597222222</v>
      </c>
      <c r="C552" s="1" t="n">
        <v>45931</v>
      </c>
      <c r="D552" t="inlineStr">
        <is>
          <t>DALARNAS LÄN</t>
        </is>
      </c>
      <c r="E552" t="inlineStr">
        <is>
          <t>LEKSAND</t>
        </is>
      </c>
      <c r="G552" t="n">
        <v>1.5</v>
      </c>
      <c r="H552" t="n">
        <v>0</v>
      </c>
      <c r="I552" t="n">
        <v>0</v>
      </c>
      <c r="J552" t="n">
        <v>0</v>
      </c>
      <c r="K552" t="n">
        <v>0</v>
      </c>
      <c r="L552" t="n">
        <v>0</v>
      </c>
      <c r="M552" t="n">
        <v>0</v>
      </c>
      <c r="N552" t="n">
        <v>0</v>
      </c>
      <c r="O552" t="n">
        <v>0</v>
      </c>
      <c r="P552" t="n">
        <v>0</v>
      </c>
      <c r="Q552" t="n">
        <v>0</v>
      </c>
      <c r="R552" s="2" t="inlineStr"/>
    </row>
    <row r="553" ht="15" customHeight="1">
      <c r="A553" t="inlineStr">
        <is>
          <t>A 32726-2025</t>
        </is>
      </c>
      <c r="B553" s="1" t="n">
        <v>45839.3969212963</v>
      </c>
      <c r="C553" s="1" t="n">
        <v>45931</v>
      </c>
      <c r="D553" t="inlineStr">
        <is>
          <t>DALARNAS LÄN</t>
        </is>
      </c>
      <c r="E553" t="inlineStr">
        <is>
          <t>LEKSAND</t>
        </is>
      </c>
      <c r="F553" t="inlineStr">
        <is>
          <t>Bergvik skog väst AB</t>
        </is>
      </c>
      <c r="G553" t="n">
        <v>2.5</v>
      </c>
      <c r="H553" t="n">
        <v>0</v>
      </c>
      <c r="I553" t="n">
        <v>0</v>
      </c>
      <c r="J553" t="n">
        <v>0</v>
      </c>
      <c r="K553" t="n">
        <v>0</v>
      </c>
      <c r="L553" t="n">
        <v>0</v>
      </c>
      <c r="M553" t="n">
        <v>0</v>
      </c>
      <c r="N553" t="n">
        <v>0</v>
      </c>
      <c r="O553" t="n">
        <v>0</v>
      </c>
      <c r="P553" t="n">
        <v>0</v>
      </c>
      <c r="Q553" t="n">
        <v>0</v>
      </c>
      <c r="R553" s="2" t="inlineStr"/>
    </row>
    <row r="554" ht="15" customHeight="1">
      <c r="A554" t="inlineStr">
        <is>
          <t>A 33160-2025</t>
        </is>
      </c>
      <c r="B554" s="1" t="n">
        <v>45840</v>
      </c>
      <c r="C554" s="1" t="n">
        <v>45931</v>
      </c>
      <c r="D554" t="inlineStr">
        <is>
          <t>DALARNAS LÄN</t>
        </is>
      </c>
      <c r="E554" t="inlineStr">
        <is>
          <t>LEKSAND</t>
        </is>
      </c>
      <c r="G554" t="n">
        <v>2.3</v>
      </c>
      <c r="H554" t="n">
        <v>0</v>
      </c>
      <c r="I554" t="n">
        <v>0</v>
      </c>
      <c r="J554" t="n">
        <v>0</v>
      </c>
      <c r="K554" t="n">
        <v>0</v>
      </c>
      <c r="L554" t="n">
        <v>0</v>
      </c>
      <c r="M554" t="n">
        <v>0</v>
      </c>
      <c r="N554" t="n">
        <v>0</v>
      </c>
      <c r="O554" t="n">
        <v>0</v>
      </c>
      <c r="P554" t="n">
        <v>0</v>
      </c>
      <c r="Q554" t="n">
        <v>0</v>
      </c>
      <c r="R554" s="2" t="inlineStr"/>
    </row>
    <row r="555" ht="15" customHeight="1">
      <c r="A555" t="inlineStr">
        <is>
          <t>A 15619-2025</t>
        </is>
      </c>
      <c r="B555" s="1" t="n">
        <v>45747</v>
      </c>
      <c r="C555" s="1" t="n">
        <v>45931</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46931-2023</t>
        </is>
      </c>
      <c r="B556" s="1" t="n">
        <v>45201</v>
      </c>
      <c r="C556" s="1" t="n">
        <v>45931</v>
      </c>
      <c r="D556" t="inlineStr">
        <is>
          <t>DALARNAS LÄN</t>
        </is>
      </c>
      <c r="E556" t="inlineStr">
        <is>
          <t>LEKSAND</t>
        </is>
      </c>
      <c r="G556" t="n">
        <v>1.4</v>
      </c>
      <c r="H556" t="n">
        <v>0</v>
      </c>
      <c r="I556" t="n">
        <v>0</v>
      </c>
      <c r="J556" t="n">
        <v>0</v>
      </c>
      <c r="K556" t="n">
        <v>0</v>
      </c>
      <c r="L556" t="n">
        <v>0</v>
      </c>
      <c r="M556" t="n">
        <v>0</v>
      </c>
      <c r="N556" t="n">
        <v>0</v>
      </c>
      <c r="O556" t="n">
        <v>0</v>
      </c>
      <c r="P556" t="n">
        <v>0</v>
      </c>
      <c r="Q556" t="n">
        <v>0</v>
      </c>
      <c r="R556" s="2" t="inlineStr"/>
    </row>
    <row r="557" ht="15" customHeight="1">
      <c r="A557" t="inlineStr">
        <is>
          <t>A 33310-2023</t>
        </is>
      </c>
      <c r="B557" s="1" t="n">
        <v>45127.82231481482</v>
      </c>
      <c r="C557" s="1" t="n">
        <v>45931</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57899-2024</t>
        </is>
      </c>
      <c r="B558" s="1" t="n">
        <v>45630</v>
      </c>
      <c r="C558" s="1" t="n">
        <v>45931</v>
      </c>
      <c r="D558" t="inlineStr">
        <is>
          <t>DALARNAS LÄN</t>
        </is>
      </c>
      <c r="E558" t="inlineStr">
        <is>
          <t>LEKSAND</t>
        </is>
      </c>
      <c r="G558" t="n">
        <v>0.6</v>
      </c>
      <c r="H558" t="n">
        <v>0</v>
      </c>
      <c r="I558" t="n">
        <v>0</v>
      </c>
      <c r="J558" t="n">
        <v>0</v>
      </c>
      <c r="K558" t="n">
        <v>0</v>
      </c>
      <c r="L558" t="n">
        <v>0</v>
      </c>
      <c r="M558" t="n">
        <v>0</v>
      </c>
      <c r="N558" t="n">
        <v>0</v>
      </c>
      <c r="O558" t="n">
        <v>0</v>
      </c>
      <c r="P558" t="n">
        <v>0</v>
      </c>
      <c r="Q558" t="n">
        <v>0</v>
      </c>
      <c r="R558" s="2" t="inlineStr"/>
    </row>
    <row r="559" ht="15" customHeight="1">
      <c r="A559" t="inlineStr">
        <is>
          <t>A 17483-2025</t>
        </is>
      </c>
      <c r="B559" s="1" t="n">
        <v>45757.49408564815</v>
      </c>
      <c r="C559" s="1" t="n">
        <v>45931</v>
      </c>
      <c r="D559" t="inlineStr">
        <is>
          <t>DALARNAS LÄN</t>
        </is>
      </c>
      <c r="E559" t="inlineStr">
        <is>
          <t>LEKSAND</t>
        </is>
      </c>
      <c r="G559" t="n">
        <v>4.1</v>
      </c>
      <c r="H559" t="n">
        <v>0</v>
      </c>
      <c r="I559" t="n">
        <v>0</v>
      </c>
      <c r="J559" t="n">
        <v>0</v>
      </c>
      <c r="K559" t="n">
        <v>0</v>
      </c>
      <c r="L559" t="n">
        <v>0</v>
      </c>
      <c r="M559" t="n">
        <v>0</v>
      </c>
      <c r="N559" t="n">
        <v>0</v>
      </c>
      <c r="O559" t="n">
        <v>0</v>
      </c>
      <c r="P559" t="n">
        <v>0</v>
      </c>
      <c r="Q559" t="n">
        <v>0</v>
      </c>
      <c r="R559" s="2" t="inlineStr"/>
    </row>
    <row r="560" ht="15" customHeight="1">
      <c r="A560" t="inlineStr">
        <is>
          <t>A 32855-2025</t>
        </is>
      </c>
      <c r="B560" s="1" t="n">
        <v>45839.57643518518</v>
      </c>
      <c r="C560" s="1" t="n">
        <v>45931</v>
      </c>
      <c r="D560" t="inlineStr">
        <is>
          <t>DALARNAS LÄN</t>
        </is>
      </c>
      <c r="E560" t="inlineStr">
        <is>
          <t>LEKSAND</t>
        </is>
      </c>
      <c r="G560" t="n">
        <v>0.7</v>
      </c>
      <c r="H560" t="n">
        <v>0</v>
      </c>
      <c r="I560" t="n">
        <v>0</v>
      </c>
      <c r="J560" t="n">
        <v>0</v>
      </c>
      <c r="K560" t="n">
        <v>0</v>
      </c>
      <c r="L560" t="n">
        <v>0</v>
      </c>
      <c r="M560" t="n">
        <v>0</v>
      </c>
      <c r="N560" t="n">
        <v>0</v>
      </c>
      <c r="O560" t="n">
        <v>0</v>
      </c>
      <c r="P560" t="n">
        <v>0</v>
      </c>
      <c r="Q560" t="n">
        <v>0</v>
      </c>
      <c r="R560" s="2" t="inlineStr"/>
    </row>
    <row r="561" ht="15" customHeight="1">
      <c r="A561" t="inlineStr">
        <is>
          <t>A 11110-2023</t>
        </is>
      </c>
      <c r="B561" s="1" t="n">
        <v>44992</v>
      </c>
      <c r="C561" s="1" t="n">
        <v>45931</v>
      </c>
      <c r="D561" t="inlineStr">
        <is>
          <t>DALARNAS LÄN</t>
        </is>
      </c>
      <c r="E561" t="inlineStr">
        <is>
          <t>LEKSAND</t>
        </is>
      </c>
      <c r="G561" t="n">
        <v>11.2</v>
      </c>
      <c r="H561" t="n">
        <v>0</v>
      </c>
      <c r="I561" t="n">
        <v>0</v>
      </c>
      <c r="J561" t="n">
        <v>0</v>
      </c>
      <c r="K561" t="n">
        <v>0</v>
      </c>
      <c r="L561" t="n">
        <v>0</v>
      </c>
      <c r="M561" t="n">
        <v>0</v>
      </c>
      <c r="N561" t="n">
        <v>0</v>
      </c>
      <c r="O561" t="n">
        <v>0</v>
      </c>
      <c r="P561" t="n">
        <v>0</v>
      </c>
      <c r="Q561" t="n">
        <v>0</v>
      </c>
      <c r="R561" s="2" t="inlineStr"/>
    </row>
    <row r="562" ht="15" customHeight="1">
      <c r="A562" t="inlineStr">
        <is>
          <t>A 17759-2023</t>
        </is>
      </c>
      <c r="B562" s="1" t="n">
        <v>45037.48765046296</v>
      </c>
      <c r="C562" s="1" t="n">
        <v>45931</v>
      </c>
      <c r="D562" t="inlineStr">
        <is>
          <t>DALARNAS LÄN</t>
        </is>
      </c>
      <c r="E562" t="inlineStr">
        <is>
          <t>LEKSAND</t>
        </is>
      </c>
      <c r="G562" t="n">
        <v>2.1</v>
      </c>
      <c r="H562" t="n">
        <v>0</v>
      </c>
      <c r="I562" t="n">
        <v>0</v>
      </c>
      <c r="J562" t="n">
        <v>0</v>
      </c>
      <c r="K562" t="n">
        <v>0</v>
      </c>
      <c r="L562" t="n">
        <v>0</v>
      </c>
      <c r="M562" t="n">
        <v>0</v>
      </c>
      <c r="N562" t="n">
        <v>0</v>
      </c>
      <c r="O562" t="n">
        <v>0</v>
      </c>
      <c r="P562" t="n">
        <v>0</v>
      </c>
      <c r="Q562" t="n">
        <v>0</v>
      </c>
      <c r="R562" s="2" t="inlineStr"/>
    </row>
    <row r="563" ht="15" customHeight="1">
      <c r="A563" t="inlineStr">
        <is>
          <t>A 56753-2023</t>
        </is>
      </c>
      <c r="B563" s="1" t="n">
        <v>45244.37094907407</v>
      </c>
      <c r="C563" s="1" t="n">
        <v>45931</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43220-2024</t>
        </is>
      </c>
      <c r="B564" s="1" t="n">
        <v>45567.86112268519</v>
      </c>
      <c r="C564" s="1" t="n">
        <v>45931</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55015-2024</t>
        </is>
      </c>
      <c r="B565" s="1" t="n">
        <v>45621.35554398148</v>
      </c>
      <c r="C565" s="1" t="n">
        <v>45931</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34039-2024</t>
        </is>
      </c>
      <c r="B566" s="1" t="n">
        <v>45523.5974537037</v>
      </c>
      <c r="C566" s="1" t="n">
        <v>45931</v>
      </c>
      <c r="D566" t="inlineStr">
        <is>
          <t>DALARNAS LÄN</t>
        </is>
      </c>
      <c r="E566" t="inlineStr">
        <is>
          <t>LEKSAND</t>
        </is>
      </c>
      <c r="G566" t="n">
        <v>7.1</v>
      </c>
      <c r="H566" t="n">
        <v>0</v>
      </c>
      <c r="I566" t="n">
        <v>0</v>
      </c>
      <c r="J566" t="n">
        <v>0</v>
      </c>
      <c r="K566" t="n">
        <v>0</v>
      </c>
      <c r="L566" t="n">
        <v>0</v>
      </c>
      <c r="M566" t="n">
        <v>0</v>
      </c>
      <c r="N566" t="n">
        <v>0</v>
      </c>
      <c r="O566" t="n">
        <v>0</v>
      </c>
      <c r="P566" t="n">
        <v>0</v>
      </c>
      <c r="Q566" t="n">
        <v>0</v>
      </c>
      <c r="R566" s="2" t="inlineStr"/>
    </row>
    <row r="567" ht="15" customHeight="1">
      <c r="A567" t="inlineStr">
        <is>
          <t>A 46505-2023</t>
        </is>
      </c>
      <c r="B567" s="1" t="n">
        <v>45197</v>
      </c>
      <c r="C567" s="1" t="n">
        <v>45931</v>
      </c>
      <c r="D567" t="inlineStr">
        <is>
          <t>DALARNAS LÄN</t>
        </is>
      </c>
      <c r="E567" t="inlineStr">
        <is>
          <t>LEKSAND</t>
        </is>
      </c>
      <c r="G567" t="n">
        <v>2.3</v>
      </c>
      <c r="H567" t="n">
        <v>0</v>
      </c>
      <c r="I567" t="n">
        <v>0</v>
      </c>
      <c r="J567" t="n">
        <v>0</v>
      </c>
      <c r="K567" t="n">
        <v>0</v>
      </c>
      <c r="L567" t="n">
        <v>0</v>
      </c>
      <c r="M567" t="n">
        <v>0</v>
      </c>
      <c r="N567" t="n">
        <v>0</v>
      </c>
      <c r="O567" t="n">
        <v>0</v>
      </c>
      <c r="P567" t="n">
        <v>0</v>
      </c>
      <c r="Q567" t="n">
        <v>0</v>
      </c>
      <c r="R567" s="2" t="inlineStr"/>
    </row>
    <row r="568" ht="15" customHeight="1">
      <c r="A568" t="inlineStr">
        <is>
          <t>A 481-2024</t>
        </is>
      </c>
      <c r="B568" s="1" t="n">
        <v>45298</v>
      </c>
      <c r="C568" s="1" t="n">
        <v>45931</v>
      </c>
      <c r="D568" t="inlineStr">
        <is>
          <t>DALARNAS LÄN</t>
        </is>
      </c>
      <c r="E568" t="inlineStr">
        <is>
          <t>LEKSAND</t>
        </is>
      </c>
      <c r="G568" t="n">
        <v>7</v>
      </c>
      <c r="H568" t="n">
        <v>0</v>
      </c>
      <c r="I568" t="n">
        <v>0</v>
      </c>
      <c r="J568" t="n">
        <v>0</v>
      </c>
      <c r="K568" t="n">
        <v>0</v>
      </c>
      <c r="L568" t="n">
        <v>0</v>
      </c>
      <c r="M568" t="n">
        <v>0</v>
      </c>
      <c r="N568" t="n">
        <v>0</v>
      </c>
      <c r="O568" t="n">
        <v>0</v>
      </c>
      <c r="P568" t="n">
        <v>0</v>
      </c>
      <c r="Q568" t="n">
        <v>0</v>
      </c>
      <c r="R568" s="2" t="inlineStr"/>
    </row>
    <row r="569" ht="15" customHeight="1">
      <c r="A569" t="inlineStr">
        <is>
          <t>A 50278-2023</t>
        </is>
      </c>
      <c r="B569" s="1" t="n">
        <v>45216.43444444444</v>
      </c>
      <c r="C569" s="1" t="n">
        <v>45931</v>
      </c>
      <c r="D569" t="inlineStr">
        <is>
          <t>DALARNAS LÄN</t>
        </is>
      </c>
      <c r="E569" t="inlineStr">
        <is>
          <t>LEKSAND</t>
        </is>
      </c>
      <c r="G569" t="n">
        <v>0.4</v>
      </c>
      <c r="H569" t="n">
        <v>0</v>
      </c>
      <c r="I569" t="n">
        <v>0</v>
      </c>
      <c r="J569" t="n">
        <v>0</v>
      </c>
      <c r="K569" t="n">
        <v>0</v>
      </c>
      <c r="L569" t="n">
        <v>0</v>
      </c>
      <c r="M569" t="n">
        <v>0</v>
      </c>
      <c r="N569" t="n">
        <v>0</v>
      </c>
      <c r="O569" t="n">
        <v>0</v>
      </c>
      <c r="P569" t="n">
        <v>0</v>
      </c>
      <c r="Q569" t="n">
        <v>0</v>
      </c>
      <c r="R569" s="2" t="inlineStr"/>
    </row>
    <row r="570" ht="15" customHeight="1">
      <c r="A570" t="inlineStr">
        <is>
          <t>A 57933-2024</t>
        </is>
      </c>
      <c r="B570" s="1" t="n">
        <v>45630</v>
      </c>
      <c r="C570" s="1" t="n">
        <v>45931</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16197-2024</t>
        </is>
      </c>
      <c r="B571" s="1" t="n">
        <v>45406.70356481482</v>
      </c>
      <c r="C571" s="1" t="n">
        <v>45931</v>
      </c>
      <c r="D571" t="inlineStr">
        <is>
          <t>DALARNAS LÄN</t>
        </is>
      </c>
      <c r="E571" t="inlineStr">
        <is>
          <t>LEKSAND</t>
        </is>
      </c>
      <c r="G571" t="n">
        <v>2.4</v>
      </c>
      <c r="H571" t="n">
        <v>0</v>
      </c>
      <c r="I571" t="n">
        <v>0</v>
      </c>
      <c r="J571" t="n">
        <v>0</v>
      </c>
      <c r="K571" t="n">
        <v>0</v>
      </c>
      <c r="L571" t="n">
        <v>0</v>
      </c>
      <c r="M571" t="n">
        <v>0</v>
      </c>
      <c r="N571" t="n">
        <v>0</v>
      </c>
      <c r="O571" t="n">
        <v>0</v>
      </c>
      <c r="P571" t="n">
        <v>0</v>
      </c>
      <c r="Q571" t="n">
        <v>0</v>
      </c>
      <c r="R571" s="2" t="inlineStr"/>
    </row>
    <row r="572" ht="15" customHeight="1">
      <c r="A572" t="inlineStr">
        <is>
          <t>A 11403-2023</t>
        </is>
      </c>
      <c r="B572" s="1" t="n">
        <v>44993</v>
      </c>
      <c r="C572" s="1" t="n">
        <v>45931</v>
      </c>
      <c r="D572" t="inlineStr">
        <is>
          <t>DALARNAS LÄN</t>
        </is>
      </c>
      <c r="E572" t="inlineStr">
        <is>
          <t>LEKSAND</t>
        </is>
      </c>
      <c r="G572" t="n">
        <v>0.1</v>
      </c>
      <c r="H572" t="n">
        <v>0</v>
      </c>
      <c r="I572" t="n">
        <v>0</v>
      </c>
      <c r="J572" t="n">
        <v>0</v>
      </c>
      <c r="K572" t="n">
        <v>0</v>
      </c>
      <c r="L572" t="n">
        <v>0</v>
      </c>
      <c r="M572" t="n">
        <v>0</v>
      </c>
      <c r="N572" t="n">
        <v>0</v>
      </c>
      <c r="O572" t="n">
        <v>0</v>
      </c>
      <c r="P572" t="n">
        <v>0</v>
      </c>
      <c r="Q572" t="n">
        <v>0</v>
      </c>
      <c r="R572" s="2" t="inlineStr"/>
    </row>
    <row r="573" ht="15" customHeight="1">
      <c r="A573" t="inlineStr">
        <is>
          <t>A 33804-2025</t>
        </is>
      </c>
      <c r="B573" s="1" t="n">
        <v>45842</v>
      </c>
      <c r="C573" s="1" t="n">
        <v>45931</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5453-2025</t>
        </is>
      </c>
      <c r="B574" s="1" t="n">
        <v>45692.95231481481</v>
      </c>
      <c r="C574" s="1" t="n">
        <v>45931</v>
      </c>
      <c r="D574" t="inlineStr">
        <is>
          <t>DALARNAS LÄN</t>
        </is>
      </c>
      <c r="E574" t="inlineStr">
        <is>
          <t>LEKSAND</t>
        </is>
      </c>
      <c r="G574" t="n">
        <v>2.2</v>
      </c>
      <c r="H574" t="n">
        <v>0</v>
      </c>
      <c r="I574" t="n">
        <v>0</v>
      </c>
      <c r="J574" t="n">
        <v>0</v>
      </c>
      <c r="K574" t="n">
        <v>0</v>
      </c>
      <c r="L574" t="n">
        <v>0</v>
      </c>
      <c r="M574" t="n">
        <v>0</v>
      </c>
      <c r="N574" t="n">
        <v>0</v>
      </c>
      <c r="O574" t="n">
        <v>0</v>
      </c>
      <c r="P574" t="n">
        <v>0</v>
      </c>
      <c r="Q574" t="n">
        <v>0</v>
      </c>
      <c r="R574" s="2" t="inlineStr"/>
    </row>
    <row r="575" ht="15" customHeight="1">
      <c r="A575" t="inlineStr">
        <is>
          <t>A 57925-2024</t>
        </is>
      </c>
      <c r="B575" s="1" t="n">
        <v>45630</v>
      </c>
      <c r="C575" s="1" t="n">
        <v>45931</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22683-2022</t>
        </is>
      </c>
      <c r="B576" s="1" t="n">
        <v>44714</v>
      </c>
      <c r="C576" s="1" t="n">
        <v>45931</v>
      </c>
      <c r="D576" t="inlineStr">
        <is>
          <t>DALARNAS LÄN</t>
        </is>
      </c>
      <c r="E576" t="inlineStr">
        <is>
          <t>LEKSAND</t>
        </is>
      </c>
      <c r="F576" t="inlineStr">
        <is>
          <t>Bergvik skog väst AB</t>
        </is>
      </c>
      <c r="G576" t="n">
        <v>3.4</v>
      </c>
      <c r="H576" t="n">
        <v>0</v>
      </c>
      <c r="I576" t="n">
        <v>0</v>
      </c>
      <c r="J576" t="n">
        <v>0</v>
      </c>
      <c r="K576" t="n">
        <v>0</v>
      </c>
      <c r="L576" t="n">
        <v>0</v>
      </c>
      <c r="M576" t="n">
        <v>0</v>
      </c>
      <c r="N576" t="n">
        <v>0</v>
      </c>
      <c r="O576" t="n">
        <v>0</v>
      </c>
      <c r="P576" t="n">
        <v>0</v>
      </c>
      <c r="Q576" t="n">
        <v>0</v>
      </c>
      <c r="R576" s="2" t="inlineStr"/>
    </row>
    <row r="577" ht="15" customHeight="1">
      <c r="A577" t="inlineStr">
        <is>
          <t>A 52755-2024</t>
        </is>
      </c>
      <c r="B577" s="1" t="n">
        <v>45610.50217592593</v>
      </c>
      <c r="C577" s="1" t="n">
        <v>45931</v>
      </c>
      <c r="D577" t="inlineStr">
        <is>
          <t>DALARNAS LÄN</t>
        </is>
      </c>
      <c r="E577" t="inlineStr">
        <is>
          <t>LEKSAND</t>
        </is>
      </c>
      <c r="G577" t="n">
        <v>1.3</v>
      </c>
      <c r="H577" t="n">
        <v>0</v>
      </c>
      <c r="I577" t="n">
        <v>0</v>
      </c>
      <c r="J577" t="n">
        <v>0</v>
      </c>
      <c r="K577" t="n">
        <v>0</v>
      </c>
      <c r="L577" t="n">
        <v>0</v>
      </c>
      <c r="M577" t="n">
        <v>0</v>
      </c>
      <c r="N577" t="n">
        <v>0</v>
      </c>
      <c r="O577" t="n">
        <v>0</v>
      </c>
      <c r="P577" t="n">
        <v>0</v>
      </c>
      <c r="Q577" t="n">
        <v>0</v>
      </c>
      <c r="R577" s="2" t="inlineStr"/>
    </row>
    <row r="578" ht="15" customHeight="1">
      <c r="A578" t="inlineStr">
        <is>
          <t>A 27445-2024</t>
        </is>
      </c>
      <c r="B578" s="1" t="n">
        <v>45474.42474537037</v>
      </c>
      <c r="C578" s="1" t="n">
        <v>45931</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27446-2024</t>
        </is>
      </c>
      <c r="B579" s="1" t="n">
        <v>45474.42671296297</v>
      </c>
      <c r="C579" s="1" t="n">
        <v>45931</v>
      </c>
      <c r="D579" t="inlineStr">
        <is>
          <t>DALARNAS LÄN</t>
        </is>
      </c>
      <c r="E579" t="inlineStr">
        <is>
          <t>LEKSAND</t>
        </is>
      </c>
      <c r="G579" t="n">
        <v>2.9</v>
      </c>
      <c r="H579" t="n">
        <v>0</v>
      </c>
      <c r="I579" t="n">
        <v>0</v>
      </c>
      <c r="J579" t="n">
        <v>0</v>
      </c>
      <c r="K579" t="n">
        <v>0</v>
      </c>
      <c r="L579" t="n">
        <v>0</v>
      </c>
      <c r="M579" t="n">
        <v>0</v>
      </c>
      <c r="N579" t="n">
        <v>0</v>
      </c>
      <c r="O579" t="n">
        <v>0</v>
      </c>
      <c r="P579" t="n">
        <v>0</v>
      </c>
      <c r="Q579" t="n">
        <v>0</v>
      </c>
      <c r="R579" s="2" t="inlineStr"/>
    </row>
    <row r="580" ht="15" customHeight="1">
      <c r="A580" t="inlineStr">
        <is>
          <t>A 18837-2023</t>
        </is>
      </c>
      <c r="B580" s="1" t="n">
        <v>45044.42940972222</v>
      </c>
      <c r="C580" s="1" t="n">
        <v>45931</v>
      </c>
      <c r="D580" t="inlineStr">
        <is>
          <t>DALARNAS LÄN</t>
        </is>
      </c>
      <c r="E580" t="inlineStr">
        <is>
          <t>LEKSAND</t>
        </is>
      </c>
      <c r="G580" t="n">
        <v>1.5</v>
      </c>
      <c r="H580" t="n">
        <v>0</v>
      </c>
      <c r="I580" t="n">
        <v>0</v>
      </c>
      <c r="J580" t="n">
        <v>0</v>
      </c>
      <c r="K580" t="n">
        <v>0</v>
      </c>
      <c r="L580" t="n">
        <v>0</v>
      </c>
      <c r="M580" t="n">
        <v>0</v>
      </c>
      <c r="N580" t="n">
        <v>0</v>
      </c>
      <c r="O580" t="n">
        <v>0</v>
      </c>
      <c r="P580" t="n">
        <v>0</v>
      </c>
      <c r="Q580" t="n">
        <v>0</v>
      </c>
      <c r="R580" s="2" t="inlineStr"/>
    </row>
    <row r="581" ht="15" customHeight="1">
      <c r="A581" t="inlineStr">
        <is>
          <t>A 17730-2024</t>
        </is>
      </c>
      <c r="B581" s="1" t="n">
        <v>45418</v>
      </c>
      <c r="C581" s="1" t="n">
        <v>45931</v>
      </c>
      <c r="D581" t="inlineStr">
        <is>
          <t>DALARNAS LÄN</t>
        </is>
      </c>
      <c r="E581" t="inlineStr">
        <is>
          <t>LEKSAND</t>
        </is>
      </c>
      <c r="G581" t="n">
        <v>2.4</v>
      </c>
      <c r="H581" t="n">
        <v>0</v>
      </c>
      <c r="I581" t="n">
        <v>0</v>
      </c>
      <c r="J581" t="n">
        <v>0</v>
      </c>
      <c r="K581" t="n">
        <v>0</v>
      </c>
      <c r="L581" t="n">
        <v>0</v>
      </c>
      <c r="M581" t="n">
        <v>0</v>
      </c>
      <c r="N581" t="n">
        <v>0</v>
      </c>
      <c r="O581" t="n">
        <v>0</v>
      </c>
      <c r="P581" t="n">
        <v>0</v>
      </c>
      <c r="Q581" t="n">
        <v>0</v>
      </c>
      <c r="R581" s="2" t="inlineStr"/>
    </row>
    <row r="582" ht="15" customHeight="1">
      <c r="A582" t="inlineStr">
        <is>
          <t>A 64933-2023</t>
        </is>
      </c>
      <c r="B582" s="1" t="n">
        <v>45282</v>
      </c>
      <c r="C582" s="1" t="n">
        <v>45931</v>
      </c>
      <c r="D582" t="inlineStr">
        <is>
          <t>DALARNAS LÄN</t>
        </is>
      </c>
      <c r="E582" t="inlineStr">
        <is>
          <t>LEKSAND</t>
        </is>
      </c>
      <c r="G582" t="n">
        <v>2.3</v>
      </c>
      <c r="H582" t="n">
        <v>0</v>
      </c>
      <c r="I582" t="n">
        <v>0</v>
      </c>
      <c r="J582" t="n">
        <v>0</v>
      </c>
      <c r="K582" t="n">
        <v>0</v>
      </c>
      <c r="L582" t="n">
        <v>0</v>
      </c>
      <c r="M582" t="n">
        <v>0</v>
      </c>
      <c r="N582" t="n">
        <v>0</v>
      </c>
      <c r="O582" t="n">
        <v>0</v>
      </c>
      <c r="P582" t="n">
        <v>0</v>
      </c>
      <c r="Q582" t="n">
        <v>0</v>
      </c>
      <c r="R582" s="2" t="inlineStr"/>
    </row>
    <row r="583" ht="15" customHeight="1">
      <c r="A583" t="inlineStr">
        <is>
          <t>A 6846-2023</t>
        </is>
      </c>
      <c r="B583" s="1" t="n">
        <v>44967.43953703704</v>
      </c>
      <c r="C583" s="1" t="n">
        <v>45931</v>
      </c>
      <c r="D583" t="inlineStr">
        <is>
          <t>DALARNAS LÄN</t>
        </is>
      </c>
      <c r="E583" t="inlineStr">
        <is>
          <t>LEKSAND</t>
        </is>
      </c>
      <c r="F583" t="inlineStr">
        <is>
          <t>Bergvik skog väst AB</t>
        </is>
      </c>
      <c r="G583" t="n">
        <v>1</v>
      </c>
      <c r="H583" t="n">
        <v>0</v>
      </c>
      <c r="I583" t="n">
        <v>0</v>
      </c>
      <c r="J583" t="n">
        <v>0</v>
      </c>
      <c r="K583" t="n">
        <v>0</v>
      </c>
      <c r="L583" t="n">
        <v>0</v>
      </c>
      <c r="M583" t="n">
        <v>0</v>
      </c>
      <c r="N583" t="n">
        <v>0</v>
      </c>
      <c r="O583" t="n">
        <v>0</v>
      </c>
      <c r="P583" t="n">
        <v>0</v>
      </c>
      <c r="Q583" t="n">
        <v>0</v>
      </c>
      <c r="R583" s="2" t="inlineStr"/>
    </row>
    <row r="584" ht="15" customHeight="1">
      <c r="A584" t="inlineStr">
        <is>
          <t>A 34789-2025</t>
        </is>
      </c>
      <c r="B584" s="1" t="n">
        <v>45848</v>
      </c>
      <c r="C584" s="1" t="n">
        <v>45931</v>
      </c>
      <c r="D584" t="inlineStr">
        <is>
          <t>DALARNAS LÄN</t>
        </is>
      </c>
      <c r="E584" t="inlineStr">
        <is>
          <t>LEKSAND</t>
        </is>
      </c>
      <c r="F584" t="inlineStr">
        <is>
          <t>Bergvik skog väst AB</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39620-2024</t>
        </is>
      </c>
      <c r="B585" s="1" t="n">
        <v>45552.43163194445</v>
      </c>
      <c r="C585" s="1" t="n">
        <v>45931</v>
      </c>
      <c r="D585" t="inlineStr">
        <is>
          <t>DALARNAS LÄN</t>
        </is>
      </c>
      <c r="E585" t="inlineStr">
        <is>
          <t>LEKSAND</t>
        </is>
      </c>
      <c r="G585" t="n">
        <v>2.3</v>
      </c>
      <c r="H585" t="n">
        <v>0</v>
      </c>
      <c r="I585" t="n">
        <v>0</v>
      </c>
      <c r="J585" t="n">
        <v>0</v>
      </c>
      <c r="K585" t="n">
        <v>0</v>
      </c>
      <c r="L585" t="n">
        <v>0</v>
      </c>
      <c r="M585" t="n">
        <v>0</v>
      </c>
      <c r="N585" t="n">
        <v>0</v>
      </c>
      <c r="O585" t="n">
        <v>0</v>
      </c>
      <c r="P585" t="n">
        <v>0</v>
      </c>
      <c r="Q585" t="n">
        <v>0</v>
      </c>
      <c r="R585" s="2" t="inlineStr"/>
    </row>
    <row r="586" ht="15" customHeight="1">
      <c r="A586" t="inlineStr">
        <is>
          <t>A 57907-2024</t>
        </is>
      </c>
      <c r="B586" s="1" t="n">
        <v>45630</v>
      </c>
      <c r="C586" s="1" t="n">
        <v>45931</v>
      </c>
      <c r="D586" t="inlineStr">
        <is>
          <t>DALARNAS LÄN</t>
        </is>
      </c>
      <c r="E586" t="inlineStr">
        <is>
          <t>LEKSAND</t>
        </is>
      </c>
      <c r="G586" t="n">
        <v>1.4</v>
      </c>
      <c r="H586" t="n">
        <v>0</v>
      </c>
      <c r="I586" t="n">
        <v>0</v>
      </c>
      <c r="J586" t="n">
        <v>0</v>
      </c>
      <c r="K586" t="n">
        <v>0</v>
      </c>
      <c r="L586" t="n">
        <v>0</v>
      </c>
      <c r="M586" t="n">
        <v>0</v>
      </c>
      <c r="N586" t="n">
        <v>0</v>
      </c>
      <c r="O586" t="n">
        <v>0</v>
      </c>
      <c r="P586" t="n">
        <v>0</v>
      </c>
      <c r="Q586" t="n">
        <v>0</v>
      </c>
      <c r="R586" s="2" t="inlineStr"/>
    </row>
    <row r="587" ht="15" customHeight="1">
      <c r="A587" t="inlineStr">
        <is>
          <t>A 39516-2025</t>
        </is>
      </c>
      <c r="B587" s="1" t="n">
        <v>45890.42633101852</v>
      </c>
      <c r="C587" s="1" t="n">
        <v>45931</v>
      </c>
      <c r="D587" t="inlineStr">
        <is>
          <t>DALARNAS LÄN</t>
        </is>
      </c>
      <c r="E587" t="inlineStr">
        <is>
          <t>LEKSAND</t>
        </is>
      </c>
      <c r="G587" t="n">
        <v>3.6</v>
      </c>
      <c r="H587" t="n">
        <v>0</v>
      </c>
      <c r="I587" t="n">
        <v>0</v>
      </c>
      <c r="J587" t="n">
        <v>0</v>
      </c>
      <c r="K587" t="n">
        <v>0</v>
      </c>
      <c r="L587" t="n">
        <v>0</v>
      </c>
      <c r="M587" t="n">
        <v>0</v>
      </c>
      <c r="N587" t="n">
        <v>0</v>
      </c>
      <c r="O587" t="n">
        <v>0</v>
      </c>
      <c r="P587" t="n">
        <v>0</v>
      </c>
      <c r="Q587" t="n">
        <v>0</v>
      </c>
      <c r="R587" s="2" t="inlineStr"/>
    </row>
    <row r="588" ht="15" customHeight="1">
      <c r="A588" t="inlineStr">
        <is>
          <t>A 41896-2024</t>
        </is>
      </c>
      <c r="B588" s="1" t="n">
        <v>45561.51310185185</v>
      </c>
      <c r="C588" s="1" t="n">
        <v>45931</v>
      </c>
      <c r="D588" t="inlineStr">
        <is>
          <t>DALARNAS LÄN</t>
        </is>
      </c>
      <c r="E588" t="inlineStr">
        <is>
          <t>LEKSAND</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39660-2025</t>
        </is>
      </c>
      <c r="B589" s="1" t="n">
        <v>45890.63006944444</v>
      </c>
      <c r="C589" s="1" t="n">
        <v>45931</v>
      </c>
      <c r="D589" t="inlineStr">
        <is>
          <t>DALARNAS LÄN</t>
        </is>
      </c>
      <c r="E589" t="inlineStr">
        <is>
          <t>LEKSAND</t>
        </is>
      </c>
      <c r="F589" t="inlineStr">
        <is>
          <t>Bergvik skog väst AB</t>
        </is>
      </c>
      <c r="G589" t="n">
        <v>5.8</v>
      </c>
      <c r="H589" t="n">
        <v>0</v>
      </c>
      <c r="I589" t="n">
        <v>0</v>
      </c>
      <c r="J589" t="n">
        <v>0</v>
      </c>
      <c r="K589" t="n">
        <v>0</v>
      </c>
      <c r="L589" t="n">
        <v>0</v>
      </c>
      <c r="M589" t="n">
        <v>0</v>
      </c>
      <c r="N589" t="n">
        <v>0</v>
      </c>
      <c r="O589" t="n">
        <v>0</v>
      </c>
      <c r="P589" t="n">
        <v>0</v>
      </c>
      <c r="Q589" t="n">
        <v>0</v>
      </c>
      <c r="R589" s="2" t="inlineStr"/>
    </row>
    <row r="590" ht="15" customHeight="1">
      <c r="A590" t="inlineStr">
        <is>
          <t>A 34537-2025</t>
        </is>
      </c>
      <c r="B590" s="1" t="n">
        <v>45847</v>
      </c>
      <c r="C590" s="1" t="n">
        <v>45931</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59236-2024</t>
        </is>
      </c>
      <c r="B591" s="1" t="n">
        <v>45637.58795138889</v>
      </c>
      <c r="C591" s="1" t="n">
        <v>45931</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39546-2025</t>
        </is>
      </c>
      <c r="B592" s="1" t="n">
        <v>45890.45706018519</v>
      </c>
      <c r="C592" s="1" t="n">
        <v>45931</v>
      </c>
      <c r="D592" t="inlineStr">
        <is>
          <t>DALARNAS LÄN</t>
        </is>
      </c>
      <c r="E592" t="inlineStr">
        <is>
          <t>LEKSAND</t>
        </is>
      </c>
      <c r="G592" t="n">
        <v>4.6</v>
      </c>
      <c r="H592" t="n">
        <v>0</v>
      </c>
      <c r="I592" t="n">
        <v>0</v>
      </c>
      <c r="J592" t="n">
        <v>0</v>
      </c>
      <c r="K592" t="n">
        <v>0</v>
      </c>
      <c r="L592" t="n">
        <v>0</v>
      </c>
      <c r="M592" t="n">
        <v>0</v>
      </c>
      <c r="N592" t="n">
        <v>0</v>
      </c>
      <c r="O592" t="n">
        <v>0</v>
      </c>
      <c r="P592" t="n">
        <v>0</v>
      </c>
      <c r="Q592" t="n">
        <v>0</v>
      </c>
      <c r="R592" s="2" t="inlineStr"/>
    </row>
    <row r="593" ht="15" customHeight="1">
      <c r="A593" t="inlineStr">
        <is>
          <t>A 56749-2024</t>
        </is>
      </c>
      <c r="B593" s="1" t="n">
        <v>45628.37487268518</v>
      </c>
      <c r="C593" s="1" t="n">
        <v>45931</v>
      </c>
      <c r="D593" t="inlineStr">
        <is>
          <t>DALARNAS LÄN</t>
        </is>
      </c>
      <c r="E593" t="inlineStr">
        <is>
          <t>LEKSAND</t>
        </is>
      </c>
      <c r="G593" t="n">
        <v>5</v>
      </c>
      <c r="H593" t="n">
        <v>0</v>
      </c>
      <c r="I593" t="n">
        <v>0</v>
      </c>
      <c r="J593" t="n">
        <v>0</v>
      </c>
      <c r="K593" t="n">
        <v>0</v>
      </c>
      <c r="L593" t="n">
        <v>0</v>
      </c>
      <c r="M593" t="n">
        <v>0</v>
      </c>
      <c r="N593" t="n">
        <v>0</v>
      </c>
      <c r="O593" t="n">
        <v>0</v>
      </c>
      <c r="P593" t="n">
        <v>0</v>
      </c>
      <c r="Q593" t="n">
        <v>0</v>
      </c>
      <c r="R593" s="2" t="inlineStr"/>
    </row>
    <row r="594" ht="15" customHeight="1">
      <c r="A594" t="inlineStr">
        <is>
          <t>A 34038-2024</t>
        </is>
      </c>
      <c r="B594" s="1" t="n">
        <v>45523.59578703704</v>
      </c>
      <c r="C594" s="1" t="n">
        <v>45931</v>
      </c>
      <c r="D594" t="inlineStr">
        <is>
          <t>DALARNAS LÄN</t>
        </is>
      </c>
      <c r="E594" t="inlineStr">
        <is>
          <t>LEKSAND</t>
        </is>
      </c>
      <c r="G594" t="n">
        <v>0.3</v>
      </c>
      <c r="H594" t="n">
        <v>0</v>
      </c>
      <c r="I594" t="n">
        <v>0</v>
      </c>
      <c r="J594" t="n">
        <v>0</v>
      </c>
      <c r="K594" t="n">
        <v>0</v>
      </c>
      <c r="L594" t="n">
        <v>0</v>
      </c>
      <c r="M594" t="n">
        <v>0</v>
      </c>
      <c r="N594" t="n">
        <v>0</v>
      </c>
      <c r="O594" t="n">
        <v>0</v>
      </c>
      <c r="P594" t="n">
        <v>0</v>
      </c>
      <c r="Q594" t="n">
        <v>0</v>
      </c>
      <c r="R594" s="2" t="inlineStr"/>
    </row>
    <row r="595" ht="15" customHeight="1">
      <c r="A595" t="inlineStr">
        <is>
          <t>A 34041-2024</t>
        </is>
      </c>
      <c r="B595" s="1" t="n">
        <v>45523.59895833334</v>
      </c>
      <c r="C595" s="1" t="n">
        <v>45931</v>
      </c>
      <c r="D595" t="inlineStr">
        <is>
          <t>DALARNAS LÄN</t>
        </is>
      </c>
      <c r="E595" t="inlineStr">
        <is>
          <t>LEKSAND</t>
        </is>
      </c>
      <c r="G595" t="n">
        <v>4</v>
      </c>
      <c r="H595" t="n">
        <v>0</v>
      </c>
      <c r="I595" t="n">
        <v>0</v>
      </c>
      <c r="J595" t="n">
        <v>0</v>
      </c>
      <c r="K595" t="n">
        <v>0</v>
      </c>
      <c r="L595" t="n">
        <v>0</v>
      </c>
      <c r="M595" t="n">
        <v>0</v>
      </c>
      <c r="N595" t="n">
        <v>0</v>
      </c>
      <c r="O595" t="n">
        <v>0</v>
      </c>
      <c r="P595" t="n">
        <v>0</v>
      </c>
      <c r="Q595" t="n">
        <v>0</v>
      </c>
      <c r="R595" s="2" t="inlineStr"/>
    </row>
    <row r="596" ht="15" customHeight="1">
      <c r="A596" t="inlineStr">
        <is>
          <t>A 6030-2025</t>
        </is>
      </c>
      <c r="B596" s="1" t="n">
        <v>45695</v>
      </c>
      <c r="C596" s="1" t="n">
        <v>45931</v>
      </c>
      <c r="D596" t="inlineStr">
        <is>
          <t>DALARNAS LÄN</t>
        </is>
      </c>
      <c r="E596" t="inlineStr">
        <is>
          <t>LEKSAND</t>
        </is>
      </c>
      <c r="G596" t="n">
        <v>1.4</v>
      </c>
      <c r="H596" t="n">
        <v>0</v>
      </c>
      <c r="I596" t="n">
        <v>0</v>
      </c>
      <c r="J596" t="n">
        <v>0</v>
      </c>
      <c r="K596" t="n">
        <v>0</v>
      </c>
      <c r="L596" t="n">
        <v>0</v>
      </c>
      <c r="M596" t="n">
        <v>0</v>
      </c>
      <c r="N596" t="n">
        <v>0</v>
      </c>
      <c r="O596" t="n">
        <v>0</v>
      </c>
      <c r="P596" t="n">
        <v>0</v>
      </c>
      <c r="Q596" t="n">
        <v>0</v>
      </c>
      <c r="R596" s="2" t="inlineStr"/>
    </row>
    <row r="597" ht="15" customHeight="1">
      <c r="A597" t="inlineStr">
        <is>
          <t>A 39693-2025</t>
        </is>
      </c>
      <c r="B597" s="1" t="n">
        <v>45890.68304398148</v>
      </c>
      <c r="C597" s="1" t="n">
        <v>45931</v>
      </c>
      <c r="D597" t="inlineStr">
        <is>
          <t>DALARNAS LÄN</t>
        </is>
      </c>
      <c r="E597" t="inlineStr">
        <is>
          <t>LEKSAND</t>
        </is>
      </c>
      <c r="G597" t="n">
        <v>3.1</v>
      </c>
      <c r="H597" t="n">
        <v>0</v>
      </c>
      <c r="I597" t="n">
        <v>0</v>
      </c>
      <c r="J597" t="n">
        <v>0</v>
      </c>
      <c r="K597" t="n">
        <v>0</v>
      </c>
      <c r="L597" t="n">
        <v>0</v>
      </c>
      <c r="M597" t="n">
        <v>0</v>
      </c>
      <c r="N597" t="n">
        <v>0</v>
      </c>
      <c r="O597" t="n">
        <v>0</v>
      </c>
      <c r="P597" t="n">
        <v>0</v>
      </c>
      <c r="Q597" t="n">
        <v>0</v>
      </c>
      <c r="R597" s="2" t="inlineStr"/>
    </row>
    <row r="598" ht="15" customHeight="1">
      <c r="A598" t="inlineStr">
        <is>
          <t>A 47503-2024</t>
        </is>
      </c>
      <c r="B598" s="1" t="n">
        <v>45587.60262731482</v>
      </c>
      <c r="C598" s="1" t="n">
        <v>45931</v>
      </c>
      <c r="D598" t="inlineStr">
        <is>
          <t>DALARNAS LÄN</t>
        </is>
      </c>
      <c r="E598" t="inlineStr">
        <is>
          <t>LEKSAND</t>
        </is>
      </c>
      <c r="G598" t="n">
        <v>3.6</v>
      </c>
      <c r="H598" t="n">
        <v>0</v>
      </c>
      <c r="I598" t="n">
        <v>0</v>
      </c>
      <c r="J598" t="n">
        <v>0</v>
      </c>
      <c r="K598" t="n">
        <v>0</v>
      </c>
      <c r="L598" t="n">
        <v>0</v>
      </c>
      <c r="M598" t="n">
        <v>0</v>
      </c>
      <c r="N598" t="n">
        <v>0</v>
      </c>
      <c r="O598" t="n">
        <v>0</v>
      </c>
      <c r="P598" t="n">
        <v>0</v>
      </c>
      <c r="Q598" t="n">
        <v>0</v>
      </c>
      <c r="R598" s="2" t="inlineStr"/>
    </row>
    <row r="599" ht="15" customHeight="1">
      <c r="A599" t="inlineStr">
        <is>
          <t>A 39572-2025</t>
        </is>
      </c>
      <c r="B599" s="1" t="n">
        <v>45890</v>
      </c>
      <c r="C599" s="1" t="n">
        <v>45931</v>
      </c>
      <c r="D599" t="inlineStr">
        <is>
          <t>DALARNAS LÄN</t>
        </is>
      </c>
      <c r="E599" t="inlineStr">
        <is>
          <t>LEKSAND</t>
        </is>
      </c>
      <c r="F599" t="inlineStr">
        <is>
          <t>Bergvik skog väst AB</t>
        </is>
      </c>
      <c r="G599" t="n">
        <v>2.2</v>
      </c>
      <c r="H599" t="n">
        <v>0</v>
      </c>
      <c r="I599" t="n">
        <v>0</v>
      </c>
      <c r="J599" t="n">
        <v>0</v>
      </c>
      <c r="K599" t="n">
        <v>0</v>
      </c>
      <c r="L599" t="n">
        <v>0</v>
      </c>
      <c r="M599" t="n">
        <v>0</v>
      </c>
      <c r="N599" t="n">
        <v>0</v>
      </c>
      <c r="O599" t="n">
        <v>0</v>
      </c>
      <c r="P599" t="n">
        <v>0</v>
      </c>
      <c r="Q599" t="n">
        <v>0</v>
      </c>
      <c r="R599" s="2" t="inlineStr"/>
    </row>
    <row r="600" ht="15" customHeight="1">
      <c r="A600" t="inlineStr">
        <is>
          <t>A 35094-2025</t>
        </is>
      </c>
      <c r="B600" s="1" t="n">
        <v>45852</v>
      </c>
      <c r="C600" s="1" t="n">
        <v>45931</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39569-2025</t>
        </is>
      </c>
      <c r="B601" s="1" t="n">
        <v>45890</v>
      </c>
      <c r="C601" s="1" t="n">
        <v>45931</v>
      </c>
      <c r="D601" t="inlineStr">
        <is>
          <t>DALARNAS LÄN</t>
        </is>
      </c>
      <c r="E601" t="inlineStr">
        <is>
          <t>LEKSAND</t>
        </is>
      </c>
      <c r="F601" t="inlineStr">
        <is>
          <t>Bergvik skog väst AB</t>
        </is>
      </c>
      <c r="G601" t="n">
        <v>1.6</v>
      </c>
      <c r="H601" t="n">
        <v>0</v>
      </c>
      <c r="I601" t="n">
        <v>0</v>
      </c>
      <c r="J601" t="n">
        <v>0</v>
      </c>
      <c r="K601" t="n">
        <v>0</v>
      </c>
      <c r="L601" t="n">
        <v>0</v>
      </c>
      <c r="M601" t="n">
        <v>0</v>
      </c>
      <c r="N601" t="n">
        <v>0</v>
      </c>
      <c r="O601" t="n">
        <v>0</v>
      </c>
      <c r="P601" t="n">
        <v>0</v>
      </c>
      <c r="Q601" t="n">
        <v>0</v>
      </c>
      <c r="R601" s="2" t="inlineStr"/>
    </row>
    <row r="602" ht="15" customHeight="1">
      <c r="A602" t="inlineStr">
        <is>
          <t>A 53981-2024</t>
        </is>
      </c>
      <c r="B602" s="1" t="n">
        <v>45615</v>
      </c>
      <c r="C602" s="1" t="n">
        <v>45931</v>
      </c>
      <c r="D602" t="inlineStr">
        <is>
          <t>DALARNAS LÄN</t>
        </is>
      </c>
      <c r="E602" t="inlineStr">
        <is>
          <t>LEKSAND</t>
        </is>
      </c>
      <c r="G602" t="n">
        <v>5.4</v>
      </c>
      <c r="H602" t="n">
        <v>0</v>
      </c>
      <c r="I602" t="n">
        <v>0</v>
      </c>
      <c r="J602" t="n">
        <v>0</v>
      </c>
      <c r="K602" t="n">
        <v>0</v>
      </c>
      <c r="L602" t="n">
        <v>0</v>
      </c>
      <c r="M602" t="n">
        <v>0</v>
      </c>
      <c r="N602" t="n">
        <v>0</v>
      </c>
      <c r="O602" t="n">
        <v>0</v>
      </c>
      <c r="P602" t="n">
        <v>0</v>
      </c>
      <c r="Q602" t="n">
        <v>0</v>
      </c>
      <c r="R602" s="2" t="inlineStr"/>
    </row>
    <row r="603" ht="15" customHeight="1">
      <c r="A603" t="inlineStr">
        <is>
          <t>A 34965-2025</t>
        </is>
      </c>
      <c r="B603" s="1" t="n">
        <v>45849</v>
      </c>
      <c r="C603" s="1" t="n">
        <v>45931</v>
      </c>
      <c r="D603" t="inlineStr">
        <is>
          <t>DALARNAS LÄN</t>
        </is>
      </c>
      <c r="E603" t="inlineStr">
        <is>
          <t>LEKSAND</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34966-2025</t>
        </is>
      </c>
      <c r="B604" s="1" t="n">
        <v>45849</v>
      </c>
      <c r="C604" s="1" t="n">
        <v>45931</v>
      </c>
      <c r="D604" t="inlineStr">
        <is>
          <t>DALARNAS LÄN</t>
        </is>
      </c>
      <c r="E604" t="inlineStr">
        <is>
          <t>LEKSAND</t>
        </is>
      </c>
      <c r="F604" t="inlineStr">
        <is>
          <t>Bergvik skog väst AB</t>
        </is>
      </c>
      <c r="G604" t="n">
        <v>0.9</v>
      </c>
      <c r="H604" t="n">
        <v>0</v>
      </c>
      <c r="I604" t="n">
        <v>0</v>
      </c>
      <c r="J604" t="n">
        <v>0</v>
      </c>
      <c r="K604" t="n">
        <v>0</v>
      </c>
      <c r="L604" t="n">
        <v>0</v>
      </c>
      <c r="M604" t="n">
        <v>0</v>
      </c>
      <c r="N604" t="n">
        <v>0</v>
      </c>
      <c r="O604" t="n">
        <v>0</v>
      </c>
      <c r="P604" t="n">
        <v>0</v>
      </c>
      <c r="Q604" t="n">
        <v>0</v>
      </c>
      <c r="R604" s="2" t="inlineStr"/>
    </row>
    <row r="605" ht="15" customHeight="1">
      <c r="A605" t="inlineStr">
        <is>
          <t>A 10833-2023</t>
        </is>
      </c>
      <c r="B605" s="1" t="n">
        <v>44990</v>
      </c>
      <c r="C605" s="1" t="n">
        <v>45931</v>
      </c>
      <c r="D605" t="inlineStr">
        <is>
          <t>DALARNAS LÄN</t>
        </is>
      </c>
      <c r="E605" t="inlineStr">
        <is>
          <t>LEKSAND</t>
        </is>
      </c>
      <c r="G605" t="n">
        <v>1.7</v>
      </c>
      <c r="H605" t="n">
        <v>0</v>
      </c>
      <c r="I605" t="n">
        <v>0</v>
      </c>
      <c r="J605" t="n">
        <v>0</v>
      </c>
      <c r="K605" t="n">
        <v>0</v>
      </c>
      <c r="L605" t="n">
        <v>0</v>
      </c>
      <c r="M605" t="n">
        <v>0</v>
      </c>
      <c r="N605" t="n">
        <v>0</v>
      </c>
      <c r="O605" t="n">
        <v>0</v>
      </c>
      <c r="P605" t="n">
        <v>0</v>
      </c>
      <c r="Q605" t="n">
        <v>0</v>
      </c>
      <c r="R605" s="2" t="inlineStr"/>
    </row>
    <row r="606" ht="15" customHeight="1">
      <c r="A606" t="inlineStr">
        <is>
          <t>A 17589-2025</t>
        </is>
      </c>
      <c r="B606" s="1" t="n">
        <v>45757.67844907408</v>
      </c>
      <c r="C606" s="1" t="n">
        <v>45931</v>
      </c>
      <c r="D606" t="inlineStr">
        <is>
          <t>DALARNAS LÄN</t>
        </is>
      </c>
      <c r="E606" t="inlineStr">
        <is>
          <t>LEKSAND</t>
        </is>
      </c>
      <c r="G606" t="n">
        <v>5.8</v>
      </c>
      <c r="H606" t="n">
        <v>0</v>
      </c>
      <c r="I606" t="n">
        <v>0</v>
      </c>
      <c r="J606" t="n">
        <v>0</v>
      </c>
      <c r="K606" t="n">
        <v>0</v>
      </c>
      <c r="L606" t="n">
        <v>0</v>
      </c>
      <c r="M606" t="n">
        <v>0</v>
      </c>
      <c r="N606" t="n">
        <v>0</v>
      </c>
      <c r="O606" t="n">
        <v>0</v>
      </c>
      <c r="P606" t="n">
        <v>0</v>
      </c>
      <c r="Q606" t="n">
        <v>0</v>
      </c>
      <c r="R606" s="2" t="inlineStr"/>
    </row>
    <row r="607" ht="15" customHeight="1">
      <c r="A607" t="inlineStr">
        <is>
          <t>A 40513-2025</t>
        </is>
      </c>
      <c r="B607" s="1" t="n">
        <v>45896.35100694445</v>
      </c>
      <c r="C607" s="1" t="n">
        <v>45931</v>
      </c>
      <c r="D607" t="inlineStr">
        <is>
          <t>DALARNAS LÄN</t>
        </is>
      </c>
      <c r="E607" t="inlineStr">
        <is>
          <t>LEKSAND</t>
        </is>
      </c>
      <c r="G607" t="n">
        <v>7.1</v>
      </c>
      <c r="H607" t="n">
        <v>0</v>
      </c>
      <c r="I607" t="n">
        <v>0</v>
      </c>
      <c r="J607" t="n">
        <v>0</v>
      </c>
      <c r="K607" t="n">
        <v>0</v>
      </c>
      <c r="L607" t="n">
        <v>0</v>
      </c>
      <c r="M607" t="n">
        <v>0</v>
      </c>
      <c r="N607" t="n">
        <v>0</v>
      </c>
      <c r="O607" t="n">
        <v>0</v>
      </c>
      <c r="P607" t="n">
        <v>0</v>
      </c>
      <c r="Q607" t="n">
        <v>0</v>
      </c>
      <c r="R607" s="2" t="inlineStr"/>
    </row>
    <row r="608" ht="15" customHeight="1">
      <c r="A608" t="inlineStr">
        <is>
          <t>A 40517-2025</t>
        </is>
      </c>
      <c r="B608" s="1" t="n">
        <v>45896.36368055556</v>
      </c>
      <c r="C608" s="1" t="n">
        <v>45931</v>
      </c>
      <c r="D608" t="inlineStr">
        <is>
          <t>DALARNAS LÄN</t>
        </is>
      </c>
      <c r="E608" t="inlineStr">
        <is>
          <t>LEKSAND</t>
        </is>
      </c>
      <c r="G608" t="n">
        <v>1.6</v>
      </c>
      <c r="H608" t="n">
        <v>0</v>
      </c>
      <c r="I608" t="n">
        <v>0</v>
      </c>
      <c r="J608" t="n">
        <v>0</v>
      </c>
      <c r="K608" t="n">
        <v>0</v>
      </c>
      <c r="L608" t="n">
        <v>0</v>
      </c>
      <c r="M608" t="n">
        <v>0</v>
      </c>
      <c r="N608" t="n">
        <v>0</v>
      </c>
      <c r="O608" t="n">
        <v>0</v>
      </c>
      <c r="P608" t="n">
        <v>0</v>
      </c>
      <c r="Q608" t="n">
        <v>0</v>
      </c>
      <c r="R608" s="2" t="inlineStr"/>
    </row>
    <row r="609" ht="15" customHeight="1">
      <c r="A609" t="inlineStr">
        <is>
          <t>A 17233-2023</t>
        </is>
      </c>
      <c r="B609" s="1" t="n">
        <v>45035</v>
      </c>
      <c r="C609" s="1" t="n">
        <v>45931</v>
      </c>
      <c r="D609" t="inlineStr">
        <is>
          <t>DALARNAS LÄN</t>
        </is>
      </c>
      <c r="E609" t="inlineStr">
        <is>
          <t>LEKSAND</t>
        </is>
      </c>
      <c r="G609" t="n">
        <v>1.6</v>
      </c>
      <c r="H609" t="n">
        <v>0</v>
      </c>
      <c r="I609" t="n">
        <v>0</v>
      </c>
      <c r="J609" t="n">
        <v>0</v>
      </c>
      <c r="K609" t="n">
        <v>0</v>
      </c>
      <c r="L609" t="n">
        <v>0</v>
      </c>
      <c r="M609" t="n">
        <v>0</v>
      </c>
      <c r="N609" t="n">
        <v>0</v>
      </c>
      <c r="O609" t="n">
        <v>0</v>
      </c>
      <c r="P609" t="n">
        <v>0</v>
      </c>
      <c r="Q609" t="n">
        <v>0</v>
      </c>
      <c r="R609" s="2" t="inlineStr"/>
    </row>
    <row r="610" ht="15" customHeight="1">
      <c r="A610" t="inlineStr">
        <is>
          <t>A 11740-2025</t>
        </is>
      </c>
      <c r="B610" s="1" t="n">
        <v>45727.62582175926</v>
      </c>
      <c r="C610" s="1" t="n">
        <v>45931</v>
      </c>
      <c r="D610" t="inlineStr">
        <is>
          <t>DALARNAS LÄN</t>
        </is>
      </c>
      <c r="E610" t="inlineStr">
        <is>
          <t>LEKSAND</t>
        </is>
      </c>
      <c r="F610" t="inlineStr">
        <is>
          <t>Övriga Aktiebolag</t>
        </is>
      </c>
      <c r="G610" t="n">
        <v>1.3</v>
      </c>
      <c r="H610" t="n">
        <v>0</v>
      </c>
      <c r="I610" t="n">
        <v>0</v>
      </c>
      <c r="J610" t="n">
        <v>0</v>
      </c>
      <c r="K610" t="n">
        <v>0</v>
      </c>
      <c r="L610" t="n">
        <v>0</v>
      </c>
      <c r="M610" t="n">
        <v>0</v>
      </c>
      <c r="N610" t="n">
        <v>0</v>
      </c>
      <c r="O610" t="n">
        <v>0</v>
      </c>
      <c r="P610" t="n">
        <v>0</v>
      </c>
      <c r="Q610" t="n">
        <v>0</v>
      </c>
      <c r="R610" s="2" t="inlineStr"/>
    </row>
    <row r="611" ht="15" customHeight="1">
      <c r="A611" t="inlineStr">
        <is>
          <t>A 16231-2021</t>
        </is>
      </c>
      <c r="B611" s="1" t="n">
        <v>44292</v>
      </c>
      <c r="C611" s="1" t="n">
        <v>45931</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12857-2023</t>
        </is>
      </c>
      <c r="B612" s="1" t="n">
        <v>45001.5000462963</v>
      </c>
      <c r="C612" s="1" t="n">
        <v>45931</v>
      </c>
      <c r="D612" t="inlineStr">
        <is>
          <t>DALARNAS LÄN</t>
        </is>
      </c>
      <c r="E612" t="inlineStr">
        <is>
          <t>LEKSAND</t>
        </is>
      </c>
      <c r="G612" t="n">
        <v>0.2</v>
      </c>
      <c r="H612" t="n">
        <v>0</v>
      </c>
      <c r="I612" t="n">
        <v>0</v>
      </c>
      <c r="J612" t="n">
        <v>0</v>
      </c>
      <c r="K612" t="n">
        <v>0</v>
      </c>
      <c r="L612" t="n">
        <v>0</v>
      </c>
      <c r="M612" t="n">
        <v>0</v>
      </c>
      <c r="N612" t="n">
        <v>0</v>
      </c>
      <c r="O612" t="n">
        <v>0</v>
      </c>
      <c r="P612" t="n">
        <v>0</v>
      </c>
      <c r="Q612" t="n">
        <v>0</v>
      </c>
      <c r="R612" s="2" t="inlineStr"/>
    </row>
    <row r="613" ht="15" customHeight="1">
      <c r="A613" t="inlineStr">
        <is>
          <t>A 28674-2024</t>
        </is>
      </c>
      <c r="B613" s="1" t="n">
        <v>45478.47863425926</v>
      </c>
      <c r="C613" s="1" t="n">
        <v>45931</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41248-2025</t>
        </is>
      </c>
      <c r="B614" s="1" t="n">
        <v>45898.60199074074</v>
      </c>
      <c r="C614" s="1" t="n">
        <v>45931</v>
      </c>
      <c r="D614" t="inlineStr">
        <is>
          <t>DALARNAS LÄN</t>
        </is>
      </c>
      <c r="E614" t="inlineStr">
        <is>
          <t>LEKSAND</t>
        </is>
      </c>
      <c r="F614" t="inlineStr">
        <is>
          <t>Bergvik skog väst AB</t>
        </is>
      </c>
      <c r="G614" t="n">
        <v>2.5</v>
      </c>
      <c r="H614" t="n">
        <v>0</v>
      </c>
      <c r="I614" t="n">
        <v>0</v>
      </c>
      <c r="J614" t="n">
        <v>0</v>
      </c>
      <c r="K614" t="n">
        <v>0</v>
      </c>
      <c r="L614" t="n">
        <v>0</v>
      </c>
      <c r="M614" t="n">
        <v>0</v>
      </c>
      <c r="N614" t="n">
        <v>0</v>
      </c>
      <c r="O614" t="n">
        <v>0</v>
      </c>
      <c r="P614" t="n">
        <v>0</v>
      </c>
      <c r="Q614" t="n">
        <v>0</v>
      </c>
      <c r="R614" s="2" t="inlineStr"/>
    </row>
    <row r="615" ht="15" customHeight="1">
      <c r="A615" t="inlineStr">
        <is>
          <t>A 41237-2025</t>
        </is>
      </c>
      <c r="B615" s="1" t="n">
        <v>45898.59570601852</v>
      </c>
      <c r="C615" s="1" t="n">
        <v>45931</v>
      </c>
      <c r="D615" t="inlineStr">
        <is>
          <t>DALARNAS LÄN</t>
        </is>
      </c>
      <c r="E615" t="inlineStr">
        <is>
          <t>LEKSAND</t>
        </is>
      </c>
      <c r="F615" t="inlineStr">
        <is>
          <t>Bergvik skog väst AB</t>
        </is>
      </c>
      <c r="G615" t="n">
        <v>1.4</v>
      </c>
      <c r="H615" t="n">
        <v>0</v>
      </c>
      <c r="I615" t="n">
        <v>0</v>
      </c>
      <c r="J615" t="n">
        <v>0</v>
      </c>
      <c r="K615" t="n">
        <v>0</v>
      </c>
      <c r="L615" t="n">
        <v>0</v>
      </c>
      <c r="M615" t="n">
        <v>0</v>
      </c>
      <c r="N615" t="n">
        <v>0</v>
      </c>
      <c r="O615" t="n">
        <v>0</v>
      </c>
      <c r="P615" t="n">
        <v>0</v>
      </c>
      <c r="Q615" t="n">
        <v>0</v>
      </c>
      <c r="R615" s="2" t="inlineStr"/>
    </row>
    <row r="616" ht="15" customHeight="1">
      <c r="A616" t="inlineStr">
        <is>
          <t>A 13705-2021</t>
        </is>
      </c>
      <c r="B616" s="1" t="n">
        <v>44274</v>
      </c>
      <c r="C616" s="1" t="n">
        <v>45931</v>
      </c>
      <c r="D616" t="inlineStr">
        <is>
          <t>DALARNAS LÄN</t>
        </is>
      </c>
      <c r="E616" t="inlineStr">
        <is>
          <t>LEKSAND</t>
        </is>
      </c>
      <c r="G616" t="n">
        <v>3.8</v>
      </c>
      <c r="H616" t="n">
        <v>0</v>
      </c>
      <c r="I616" t="n">
        <v>0</v>
      </c>
      <c r="J616" t="n">
        <v>0</v>
      </c>
      <c r="K616" t="n">
        <v>0</v>
      </c>
      <c r="L616" t="n">
        <v>0</v>
      </c>
      <c r="M616" t="n">
        <v>0</v>
      </c>
      <c r="N616" t="n">
        <v>0</v>
      </c>
      <c r="O616" t="n">
        <v>0</v>
      </c>
      <c r="P616" t="n">
        <v>0</v>
      </c>
      <c r="Q616" t="n">
        <v>0</v>
      </c>
      <c r="R616" s="2" t="inlineStr"/>
    </row>
    <row r="617" ht="15" customHeight="1">
      <c r="A617" t="inlineStr">
        <is>
          <t>A 41487-2025</t>
        </is>
      </c>
      <c r="B617" s="1" t="n">
        <v>45901.4815625</v>
      </c>
      <c r="C617" s="1" t="n">
        <v>45931</v>
      </c>
      <c r="D617" t="inlineStr">
        <is>
          <t>DALARNAS LÄN</t>
        </is>
      </c>
      <c r="E617" t="inlineStr">
        <is>
          <t>LEKSAND</t>
        </is>
      </c>
      <c r="F617" t="inlineStr">
        <is>
          <t>Bergvik skog väst AB</t>
        </is>
      </c>
      <c r="G617" t="n">
        <v>7.3</v>
      </c>
      <c r="H617" t="n">
        <v>0</v>
      </c>
      <c r="I617" t="n">
        <v>0</v>
      </c>
      <c r="J617" t="n">
        <v>0</v>
      </c>
      <c r="K617" t="n">
        <v>0</v>
      </c>
      <c r="L617" t="n">
        <v>0</v>
      </c>
      <c r="M617" t="n">
        <v>0</v>
      </c>
      <c r="N617" t="n">
        <v>0</v>
      </c>
      <c r="O617" t="n">
        <v>0</v>
      </c>
      <c r="P617" t="n">
        <v>0</v>
      </c>
      <c r="Q617" t="n">
        <v>0</v>
      </c>
      <c r="R617" s="2" t="inlineStr"/>
    </row>
    <row r="618" ht="15" customHeight="1">
      <c r="A618" t="inlineStr">
        <is>
          <t>A 35746-2025</t>
        </is>
      </c>
      <c r="B618" s="1" t="n">
        <v>45860</v>
      </c>
      <c r="C618" s="1" t="n">
        <v>45931</v>
      </c>
      <c r="D618" t="inlineStr">
        <is>
          <t>DALARNAS LÄN</t>
        </is>
      </c>
      <c r="E618" t="inlineStr">
        <is>
          <t>LEKSAND</t>
        </is>
      </c>
      <c r="G618" t="n">
        <v>1.9</v>
      </c>
      <c r="H618" t="n">
        <v>0</v>
      </c>
      <c r="I618" t="n">
        <v>0</v>
      </c>
      <c r="J618" t="n">
        <v>0</v>
      </c>
      <c r="K618" t="n">
        <v>0</v>
      </c>
      <c r="L618" t="n">
        <v>0</v>
      </c>
      <c r="M618" t="n">
        <v>0</v>
      </c>
      <c r="N618" t="n">
        <v>0</v>
      </c>
      <c r="O618" t="n">
        <v>0</v>
      </c>
      <c r="P618" t="n">
        <v>0</v>
      </c>
      <c r="Q618" t="n">
        <v>0</v>
      </c>
      <c r="R618" s="2" t="inlineStr"/>
    </row>
    <row r="619" ht="15" customHeight="1">
      <c r="A619" t="inlineStr">
        <is>
          <t>A 41380-2025</t>
        </is>
      </c>
      <c r="B619" s="1" t="n">
        <v>45900.92826388889</v>
      </c>
      <c r="C619" s="1" t="n">
        <v>45931</v>
      </c>
      <c r="D619" t="inlineStr">
        <is>
          <t>DALARNAS LÄN</t>
        </is>
      </c>
      <c r="E619" t="inlineStr">
        <is>
          <t>LEKSAND</t>
        </is>
      </c>
      <c r="G619" t="n">
        <v>1.4</v>
      </c>
      <c r="H619" t="n">
        <v>0</v>
      </c>
      <c r="I619" t="n">
        <v>0</v>
      </c>
      <c r="J619" t="n">
        <v>0</v>
      </c>
      <c r="K619" t="n">
        <v>0</v>
      </c>
      <c r="L619" t="n">
        <v>0</v>
      </c>
      <c r="M619" t="n">
        <v>0</v>
      </c>
      <c r="N619" t="n">
        <v>0</v>
      </c>
      <c r="O619" t="n">
        <v>0</v>
      </c>
      <c r="P619" t="n">
        <v>0</v>
      </c>
      <c r="Q619" t="n">
        <v>0</v>
      </c>
      <c r="R619" s="2" t="inlineStr"/>
    </row>
    <row r="620" ht="15" customHeight="1">
      <c r="A620" t="inlineStr">
        <is>
          <t>A 41335-2025</t>
        </is>
      </c>
      <c r="B620" s="1" t="n">
        <v>45899.36747685185</v>
      </c>
      <c r="C620" s="1" t="n">
        <v>45931</v>
      </c>
      <c r="D620" t="inlineStr">
        <is>
          <t>DALARNAS LÄN</t>
        </is>
      </c>
      <c r="E620" t="inlineStr">
        <is>
          <t>LEKSAND</t>
        </is>
      </c>
      <c r="G620" t="n">
        <v>5.9</v>
      </c>
      <c r="H620" t="n">
        <v>0</v>
      </c>
      <c r="I620" t="n">
        <v>0</v>
      </c>
      <c r="J620" t="n">
        <v>0</v>
      </c>
      <c r="K620" t="n">
        <v>0</v>
      </c>
      <c r="L620" t="n">
        <v>0</v>
      </c>
      <c r="M620" t="n">
        <v>0</v>
      </c>
      <c r="N620" t="n">
        <v>0</v>
      </c>
      <c r="O620" t="n">
        <v>0</v>
      </c>
      <c r="P620" t="n">
        <v>0</v>
      </c>
      <c r="Q620" t="n">
        <v>0</v>
      </c>
      <c r="R620" s="2" t="inlineStr"/>
    </row>
    <row r="621" ht="15" customHeight="1">
      <c r="A621" t="inlineStr">
        <is>
          <t>A 19622-2024</t>
        </is>
      </c>
      <c r="B621" s="1" t="n">
        <v>45432.33592592592</v>
      </c>
      <c r="C621" s="1" t="n">
        <v>45931</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27317-2021</t>
        </is>
      </c>
      <c r="B622" s="1" t="n">
        <v>44351</v>
      </c>
      <c r="C622" s="1" t="n">
        <v>45931</v>
      </c>
      <c r="D622" t="inlineStr">
        <is>
          <t>DALARNAS LÄN</t>
        </is>
      </c>
      <c r="E622" t="inlineStr">
        <is>
          <t>LEKSAND</t>
        </is>
      </c>
      <c r="G622" t="n">
        <v>1</v>
      </c>
      <c r="H622" t="n">
        <v>0</v>
      </c>
      <c r="I622" t="n">
        <v>0</v>
      </c>
      <c r="J622" t="n">
        <v>0</v>
      </c>
      <c r="K622" t="n">
        <v>0</v>
      </c>
      <c r="L622" t="n">
        <v>0</v>
      </c>
      <c r="M622" t="n">
        <v>0</v>
      </c>
      <c r="N622" t="n">
        <v>0</v>
      </c>
      <c r="O622" t="n">
        <v>0</v>
      </c>
      <c r="P622" t="n">
        <v>0</v>
      </c>
      <c r="Q622" t="n">
        <v>0</v>
      </c>
      <c r="R622" s="2" t="inlineStr"/>
    </row>
    <row r="623" ht="15" customHeight="1">
      <c r="A623" t="inlineStr">
        <is>
          <t>A 61055-2023</t>
        </is>
      </c>
      <c r="B623" s="1" t="n">
        <v>45261</v>
      </c>
      <c r="C623" s="1" t="n">
        <v>45931</v>
      </c>
      <c r="D623" t="inlineStr">
        <is>
          <t>DALARNAS LÄN</t>
        </is>
      </c>
      <c r="E623" t="inlineStr">
        <is>
          <t>LEKSAND</t>
        </is>
      </c>
      <c r="G623" t="n">
        <v>0.3</v>
      </c>
      <c r="H623" t="n">
        <v>0</v>
      </c>
      <c r="I623" t="n">
        <v>0</v>
      </c>
      <c r="J623" t="n">
        <v>0</v>
      </c>
      <c r="K623" t="n">
        <v>0</v>
      </c>
      <c r="L623" t="n">
        <v>0</v>
      </c>
      <c r="M623" t="n">
        <v>0</v>
      </c>
      <c r="N623" t="n">
        <v>0</v>
      </c>
      <c r="O623" t="n">
        <v>0</v>
      </c>
      <c r="P623" t="n">
        <v>0</v>
      </c>
      <c r="Q623" t="n">
        <v>0</v>
      </c>
      <c r="R623" s="2" t="inlineStr"/>
    </row>
    <row r="624" ht="15" customHeight="1">
      <c r="A624" t="inlineStr">
        <is>
          <t>A 35866-2025</t>
        </is>
      </c>
      <c r="B624" s="1" t="n">
        <v>45861</v>
      </c>
      <c r="C624" s="1" t="n">
        <v>45931</v>
      </c>
      <c r="D624" t="inlineStr">
        <is>
          <t>DALARNAS LÄN</t>
        </is>
      </c>
      <c r="E624" t="inlineStr">
        <is>
          <t>LEKSAND</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10743-2024</t>
        </is>
      </c>
      <c r="B625" s="1" t="n">
        <v>45369.52167824074</v>
      </c>
      <c r="C625" s="1" t="n">
        <v>45931</v>
      </c>
      <c r="D625" t="inlineStr">
        <is>
          <t>DALARNAS LÄN</t>
        </is>
      </c>
      <c r="E625" t="inlineStr">
        <is>
          <t>LEKSAND</t>
        </is>
      </c>
      <c r="G625" t="n">
        <v>2.7</v>
      </c>
      <c r="H625" t="n">
        <v>0</v>
      </c>
      <c r="I625" t="n">
        <v>0</v>
      </c>
      <c r="J625" t="n">
        <v>0</v>
      </c>
      <c r="K625" t="n">
        <v>0</v>
      </c>
      <c r="L625" t="n">
        <v>0</v>
      </c>
      <c r="M625" t="n">
        <v>0</v>
      </c>
      <c r="N625" t="n">
        <v>0</v>
      </c>
      <c r="O625" t="n">
        <v>0</v>
      </c>
      <c r="P625" t="n">
        <v>0</v>
      </c>
      <c r="Q625" t="n">
        <v>0</v>
      </c>
      <c r="R625" s="2" t="inlineStr"/>
    </row>
    <row r="626" ht="15" customHeight="1">
      <c r="A626" t="inlineStr">
        <is>
          <t>A 42284-2025</t>
        </is>
      </c>
      <c r="B626" s="1" t="n">
        <v>45903</v>
      </c>
      <c r="C626" s="1" t="n">
        <v>45931</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44491-2023</t>
        </is>
      </c>
      <c r="B627" s="1" t="n">
        <v>45183</v>
      </c>
      <c r="C627" s="1" t="n">
        <v>45931</v>
      </c>
      <c r="D627" t="inlineStr">
        <is>
          <t>DALARNAS LÄN</t>
        </is>
      </c>
      <c r="E627" t="inlineStr">
        <is>
          <t>LEKSAND</t>
        </is>
      </c>
      <c r="G627" t="n">
        <v>2.6</v>
      </c>
      <c r="H627" t="n">
        <v>0</v>
      </c>
      <c r="I627" t="n">
        <v>0</v>
      </c>
      <c r="J627" t="n">
        <v>0</v>
      </c>
      <c r="K627" t="n">
        <v>0</v>
      </c>
      <c r="L627" t="n">
        <v>0</v>
      </c>
      <c r="M627" t="n">
        <v>0</v>
      </c>
      <c r="N627" t="n">
        <v>0</v>
      </c>
      <c r="O627" t="n">
        <v>0</v>
      </c>
      <c r="P627" t="n">
        <v>0</v>
      </c>
      <c r="Q627" t="n">
        <v>0</v>
      </c>
      <c r="R627" s="2" t="inlineStr"/>
    </row>
    <row r="628" ht="15" customHeight="1">
      <c r="A628" t="inlineStr">
        <is>
          <t>A 33001-2023</t>
        </is>
      </c>
      <c r="B628" s="1" t="n">
        <v>45125</v>
      </c>
      <c r="C628" s="1" t="n">
        <v>45931</v>
      </c>
      <c r="D628" t="inlineStr">
        <is>
          <t>DALARNAS LÄN</t>
        </is>
      </c>
      <c r="E628" t="inlineStr">
        <is>
          <t>LEKSAND</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41934-2025</t>
        </is>
      </c>
      <c r="B629" s="1" t="n">
        <v>45903.43556712963</v>
      </c>
      <c r="C629" s="1" t="n">
        <v>45931</v>
      </c>
      <c r="D629" t="inlineStr">
        <is>
          <t>DALARNAS LÄN</t>
        </is>
      </c>
      <c r="E629" t="inlineStr">
        <is>
          <t>LEKSAND</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33674-2023</t>
        </is>
      </c>
      <c r="B630" s="1" t="n">
        <v>45132</v>
      </c>
      <c r="C630" s="1" t="n">
        <v>45931</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35998-2025</t>
        </is>
      </c>
      <c r="B631" s="1" t="n">
        <v>45863.51550925926</v>
      </c>
      <c r="C631" s="1" t="n">
        <v>45931</v>
      </c>
      <c r="D631" t="inlineStr">
        <is>
          <t>DALARNAS LÄN</t>
        </is>
      </c>
      <c r="E631" t="inlineStr">
        <is>
          <t>LEKSAND</t>
        </is>
      </c>
      <c r="G631" t="n">
        <v>2</v>
      </c>
      <c r="H631" t="n">
        <v>0</v>
      </c>
      <c r="I631" t="n">
        <v>0</v>
      </c>
      <c r="J631" t="n">
        <v>0</v>
      </c>
      <c r="K631" t="n">
        <v>0</v>
      </c>
      <c r="L631" t="n">
        <v>0</v>
      </c>
      <c r="M631" t="n">
        <v>0</v>
      </c>
      <c r="N631" t="n">
        <v>0</v>
      </c>
      <c r="O631" t="n">
        <v>0</v>
      </c>
      <c r="P631" t="n">
        <v>0</v>
      </c>
      <c r="Q631" t="n">
        <v>0</v>
      </c>
      <c r="R631" s="2" t="inlineStr"/>
    </row>
    <row r="632" ht="15" customHeight="1">
      <c r="A632" t="inlineStr">
        <is>
          <t>A 36021-2025</t>
        </is>
      </c>
      <c r="B632" s="1" t="n">
        <v>45863.72346064815</v>
      </c>
      <c r="C632" s="1" t="n">
        <v>45931</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42402-2025</t>
        </is>
      </c>
      <c r="B633" s="1" t="n">
        <v>45905.3753125</v>
      </c>
      <c r="C633" s="1" t="n">
        <v>45931</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10367-2023</t>
        </is>
      </c>
      <c r="B634" s="1" t="n">
        <v>44987</v>
      </c>
      <c r="C634" s="1" t="n">
        <v>45931</v>
      </c>
      <c r="D634" t="inlineStr">
        <is>
          <t>DALARNAS LÄN</t>
        </is>
      </c>
      <c r="E634" t="inlineStr">
        <is>
          <t>LEKSAND</t>
        </is>
      </c>
      <c r="G634" t="n">
        <v>0.7</v>
      </c>
      <c r="H634" t="n">
        <v>0</v>
      </c>
      <c r="I634" t="n">
        <v>0</v>
      </c>
      <c r="J634" t="n">
        <v>0</v>
      </c>
      <c r="K634" t="n">
        <v>0</v>
      </c>
      <c r="L634" t="n">
        <v>0</v>
      </c>
      <c r="M634" t="n">
        <v>0</v>
      </c>
      <c r="N634" t="n">
        <v>0</v>
      </c>
      <c r="O634" t="n">
        <v>0</v>
      </c>
      <c r="P634" t="n">
        <v>0</v>
      </c>
      <c r="Q634" t="n">
        <v>0</v>
      </c>
      <c r="R634" s="2" t="inlineStr"/>
    </row>
    <row r="635" ht="15" customHeight="1">
      <c r="A635" t="inlineStr">
        <is>
          <t>A 36020-2025</t>
        </is>
      </c>
      <c r="B635" s="1" t="n">
        <v>45863</v>
      </c>
      <c r="C635" s="1" t="n">
        <v>45931</v>
      </c>
      <c r="D635" t="inlineStr">
        <is>
          <t>DALARNAS LÄN</t>
        </is>
      </c>
      <c r="E635" t="inlineStr">
        <is>
          <t>LEKSAND</t>
        </is>
      </c>
      <c r="F635" t="inlineStr">
        <is>
          <t>Bergvik skog väst AB</t>
        </is>
      </c>
      <c r="G635" t="n">
        <v>2.8</v>
      </c>
      <c r="H635" t="n">
        <v>0</v>
      </c>
      <c r="I635" t="n">
        <v>0</v>
      </c>
      <c r="J635" t="n">
        <v>0</v>
      </c>
      <c r="K635" t="n">
        <v>0</v>
      </c>
      <c r="L635" t="n">
        <v>0</v>
      </c>
      <c r="M635" t="n">
        <v>0</v>
      </c>
      <c r="N635" t="n">
        <v>0</v>
      </c>
      <c r="O635" t="n">
        <v>0</v>
      </c>
      <c r="P635" t="n">
        <v>0</v>
      </c>
      <c r="Q635" t="n">
        <v>0</v>
      </c>
      <c r="R635" s="2" t="inlineStr"/>
    </row>
    <row r="636" ht="15" customHeight="1">
      <c r="A636" t="inlineStr">
        <is>
          <t>A 16135-2023</t>
        </is>
      </c>
      <c r="B636" s="1" t="n">
        <v>45027.63717592593</v>
      </c>
      <c r="C636" s="1" t="n">
        <v>45931</v>
      </c>
      <c r="D636" t="inlineStr">
        <is>
          <t>DALARNAS LÄN</t>
        </is>
      </c>
      <c r="E636" t="inlineStr">
        <is>
          <t>LEKSAND</t>
        </is>
      </c>
      <c r="G636" t="n">
        <v>4.9</v>
      </c>
      <c r="H636" t="n">
        <v>0</v>
      </c>
      <c r="I636" t="n">
        <v>0</v>
      </c>
      <c r="J636" t="n">
        <v>0</v>
      </c>
      <c r="K636" t="n">
        <v>0</v>
      </c>
      <c r="L636" t="n">
        <v>0</v>
      </c>
      <c r="M636" t="n">
        <v>0</v>
      </c>
      <c r="N636" t="n">
        <v>0</v>
      </c>
      <c r="O636" t="n">
        <v>0</v>
      </c>
      <c r="P636" t="n">
        <v>0</v>
      </c>
      <c r="Q636" t="n">
        <v>0</v>
      </c>
      <c r="R636" s="2" t="inlineStr"/>
    </row>
    <row r="637" ht="15" customHeight="1">
      <c r="A637" t="inlineStr">
        <is>
          <t>A 36017-2025</t>
        </is>
      </c>
      <c r="B637" s="1" t="n">
        <v>45863</v>
      </c>
      <c r="C637" s="1" t="n">
        <v>45931</v>
      </c>
      <c r="D637" t="inlineStr">
        <is>
          <t>DALARNAS LÄN</t>
        </is>
      </c>
      <c r="E637" t="inlineStr">
        <is>
          <t>LEKSAND</t>
        </is>
      </c>
      <c r="F637" t="inlineStr">
        <is>
          <t>Bergvik skog väst AB</t>
        </is>
      </c>
      <c r="G637" t="n">
        <v>17.9</v>
      </c>
      <c r="H637" t="n">
        <v>0</v>
      </c>
      <c r="I637" t="n">
        <v>0</v>
      </c>
      <c r="J637" t="n">
        <v>0</v>
      </c>
      <c r="K637" t="n">
        <v>0</v>
      </c>
      <c r="L637" t="n">
        <v>0</v>
      </c>
      <c r="M637" t="n">
        <v>0</v>
      </c>
      <c r="N637" t="n">
        <v>0</v>
      </c>
      <c r="O637" t="n">
        <v>0</v>
      </c>
      <c r="P637" t="n">
        <v>0</v>
      </c>
      <c r="Q637" t="n">
        <v>0</v>
      </c>
      <c r="R637" s="2" t="inlineStr"/>
    </row>
    <row r="638" ht="15" customHeight="1">
      <c r="A638" t="inlineStr">
        <is>
          <t>A 30198-2024</t>
        </is>
      </c>
      <c r="B638" s="1" t="n">
        <v>45490.34765046297</v>
      </c>
      <c r="C638" s="1" t="n">
        <v>45931</v>
      </c>
      <c r="D638" t="inlineStr">
        <is>
          <t>DALARNAS LÄN</t>
        </is>
      </c>
      <c r="E638" t="inlineStr">
        <is>
          <t>LEKSAND</t>
        </is>
      </c>
      <c r="G638" t="n">
        <v>0.8</v>
      </c>
      <c r="H638" t="n">
        <v>0</v>
      </c>
      <c r="I638" t="n">
        <v>0</v>
      </c>
      <c r="J638" t="n">
        <v>0</v>
      </c>
      <c r="K638" t="n">
        <v>0</v>
      </c>
      <c r="L638" t="n">
        <v>0</v>
      </c>
      <c r="M638" t="n">
        <v>0</v>
      </c>
      <c r="N638" t="n">
        <v>0</v>
      </c>
      <c r="O638" t="n">
        <v>0</v>
      </c>
      <c r="P638" t="n">
        <v>0</v>
      </c>
      <c r="Q638" t="n">
        <v>0</v>
      </c>
      <c r="R638" s="2" t="inlineStr"/>
    </row>
    <row r="639" ht="15" customHeight="1">
      <c r="A639" t="inlineStr">
        <is>
          <t>A 10373-2023</t>
        </is>
      </c>
      <c r="B639" s="1" t="n">
        <v>44987</v>
      </c>
      <c r="C639" s="1" t="n">
        <v>45931</v>
      </c>
      <c r="D639" t="inlineStr">
        <is>
          <t>DALARNAS LÄN</t>
        </is>
      </c>
      <c r="E639" t="inlineStr">
        <is>
          <t>LEKSAND</t>
        </is>
      </c>
      <c r="G639" t="n">
        <v>0.3</v>
      </c>
      <c r="H639" t="n">
        <v>0</v>
      </c>
      <c r="I639" t="n">
        <v>0</v>
      </c>
      <c r="J639" t="n">
        <v>0</v>
      </c>
      <c r="K639" t="n">
        <v>0</v>
      </c>
      <c r="L639" t="n">
        <v>0</v>
      </c>
      <c r="M639" t="n">
        <v>0</v>
      </c>
      <c r="N639" t="n">
        <v>0</v>
      </c>
      <c r="O639" t="n">
        <v>0</v>
      </c>
      <c r="P639" t="n">
        <v>0</v>
      </c>
      <c r="Q639" t="n">
        <v>0</v>
      </c>
      <c r="R639" s="2" t="inlineStr"/>
    </row>
    <row r="640" ht="15" customHeight="1">
      <c r="A640" t="inlineStr">
        <is>
          <t>A 36190-2025</t>
        </is>
      </c>
      <c r="B640" s="1" t="n">
        <v>45867</v>
      </c>
      <c r="C640" s="1" t="n">
        <v>45931</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43158-2025</t>
        </is>
      </c>
      <c r="B641" s="1" t="n">
        <v>45910.35496527778</v>
      </c>
      <c r="C641" s="1" t="n">
        <v>45931</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1946-2024</t>
        </is>
      </c>
      <c r="B642" s="1" t="n">
        <v>45308</v>
      </c>
      <c r="C642" s="1" t="n">
        <v>45931</v>
      </c>
      <c r="D642" t="inlineStr">
        <is>
          <t>DALARNAS LÄN</t>
        </is>
      </c>
      <c r="E642" t="inlineStr">
        <is>
          <t>LEKSAND</t>
        </is>
      </c>
      <c r="G642" t="n">
        <v>2.3</v>
      </c>
      <c r="H642" t="n">
        <v>0</v>
      </c>
      <c r="I642" t="n">
        <v>0</v>
      </c>
      <c r="J642" t="n">
        <v>0</v>
      </c>
      <c r="K642" t="n">
        <v>0</v>
      </c>
      <c r="L642" t="n">
        <v>0</v>
      </c>
      <c r="M642" t="n">
        <v>0</v>
      </c>
      <c r="N642" t="n">
        <v>0</v>
      </c>
      <c r="O642" t="n">
        <v>0</v>
      </c>
      <c r="P642" t="n">
        <v>0</v>
      </c>
      <c r="Q642" t="n">
        <v>0</v>
      </c>
      <c r="R642" s="2" t="inlineStr"/>
    </row>
    <row r="643" ht="15" customHeight="1">
      <c r="A643" t="inlineStr">
        <is>
          <t>A 43195-2025</t>
        </is>
      </c>
      <c r="B643" s="1" t="n">
        <v>45910.4294212963</v>
      </c>
      <c r="C643" s="1" t="n">
        <v>45931</v>
      </c>
      <c r="D643" t="inlineStr">
        <is>
          <t>DALARNAS LÄN</t>
        </is>
      </c>
      <c r="E643" t="inlineStr">
        <is>
          <t>LEKSAND</t>
        </is>
      </c>
      <c r="G643" t="n">
        <v>2.5</v>
      </c>
      <c r="H643" t="n">
        <v>0</v>
      </c>
      <c r="I643" t="n">
        <v>0</v>
      </c>
      <c r="J643" t="n">
        <v>0</v>
      </c>
      <c r="K643" t="n">
        <v>0</v>
      </c>
      <c r="L643" t="n">
        <v>0</v>
      </c>
      <c r="M643" t="n">
        <v>0</v>
      </c>
      <c r="N643" t="n">
        <v>0</v>
      </c>
      <c r="O643" t="n">
        <v>0</v>
      </c>
      <c r="P643" t="n">
        <v>0</v>
      </c>
      <c r="Q643" t="n">
        <v>0</v>
      </c>
      <c r="R643" s="2" t="inlineStr"/>
    </row>
    <row r="644" ht="15" customHeight="1">
      <c r="A644" t="inlineStr">
        <is>
          <t>A 59763-2023</t>
        </is>
      </c>
      <c r="B644" s="1" t="n">
        <v>45257</v>
      </c>
      <c r="C644" s="1" t="n">
        <v>45931</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33566-2023</t>
        </is>
      </c>
      <c r="B645" s="1" t="n">
        <v>45131.64390046296</v>
      </c>
      <c r="C645" s="1" t="n">
        <v>45931</v>
      </c>
      <c r="D645" t="inlineStr">
        <is>
          <t>DALARNAS LÄN</t>
        </is>
      </c>
      <c r="E645" t="inlineStr">
        <is>
          <t>LEKSAND</t>
        </is>
      </c>
      <c r="G645" t="n">
        <v>0.9</v>
      </c>
      <c r="H645" t="n">
        <v>0</v>
      </c>
      <c r="I645" t="n">
        <v>0</v>
      </c>
      <c r="J645" t="n">
        <v>0</v>
      </c>
      <c r="K645" t="n">
        <v>0</v>
      </c>
      <c r="L645" t="n">
        <v>0</v>
      </c>
      <c r="M645" t="n">
        <v>0</v>
      </c>
      <c r="N645" t="n">
        <v>0</v>
      </c>
      <c r="O645" t="n">
        <v>0</v>
      </c>
      <c r="P645" t="n">
        <v>0</v>
      </c>
      <c r="Q645" t="n">
        <v>0</v>
      </c>
      <c r="R645" s="2" t="inlineStr"/>
    </row>
    <row r="646" ht="15" customHeight="1">
      <c r="A646" t="inlineStr">
        <is>
          <t>A 36540-2025</t>
        </is>
      </c>
      <c r="B646" s="1" t="n">
        <v>45869.63885416667</v>
      </c>
      <c r="C646" s="1" t="n">
        <v>45931</v>
      </c>
      <c r="D646" t="inlineStr">
        <is>
          <t>DALARNAS LÄN</t>
        </is>
      </c>
      <c r="E646" t="inlineStr">
        <is>
          <t>LEKSAND</t>
        </is>
      </c>
      <c r="G646" t="n">
        <v>0.6</v>
      </c>
      <c r="H646" t="n">
        <v>0</v>
      </c>
      <c r="I646" t="n">
        <v>0</v>
      </c>
      <c r="J646" t="n">
        <v>0</v>
      </c>
      <c r="K646" t="n">
        <v>0</v>
      </c>
      <c r="L646" t="n">
        <v>0</v>
      </c>
      <c r="M646" t="n">
        <v>0</v>
      </c>
      <c r="N646" t="n">
        <v>0</v>
      </c>
      <c r="O646" t="n">
        <v>0</v>
      </c>
      <c r="P646" t="n">
        <v>0</v>
      </c>
      <c r="Q646" t="n">
        <v>0</v>
      </c>
      <c r="R646" s="2" t="inlineStr"/>
    </row>
    <row r="647" ht="15" customHeight="1">
      <c r="A647" t="inlineStr">
        <is>
          <t>A 43781-2025</t>
        </is>
      </c>
      <c r="B647" s="1" t="n">
        <v>45912.52229166667</v>
      </c>
      <c r="C647" s="1" t="n">
        <v>45931</v>
      </c>
      <c r="D647" t="inlineStr">
        <is>
          <t>DALARNAS LÄN</t>
        </is>
      </c>
      <c r="E647" t="inlineStr">
        <is>
          <t>LEKSAND</t>
        </is>
      </c>
      <c r="G647" t="n">
        <v>1.5</v>
      </c>
      <c r="H647" t="n">
        <v>0</v>
      </c>
      <c r="I647" t="n">
        <v>0</v>
      </c>
      <c r="J647" t="n">
        <v>0</v>
      </c>
      <c r="K647" t="n">
        <v>0</v>
      </c>
      <c r="L647" t="n">
        <v>0</v>
      </c>
      <c r="M647" t="n">
        <v>0</v>
      </c>
      <c r="N647" t="n">
        <v>0</v>
      </c>
      <c r="O647" t="n">
        <v>0</v>
      </c>
      <c r="P647" t="n">
        <v>0</v>
      </c>
      <c r="Q647" t="n">
        <v>0</v>
      </c>
      <c r="R647" s="2" t="inlineStr"/>
    </row>
    <row r="648" ht="15" customHeight="1">
      <c r="A648" t="inlineStr">
        <is>
          <t>A 16592-2023</t>
        </is>
      </c>
      <c r="B648" s="1" t="n">
        <v>45030</v>
      </c>
      <c r="C648" s="1" t="n">
        <v>45931</v>
      </c>
      <c r="D648" t="inlineStr">
        <is>
          <t>DALARNAS LÄN</t>
        </is>
      </c>
      <c r="E648" t="inlineStr">
        <is>
          <t>LEKSAND</t>
        </is>
      </c>
      <c r="G648" t="n">
        <v>11.5</v>
      </c>
      <c r="H648" t="n">
        <v>0</v>
      </c>
      <c r="I648" t="n">
        <v>0</v>
      </c>
      <c r="J648" t="n">
        <v>0</v>
      </c>
      <c r="K648" t="n">
        <v>0</v>
      </c>
      <c r="L648" t="n">
        <v>0</v>
      </c>
      <c r="M648" t="n">
        <v>0</v>
      </c>
      <c r="N648" t="n">
        <v>0</v>
      </c>
      <c r="O648" t="n">
        <v>0</v>
      </c>
      <c r="P648" t="n">
        <v>0</v>
      </c>
      <c r="Q648" t="n">
        <v>0</v>
      </c>
      <c r="R648" s="2" t="inlineStr"/>
    </row>
    <row r="649" ht="15" customHeight="1">
      <c r="A649" t="inlineStr">
        <is>
          <t>A 43607-2025</t>
        </is>
      </c>
      <c r="B649" s="1" t="n">
        <v>45911.66873842593</v>
      </c>
      <c r="C649" s="1" t="n">
        <v>45931</v>
      </c>
      <c r="D649" t="inlineStr">
        <is>
          <t>DALARNAS LÄN</t>
        </is>
      </c>
      <c r="E649" t="inlineStr">
        <is>
          <t>LEKSAND</t>
        </is>
      </c>
      <c r="G649" t="n">
        <v>7.3</v>
      </c>
      <c r="H649" t="n">
        <v>0</v>
      </c>
      <c r="I649" t="n">
        <v>0</v>
      </c>
      <c r="J649" t="n">
        <v>0</v>
      </c>
      <c r="K649" t="n">
        <v>0</v>
      </c>
      <c r="L649" t="n">
        <v>0</v>
      </c>
      <c r="M649" t="n">
        <v>0</v>
      </c>
      <c r="N649" t="n">
        <v>0</v>
      </c>
      <c r="O649" t="n">
        <v>0</v>
      </c>
      <c r="P649" t="n">
        <v>0</v>
      </c>
      <c r="Q649" t="n">
        <v>0</v>
      </c>
      <c r="R649" s="2" t="inlineStr"/>
    </row>
    <row r="650" ht="15" customHeight="1">
      <c r="A650" t="inlineStr">
        <is>
          <t>A 43628-2025</t>
        </is>
      </c>
      <c r="B650" s="1" t="n">
        <v>45911.70060185185</v>
      </c>
      <c r="C650" s="1" t="n">
        <v>45931</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17533-2023</t>
        </is>
      </c>
      <c r="B651" s="1" t="n">
        <v>45036</v>
      </c>
      <c r="C651" s="1" t="n">
        <v>45931</v>
      </c>
      <c r="D651" t="inlineStr">
        <is>
          <t>DALARNAS LÄN</t>
        </is>
      </c>
      <c r="E651" t="inlineStr">
        <is>
          <t>LEKSAND</t>
        </is>
      </c>
      <c r="G651" t="n">
        <v>3</v>
      </c>
      <c r="H651" t="n">
        <v>0</v>
      </c>
      <c r="I651" t="n">
        <v>0</v>
      </c>
      <c r="J651" t="n">
        <v>0</v>
      </c>
      <c r="K651" t="n">
        <v>0</v>
      </c>
      <c r="L651" t="n">
        <v>0</v>
      </c>
      <c r="M651" t="n">
        <v>0</v>
      </c>
      <c r="N651" t="n">
        <v>0</v>
      </c>
      <c r="O651" t="n">
        <v>0</v>
      </c>
      <c r="P651" t="n">
        <v>0</v>
      </c>
      <c r="Q651" t="n">
        <v>0</v>
      </c>
      <c r="R651" s="2" t="inlineStr"/>
    </row>
    <row r="652" ht="15" customHeight="1">
      <c r="A652" t="inlineStr">
        <is>
          <t>A 7395-2025</t>
        </is>
      </c>
      <c r="B652" s="1" t="n">
        <v>45705.34516203704</v>
      </c>
      <c r="C652" s="1" t="n">
        <v>45931</v>
      </c>
      <c r="D652" t="inlineStr">
        <is>
          <t>DALARNAS LÄN</t>
        </is>
      </c>
      <c r="E652" t="inlineStr">
        <is>
          <t>LEKSAND</t>
        </is>
      </c>
      <c r="G652" t="n">
        <v>1.8</v>
      </c>
      <c r="H652" t="n">
        <v>0</v>
      </c>
      <c r="I652" t="n">
        <v>0</v>
      </c>
      <c r="J652" t="n">
        <v>0</v>
      </c>
      <c r="K652" t="n">
        <v>0</v>
      </c>
      <c r="L652" t="n">
        <v>0</v>
      </c>
      <c r="M652" t="n">
        <v>0</v>
      </c>
      <c r="N652" t="n">
        <v>0</v>
      </c>
      <c r="O652" t="n">
        <v>0</v>
      </c>
      <c r="P652" t="n">
        <v>0</v>
      </c>
      <c r="Q652" t="n">
        <v>0</v>
      </c>
      <c r="R652" s="2" t="inlineStr"/>
    </row>
    <row r="653" ht="15" customHeight="1">
      <c r="A653" t="inlineStr">
        <is>
          <t>A 49397-2024</t>
        </is>
      </c>
      <c r="B653" s="1" t="n">
        <v>45595</v>
      </c>
      <c r="C653" s="1" t="n">
        <v>45931</v>
      </c>
      <c r="D653" t="inlineStr">
        <is>
          <t>DALARNAS LÄN</t>
        </is>
      </c>
      <c r="E653" t="inlineStr">
        <is>
          <t>LEKSAND</t>
        </is>
      </c>
      <c r="G653" t="n">
        <v>4.3</v>
      </c>
      <c r="H653" t="n">
        <v>0</v>
      </c>
      <c r="I653" t="n">
        <v>0</v>
      </c>
      <c r="J653" t="n">
        <v>0</v>
      </c>
      <c r="K653" t="n">
        <v>0</v>
      </c>
      <c r="L653" t="n">
        <v>0</v>
      </c>
      <c r="M653" t="n">
        <v>0</v>
      </c>
      <c r="N653" t="n">
        <v>0</v>
      </c>
      <c r="O653" t="n">
        <v>0</v>
      </c>
      <c r="P653" t="n">
        <v>0</v>
      </c>
      <c r="Q653" t="n">
        <v>0</v>
      </c>
      <c r="R653" s="2" t="inlineStr"/>
    </row>
    <row r="654" ht="15" customHeight="1">
      <c r="A654" t="inlineStr">
        <is>
          <t>A 43875-2025</t>
        </is>
      </c>
      <c r="B654" s="1" t="n">
        <v>45912.67685185185</v>
      </c>
      <c r="C654" s="1" t="n">
        <v>45931</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31971-2024</t>
        </is>
      </c>
      <c r="B655" s="1" t="n">
        <v>45510.55171296297</v>
      </c>
      <c r="C655" s="1" t="n">
        <v>45931</v>
      </c>
      <c r="D655" t="inlineStr">
        <is>
          <t>DALARNAS LÄN</t>
        </is>
      </c>
      <c r="E655" t="inlineStr">
        <is>
          <t>LEKSAND</t>
        </is>
      </c>
      <c r="G655" t="n">
        <v>0.7</v>
      </c>
      <c r="H655" t="n">
        <v>0</v>
      </c>
      <c r="I655" t="n">
        <v>0</v>
      </c>
      <c r="J655" t="n">
        <v>0</v>
      </c>
      <c r="K655" t="n">
        <v>0</v>
      </c>
      <c r="L655" t="n">
        <v>0</v>
      </c>
      <c r="M655" t="n">
        <v>0</v>
      </c>
      <c r="N655" t="n">
        <v>0</v>
      </c>
      <c r="O655" t="n">
        <v>0</v>
      </c>
      <c r="P655" t="n">
        <v>0</v>
      </c>
      <c r="Q655" t="n">
        <v>0</v>
      </c>
      <c r="R655" s="2" t="inlineStr"/>
    </row>
    <row r="656" ht="15" customHeight="1">
      <c r="A656" t="inlineStr">
        <is>
          <t>A 43630-2025</t>
        </is>
      </c>
      <c r="B656" s="1" t="n">
        <v>45911.70278935185</v>
      </c>
      <c r="C656" s="1" t="n">
        <v>45931</v>
      </c>
      <c r="D656" t="inlineStr">
        <is>
          <t>DALARNAS LÄN</t>
        </is>
      </c>
      <c r="E656" t="inlineStr">
        <is>
          <t>LEKSAND</t>
        </is>
      </c>
      <c r="G656" t="n">
        <v>4.7</v>
      </c>
      <c r="H656" t="n">
        <v>0</v>
      </c>
      <c r="I656" t="n">
        <v>0</v>
      </c>
      <c r="J656" t="n">
        <v>0</v>
      </c>
      <c r="K656" t="n">
        <v>0</v>
      </c>
      <c r="L656" t="n">
        <v>0</v>
      </c>
      <c r="M656" t="n">
        <v>0</v>
      </c>
      <c r="N656" t="n">
        <v>0</v>
      </c>
      <c r="O656" t="n">
        <v>0</v>
      </c>
      <c r="P656" t="n">
        <v>0</v>
      </c>
      <c r="Q656" t="n">
        <v>0</v>
      </c>
      <c r="R656" s="2" t="inlineStr"/>
    </row>
    <row r="657" ht="15" customHeight="1">
      <c r="A657" t="inlineStr">
        <is>
          <t>A 61546-2021</t>
        </is>
      </c>
      <c r="B657" s="1" t="n">
        <v>44501</v>
      </c>
      <c r="C657" s="1" t="n">
        <v>45931</v>
      </c>
      <c r="D657" t="inlineStr">
        <is>
          <t>DALARNAS LÄN</t>
        </is>
      </c>
      <c r="E657" t="inlineStr">
        <is>
          <t>LEKSAND</t>
        </is>
      </c>
      <c r="G657" t="n">
        <v>3</v>
      </c>
      <c r="H657" t="n">
        <v>0</v>
      </c>
      <c r="I657" t="n">
        <v>0</v>
      </c>
      <c r="J657" t="n">
        <v>0</v>
      </c>
      <c r="K657" t="n">
        <v>0</v>
      </c>
      <c r="L657" t="n">
        <v>0</v>
      </c>
      <c r="M657" t="n">
        <v>0</v>
      </c>
      <c r="N657" t="n">
        <v>0</v>
      </c>
      <c r="O657" t="n">
        <v>0</v>
      </c>
      <c r="P657" t="n">
        <v>0</v>
      </c>
      <c r="Q657" t="n">
        <v>0</v>
      </c>
      <c r="R657" s="2" t="inlineStr"/>
    </row>
    <row r="658" ht="15" customHeight="1">
      <c r="A658" t="inlineStr">
        <is>
          <t>A 41308-2025</t>
        </is>
      </c>
      <c r="B658" s="1" t="n">
        <v>45898</v>
      </c>
      <c r="C658" s="1" t="n">
        <v>45931</v>
      </c>
      <c r="D658" t="inlineStr">
        <is>
          <t>DALARNAS LÄN</t>
        </is>
      </c>
      <c r="E658" t="inlineStr">
        <is>
          <t>LEKSAND</t>
        </is>
      </c>
      <c r="F658" t="inlineStr">
        <is>
          <t>Bergvik skog väst AB</t>
        </is>
      </c>
      <c r="G658" t="n">
        <v>6.7</v>
      </c>
      <c r="H658" t="n">
        <v>0</v>
      </c>
      <c r="I658" t="n">
        <v>0</v>
      </c>
      <c r="J658" t="n">
        <v>0</v>
      </c>
      <c r="K658" t="n">
        <v>0</v>
      </c>
      <c r="L658" t="n">
        <v>0</v>
      </c>
      <c r="M658" t="n">
        <v>0</v>
      </c>
      <c r="N658" t="n">
        <v>0</v>
      </c>
      <c r="O658" t="n">
        <v>0</v>
      </c>
      <c r="P658" t="n">
        <v>0</v>
      </c>
      <c r="Q658" t="n">
        <v>0</v>
      </c>
      <c r="R658" s="2" t="inlineStr"/>
    </row>
    <row r="659" ht="15" customHeight="1">
      <c r="A659" t="inlineStr">
        <is>
          <t>A 43629-2025</t>
        </is>
      </c>
      <c r="B659" s="1" t="n">
        <v>45911.70180555555</v>
      </c>
      <c r="C659" s="1" t="n">
        <v>45931</v>
      </c>
      <c r="D659" t="inlineStr">
        <is>
          <t>DALARNAS LÄN</t>
        </is>
      </c>
      <c r="E659" t="inlineStr">
        <is>
          <t>LEKSAND</t>
        </is>
      </c>
      <c r="G659" t="n">
        <v>2.1</v>
      </c>
      <c r="H659" t="n">
        <v>0</v>
      </c>
      <c r="I659" t="n">
        <v>0</v>
      </c>
      <c r="J659" t="n">
        <v>0</v>
      </c>
      <c r="K659" t="n">
        <v>0</v>
      </c>
      <c r="L659" t="n">
        <v>0</v>
      </c>
      <c r="M659" t="n">
        <v>0</v>
      </c>
      <c r="N659" t="n">
        <v>0</v>
      </c>
      <c r="O659" t="n">
        <v>0</v>
      </c>
      <c r="P659" t="n">
        <v>0</v>
      </c>
      <c r="Q659" t="n">
        <v>0</v>
      </c>
      <c r="R659" s="2" t="inlineStr"/>
    </row>
    <row r="660" ht="15" customHeight="1">
      <c r="A660" t="inlineStr">
        <is>
          <t>A 6027-2025</t>
        </is>
      </c>
      <c r="B660" s="1" t="n">
        <v>45695</v>
      </c>
      <c r="C660" s="1" t="n">
        <v>45931</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164-2023</t>
        </is>
      </c>
      <c r="B661" s="1" t="n">
        <v>44918</v>
      </c>
      <c r="C661" s="1" t="n">
        <v>45931</v>
      </c>
      <c r="D661" t="inlineStr">
        <is>
          <t>DALARNAS LÄN</t>
        </is>
      </c>
      <c r="E661" t="inlineStr">
        <is>
          <t>LEKSAND</t>
        </is>
      </c>
      <c r="G661" t="n">
        <v>0.7</v>
      </c>
      <c r="H661" t="n">
        <v>0</v>
      </c>
      <c r="I661" t="n">
        <v>0</v>
      </c>
      <c r="J661" t="n">
        <v>0</v>
      </c>
      <c r="K661" t="n">
        <v>0</v>
      </c>
      <c r="L661" t="n">
        <v>0</v>
      </c>
      <c r="M661" t="n">
        <v>0</v>
      </c>
      <c r="N661" t="n">
        <v>0</v>
      </c>
      <c r="O661" t="n">
        <v>0</v>
      </c>
      <c r="P661" t="n">
        <v>0</v>
      </c>
      <c r="Q661" t="n">
        <v>0</v>
      </c>
      <c r="R661" s="2" t="inlineStr"/>
    </row>
    <row r="662" ht="15" customHeight="1">
      <c r="A662" t="inlineStr">
        <is>
          <t>A 7653-2025</t>
        </is>
      </c>
      <c r="B662" s="1" t="n">
        <v>45705.95238425926</v>
      </c>
      <c r="C662" s="1" t="n">
        <v>45931</v>
      </c>
      <c r="D662" t="inlineStr">
        <is>
          <t>DALARNAS LÄN</t>
        </is>
      </c>
      <c r="E662" t="inlineStr">
        <is>
          <t>LEKSAND</t>
        </is>
      </c>
      <c r="G662" t="n">
        <v>0.8</v>
      </c>
      <c r="H662" t="n">
        <v>0</v>
      </c>
      <c r="I662" t="n">
        <v>0</v>
      </c>
      <c r="J662" t="n">
        <v>0</v>
      </c>
      <c r="K662" t="n">
        <v>0</v>
      </c>
      <c r="L662" t="n">
        <v>0</v>
      </c>
      <c r="M662" t="n">
        <v>0</v>
      </c>
      <c r="N662" t="n">
        <v>0</v>
      </c>
      <c r="O662" t="n">
        <v>0</v>
      </c>
      <c r="P662" t="n">
        <v>0</v>
      </c>
      <c r="Q662" t="n">
        <v>0</v>
      </c>
      <c r="R662" s="2" t="inlineStr"/>
    </row>
    <row r="663" ht="15" customHeight="1">
      <c r="A663" t="inlineStr">
        <is>
          <t>A 44516-2025</t>
        </is>
      </c>
      <c r="B663" s="1" t="n">
        <v>45916.70982638889</v>
      </c>
      <c r="C663" s="1" t="n">
        <v>45931</v>
      </c>
      <c r="D663" t="inlineStr">
        <is>
          <t>DALARNAS LÄN</t>
        </is>
      </c>
      <c r="E663" t="inlineStr">
        <is>
          <t>LEKSAND</t>
        </is>
      </c>
      <c r="G663" t="n">
        <v>1.8</v>
      </c>
      <c r="H663" t="n">
        <v>0</v>
      </c>
      <c r="I663" t="n">
        <v>0</v>
      </c>
      <c r="J663" t="n">
        <v>0</v>
      </c>
      <c r="K663" t="n">
        <v>0</v>
      </c>
      <c r="L663" t="n">
        <v>0</v>
      </c>
      <c r="M663" t="n">
        <v>0</v>
      </c>
      <c r="N663" t="n">
        <v>0</v>
      </c>
      <c r="O663" t="n">
        <v>0</v>
      </c>
      <c r="P663" t="n">
        <v>0</v>
      </c>
      <c r="Q663" t="n">
        <v>0</v>
      </c>
      <c r="R663" s="2" t="inlineStr"/>
    </row>
    <row r="664" ht="15" customHeight="1">
      <c r="A664" t="inlineStr">
        <is>
          <t>A 41853-2023</t>
        </is>
      </c>
      <c r="B664" s="1" t="n">
        <v>45176.62483796296</v>
      </c>
      <c r="C664" s="1" t="n">
        <v>45931</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51677-2024</t>
        </is>
      </c>
      <c r="B665" s="1" t="n">
        <v>45607.30265046296</v>
      </c>
      <c r="C665" s="1" t="n">
        <v>45931</v>
      </c>
      <c r="D665" t="inlineStr">
        <is>
          <t>DALARNAS LÄN</t>
        </is>
      </c>
      <c r="E665" t="inlineStr">
        <is>
          <t>LEKSAND</t>
        </is>
      </c>
      <c r="G665" t="n">
        <v>3.4</v>
      </c>
      <c r="H665" t="n">
        <v>0</v>
      </c>
      <c r="I665" t="n">
        <v>0</v>
      </c>
      <c r="J665" t="n">
        <v>0</v>
      </c>
      <c r="K665" t="n">
        <v>0</v>
      </c>
      <c r="L665" t="n">
        <v>0</v>
      </c>
      <c r="M665" t="n">
        <v>0</v>
      </c>
      <c r="N665" t="n">
        <v>0</v>
      </c>
      <c r="O665" t="n">
        <v>0</v>
      </c>
      <c r="P665" t="n">
        <v>0</v>
      </c>
      <c r="Q665" t="n">
        <v>0</v>
      </c>
      <c r="R665" s="2" t="inlineStr"/>
    </row>
    <row r="666" ht="15" customHeight="1">
      <c r="A666" t="inlineStr">
        <is>
          <t>A 62116-2024</t>
        </is>
      </c>
      <c r="B666" s="1" t="n">
        <v>45646</v>
      </c>
      <c r="C666" s="1" t="n">
        <v>45931</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44519-2025</t>
        </is>
      </c>
      <c r="B667" s="1" t="n">
        <v>45916.71483796297</v>
      </c>
      <c r="C667" s="1" t="n">
        <v>45931</v>
      </c>
      <c r="D667" t="inlineStr">
        <is>
          <t>DALARNAS LÄN</t>
        </is>
      </c>
      <c r="E667" t="inlineStr">
        <is>
          <t>LEKSAND</t>
        </is>
      </c>
      <c r="G667" t="n">
        <v>3.6</v>
      </c>
      <c r="H667" t="n">
        <v>0</v>
      </c>
      <c r="I667" t="n">
        <v>0</v>
      </c>
      <c r="J667" t="n">
        <v>0</v>
      </c>
      <c r="K667" t="n">
        <v>0</v>
      </c>
      <c r="L667" t="n">
        <v>0</v>
      </c>
      <c r="M667" t="n">
        <v>0</v>
      </c>
      <c r="N667" t="n">
        <v>0</v>
      </c>
      <c r="O667" t="n">
        <v>0</v>
      </c>
      <c r="P667" t="n">
        <v>0</v>
      </c>
      <c r="Q667" t="n">
        <v>0</v>
      </c>
      <c r="R667" s="2" t="inlineStr"/>
    </row>
    <row r="668" ht="15" customHeight="1">
      <c r="A668" t="inlineStr">
        <is>
          <t>A 53717-2023</t>
        </is>
      </c>
      <c r="B668" s="1" t="n">
        <v>45230</v>
      </c>
      <c r="C668" s="1" t="n">
        <v>45931</v>
      </c>
      <c r="D668" t="inlineStr">
        <is>
          <t>DALARNAS LÄN</t>
        </is>
      </c>
      <c r="E668" t="inlineStr">
        <is>
          <t>LEKSAND</t>
        </is>
      </c>
      <c r="G668" t="n">
        <v>2.4</v>
      </c>
      <c r="H668" t="n">
        <v>0</v>
      </c>
      <c r="I668" t="n">
        <v>0</v>
      </c>
      <c r="J668" t="n">
        <v>0</v>
      </c>
      <c r="K668" t="n">
        <v>0</v>
      </c>
      <c r="L668" t="n">
        <v>0</v>
      </c>
      <c r="M668" t="n">
        <v>0</v>
      </c>
      <c r="N668" t="n">
        <v>0</v>
      </c>
      <c r="O668" t="n">
        <v>0</v>
      </c>
      <c r="P668" t="n">
        <v>0</v>
      </c>
      <c r="Q668" t="n">
        <v>0</v>
      </c>
      <c r="R668" s="2" t="inlineStr"/>
    </row>
    <row r="669" ht="15" customHeight="1">
      <c r="A669" t="inlineStr">
        <is>
          <t>A 15986-2025</t>
        </is>
      </c>
      <c r="B669" s="1" t="n">
        <v>45749.57331018519</v>
      </c>
      <c r="C669" s="1" t="n">
        <v>45931</v>
      </c>
      <c r="D669" t="inlineStr">
        <is>
          <t>DALARNAS LÄN</t>
        </is>
      </c>
      <c r="E669" t="inlineStr">
        <is>
          <t>LEKSAND</t>
        </is>
      </c>
      <c r="G669" t="n">
        <v>2.7</v>
      </c>
      <c r="H669" t="n">
        <v>0</v>
      </c>
      <c r="I669" t="n">
        <v>0</v>
      </c>
      <c r="J669" t="n">
        <v>0</v>
      </c>
      <c r="K669" t="n">
        <v>0</v>
      </c>
      <c r="L669" t="n">
        <v>0</v>
      </c>
      <c r="M669" t="n">
        <v>0</v>
      </c>
      <c r="N669" t="n">
        <v>0</v>
      </c>
      <c r="O669" t="n">
        <v>0</v>
      </c>
      <c r="P669" t="n">
        <v>0</v>
      </c>
      <c r="Q669" t="n">
        <v>0</v>
      </c>
      <c r="R669" s="2" t="inlineStr"/>
    </row>
    <row r="670" ht="15" customHeight="1">
      <c r="A670" t="inlineStr">
        <is>
          <t>A 44237-2025</t>
        </is>
      </c>
      <c r="B670" s="1" t="n">
        <v>45915.6677199074</v>
      </c>
      <c r="C670" s="1" t="n">
        <v>45931</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43470-2024</t>
        </is>
      </c>
      <c r="B671" s="1" t="n">
        <v>45568</v>
      </c>
      <c r="C671" s="1" t="n">
        <v>45931</v>
      </c>
      <c r="D671" t="inlineStr">
        <is>
          <t>DALARNAS LÄN</t>
        </is>
      </c>
      <c r="E671" t="inlineStr">
        <is>
          <t>LEKSAND</t>
        </is>
      </c>
      <c r="G671" t="n">
        <v>3.1</v>
      </c>
      <c r="H671" t="n">
        <v>0</v>
      </c>
      <c r="I671" t="n">
        <v>0</v>
      </c>
      <c r="J671" t="n">
        <v>0</v>
      </c>
      <c r="K671" t="n">
        <v>0</v>
      </c>
      <c r="L671" t="n">
        <v>0</v>
      </c>
      <c r="M671" t="n">
        <v>0</v>
      </c>
      <c r="N671" t="n">
        <v>0</v>
      </c>
      <c r="O671" t="n">
        <v>0</v>
      </c>
      <c r="P671" t="n">
        <v>0</v>
      </c>
      <c r="Q671" t="n">
        <v>0</v>
      </c>
      <c r="R671" s="2" t="inlineStr"/>
    </row>
    <row r="672" ht="15" customHeight="1">
      <c r="A672" t="inlineStr">
        <is>
          <t>A 62295-2023</t>
        </is>
      </c>
      <c r="B672" s="1" t="n">
        <v>45267</v>
      </c>
      <c r="C672" s="1" t="n">
        <v>45931</v>
      </c>
      <c r="D672" t="inlineStr">
        <is>
          <t>DALARNAS LÄN</t>
        </is>
      </c>
      <c r="E672" t="inlineStr">
        <is>
          <t>LEKSAND</t>
        </is>
      </c>
      <c r="G672" t="n">
        <v>2.5</v>
      </c>
      <c r="H672" t="n">
        <v>0</v>
      </c>
      <c r="I672" t="n">
        <v>0</v>
      </c>
      <c r="J672" t="n">
        <v>0</v>
      </c>
      <c r="K672" t="n">
        <v>0</v>
      </c>
      <c r="L672" t="n">
        <v>0</v>
      </c>
      <c r="M672" t="n">
        <v>0</v>
      </c>
      <c r="N672" t="n">
        <v>0</v>
      </c>
      <c r="O672" t="n">
        <v>0</v>
      </c>
      <c r="P672" t="n">
        <v>0</v>
      </c>
      <c r="Q672" t="n">
        <v>0</v>
      </c>
      <c r="R672" s="2" t="inlineStr"/>
    </row>
    <row r="673" ht="15" customHeight="1">
      <c r="A673" t="inlineStr">
        <is>
          <t>A 10771-2024</t>
        </is>
      </c>
      <c r="B673" s="1" t="n">
        <v>45369.57342592593</v>
      </c>
      <c r="C673" s="1" t="n">
        <v>45931</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60873-2023</t>
        </is>
      </c>
      <c r="B674" s="1" t="n">
        <v>45261.03266203704</v>
      </c>
      <c r="C674" s="1" t="n">
        <v>45931</v>
      </c>
      <c r="D674" t="inlineStr">
        <is>
          <t>DALARNAS LÄN</t>
        </is>
      </c>
      <c r="E674" t="inlineStr">
        <is>
          <t>LEKSAND</t>
        </is>
      </c>
      <c r="G674" t="n">
        <v>5.2</v>
      </c>
      <c r="H674" t="n">
        <v>0</v>
      </c>
      <c r="I674" t="n">
        <v>0</v>
      </c>
      <c r="J674" t="n">
        <v>0</v>
      </c>
      <c r="K674" t="n">
        <v>0</v>
      </c>
      <c r="L674" t="n">
        <v>0</v>
      </c>
      <c r="M674" t="n">
        <v>0</v>
      </c>
      <c r="N674" t="n">
        <v>0</v>
      </c>
      <c r="O674" t="n">
        <v>0</v>
      </c>
      <c r="P674" t="n">
        <v>0</v>
      </c>
      <c r="Q674" t="n">
        <v>0</v>
      </c>
      <c r="R674" s="2" t="inlineStr"/>
    </row>
    <row r="675" ht="15" customHeight="1">
      <c r="A675" t="inlineStr">
        <is>
          <t>A 54914-2024</t>
        </is>
      </c>
      <c r="B675" s="1" t="n">
        <v>45618.69380787037</v>
      </c>
      <c r="C675" s="1" t="n">
        <v>45931</v>
      </c>
      <c r="D675" t="inlineStr">
        <is>
          <t>DALARNAS LÄN</t>
        </is>
      </c>
      <c r="E675" t="inlineStr">
        <is>
          <t>LEKSAND</t>
        </is>
      </c>
      <c r="G675" t="n">
        <v>1.7</v>
      </c>
      <c r="H675" t="n">
        <v>0</v>
      </c>
      <c r="I675" t="n">
        <v>0</v>
      </c>
      <c r="J675" t="n">
        <v>0</v>
      </c>
      <c r="K675" t="n">
        <v>0</v>
      </c>
      <c r="L675" t="n">
        <v>0</v>
      </c>
      <c r="M675" t="n">
        <v>0</v>
      </c>
      <c r="N675" t="n">
        <v>0</v>
      </c>
      <c r="O675" t="n">
        <v>0</v>
      </c>
      <c r="P675" t="n">
        <v>0</v>
      </c>
      <c r="Q675" t="n">
        <v>0</v>
      </c>
      <c r="R675" s="2" t="inlineStr"/>
    </row>
    <row r="676" ht="15" customHeight="1">
      <c r="A676" t="inlineStr">
        <is>
          <t>A 167-2023</t>
        </is>
      </c>
      <c r="B676" s="1" t="n">
        <v>44918</v>
      </c>
      <c r="C676" s="1" t="n">
        <v>45931</v>
      </c>
      <c r="D676" t="inlineStr">
        <is>
          <t>DALARNAS LÄN</t>
        </is>
      </c>
      <c r="E676" t="inlineStr">
        <is>
          <t>LEKSAND</t>
        </is>
      </c>
      <c r="G676" t="n">
        <v>0.5</v>
      </c>
      <c r="H676" t="n">
        <v>0</v>
      </c>
      <c r="I676" t="n">
        <v>0</v>
      </c>
      <c r="J676" t="n">
        <v>0</v>
      </c>
      <c r="K676" t="n">
        <v>0</v>
      </c>
      <c r="L676" t="n">
        <v>0</v>
      </c>
      <c r="M676" t="n">
        <v>0</v>
      </c>
      <c r="N676" t="n">
        <v>0</v>
      </c>
      <c r="O676" t="n">
        <v>0</v>
      </c>
      <c r="P676" t="n">
        <v>0</v>
      </c>
      <c r="Q676" t="n">
        <v>0</v>
      </c>
      <c r="R676" s="2" t="inlineStr"/>
    </row>
    <row r="677" ht="15" customHeight="1">
      <c r="A677" t="inlineStr">
        <is>
          <t>A 56950-2024</t>
        </is>
      </c>
      <c r="B677" s="1" t="n">
        <v>45625</v>
      </c>
      <c r="C677" s="1" t="n">
        <v>45931</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44672-2025</t>
        </is>
      </c>
      <c r="B678" s="1" t="n">
        <v>45917.56780092593</v>
      </c>
      <c r="C678" s="1" t="n">
        <v>45931</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9938-2023</t>
        </is>
      </c>
      <c r="B679" s="1" t="n">
        <v>44985</v>
      </c>
      <c r="C679" s="1" t="n">
        <v>45931</v>
      </c>
      <c r="D679" t="inlineStr">
        <is>
          <t>DALARNAS LÄN</t>
        </is>
      </c>
      <c r="E679" t="inlineStr">
        <is>
          <t>LEKSAND</t>
        </is>
      </c>
      <c r="G679" t="n">
        <v>3.1</v>
      </c>
      <c r="H679" t="n">
        <v>0</v>
      </c>
      <c r="I679" t="n">
        <v>0</v>
      </c>
      <c r="J679" t="n">
        <v>0</v>
      </c>
      <c r="K679" t="n">
        <v>0</v>
      </c>
      <c r="L679" t="n">
        <v>0</v>
      </c>
      <c r="M679" t="n">
        <v>0</v>
      </c>
      <c r="N679" t="n">
        <v>0</v>
      </c>
      <c r="O679" t="n">
        <v>0</v>
      </c>
      <c r="P679" t="n">
        <v>0</v>
      </c>
      <c r="Q679" t="n">
        <v>0</v>
      </c>
      <c r="R679" s="2" t="inlineStr"/>
    </row>
    <row r="680" ht="15" customHeight="1">
      <c r="A680" t="inlineStr">
        <is>
          <t>A 59103-2024</t>
        </is>
      </c>
      <c r="B680" s="1" t="n">
        <v>45637.34184027778</v>
      </c>
      <c r="C680" s="1" t="n">
        <v>45931</v>
      </c>
      <c r="D680" t="inlineStr">
        <is>
          <t>DALARNAS LÄN</t>
        </is>
      </c>
      <c r="E680" t="inlineStr">
        <is>
          <t>LEKSAND</t>
        </is>
      </c>
      <c r="G680" t="n">
        <v>1.5</v>
      </c>
      <c r="H680" t="n">
        <v>0</v>
      </c>
      <c r="I680" t="n">
        <v>0</v>
      </c>
      <c r="J680" t="n">
        <v>0</v>
      </c>
      <c r="K680" t="n">
        <v>0</v>
      </c>
      <c r="L680" t="n">
        <v>0</v>
      </c>
      <c r="M680" t="n">
        <v>0</v>
      </c>
      <c r="N680" t="n">
        <v>0</v>
      </c>
      <c r="O680" t="n">
        <v>0</v>
      </c>
      <c r="P680" t="n">
        <v>0</v>
      </c>
      <c r="Q680" t="n">
        <v>0</v>
      </c>
      <c r="R680" s="2" t="inlineStr"/>
    </row>
    <row r="681" ht="15" customHeight="1">
      <c r="A681" t="inlineStr">
        <is>
          <t>A 70099-2021</t>
        </is>
      </c>
      <c r="B681" s="1" t="n">
        <v>44533</v>
      </c>
      <c r="C681" s="1" t="n">
        <v>45931</v>
      </c>
      <c r="D681" t="inlineStr">
        <is>
          <t>DALARNAS LÄN</t>
        </is>
      </c>
      <c r="E681" t="inlineStr">
        <is>
          <t>LEKSAND</t>
        </is>
      </c>
      <c r="G681" t="n">
        <v>2.8</v>
      </c>
      <c r="H681" t="n">
        <v>0</v>
      </c>
      <c r="I681" t="n">
        <v>0</v>
      </c>
      <c r="J681" t="n">
        <v>0</v>
      </c>
      <c r="K681" t="n">
        <v>0</v>
      </c>
      <c r="L681" t="n">
        <v>0</v>
      </c>
      <c r="M681" t="n">
        <v>0</v>
      </c>
      <c r="N681" t="n">
        <v>0</v>
      </c>
      <c r="O681" t="n">
        <v>0</v>
      </c>
      <c r="P681" t="n">
        <v>0</v>
      </c>
      <c r="Q681" t="n">
        <v>0</v>
      </c>
      <c r="R681" s="2" t="inlineStr"/>
    </row>
    <row r="682" ht="15" customHeight="1">
      <c r="A682" t="inlineStr">
        <is>
          <t>A 13401-2023</t>
        </is>
      </c>
      <c r="B682" s="1" t="n">
        <v>45005</v>
      </c>
      <c r="C682" s="1" t="n">
        <v>45931</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60113-2022</t>
        </is>
      </c>
      <c r="B683" s="1" t="n">
        <v>44909</v>
      </c>
      <c r="C683" s="1" t="n">
        <v>45931</v>
      </c>
      <c r="D683" t="inlineStr">
        <is>
          <t>DALARNAS LÄN</t>
        </is>
      </c>
      <c r="E683" t="inlineStr">
        <is>
          <t>LEKSAND</t>
        </is>
      </c>
      <c r="G683" t="n">
        <v>3.7</v>
      </c>
      <c r="H683" t="n">
        <v>0</v>
      </c>
      <c r="I683" t="n">
        <v>0</v>
      </c>
      <c r="J683" t="n">
        <v>0</v>
      </c>
      <c r="K683" t="n">
        <v>0</v>
      </c>
      <c r="L683" t="n">
        <v>0</v>
      </c>
      <c r="M683" t="n">
        <v>0</v>
      </c>
      <c r="N683" t="n">
        <v>0</v>
      </c>
      <c r="O683" t="n">
        <v>0</v>
      </c>
      <c r="P683" t="n">
        <v>0</v>
      </c>
      <c r="Q683" t="n">
        <v>0</v>
      </c>
      <c r="R683" s="2" t="inlineStr"/>
    </row>
    <row r="684" ht="15" customHeight="1">
      <c r="A684" t="inlineStr">
        <is>
          <t>A 44948-2025</t>
        </is>
      </c>
      <c r="B684" s="1" t="n">
        <v>45918.60555555556</v>
      </c>
      <c r="C684" s="1" t="n">
        <v>45931</v>
      </c>
      <c r="D684" t="inlineStr">
        <is>
          <t>DALARNAS LÄN</t>
        </is>
      </c>
      <c r="E684" t="inlineStr">
        <is>
          <t>LEKSAND</t>
        </is>
      </c>
      <c r="G684" t="n">
        <v>5.1</v>
      </c>
      <c r="H684" t="n">
        <v>0</v>
      </c>
      <c r="I684" t="n">
        <v>0</v>
      </c>
      <c r="J684" t="n">
        <v>0</v>
      </c>
      <c r="K684" t="n">
        <v>0</v>
      </c>
      <c r="L684" t="n">
        <v>0</v>
      </c>
      <c r="M684" t="n">
        <v>0</v>
      </c>
      <c r="N684" t="n">
        <v>0</v>
      </c>
      <c r="O684" t="n">
        <v>0</v>
      </c>
      <c r="P684" t="n">
        <v>0</v>
      </c>
      <c r="Q684" t="n">
        <v>0</v>
      </c>
      <c r="R684" s="2" t="inlineStr"/>
    </row>
    <row r="685" ht="15" customHeight="1">
      <c r="A685" t="inlineStr">
        <is>
          <t>A 15173-2025</t>
        </is>
      </c>
      <c r="B685" s="1" t="n">
        <v>45744.50858796296</v>
      </c>
      <c r="C685" s="1" t="n">
        <v>45931</v>
      </c>
      <c r="D685" t="inlineStr">
        <is>
          <t>DALARNAS LÄN</t>
        </is>
      </c>
      <c r="E685" t="inlineStr">
        <is>
          <t>LEKSAND</t>
        </is>
      </c>
      <c r="G685" t="n">
        <v>0.3</v>
      </c>
      <c r="H685" t="n">
        <v>0</v>
      </c>
      <c r="I685" t="n">
        <v>0</v>
      </c>
      <c r="J685" t="n">
        <v>0</v>
      </c>
      <c r="K685" t="n">
        <v>0</v>
      </c>
      <c r="L685" t="n">
        <v>0</v>
      </c>
      <c r="M685" t="n">
        <v>0</v>
      </c>
      <c r="N685" t="n">
        <v>0</v>
      </c>
      <c r="O685" t="n">
        <v>0</v>
      </c>
      <c r="P685" t="n">
        <v>0</v>
      </c>
      <c r="Q685" t="n">
        <v>0</v>
      </c>
      <c r="R685" s="2" t="inlineStr"/>
    </row>
    <row r="686" ht="15" customHeight="1">
      <c r="A686" t="inlineStr">
        <is>
          <t>A 30611-2023</t>
        </is>
      </c>
      <c r="B686" s="1" t="n">
        <v>45112</v>
      </c>
      <c r="C686" s="1" t="n">
        <v>45931</v>
      </c>
      <c r="D686" t="inlineStr">
        <is>
          <t>DALARNAS LÄN</t>
        </is>
      </c>
      <c r="E686" t="inlineStr">
        <is>
          <t>LEKSAND</t>
        </is>
      </c>
      <c r="G686" t="n">
        <v>3.1</v>
      </c>
      <c r="H686" t="n">
        <v>0</v>
      </c>
      <c r="I686" t="n">
        <v>0</v>
      </c>
      <c r="J686" t="n">
        <v>0</v>
      </c>
      <c r="K686" t="n">
        <v>0</v>
      </c>
      <c r="L686" t="n">
        <v>0</v>
      </c>
      <c r="M686" t="n">
        <v>0</v>
      </c>
      <c r="N686" t="n">
        <v>0</v>
      </c>
      <c r="O686" t="n">
        <v>0</v>
      </c>
      <c r="P686" t="n">
        <v>0</v>
      </c>
      <c r="Q686" t="n">
        <v>0</v>
      </c>
      <c r="R686" s="2" t="inlineStr"/>
    </row>
    <row r="687" ht="15" customHeight="1">
      <c r="A687" t="inlineStr">
        <is>
          <t>A 31254-2023</t>
        </is>
      </c>
      <c r="B687" s="1" t="n">
        <v>45114</v>
      </c>
      <c r="C687" s="1" t="n">
        <v>45931</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62306-2023</t>
        </is>
      </c>
      <c r="B688" s="1" t="n">
        <v>45266</v>
      </c>
      <c r="C688" s="1" t="n">
        <v>45931</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30175-2023</t>
        </is>
      </c>
      <c r="B689" s="1" t="n">
        <v>45110</v>
      </c>
      <c r="C689" s="1" t="n">
        <v>45931</v>
      </c>
      <c r="D689" t="inlineStr">
        <is>
          <t>DALARNAS LÄN</t>
        </is>
      </c>
      <c r="E689" t="inlineStr">
        <is>
          <t>LEKSAND</t>
        </is>
      </c>
      <c r="G689" t="n">
        <v>0.5</v>
      </c>
      <c r="H689" t="n">
        <v>0</v>
      </c>
      <c r="I689" t="n">
        <v>0</v>
      </c>
      <c r="J689" t="n">
        <v>0</v>
      </c>
      <c r="K689" t="n">
        <v>0</v>
      </c>
      <c r="L689" t="n">
        <v>0</v>
      </c>
      <c r="M689" t="n">
        <v>0</v>
      </c>
      <c r="N689" t="n">
        <v>0</v>
      </c>
      <c r="O689" t="n">
        <v>0</v>
      </c>
      <c r="P689" t="n">
        <v>0</v>
      </c>
      <c r="Q689" t="n">
        <v>0</v>
      </c>
      <c r="R689" s="2" t="inlineStr"/>
    </row>
    <row r="690" ht="15" customHeight="1">
      <c r="A690" t="inlineStr">
        <is>
          <t>A 28921-2023</t>
        </is>
      </c>
      <c r="B690" s="1" t="n">
        <v>45104</v>
      </c>
      <c r="C690" s="1" t="n">
        <v>45931</v>
      </c>
      <c r="D690" t="inlineStr">
        <is>
          <t>DALARNAS LÄN</t>
        </is>
      </c>
      <c r="E690" t="inlineStr">
        <is>
          <t>LEKSAND</t>
        </is>
      </c>
      <c r="G690" t="n">
        <v>4.4</v>
      </c>
      <c r="H690" t="n">
        <v>0</v>
      </c>
      <c r="I690" t="n">
        <v>0</v>
      </c>
      <c r="J690" t="n">
        <v>0</v>
      </c>
      <c r="K690" t="n">
        <v>0</v>
      </c>
      <c r="L690" t="n">
        <v>0</v>
      </c>
      <c r="M690" t="n">
        <v>0</v>
      </c>
      <c r="N690" t="n">
        <v>0</v>
      </c>
      <c r="O690" t="n">
        <v>0</v>
      </c>
      <c r="P690" t="n">
        <v>0</v>
      </c>
      <c r="Q690" t="n">
        <v>0</v>
      </c>
      <c r="R690" s="2" t="inlineStr"/>
    </row>
    <row r="691" ht="15" customHeight="1">
      <c r="A691" t="inlineStr">
        <is>
          <t>A 37508-2025</t>
        </is>
      </c>
      <c r="B691" s="1" t="n">
        <v>45877.66282407408</v>
      </c>
      <c r="C691" s="1" t="n">
        <v>45931</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8940-2023</t>
        </is>
      </c>
      <c r="B692" s="1" t="n">
        <v>44974</v>
      </c>
      <c r="C692" s="1" t="n">
        <v>45931</v>
      </c>
      <c r="D692" t="inlineStr">
        <is>
          <t>DALARNAS LÄN</t>
        </is>
      </c>
      <c r="E692" t="inlineStr">
        <is>
          <t>LEKSAND</t>
        </is>
      </c>
      <c r="G692" t="n">
        <v>1.5</v>
      </c>
      <c r="H692" t="n">
        <v>0</v>
      </c>
      <c r="I692" t="n">
        <v>0</v>
      </c>
      <c r="J692" t="n">
        <v>0</v>
      </c>
      <c r="K692" t="n">
        <v>0</v>
      </c>
      <c r="L692" t="n">
        <v>0</v>
      </c>
      <c r="M692" t="n">
        <v>0</v>
      </c>
      <c r="N692" t="n">
        <v>0</v>
      </c>
      <c r="O692" t="n">
        <v>0</v>
      </c>
      <c r="P692" t="n">
        <v>0</v>
      </c>
      <c r="Q692" t="n">
        <v>0</v>
      </c>
      <c r="R692" s="2" t="inlineStr"/>
    </row>
    <row r="693" ht="15" customHeight="1">
      <c r="A693" t="inlineStr">
        <is>
          <t>A 9459-2023</t>
        </is>
      </c>
      <c r="B693" s="1" t="n">
        <v>44977</v>
      </c>
      <c r="C693" s="1" t="n">
        <v>45931</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56941-2024</t>
        </is>
      </c>
      <c r="B694" s="1" t="n">
        <v>45625</v>
      </c>
      <c r="C694" s="1" t="n">
        <v>45931</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45101-2025</t>
        </is>
      </c>
      <c r="B695" s="1" t="n">
        <v>45919.39679398148</v>
      </c>
      <c r="C695" s="1" t="n">
        <v>45931</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48721-2023</t>
        </is>
      </c>
      <c r="B696" s="1" t="n">
        <v>45203</v>
      </c>
      <c r="C696" s="1" t="n">
        <v>45931</v>
      </c>
      <c r="D696" t="inlineStr">
        <is>
          <t>DALARNAS LÄN</t>
        </is>
      </c>
      <c r="E696" t="inlineStr">
        <is>
          <t>LEKSAND</t>
        </is>
      </c>
      <c r="G696" t="n">
        <v>2.9</v>
      </c>
      <c r="H696" t="n">
        <v>0</v>
      </c>
      <c r="I696" t="n">
        <v>0</v>
      </c>
      <c r="J696" t="n">
        <v>0</v>
      </c>
      <c r="K696" t="n">
        <v>0</v>
      </c>
      <c r="L696" t="n">
        <v>0</v>
      </c>
      <c r="M696" t="n">
        <v>0</v>
      </c>
      <c r="N696" t="n">
        <v>0</v>
      </c>
      <c r="O696" t="n">
        <v>0</v>
      </c>
      <c r="P696" t="n">
        <v>0</v>
      </c>
      <c r="Q696" t="n">
        <v>0</v>
      </c>
      <c r="R696" s="2" t="inlineStr"/>
    </row>
    <row r="697" ht="15" customHeight="1">
      <c r="A697" t="inlineStr">
        <is>
          <t>A 45300-2025</t>
        </is>
      </c>
      <c r="B697" s="1" t="n">
        <v>45921.30490740741</v>
      </c>
      <c r="C697" s="1" t="n">
        <v>45931</v>
      </c>
      <c r="D697" t="inlineStr">
        <is>
          <t>DALARNAS LÄN</t>
        </is>
      </c>
      <c r="E697" t="inlineStr">
        <is>
          <t>LEKSAND</t>
        </is>
      </c>
      <c r="G697" t="n">
        <v>2.3</v>
      </c>
      <c r="H697" t="n">
        <v>0</v>
      </c>
      <c r="I697" t="n">
        <v>0</v>
      </c>
      <c r="J697" t="n">
        <v>0</v>
      </c>
      <c r="K697" t="n">
        <v>0</v>
      </c>
      <c r="L697" t="n">
        <v>0</v>
      </c>
      <c r="M697" t="n">
        <v>0</v>
      </c>
      <c r="N697" t="n">
        <v>0</v>
      </c>
      <c r="O697" t="n">
        <v>0</v>
      </c>
      <c r="P697" t="n">
        <v>0</v>
      </c>
      <c r="Q697" t="n">
        <v>0</v>
      </c>
      <c r="R697" s="2" t="inlineStr"/>
    </row>
    <row r="698" ht="15" customHeight="1">
      <c r="A698" t="inlineStr">
        <is>
          <t>A 45318-2025</t>
        </is>
      </c>
      <c r="B698" s="1" t="n">
        <v>45921.85230324074</v>
      </c>
      <c r="C698" s="1" t="n">
        <v>45931</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45381-2025</t>
        </is>
      </c>
      <c r="B699" s="1" t="n">
        <v>45922.39989583333</v>
      </c>
      <c r="C699" s="1" t="n">
        <v>45931</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33463-2023</t>
        </is>
      </c>
      <c r="B700" s="1" t="n">
        <v>45131</v>
      </c>
      <c r="C700" s="1" t="n">
        <v>45931</v>
      </c>
      <c r="D700" t="inlineStr">
        <is>
          <t>DALARNAS LÄN</t>
        </is>
      </c>
      <c r="E700" t="inlineStr">
        <is>
          <t>LEKSAND</t>
        </is>
      </c>
      <c r="G700" t="n">
        <v>0.7</v>
      </c>
      <c r="H700" t="n">
        <v>0</v>
      </c>
      <c r="I700" t="n">
        <v>0</v>
      </c>
      <c r="J700" t="n">
        <v>0</v>
      </c>
      <c r="K700" t="n">
        <v>0</v>
      </c>
      <c r="L700" t="n">
        <v>0</v>
      </c>
      <c r="M700" t="n">
        <v>0</v>
      </c>
      <c r="N700" t="n">
        <v>0</v>
      </c>
      <c r="O700" t="n">
        <v>0</v>
      </c>
      <c r="P700" t="n">
        <v>0</v>
      </c>
      <c r="Q700" t="n">
        <v>0</v>
      </c>
      <c r="R700" s="2" t="inlineStr"/>
    </row>
    <row r="701" ht="15" customHeight="1">
      <c r="A701" t="inlineStr">
        <is>
          <t>A 8755-2023</t>
        </is>
      </c>
      <c r="B701" s="1" t="n">
        <v>44978</v>
      </c>
      <c r="C701" s="1" t="n">
        <v>45931</v>
      </c>
      <c r="D701" t="inlineStr">
        <is>
          <t>DALARNAS LÄN</t>
        </is>
      </c>
      <c r="E701" t="inlineStr">
        <is>
          <t>LEKSAND</t>
        </is>
      </c>
      <c r="G701" t="n">
        <v>2.3</v>
      </c>
      <c r="H701" t="n">
        <v>0</v>
      </c>
      <c r="I701" t="n">
        <v>0</v>
      </c>
      <c r="J701" t="n">
        <v>0</v>
      </c>
      <c r="K701" t="n">
        <v>0</v>
      </c>
      <c r="L701" t="n">
        <v>0</v>
      </c>
      <c r="M701" t="n">
        <v>0</v>
      </c>
      <c r="N701" t="n">
        <v>0</v>
      </c>
      <c r="O701" t="n">
        <v>0</v>
      </c>
      <c r="P701" t="n">
        <v>0</v>
      </c>
      <c r="Q701" t="n">
        <v>0</v>
      </c>
      <c r="R701" s="2" t="inlineStr"/>
    </row>
    <row r="702" ht="15" customHeight="1">
      <c r="A702" t="inlineStr">
        <is>
          <t>A 59840-2024</t>
        </is>
      </c>
      <c r="B702" s="1" t="n">
        <v>45638</v>
      </c>
      <c r="C702" s="1" t="n">
        <v>45931</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37996-2025</t>
        </is>
      </c>
      <c r="B703" s="1" t="n">
        <v>45881.8299537037</v>
      </c>
      <c r="C703" s="1" t="n">
        <v>45931</v>
      </c>
      <c r="D703" t="inlineStr">
        <is>
          <t>DALARNAS LÄN</t>
        </is>
      </c>
      <c r="E703" t="inlineStr">
        <is>
          <t>LEKSAND</t>
        </is>
      </c>
      <c r="G703" t="n">
        <v>4.2</v>
      </c>
      <c r="H703" t="n">
        <v>0</v>
      </c>
      <c r="I703" t="n">
        <v>0</v>
      </c>
      <c r="J703" t="n">
        <v>0</v>
      </c>
      <c r="K703" t="n">
        <v>0</v>
      </c>
      <c r="L703" t="n">
        <v>0</v>
      </c>
      <c r="M703" t="n">
        <v>0</v>
      </c>
      <c r="N703" t="n">
        <v>0</v>
      </c>
      <c r="O703" t="n">
        <v>0</v>
      </c>
      <c r="P703" t="n">
        <v>0</v>
      </c>
      <c r="Q703" t="n">
        <v>0</v>
      </c>
      <c r="R703" s="2" t="inlineStr"/>
    </row>
    <row r="704" ht="15" customHeight="1">
      <c r="A704" t="inlineStr">
        <is>
          <t>A 10967-2023</t>
        </is>
      </c>
      <c r="B704" s="1" t="n">
        <v>44991.58001157407</v>
      </c>
      <c r="C704" s="1" t="n">
        <v>45931</v>
      </c>
      <c r="D704" t="inlineStr">
        <is>
          <t>DALARNAS LÄN</t>
        </is>
      </c>
      <c r="E704" t="inlineStr">
        <is>
          <t>LEKSAND</t>
        </is>
      </c>
      <c r="G704" t="n">
        <v>0.5</v>
      </c>
      <c r="H704" t="n">
        <v>0</v>
      </c>
      <c r="I704" t="n">
        <v>0</v>
      </c>
      <c r="J704" t="n">
        <v>0</v>
      </c>
      <c r="K704" t="n">
        <v>0</v>
      </c>
      <c r="L704" t="n">
        <v>0</v>
      </c>
      <c r="M704" t="n">
        <v>0</v>
      </c>
      <c r="N704" t="n">
        <v>0</v>
      </c>
      <c r="O704" t="n">
        <v>0</v>
      </c>
      <c r="P704" t="n">
        <v>0</v>
      </c>
      <c r="Q704" t="n">
        <v>0</v>
      </c>
      <c r="R704" s="2" t="inlineStr"/>
    </row>
    <row r="705" ht="15" customHeight="1">
      <c r="A705" t="inlineStr">
        <is>
          <t>A 10974-2023</t>
        </is>
      </c>
      <c r="B705" s="1" t="n">
        <v>44991.59049768518</v>
      </c>
      <c r="C705" s="1" t="n">
        <v>45931</v>
      </c>
      <c r="D705" t="inlineStr">
        <is>
          <t>DALARNAS LÄN</t>
        </is>
      </c>
      <c r="E705" t="inlineStr">
        <is>
          <t>LEKSAND</t>
        </is>
      </c>
      <c r="G705" t="n">
        <v>0.3</v>
      </c>
      <c r="H705" t="n">
        <v>0</v>
      </c>
      <c r="I705" t="n">
        <v>0</v>
      </c>
      <c r="J705" t="n">
        <v>0</v>
      </c>
      <c r="K705" t="n">
        <v>0</v>
      </c>
      <c r="L705" t="n">
        <v>0</v>
      </c>
      <c r="M705" t="n">
        <v>0</v>
      </c>
      <c r="N705" t="n">
        <v>0</v>
      </c>
      <c r="O705" t="n">
        <v>0</v>
      </c>
      <c r="P705" t="n">
        <v>0</v>
      </c>
      <c r="Q705" t="n">
        <v>0</v>
      </c>
      <c r="R705" s="2" t="inlineStr"/>
    </row>
    <row r="706" ht="15" customHeight="1">
      <c r="A706" t="inlineStr">
        <is>
          <t>A 55516-2024</t>
        </is>
      </c>
      <c r="B706" s="1" t="n">
        <v>45621</v>
      </c>
      <c r="C706" s="1" t="n">
        <v>45931</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30858-2024</t>
        </is>
      </c>
      <c r="B707" s="1" t="n">
        <v>45497.67601851852</v>
      </c>
      <c r="C707" s="1" t="n">
        <v>45931</v>
      </c>
      <c r="D707" t="inlineStr">
        <is>
          <t>DALARNAS LÄN</t>
        </is>
      </c>
      <c r="E707" t="inlineStr">
        <is>
          <t>LEKSAND</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46176-2025</t>
        </is>
      </c>
      <c r="B708" s="1" t="n">
        <v>45924.65101851852</v>
      </c>
      <c r="C708" s="1" t="n">
        <v>45931</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43888-2025</t>
        </is>
      </c>
      <c r="B709" s="1" t="n">
        <v>45912</v>
      </c>
      <c r="C709" s="1" t="n">
        <v>45931</v>
      </c>
      <c r="D709" t="inlineStr">
        <is>
          <t>DALARNAS LÄN</t>
        </is>
      </c>
      <c r="E709" t="inlineStr">
        <is>
          <t>LEKSAND</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38090-2025</t>
        </is>
      </c>
      <c r="B710" s="1" t="n">
        <v>45882.48440972222</v>
      </c>
      <c r="C710" s="1" t="n">
        <v>45931</v>
      </c>
      <c r="D710" t="inlineStr">
        <is>
          <t>DALARNAS LÄN</t>
        </is>
      </c>
      <c r="E710" t="inlineStr">
        <is>
          <t>LEKSAND</t>
        </is>
      </c>
      <c r="G710" t="n">
        <v>1.6</v>
      </c>
      <c r="H710" t="n">
        <v>0</v>
      </c>
      <c r="I710" t="n">
        <v>0</v>
      </c>
      <c r="J710" t="n">
        <v>0</v>
      </c>
      <c r="K710" t="n">
        <v>0</v>
      </c>
      <c r="L710" t="n">
        <v>0</v>
      </c>
      <c r="M710" t="n">
        <v>0</v>
      </c>
      <c r="N710" t="n">
        <v>0</v>
      </c>
      <c r="O710" t="n">
        <v>0</v>
      </c>
      <c r="P710" t="n">
        <v>0</v>
      </c>
      <c r="Q710" t="n">
        <v>0</v>
      </c>
      <c r="R710" s="2" t="inlineStr"/>
    </row>
    <row r="711" ht="15" customHeight="1">
      <c r="A711" t="inlineStr">
        <is>
          <t>A 23892-2025</t>
        </is>
      </c>
      <c r="B711" s="1" t="n">
        <v>45793</v>
      </c>
      <c r="C711" s="1" t="n">
        <v>45931</v>
      </c>
      <c r="D711" t="inlineStr">
        <is>
          <t>DALARNAS LÄN</t>
        </is>
      </c>
      <c r="E711" t="inlineStr">
        <is>
          <t>LEKSAND</t>
        </is>
      </c>
      <c r="F711" t="inlineStr">
        <is>
          <t>Kommuner</t>
        </is>
      </c>
      <c r="G711" t="n">
        <v>1.5</v>
      </c>
      <c r="H711" t="n">
        <v>0</v>
      </c>
      <c r="I711" t="n">
        <v>0</v>
      </c>
      <c r="J711" t="n">
        <v>0</v>
      </c>
      <c r="K711" t="n">
        <v>0</v>
      </c>
      <c r="L711" t="n">
        <v>0</v>
      </c>
      <c r="M711" t="n">
        <v>0</v>
      </c>
      <c r="N711" t="n">
        <v>0</v>
      </c>
      <c r="O711" t="n">
        <v>0</v>
      </c>
      <c r="P711" t="n">
        <v>0</v>
      </c>
      <c r="Q711" t="n">
        <v>0</v>
      </c>
      <c r="R711" s="2" t="inlineStr"/>
    </row>
    <row r="712">
      <c r="A712" t="inlineStr">
        <is>
          <t>A 43830-2025</t>
        </is>
      </c>
      <c r="B712" s="1" t="n">
        <v>45912</v>
      </c>
      <c r="C712" s="1" t="n">
        <v>45931</v>
      </c>
      <c r="D712" t="inlineStr">
        <is>
          <t>DALARNAS LÄN</t>
        </is>
      </c>
      <c r="E712" t="inlineStr">
        <is>
          <t>LEKSAND</t>
        </is>
      </c>
      <c r="F712" t="inlineStr">
        <is>
          <t>Bergvik skog väst AB</t>
        </is>
      </c>
      <c r="G712" t="n">
        <v>3.1</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2025-10-01T12:52:59Z</dcterms:created>
  <dcterms:modified xmlns:dcterms="http://purl.org/dc/terms/" xmlns:xsi="http://www.w3.org/2001/XMLSchema-instance" xsi:type="dcterms:W3CDTF">2025-10-01T12:52:59Z</dcterms:modified>
</cp:coreProperties>
</file>