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45927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45927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45927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45927</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45927</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45927</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45927</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45927</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45927</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45927</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59111-2024</t>
        </is>
      </c>
      <c r="B23" s="1" t="n">
        <v>45637.36484953704</v>
      </c>
      <c r="C23" s="1" t="n">
        <v>45927</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6778-2022</t>
        </is>
      </c>
      <c r="B24" s="1" t="n">
        <v>44602</v>
      </c>
      <c r="C24" s="1" t="n">
        <v>45927</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35865-2025</t>
        </is>
      </c>
      <c r="B25" s="1" t="n">
        <v>45861.7066087963</v>
      </c>
      <c r="C25" s="1" t="n">
        <v>45927</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9408-2024</t>
        </is>
      </c>
      <c r="B26" s="1" t="n">
        <v>45358</v>
      </c>
      <c r="C26" s="1" t="n">
        <v>45927</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55519-2021</t>
        </is>
      </c>
      <c r="B27" s="1" t="n">
        <v>44475</v>
      </c>
      <c r="C27" s="1" t="n">
        <v>45927</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45927</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45927</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31124-2024</t>
        </is>
      </c>
      <c r="B30" s="1" t="n">
        <v>45502.62886574074</v>
      </c>
      <c r="C30" s="1" t="n">
        <v>45927</v>
      </c>
      <c r="D30" t="inlineStr">
        <is>
          <t>DALARNAS LÄN</t>
        </is>
      </c>
      <c r="E30" t="inlineStr">
        <is>
          <t>LEKSAND</t>
        </is>
      </c>
      <c r="G30" t="n">
        <v>1.9</v>
      </c>
      <c r="H30" t="n">
        <v>1</v>
      </c>
      <c r="I30" t="n">
        <v>0</v>
      </c>
      <c r="J30" t="n">
        <v>0</v>
      </c>
      <c r="K30" t="n">
        <v>1</v>
      </c>
      <c r="L30" t="n">
        <v>0</v>
      </c>
      <c r="M30" t="n">
        <v>0</v>
      </c>
      <c r="N30" t="n">
        <v>0</v>
      </c>
      <c r="O30" t="n">
        <v>1</v>
      </c>
      <c r="P30" t="n">
        <v>1</v>
      </c>
      <c r="Q30" t="n">
        <v>1</v>
      </c>
      <c r="R30" s="2" t="inlineStr">
        <is>
          <t>Väddnätfjäril</t>
        </is>
      </c>
      <c r="S30">
        <f>HYPERLINK("https://klasma.github.io/Logging_2029/artfynd/A 31124-2024 artfynd.xlsx", "A 31124-2024")</f>
        <v/>
      </c>
      <c r="T30">
        <f>HYPERLINK("https://klasma.github.io/Logging_2029/kartor/A 31124-2024 karta.png", "A 31124-2024")</f>
        <v/>
      </c>
      <c r="V30">
        <f>HYPERLINK("https://klasma.github.io/Logging_2029/klagomål/A 31124-2024 FSC-klagomål.docx", "A 31124-2024")</f>
        <v/>
      </c>
      <c r="W30">
        <f>HYPERLINK("https://klasma.github.io/Logging_2029/klagomålsmail/A 31124-2024 FSC-klagomål mail.docx", "A 31124-2024")</f>
        <v/>
      </c>
      <c r="X30">
        <f>HYPERLINK("https://klasma.github.io/Logging_2029/tillsyn/A 31124-2024 tillsynsbegäran.docx", "A 31124-2024")</f>
        <v/>
      </c>
      <c r="Y30">
        <f>HYPERLINK("https://klasma.github.io/Logging_2029/tillsynsmail/A 31124-2024 tillsynsbegäran mail.docx", "A 31124-2024")</f>
        <v/>
      </c>
    </row>
    <row r="31" ht="15" customHeight="1">
      <c r="A31" t="inlineStr">
        <is>
          <t>A 4974-2025</t>
        </is>
      </c>
      <c r="B31" s="1" t="n">
        <v>45690.8478587963</v>
      </c>
      <c r="C31" s="1" t="n">
        <v>45927</v>
      </c>
      <c r="D31" t="inlineStr">
        <is>
          <t>DALARNAS LÄN</t>
        </is>
      </c>
      <c r="E31" t="inlineStr">
        <is>
          <t>LEKSAND</t>
        </is>
      </c>
      <c r="G31" t="n">
        <v>0.9</v>
      </c>
      <c r="H31" t="n">
        <v>1</v>
      </c>
      <c r="I31" t="n">
        <v>0</v>
      </c>
      <c r="J31" t="n">
        <v>1</v>
      </c>
      <c r="K31" t="n">
        <v>0</v>
      </c>
      <c r="L31" t="n">
        <v>0</v>
      </c>
      <c r="M31" t="n">
        <v>0</v>
      </c>
      <c r="N31" t="n">
        <v>0</v>
      </c>
      <c r="O31" t="n">
        <v>1</v>
      </c>
      <c r="P31" t="n">
        <v>0</v>
      </c>
      <c r="Q31" t="n">
        <v>1</v>
      </c>
      <c r="R31" s="2" t="inlineStr">
        <is>
          <t>Spillkråka</t>
        </is>
      </c>
      <c r="S31">
        <f>HYPERLINK("https://klasma.github.io/Logging_2029/artfynd/A 4974-2025 artfynd.xlsx", "A 4974-2025")</f>
        <v/>
      </c>
      <c r="T31">
        <f>HYPERLINK("https://klasma.github.io/Logging_2029/kartor/A 4974-2025 karta.png", "A 4974-2025")</f>
        <v/>
      </c>
      <c r="V31">
        <f>HYPERLINK("https://klasma.github.io/Logging_2029/klagomål/A 4974-2025 FSC-klagomål.docx", "A 4974-2025")</f>
        <v/>
      </c>
      <c r="W31">
        <f>HYPERLINK("https://klasma.github.io/Logging_2029/klagomålsmail/A 4974-2025 FSC-klagomål mail.docx", "A 4974-2025")</f>
        <v/>
      </c>
      <c r="X31">
        <f>HYPERLINK("https://klasma.github.io/Logging_2029/tillsyn/A 4974-2025 tillsynsbegäran.docx", "A 4974-2025")</f>
        <v/>
      </c>
      <c r="Y31">
        <f>HYPERLINK("https://klasma.github.io/Logging_2029/tillsynsmail/A 4974-2025 tillsynsbegäran mail.docx", "A 4974-2025")</f>
        <v/>
      </c>
      <c r="Z31">
        <f>HYPERLINK("https://klasma.github.io/Logging_2029/fåglar/A 4974-2025 prioriterade fågelarter.docx", "A 4974-2025")</f>
        <v/>
      </c>
    </row>
    <row r="32" ht="15" customHeight="1">
      <c r="A32" t="inlineStr">
        <is>
          <t>A 23137-2022</t>
        </is>
      </c>
      <c r="B32" s="1" t="n">
        <v>44719</v>
      </c>
      <c r="C32" s="1" t="n">
        <v>45927</v>
      </c>
      <c r="D32" t="inlineStr">
        <is>
          <t>DALARNAS LÄN</t>
        </is>
      </c>
      <c r="E32" t="inlineStr">
        <is>
          <t>LEKSAND</t>
        </is>
      </c>
      <c r="G32" t="n">
        <v>3</v>
      </c>
      <c r="H32" t="n">
        <v>0</v>
      </c>
      <c r="I32" t="n">
        <v>0</v>
      </c>
      <c r="J32" t="n">
        <v>0</v>
      </c>
      <c r="K32" t="n">
        <v>1</v>
      </c>
      <c r="L32" t="n">
        <v>0</v>
      </c>
      <c r="M32" t="n">
        <v>0</v>
      </c>
      <c r="N32" t="n">
        <v>0</v>
      </c>
      <c r="O32" t="n">
        <v>1</v>
      </c>
      <c r="P32" t="n">
        <v>1</v>
      </c>
      <c r="Q32" t="n">
        <v>1</v>
      </c>
      <c r="R32" s="2" t="inlineStr">
        <is>
          <t>Koppartaggsvamp</t>
        </is>
      </c>
      <c r="S32">
        <f>HYPERLINK("https://klasma.github.io/Logging_2029/artfynd/A 23137-2022 artfynd.xlsx", "A 23137-2022")</f>
        <v/>
      </c>
      <c r="T32">
        <f>HYPERLINK("https://klasma.github.io/Logging_2029/kartor/A 23137-2022 karta.png", "A 23137-2022")</f>
        <v/>
      </c>
      <c r="V32">
        <f>HYPERLINK("https://klasma.github.io/Logging_2029/klagomål/A 23137-2022 FSC-klagomål.docx", "A 23137-2022")</f>
        <v/>
      </c>
      <c r="W32">
        <f>HYPERLINK("https://klasma.github.io/Logging_2029/klagomålsmail/A 23137-2022 FSC-klagomål mail.docx", "A 23137-2022")</f>
        <v/>
      </c>
      <c r="X32">
        <f>HYPERLINK("https://klasma.github.io/Logging_2029/tillsyn/A 23137-2022 tillsynsbegäran.docx", "A 23137-2022")</f>
        <v/>
      </c>
      <c r="Y32">
        <f>HYPERLINK("https://klasma.github.io/Logging_2029/tillsynsmail/A 23137-2022 tillsynsbegäran mail.docx", "A 23137-2022")</f>
        <v/>
      </c>
    </row>
    <row r="33" ht="15" customHeight="1">
      <c r="A33" t="inlineStr">
        <is>
          <t>A 41873-2022</t>
        </is>
      </c>
      <c r="B33" s="1" t="n">
        <v>44829</v>
      </c>
      <c r="C33" s="1" t="n">
        <v>45927</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55633-2024</t>
        </is>
      </c>
      <c r="B34" s="1" t="n">
        <v>45621</v>
      </c>
      <c r="C34" s="1" t="n">
        <v>45927</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164-2024</t>
        </is>
      </c>
      <c r="B35" s="1" t="n">
        <v>45294.49954861111</v>
      </c>
      <c r="C35" s="1" t="n">
        <v>45927</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45927</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36778-2025</t>
        </is>
      </c>
      <c r="B37" s="1" t="n">
        <v>45873</v>
      </c>
      <c r="C37" s="1" t="n">
        <v>45927</v>
      </c>
      <c r="D37" t="inlineStr">
        <is>
          <t>DALARNAS LÄN</t>
        </is>
      </c>
      <c r="E37" t="inlineStr">
        <is>
          <t>LEKSAND</t>
        </is>
      </c>
      <c r="F37" t="inlineStr">
        <is>
          <t>Övriga statliga verk och myndigheter</t>
        </is>
      </c>
      <c r="G37" t="n">
        <v>0.6</v>
      </c>
      <c r="H37" t="n">
        <v>1</v>
      </c>
      <c r="I37" t="n">
        <v>0</v>
      </c>
      <c r="J37" t="n">
        <v>1</v>
      </c>
      <c r="K37" t="n">
        <v>0</v>
      </c>
      <c r="L37" t="n">
        <v>0</v>
      </c>
      <c r="M37" t="n">
        <v>0</v>
      </c>
      <c r="N37" t="n">
        <v>0</v>
      </c>
      <c r="O37" t="n">
        <v>1</v>
      </c>
      <c r="P37" t="n">
        <v>0</v>
      </c>
      <c r="Q37" t="n">
        <v>1</v>
      </c>
      <c r="R37" s="2" t="inlineStr">
        <is>
          <t>Tretåig hackspett</t>
        </is>
      </c>
      <c r="S37">
        <f>HYPERLINK("https://klasma.github.io/Logging_2029/artfynd/A 36778-2025 artfynd.xlsx", "A 36778-2025")</f>
        <v/>
      </c>
      <c r="T37">
        <f>HYPERLINK("https://klasma.github.io/Logging_2029/kartor/A 36778-2025 karta.png", "A 36778-2025")</f>
        <v/>
      </c>
      <c r="V37">
        <f>HYPERLINK("https://klasma.github.io/Logging_2029/klagomål/A 36778-2025 FSC-klagomål.docx", "A 36778-2025")</f>
        <v/>
      </c>
      <c r="W37">
        <f>HYPERLINK("https://klasma.github.io/Logging_2029/klagomålsmail/A 36778-2025 FSC-klagomål mail.docx", "A 36778-2025")</f>
        <v/>
      </c>
      <c r="X37">
        <f>HYPERLINK("https://klasma.github.io/Logging_2029/tillsyn/A 36778-2025 tillsynsbegäran.docx", "A 36778-2025")</f>
        <v/>
      </c>
      <c r="Y37">
        <f>HYPERLINK("https://klasma.github.io/Logging_2029/tillsynsmail/A 36778-2025 tillsynsbegäran mail.docx", "A 36778-2025")</f>
        <v/>
      </c>
      <c r="Z37">
        <f>HYPERLINK("https://klasma.github.io/Logging_2029/fåglar/A 36778-2025 prioriterade fågelarter.docx", "A 36778-2025")</f>
        <v/>
      </c>
    </row>
    <row r="38" ht="15" customHeight="1">
      <c r="A38" t="inlineStr">
        <is>
          <t>A 6029-2025</t>
        </is>
      </c>
      <c r="B38" s="1" t="n">
        <v>45695</v>
      </c>
      <c r="C38" s="1" t="n">
        <v>45927</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45927</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45927</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34993-2025</t>
        </is>
      </c>
      <c r="B41" s="1" t="n">
        <v>45849.82383101852</v>
      </c>
      <c r="C41" s="1" t="n">
        <v>45927</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45927</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16735-2025</t>
        </is>
      </c>
      <c r="B43" s="1" t="n">
        <v>45754.54314814815</v>
      </c>
      <c r="C43" s="1" t="n">
        <v>45927</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45927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45927</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52600-2024</t>
        </is>
      </c>
      <c r="B46" s="1" t="n">
        <v>45609</v>
      </c>
      <c r="C46" s="1" t="n">
        <v>45927</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45375-2025</t>
        </is>
      </c>
      <c r="B47" s="1" t="n">
        <v>45922.39347222223</v>
      </c>
      <c r="C47" s="1" t="n">
        <v>45927</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1078-2021</t>
        </is>
      </c>
      <c r="B48" s="1" t="n">
        <v>44207</v>
      </c>
      <c r="C48" s="1" t="n">
        <v>45927</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45927</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45927</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45927</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45927</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45927</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45927</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45927</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45927</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45927</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45927</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45927</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45927</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45927</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45927</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45927</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45927</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45927</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45927</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45927</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45927</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45927</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45927</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45927</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45927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45927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45927</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45927</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45927</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45927</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45927</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45927</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45927</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72155-2021</t>
        </is>
      </c>
      <c r="B82" s="1" t="n">
        <v>44543</v>
      </c>
      <c r="C82" s="1" t="n">
        <v>45927</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45927</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45927</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45927</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45927</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45927</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45927</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26289-2022</t>
        </is>
      </c>
      <c r="B89" s="1" t="n">
        <v>44735</v>
      </c>
      <c r="C89" s="1" t="n">
        <v>45927</v>
      </c>
      <c r="D89" t="inlineStr">
        <is>
          <t>DALARNAS LÄN</t>
        </is>
      </c>
      <c r="E89" t="inlineStr">
        <is>
          <t>LEKSAND</t>
        </is>
      </c>
      <c r="G89" t="n">
        <v>1</v>
      </c>
      <c r="H89" t="n">
        <v>0</v>
      </c>
      <c r="I89" t="n">
        <v>0</v>
      </c>
      <c r="J89" t="n">
        <v>0</v>
      </c>
      <c r="K89" t="n">
        <v>0</v>
      </c>
      <c r="L89" t="n">
        <v>0</v>
      </c>
      <c r="M89" t="n">
        <v>0</v>
      </c>
      <c r="N89" t="n">
        <v>0</v>
      </c>
      <c r="O89" t="n">
        <v>0</v>
      </c>
      <c r="P89" t="n">
        <v>0</v>
      </c>
      <c r="Q89" t="n">
        <v>0</v>
      </c>
      <c r="R89" s="2" t="inlineStr"/>
    </row>
    <row r="90" ht="15" customHeight="1">
      <c r="A90" t="inlineStr">
        <is>
          <t>A 34317-2022</t>
        </is>
      </c>
      <c r="B90" s="1" t="n">
        <v>44792.38814814815</v>
      </c>
      <c r="C90" s="1" t="n">
        <v>45927</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45927</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45927</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19677-2021</t>
        </is>
      </c>
      <c r="B93" s="1" t="n">
        <v>44312</v>
      </c>
      <c r="C93" s="1" t="n">
        <v>45927</v>
      </c>
      <c r="D93" t="inlineStr">
        <is>
          <t>DALARNAS LÄN</t>
        </is>
      </c>
      <c r="E93" t="inlineStr">
        <is>
          <t>LEKSAND</t>
        </is>
      </c>
      <c r="F93" t="inlineStr">
        <is>
          <t>Bergvik skog väst AB</t>
        </is>
      </c>
      <c r="G93" t="n">
        <v>3.1</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45927</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45927</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67307-2020</t>
        </is>
      </c>
      <c r="B96" s="1" t="n">
        <v>44181</v>
      </c>
      <c r="C96" s="1" t="n">
        <v>45927</v>
      </c>
      <c r="D96" t="inlineStr">
        <is>
          <t>DALARNAS LÄN</t>
        </is>
      </c>
      <c r="E96" t="inlineStr">
        <is>
          <t>LEKSAND</t>
        </is>
      </c>
      <c r="G96" t="n">
        <v>5.9</v>
      </c>
      <c r="H96" t="n">
        <v>0</v>
      </c>
      <c r="I96" t="n">
        <v>0</v>
      </c>
      <c r="J96" t="n">
        <v>0</v>
      </c>
      <c r="K96" t="n">
        <v>0</v>
      </c>
      <c r="L96" t="n">
        <v>0</v>
      </c>
      <c r="M96" t="n">
        <v>0</v>
      </c>
      <c r="N96" t="n">
        <v>0</v>
      </c>
      <c r="O96" t="n">
        <v>0</v>
      </c>
      <c r="P96" t="n">
        <v>0</v>
      </c>
      <c r="Q96" t="n">
        <v>0</v>
      </c>
      <c r="R96" s="2" t="inlineStr"/>
    </row>
    <row r="97" ht="15" customHeight="1">
      <c r="A97" t="inlineStr">
        <is>
          <t>A 18866-2022</t>
        </is>
      </c>
      <c r="B97" s="1" t="n">
        <v>44690</v>
      </c>
      <c r="C97" s="1" t="n">
        <v>45927</v>
      </c>
      <c r="D97" t="inlineStr">
        <is>
          <t>DALARNAS LÄN</t>
        </is>
      </c>
      <c r="E97" t="inlineStr">
        <is>
          <t>LEKSAND</t>
        </is>
      </c>
      <c r="F97" t="inlineStr">
        <is>
          <t>Övriga Aktiebolag</t>
        </is>
      </c>
      <c r="G97" t="n">
        <v>5.1</v>
      </c>
      <c r="H97" t="n">
        <v>0</v>
      </c>
      <c r="I97" t="n">
        <v>0</v>
      </c>
      <c r="J97" t="n">
        <v>0</v>
      </c>
      <c r="K97" t="n">
        <v>0</v>
      </c>
      <c r="L97" t="n">
        <v>0</v>
      </c>
      <c r="M97" t="n">
        <v>0</v>
      </c>
      <c r="N97" t="n">
        <v>0</v>
      </c>
      <c r="O97" t="n">
        <v>0</v>
      </c>
      <c r="P97" t="n">
        <v>0</v>
      </c>
      <c r="Q97" t="n">
        <v>0</v>
      </c>
      <c r="R97" s="2" t="inlineStr"/>
    </row>
    <row r="98" ht="15" customHeight="1">
      <c r="A98" t="inlineStr">
        <is>
          <t>A 18870-2022</t>
        </is>
      </c>
      <c r="B98" s="1" t="n">
        <v>44690.50725694445</v>
      </c>
      <c r="C98" s="1" t="n">
        <v>45927</v>
      </c>
      <c r="D98" t="inlineStr">
        <is>
          <t>DALARNAS LÄN</t>
        </is>
      </c>
      <c r="E98" t="inlineStr">
        <is>
          <t>LEKSAND</t>
        </is>
      </c>
      <c r="F98" t="inlineStr">
        <is>
          <t>Övriga Aktiebolag</t>
        </is>
      </c>
      <c r="G98" t="n">
        <v>3.1</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45927</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45927</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45155-2021</t>
        </is>
      </c>
      <c r="B101" s="1" t="n">
        <v>44439</v>
      </c>
      <c r="C101" s="1" t="n">
        <v>45927</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45927</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45927</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36956-2021</t>
        </is>
      </c>
      <c r="B104" s="1" t="n">
        <v>44393.55643518519</v>
      </c>
      <c r="C104" s="1" t="n">
        <v>45927</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45927</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31871-2022</t>
        </is>
      </c>
      <c r="B106" s="1" t="n">
        <v>44777.37854166667</v>
      </c>
      <c r="C106" s="1" t="n">
        <v>45927</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45927</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46672-2022</t>
        </is>
      </c>
      <c r="B108" s="1" t="n">
        <v>44851</v>
      </c>
      <c r="C108" s="1" t="n">
        <v>45927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27791-2023</t>
        </is>
      </c>
      <c r="B109" s="1" t="n">
        <v>45098</v>
      </c>
      <c r="C109" s="1" t="n">
        <v>45927</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52801-2023</t>
        </is>
      </c>
      <c r="B110" s="1" t="n">
        <v>45219</v>
      </c>
      <c r="C110" s="1" t="n">
        <v>45927</v>
      </c>
      <c r="D110" t="inlineStr">
        <is>
          <t>DALARNAS LÄN</t>
        </is>
      </c>
      <c r="E110" t="inlineStr">
        <is>
          <t>LEKSAND</t>
        </is>
      </c>
      <c r="G110" t="n">
        <v>4.9</v>
      </c>
      <c r="H110" t="n">
        <v>0</v>
      </c>
      <c r="I110" t="n">
        <v>0</v>
      </c>
      <c r="J110" t="n">
        <v>0</v>
      </c>
      <c r="K110" t="n">
        <v>0</v>
      </c>
      <c r="L110" t="n">
        <v>0</v>
      </c>
      <c r="M110" t="n">
        <v>0</v>
      </c>
      <c r="N110" t="n">
        <v>0</v>
      </c>
      <c r="O110" t="n">
        <v>0</v>
      </c>
      <c r="P110" t="n">
        <v>0</v>
      </c>
      <c r="Q110" t="n">
        <v>0</v>
      </c>
      <c r="R110" s="2" t="inlineStr"/>
    </row>
    <row r="111" ht="15" customHeight="1">
      <c r="A111" t="inlineStr">
        <is>
          <t>A 9781-2024</t>
        </is>
      </c>
      <c r="B111" s="1" t="n">
        <v>45362.66299768518</v>
      </c>
      <c r="C111" s="1" t="n">
        <v>45927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71817-2021</t>
        </is>
      </c>
      <c r="B112" s="1" t="n">
        <v>44543.59780092593</v>
      </c>
      <c r="C112" s="1" t="n">
        <v>45927</v>
      </c>
      <c r="D112" t="inlineStr">
        <is>
          <t>DALARNAS LÄN</t>
        </is>
      </c>
      <c r="E112" t="inlineStr">
        <is>
          <t>LEKSAND</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30175-2023</t>
        </is>
      </c>
      <c r="B113" s="1" t="n">
        <v>45110</v>
      </c>
      <c r="C113" s="1" t="n">
        <v>45927</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59103-2024</t>
        </is>
      </c>
      <c r="B114" s="1" t="n">
        <v>45637.34184027778</v>
      </c>
      <c r="C114" s="1" t="n">
        <v>45927</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42727-2024</t>
        </is>
      </c>
      <c r="B115" s="1" t="n">
        <v>45566</v>
      </c>
      <c r="C115" s="1" t="n">
        <v>45927</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42230-2023</t>
        </is>
      </c>
      <c r="B116" s="1" t="n">
        <v>45180</v>
      </c>
      <c r="C116" s="1" t="n">
        <v>45927</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19295-2024</t>
        </is>
      </c>
      <c r="B117" s="1" t="n">
        <v>45428.69106481481</v>
      </c>
      <c r="C117" s="1" t="n">
        <v>45927</v>
      </c>
      <c r="D117" t="inlineStr">
        <is>
          <t>DALARNAS LÄN</t>
        </is>
      </c>
      <c r="E117" t="inlineStr">
        <is>
          <t>LEKSAND</t>
        </is>
      </c>
      <c r="G117" t="n">
        <v>1.6</v>
      </c>
      <c r="H117" t="n">
        <v>0</v>
      </c>
      <c r="I117" t="n">
        <v>0</v>
      </c>
      <c r="J117" t="n">
        <v>0</v>
      </c>
      <c r="K117" t="n">
        <v>0</v>
      </c>
      <c r="L117" t="n">
        <v>0</v>
      </c>
      <c r="M117" t="n">
        <v>0</v>
      </c>
      <c r="N117" t="n">
        <v>0</v>
      </c>
      <c r="O117" t="n">
        <v>0</v>
      </c>
      <c r="P117" t="n">
        <v>0</v>
      </c>
      <c r="Q117" t="n">
        <v>0</v>
      </c>
      <c r="R117" s="2" t="inlineStr"/>
    </row>
    <row r="118" ht="15" customHeight="1">
      <c r="A118" t="inlineStr">
        <is>
          <t>A 16197-2024</t>
        </is>
      </c>
      <c r="B118" s="1" t="n">
        <v>45406.70356481482</v>
      </c>
      <c r="C118" s="1" t="n">
        <v>45927</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11617-2024</t>
        </is>
      </c>
      <c r="B119" s="1" t="n">
        <v>45373.42898148148</v>
      </c>
      <c r="C119" s="1" t="n">
        <v>45927</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20937-2025</t>
        </is>
      </c>
      <c r="B120" s="1" t="n">
        <v>45777.42769675926</v>
      </c>
      <c r="C120" s="1" t="n">
        <v>45927</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38117-2023</t>
        </is>
      </c>
      <c r="B121" s="1" t="n">
        <v>45161</v>
      </c>
      <c r="C121" s="1" t="n">
        <v>45927</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59763-2023</t>
        </is>
      </c>
      <c r="B122" s="1" t="n">
        <v>45257</v>
      </c>
      <c r="C122" s="1" t="n">
        <v>45927</v>
      </c>
      <c r="D122" t="inlineStr">
        <is>
          <t>DALARNAS LÄN</t>
        </is>
      </c>
      <c r="E122" t="inlineStr">
        <is>
          <t>LEKSAND</t>
        </is>
      </c>
      <c r="G122" t="n">
        <v>1.6</v>
      </c>
      <c r="H122" t="n">
        <v>0</v>
      </c>
      <c r="I122" t="n">
        <v>0</v>
      </c>
      <c r="J122" t="n">
        <v>0</v>
      </c>
      <c r="K122" t="n">
        <v>0</v>
      </c>
      <c r="L122" t="n">
        <v>0</v>
      </c>
      <c r="M122" t="n">
        <v>0</v>
      </c>
      <c r="N122" t="n">
        <v>0</v>
      </c>
      <c r="O122" t="n">
        <v>0</v>
      </c>
      <c r="P122" t="n">
        <v>0</v>
      </c>
      <c r="Q122" t="n">
        <v>0</v>
      </c>
      <c r="R122" s="2" t="inlineStr"/>
    </row>
    <row r="123" ht="15" customHeight="1">
      <c r="A123" t="inlineStr">
        <is>
          <t>A 33674-2023</t>
        </is>
      </c>
      <c r="B123" s="1" t="n">
        <v>45132</v>
      </c>
      <c r="C123" s="1" t="n">
        <v>45927</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49581-2022</t>
        </is>
      </c>
      <c r="B124" s="1" t="n">
        <v>44862.36287037037</v>
      </c>
      <c r="C124" s="1" t="n">
        <v>45927</v>
      </c>
      <c r="D124" t="inlineStr">
        <is>
          <t>DALARNAS LÄN</t>
        </is>
      </c>
      <c r="E124" t="inlineStr">
        <is>
          <t>LEKSAND</t>
        </is>
      </c>
      <c r="G124" t="n">
        <v>1.8</v>
      </c>
      <c r="H124" t="n">
        <v>0</v>
      </c>
      <c r="I124" t="n">
        <v>0</v>
      </c>
      <c r="J124" t="n">
        <v>0</v>
      </c>
      <c r="K124" t="n">
        <v>0</v>
      </c>
      <c r="L124" t="n">
        <v>0</v>
      </c>
      <c r="M124" t="n">
        <v>0</v>
      </c>
      <c r="N124" t="n">
        <v>0</v>
      </c>
      <c r="O124" t="n">
        <v>0</v>
      </c>
      <c r="P124" t="n">
        <v>0</v>
      </c>
      <c r="Q124" t="n">
        <v>0</v>
      </c>
      <c r="R124" s="2" t="inlineStr"/>
    </row>
    <row r="125" ht="15" customHeight="1">
      <c r="A125" t="inlineStr">
        <is>
          <t>A 20683-2025</t>
        </is>
      </c>
      <c r="B125" s="1" t="n">
        <v>45776</v>
      </c>
      <c r="C125" s="1" t="n">
        <v>45927</v>
      </c>
      <c r="D125" t="inlineStr">
        <is>
          <t>DALARNAS LÄN</t>
        </is>
      </c>
      <c r="E125" t="inlineStr">
        <is>
          <t>LEKSAND</t>
        </is>
      </c>
      <c r="F125" t="inlineStr">
        <is>
          <t>Bergvik skog väst AB</t>
        </is>
      </c>
      <c r="G125" t="n">
        <v>4.1</v>
      </c>
      <c r="H125" t="n">
        <v>0</v>
      </c>
      <c r="I125" t="n">
        <v>0</v>
      </c>
      <c r="J125" t="n">
        <v>0</v>
      </c>
      <c r="K125" t="n">
        <v>0</v>
      </c>
      <c r="L125" t="n">
        <v>0</v>
      </c>
      <c r="M125" t="n">
        <v>0</v>
      </c>
      <c r="N125" t="n">
        <v>0</v>
      </c>
      <c r="O125" t="n">
        <v>0</v>
      </c>
      <c r="P125" t="n">
        <v>0</v>
      </c>
      <c r="Q125" t="n">
        <v>0</v>
      </c>
      <c r="R125" s="2" t="inlineStr"/>
    </row>
    <row r="126" ht="15" customHeight="1">
      <c r="A126" t="inlineStr">
        <is>
          <t>A 62306-2023</t>
        </is>
      </c>
      <c r="B126" s="1" t="n">
        <v>45266</v>
      </c>
      <c r="C126" s="1" t="n">
        <v>45927</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45927</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55643-2024</t>
        </is>
      </c>
      <c r="B128" s="1" t="n">
        <v>45621</v>
      </c>
      <c r="C128" s="1" t="n">
        <v>45927</v>
      </c>
      <c r="D128" t="inlineStr">
        <is>
          <t>DALARNAS LÄN</t>
        </is>
      </c>
      <c r="E128" t="inlineStr">
        <is>
          <t>LEKSAND</t>
        </is>
      </c>
      <c r="G128" t="n">
        <v>1.7</v>
      </c>
      <c r="H128" t="n">
        <v>0</v>
      </c>
      <c r="I128" t="n">
        <v>0</v>
      </c>
      <c r="J128" t="n">
        <v>0</v>
      </c>
      <c r="K128" t="n">
        <v>0</v>
      </c>
      <c r="L128" t="n">
        <v>0</v>
      </c>
      <c r="M128" t="n">
        <v>0</v>
      </c>
      <c r="N128" t="n">
        <v>0</v>
      </c>
      <c r="O128" t="n">
        <v>0</v>
      </c>
      <c r="P128" t="n">
        <v>0</v>
      </c>
      <c r="Q128" t="n">
        <v>0</v>
      </c>
      <c r="R128" s="2" t="inlineStr"/>
    </row>
    <row r="129" ht="15" customHeight="1">
      <c r="A129" t="inlineStr">
        <is>
          <t>A 21230-2025</t>
        </is>
      </c>
      <c r="B129" s="1" t="n">
        <v>45779.54589120371</v>
      </c>
      <c r="C129" s="1" t="n">
        <v>45927</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21193-2025</t>
        </is>
      </c>
      <c r="B130" s="1" t="n">
        <v>45779.46675925926</v>
      </c>
      <c r="C130" s="1" t="n">
        <v>45927</v>
      </c>
      <c r="D130" t="inlineStr">
        <is>
          <t>DALARNAS LÄN</t>
        </is>
      </c>
      <c r="E130" t="inlineStr">
        <is>
          <t>LEKSAND</t>
        </is>
      </c>
      <c r="G130" t="n">
        <v>3.7</v>
      </c>
      <c r="H130" t="n">
        <v>0</v>
      </c>
      <c r="I130" t="n">
        <v>0</v>
      </c>
      <c r="J130" t="n">
        <v>0</v>
      </c>
      <c r="K130" t="n">
        <v>0</v>
      </c>
      <c r="L130" t="n">
        <v>0</v>
      </c>
      <c r="M130" t="n">
        <v>0</v>
      </c>
      <c r="N130" t="n">
        <v>0</v>
      </c>
      <c r="O130" t="n">
        <v>0</v>
      </c>
      <c r="P130" t="n">
        <v>0</v>
      </c>
      <c r="Q130" t="n">
        <v>0</v>
      </c>
      <c r="R130" s="2" t="inlineStr"/>
    </row>
    <row r="131" ht="15" customHeight="1">
      <c r="A131" t="inlineStr">
        <is>
          <t>A 22281-2024</t>
        </is>
      </c>
      <c r="B131" s="1" t="n">
        <v>45446.54756944445</v>
      </c>
      <c r="C131" s="1" t="n">
        <v>45927</v>
      </c>
      <c r="D131" t="inlineStr">
        <is>
          <t>DALARNAS LÄN</t>
        </is>
      </c>
      <c r="E131" t="inlineStr">
        <is>
          <t>LEKSAND</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22388-2024</t>
        </is>
      </c>
      <c r="B132" s="1" t="n">
        <v>45446</v>
      </c>
      <c r="C132" s="1" t="n">
        <v>45927</v>
      </c>
      <c r="D132" t="inlineStr">
        <is>
          <t>DALARNAS LÄN</t>
        </is>
      </c>
      <c r="E132" t="inlineStr">
        <is>
          <t>LEKSAND</t>
        </is>
      </c>
      <c r="F132" t="inlineStr">
        <is>
          <t>Bergvik skog väst AB</t>
        </is>
      </c>
      <c r="G132" t="n">
        <v>5.3</v>
      </c>
      <c r="H132" t="n">
        <v>0</v>
      </c>
      <c r="I132" t="n">
        <v>0</v>
      </c>
      <c r="J132" t="n">
        <v>0</v>
      </c>
      <c r="K132" t="n">
        <v>0</v>
      </c>
      <c r="L132" t="n">
        <v>0</v>
      </c>
      <c r="M132" t="n">
        <v>0</v>
      </c>
      <c r="N132" t="n">
        <v>0</v>
      </c>
      <c r="O132" t="n">
        <v>0</v>
      </c>
      <c r="P132" t="n">
        <v>0</v>
      </c>
      <c r="Q132" t="n">
        <v>0</v>
      </c>
      <c r="R132" s="2" t="inlineStr"/>
    </row>
    <row r="133" ht="15" customHeight="1">
      <c r="A133" t="inlineStr">
        <is>
          <t>A 31728-2024</t>
        </is>
      </c>
      <c r="B133" s="1" t="n">
        <v>45509.34517361111</v>
      </c>
      <c r="C133" s="1" t="n">
        <v>45927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45927</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40627-2023</t>
        </is>
      </c>
      <c r="B135" s="1" t="n">
        <v>45170</v>
      </c>
      <c r="C135" s="1" t="n">
        <v>45927</v>
      </c>
      <c r="D135" t="inlineStr">
        <is>
          <t>DALARNAS LÄN</t>
        </is>
      </c>
      <c r="E135" t="inlineStr">
        <is>
          <t>LEKSAND</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21600-2025</t>
        </is>
      </c>
      <c r="B136" s="1" t="n">
        <v>45783.3521875</v>
      </c>
      <c r="C136" s="1" t="n">
        <v>45927</v>
      </c>
      <c r="D136" t="inlineStr">
        <is>
          <t>DALARNAS LÄN</t>
        </is>
      </c>
      <c r="E136" t="inlineStr">
        <is>
          <t>LEKSAND</t>
        </is>
      </c>
      <c r="G136" t="n">
        <v>7.7</v>
      </c>
      <c r="H136" t="n">
        <v>0</v>
      </c>
      <c r="I136" t="n">
        <v>0</v>
      </c>
      <c r="J136" t="n">
        <v>0</v>
      </c>
      <c r="K136" t="n">
        <v>0</v>
      </c>
      <c r="L136" t="n">
        <v>0</v>
      </c>
      <c r="M136" t="n">
        <v>0</v>
      </c>
      <c r="N136" t="n">
        <v>0</v>
      </c>
      <c r="O136" t="n">
        <v>0</v>
      </c>
      <c r="P136" t="n">
        <v>0</v>
      </c>
      <c r="Q136" t="n">
        <v>0</v>
      </c>
      <c r="R136" s="2" t="inlineStr"/>
    </row>
    <row r="137" ht="15" customHeight="1">
      <c r="A137" t="inlineStr">
        <is>
          <t>A 56153-2021</t>
        </is>
      </c>
      <c r="B137" s="1" t="n">
        <v>44477</v>
      </c>
      <c r="C137" s="1" t="n">
        <v>45927</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11872-2024</t>
        </is>
      </c>
      <c r="B138" s="1" t="n">
        <v>45376.46833333333</v>
      </c>
      <c r="C138" s="1" t="n">
        <v>45927</v>
      </c>
      <c r="D138" t="inlineStr">
        <is>
          <t>DALARNAS LÄN</t>
        </is>
      </c>
      <c r="E138" t="inlineStr">
        <is>
          <t>LEKSAND</t>
        </is>
      </c>
      <c r="G138" t="n">
        <v>3.1</v>
      </c>
      <c r="H138" t="n">
        <v>0</v>
      </c>
      <c r="I138" t="n">
        <v>0</v>
      </c>
      <c r="J138" t="n">
        <v>0</v>
      </c>
      <c r="K138" t="n">
        <v>0</v>
      </c>
      <c r="L138" t="n">
        <v>0</v>
      </c>
      <c r="M138" t="n">
        <v>0</v>
      </c>
      <c r="N138" t="n">
        <v>0</v>
      </c>
      <c r="O138" t="n">
        <v>0</v>
      </c>
      <c r="P138" t="n">
        <v>0</v>
      </c>
      <c r="Q138" t="n">
        <v>0</v>
      </c>
      <c r="R138" s="2" t="inlineStr"/>
    </row>
    <row r="139" ht="15" customHeight="1">
      <c r="A139" t="inlineStr">
        <is>
          <t>A 21457-2025</t>
        </is>
      </c>
      <c r="B139" s="1" t="n">
        <v>45782.55451388889</v>
      </c>
      <c r="C139" s="1" t="n">
        <v>45927</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17282-2025</t>
        </is>
      </c>
      <c r="B140" s="1" t="n">
        <v>45756.57114583333</v>
      </c>
      <c r="C140" s="1" t="n">
        <v>45927</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56016-2024</t>
        </is>
      </c>
      <c r="B141" s="1" t="n">
        <v>45623.87737268519</v>
      </c>
      <c r="C141" s="1" t="n">
        <v>45927</v>
      </c>
      <c r="D141" t="inlineStr">
        <is>
          <t>DALARNAS LÄN</t>
        </is>
      </c>
      <c r="E141" t="inlineStr">
        <is>
          <t>LEKSAND</t>
        </is>
      </c>
      <c r="G141" t="n">
        <v>6.1</v>
      </c>
      <c r="H141" t="n">
        <v>0</v>
      </c>
      <c r="I141" t="n">
        <v>0</v>
      </c>
      <c r="J141" t="n">
        <v>0</v>
      </c>
      <c r="K141" t="n">
        <v>0</v>
      </c>
      <c r="L141" t="n">
        <v>0</v>
      </c>
      <c r="M141" t="n">
        <v>0</v>
      </c>
      <c r="N141" t="n">
        <v>0</v>
      </c>
      <c r="O141" t="n">
        <v>0</v>
      </c>
      <c r="P141" t="n">
        <v>0</v>
      </c>
      <c r="Q141" t="n">
        <v>0</v>
      </c>
      <c r="R141" s="2" t="inlineStr"/>
    </row>
    <row r="142" ht="15" customHeight="1">
      <c r="A142" t="inlineStr">
        <is>
          <t>A 2158-2024</t>
        </is>
      </c>
      <c r="B142" s="1" t="n">
        <v>45309</v>
      </c>
      <c r="C142" s="1" t="n">
        <v>45927</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9857-2025</t>
        </is>
      </c>
      <c r="B143" s="1" t="n">
        <v>45716.62609953704</v>
      </c>
      <c r="C143" s="1" t="n">
        <v>45927</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45927</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5873-2025</t>
        </is>
      </c>
      <c r="B145" s="1" t="n">
        <v>45695.36715277778</v>
      </c>
      <c r="C145" s="1" t="n">
        <v>45927</v>
      </c>
      <c r="D145" t="inlineStr">
        <is>
          <t>DALARNAS LÄN</t>
        </is>
      </c>
      <c r="E145" t="inlineStr">
        <is>
          <t>LEKSAND</t>
        </is>
      </c>
      <c r="G145" t="n">
        <v>1.4</v>
      </c>
      <c r="H145" t="n">
        <v>0</v>
      </c>
      <c r="I145" t="n">
        <v>0</v>
      </c>
      <c r="J145" t="n">
        <v>0</v>
      </c>
      <c r="K145" t="n">
        <v>0</v>
      </c>
      <c r="L145" t="n">
        <v>0</v>
      </c>
      <c r="M145" t="n">
        <v>0</v>
      </c>
      <c r="N145" t="n">
        <v>0</v>
      </c>
      <c r="O145" t="n">
        <v>0</v>
      </c>
      <c r="P145" t="n">
        <v>0</v>
      </c>
      <c r="Q145" t="n">
        <v>0</v>
      </c>
      <c r="R145" s="2" t="inlineStr"/>
    </row>
    <row r="146" ht="15" customHeight="1">
      <c r="A146" t="inlineStr">
        <is>
          <t>A 30994-2023</t>
        </is>
      </c>
      <c r="B146" s="1" t="n">
        <v>45113</v>
      </c>
      <c r="C146" s="1" t="n">
        <v>45927</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35080-2022</t>
        </is>
      </c>
      <c r="B147" s="1" t="n">
        <v>44797</v>
      </c>
      <c r="C147" s="1" t="n">
        <v>45927</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70098-2021</t>
        </is>
      </c>
      <c r="B148" s="1" t="n">
        <v>44533</v>
      </c>
      <c r="C148" s="1" t="n">
        <v>45927</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33306-2023</t>
        </is>
      </c>
      <c r="B149" s="1" t="n">
        <v>45127</v>
      </c>
      <c r="C149" s="1" t="n">
        <v>45927</v>
      </c>
      <c r="D149" t="inlineStr">
        <is>
          <t>DALARNAS LÄN</t>
        </is>
      </c>
      <c r="E149" t="inlineStr">
        <is>
          <t>LEKSAND</t>
        </is>
      </c>
      <c r="G149" t="n">
        <v>2.2</v>
      </c>
      <c r="H149" t="n">
        <v>0</v>
      </c>
      <c r="I149" t="n">
        <v>0</v>
      </c>
      <c r="J149" t="n">
        <v>0</v>
      </c>
      <c r="K149" t="n">
        <v>0</v>
      </c>
      <c r="L149" t="n">
        <v>0</v>
      </c>
      <c r="M149" t="n">
        <v>0</v>
      </c>
      <c r="N149" t="n">
        <v>0</v>
      </c>
      <c r="O149" t="n">
        <v>0</v>
      </c>
      <c r="P149" t="n">
        <v>0</v>
      </c>
      <c r="Q149" t="n">
        <v>0</v>
      </c>
      <c r="R149" s="2" t="inlineStr"/>
    </row>
    <row r="150" ht="15" customHeight="1">
      <c r="A150" t="inlineStr">
        <is>
          <t>A 33316-2023</t>
        </is>
      </c>
      <c r="B150" s="1" t="n">
        <v>45127</v>
      </c>
      <c r="C150" s="1" t="n">
        <v>45927</v>
      </c>
      <c r="D150" t="inlineStr">
        <is>
          <t>DALARNAS LÄN</t>
        </is>
      </c>
      <c r="E150" t="inlineStr">
        <is>
          <t>LEKSAND</t>
        </is>
      </c>
      <c r="G150" t="n">
        <v>8.9</v>
      </c>
      <c r="H150" t="n">
        <v>0</v>
      </c>
      <c r="I150" t="n">
        <v>0</v>
      </c>
      <c r="J150" t="n">
        <v>0</v>
      </c>
      <c r="K150" t="n">
        <v>0</v>
      </c>
      <c r="L150" t="n">
        <v>0</v>
      </c>
      <c r="M150" t="n">
        <v>0</v>
      </c>
      <c r="N150" t="n">
        <v>0</v>
      </c>
      <c r="O150" t="n">
        <v>0</v>
      </c>
      <c r="P150" t="n">
        <v>0</v>
      </c>
      <c r="Q150" t="n">
        <v>0</v>
      </c>
      <c r="R150" s="2" t="inlineStr"/>
    </row>
    <row r="151" ht="15" customHeight="1">
      <c r="A151" t="inlineStr">
        <is>
          <t>A 37832-2023</t>
        </is>
      </c>
      <c r="B151" s="1" t="n">
        <v>45160.3479050926</v>
      </c>
      <c r="C151" s="1" t="n">
        <v>45927</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61554-2024</t>
        </is>
      </c>
      <c r="B152" s="1" t="n">
        <v>45646.60748842593</v>
      </c>
      <c r="C152" s="1" t="n">
        <v>45927</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9143-2023</t>
        </is>
      </c>
      <c r="B153" s="1" t="n">
        <v>44974</v>
      </c>
      <c r="C153" s="1" t="n">
        <v>45927</v>
      </c>
      <c r="D153" t="inlineStr">
        <is>
          <t>DALARNAS LÄN</t>
        </is>
      </c>
      <c r="E153" t="inlineStr">
        <is>
          <t>LEKSAND</t>
        </is>
      </c>
      <c r="G153" t="n">
        <v>4.3</v>
      </c>
      <c r="H153" t="n">
        <v>0</v>
      </c>
      <c r="I153" t="n">
        <v>0</v>
      </c>
      <c r="J153" t="n">
        <v>0</v>
      </c>
      <c r="K153" t="n">
        <v>0</v>
      </c>
      <c r="L153" t="n">
        <v>0</v>
      </c>
      <c r="M153" t="n">
        <v>0</v>
      </c>
      <c r="N153" t="n">
        <v>0</v>
      </c>
      <c r="O153" t="n">
        <v>0</v>
      </c>
      <c r="P153" t="n">
        <v>0</v>
      </c>
      <c r="Q153" t="n">
        <v>0</v>
      </c>
      <c r="R153" s="2" t="inlineStr"/>
    </row>
    <row r="154" ht="15" customHeight="1">
      <c r="A154" t="inlineStr">
        <is>
          <t>A 59236-2024</t>
        </is>
      </c>
      <c r="B154" s="1" t="n">
        <v>45637.58795138889</v>
      </c>
      <c r="C154" s="1" t="n">
        <v>45927</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22080-2025</t>
        </is>
      </c>
      <c r="B155" s="1" t="n">
        <v>45785</v>
      </c>
      <c r="C155" s="1" t="n">
        <v>45927</v>
      </c>
      <c r="D155" t="inlineStr">
        <is>
          <t>DALARNAS LÄN</t>
        </is>
      </c>
      <c r="E155" t="inlineStr">
        <is>
          <t>LEKSAND</t>
        </is>
      </c>
      <c r="G155" t="n">
        <v>7</v>
      </c>
      <c r="H155" t="n">
        <v>0</v>
      </c>
      <c r="I155" t="n">
        <v>0</v>
      </c>
      <c r="J155" t="n">
        <v>0</v>
      </c>
      <c r="K155" t="n">
        <v>0</v>
      </c>
      <c r="L155" t="n">
        <v>0</v>
      </c>
      <c r="M155" t="n">
        <v>0</v>
      </c>
      <c r="N155" t="n">
        <v>0</v>
      </c>
      <c r="O155" t="n">
        <v>0</v>
      </c>
      <c r="P155" t="n">
        <v>0</v>
      </c>
      <c r="Q155" t="n">
        <v>0</v>
      </c>
      <c r="R155" s="2" t="inlineStr"/>
    </row>
    <row r="156" ht="15" customHeight="1">
      <c r="A156" t="inlineStr">
        <is>
          <t>A 21916-2025</t>
        </is>
      </c>
      <c r="B156" s="1" t="n">
        <v>45784.50115740741</v>
      </c>
      <c r="C156" s="1" t="n">
        <v>45927</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33310-2023</t>
        </is>
      </c>
      <c r="B157" s="1" t="n">
        <v>45127.82231481482</v>
      </c>
      <c r="C157" s="1" t="n">
        <v>45927</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54844-2021</t>
        </is>
      </c>
      <c r="B158" s="1" t="n">
        <v>44474.30614583333</v>
      </c>
      <c r="C158" s="1" t="n">
        <v>45927</v>
      </c>
      <c r="D158" t="inlineStr">
        <is>
          <t>DALARNAS LÄN</t>
        </is>
      </c>
      <c r="E158" t="inlineStr">
        <is>
          <t>LEKSAND</t>
        </is>
      </c>
      <c r="G158" t="n">
        <v>1.9</v>
      </c>
      <c r="H158" t="n">
        <v>0</v>
      </c>
      <c r="I158" t="n">
        <v>0</v>
      </c>
      <c r="J158" t="n">
        <v>0</v>
      </c>
      <c r="K158" t="n">
        <v>0</v>
      </c>
      <c r="L158" t="n">
        <v>0</v>
      </c>
      <c r="M158" t="n">
        <v>0</v>
      </c>
      <c r="N158" t="n">
        <v>0</v>
      </c>
      <c r="O158" t="n">
        <v>0</v>
      </c>
      <c r="P158" t="n">
        <v>0</v>
      </c>
      <c r="Q158" t="n">
        <v>0</v>
      </c>
      <c r="R158" s="2" t="inlineStr"/>
    </row>
    <row r="159" ht="15" customHeight="1">
      <c r="A159" t="inlineStr">
        <is>
          <t>A 471-2025</t>
        </is>
      </c>
      <c r="B159" s="1" t="n">
        <v>45664.43394675926</v>
      </c>
      <c r="C159" s="1" t="n">
        <v>45927</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62307-2023</t>
        </is>
      </c>
      <c r="B160" s="1" t="n">
        <v>45266</v>
      </c>
      <c r="C160" s="1" t="n">
        <v>45927</v>
      </c>
      <c r="D160" t="inlineStr">
        <is>
          <t>DALARNAS LÄN</t>
        </is>
      </c>
      <c r="E160" t="inlineStr">
        <is>
          <t>LEKSAND</t>
        </is>
      </c>
      <c r="G160" t="n">
        <v>3.9</v>
      </c>
      <c r="H160" t="n">
        <v>0</v>
      </c>
      <c r="I160" t="n">
        <v>0</v>
      </c>
      <c r="J160" t="n">
        <v>0</v>
      </c>
      <c r="K160" t="n">
        <v>0</v>
      </c>
      <c r="L160" t="n">
        <v>0</v>
      </c>
      <c r="M160" t="n">
        <v>0</v>
      </c>
      <c r="N160" t="n">
        <v>0</v>
      </c>
      <c r="O160" t="n">
        <v>0</v>
      </c>
      <c r="P160" t="n">
        <v>0</v>
      </c>
      <c r="Q160" t="n">
        <v>0</v>
      </c>
      <c r="R160" s="2" t="inlineStr"/>
    </row>
    <row r="161" ht="15" customHeight="1">
      <c r="A161" t="inlineStr">
        <is>
          <t>A 33317-2023</t>
        </is>
      </c>
      <c r="B161" s="1" t="n">
        <v>45127.84586805556</v>
      </c>
      <c r="C161" s="1" t="n">
        <v>45927</v>
      </c>
      <c r="D161" t="inlineStr">
        <is>
          <t>DALARNAS LÄN</t>
        </is>
      </c>
      <c r="E161" t="inlineStr">
        <is>
          <t>LEKSAND</t>
        </is>
      </c>
      <c r="G161" t="n">
        <v>2.7</v>
      </c>
      <c r="H161" t="n">
        <v>0</v>
      </c>
      <c r="I161" t="n">
        <v>0</v>
      </c>
      <c r="J161" t="n">
        <v>0</v>
      </c>
      <c r="K161" t="n">
        <v>0</v>
      </c>
      <c r="L161" t="n">
        <v>0</v>
      </c>
      <c r="M161" t="n">
        <v>0</v>
      </c>
      <c r="N161" t="n">
        <v>0</v>
      </c>
      <c r="O161" t="n">
        <v>0</v>
      </c>
      <c r="P161" t="n">
        <v>0</v>
      </c>
      <c r="Q161" t="n">
        <v>0</v>
      </c>
      <c r="R161" s="2" t="inlineStr"/>
    </row>
    <row r="162" ht="15" customHeight="1">
      <c r="A162" t="inlineStr">
        <is>
          <t>A 33318-2023</t>
        </is>
      </c>
      <c r="B162" s="1" t="n">
        <v>45127</v>
      </c>
      <c r="C162" s="1" t="n">
        <v>45927</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61055-2023</t>
        </is>
      </c>
      <c r="B163" s="1" t="n">
        <v>45261</v>
      </c>
      <c r="C163" s="1" t="n">
        <v>45927</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14967-2023</t>
        </is>
      </c>
      <c r="B164" s="1" t="n">
        <v>45015</v>
      </c>
      <c r="C164" s="1" t="n">
        <v>45927</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52293-2024</t>
        </is>
      </c>
      <c r="B165" s="1" t="n">
        <v>45608.71297453704</v>
      </c>
      <c r="C165" s="1" t="n">
        <v>45927</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7861-2024</t>
        </is>
      </c>
      <c r="B166" s="1" t="n">
        <v>45350.30831018519</v>
      </c>
      <c r="C166" s="1" t="n">
        <v>45927</v>
      </c>
      <c r="D166" t="inlineStr">
        <is>
          <t>DALARNAS LÄN</t>
        </is>
      </c>
      <c r="E166" t="inlineStr">
        <is>
          <t>LEKSAND</t>
        </is>
      </c>
      <c r="G166" t="n">
        <v>1.8</v>
      </c>
      <c r="H166" t="n">
        <v>0</v>
      </c>
      <c r="I166" t="n">
        <v>0</v>
      </c>
      <c r="J166" t="n">
        <v>0</v>
      </c>
      <c r="K166" t="n">
        <v>0</v>
      </c>
      <c r="L166" t="n">
        <v>0</v>
      </c>
      <c r="M166" t="n">
        <v>0</v>
      </c>
      <c r="N166" t="n">
        <v>0</v>
      </c>
      <c r="O166" t="n">
        <v>0</v>
      </c>
      <c r="P166" t="n">
        <v>0</v>
      </c>
      <c r="Q166" t="n">
        <v>0</v>
      </c>
      <c r="R166" s="2" t="inlineStr"/>
    </row>
    <row r="167" ht="15" customHeight="1">
      <c r="A167" t="inlineStr">
        <is>
          <t>A 1182-2025</t>
        </is>
      </c>
      <c r="B167" s="1" t="n">
        <v>45667.35712962963</v>
      </c>
      <c r="C167" s="1" t="n">
        <v>45927</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34038-2024</t>
        </is>
      </c>
      <c r="B168" s="1" t="n">
        <v>45523.59578703704</v>
      </c>
      <c r="C168" s="1" t="n">
        <v>45927</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34041-2024</t>
        </is>
      </c>
      <c r="B169" s="1" t="n">
        <v>45523.59895833334</v>
      </c>
      <c r="C169" s="1" t="n">
        <v>45927</v>
      </c>
      <c r="D169" t="inlineStr">
        <is>
          <t>DALARNAS LÄN</t>
        </is>
      </c>
      <c r="E169" t="inlineStr">
        <is>
          <t>LEKSAND</t>
        </is>
      </c>
      <c r="G169" t="n">
        <v>4</v>
      </c>
      <c r="H169" t="n">
        <v>0</v>
      </c>
      <c r="I169" t="n">
        <v>0</v>
      </c>
      <c r="J169" t="n">
        <v>0</v>
      </c>
      <c r="K169" t="n">
        <v>0</v>
      </c>
      <c r="L169" t="n">
        <v>0</v>
      </c>
      <c r="M169" t="n">
        <v>0</v>
      </c>
      <c r="N169" t="n">
        <v>0</v>
      </c>
      <c r="O169" t="n">
        <v>0</v>
      </c>
      <c r="P169" t="n">
        <v>0</v>
      </c>
      <c r="Q169" t="n">
        <v>0</v>
      </c>
      <c r="R169" s="2" t="inlineStr"/>
    </row>
    <row r="170" ht="15" customHeight="1">
      <c r="A170" t="inlineStr">
        <is>
          <t>A 23896-2024</t>
        </is>
      </c>
      <c r="B170" s="1" t="n">
        <v>45455.6758449074</v>
      </c>
      <c r="C170" s="1" t="n">
        <v>45927</v>
      </c>
      <c r="D170" t="inlineStr">
        <is>
          <t>DALARNAS LÄN</t>
        </is>
      </c>
      <c r="E170" t="inlineStr">
        <is>
          <t>LEKSAND</t>
        </is>
      </c>
      <c r="F170" t="inlineStr">
        <is>
          <t>Övriga Aktiebolag</t>
        </is>
      </c>
      <c r="G170" t="n">
        <v>0.9</v>
      </c>
      <c r="H170" t="n">
        <v>0</v>
      </c>
      <c r="I170" t="n">
        <v>0</v>
      </c>
      <c r="J170" t="n">
        <v>0</v>
      </c>
      <c r="K170" t="n">
        <v>0</v>
      </c>
      <c r="L170" t="n">
        <v>0</v>
      </c>
      <c r="M170" t="n">
        <v>0</v>
      </c>
      <c r="N170" t="n">
        <v>0</v>
      </c>
      <c r="O170" t="n">
        <v>0</v>
      </c>
      <c r="P170" t="n">
        <v>0</v>
      </c>
      <c r="Q170" t="n">
        <v>0</v>
      </c>
      <c r="R170" s="2" t="inlineStr"/>
    </row>
    <row r="171" ht="15" customHeight="1">
      <c r="A171" t="inlineStr">
        <is>
          <t>A 24142-2021</t>
        </is>
      </c>
      <c r="B171" s="1" t="n">
        <v>44336</v>
      </c>
      <c r="C171" s="1" t="n">
        <v>45927</v>
      </c>
      <c r="D171" t="inlineStr">
        <is>
          <t>DALARNAS LÄN</t>
        </is>
      </c>
      <c r="E171" t="inlineStr">
        <is>
          <t>LEKSAND</t>
        </is>
      </c>
      <c r="F171" t="inlineStr">
        <is>
          <t>Bergvik skog väst AB</t>
        </is>
      </c>
      <c r="G171" t="n">
        <v>18.9</v>
      </c>
      <c r="H171" t="n">
        <v>0</v>
      </c>
      <c r="I171" t="n">
        <v>0</v>
      </c>
      <c r="J171" t="n">
        <v>0</v>
      </c>
      <c r="K171" t="n">
        <v>0</v>
      </c>
      <c r="L171" t="n">
        <v>0</v>
      </c>
      <c r="M171" t="n">
        <v>0</v>
      </c>
      <c r="N171" t="n">
        <v>0</v>
      </c>
      <c r="O171" t="n">
        <v>0</v>
      </c>
      <c r="P171" t="n">
        <v>0</v>
      </c>
      <c r="Q171" t="n">
        <v>0</v>
      </c>
      <c r="R171" s="2" t="inlineStr"/>
    </row>
    <row r="172" ht="15" customHeight="1">
      <c r="A172" t="inlineStr">
        <is>
          <t>A 36534-2024</t>
        </is>
      </c>
      <c r="B172" s="1" t="n">
        <v>45537.45143518518</v>
      </c>
      <c r="C172" s="1" t="n">
        <v>45927</v>
      </c>
      <c r="D172" t="inlineStr">
        <is>
          <t>DALARNAS LÄN</t>
        </is>
      </c>
      <c r="E172" t="inlineStr">
        <is>
          <t>LEKSAND</t>
        </is>
      </c>
      <c r="G172" t="n">
        <v>4</v>
      </c>
      <c r="H172" t="n">
        <v>0</v>
      </c>
      <c r="I172" t="n">
        <v>0</v>
      </c>
      <c r="J172" t="n">
        <v>0</v>
      </c>
      <c r="K172" t="n">
        <v>0</v>
      </c>
      <c r="L172" t="n">
        <v>0</v>
      </c>
      <c r="M172" t="n">
        <v>0</v>
      </c>
      <c r="N172" t="n">
        <v>0</v>
      </c>
      <c r="O172" t="n">
        <v>0</v>
      </c>
      <c r="P172" t="n">
        <v>0</v>
      </c>
      <c r="Q172" t="n">
        <v>0</v>
      </c>
      <c r="R172" s="2" t="inlineStr"/>
    </row>
    <row r="173" ht="15" customHeight="1">
      <c r="A173" t="inlineStr">
        <is>
          <t>A 14865-2025</t>
        </is>
      </c>
      <c r="B173" s="1" t="n">
        <v>45743.43929398148</v>
      </c>
      <c r="C173" s="1" t="n">
        <v>45927</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28032-2024</t>
        </is>
      </c>
      <c r="B174" s="1" t="n">
        <v>45476.49346064815</v>
      </c>
      <c r="C174" s="1" t="n">
        <v>45927</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46665-2023</t>
        </is>
      </c>
      <c r="B175" s="1" t="n">
        <v>45198.47399305556</v>
      </c>
      <c r="C175" s="1" t="n">
        <v>45927</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56943-2024</t>
        </is>
      </c>
      <c r="B176" s="1" t="n">
        <v>45625</v>
      </c>
      <c r="C176" s="1" t="n">
        <v>45927</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60715-2022</t>
        </is>
      </c>
      <c r="B177" s="1" t="n">
        <v>44912</v>
      </c>
      <c r="C177" s="1" t="n">
        <v>45927</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15619-2025</t>
        </is>
      </c>
      <c r="B178" s="1" t="n">
        <v>45747</v>
      </c>
      <c r="C178" s="1" t="n">
        <v>45927</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22536-2025</t>
        </is>
      </c>
      <c r="B179" s="1" t="n">
        <v>45787.33037037037</v>
      </c>
      <c r="C179" s="1" t="n">
        <v>45927</v>
      </c>
      <c r="D179" t="inlineStr">
        <is>
          <t>DALARNAS LÄN</t>
        </is>
      </c>
      <c r="E179" t="inlineStr">
        <is>
          <t>LEKSAND</t>
        </is>
      </c>
      <c r="G179" t="n">
        <v>1.8</v>
      </c>
      <c r="H179" t="n">
        <v>0</v>
      </c>
      <c r="I179" t="n">
        <v>0</v>
      </c>
      <c r="J179" t="n">
        <v>0</v>
      </c>
      <c r="K179" t="n">
        <v>0</v>
      </c>
      <c r="L179" t="n">
        <v>0</v>
      </c>
      <c r="M179" t="n">
        <v>0</v>
      </c>
      <c r="N179" t="n">
        <v>0</v>
      </c>
      <c r="O179" t="n">
        <v>0</v>
      </c>
      <c r="P179" t="n">
        <v>0</v>
      </c>
      <c r="Q179" t="n">
        <v>0</v>
      </c>
      <c r="R179" s="2" t="inlineStr"/>
    </row>
    <row r="180" ht="15" customHeight="1">
      <c r="A180" t="inlineStr">
        <is>
          <t>A 21954-2023</t>
        </is>
      </c>
      <c r="B180" s="1" t="n">
        <v>45068</v>
      </c>
      <c r="C180" s="1" t="n">
        <v>45927</v>
      </c>
      <c r="D180" t="inlineStr">
        <is>
          <t>DALARNAS LÄN</t>
        </is>
      </c>
      <c r="E180" t="inlineStr">
        <is>
          <t>LEKSAND</t>
        </is>
      </c>
      <c r="G180" t="n">
        <v>0.8</v>
      </c>
      <c r="H180" t="n">
        <v>0</v>
      </c>
      <c r="I180" t="n">
        <v>0</v>
      </c>
      <c r="J180" t="n">
        <v>0</v>
      </c>
      <c r="K180" t="n">
        <v>0</v>
      </c>
      <c r="L180" t="n">
        <v>0</v>
      </c>
      <c r="M180" t="n">
        <v>0</v>
      </c>
      <c r="N180" t="n">
        <v>0</v>
      </c>
      <c r="O180" t="n">
        <v>0</v>
      </c>
      <c r="P180" t="n">
        <v>0</v>
      </c>
      <c r="Q180" t="n">
        <v>0</v>
      </c>
      <c r="R180" s="2" t="inlineStr"/>
    </row>
    <row r="181" ht="15" customHeight="1">
      <c r="A181" t="inlineStr">
        <is>
          <t>A 14797-2025</t>
        </is>
      </c>
      <c r="B181" s="1" t="n">
        <v>45742.90363425926</v>
      </c>
      <c r="C181" s="1" t="n">
        <v>45927</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59751-2024</t>
        </is>
      </c>
      <c r="B182" s="1" t="n">
        <v>45638</v>
      </c>
      <c r="C182" s="1" t="n">
        <v>45927</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28128-2022</t>
        </is>
      </c>
      <c r="B183" s="1" t="n">
        <v>44746.50628472222</v>
      </c>
      <c r="C183" s="1" t="n">
        <v>45927</v>
      </c>
      <c r="D183" t="inlineStr">
        <is>
          <t>DALARNAS LÄN</t>
        </is>
      </c>
      <c r="E183" t="inlineStr">
        <is>
          <t>LEKSAND</t>
        </is>
      </c>
      <c r="G183" t="n">
        <v>3.5</v>
      </c>
      <c r="H183" t="n">
        <v>0</v>
      </c>
      <c r="I183" t="n">
        <v>0</v>
      </c>
      <c r="J183" t="n">
        <v>0</v>
      </c>
      <c r="K183" t="n">
        <v>0</v>
      </c>
      <c r="L183" t="n">
        <v>0</v>
      </c>
      <c r="M183" t="n">
        <v>0</v>
      </c>
      <c r="N183" t="n">
        <v>0</v>
      </c>
      <c r="O183" t="n">
        <v>0</v>
      </c>
      <c r="P183" t="n">
        <v>0</v>
      </c>
      <c r="Q183" t="n">
        <v>0</v>
      </c>
      <c r="R183" s="2" t="inlineStr"/>
    </row>
    <row r="184" ht="15" customHeight="1">
      <c r="A184" t="inlineStr">
        <is>
          <t>A 61787-2022</t>
        </is>
      </c>
      <c r="B184" s="1" t="n">
        <v>44917</v>
      </c>
      <c r="C184" s="1" t="n">
        <v>45927</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18837-2023</t>
        </is>
      </c>
      <c r="B185" s="1" t="n">
        <v>45044.42940972222</v>
      </c>
      <c r="C185" s="1" t="n">
        <v>45927</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61288-2022</t>
        </is>
      </c>
      <c r="B186" s="1" t="n">
        <v>44915</v>
      </c>
      <c r="C186" s="1" t="n">
        <v>45927</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60042-2023</t>
        </is>
      </c>
      <c r="B187" s="1" t="n">
        <v>45256</v>
      </c>
      <c r="C187" s="1" t="n">
        <v>45927</v>
      </c>
      <c r="D187" t="inlineStr">
        <is>
          <t>DALARNAS LÄN</t>
        </is>
      </c>
      <c r="E187" t="inlineStr">
        <is>
          <t>LEKSAND</t>
        </is>
      </c>
      <c r="G187" t="n">
        <v>2</v>
      </c>
      <c r="H187" t="n">
        <v>0</v>
      </c>
      <c r="I187" t="n">
        <v>0</v>
      </c>
      <c r="J187" t="n">
        <v>0</v>
      </c>
      <c r="K187" t="n">
        <v>0</v>
      </c>
      <c r="L187" t="n">
        <v>0</v>
      </c>
      <c r="M187" t="n">
        <v>0</v>
      </c>
      <c r="N187" t="n">
        <v>0</v>
      </c>
      <c r="O187" t="n">
        <v>0</v>
      </c>
      <c r="P187" t="n">
        <v>0</v>
      </c>
      <c r="Q187" t="n">
        <v>0</v>
      </c>
      <c r="R187" s="2" t="inlineStr"/>
    </row>
    <row r="188" ht="15" customHeight="1">
      <c r="A188" t="inlineStr">
        <is>
          <t>A 1215-2024</t>
        </is>
      </c>
      <c r="B188" s="1" t="n">
        <v>45302</v>
      </c>
      <c r="C188" s="1" t="n">
        <v>45927</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61502-2023</t>
        </is>
      </c>
      <c r="B189" s="1" t="n">
        <v>45264</v>
      </c>
      <c r="C189" s="1" t="n">
        <v>45927</v>
      </c>
      <c r="D189" t="inlineStr">
        <is>
          <t>DALARNAS LÄN</t>
        </is>
      </c>
      <c r="E189" t="inlineStr">
        <is>
          <t>LEKSAND</t>
        </is>
      </c>
      <c r="G189" t="n">
        <v>5.2</v>
      </c>
      <c r="H189" t="n">
        <v>0</v>
      </c>
      <c r="I189" t="n">
        <v>0</v>
      </c>
      <c r="J189" t="n">
        <v>0</v>
      </c>
      <c r="K189" t="n">
        <v>0</v>
      </c>
      <c r="L189" t="n">
        <v>0</v>
      </c>
      <c r="M189" t="n">
        <v>0</v>
      </c>
      <c r="N189" t="n">
        <v>0</v>
      </c>
      <c r="O189" t="n">
        <v>0</v>
      </c>
      <c r="P189" t="n">
        <v>0</v>
      </c>
      <c r="Q189" t="n">
        <v>0</v>
      </c>
      <c r="R189" s="2" t="inlineStr"/>
    </row>
    <row r="190" ht="15" customHeight="1">
      <c r="A190" t="inlineStr">
        <is>
          <t>A 60040-2023</t>
        </is>
      </c>
      <c r="B190" s="1" t="n">
        <v>45256</v>
      </c>
      <c r="C190" s="1" t="n">
        <v>45927</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52059-2024</t>
        </is>
      </c>
      <c r="B191" s="1" t="n">
        <v>45608.35609953704</v>
      </c>
      <c r="C191" s="1" t="n">
        <v>45927</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21839-2022</t>
        </is>
      </c>
      <c r="B192" s="1" t="n">
        <v>44711</v>
      </c>
      <c r="C192" s="1" t="n">
        <v>45927</v>
      </c>
      <c r="D192" t="inlineStr">
        <is>
          <t>DALARNAS LÄN</t>
        </is>
      </c>
      <c r="E192" t="inlineStr">
        <is>
          <t>LEKSAND</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34244-2024</t>
        </is>
      </c>
      <c r="B193" s="1" t="n">
        <v>45524.58349537037</v>
      </c>
      <c r="C193" s="1" t="n">
        <v>45927</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61269-2022</t>
        </is>
      </c>
      <c r="B194" s="1" t="n">
        <v>44909</v>
      </c>
      <c r="C194" s="1" t="n">
        <v>45927</v>
      </c>
      <c r="D194" t="inlineStr">
        <is>
          <t>DALARNAS LÄN</t>
        </is>
      </c>
      <c r="E194" t="inlineStr">
        <is>
          <t>LEKSAND</t>
        </is>
      </c>
      <c r="G194" t="n">
        <v>4.2</v>
      </c>
      <c r="H194" t="n">
        <v>0</v>
      </c>
      <c r="I194" t="n">
        <v>0</v>
      </c>
      <c r="J194" t="n">
        <v>0</v>
      </c>
      <c r="K194" t="n">
        <v>0</v>
      </c>
      <c r="L194" t="n">
        <v>0</v>
      </c>
      <c r="M194" t="n">
        <v>0</v>
      </c>
      <c r="N194" t="n">
        <v>0</v>
      </c>
      <c r="O194" t="n">
        <v>0</v>
      </c>
      <c r="P194" t="n">
        <v>0</v>
      </c>
      <c r="Q194" t="n">
        <v>0</v>
      </c>
      <c r="R194" s="2" t="inlineStr"/>
    </row>
    <row r="195" ht="15" customHeight="1">
      <c r="A195" t="inlineStr">
        <is>
          <t>A 64933-2023</t>
        </is>
      </c>
      <c r="B195" s="1" t="n">
        <v>45282</v>
      </c>
      <c r="C195" s="1" t="n">
        <v>45927</v>
      </c>
      <c r="D195" t="inlineStr">
        <is>
          <t>DALARNAS LÄN</t>
        </is>
      </c>
      <c r="E195" t="inlineStr">
        <is>
          <t>LEKSAND</t>
        </is>
      </c>
      <c r="G195" t="n">
        <v>2.3</v>
      </c>
      <c r="H195" t="n">
        <v>0</v>
      </c>
      <c r="I195" t="n">
        <v>0</v>
      </c>
      <c r="J195" t="n">
        <v>0</v>
      </c>
      <c r="K195" t="n">
        <v>0</v>
      </c>
      <c r="L195" t="n">
        <v>0</v>
      </c>
      <c r="M195" t="n">
        <v>0</v>
      </c>
      <c r="N195" t="n">
        <v>0</v>
      </c>
      <c r="O195" t="n">
        <v>0</v>
      </c>
      <c r="P195" t="n">
        <v>0</v>
      </c>
      <c r="Q195" t="n">
        <v>0</v>
      </c>
      <c r="R195" s="2" t="inlineStr"/>
    </row>
    <row r="196" ht="15" customHeight="1">
      <c r="A196" t="inlineStr">
        <is>
          <t>A 55268-2024</t>
        </is>
      </c>
      <c r="B196" s="1" t="n">
        <v>45621.61266203703</v>
      </c>
      <c r="C196" s="1" t="n">
        <v>45927</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8743-2023</t>
        </is>
      </c>
      <c r="B197" s="1" t="n">
        <v>44978</v>
      </c>
      <c r="C197" s="1" t="n">
        <v>45927</v>
      </c>
      <c r="D197" t="inlineStr">
        <is>
          <t>DALARNAS LÄN</t>
        </is>
      </c>
      <c r="E197" t="inlineStr">
        <is>
          <t>LEKSAND</t>
        </is>
      </c>
      <c r="G197" t="n">
        <v>3</v>
      </c>
      <c r="H197" t="n">
        <v>0</v>
      </c>
      <c r="I197" t="n">
        <v>0</v>
      </c>
      <c r="J197" t="n">
        <v>0</v>
      </c>
      <c r="K197" t="n">
        <v>0</v>
      </c>
      <c r="L197" t="n">
        <v>0</v>
      </c>
      <c r="M197" t="n">
        <v>0</v>
      </c>
      <c r="N197" t="n">
        <v>0</v>
      </c>
      <c r="O197" t="n">
        <v>0</v>
      </c>
      <c r="P197" t="n">
        <v>0</v>
      </c>
      <c r="Q197" t="n">
        <v>0</v>
      </c>
      <c r="R197" s="2" t="inlineStr"/>
    </row>
    <row r="198" ht="15" customHeight="1">
      <c r="A198" t="inlineStr">
        <is>
          <t>A 15020-2023</t>
        </is>
      </c>
      <c r="B198" s="1" t="n">
        <v>45015.6196412037</v>
      </c>
      <c r="C198" s="1" t="n">
        <v>45927</v>
      </c>
      <c r="D198" t="inlineStr">
        <is>
          <t>DALARNAS LÄN</t>
        </is>
      </c>
      <c r="E198" t="inlineStr">
        <is>
          <t>LEKSAND</t>
        </is>
      </c>
      <c r="G198" t="n">
        <v>2.6</v>
      </c>
      <c r="H198" t="n">
        <v>0</v>
      </c>
      <c r="I198" t="n">
        <v>0</v>
      </c>
      <c r="J198" t="n">
        <v>0</v>
      </c>
      <c r="K198" t="n">
        <v>0</v>
      </c>
      <c r="L198" t="n">
        <v>0</v>
      </c>
      <c r="M198" t="n">
        <v>0</v>
      </c>
      <c r="N198" t="n">
        <v>0</v>
      </c>
      <c r="O198" t="n">
        <v>0</v>
      </c>
      <c r="P198" t="n">
        <v>0</v>
      </c>
      <c r="Q198" t="n">
        <v>0</v>
      </c>
      <c r="R198" s="2" t="inlineStr"/>
    </row>
    <row r="199" ht="15" customHeight="1">
      <c r="A199" t="inlineStr">
        <is>
          <t>A 24003-2024</t>
        </is>
      </c>
      <c r="B199" s="1" t="n">
        <v>45456.39003472222</v>
      </c>
      <c r="C199" s="1" t="n">
        <v>45927</v>
      </c>
      <c r="D199" t="inlineStr">
        <is>
          <t>DALARNAS LÄN</t>
        </is>
      </c>
      <c r="E199" t="inlineStr">
        <is>
          <t>LEKSAND</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47640-2024</t>
        </is>
      </c>
      <c r="B200" s="1" t="n">
        <v>45588.36508101852</v>
      </c>
      <c r="C200" s="1" t="n">
        <v>45927</v>
      </c>
      <c r="D200" t="inlineStr">
        <is>
          <t>DALARNAS LÄN</t>
        </is>
      </c>
      <c r="E200" t="inlineStr">
        <is>
          <t>LEKSAND</t>
        </is>
      </c>
      <c r="G200" t="n">
        <v>9.1</v>
      </c>
      <c r="H200" t="n">
        <v>0</v>
      </c>
      <c r="I200" t="n">
        <v>0</v>
      </c>
      <c r="J200" t="n">
        <v>0</v>
      </c>
      <c r="K200" t="n">
        <v>0</v>
      </c>
      <c r="L200" t="n">
        <v>0</v>
      </c>
      <c r="M200" t="n">
        <v>0</v>
      </c>
      <c r="N200" t="n">
        <v>0</v>
      </c>
      <c r="O200" t="n">
        <v>0</v>
      </c>
      <c r="P200" t="n">
        <v>0</v>
      </c>
      <c r="Q200" t="n">
        <v>0</v>
      </c>
      <c r="R200" s="2" t="inlineStr"/>
    </row>
    <row r="201" ht="15" customHeight="1">
      <c r="A201" t="inlineStr">
        <is>
          <t>A 34585-2024</t>
        </is>
      </c>
      <c r="B201" s="1" t="n">
        <v>45526.37697916666</v>
      </c>
      <c r="C201" s="1" t="n">
        <v>45927</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10743-2024</t>
        </is>
      </c>
      <c r="B202" s="1" t="n">
        <v>45369.52167824074</v>
      </c>
      <c r="C202" s="1" t="n">
        <v>45927</v>
      </c>
      <c r="D202" t="inlineStr">
        <is>
          <t>DALARNAS LÄN</t>
        </is>
      </c>
      <c r="E202" t="inlineStr">
        <is>
          <t>LEKSAND</t>
        </is>
      </c>
      <c r="G202" t="n">
        <v>2.7</v>
      </c>
      <c r="H202" t="n">
        <v>0</v>
      </c>
      <c r="I202" t="n">
        <v>0</v>
      </c>
      <c r="J202" t="n">
        <v>0</v>
      </c>
      <c r="K202" t="n">
        <v>0</v>
      </c>
      <c r="L202" t="n">
        <v>0</v>
      </c>
      <c r="M202" t="n">
        <v>0</v>
      </c>
      <c r="N202" t="n">
        <v>0</v>
      </c>
      <c r="O202" t="n">
        <v>0</v>
      </c>
      <c r="P202" t="n">
        <v>0</v>
      </c>
      <c r="Q202" t="n">
        <v>0</v>
      </c>
      <c r="R202" s="2" t="inlineStr"/>
    </row>
    <row r="203" ht="15" customHeight="1">
      <c r="A203" t="inlineStr">
        <is>
          <t>A 10771-2024</t>
        </is>
      </c>
      <c r="B203" s="1" t="n">
        <v>45369.57342592593</v>
      </c>
      <c r="C203" s="1" t="n">
        <v>45927</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17759-2023</t>
        </is>
      </c>
      <c r="B204" s="1" t="n">
        <v>45037.48765046296</v>
      </c>
      <c r="C204" s="1" t="n">
        <v>45927</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57468-2023</t>
        </is>
      </c>
      <c r="B205" s="1" t="n">
        <v>45246</v>
      </c>
      <c r="C205" s="1" t="n">
        <v>45927</v>
      </c>
      <c r="D205" t="inlineStr">
        <is>
          <t>DALARNAS LÄN</t>
        </is>
      </c>
      <c r="E205" t="inlineStr">
        <is>
          <t>LEKSAND</t>
        </is>
      </c>
      <c r="G205" t="n">
        <v>4.6</v>
      </c>
      <c r="H205" t="n">
        <v>0</v>
      </c>
      <c r="I205" t="n">
        <v>0</v>
      </c>
      <c r="J205" t="n">
        <v>0</v>
      </c>
      <c r="K205" t="n">
        <v>0</v>
      </c>
      <c r="L205" t="n">
        <v>0</v>
      </c>
      <c r="M205" t="n">
        <v>0</v>
      </c>
      <c r="N205" t="n">
        <v>0</v>
      </c>
      <c r="O205" t="n">
        <v>0</v>
      </c>
      <c r="P205" t="n">
        <v>0</v>
      </c>
      <c r="Q205" t="n">
        <v>0</v>
      </c>
      <c r="R205" s="2" t="inlineStr"/>
    </row>
    <row r="206" ht="15" customHeight="1">
      <c r="A206" t="inlineStr">
        <is>
          <t>A 22876-2025</t>
        </is>
      </c>
      <c r="B206" s="1" t="n">
        <v>45790.3728587963</v>
      </c>
      <c r="C206" s="1" t="n">
        <v>45927</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49499-2024</t>
        </is>
      </c>
      <c r="B207" s="1" t="n">
        <v>45596</v>
      </c>
      <c r="C207" s="1" t="n">
        <v>45927</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56941-2024</t>
        </is>
      </c>
      <c r="B208" s="1" t="n">
        <v>45625</v>
      </c>
      <c r="C208" s="1" t="n">
        <v>45927</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72575-2021</t>
        </is>
      </c>
      <c r="B209" s="1" t="n">
        <v>44546</v>
      </c>
      <c r="C209" s="1" t="n">
        <v>45927</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72581-2021</t>
        </is>
      </c>
      <c r="B210" s="1" t="n">
        <v>44546.46354166666</v>
      </c>
      <c r="C210" s="1" t="n">
        <v>45927</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33143-2024</t>
        </is>
      </c>
      <c r="B211" s="1" t="n">
        <v>45518</v>
      </c>
      <c r="C211" s="1" t="n">
        <v>45927</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16051-2023</t>
        </is>
      </c>
      <c r="B212" s="1" t="n">
        <v>45027</v>
      </c>
      <c r="C212" s="1" t="n">
        <v>45927</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63514-2023</t>
        </is>
      </c>
      <c r="B213" s="1" t="n">
        <v>45274</v>
      </c>
      <c r="C213" s="1" t="n">
        <v>45927</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44822-2024</t>
        </is>
      </c>
      <c r="B214" s="1" t="n">
        <v>45574.6646412037</v>
      </c>
      <c r="C214" s="1" t="n">
        <v>45927</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2311-2021</t>
        </is>
      </c>
      <c r="B215" s="1" t="n">
        <v>44213</v>
      </c>
      <c r="C215" s="1" t="n">
        <v>45927</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23058-2025</t>
        </is>
      </c>
      <c r="B216" s="1" t="n">
        <v>45790.78076388889</v>
      </c>
      <c r="C216" s="1" t="n">
        <v>45927</v>
      </c>
      <c r="D216" t="inlineStr">
        <is>
          <t>DALARNAS LÄN</t>
        </is>
      </c>
      <c r="E216" t="inlineStr">
        <is>
          <t>LEKSAND</t>
        </is>
      </c>
      <c r="G216" t="n">
        <v>6.7</v>
      </c>
      <c r="H216" t="n">
        <v>0</v>
      </c>
      <c r="I216" t="n">
        <v>0</v>
      </c>
      <c r="J216" t="n">
        <v>0</v>
      </c>
      <c r="K216" t="n">
        <v>0</v>
      </c>
      <c r="L216" t="n">
        <v>0</v>
      </c>
      <c r="M216" t="n">
        <v>0</v>
      </c>
      <c r="N216" t="n">
        <v>0</v>
      </c>
      <c r="O216" t="n">
        <v>0</v>
      </c>
      <c r="P216" t="n">
        <v>0</v>
      </c>
      <c r="Q216" t="n">
        <v>0</v>
      </c>
      <c r="R216" s="2" t="inlineStr"/>
    </row>
    <row r="217" ht="15" customHeight="1">
      <c r="A217" t="inlineStr">
        <is>
          <t>A 23076-2025</t>
        </is>
      </c>
      <c r="B217" s="1" t="n">
        <v>45790.90960648148</v>
      </c>
      <c r="C217" s="1" t="n">
        <v>45927</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46446-2023</t>
        </is>
      </c>
      <c r="B218" s="1" t="n">
        <v>45197.59344907408</v>
      </c>
      <c r="C218" s="1" t="n">
        <v>45927</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52100-2024</t>
        </is>
      </c>
      <c r="B219" s="1" t="n">
        <v>45608.41634259259</v>
      </c>
      <c r="C219" s="1" t="n">
        <v>45927</v>
      </c>
      <c r="D219" t="inlineStr">
        <is>
          <t>DALARNAS LÄN</t>
        </is>
      </c>
      <c r="E219" t="inlineStr">
        <is>
          <t>LEKSAND</t>
        </is>
      </c>
      <c r="G219" t="n">
        <v>1.9</v>
      </c>
      <c r="H219" t="n">
        <v>0</v>
      </c>
      <c r="I219" t="n">
        <v>0</v>
      </c>
      <c r="J219" t="n">
        <v>0</v>
      </c>
      <c r="K219" t="n">
        <v>0</v>
      </c>
      <c r="L219" t="n">
        <v>0</v>
      </c>
      <c r="M219" t="n">
        <v>0</v>
      </c>
      <c r="N219" t="n">
        <v>0</v>
      </c>
      <c r="O219" t="n">
        <v>0</v>
      </c>
      <c r="P219" t="n">
        <v>0</v>
      </c>
      <c r="Q219" t="n">
        <v>0</v>
      </c>
      <c r="R219" s="2" t="inlineStr"/>
    </row>
    <row r="220" ht="15" customHeight="1">
      <c r="A220" t="inlineStr">
        <is>
          <t>A 23855-2025</t>
        </is>
      </c>
      <c r="B220" s="1" t="n">
        <v>45793.65900462963</v>
      </c>
      <c r="C220" s="1" t="n">
        <v>45927</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53981-2024</t>
        </is>
      </c>
      <c r="B221" s="1" t="n">
        <v>45615</v>
      </c>
      <c r="C221" s="1" t="n">
        <v>45927</v>
      </c>
      <c r="D221" t="inlineStr">
        <is>
          <t>DALARNAS LÄN</t>
        </is>
      </c>
      <c r="E221" t="inlineStr">
        <is>
          <t>LEKSAND</t>
        </is>
      </c>
      <c r="G221" t="n">
        <v>5.4</v>
      </c>
      <c r="H221" t="n">
        <v>0</v>
      </c>
      <c r="I221" t="n">
        <v>0</v>
      </c>
      <c r="J221" t="n">
        <v>0</v>
      </c>
      <c r="K221" t="n">
        <v>0</v>
      </c>
      <c r="L221" t="n">
        <v>0</v>
      </c>
      <c r="M221" t="n">
        <v>0</v>
      </c>
      <c r="N221" t="n">
        <v>0</v>
      </c>
      <c r="O221" t="n">
        <v>0</v>
      </c>
      <c r="P221" t="n">
        <v>0</v>
      </c>
      <c r="Q221" t="n">
        <v>0</v>
      </c>
      <c r="R221" s="2" t="inlineStr"/>
    </row>
    <row r="222" ht="15" customHeight="1">
      <c r="A222" t="inlineStr">
        <is>
          <t>A 34033-2024</t>
        </is>
      </c>
      <c r="B222" s="1" t="n">
        <v>45523.59265046296</v>
      </c>
      <c r="C222" s="1" t="n">
        <v>45927</v>
      </c>
      <c r="D222" t="inlineStr">
        <is>
          <t>DALARNAS LÄN</t>
        </is>
      </c>
      <c r="E222" t="inlineStr">
        <is>
          <t>LEKSAND</t>
        </is>
      </c>
      <c r="G222" t="n">
        <v>2.6</v>
      </c>
      <c r="H222" t="n">
        <v>0</v>
      </c>
      <c r="I222" t="n">
        <v>0</v>
      </c>
      <c r="J222" t="n">
        <v>0</v>
      </c>
      <c r="K222" t="n">
        <v>0</v>
      </c>
      <c r="L222" t="n">
        <v>0</v>
      </c>
      <c r="M222" t="n">
        <v>0</v>
      </c>
      <c r="N222" t="n">
        <v>0</v>
      </c>
      <c r="O222" t="n">
        <v>0</v>
      </c>
      <c r="P222" t="n">
        <v>0</v>
      </c>
      <c r="Q222" t="n">
        <v>0</v>
      </c>
      <c r="R222" s="2" t="inlineStr"/>
    </row>
    <row r="223" ht="15" customHeight="1">
      <c r="A223" t="inlineStr">
        <is>
          <t>A 32635-2021</t>
        </is>
      </c>
      <c r="B223" s="1" t="n">
        <v>44374</v>
      </c>
      <c r="C223" s="1" t="n">
        <v>45927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23891-2025</t>
        </is>
      </c>
      <c r="B224" s="1" t="n">
        <v>45793</v>
      </c>
      <c r="C224" s="1" t="n">
        <v>45927</v>
      </c>
      <c r="D224" t="inlineStr">
        <is>
          <t>DALARNAS LÄN</t>
        </is>
      </c>
      <c r="E224" t="inlineStr">
        <is>
          <t>LEKSAND</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23517-2025</t>
        </is>
      </c>
      <c r="B225" s="1" t="n">
        <v>45792</v>
      </c>
      <c r="C225" s="1" t="n">
        <v>45927</v>
      </c>
      <c r="D225" t="inlineStr">
        <is>
          <t>DALARNAS LÄN</t>
        </is>
      </c>
      <c r="E225" t="inlineStr">
        <is>
          <t>LEKSAND</t>
        </is>
      </c>
      <c r="G225" t="n">
        <v>2.2</v>
      </c>
      <c r="H225" t="n">
        <v>0</v>
      </c>
      <c r="I225" t="n">
        <v>0</v>
      </c>
      <c r="J225" t="n">
        <v>0</v>
      </c>
      <c r="K225" t="n">
        <v>0</v>
      </c>
      <c r="L225" t="n">
        <v>0</v>
      </c>
      <c r="M225" t="n">
        <v>0</v>
      </c>
      <c r="N225" t="n">
        <v>0</v>
      </c>
      <c r="O225" t="n">
        <v>0</v>
      </c>
      <c r="P225" t="n">
        <v>0</v>
      </c>
      <c r="Q225" t="n">
        <v>0</v>
      </c>
      <c r="R225" s="2" t="inlineStr"/>
    </row>
    <row r="226" ht="15" customHeight="1">
      <c r="A226" t="inlineStr">
        <is>
          <t>A 47503-2024</t>
        </is>
      </c>
      <c r="B226" s="1" t="n">
        <v>45587.60262731482</v>
      </c>
      <c r="C226" s="1" t="n">
        <v>45927</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402-2024</t>
        </is>
      </c>
      <c r="B227" s="1" t="n">
        <v>45296.45545138889</v>
      </c>
      <c r="C227" s="1" t="n">
        <v>45927</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45040-2021</t>
        </is>
      </c>
      <c r="B228" s="1" t="n">
        <v>44438</v>
      </c>
      <c r="C228" s="1" t="n">
        <v>45927</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14504-2025</t>
        </is>
      </c>
      <c r="B229" s="1" t="n">
        <v>45741</v>
      </c>
      <c r="C229" s="1" t="n">
        <v>45927</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24187-2025</t>
        </is>
      </c>
      <c r="B230" s="1" t="n">
        <v>45796</v>
      </c>
      <c r="C230" s="1" t="n">
        <v>45927</v>
      </c>
      <c r="D230" t="inlineStr">
        <is>
          <t>DALARNAS LÄN</t>
        </is>
      </c>
      <c r="E230" t="inlineStr">
        <is>
          <t>LEKSAND</t>
        </is>
      </c>
      <c r="G230" t="n">
        <v>2.1</v>
      </c>
      <c r="H230" t="n">
        <v>0</v>
      </c>
      <c r="I230" t="n">
        <v>0</v>
      </c>
      <c r="J230" t="n">
        <v>0</v>
      </c>
      <c r="K230" t="n">
        <v>0</v>
      </c>
      <c r="L230" t="n">
        <v>0</v>
      </c>
      <c r="M230" t="n">
        <v>0</v>
      </c>
      <c r="N230" t="n">
        <v>0</v>
      </c>
      <c r="O230" t="n">
        <v>0</v>
      </c>
      <c r="P230" t="n">
        <v>0</v>
      </c>
      <c r="Q230" t="n">
        <v>0</v>
      </c>
      <c r="R230" s="2" t="inlineStr"/>
    </row>
    <row r="231" ht="15" customHeight="1">
      <c r="A231" t="inlineStr">
        <is>
          <t>A 24188-2025</t>
        </is>
      </c>
      <c r="B231" s="1" t="n">
        <v>45796</v>
      </c>
      <c r="C231" s="1" t="n">
        <v>45927</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7450-2023</t>
        </is>
      </c>
      <c r="B232" s="1" t="n">
        <v>44971</v>
      </c>
      <c r="C232" s="1" t="n">
        <v>45927</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64516-2023</t>
        </is>
      </c>
      <c r="B233" s="1" t="n">
        <v>45280</v>
      </c>
      <c r="C233" s="1" t="n">
        <v>45927</v>
      </c>
      <c r="D233" t="inlineStr">
        <is>
          <t>DALARNAS LÄN</t>
        </is>
      </c>
      <c r="E233" t="inlineStr">
        <is>
          <t>LEKSAND</t>
        </is>
      </c>
      <c r="G233" t="n">
        <v>4.4</v>
      </c>
      <c r="H233" t="n">
        <v>0</v>
      </c>
      <c r="I233" t="n">
        <v>0</v>
      </c>
      <c r="J233" t="n">
        <v>0</v>
      </c>
      <c r="K233" t="n">
        <v>0</v>
      </c>
      <c r="L233" t="n">
        <v>0</v>
      </c>
      <c r="M233" t="n">
        <v>0</v>
      </c>
      <c r="N233" t="n">
        <v>0</v>
      </c>
      <c r="O233" t="n">
        <v>0</v>
      </c>
      <c r="P233" t="n">
        <v>0</v>
      </c>
      <c r="Q233" t="n">
        <v>0</v>
      </c>
      <c r="R233" s="2" t="inlineStr"/>
    </row>
    <row r="234" ht="15" customHeight="1">
      <c r="A234" t="inlineStr">
        <is>
          <t>A 45788-2021</t>
        </is>
      </c>
      <c r="B234" s="1" t="n">
        <v>44441</v>
      </c>
      <c r="C234" s="1" t="n">
        <v>45927</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24373-2025</t>
        </is>
      </c>
      <c r="B235" s="1" t="n">
        <v>45797.61113425926</v>
      </c>
      <c r="C235" s="1" t="n">
        <v>45927</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52977-2022</t>
        </is>
      </c>
      <c r="B236" s="1" t="n">
        <v>44875</v>
      </c>
      <c r="C236" s="1" t="n">
        <v>45927</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43221-2024</t>
        </is>
      </c>
      <c r="B237" s="1" t="n">
        <v>45567.86695601852</v>
      </c>
      <c r="C237" s="1" t="n">
        <v>45927</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17589-2025</t>
        </is>
      </c>
      <c r="B238" s="1" t="n">
        <v>45757.67844907408</v>
      </c>
      <c r="C238" s="1" t="n">
        <v>45927</v>
      </c>
      <c r="D238" t="inlineStr">
        <is>
          <t>DALARNAS LÄN</t>
        </is>
      </c>
      <c r="E238" t="inlineStr">
        <is>
          <t>LEKSAND</t>
        </is>
      </c>
      <c r="G238" t="n">
        <v>5.8</v>
      </c>
      <c r="H238" t="n">
        <v>0</v>
      </c>
      <c r="I238" t="n">
        <v>0</v>
      </c>
      <c r="J238" t="n">
        <v>0</v>
      </c>
      <c r="K238" t="n">
        <v>0</v>
      </c>
      <c r="L238" t="n">
        <v>0</v>
      </c>
      <c r="M238" t="n">
        <v>0</v>
      </c>
      <c r="N238" t="n">
        <v>0</v>
      </c>
      <c r="O238" t="n">
        <v>0</v>
      </c>
      <c r="P238" t="n">
        <v>0</v>
      </c>
      <c r="Q238" t="n">
        <v>0</v>
      </c>
      <c r="R238" s="2" t="inlineStr"/>
    </row>
    <row r="239" ht="15" customHeight="1">
      <c r="A239" t="inlineStr">
        <is>
          <t>A 2517-2024</t>
        </is>
      </c>
      <c r="B239" s="1" t="n">
        <v>45313</v>
      </c>
      <c r="C239" s="1" t="n">
        <v>45927</v>
      </c>
      <c r="D239" t="inlineStr">
        <is>
          <t>DALARNAS LÄN</t>
        </is>
      </c>
      <c r="E239" t="inlineStr">
        <is>
          <t>LEKSAND</t>
        </is>
      </c>
      <c r="F239" t="inlineStr">
        <is>
          <t>Bergvik skog väst AB</t>
        </is>
      </c>
      <c r="G239" t="n">
        <v>4</v>
      </c>
      <c r="H239" t="n">
        <v>0</v>
      </c>
      <c r="I239" t="n">
        <v>0</v>
      </c>
      <c r="J239" t="n">
        <v>0</v>
      </c>
      <c r="K239" t="n">
        <v>0</v>
      </c>
      <c r="L239" t="n">
        <v>0</v>
      </c>
      <c r="M239" t="n">
        <v>0</v>
      </c>
      <c r="N239" t="n">
        <v>0</v>
      </c>
      <c r="O239" t="n">
        <v>0</v>
      </c>
      <c r="P239" t="n">
        <v>0</v>
      </c>
      <c r="Q239" t="n">
        <v>0</v>
      </c>
      <c r="R239" s="2" t="inlineStr"/>
    </row>
    <row r="240" ht="15" customHeight="1">
      <c r="A240" t="inlineStr">
        <is>
          <t>A 22646-2025</t>
        </is>
      </c>
      <c r="B240" s="1" t="n">
        <v>45786</v>
      </c>
      <c r="C240" s="1" t="n">
        <v>45927</v>
      </c>
      <c r="D240" t="inlineStr">
        <is>
          <t>DALARNAS LÄN</t>
        </is>
      </c>
      <c r="E240" t="inlineStr">
        <is>
          <t>LEKSAND</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29157-2022</t>
        </is>
      </c>
      <c r="B241" s="1" t="n">
        <v>44750.48355324074</v>
      </c>
      <c r="C241" s="1" t="n">
        <v>45927</v>
      </c>
      <c r="D241" t="inlineStr">
        <is>
          <t>DALARNAS LÄN</t>
        </is>
      </c>
      <c r="E241" t="inlineStr">
        <is>
          <t>LEKSAND</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11080-2023</t>
        </is>
      </c>
      <c r="B242" s="1" t="n">
        <v>44992</v>
      </c>
      <c r="C242" s="1" t="n">
        <v>45927</v>
      </c>
      <c r="D242" t="inlineStr">
        <is>
          <t>DALARNAS LÄN</t>
        </is>
      </c>
      <c r="E242" t="inlineStr">
        <is>
          <t>LEKSAND</t>
        </is>
      </c>
      <c r="G242" t="n">
        <v>6.9</v>
      </c>
      <c r="H242" t="n">
        <v>0</v>
      </c>
      <c r="I242" t="n">
        <v>0</v>
      </c>
      <c r="J242" t="n">
        <v>0</v>
      </c>
      <c r="K242" t="n">
        <v>0</v>
      </c>
      <c r="L242" t="n">
        <v>0</v>
      </c>
      <c r="M242" t="n">
        <v>0</v>
      </c>
      <c r="N242" t="n">
        <v>0</v>
      </c>
      <c r="O242" t="n">
        <v>0</v>
      </c>
      <c r="P242" t="n">
        <v>0</v>
      </c>
      <c r="Q242" t="n">
        <v>0</v>
      </c>
      <c r="R242" s="2" t="inlineStr"/>
    </row>
    <row r="243" ht="15" customHeight="1">
      <c r="A243" t="inlineStr">
        <is>
          <t>A 320-2023</t>
        </is>
      </c>
      <c r="B243" s="1" t="n">
        <v>44929</v>
      </c>
      <c r="C243" s="1" t="n">
        <v>45927</v>
      </c>
      <c r="D243" t="inlineStr">
        <is>
          <t>DALARNAS LÄN</t>
        </is>
      </c>
      <c r="E243" t="inlineStr">
        <is>
          <t>LEKSAND</t>
        </is>
      </c>
      <c r="F243" t="inlineStr">
        <is>
          <t>Övriga Aktiebolag</t>
        </is>
      </c>
      <c r="G243" t="n">
        <v>5.4</v>
      </c>
      <c r="H243" t="n">
        <v>0</v>
      </c>
      <c r="I243" t="n">
        <v>0</v>
      </c>
      <c r="J243" t="n">
        <v>0</v>
      </c>
      <c r="K243" t="n">
        <v>0</v>
      </c>
      <c r="L243" t="n">
        <v>0</v>
      </c>
      <c r="M243" t="n">
        <v>0</v>
      </c>
      <c r="N243" t="n">
        <v>0</v>
      </c>
      <c r="O243" t="n">
        <v>0</v>
      </c>
      <c r="P243" t="n">
        <v>0</v>
      </c>
      <c r="Q243" t="n">
        <v>0</v>
      </c>
      <c r="R243" s="2" t="inlineStr"/>
    </row>
    <row r="244" ht="15" customHeight="1">
      <c r="A244" t="inlineStr">
        <is>
          <t>A 40181-2023</t>
        </is>
      </c>
      <c r="B244" s="1" t="n">
        <v>45169</v>
      </c>
      <c r="C244" s="1" t="n">
        <v>45927</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59199-2024</t>
        </is>
      </c>
      <c r="B245" s="1" t="n">
        <v>45637</v>
      </c>
      <c r="C245" s="1" t="n">
        <v>45927</v>
      </c>
      <c r="D245" t="inlineStr">
        <is>
          <t>DALARNAS LÄN</t>
        </is>
      </c>
      <c r="E245" t="inlineStr">
        <is>
          <t>LEKSAND</t>
        </is>
      </c>
      <c r="G245" t="n">
        <v>5.4</v>
      </c>
      <c r="H245" t="n">
        <v>0</v>
      </c>
      <c r="I245" t="n">
        <v>0</v>
      </c>
      <c r="J245" t="n">
        <v>0</v>
      </c>
      <c r="K245" t="n">
        <v>0</v>
      </c>
      <c r="L245" t="n">
        <v>0</v>
      </c>
      <c r="M245" t="n">
        <v>0</v>
      </c>
      <c r="N245" t="n">
        <v>0</v>
      </c>
      <c r="O245" t="n">
        <v>0</v>
      </c>
      <c r="P245" t="n">
        <v>0</v>
      </c>
      <c r="Q245" t="n">
        <v>0</v>
      </c>
      <c r="R245" s="2" t="inlineStr"/>
    </row>
    <row r="246" ht="15" customHeight="1">
      <c r="A246" t="inlineStr">
        <is>
          <t>A 63544-2023</t>
        </is>
      </c>
      <c r="B246" s="1" t="n">
        <v>45275</v>
      </c>
      <c r="C246" s="1" t="n">
        <v>45927</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24317-2025</t>
        </is>
      </c>
      <c r="B247" s="1" t="n">
        <v>45797.53577546297</v>
      </c>
      <c r="C247" s="1" t="n">
        <v>45927</v>
      </c>
      <c r="D247" t="inlineStr">
        <is>
          <t>DALARNAS LÄN</t>
        </is>
      </c>
      <c r="E247" t="inlineStr">
        <is>
          <t>LEKSAND</t>
        </is>
      </c>
      <c r="G247" t="n">
        <v>3.4</v>
      </c>
      <c r="H247" t="n">
        <v>0</v>
      </c>
      <c r="I247" t="n">
        <v>0</v>
      </c>
      <c r="J247" t="n">
        <v>0</v>
      </c>
      <c r="K247" t="n">
        <v>0</v>
      </c>
      <c r="L247" t="n">
        <v>0</v>
      </c>
      <c r="M247" t="n">
        <v>0</v>
      </c>
      <c r="N247" t="n">
        <v>0</v>
      </c>
      <c r="O247" t="n">
        <v>0</v>
      </c>
      <c r="P247" t="n">
        <v>0</v>
      </c>
      <c r="Q247" t="n">
        <v>0</v>
      </c>
      <c r="R247" s="2" t="inlineStr"/>
    </row>
    <row r="248" ht="15" customHeight="1">
      <c r="A248" t="inlineStr">
        <is>
          <t>A 24919-2024</t>
        </is>
      </c>
      <c r="B248" s="1" t="n">
        <v>45461.60636574074</v>
      </c>
      <c r="C248" s="1" t="n">
        <v>45927</v>
      </c>
      <c r="D248" t="inlineStr">
        <is>
          <t>DALARNAS LÄN</t>
        </is>
      </c>
      <c r="E248" t="inlineStr">
        <is>
          <t>LEKSAND</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58877-2023</t>
        </is>
      </c>
      <c r="B249" s="1" t="n">
        <v>45252</v>
      </c>
      <c r="C249" s="1" t="n">
        <v>45927</v>
      </c>
      <c r="D249" t="inlineStr">
        <is>
          <t>DALARNAS LÄN</t>
        </is>
      </c>
      <c r="E249" t="inlineStr">
        <is>
          <t>LEKSAND</t>
        </is>
      </c>
      <c r="G249" t="n">
        <v>1.9</v>
      </c>
      <c r="H249" t="n">
        <v>0</v>
      </c>
      <c r="I249" t="n">
        <v>0</v>
      </c>
      <c r="J249" t="n">
        <v>0</v>
      </c>
      <c r="K249" t="n">
        <v>0</v>
      </c>
      <c r="L249" t="n">
        <v>0</v>
      </c>
      <c r="M249" t="n">
        <v>0</v>
      </c>
      <c r="N249" t="n">
        <v>0</v>
      </c>
      <c r="O249" t="n">
        <v>0</v>
      </c>
      <c r="P249" t="n">
        <v>0</v>
      </c>
      <c r="Q249" t="n">
        <v>0</v>
      </c>
      <c r="R249" s="2" t="inlineStr"/>
    </row>
    <row r="250" ht="15" customHeight="1">
      <c r="A250" t="inlineStr">
        <is>
          <t>A 56211-2023</t>
        </is>
      </c>
      <c r="B250" s="1" t="n">
        <v>45240</v>
      </c>
      <c r="C250" s="1" t="n">
        <v>45927</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51377-2023</t>
        </is>
      </c>
      <c r="B251" s="1" t="n">
        <v>45219</v>
      </c>
      <c r="C251" s="1" t="n">
        <v>45927</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36932-2023</t>
        </is>
      </c>
      <c r="B252" s="1" t="n">
        <v>45154</v>
      </c>
      <c r="C252" s="1" t="n">
        <v>45927</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45927</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57013-2023</t>
        </is>
      </c>
      <c r="B254" s="1" t="n">
        <v>45244</v>
      </c>
      <c r="C254" s="1" t="n">
        <v>45927</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24369-2025</t>
        </is>
      </c>
      <c r="B255" s="1" t="n">
        <v>45797.60731481481</v>
      </c>
      <c r="C255" s="1" t="n">
        <v>45927</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2140-2024</t>
        </is>
      </c>
      <c r="B256" s="1" t="n">
        <v>45309</v>
      </c>
      <c r="C256" s="1" t="n">
        <v>45927</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23615-2024</t>
        </is>
      </c>
      <c r="B257" s="1" t="n">
        <v>45454.43050925926</v>
      </c>
      <c r="C257" s="1" t="n">
        <v>45927</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24715-2025</t>
        </is>
      </c>
      <c r="B258" s="1" t="n">
        <v>45798.97899305556</v>
      </c>
      <c r="C258" s="1" t="n">
        <v>45927</v>
      </c>
      <c r="D258" t="inlineStr">
        <is>
          <t>DALARNAS LÄN</t>
        </is>
      </c>
      <c r="E258" t="inlineStr">
        <is>
          <t>LEKSAND</t>
        </is>
      </c>
      <c r="G258" t="n">
        <v>8.4</v>
      </c>
      <c r="H258" t="n">
        <v>0</v>
      </c>
      <c r="I258" t="n">
        <v>0</v>
      </c>
      <c r="J258" t="n">
        <v>0</v>
      </c>
      <c r="K258" t="n">
        <v>0</v>
      </c>
      <c r="L258" t="n">
        <v>0</v>
      </c>
      <c r="M258" t="n">
        <v>0</v>
      </c>
      <c r="N258" t="n">
        <v>0</v>
      </c>
      <c r="O258" t="n">
        <v>0</v>
      </c>
      <c r="P258" t="n">
        <v>0</v>
      </c>
      <c r="Q258" t="n">
        <v>0</v>
      </c>
      <c r="R258" s="2" t="inlineStr"/>
    </row>
    <row r="259" ht="15" customHeight="1">
      <c r="A259" t="inlineStr">
        <is>
          <t>A 30449-2022</t>
        </is>
      </c>
      <c r="B259" s="1" t="n">
        <v>44761.59276620371</v>
      </c>
      <c r="C259" s="1" t="n">
        <v>45927</v>
      </c>
      <c r="D259" t="inlineStr">
        <is>
          <t>DALARNAS LÄN</t>
        </is>
      </c>
      <c r="E259" t="inlineStr">
        <is>
          <t>LEKSAND</t>
        </is>
      </c>
      <c r="G259" t="n">
        <v>5.7</v>
      </c>
      <c r="H259" t="n">
        <v>0</v>
      </c>
      <c r="I259" t="n">
        <v>0</v>
      </c>
      <c r="J259" t="n">
        <v>0</v>
      </c>
      <c r="K259" t="n">
        <v>0</v>
      </c>
      <c r="L259" t="n">
        <v>0</v>
      </c>
      <c r="M259" t="n">
        <v>0</v>
      </c>
      <c r="N259" t="n">
        <v>0</v>
      </c>
      <c r="O259" t="n">
        <v>0</v>
      </c>
      <c r="P259" t="n">
        <v>0</v>
      </c>
      <c r="Q259" t="n">
        <v>0</v>
      </c>
      <c r="R259" s="2" t="inlineStr"/>
    </row>
    <row r="260" ht="15" customHeight="1">
      <c r="A260" t="inlineStr">
        <is>
          <t>A 22349-2024</t>
        </is>
      </c>
      <c r="B260" s="1" t="n">
        <v>45446</v>
      </c>
      <c r="C260" s="1" t="n">
        <v>45927</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53717-2023</t>
        </is>
      </c>
      <c r="B261" s="1" t="n">
        <v>45230</v>
      </c>
      <c r="C261" s="1" t="n">
        <v>45927</v>
      </c>
      <c r="D261" t="inlineStr">
        <is>
          <t>DALARNAS LÄN</t>
        </is>
      </c>
      <c r="E261" t="inlineStr">
        <is>
          <t>LEKSAND</t>
        </is>
      </c>
      <c r="G261" t="n">
        <v>2.4</v>
      </c>
      <c r="H261" t="n">
        <v>0</v>
      </c>
      <c r="I261" t="n">
        <v>0</v>
      </c>
      <c r="J261" t="n">
        <v>0</v>
      </c>
      <c r="K261" t="n">
        <v>0</v>
      </c>
      <c r="L261" t="n">
        <v>0</v>
      </c>
      <c r="M261" t="n">
        <v>0</v>
      </c>
      <c r="N261" t="n">
        <v>0</v>
      </c>
      <c r="O261" t="n">
        <v>0</v>
      </c>
      <c r="P261" t="n">
        <v>0</v>
      </c>
      <c r="Q261" t="n">
        <v>0</v>
      </c>
      <c r="R261" s="2" t="inlineStr"/>
    </row>
    <row r="262" ht="15" customHeight="1">
      <c r="A262" t="inlineStr">
        <is>
          <t>A 40868-2024</t>
        </is>
      </c>
      <c r="B262" s="1" t="n">
        <v>45558</v>
      </c>
      <c r="C262" s="1" t="n">
        <v>45927</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57925-2024</t>
        </is>
      </c>
      <c r="B263" s="1" t="n">
        <v>45630</v>
      </c>
      <c r="C263" s="1" t="n">
        <v>45927</v>
      </c>
      <c r="D263" t="inlineStr">
        <is>
          <t>DALARNAS LÄN</t>
        </is>
      </c>
      <c r="E263" t="inlineStr">
        <is>
          <t>LEKSAND</t>
        </is>
      </c>
      <c r="G263" t="n">
        <v>1.1</v>
      </c>
      <c r="H263" t="n">
        <v>0</v>
      </c>
      <c r="I263" t="n">
        <v>0</v>
      </c>
      <c r="J263" t="n">
        <v>0</v>
      </c>
      <c r="K263" t="n">
        <v>0</v>
      </c>
      <c r="L263" t="n">
        <v>0</v>
      </c>
      <c r="M263" t="n">
        <v>0</v>
      </c>
      <c r="N263" t="n">
        <v>0</v>
      </c>
      <c r="O263" t="n">
        <v>0</v>
      </c>
      <c r="P263" t="n">
        <v>0</v>
      </c>
      <c r="Q263" t="n">
        <v>0</v>
      </c>
      <c r="R263" s="2" t="inlineStr"/>
    </row>
    <row r="264" ht="15" customHeight="1">
      <c r="A264" t="inlineStr">
        <is>
          <t>A 52572-2024</t>
        </is>
      </c>
      <c r="B264" s="1" t="n">
        <v>45609.66488425926</v>
      </c>
      <c r="C264" s="1" t="n">
        <v>45927</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11004-2023</t>
        </is>
      </c>
      <c r="B265" s="1" t="n">
        <v>44986</v>
      </c>
      <c r="C265" s="1" t="n">
        <v>45927</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32688-2024</t>
        </is>
      </c>
      <c r="B266" s="1" t="n">
        <v>45515.83091435185</v>
      </c>
      <c r="C266" s="1" t="n">
        <v>45927</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41853-2023</t>
        </is>
      </c>
      <c r="B267" s="1" t="n">
        <v>45176.62483796296</v>
      </c>
      <c r="C267" s="1" t="n">
        <v>45927</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43419-2024</t>
        </is>
      </c>
      <c r="B268" s="1" t="n">
        <v>45568</v>
      </c>
      <c r="C268" s="1" t="n">
        <v>45927</v>
      </c>
      <c r="D268" t="inlineStr">
        <is>
          <t>DALARNAS LÄN</t>
        </is>
      </c>
      <c r="E268" t="inlineStr">
        <is>
          <t>LEKSAND</t>
        </is>
      </c>
      <c r="G268" t="n">
        <v>0.4</v>
      </c>
      <c r="H268" t="n">
        <v>0</v>
      </c>
      <c r="I268" t="n">
        <v>0</v>
      </c>
      <c r="J268" t="n">
        <v>0</v>
      </c>
      <c r="K268" t="n">
        <v>0</v>
      </c>
      <c r="L268" t="n">
        <v>0</v>
      </c>
      <c r="M268" t="n">
        <v>0</v>
      </c>
      <c r="N268" t="n">
        <v>0</v>
      </c>
      <c r="O268" t="n">
        <v>0</v>
      </c>
      <c r="P268" t="n">
        <v>0</v>
      </c>
      <c r="Q268" t="n">
        <v>0</v>
      </c>
      <c r="R268" s="2" t="inlineStr"/>
    </row>
    <row r="269" ht="15" customHeight="1">
      <c r="A269" t="inlineStr">
        <is>
          <t>A 24714-2025</t>
        </is>
      </c>
      <c r="B269" s="1" t="n">
        <v>45798.96927083333</v>
      </c>
      <c r="C269" s="1" t="n">
        <v>45927</v>
      </c>
      <c r="D269" t="inlineStr">
        <is>
          <t>DALARNAS LÄN</t>
        </is>
      </c>
      <c r="E269" t="inlineStr">
        <is>
          <t>LEKSAND</t>
        </is>
      </c>
      <c r="F269" t="inlineStr">
        <is>
          <t>Bergvik skog väst AB</t>
        </is>
      </c>
      <c r="G269" t="n">
        <v>6.2</v>
      </c>
      <c r="H269" t="n">
        <v>0</v>
      </c>
      <c r="I269" t="n">
        <v>0</v>
      </c>
      <c r="J269" t="n">
        <v>0</v>
      </c>
      <c r="K269" t="n">
        <v>0</v>
      </c>
      <c r="L269" t="n">
        <v>0</v>
      </c>
      <c r="M269" t="n">
        <v>0</v>
      </c>
      <c r="N269" t="n">
        <v>0</v>
      </c>
      <c r="O269" t="n">
        <v>0</v>
      </c>
      <c r="P269" t="n">
        <v>0</v>
      </c>
      <c r="Q269" t="n">
        <v>0</v>
      </c>
      <c r="R269" s="2" t="inlineStr"/>
    </row>
    <row r="270" ht="15" customHeight="1">
      <c r="A270" t="inlineStr">
        <is>
          <t>A 27520-2023</t>
        </is>
      </c>
      <c r="B270" s="1" t="n">
        <v>45097</v>
      </c>
      <c r="C270" s="1" t="n">
        <v>45927</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55926-2024</t>
        </is>
      </c>
      <c r="B271" s="1" t="n">
        <v>45623.601875</v>
      </c>
      <c r="C271" s="1" t="n">
        <v>45927</v>
      </c>
      <c r="D271" t="inlineStr">
        <is>
          <t>DALARNAS LÄN</t>
        </is>
      </c>
      <c r="E271" t="inlineStr">
        <is>
          <t>LEKSAND</t>
        </is>
      </c>
      <c r="G271" t="n">
        <v>0.6</v>
      </c>
      <c r="H271" t="n">
        <v>0</v>
      </c>
      <c r="I271" t="n">
        <v>0</v>
      </c>
      <c r="J271" t="n">
        <v>0</v>
      </c>
      <c r="K271" t="n">
        <v>0</v>
      </c>
      <c r="L271" t="n">
        <v>0</v>
      </c>
      <c r="M271" t="n">
        <v>0</v>
      </c>
      <c r="N271" t="n">
        <v>0</v>
      </c>
      <c r="O271" t="n">
        <v>0</v>
      </c>
      <c r="P271" t="n">
        <v>0</v>
      </c>
      <c r="Q271" t="n">
        <v>0</v>
      </c>
      <c r="R271" s="2" t="inlineStr"/>
    </row>
    <row r="272" ht="15" customHeight="1">
      <c r="A272" t="inlineStr">
        <is>
          <t>A 49405-2024</t>
        </is>
      </c>
      <c r="B272" s="1" t="n">
        <v>45595</v>
      </c>
      <c r="C272" s="1" t="n">
        <v>45927</v>
      </c>
      <c r="D272" t="inlineStr">
        <is>
          <t>DALARNAS LÄN</t>
        </is>
      </c>
      <c r="E272" t="inlineStr">
        <is>
          <t>LEKSAND</t>
        </is>
      </c>
      <c r="G272" t="n">
        <v>0.7</v>
      </c>
      <c r="H272" t="n">
        <v>0</v>
      </c>
      <c r="I272" t="n">
        <v>0</v>
      </c>
      <c r="J272" t="n">
        <v>0</v>
      </c>
      <c r="K272" t="n">
        <v>0</v>
      </c>
      <c r="L272" t="n">
        <v>0</v>
      </c>
      <c r="M272" t="n">
        <v>0</v>
      </c>
      <c r="N272" t="n">
        <v>0</v>
      </c>
      <c r="O272" t="n">
        <v>0</v>
      </c>
      <c r="P272" t="n">
        <v>0</v>
      </c>
      <c r="Q272" t="n">
        <v>0</v>
      </c>
      <c r="R272" s="2" t="inlineStr"/>
    </row>
    <row r="273" ht="15" customHeight="1">
      <c r="A273" t="inlineStr">
        <is>
          <t>A 47854-2023</t>
        </is>
      </c>
      <c r="B273" s="1" t="n">
        <v>45198</v>
      </c>
      <c r="C273" s="1" t="n">
        <v>45927</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28633-2023</t>
        </is>
      </c>
      <c r="B274" s="1" t="n">
        <v>45103.61575231481</v>
      </c>
      <c r="C274" s="1" t="n">
        <v>45927</v>
      </c>
      <c r="D274" t="inlineStr">
        <is>
          <t>DALARNAS LÄN</t>
        </is>
      </c>
      <c r="E274" t="inlineStr">
        <is>
          <t>LEKSAND</t>
        </is>
      </c>
      <c r="F274" t="inlineStr">
        <is>
          <t>Bergvik skog väst AB</t>
        </is>
      </c>
      <c r="G274" t="n">
        <v>0.5</v>
      </c>
      <c r="H274" t="n">
        <v>0</v>
      </c>
      <c r="I274" t="n">
        <v>0</v>
      </c>
      <c r="J274" t="n">
        <v>0</v>
      </c>
      <c r="K274" t="n">
        <v>0</v>
      </c>
      <c r="L274" t="n">
        <v>0</v>
      </c>
      <c r="M274" t="n">
        <v>0</v>
      </c>
      <c r="N274" t="n">
        <v>0</v>
      </c>
      <c r="O274" t="n">
        <v>0</v>
      </c>
      <c r="P274" t="n">
        <v>0</v>
      </c>
      <c r="Q274" t="n">
        <v>0</v>
      </c>
      <c r="R274" s="2" t="inlineStr"/>
    </row>
    <row r="275" ht="15" customHeight="1">
      <c r="A275" t="inlineStr">
        <is>
          <t>A 25610-2025</t>
        </is>
      </c>
      <c r="B275" s="1" t="n">
        <v>45803.56033564815</v>
      </c>
      <c r="C275" s="1" t="n">
        <v>45927</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25105-2025</t>
        </is>
      </c>
      <c r="B276" s="1" t="n">
        <v>45800.34751157407</v>
      </c>
      <c r="C276" s="1" t="n">
        <v>45927</v>
      </c>
      <c r="D276" t="inlineStr">
        <is>
          <t>DALARNAS LÄN</t>
        </is>
      </c>
      <c r="E276" t="inlineStr">
        <is>
          <t>LEKSAND</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17078-2023</t>
        </is>
      </c>
      <c r="B277" s="1" t="n">
        <v>45034</v>
      </c>
      <c r="C277" s="1" t="n">
        <v>45927</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11110-2023</t>
        </is>
      </c>
      <c r="B278" s="1" t="n">
        <v>44992</v>
      </c>
      <c r="C278" s="1" t="n">
        <v>45927</v>
      </c>
      <c r="D278" t="inlineStr">
        <is>
          <t>DALARNAS LÄN</t>
        </is>
      </c>
      <c r="E278" t="inlineStr">
        <is>
          <t>LEKSAND</t>
        </is>
      </c>
      <c r="G278" t="n">
        <v>11.2</v>
      </c>
      <c r="H278" t="n">
        <v>0</v>
      </c>
      <c r="I278" t="n">
        <v>0</v>
      </c>
      <c r="J278" t="n">
        <v>0</v>
      </c>
      <c r="K278" t="n">
        <v>0</v>
      </c>
      <c r="L278" t="n">
        <v>0</v>
      </c>
      <c r="M278" t="n">
        <v>0</v>
      </c>
      <c r="N278" t="n">
        <v>0</v>
      </c>
      <c r="O278" t="n">
        <v>0</v>
      </c>
      <c r="P278" t="n">
        <v>0</v>
      </c>
      <c r="Q278" t="n">
        <v>0</v>
      </c>
      <c r="R278" s="2" t="inlineStr"/>
    </row>
    <row r="279" ht="15" customHeight="1">
      <c r="A279" t="inlineStr">
        <is>
          <t>A 9459-2023</t>
        </is>
      </c>
      <c r="B279" s="1" t="n">
        <v>44977</v>
      </c>
      <c r="C279" s="1" t="n">
        <v>45927</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25096-2025</t>
        </is>
      </c>
      <c r="B280" s="1" t="n">
        <v>45800.33868055556</v>
      </c>
      <c r="C280" s="1" t="n">
        <v>45927</v>
      </c>
      <c r="D280" t="inlineStr">
        <is>
          <t>DALARNAS LÄN</t>
        </is>
      </c>
      <c r="E280" t="inlineStr">
        <is>
          <t>LEKSAND</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30198-2024</t>
        </is>
      </c>
      <c r="B281" s="1" t="n">
        <v>45490.34765046297</v>
      </c>
      <c r="C281" s="1" t="n">
        <v>45927</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59718-2023</t>
        </is>
      </c>
      <c r="B282" s="1" t="n">
        <v>45257</v>
      </c>
      <c r="C282" s="1" t="n">
        <v>45927</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31255-2023</t>
        </is>
      </c>
      <c r="B283" s="1" t="n">
        <v>45114.36729166667</v>
      </c>
      <c r="C283" s="1" t="n">
        <v>45927</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7395-2025</t>
        </is>
      </c>
      <c r="B284" s="1" t="n">
        <v>45705.34516203704</v>
      </c>
      <c r="C284" s="1" t="n">
        <v>45927</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16744-2025</t>
        </is>
      </c>
      <c r="B285" s="1" t="n">
        <v>45754</v>
      </c>
      <c r="C285" s="1" t="n">
        <v>45927</v>
      </c>
      <c r="D285" t="inlineStr">
        <is>
          <t>DALARNAS LÄN</t>
        </is>
      </c>
      <c r="E285" t="inlineStr">
        <is>
          <t>LEKSAND</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12646-2025</t>
        </is>
      </c>
      <c r="B286" s="1" t="n">
        <v>45733.39496527778</v>
      </c>
      <c r="C286" s="1" t="n">
        <v>45927</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56059-2024</t>
        </is>
      </c>
      <c r="B287" s="1" t="n">
        <v>45624.36729166667</v>
      </c>
      <c r="C287" s="1" t="n">
        <v>45927</v>
      </c>
      <c r="D287" t="inlineStr">
        <is>
          <t>DALARNAS LÄN</t>
        </is>
      </c>
      <c r="E287" t="inlineStr">
        <is>
          <t>LEKSAND</t>
        </is>
      </c>
      <c r="G287" t="n">
        <v>3.1</v>
      </c>
      <c r="H287" t="n">
        <v>0</v>
      </c>
      <c r="I287" t="n">
        <v>0</v>
      </c>
      <c r="J287" t="n">
        <v>0</v>
      </c>
      <c r="K287" t="n">
        <v>0</v>
      </c>
      <c r="L287" t="n">
        <v>0</v>
      </c>
      <c r="M287" t="n">
        <v>0</v>
      </c>
      <c r="N287" t="n">
        <v>0</v>
      </c>
      <c r="O287" t="n">
        <v>0</v>
      </c>
      <c r="P287" t="n">
        <v>0</v>
      </c>
      <c r="Q287" t="n">
        <v>0</v>
      </c>
      <c r="R287" s="2" t="inlineStr"/>
    </row>
    <row r="288" ht="15" customHeight="1">
      <c r="A288" t="inlineStr">
        <is>
          <t>A 11859-2024</t>
        </is>
      </c>
      <c r="B288" s="1" t="n">
        <v>45376.44569444445</v>
      </c>
      <c r="C288" s="1" t="n">
        <v>45927</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45943-2022</t>
        </is>
      </c>
      <c r="B289" s="1" t="n">
        <v>44846.64418981481</v>
      </c>
      <c r="C289" s="1" t="n">
        <v>45927</v>
      </c>
      <c r="D289" t="inlineStr">
        <is>
          <t>DALARNAS LÄN</t>
        </is>
      </c>
      <c r="E289" t="inlineStr">
        <is>
          <t>LEKSAND</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51320-2023</t>
        </is>
      </c>
      <c r="B290" s="1" t="n">
        <v>45219.57456018519</v>
      </c>
      <c r="C290" s="1" t="n">
        <v>45927</v>
      </c>
      <c r="D290" t="inlineStr">
        <is>
          <t>DALARNAS LÄN</t>
        </is>
      </c>
      <c r="E290" t="inlineStr">
        <is>
          <t>LEKSAND</t>
        </is>
      </c>
      <c r="G290" t="n">
        <v>2.1</v>
      </c>
      <c r="H290" t="n">
        <v>0</v>
      </c>
      <c r="I290" t="n">
        <v>0</v>
      </c>
      <c r="J290" t="n">
        <v>0</v>
      </c>
      <c r="K290" t="n">
        <v>0</v>
      </c>
      <c r="L290" t="n">
        <v>0</v>
      </c>
      <c r="M290" t="n">
        <v>0</v>
      </c>
      <c r="N290" t="n">
        <v>0</v>
      </c>
      <c r="O290" t="n">
        <v>0</v>
      </c>
      <c r="P290" t="n">
        <v>0</v>
      </c>
      <c r="Q290" t="n">
        <v>0</v>
      </c>
      <c r="R290" s="2" t="inlineStr"/>
    </row>
    <row r="291" ht="15" customHeight="1">
      <c r="A291" t="inlineStr">
        <is>
          <t>A 18040-2024</t>
        </is>
      </c>
      <c r="B291" s="1" t="n">
        <v>45420.36664351852</v>
      </c>
      <c r="C291" s="1" t="n">
        <v>45927</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28630-2023</t>
        </is>
      </c>
      <c r="B292" s="1" t="n">
        <v>45103.61003472222</v>
      </c>
      <c r="C292" s="1" t="n">
        <v>45927</v>
      </c>
      <c r="D292" t="inlineStr">
        <is>
          <t>DALARNAS LÄN</t>
        </is>
      </c>
      <c r="E292" t="inlineStr">
        <is>
          <t>LEKSAND</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46141-2022</t>
        </is>
      </c>
      <c r="B293" s="1" t="n">
        <v>44846</v>
      </c>
      <c r="C293" s="1" t="n">
        <v>45927</v>
      </c>
      <c r="D293" t="inlineStr">
        <is>
          <t>DALARNAS LÄN</t>
        </is>
      </c>
      <c r="E293" t="inlineStr">
        <is>
          <t>LEKSAND</t>
        </is>
      </c>
      <c r="G293" t="n">
        <v>2.8</v>
      </c>
      <c r="H293" t="n">
        <v>0</v>
      </c>
      <c r="I293" t="n">
        <v>0</v>
      </c>
      <c r="J293" t="n">
        <v>0</v>
      </c>
      <c r="K293" t="n">
        <v>0</v>
      </c>
      <c r="L293" t="n">
        <v>0</v>
      </c>
      <c r="M293" t="n">
        <v>0</v>
      </c>
      <c r="N293" t="n">
        <v>0</v>
      </c>
      <c r="O293" t="n">
        <v>0</v>
      </c>
      <c r="P293" t="n">
        <v>0</v>
      </c>
      <c r="Q293" t="n">
        <v>0</v>
      </c>
      <c r="R293" s="2" t="inlineStr"/>
    </row>
    <row r="294" ht="15" customHeight="1">
      <c r="A294" t="inlineStr">
        <is>
          <t>A 16829-2025</t>
        </is>
      </c>
      <c r="B294" s="1" t="n">
        <v>45754</v>
      </c>
      <c r="C294" s="1" t="n">
        <v>45927</v>
      </c>
      <c r="D294" t="inlineStr">
        <is>
          <t>DALARNAS LÄN</t>
        </is>
      </c>
      <c r="E294" t="inlineStr">
        <is>
          <t>LEKSAND</t>
        </is>
      </c>
      <c r="F294" t="inlineStr">
        <is>
          <t>Bergvik skog väst AB</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30860-2024</t>
        </is>
      </c>
      <c r="B295" s="1" t="n">
        <v>45497.69108796296</v>
      </c>
      <c r="C295" s="1" t="n">
        <v>45927</v>
      </c>
      <c r="D295" t="inlineStr">
        <is>
          <t>DALARNAS LÄN</t>
        </is>
      </c>
      <c r="E295" t="inlineStr">
        <is>
          <t>LEKSAND</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30864-2024</t>
        </is>
      </c>
      <c r="B296" s="1" t="n">
        <v>45497.71550925926</v>
      </c>
      <c r="C296" s="1" t="n">
        <v>45927</v>
      </c>
      <c r="D296" t="inlineStr">
        <is>
          <t>DALARNAS LÄN</t>
        </is>
      </c>
      <c r="E296" t="inlineStr">
        <is>
          <t>LEKSAND</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7928-2023</t>
        </is>
      </c>
      <c r="B297" s="1" t="n">
        <v>44973</v>
      </c>
      <c r="C297" s="1" t="n">
        <v>45927</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26423-2025</t>
        </is>
      </c>
      <c r="B298" s="1" t="n">
        <v>45807.37829861111</v>
      </c>
      <c r="C298" s="1" t="n">
        <v>45927</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60113-2022</t>
        </is>
      </c>
      <c r="B299" s="1" t="n">
        <v>44909</v>
      </c>
      <c r="C299" s="1" t="n">
        <v>45927</v>
      </c>
      <c r="D299" t="inlineStr">
        <is>
          <t>DALARNAS LÄN</t>
        </is>
      </c>
      <c r="E299" t="inlineStr">
        <is>
          <t>LEKSAND</t>
        </is>
      </c>
      <c r="G299" t="n">
        <v>3.7</v>
      </c>
      <c r="H299" t="n">
        <v>0</v>
      </c>
      <c r="I299" t="n">
        <v>0</v>
      </c>
      <c r="J299" t="n">
        <v>0</v>
      </c>
      <c r="K299" t="n">
        <v>0</v>
      </c>
      <c r="L299" t="n">
        <v>0</v>
      </c>
      <c r="M299" t="n">
        <v>0</v>
      </c>
      <c r="N299" t="n">
        <v>0</v>
      </c>
      <c r="O299" t="n">
        <v>0</v>
      </c>
      <c r="P299" t="n">
        <v>0</v>
      </c>
      <c r="Q299" t="n">
        <v>0</v>
      </c>
      <c r="R299" s="2" t="inlineStr"/>
    </row>
    <row r="300" ht="15" customHeight="1">
      <c r="A300" t="inlineStr">
        <is>
          <t>A 61252-2023</t>
        </is>
      </c>
      <c r="B300" s="1" t="n">
        <v>45261</v>
      </c>
      <c r="C300" s="1" t="n">
        <v>45927</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19550-2023</t>
        </is>
      </c>
      <c r="B301" s="1" t="n">
        <v>45049</v>
      </c>
      <c r="C301" s="1" t="n">
        <v>45927</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31915-2024</t>
        </is>
      </c>
      <c r="B302" s="1" t="n">
        <v>45510.38956018518</v>
      </c>
      <c r="C302" s="1" t="n">
        <v>45927</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26386-2025</t>
        </is>
      </c>
      <c r="B303" s="1" t="n">
        <v>45806</v>
      </c>
      <c r="C303" s="1" t="n">
        <v>45927</v>
      </c>
      <c r="D303" t="inlineStr">
        <is>
          <t>DALARNAS LÄN</t>
        </is>
      </c>
      <c r="E303" t="inlineStr">
        <is>
          <t>LEKSAND</t>
        </is>
      </c>
      <c r="F303" t="inlineStr">
        <is>
          <t>Bergvik skog väst AB</t>
        </is>
      </c>
      <c r="G303" t="n">
        <v>26.3</v>
      </c>
      <c r="H303" t="n">
        <v>0</v>
      </c>
      <c r="I303" t="n">
        <v>0</v>
      </c>
      <c r="J303" t="n">
        <v>0</v>
      </c>
      <c r="K303" t="n">
        <v>0</v>
      </c>
      <c r="L303" t="n">
        <v>0</v>
      </c>
      <c r="M303" t="n">
        <v>0</v>
      </c>
      <c r="N303" t="n">
        <v>0</v>
      </c>
      <c r="O303" t="n">
        <v>0</v>
      </c>
      <c r="P303" t="n">
        <v>0</v>
      </c>
      <c r="Q303" t="n">
        <v>0</v>
      </c>
      <c r="R303" s="2" t="inlineStr"/>
    </row>
    <row r="304" ht="15" customHeight="1">
      <c r="A304" t="inlineStr">
        <is>
          <t>A 51480-2022</t>
        </is>
      </c>
      <c r="B304" s="1" t="n">
        <v>44869.57961805556</v>
      </c>
      <c r="C304" s="1" t="n">
        <v>45927</v>
      </c>
      <c r="D304" t="inlineStr">
        <is>
          <t>DALARNAS LÄN</t>
        </is>
      </c>
      <c r="E304" t="inlineStr">
        <is>
          <t>LEKSAND</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14792-2024</t>
        </is>
      </c>
      <c r="B305" s="1" t="n">
        <v>45397.8344212963</v>
      </c>
      <c r="C305" s="1" t="n">
        <v>45927</v>
      </c>
      <c r="D305" t="inlineStr">
        <is>
          <t>DALARNAS LÄN</t>
        </is>
      </c>
      <c r="E305" t="inlineStr">
        <is>
          <t>LEKSAND</t>
        </is>
      </c>
      <c r="F305" t="inlineStr">
        <is>
          <t>Bergvik skog väst AB</t>
        </is>
      </c>
      <c r="G305" t="n">
        <v>3.9</v>
      </c>
      <c r="H305" t="n">
        <v>0</v>
      </c>
      <c r="I305" t="n">
        <v>0</v>
      </c>
      <c r="J305" t="n">
        <v>0</v>
      </c>
      <c r="K305" t="n">
        <v>0</v>
      </c>
      <c r="L305" t="n">
        <v>0</v>
      </c>
      <c r="M305" t="n">
        <v>0</v>
      </c>
      <c r="N305" t="n">
        <v>0</v>
      </c>
      <c r="O305" t="n">
        <v>0</v>
      </c>
      <c r="P305" t="n">
        <v>0</v>
      </c>
      <c r="Q305" t="n">
        <v>0</v>
      </c>
      <c r="R305" s="2" t="inlineStr"/>
    </row>
    <row r="306" ht="15" customHeight="1">
      <c r="A306" t="inlineStr">
        <is>
          <t>A 43220-2024</t>
        </is>
      </c>
      <c r="B306" s="1" t="n">
        <v>45567.86112268519</v>
      </c>
      <c r="C306" s="1" t="n">
        <v>45927</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14616-2024</t>
        </is>
      </c>
      <c r="B307" s="1" t="n">
        <v>45397.2624537037</v>
      </c>
      <c r="C307" s="1" t="n">
        <v>45927</v>
      </c>
      <c r="D307" t="inlineStr">
        <is>
          <t>DALARNAS LÄN</t>
        </is>
      </c>
      <c r="E307" t="inlineStr">
        <is>
          <t>LEKSAND</t>
        </is>
      </c>
      <c r="G307" t="n">
        <v>0.5</v>
      </c>
      <c r="H307" t="n">
        <v>0</v>
      </c>
      <c r="I307" t="n">
        <v>0</v>
      </c>
      <c r="J307" t="n">
        <v>0</v>
      </c>
      <c r="K307" t="n">
        <v>0</v>
      </c>
      <c r="L307" t="n">
        <v>0</v>
      </c>
      <c r="M307" t="n">
        <v>0</v>
      </c>
      <c r="N307" t="n">
        <v>0</v>
      </c>
      <c r="O307" t="n">
        <v>0</v>
      </c>
      <c r="P307" t="n">
        <v>0</v>
      </c>
      <c r="Q307" t="n">
        <v>0</v>
      </c>
      <c r="R307" s="2" t="inlineStr"/>
    </row>
    <row r="308" ht="15" customHeight="1">
      <c r="A308" t="inlineStr">
        <is>
          <t>A 45512-2023</t>
        </is>
      </c>
      <c r="B308" s="1" t="n">
        <v>45194.49178240741</v>
      </c>
      <c r="C308" s="1" t="n">
        <v>45927</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49397-2024</t>
        </is>
      </c>
      <c r="B309" s="1" t="n">
        <v>45595</v>
      </c>
      <c r="C309" s="1" t="n">
        <v>45927</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57907-2024</t>
        </is>
      </c>
      <c r="B310" s="1" t="n">
        <v>45630</v>
      </c>
      <c r="C310" s="1" t="n">
        <v>45927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60024-2023</t>
        </is>
      </c>
      <c r="B311" s="1" t="n">
        <v>45258</v>
      </c>
      <c r="C311" s="1" t="n">
        <v>45927</v>
      </c>
      <c r="D311" t="inlineStr">
        <is>
          <t>DALARNAS LÄN</t>
        </is>
      </c>
      <c r="E311" t="inlineStr">
        <is>
          <t>LEKSAND</t>
        </is>
      </c>
      <c r="G311" t="n">
        <v>4.2</v>
      </c>
      <c r="H311" t="n">
        <v>0</v>
      </c>
      <c r="I311" t="n">
        <v>0</v>
      </c>
      <c r="J311" t="n">
        <v>0</v>
      </c>
      <c r="K311" t="n">
        <v>0</v>
      </c>
      <c r="L311" t="n">
        <v>0</v>
      </c>
      <c r="M311" t="n">
        <v>0</v>
      </c>
      <c r="N311" t="n">
        <v>0</v>
      </c>
      <c r="O311" t="n">
        <v>0</v>
      </c>
      <c r="P311" t="n">
        <v>0</v>
      </c>
      <c r="Q311" t="n">
        <v>0</v>
      </c>
      <c r="R311" s="2" t="inlineStr"/>
    </row>
    <row r="312" ht="15" customHeight="1">
      <c r="A312" t="inlineStr">
        <is>
          <t>A 19330-2025</t>
        </is>
      </c>
      <c r="B312" s="1" t="n">
        <v>45769</v>
      </c>
      <c r="C312" s="1" t="n">
        <v>45927</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44731.8799537037</v>
      </c>
      <c r="C313" s="1" t="n">
        <v>45927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59826-2023</t>
        </is>
      </c>
      <c r="B314" s="1" t="n">
        <v>45254</v>
      </c>
      <c r="C314" s="1" t="n">
        <v>45927</v>
      </c>
      <c r="D314" t="inlineStr">
        <is>
          <t>DALARNAS LÄN</t>
        </is>
      </c>
      <c r="E314" t="inlineStr">
        <is>
          <t>LEKSAND</t>
        </is>
      </c>
      <c r="G314" t="n">
        <v>1.1</v>
      </c>
      <c r="H314" t="n">
        <v>0</v>
      </c>
      <c r="I314" t="n">
        <v>0</v>
      </c>
      <c r="J314" t="n">
        <v>0</v>
      </c>
      <c r="K314" t="n">
        <v>0</v>
      </c>
      <c r="L314" t="n">
        <v>0</v>
      </c>
      <c r="M314" t="n">
        <v>0</v>
      </c>
      <c r="N314" t="n">
        <v>0</v>
      </c>
      <c r="O314" t="n">
        <v>0</v>
      </c>
      <c r="P314" t="n">
        <v>0</v>
      </c>
      <c r="Q314" t="n">
        <v>0</v>
      </c>
      <c r="R314" s="2" t="inlineStr"/>
    </row>
    <row r="315" ht="15" customHeight="1">
      <c r="A315" t="inlineStr">
        <is>
          <t>A 28913-2024</t>
        </is>
      </c>
      <c r="B315" s="1" t="n">
        <v>45480.75318287037</v>
      </c>
      <c r="C315" s="1" t="n">
        <v>45927</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14617-2024</t>
        </is>
      </c>
      <c r="B316" s="1" t="n">
        <v>45397</v>
      </c>
      <c r="C316" s="1" t="n">
        <v>45927</v>
      </c>
      <c r="D316" t="inlineStr">
        <is>
          <t>DALARNAS LÄN</t>
        </is>
      </c>
      <c r="E316" t="inlineStr">
        <is>
          <t>LEKSAND</t>
        </is>
      </c>
      <c r="G316" t="n">
        <v>0.2</v>
      </c>
      <c r="H316" t="n">
        <v>0</v>
      </c>
      <c r="I316" t="n">
        <v>0</v>
      </c>
      <c r="J316" t="n">
        <v>0</v>
      </c>
      <c r="K316" t="n">
        <v>0</v>
      </c>
      <c r="L316" t="n">
        <v>0</v>
      </c>
      <c r="M316" t="n">
        <v>0</v>
      </c>
      <c r="N316" t="n">
        <v>0</v>
      </c>
      <c r="O316" t="n">
        <v>0</v>
      </c>
      <c r="P316" t="n">
        <v>0</v>
      </c>
      <c r="Q316" t="n">
        <v>0</v>
      </c>
      <c r="R316" s="2" t="inlineStr"/>
    </row>
    <row r="317" ht="15" customHeight="1">
      <c r="A317" t="inlineStr">
        <is>
          <t>A 27323-2025</t>
        </is>
      </c>
      <c r="B317" s="1" t="n">
        <v>45812.60392361111</v>
      </c>
      <c r="C317" s="1" t="n">
        <v>45927</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60945-2024</t>
        </is>
      </c>
      <c r="B318" s="1" t="n">
        <v>45645.37893518519</v>
      </c>
      <c r="C318" s="1" t="n">
        <v>45927</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27262-2025</t>
        </is>
      </c>
      <c r="B319" s="1" t="n">
        <v>45812</v>
      </c>
      <c r="C319" s="1" t="n">
        <v>45927</v>
      </c>
      <c r="D319" t="inlineStr">
        <is>
          <t>DALARNAS LÄN</t>
        </is>
      </c>
      <c r="E319" t="inlineStr">
        <is>
          <t>LEKSAND</t>
        </is>
      </c>
      <c r="F319" t="inlineStr">
        <is>
          <t>Bergvik skog väst AB</t>
        </is>
      </c>
      <c r="G319" t="n">
        <v>7.7</v>
      </c>
      <c r="H319" t="n">
        <v>0</v>
      </c>
      <c r="I319" t="n">
        <v>0</v>
      </c>
      <c r="J319" t="n">
        <v>0</v>
      </c>
      <c r="K319" t="n">
        <v>0</v>
      </c>
      <c r="L319" t="n">
        <v>0</v>
      </c>
      <c r="M319" t="n">
        <v>0</v>
      </c>
      <c r="N319" t="n">
        <v>0</v>
      </c>
      <c r="O319" t="n">
        <v>0</v>
      </c>
      <c r="P319" t="n">
        <v>0</v>
      </c>
      <c r="Q319" t="n">
        <v>0</v>
      </c>
      <c r="R319" s="2" t="inlineStr"/>
    </row>
    <row r="320" ht="15" customHeight="1">
      <c r="A320" t="inlineStr">
        <is>
          <t>A 60692-2023</t>
        </is>
      </c>
      <c r="B320" s="1" t="n">
        <v>45260.50008101852</v>
      </c>
      <c r="C320" s="1" t="n">
        <v>45927</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7467-2023</t>
        </is>
      </c>
      <c r="B321" s="1" t="n">
        <v>44966</v>
      </c>
      <c r="C321" s="1" t="n">
        <v>45927</v>
      </c>
      <c r="D321" t="inlineStr">
        <is>
          <t>DALARNAS LÄN</t>
        </is>
      </c>
      <c r="E321" t="inlineStr">
        <is>
          <t>LEKSAND</t>
        </is>
      </c>
      <c r="G321" t="n">
        <v>2.4</v>
      </c>
      <c r="H321" t="n">
        <v>0</v>
      </c>
      <c r="I321" t="n">
        <v>0</v>
      </c>
      <c r="J321" t="n">
        <v>0</v>
      </c>
      <c r="K321" t="n">
        <v>0</v>
      </c>
      <c r="L321" t="n">
        <v>0</v>
      </c>
      <c r="M321" t="n">
        <v>0</v>
      </c>
      <c r="N321" t="n">
        <v>0</v>
      </c>
      <c r="O321" t="n">
        <v>0</v>
      </c>
      <c r="P321" t="n">
        <v>0</v>
      </c>
      <c r="Q321" t="n">
        <v>0</v>
      </c>
      <c r="R321" s="2" t="inlineStr"/>
    </row>
    <row r="322" ht="15" customHeight="1">
      <c r="A322" t="inlineStr">
        <is>
          <t>A 27332-2025</t>
        </is>
      </c>
      <c r="B322" s="1" t="n">
        <v>45812.61265046296</v>
      </c>
      <c r="C322" s="1" t="n">
        <v>45927</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44491-2023</t>
        </is>
      </c>
      <c r="B323" s="1" t="n">
        <v>45183</v>
      </c>
      <c r="C323" s="1" t="n">
        <v>45927</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27183-2025</t>
        </is>
      </c>
      <c r="B324" s="1" t="n">
        <v>45812.36097222222</v>
      </c>
      <c r="C324" s="1" t="n">
        <v>45927</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27680-2025</t>
        </is>
      </c>
      <c r="B325" s="1" t="n">
        <v>45813.64618055556</v>
      </c>
      <c r="C325" s="1" t="n">
        <v>45927</v>
      </c>
      <c r="D325" t="inlineStr">
        <is>
          <t>DALARNAS LÄN</t>
        </is>
      </c>
      <c r="E325" t="inlineStr">
        <is>
          <t>LEKSAND</t>
        </is>
      </c>
      <c r="G325" t="n">
        <v>1</v>
      </c>
      <c r="H325" t="n">
        <v>0</v>
      </c>
      <c r="I325" t="n">
        <v>0</v>
      </c>
      <c r="J325" t="n">
        <v>0</v>
      </c>
      <c r="K325" t="n">
        <v>0</v>
      </c>
      <c r="L325" t="n">
        <v>0</v>
      </c>
      <c r="M325" t="n">
        <v>0</v>
      </c>
      <c r="N325" t="n">
        <v>0</v>
      </c>
      <c r="O325" t="n">
        <v>0</v>
      </c>
      <c r="P325" t="n">
        <v>0</v>
      </c>
      <c r="Q325" t="n">
        <v>0</v>
      </c>
      <c r="R325" s="2" t="inlineStr"/>
    </row>
    <row r="326" ht="15" customHeight="1">
      <c r="A326" t="inlineStr">
        <is>
          <t>A 27682-2025</t>
        </is>
      </c>
      <c r="B326" s="1" t="n">
        <v>45813.64782407408</v>
      </c>
      <c r="C326" s="1" t="n">
        <v>45927</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27705-2025</t>
        </is>
      </c>
      <c r="B327" s="1" t="n">
        <v>45813</v>
      </c>
      <c r="C327" s="1" t="n">
        <v>45927</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27329-2025</t>
        </is>
      </c>
      <c r="B328" s="1" t="n">
        <v>45812.60864583333</v>
      </c>
      <c r="C328" s="1" t="n">
        <v>45927</v>
      </c>
      <c r="D328" t="inlineStr">
        <is>
          <t>DALARNAS LÄN</t>
        </is>
      </c>
      <c r="E328" t="inlineStr">
        <is>
          <t>LEKSAND</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60920-2020</t>
        </is>
      </c>
      <c r="B329" s="1" t="n">
        <v>44153</v>
      </c>
      <c r="C329" s="1" t="n">
        <v>45927</v>
      </c>
      <c r="D329" t="inlineStr">
        <is>
          <t>DALARNAS LÄN</t>
        </is>
      </c>
      <c r="E329" t="inlineStr">
        <is>
          <t>LEKSAND</t>
        </is>
      </c>
      <c r="G329" t="n">
        <v>0.6</v>
      </c>
      <c r="H329" t="n">
        <v>0</v>
      </c>
      <c r="I329" t="n">
        <v>0</v>
      </c>
      <c r="J329" t="n">
        <v>0</v>
      </c>
      <c r="K329" t="n">
        <v>0</v>
      </c>
      <c r="L329" t="n">
        <v>0</v>
      </c>
      <c r="M329" t="n">
        <v>0</v>
      </c>
      <c r="N329" t="n">
        <v>0</v>
      </c>
      <c r="O329" t="n">
        <v>0</v>
      </c>
      <c r="P329" t="n">
        <v>0</v>
      </c>
      <c r="Q329" t="n">
        <v>0</v>
      </c>
      <c r="R329" s="2" t="inlineStr"/>
    </row>
    <row r="330" ht="15" customHeight="1">
      <c r="A330" t="inlineStr">
        <is>
          <t>A 61614-2023</t>
        </is>
      </c>
      <c r="B330" s="1" t="n">
        <v>45261</v>
      </c>
      <c r="C330" s="1" t="n">
        <v>45927</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41840-2024</t>
        </is>
      </c>
      <c r="B331" s="1" t="n">
        <v>45561.42170138889</v>
      </c>
      <c r="C331" s="1" t="n">
        <v>45927</v>
      </c>
      <c r="D331" t="inlineStr">
        <is>
          <t>DALARNAS LÄN</t>
        </is>
      </c>
      <c r="E331" t="inlineStr">
        <is>
          <t>LEKSAND</t>
        </is>
      </c>
      <c r="G331" t="n">
        <v>0.4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45927</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9105-2024</t>
        </is>
      </c>
      <c r="B333" s="1" t="n">
        <v>45357</v>
      </c>
      <c r="C333" s="1" t="n">
        <v>45927</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27984-2025</t>
        </is>
      </c>
      <c r="B334" s="1" t="n">
        <v>45817.57710648148</v>
      </c>
      <c r="C334" s="1" t="n">
        <v>45927</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1267-2025</t>
        </is>
      </c>
      <c r="B335" s="1" t="n">
        <v>45667</v>
      </c>
      <c r="C335" s="1" t="n">
        <v>45927</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24005-2024</t>
        </is>
      </c>
      <c r="B336" s="1" t="n">
        <v>45456.39239583333</v>
      </c>
      <c r="C336" s="1" t="n">
        <v>45927</v>
      </c>
      <c r="D336" t="inlineStr">
        <is>
          <t>DALARNAS LÄN</t>
        </is>
      </c>
      <c r="E336" t="inlineStr">
        <is>
          <t>LEKSAND</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61225-2023</t>
        </is>
      </c>
      <c r="B337" s="1" t="n">
        <v>45264</v>
      </c>
      <c r="C337" s="1" t="n">
        <v>45927</v>
      </c>
      <c r="D337" t="inlineStr">
        <is>
          <t>DALARNAS LÄN</t>
        </is>
      </c>
      <c r="E337" t="inlineStr">
        <is>
          <t>LEKSAND</t>
        </is>
      </c>
      <c r="G337" t="n">
        <v>7</v>
      </c>
      <c r="H337" t="n">
        <v>0</v>
      </c>
      <c r="I337" t="n">
        <v>0</v>
      </c>
      <c r="J337" t="n">
        <v>0</v>
      </c>
      <c r="K337" t="n">
        <v>0</v>
      </c>
      <c r="L337" t="n">
        <v>0</v>
      </c>
      <c r="M337" t="n">
        <v>0</v>
      </c>
      <c r="N337" t="n">
        <v>0</v>
      </c>
      <c r="O337" t="n">
        <v>0</v>
      </c>
      <c r="P337" t="n">
        <v>0</v>
      </c>
      <c r="Q337" t="n">
        <v>0</v>
      </c>
      <c r="R337" s="2" t="inlineStr"/>
    </row>
    <row r="338" ht="15" customHeight="1">
      <c r="A338" t="inlineStr">
        <is>
          <t>A 15968-2025</t>
        </is>
      </c>
      <c r="B338" s="1" t="n">
        <v>45749.54818287037</v>
      </c>
      <c r="C338" s="1" t="n">
        <v>45927</v>
      </c>
      <c r="D338" t="inlineStr">
        <is>
          <t>DALARNAS LÄN</t>
        </is>
      </c>
      <c r="E338" t="inlineStr">
        <is>
          <t>LEKSAND</t>
        </is>
      </c>
      <c r="G338" t="n">
        <v>3.2</v>
      </c>
      <c r="H338" t="n">
        <v>0</v>
      </c>
      <c r="I338" t="n">
        <v>0</v>
      </c>
      <c r="J338" t="n">
        <v>0</v>
      </c>
      <c r="K338" t="n">
        <v>0</v>
      </c>
      <c r="L338" t="n">
        <v>0</v>
      </c>
      <c r="M338" t="n">
        <v>0</v>
      </c>
      <c r="N338" t="n">
        <v>0</v>
      </c>
      <c r="O338" t="n">
        <v>0</v>
      </c>
      <c r="P338" t="n">
        <v>0</v>
      </c>
      <c r="Q338" t="n">
        <v>0</v>
      </c>
      <c r="R338" s="2" t="inlineStr"/>
    </row>
    <row r="339" ht="15" customHeight="1">
      <c r="A339" t="inlineStr">
        <is>
          <t>A 28499-2025</t>
        </is>
      </c>
      <c r="B339" s="1" t="n">
        <v>45818</v>
      </c>
      <c r="C339" s="1" t="n">
        <v>45927</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19700-2025</t>
        </is>
      </c>
      <c r="B340" s="1" t="n">
        <v>45771.32445601852</v>
      </c>
      <c r="C340" s="1" t="n">
        <v>45927</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30196-2023</t>
        </is>
      </c>
      <c r="B341" s="1" t="n">
        <v>45110</v>
      </c>
      <c r="C341" s="1" t="n">
        <v>45927</v>
      </c>
      <c r="D341" t="inlineStr">
        <is>
          <t>DALARNAS LÄN</t>
        </is>
      </c>
      <c r="E341" t="inlineStr">
        <is>
          <t>LEKSAND</t>
        </is>
      </c>
      <c r="G341" t="n">
        <v>1.2</v>
      </c>
      <c r="H341" t="n">
        <v>0</v>
      </c>
      <c r="I341" t="n">
        <v>0</v>
      </c>
      <c r="J341" t="n">
        <v>0</v>
      </c>
      <c r="K341" t="n">
        <v>0</v>
      </c>
      <c r="L341" t="n">
        <v>0</v>
      </c>
      <c r="M341" t="n">
        <v>0</v>
      </c>
      <c r="N341" t="n">
        <v>0</v>
      </c>
      <c r="O341" t="n">
        <v>0</v>
      </c>
      <c r="P341" t="n">
        <v>0</v>
      </c>
      <c r="Q341" t="n">
        <v>0</v>
      </c>
      <c r="R341" s="2" t="inlineStr"/>
    </row>
    <row r="342" ht="15" customHeight="1">
      <c r="A342" t="inlineStr">
        <is>
          <t>A 28483-2025</t>
        </is>
      </c>
      <c r="B342" s="1" t="n">
        <v>45818</v>
      </c>
      <c r="C342" s="1" t="n">
        <v>45927</v>
      </c>
      <c r="D342" t="inlineStr">
        <is>
          <t>DALARNAS LÄN</t>
        </is>
      </c>
      <c r="E342" t="inlineStr">
        <is>
          <t>LEKSAND</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28458-2025</t>
        </is>
      </c>
      <c r="B343" s="1" t="n">
        <v>45819.413125</v>
      </c>
      <c r="C343" s="1" t="n">
        <v>45927</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10833-2023</t>
        </is>
      </c>
      <c r="B344" s="1" t="n">
        <v>44990</v>
      </c>
      <c r="C344" s="1" t="n">
        <v>45927</v>
      </c>
      <c r="D344" t="inlineStr">
        <is>
          <t>DALARNAS LÄN</t>
        </is>
      </c>
      <c r="E344" t="inlineStr">
        <is>
          <t>LEKSAND</t>
        </is>
      </c>
      <c r="G344" t="n">
        <v>1.7</v>
      </c>
      <c r="H344" t="n">
        <v>0</v>
      </c>
      <c r="I344" t="n">
        <v>0</v>
      </c>
      <c r="J344" t="n">
        <v>0</v>
      </c>
      <c r="K344" t="n">
        <v>0</v>
      </c>
      <c r="L344" t="n">
        <v>0</v>
      </c>
      <c r="M344" t="n">
        <v>0</v>
      </c>
      <c r="N344" t="n">
        <v>0</v>
      </c>
      <c r="O344" t="n">
        <v>0</v>
      </c>
      <c r="P344" t="n">
        <v>0</v>
      </c>
      <c r="Q344" t="n">
        <v>0</v>
      </c>
      <c r="R344" s="2" t="inlineStr"/>
    </row>
    <row r="345" ht="15" customHeight="1">
      <c r="A345" t="inlineStr">
        <is>
          <t>A 28505-2025</t>
        </is>
      </c>
      <c r="B345" s="1" t="n">
        <v>45818</v>
      </c>
      <c r="C345" s="1" t="n">
        <v>45927</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28488-2025</t>
        </is>
      </c>
      <c r="B346" s="1" t="n">
        <v>45818</v>
      </c>
      <c r="C346" s="1" t="n">
        <v>45927</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47121-2021</t>
        </is>
      </c>
      <c r="B347" s="1" t="n">
        <v>44446</v>
      </c>
      <c r="C347" s="1" t="n">
        <v>45927</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36444-2023</t>
        </is>
      </c>
      <c r="B348" s="1" t="n">
        <v>45152.63138888889</v>
      </c>
      <c r="C348" s="1" t="n">
        <v>45927</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12582-2025</t>
        </is>
      </c>
      <c r="B349" s="1" t="n">
        <v>45732.62988425926</v>
      </c>
      <c r="C349" s="1" t="n">
        <v>45927</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21402-2023</t>
        </is>
      </c>
      <c r="B350" s="1" t="n">
        <v>45061</v>
      </c>
      <c r="C350" s="1" t="n">
        <v>45927</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31391-2024</t>
        </is>
      </c>
      <c r="B351" s="1" t="n">
        <v>45505.46616898148</v>
      </c>
      <c r="C351" s="1" t="n">
        <v>45927</v>
      </c>
      <c r="D351" t="inlineStr">
        <is>
          <t>DALARNAS LÄN</t>
        </is>
      </c>
      <c r="E351" t="inlineStr">
        <is>
          <t>LEKSAND</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167-2023</t>
        </is>
      </c>
      <c r="B352" s="1" t="n">
        <v>44918</v>
      </c>
      <c r="C352" s="1" t="n">
        <v>45927</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62116-2024</t>
        </is>
      </c>
      <c r="B353" s="1" t="n">
        <v>45646</v>
      </c>
      <c r="C353" s="1" t="n">
        <v>45927</v>
      </c>
      <c r="D353" t="inlineStr">
        <is>
          <t>DALARNAS LÄN</t>
        </is>
      </c>
      <c r="E353" t="inlineStr">
        <is>
          <t>LEKSAND</t>
        </is>
      </c>
      <c r="G353" t="n">
        <v>1.4</v>
      </c>
      <c r="H353" t="n">
        <v>0</v>
      </c>
      <c r="I353" t="n">
        <v>0</v>
      </c>
      <c r="J353" t="n">
        <v>0</v>
      </c>
      <c r="K353" t="n">
        <v>0</v>
      </c>
      <c r="L353" t="n">
        <v>0</v>
      </c>
      <c r="M353" t="n">
        <v>0</v>
      </c>
      <c r="N353" t="n">
        <v>0</v>
      </c>
      <c r="O353" t="n">
        <v>0</v>
      </c>
      <c r="P353" t="n">
        <v>0</v>
      </c>
      <c r="Q353" t="n">
        <v>0</v>
      </c>
      <c r="R353" s="2" t="inlineStr"/>
    </row>
    <row r="354" ht="15" customHeight="1">
      <c r="A354" t="inlineStr">
        <is>
          <t>A 28770-2025</t>
        </is>
      </c>
      <c r="B354" s="1" t="n">
        <v>45820</v>
      </c>
      <c r="C354" s="1" t="n">
        <v>45927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30169-2023</t>
        </is>
      </c>
      <c r="B355" s="1" t="n">
        <v>45110</v>
      </c>
      <c r="C355" s="1" t="n">
        <v>45927</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28592-2023</t>
        </is>
      </c>
      <c r="B356" s="1" t="n">
        <v>45103</v>
      </c>
      <c r="C356" s="1" t="n">
        <v>45927</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13063-2023</t>
        </is>
      </c>
      <c r="B357" s="1" t="n">
        <v>45001</v>
      </c>
      <c r="C357" s="1" t="n">
        <v>45927</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31850-2024</t>
        </is>
      </c>
      <c r="B358" s="1" t="n">
        <v>45509.67334490741</v>
      </c>
      <c r="C358" s="1" t="n">
        <v>45927</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14943-2023</t>
        </is>
      </c>
      <c r="B359" s="1" t="n">
        <v>45015</v>
      </c>
      <c r="C359" s="1" t="n">
        <v>45927</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18484-2024</t>
        </is>
      </c>
      <c r="B360" s="1" t="n">
        <v>45425.52559027778</v>
      </c>
      <c r="C360" s="1" t="n">
        <v>45927</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11418-2023</t>
        </is>
      </c>
      <c r="B361" s="1" t="n">
        <v>44993</v>
      </c>
      <c r="C361" s="1" t="n">
        <v>45927</v>
      </c>
      <c r="D361" t="inlineStr">
        <is>
          <t>DALARNAS LÄN</t>
        </is>
      </c>
      <c r="E361" t="inlineStr">
        <is>
          <t>LEKSAND</t>
        </is>
      </c>
      <c r="G361" t="n">
        <v>2.7</v>
      </c>
      <c r="H361" t="n">
        <v>0</v>
      </c>
      <c r="I361" t="n">
        <v>0</v>
      </c>
      <c r="J361" t="n">
        <v>0</v>
      </c>
      <c r="K361" t="n">
        <v>0</v>
      </c>
      <c r="L361" t="n">
        <v>0</v>
      </c>
      <c r="M361" t="n">
        <v>0</v>
      </c>
      <c r="N361" t="n">
        <v>0</v>
      </c>
      <c r="O361" t="n">
        <v>0</v>
      </c>
      <c r="P361" t="n">
        <v>0</v>
      </c>
      <c r="Q361" t="n">
        <v>0</v>
      </c>
      <c r="R361" s="2" t="inlineStr"/>
    </row>
    <row r="362" ht="15" customHeight="1">
      <c r="A362" t="inlineStr">
        <is>
          <t>A 40407-2024</t>
        </is>
      </c>
      <c r="B362" s="1" t="n">
        <v>45555</v>
      </c>
      <c r="C362" s="1" t="n">
        <v>45927</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33180-2024</t>
        </is>
      </c>
      <c r="B363" s="1" t="n">
        <v>45518.44481481481</v>
      </c>
      <c r="C363" s="1" t="n">
        <v>45927</v>
      </c>
      <c r="D363" t="inlineStr">
        <is>
          <t>DALARNAS LÄN</t>
        </is>
      </c>
      <c r="E363" t="inlineStr">
        <is>
          <t>LEKSAND</t>
        </is>
      </c>
      <c r="G363" t="n">
        <v>7.6</v>
      </c>
      <c r="H363" t="n">
        <v>0</v>
      </c>
      <c r="I363" t="n">
        <v>0</v>
      </c>
      <c r="J363" t="n">
        <v>0</v>
      </c>
      <c r="K363" t="n">
        <v>0</v>
      </c>
      <c r="L363" t="n">
        <v>0</v>
      </c>
      <c r="M363" t="n">
        <v>0</v>
      </c>
      <c r="N363" t="n">
        <v>0</v>
      </c>
      <c r="O363" t="n">
        <v>0</v>
      </c>
      <c r="P363" t="n">
        <v>0</v>
      </c>
      <c r="Q363" t="n">
        <v>0</v>
      </c>
      <c r="R363" s="2" t="inlineStr"/>
    </row>
    <row r="364" ht="15" customHeight="1">
      <c r="A364" t="inlineStr">
        <is>
          <t>A 70099-2021</t>
        </is>
      </c>
      <c r="B364" s="1" t="n">
        <v>44533</v>
      </c>
      <c r="C364" s="1" t="n">
        <v>45927</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54289-2023</t>
        </is>
      </c>
      <c r="B365" s="1" t="n">
        <v>45232.71193287037</v>
      </c>
      <c r="C365" s="1" t="n">
        <v>45927</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27244-2023</t>
        </is>
      </c>
      <c r="B366" s="1" t="n">
        <v>45096</v>
      </c>
      <c r="C366" s="1" t="n">
        <v>45927</v>
      </c>
      <c r="D366" t="inlineStr">
        <is>
          <t>DALARNAS LÄN</t>
        </is>
      </c>
      <c r="E366" t="inlineStr">
        <is>
          <t>LEKSAND</t>
        </is>
      </c>
      <c r="G366" t="n">
        <v>5</v>
      </c>
      <c r="H366" t="n">
        <v>0</v>
      </c>
      <c r="I366" t="n">
        <v>0</v>
      </c>
      <c r="J366" t="n">
        <v>0</v>
      </c>
      <c r="K366" t="n">
        <v>0</v>
      </c>
      <c r="L366" t="n">
        <v>0</v>
      </c>
      <c r="M366" t="n">
        <v>0</v>
      </c>
      <c r="N366" t="n">
        <v>0</v>
      </c>
      <c r="O366" t="n">
        <v>0</v>
      </c>
      <c r="P366" t="n">
        <v>0</v>
      </c>
      <c r="Q366" t="n">
        <v>0</v>
      </c>
      <c r="R366" s="2" t="inlineStr"/>
    </row>
    <row r="367" ht="15" customHeight="1">
      <c r="A367" t="inlineStr">
        <is>
          <t>A 3183-2025</t>
        </is>
      </c>
      <c r="B367" s="1" t="n">
        <v>45679.40298611111</v>
      </c>
      <c r="C367" s="1" t="n">
        <v>45927</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16592-2023</t>
        </is>
      </c>
      <c r="B368" s="1" t="n">
        <v>45030</v>
      </c>
      <c r="C368" s="1" t="n">
        <v>45927</v>
      </c>
      <c r="D368" t="inlineStr">
        <is>
          <t>DALARNAS LÄN</t>
        </is>
      </c>
      <c r="E368" t="inlineStr">
        <is>
          <t>LEKSAND</t>
        </is>
      </c>
      <c r="G368" t="n">
        <v>11.5</v>
      </c>
      <c r="H368" t="n">
        <v>0</v>
      </c>
      <c r="I368" t="n">
        <v>0</v>
      </c>
      <c r="J368" t="n">
        <v>0</v>
      </c>
      <c r="K368" t="n">
        <v>0</v>
      </c>
      <c r="L368" t="n">
        <v>0</v>
      </c>
      <c r="M368" t="n">
        <v>0</v>
      </c>
      <c r="N368" t="n">
        <v>0</v>
      </c>
      <c r="O368" t="n">
        <v>0</v>
      </c>
      <c r="P368" t="n">
        <v>0</v>
      </c>
      <c r="Q368" t="n">
        <v>0</v>
      </c>
      <c r="R368" s="2" t="inlineStr"/>
    </row>
    <row r="369" ht="15" customHeight="1">
      <c r="A369" t="inlineStr">
        <is>
          <t>A 12290-2024</t>
        </is>
      </c>
      <c r="B369" s="1" t="n">
        <v>45378.57877314815</v>
      </c>
      <c r="C369" s="1" t="n">
        <v>45927</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45927</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39819-2024</t>
        </is>
      </c>
      <c r="B371" s="1" t="n">
        <v>45553.38774305556</v>
      </c>
      <c r="C371" s="1" t="n">
        <v>45927</v>
      </c>
      <c r="D371" t="inlineStr">
        <is>
          <t>DALARNAS LÄN</t>
        </is>
      </c>
      <c r="E371" t="inlineStr">
        <is>
          <t>LEKSAND</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36450-2023</t>
        </is>
      </c>
      <c r="B372" s="1" t="n">
        <v>45152.64842592592</v>
      </c>
      <c r="C372" s="1" t="n">
        <v>45927</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11869-2024</t>
        </is>
      </c>
      <c r="B373" s="1" t="n">
        <v>45376.45800925926</v>
      </c>
      <c r="C373" s="1" t="n">
        <v>45927</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32666-2023</t>
        </is>
      </c>
      <c r="B374" s="1" t="n">
        <v>45121</v>
      </c>
      <c r="C374" s="1" t="n">
        <v>45927</v>
      </c>
      <c r="D374" t="inlineStr">
        <is>
          <t>DALARNAS LÄN</t>
        </is>
      </c>
      <c r="E374" t="inlineStr">
        <is>
          <t>LEKSAND</t>
        </is>
      </c>
      <c r="G374" t="n">
        <v>9.9</v>
      </c>
      <c r="H374" t="n">
        <v>0</v>
      </c>
      <c r="I374" t="n">
        <v>0</v>
      </c>
      <c r="J374" t="n">
        <v>0</v>
      </c>
      <c r="K374" t="n">
        <v>0</v>
      </c>
      <c r="L374" t="n">
        <v>0</v>
      </c>
      <c r="M374" t="n">
        <v>0</v>
      </c>
      <c r="N374" t="n">
        <v>0</v>
      </c>
      <c r="O374" t="n">
        <v>0</v>
      </c>
      <c r="P374" t="n">
        <v>0</v>
      </c>
      <c r="Q374" t="n">
        <v>0</v>
      </c>
      <c r="R374" s="2" t="inlineStr"/>
    </row>
    <row r="375" ht="15" customHeight="1">
      <c r="A375" t="inlineStr">
        <is>
          <t>A 28985-2025</t>
        </is>
      </c>
      <c r="B375" s="1" t="n">
        <v>45821.36862268519</v>
      </c>
      <c r="C375" s="1" t="n">
        <v>45927</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19559-2023</t>
        </is>
      </c>
      <c r="B376" s="1" t="n">
        <v>45050</v>
      </c>
      <c r="C376" s="1" t="n">
        <v>45927</v>
      </c>
      <c r="D376" t="inlineStr">
        <is>
          <t>DALARNAS LÄN</t>
        </is>
      </c>
      <c r="E376" t="inlineStr">
        <is>
          <t>LEKSAND</t>
        </is>
      </c>
      <c r="G376" t="n">
        <v>0.1</v>
      </c>
      <c r="H376" t="n">
        <v>0</v>
      </c>
      <c r="I376" t="n">
        <v>0</v>
      </c>
      <c r="J376" t="n">
        <v>0</v>
      </c>
      <c r="K376" t="n">
        <v>0</v>
      </c>
      <c r="L376" t="n">
        <v>0</v>
      </c>
      <c r="M376" t="n">
        <v>0</v>
      </c>
      <c r="N376" t="n">
        <v>0</v>
      </c>
      <c r="O376" t="n">
        <v>0</v>
      </c>
      <c r="P376" t="n">
        <v>0</v>
      </c>
      <c r="Q376" t="n">
        <v>0</v>
      </c>
      <c r="R376" s="2" t="inlineStr"/>
    </row>
    <row r="377" ht="15" customHeight="1">
      <c r="A377" t="inlineStr">
        <is>
          <t>A 5231-2024</t>
        </is>
      </c>
      <c r="B377" s="1" t="n">
        <v>45330</v>
      </c>
      <c r="C377" s="1" t="n">
        <v>45927</v>
      </c>
      <c r="D377" t="inlineStr">
        <is>
          <t>DALARNAS LÄN</t>
        </is>
      </c>
      <c r="E377" t="inlineStr">
        <is>
          <t>LEKSAND</t>
        </is>
      </c>
      <c r="F377" t="inlineStr">
        <is>
          <t>Bergvik skog väst AB</t>
        </is>
      </c>
      <c r="G377" t="n">
        <v>11.2</v>
      </c>
      <c r="H377" t="n">
        <v>0</v>
      </c>
      <c r="I377" t="n">
        <v>0</v>
      </c>
      <c r="J377" t="n">
        <v>0</v>
      </c>
      <c r="K377" t="n">
        <v>0</v>
      </c>
      <c r="L377" t="n">
        <v>0</v>
      </c>
      <c r="M377" t="n">
        <v>0</v>
      </c>
      <c r="N377" t="n">
        <v>0</v>
      </c>
      <c r="O377" t="n">
        <v>0</v>
      </c>
      <c r="P377" t="n">
        <v>0</v>
      </c>
      <c r="Q377" t="n">
        <v>0</v>
      </c>
      <c r="R377" s="2" t="inlineStr"/>
    </row>
    <row r="378" ht="15" customHeight="1">
      <c r="A378" t="inlineStr">
        <is>
          <t>A 16137-2023</t>
        </is>
      </c>
      <c r="B378" s="1" t="n">
        <v>45027</v>
      </c>
      <c r="C378" s="1" t="n">
        <v>45927</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48721-2023</t>
        </is>
      </c>
      <c r="B379" s="1" t="n">
        <v>45203</v>
      </c>
      <c r="C379" s="1" t="n">
        <v>45927</v>
      </c>
      <c r="D379" t="inlineStr">
        <is>
          <t>DALARNAS LÄN</t>
        </is>
      </c>
      <c r="E379" t="inlineStr">
        <is>
          <t>LEKSAND</t>
        </is>
      </c>
      <c r="G379" t="n">
        <v>2.9</v>
      </c>
      <c r="H379" t="n">
        <v>0</v>
      </c>
      <c r="I379" t="n">
        <v>0</v>
      </c>
      <c r="J379" t="n">
        <v>0</v>
      </c>
      <c r="K379" t="n">
        <v>0</v>
      </c>
      <c r="L379" t="n">
        <v>0</v>
      </c>
      <c r="M379" t="n">
        <v>0</v>
      </c>
      <c r="N379" t="n">
        <v>0</v>
      </c>
      <c r="O379" t="n">
        <v>0</v>
      </c>
      <c r="P379" t="n">
        <v>0</v>
      </c>
      <c r="Q379" t="n">
        <v>0</v>
      </c>
      <c r="R379" s="2" t="inlineStr"/>
    </row>
    <row r="380" ht="15" customHeight="1">
      <c r="A380" t="inlineStr">
        <is>
          <t>A 43142-2024</t>
        </is>
      </c>
      <c r="B380" s="1" t="n">
        <v>45567.62144675926</v>
      </c>
      <c r="C380" s="1" t="n">
        <v>45927</v>
      </c>
      <c r="D380" t="inlineStr">
        <is>
          <t>DALARNAS LÄN</t>
        </is>
      </c>
      <c r="E380" t="inlineStr">
        <is>
          <t>LEKSAND</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19618-2024</t>
        </is>
      </c>
      <c r="B381" s="1" t="n">
        <v>45432.32896990741</v>
      </c>
      <c r="C381" s="1" t="n">
        <v>45927</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1984-2025</t>
        </is>
      </c>
      <c r="B382" s="1" t="n">
        <v>45670</v>
      </c>
      <c r="C382" s="1" t="n">
        <v>45927</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1443-2024</t>
        </is>
      </c>
      <c r="B383" s="1" t="n">
        <v>45303</v>
      </c>
      <c r="C383" s="1" t="n">
        <v>45927</v>
      </c>
      <c r="D383" t="inlineStr">
        <is>
          <t>DALARNAS LÄN</t>
        </is>
      </c>
      <c r="E383" t="inlineStr">
        <is>
          <t>LEKSAND</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54682-2023</t>
        </is>
      </c>
      <c r="B384" s="1" t="n">
        <v>45235.90439814814</v>
      </c>
      <c r="C384" s="1" t="n">
        <v>45927</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5847-2025</t>
        </is>
      </c>
      <c r="B385" s="1" t="n">
        <v>45695.30824074074</v>
      </c>
      <c r="C385" s="1" t="n">
        <v>45927</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45927</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36262-2023</t>
        </is>
      </c>
      <c r="B387" s="1" t="n">
        <v>45151.9096875</v>
      </c>
      <c r="C387" s="1" t="n">
        <v>45927</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27446-2024</t>
        </is>
      </c>
      <c r="B388" s="1" t="n">
        <v>45474.42671296297</v>
      </c>
      <c r="C388" s="1" t="n">
        <v>45927</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10367-2023</t>
        </is>
      </c>
      <c r="B389" s="1" t="n">
        <v>44987</v>
      </c>
      <c r="C389" s="1" t="n">
        <v>45927</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53817-2023</t>
        </is>
      </c>
      <c r="B390" s="1" t="n">
        <v>45231.40488425926</v>
      </c>
      <c r="C390" s="1" t="n">
        <v>45927</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30863-2024</t>
        </is>
      </c>
      <c r="B391" s="1" t="n">
        <v>45497.71074074074</v>
      </c>
      <c r="C391" s="1" t="n">
        <v>45927</v>
      </c>
      <c r="D391" t="inlineStr">
        <is>
          <t>DALARNAS LÄN</t>
        </is>
      </c>
      <c r="E391" t="inlineStr">
        <is>
          <t>LEKSAND</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62993-2023</t>
        </is>
      </c>
      <c r="B392" s="1" t="n">
        <v>45272</v>
      </c>
      <c r="C392" s="1" t="n">
        <v>45927</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24481-2024</t>
        </is>
      </c>
      <c r="B393" s="1" t="n">
        <v>45459.36460648148</v>
      </c>
      <c r="C393" s="1" t="n">
        <v>45927</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45927</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17455-2022</t>
        </is>
      </c>
      <c r="B395" s="1" t="n">
        <v>44679.3775</v>
      </c>
      <c r="C395" s="1" t="n">
        <v>45927</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29553-2025</t>
        </is>
      </c>
      <c r="B396" s="1" t="n">
        <v>45825.35315972222</v>
      </c>
      <c r="C396" s="1" t="n">
        <v>45927</v>
      </c>
      <c r="D396" t="inlineStr">
        <is>
          <t>DALARNAS LÄN</t>
        </is>
      </c>
      <c r="E396" t="inlineStr">
        <is>
          <t>LEKSAND</t>
        </is>
      </c>
      <c r="G396" t="n">
        <v>1.8</v>
      </c>
      <c r="H396" t="n">
        <v>0</v>
      </c>
      <c r="I396" t="n">
        <v>0</v>
      </c>
      <c r="J396" t="n">
        <v>0</v>
      </c>
      <c r="K396" t="n">
        <v>0</v>
      </c>
      <c r="L396" t="n">
        <v>0</v>
      </c>
      <c r="M396" t="n">
        <v>0</v>
      </c>
      <c r="N396" t="n">
        <v>0</v>
      </c>
      <c r="O396" t="n">
        <v>0</v>
      </c>
      <c r="P396" t="n">
        <v>0</v>
      </c>
      <c r="Q396" t="n">
        <v>0</v>
      </c>
      <c r="R396" s="2" t="inlineStr"/>
    </row>
    <row r="397" ht="15" customHeight="1">
      <c r="A397" t="inlineStr">
        <is>
          <t>A 1519-2024</t>
        </is>
      </c>
      <c r="B397" s="1" t="n">
        <v>45306</v>
      </c>
      <c r="C397" s="1" t="n">
        <v>45927</v>
      </c>
      <c r="D397" t="inlineStr">
        <is>
          <t>DALARNAS LÄN</t>
        </is>
      </c>
      <c r="E397" t="inlineStr">
        <is>
          <t>LEKSAND</t>
        </is>
      </c>
      <c r="G397" t="n">
        <v>3.3</v>
      </c>
      <c r="H397" t="n">
        <v>0</v>
      </c>
      <c r="I397" t="n">
        <v>0</v>
      </c>
      <c r="J397" t="n">
        <v>0</v>
      </c>
      <c r="K397" t="n">
        <v>0</v>
      </c>
      <c r="L397" t="n">
        <v>0</v>
      </c>
      <c r="M397" t="n">
        <v>0</v>
      </c>
      <c r="N397" t="n">
        <v>0</v>
      </c>
      <c r="O397" t="n">
        <v>0</v>
      </c>
      <c r="P397" t="n">
        <v>0</v>
      </c>
      <c r="Q397" t="n">
        <v>0</v>
      </c>
      <c r="R397" s="2" t="inlineStr"/>
    </row>
    <row r="398" ht="15" customHeight="1">
      <c r="A398" t="inlineStr">
        <is>
          <t>A 7417-2024</t>
        </is>
      </c>
      <c r="B398" s="1" t="n">
        <v>45345.62378472222</v>
      </c>
      <c r="C398" s="1" t="n">
        <v>45927</v>
      </c>
      <c r="D398" t="inlineStr">
        <is>
          <t>DALARNAS LÄN</t>
        </is>
      </c>
      <c r="E398" t="inlineStr">
        <is>
          <t>LEKSAND</t>
        </is>
      </c>
      <c r="G398" t="n">
        <v>2.8</v>
      </c>
      <c r="H398" t="n">
        <v>0</v>
      </c>
      <c r="I398" t="n">
        <v>0</v>
      </c>
      <c r="J398" t="n">
        <v>0</v>
      </c>
      <c r="K398" t="n">
        <v>0</v>
      </c>
      <c r="L398" t="n">
        <v>0</v>
      </c>
      <c r="M398" t="n">
        <v>0</v>
      </c>
      <c r="N398" t="n">
        <v>0</v>
      </c>
      <c r="O398" t="n">
        <v>0</v>
      </c>
      <c r="P398" t="n">
        <v>0</v>
      </c>
      <c r="Q398" t="n">
        <v>0</v>
      </c>
      <c r="R398" s="2" t="inlineStr"/>
    </row>
    <row r="399" ht="15" customHeight="1">
      <c r="A399" t="inlineStr">
        <is>
          <t>A 2694-2025</t>
        </is>
      </c>
      <c r="B399" s="1" t="n">
        <v>45677.38246527778</v>
      </c>
      <c r="C399" s="1" t="n">
        <v>45927</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28892-2022</t>
        </is>
      </c>
      <c r="B400" s="1" t="n">
        <v>44749</v>
      </c>
      <c r="C400" s="1" t="n">
        <v>45927</v>
      </c>
      <c r="D400" t="inlineStr">
        <is>
          <t>DALARNAS LÄN</t>
        </is>
      </c>
      <c r="E400" t="inlineStr">
        <is>
          <t>LEKSAND</t>
        </is>
      </c>
      <c r="F400" t="inlineStr">
        <is>
          <t>Bergvik skog väst AB</t>
        </is>
      </c>
      <c r="G400" t="n">
        <v>9.1</v>
      </c>
      <c r="H400" t="n">
        <v>0</v>
      </c>
      <c r="I400" t="n">
        <v>0</v>
      </c>
      <c r="J400" t="n">
        <v>0</v>
      </c>
      <c r="K400" t="n">
        <v>0</v>
      </c>
      <c r="L400" t="n">
        <v>0</v>
      </c>
      <c r="M400" t="n">
        <v>0</v>
      </c>
      <c r="N400" t="n">
        <v>0</v>
      </c>
      <c r="O400" t="n">
        <v>0</v>
      </c>
      <c r="P400" t="n">
        <v>0</v>
      </c>
      <c r="Q400" t="n">
        <v>0</v>
      </c>
      <c r="R400" s="2" t="inlineStr"/>
    </row>
    <row r="401" ht="15" customHeight="1">
      <c r="A401" t="inlineStr">
        <is>
          <t>A 33593-2024</t>
        </is>
      </c>
      <c r="B401" s="1" t="n">
        <v>45520.36055555556</v>
      </c>
      <c r="C401" s="1" t="n">
        <v>45927</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29005-2025</t>
        </is>
      </c>
      <c r="B402" s="1" t="n">
        <v>45821.39326388889</v>
      </c>
      <c r="C402" s="1" t="n">
        <v>45927</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7778-2025</t>
        </is>
      </c>
      <c r="B403" s="1" t="n">
        <v>45706</v>
      </c>
      <c r="C403" s="1" t="n">
        <v>45927</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41169-2024</t>
        </is>
      </c>
      <c r="B404" s="1" t="n">
        <v>45559.48637731482</v>
      </c>
      <c r="C404" s="1" t="n">
        <v>45927</v>
      </c>
      <c r="D404" t="inlineStr">
        <is>
          <t>DALARNAS LÄN</t>
        </is>
      </c>
      <c r="E404" t="inlineStr">
        <is>
          <t>LEKSAND</t>
        </is>
      </c>
      <c r="G404" t="n">
        <v>8.9</v>
      </c>
      <c r="H404" t="n">
        <v>0</v>
      </c>
      <c r="I404" t="n">
        <v>0</v>
      </c>
      <c r="J404" t="n">
        <v>0</v>
      </c>
      <c r="K404" t="n">
        <v>0</v>
      </c>
      <c r="L404" t="n">
        <v>0</v>
      </c>
      <c r="M404" t="n">
        <v>0</v>
      </c>
      <c r="N404" t="n">
        <v>0</v>
      </c>
      <c r="O404" t="n">
        <v>0</v>
      </c>
      <c r="P404" t="n">
        <v>0</v>
      </c>
      <c r="Q404" t="n">
        <v>0</v>
      </c>
      <c r="R404" s="2" t="inlineStr"/>
    </row>
    <row r="405" ht="15" customHeight="1">
      <c r="A405" t="inlineStr">
        <is>
          <t>A 12857-2023</t>
        </is>
      </c>
      <c r="B405" s="1" t="n">
        <v>45001.5000462963</v>
      </c>
      <c r="C405" s="1" t="n">
        <v>45927</v>
      </c>
      <c r="D405" t="inlineStr">
        <is>
          <t>DALARNAS LÄN</t>
        </is>
      </c>
      <c r="E405" t="inlineStr">
        <is>
          <t>LEKSAND</t>
        </is>
      </c>
      <c r="G405" t="n">
        <v>0.2</v>
      </c>
      <c r="H405" t="n">
        <v>0</v>
      </c>
      <c r="I405" t="n">
        <v>0</v>
      </c>
      <c r="J405" t="n">
        <v>0</v>
      </c>
      <c r="K405" t="n">
        <v>0</v>
      </c>
      <c r="L405" t="n">
        <v>0</v>
      </c>
      <c r="M405" t="n">
        <v>0</v>
      </c>
      <c r="N405" t="n">
        <v>0</v>
      </c>
      <c r="O405" t="n">
        <v>0</v>
      </c>
      <c r="P405" t="n">
        <v>0</v>
      </c>
      <c r="Q405" t="n">
        <v>0</v>
      </c>
      <c r="R405" s="2" t="inlineStr"/>
    </row>
    <row r="406" ht="15" customHeight="1">
      <c r="A406" t="inlineStr">
        <is>
          <t>A 5574-2024</t>
        </is>
      </c>
      <c r="B406" s="1" t="n">
        <v>45334</v>
      </c>
      <c r="C406" s="1" t="n">
        <v>45927</v>
      </c>
      <c r="D406" t="inlineStr">
        <is>
          <t>DALARNAS LÄN</t>
        </is>
      </c>
      <c r="E406" t="inlineStr">
        <is>
          <t>LEKSAND</t>
        </is>
      </c>
      <c r="G406" t="n">
        <v>0.4</v>
      </c>
      <c r="H406" t="n">
        <v>0</v>
      </c>
      <c r="I406" t="n">
        <v>0</v>
      </c>
      <c r="J406" t="n">
        <v>0</v>
      </c>
      <c r="K406" t="n">
        <v>0</v>
      </c>
      <c r="L406" t="n">
        <v>0</v>
      </c>
      <c r="M406" t="n">
        <v>0</v>
      </c>
      <c r="N406" t="n">
        <v>0</v>
      </c>
      <c r="O406" t="n">
        <v>0</v>
      </c>
      <c r="P406" t="n">
        <v>0</v>
      </c>
      <c r="Q406" t="n">
        <v>0</v>
      </c>
      <c r="R406" s="2" t="inlineStr"/>
    </row>
    <row r="407" ht="15" customHeight="1">
      <c r="A407" t="inlineStr">
        <is>
          <t>A 32072-2024</t>
        </is>
      </c>
      <c r="B407" s="1" t="n">
        <v>45510.98405092592</v>
      </c>
      <c r="C407" s="1" t="n">
        <v>45927</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4121-2024</t>
        </is>
      </c>
      <c r="B408" s="1" t="n">
        <v>45323</v>
      </c>
      <c r="C408" s="1" t="n">
        <v>45927</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56299-2024</t>
        </is>
      </c>
      <c r="B409" s="1" t="n">
        <v>45624.68607638889</v>
      </c>
      <c r="C409" s="1" t="n">
        <v>45927</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17483-2025</t>
        </is>
      </c>
      <c r="B410" s="1" t="n">
        <v>45757.49408564815</v>
      </c>
      <c r="C410" s="1" t="n">
        <v>45927</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57665-2023</t>
        </is>
      </c>
      <c r="B411" s="1" t="n">
        <v>45246</v>
      </c>
      <c r="C411" s="1" t="n">
        <v>45927</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30858-2024</t>
        </is>
      </c>
      <c r="B412" s="1" t="n">
        <v>45497.67601851852</v>
      </c>
      <c r="C412" s="1" t="n">
        <v>45927</v>
      </c>
      <c r="D412" t="inlineStr">
        <is>
          <t>DALARNAS LÄN</t>
        </is>
      </c>
      <c r="E412" t="inlineStr">
        <is>
          <t>LEKSAND</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18481-2024</t>
        </is>
      </c>
      <c r="B413" s="1" t="n">
        <v>45425.52193287037</v>
      </c>
      <c r="C413" s="1" t="n">
        <v>45927</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8046-2024</t>
        </is>
      </c>
      <c r="B414" s="1" t="n">
        <v>45351.31555555556</v>
      </c>
      <c r="C414" s="1" t="n">
        <v>45927</v>
      </c>
      <c r="D414" t="inlineStr">
        <is>
          <t>DALARNAS LÄN</t>
        </is>
      </c>
      <c r="E414" t="inlineStr">
        <is>
          <t>LEKSAND</t>
        </is>
      </c>
      <c r="G414" t="n">
        <v>2.9</v>
      </c>
      <c r="H414" t="n">
        <v>0</v>
      </c>
      <c r="I414" t="n">
        <v>0</v>
      </c>
      <c r="J414" t="n">
        <v>0</v>
      </c>
      <c r="K414" t="n">
        <v>0</v>
      </c>
      <c r="L414" t="n">
        <v>0</v>
      </c>
      <c r="M414" t="n">
        <v>0</v>
      </c>
      <c r="N414" t="n">
        <v>0</v>
      </c>
      <c r="O414" t="n">
        <v>0</v>
      </c>
      <c r="P414" t="n">
        <v>0</v>
      </c>
      <c r="Q414" t="n">
        <v>0</v>
      </c>
      <c r="R414" s="2" t="inlineStr"/>
    </row>
    <row r="415" ht="15" customHeight="1">
      <c r="A415" t="inlineStr">
        <is>
          <t>A 7827-2024</t>
        </is>
      </c>
      <c r="B415" s="1" t="n">
        <v>45349.7467824074</v>
      </c>
      <c r="C415" s="1" t="n">
        <v>45927</v>
      </c>
      <c r="D415" t="inlineStr">
        <is>
          <t>DALARNAS LÄN</t>
        </is>
      </c>
      <c r="E415" t="inlineStr">
        <is>
          <t>LEKSAND</t>
        </is>
      </c>
      <c r="G415" t="n">
        <v>2.2</v>
      </c>
      <c r="H415" t="n">
        <v>0</v>
      </c>
      <c r="I415" t="n">
        <v>0</v>
      </c>
      <c r="J415" t="n">
        <v>0</v>
      </c>
      <c r="K415" t="n">
        <v>0</v>
      </c>
      <c r="L415" t="n">
        <v>0</v>
      </c>
      <c r="M415" t="n">
        <v>0</v>
      </c>
      <c r="N415" t="n">
        <v>0</v>
      </c>
      <c r="O415" t="n">
        <v>0</v>
      </c>
      <c r="P415" t="n">
        <v>0</v>
      </c>
      <c r="Q415" t="n">
        <v>0</v>
      </c>
      <c r="R415" s="2" t="inlineStr"/>
    </row>
    <row r="416" ht="15" customHeight="1">
      <c r="A416" t="inlineStr">
        <is>
          <t>A 43735-2022</t>
        </is>
      </c>
      <c r="B416" s="1" t="n">
        <v>44837.70210648148</v>
      </c>
      <c r="C416" s="1" t="n">
        <v>45927</v>
      </c>
      <c r="D416" t="inlineStr">
        <is>
          <t>DALARNAS LÄN</t>
        </is>
      </c>
      <c r="E416" t="inlineStr">
        <is>
          <t>LEKSAND</t>
        </is>
      </c>
      <c r="G416" t="n">
        <v>2.9</v>
      </c>
      <c r="H416" t="n">
        <v>0</v>
      </c>
      <c r="I416" t="n">
        <v>0</v>
      </c>
      <c r="J416" t="n">
        <v>0</v>
      </c>
      <c r="K416" t="n">
        <v>0</v>
      </c>
      <c r="L416" t="n">
        <v>0</v>
      </c>
      <c r="M416" t="n">
        <v>0</v>
      </c>
      <c r="N416" t="n">
        <v>0</v>
      </c>
      <c r="O416" t="n">
        <v>0</v>
      </c>
      <c r="P416" t="n">
        <v>0</v>
      </c>
      <c r="Q416" t="n">
        <v>0</v>
      </c>
      <c r="R416" s="2" t="inlineStr"/>
    </row>
    <row r="417" ht="15" customHeight="1">
      <c r="A417" t="inlineStr">
        <is>
          <t>A 20936-2023</t>
        </is>
      </c>
      <c r="B417" s="1" t="n">
        <v>45061</v>
      </c>
      <c r="C417" s="1" t="n">
        <v>45927</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44469-2024</t>
        </is>
      </c>
      <c r="B418" s="1" t="n">
        <v>45574</v>
      </c>
      <c r="C418" s="1" t="n">
        <v>45927</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25921-2024</t>
        </is>
      </c>
      <c r="B419" s="1" t="n">
        <v>45467.6053587963</v>
      </c>
      <c r="C419" s="1" t="n">
        <v>45927</v>
      </c>
      <c r="D419" t="inlineStr">
        <is>
          <t>DALARNAS LÄN</t>
        </is>
      </c>
      <c r="E419" t="inlineStr">
        <is>
          <t>LEKSAND</t>
        </is>
      </c>
      <c r="G419" t="n">
        <v>2.8</v>
      </c>
      <c r="H419" t="n">
        <v>0</v>
      </c>
      <c r="I419" t="n">
        <v>0</v>
      </c>
      <c r="J419" t="n">
        <v>0</v>
      </c>
      <c r="K419" t="n">
        <v>0</v>
      </c>
      <c r="L419" t="n">
        <v>0</v>
      </c>
      <c r="M419" t="n">
        <v>0</v>
      </c>
      <c r="N419" t="n">
        <v>0</v>
      </c>
      <c r="O419" t="n">
        <v>0</v>
      </c>
      <c r="P419" t="n">
        <v>0</v>
      </c>
      <c r="Q419" t="n">
        <v>0</v>
      </c>
      <c r="R419" s="2" t="inlineStr"/>
    </row>
    <row r="420" ht="15" customHeight="1">
      <c r="A420" t="inlineStr">
        <is>
          <t>A 41306-2024</t>
        </is>
      </c>
      <c r="B420" s="1" t="n">
        <v>45559.62550925926</v>
      </c>
      <c r="C420" s="1" t="n">
        <v>45927</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53464-2024</t>
        </is>
      </c>
      <c r="B421" s="1" t="n">
        <v>45611</v>
      </c>
      <c r="C421" s="1" t="n">
        <v>45927</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17377-2025</t>
        </is>
      </c>
      <c r="B422" s="1" t="n">
        <v>45756.983125</v>
      </c>
      <c r="C422" s="1" t="n">
        <v>45927</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13288-2023</t>
        </is>
      </c>
      <c r="B423" s="1" t="n">
        <v>45004.8160300926</v>
      </c>
      <c r="C423" s="1" t="n">
        <v>45927</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29729-2025</t>
        </is>
      </c>
      <c r="B424" s="1" t="n">
        <v>45825.58077546296</v>
      </c>
      <c r="C424" s="1" t="n">
        <v>45927</v>
      </c>
      <c r="D424" t="inlineStr">
        <is>
          <t>DALARNAS LÄN</t>
        </is>
      </c>
      <c r="E424" t="inlineStr">
        <is>
          <t>LEKSAND</t>
        </is>
      </c>
      <c r="F424" t="inlineStr">
        <is>
          <t>Bergvik skog väst AB</t>
        </is>
      </c>
      <c r="G424" t="n">
        <v>4.3</v>
      </c>
      <c r="H424" t="n">
        <v>0</v>
      </c>
      <c r="I424" t="n">
        <v>0</v>
      </c>
      <c r="J424" t="n">
        <v>0</v>
      </c>
      <c r="K424" t="n">
        <v>0</v>
      </c>
      <c r="L424" t="n">
        <v>0</v>
      </c>
      <c r="M424" t="n">
        <v>0</v>
      </c>
      <c r="N424" t="n">
        <v>0</v>
      </c>
      <c r="O424" t="n">
        <v>0</v>
      </c>
      <c r="P424" t="n">
        <v>0</v>
      </c>
      <c r="Q424" t="n">
        <v>0</v>
      </c>
      <c r="R424" s="2" t="inlineStr"/>
    </row>
    <row r="425" ht="15" customHeight="1">
      <c r="A425" t="inlineStr">
        <is>
          <t>A 46628-2024</t>
        </is>
      </c>
      <c r="B425" s="1" t="n">
        <v>45583.33195601852</v>
      </c>
      <c r="C425" s="1" t="n">
        <v>45927</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17233-2023</t>
        </is>
      </c>
      <c r="B426" s="1" t="n">
        <v>45035</v>
      </c>
      <c r="C426" s="1" t="n">
        <v>45927</v>
      </c>
      <c r="D426" t="inlineStr">
        <is>
          <t>DALARNAS LÄN</t>
        </is>
      </c>
      <c r="E426" t="inlineStr">
        <is>
          <t>LEKSAND</t>
        </is>
      </c>
      <c r="G426" t="n">
        <v>1.6</v>
      </c>
      <c r="H426" t="n">
        <v>0</v>
      </c>
      <c r="I426" t="n">
        <v>0</v>
      </c>
      <c r="J426" t="n">
        <v>0</v>
      </c>
      <c r="K426" t="n">
        <v>0</v>
      </c>
      <c r="L426" t="n">
        <v>0</v>
      </c>
      <c r="M426" t="n">
        <v>0</v>
      </c>
      <c r="N426" t="n">
        <v>0</v>
      </c>
      <c r="O426" t="n">
        <v>0</v>
      </c>
      <c r="P426" t="n">
        <v>0</v>
      </c>
      <c r="Q426" t="n">
        <v>0</v>
      </c>
      <c r="R426" s="2" t="inlineStr"/>
    </row>
    <row r="427" ht="15" customHeight="1">
      <c r="A427" t="inlineStr">
        <is>
          <t>A 43222-2024</t>
        </is>
      </c>
      <c r="B427" s="1" t="n">
        <v>45567.87177083334</v>
      </c>
      <c r="C427" s="1" t="n">
        <v>45927</v>
      </c>
      <c r="D427" t="inlineStr">
        <is>
          <t>DALARNAS LÄN</t>
        </is>
      </c>
      <c r="E427" t="inlineStr">
        <is>
          <t>LEKSAND</t>
        </is>
      </c>
      <c r="F427" t="inlineStr">
        <is>
          <t>Bergvik skog väst AB</t>
        </is>
      </c>
      <c r="G427" t="n">
        <v>8.6</v>
      </c>
      <c r="H427" t="n">
        <v>0</v>
      </c>
      <c r="I427" t="n">
        <v>0</v>
      </c>
      <c r="J427" t="n">
        <v>0</v>
      </c>
      <c r="K427" t="n">
        <v>0</v>
      </c>
      <c r="L427" t="n">
        <v>0</v>
      </c>
      <c r="M427" t="n">
        <v>0</v>
      </c>
      <c r="N427" t="n">
        <v>0</v>
      </c>
      <c r="O427" t="n">
        <v>0</v>
      </c>
      <c r="P427" t="n">
        <v>0</v>
      </c>
      <c r="Q427" t="n">
        <v>0</v>
      </c>
      <c r="R427" s="2" t="inlineStr"/>
    </row>
    <row r="428" ht="15" customHeight="1">
      <c r="A428" t="inlineStr">
        <is>
          <t>A 43231-2024</t>
        </is>
      </c>
      <c r="B428" s="1" t="n">
        <v>45567.89709490741</v>
      </c>
      <c r="C428" s="1" t="n">
        <v>45927</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17533-2023</t>
        </is>
      </c>
      <c r="B429" s="1" t="n">
        <v>45036</v>
      </c>
      <c r="C429" s="1" t="n">
        <v>45927</v>
      </c>
      <c r="D429" t="inlineStr">
        <is>
          <t>DALARNAS LÄN</t>
        </is>
      </c>
      <c r="E429" t="inlineStr">
        <is>
          <t>LEKSAND</t>
        </is>
      </c>
      <c r="G429" t="n">
        <v>3</v>
      </c>
      <c r="H429" t="n">
        <v>0</v>
      </c>
      <c r="I429" t="n">
        <v>0</v>
      </c>
      <c r="J429" t="n">
        <v>0</v>
      </c>
      <c r="K429" t="n">
        <v>0</v>
      </c>
      <c r="L429" t="n">
        <v>0</v>
      </c>
      <c r="M429" t="n">
        <v>0</v>
      </c>
      <c r="N429" t="n">
        <v>0</v>
      </c>
      <c r="O429" t="n">
        <v>0</v>
      </c>
      <c r="P429" t="n">
        <v>0</v>
      </c>
      <c r="Q429" t="n">
        <v>0</v>
      </c>
      <c r="R429" s="2" t="inlineStr"/>
    </row>
    <row r="430" ht="15" customHeight="1">
      <c r="A430" t="inlineStr">
        <is>
          <t>A 46931-2023</t>
        </is>
      </c>
      <c r="B430" s="1" t="n">
        <v>45201</v>
      </c>
      <c r="C430" s="1" t="n">
        <v>45927</v>
      </c>
      <c r="D430" t="inlineStr">
        <is>
          <t>DALARNAS LÄN</t>
        </is>
      </c>
      <c r="E430" t="inlineStr">
        <is>
          <t>LEKSAND</t>
        </is>
      </c>
      <c r="G430" t="n">
        <v>1.4</v>
      </c>
      <c r="H430" t="n">
        <v>0</v>
      </c>
      <c r="I430" t="n">
        <v>0</v>
      </c>
      <c r="J430" t="n">
        <v>0</v>
      </c>
      <c r="K430" t="n">
        <v>0</v>
      </c>
      <c r="L430" t="n">
        <v>0</v>
      </c>
      <c r="M430" t="n">
        <v>0</v>
      </c>
      <c r="N430" t="n">
        <v>0</v>
      </c>
      <c r="O430" t="n">
        <v>0</v>
      </c>
      <c r="P430" t="n">
        <v>0</v>
      </c>
      <c r="Q430" t="n">
        <v>0</v>
      </c>
      <c r="R430" s="2" t="inlineStr"/>
    </row>
    <row r="431" ht="15" customHeight="1">
      <c r="A431" t="inlineStr">
        <is>
          <t>A 11740-2025</t>
        </is>
      </c>
      <c r="B431" s="1" t="n">
        <v>45727.62582175926</v>
      </c>
      <c r="C431" s="1" t="n">
        <v>45927</v>
      </c>
      <c r="D431" t="inlineStr">
        <is>
          <t>DALARNAS LÄN</t>
        </is>
      </c>
      <c r="E431" t="inlineStr">
        <is>
          <t>LEKSAND</t>
        </is>
      </c>
      <c r="F431" t="inlineStr">
        <is>
          <t>Övriga Aktiebolag</t>
        </is>
      </c>
      <c r="G431" t="n">
        <v>1.3</v>
      </c>
      <c r="H431" t="n">
        <v>0</v>
      </c>
      <c r="I431" t="n">
        <v>0</v>
      </c>
      <c r="J431" t="n">
        <v>0</v>
      </c>
      <c r="K431" t="n">
        <v>0</v>
      </c>
      <c r="L431" t="n">
        <v>0</v>
      </c>
      <c r="M431" t="n">
        <v>0</v>
      </c>
      <c r="N431" t="n">
        <v>0</v>
      </c>
      <c r="O431" t="n">
        <v>0</v>
      </c>
      <c r="P431" t="n">
        <v>0</v>
      </c>
      <c r="Q431" t="n">
        <v>0</v>
      </c>
      <c r="R431" s="2" t="inlineStr"/>
    </row>
    <row r="432" ht="15" customHeight="1">
      <c r="A432" t="inlineStr">
        <is>
          <t>A 54914-2024</t>
        </is>
      </c>
      <c r="B432" s="1" t="n">
        <v>45618.69380787037</v>
      </c>
      <c r="C432" s="1" t="n">
        <v>45927</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39921-2024</t>
        </is>
      </c>
      <c r="B433" s="1" t="n">
        <v>45553</v>
      </c>
      <c r="C433" s="1" t="n">
        <v>45927</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58244-2024</t>
        </is>
      </c>
      <c r="B434" s="1" t="n">
        <v>45631</v>
      </c>
      <c r="C434" s="1" t="n">
        <v>45927</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61546-2021</t>
        </is>
      </c>
      <c r="B435" s="1" t="n">
        <v>44501</v>
      </c>
      <c r="C435" s="1" t="n">
        <v>45927</v>
      </c>
      <c r="D435" t="inlineStr">
        <is>
          <t>DALARNAS LÄN</t>
        </is>
      </c>
      <c r="E435" t="inlineStr">
        <is>
          <t>LEKSAND</t>
        </is>
      </c>
      <c r="G435" t="n">
        <v>3</v>
      </c>
      <c r="H435" t="n">
        <v>0</v>
      </c>
      <c r="I435" t="n">
        <v>0</v>
      </c>
      <c r="J435" t="n">
        <v>0</v>
      </c>
      <c r="K435" t="n">
        <v>0</v>
      </c>
      <c r="L435" t="n">
        <v>0</v>
      </c>
      <c r="M435" t="n">
        <v>0</v>
      </c>
      <c r="N435" t="n">
        <v>0</v>
      </c>
      <c r="O435" t="n">
        <v>0</v>
      </c>
      <c r="P435" t="n">
        <v>0</v>
      </c>
      <c r="Q435" t="n">
        <v>0</v>
      </c>
      <c r="R435" s="2" t="inlineStr"/>
    </row>
    <row r="436" ht="15" customHeight="1">
      <c r="A436" t="inlineStr">
        <is>
          <t>A 41046-2024</t>
        </is>
      </c>
      <c r="B436" s="1" t="n">
        <v>45559.36677083333</v>
      </c>
      <c r="C436" s="1" t="n">
        <v>45927</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10373-2023</t>
        </is>
      </c>
      <c r="B437" s="1" t="n">
        <v>44987</v>
      </c>
      <c r="C437" s="1" t="n">
        <v>45927</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2820-2024</t>
        </is>
      </c>
      <c r="B438" s="1" t="n">
        <v>45314.76287037037</v>
      </c>
      <c r="C438" s="1" t="n">
        <v>45927</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2822-2024</t>
        </is>
      </c>
      <c r="B439" s="1" t="n">
        <v>45314.76622685185</v>
      </c>
      <c r="C439" s="1" t="n">
        <v>45927</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27317-2021</t>
        </is>
      </c>
      <c r="B440" s="1" t="n">
        <v>44351</v>
      </c>
      <c r="C440" s="1" t="n">
        <v>45927</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30254-2025</t>
        </is>
      </c>
      <c r="B441" s="1" t="n">
        <v>45827.42336805556</v>
      </c>
      <c r="C441" s="1" t="n">
        <v>45927</v>
      </c>
      <c r="D441" t="inlineStr">
        <is>
          <t>DALARNAS LÄN</t>
        </is>
      </c>
      <c r="E441" t="inlineStr">
        <is>
          <t>LEKSAND</t>
        </is>
      </c>
      <c r="G441" t="n">
        <v>3.5</v>
      </c>
      <c r="H441" t="n">
        <v>0</v>
      </c>
      <c r="I441" t="n">
        <v>0</v>
      </c>
      <c r="J441" t="n">
        <v>0</v>
      </c>
      <c r="K441" t="n">
        <v>0</v>
      </c>
      <c r="L441" t="n">
        <v>0</v>
      </c>
      <c r="M441" t="n">
        <v>0</v>
      </c>
      <c r="N441" t="n">
        <v>0</v>
      </c>
      <c r="O441" t="n">
        <v>0</v>
      </c>
      <c r="P441" t="n">
        <v>0</v>
      </c>
      <c r="Q441" t="n">
        <v>0</v>
      </c>
      <c r="R441" s="2" t="inlineStr"/>
    </row>
    <row r="442" ht="15" customHeight="1">
      <c r="A442" t="inlineStr">
        <is>
          <t>A 16005-2025</t>
        </is>
      </c>
      <c r="B442" s="1" t="n">
        <v>45749.59765046297</v>
      </c>
      <c r="C442" s="1" t="n">
        <v>45927</v>
      </c>
      <c r="D442" t="inlineStr">
        <is>
          <t>DALARNAS LÄN</t>
        </is>
      </c>
      <c r="E442" t="inlineStr">
        <is>
          <t>LEKSAND</t>
        </is>
      </c>
      <c r="G442" t="n">
        <v>2.1</v>
      </c>
      <c r="H442" t="n">
        <v>0</v>
      </c>
      <c r="I442" t="n">
        <v>0</v>
      </c>
      <c r="J442" t="n">
        <v>0</v>
      </c>
      <c r="K442" t="n">
        <v>0</v>
      </c>
      <c r="L442" t="n">
        <v>0</v>
      </c>
      <c r="M442" t="n">
        <v>0</v>
      </c>
      <c r="N442" t="n">
        <v>0</v>
      </c>
      <c r="O442" t="n">
        <v>0</v>
      </c>
      <c r="P442" t="n">
        <v>0</v>
      </c>
      <c r="Q442" t="n">
        <v>0</v>
      </c>
      <c r="R442" s="2" t="inlineStr"/>
    </row>
    <row r="443" ht="15" customHeight="1">
      <c r="A443" t="inlineStr">
        <is>
          <t>A 12923-2025</t>
        </is>
      </c>
      <c r="B443" s="1" t="n">
        <v>45734.29193287037</v>
      </c>
      <c r="C443" s="1" t="n">
        <v>45927</v>
      </c>
      <c r="D443" t="inlineStr">
        <is>
          <t>DALARNAS LÄN</t>
        </is>
      </c>
      <c r="E443" t="inlineStr">
        <is>
          <t>LEKSAND</t>
        </is>
      </c>
      <c r="G443" t="n">
        <v>7.2</v>
      </c>
      <c r="H443" t="n">
        <v>0</v>
      </c>
      <c r="I443" t="n">
        <v>0</v>
      </c>
      <c r="J443" t="n">
        <v>0</v>
      </c>
      <c r="K443" t="n">
        <v>0</v>
      </c>
      <c r="L443" t="n">
        <v>0</v>
      </c>
      <c r="M443" t="n">
        <v>0</v>
      </c>
      <c r="N443" t="n">
        <v>0</v>
      </c>
      <c r="O443" t="n">
        <v>0</v>
      </c>
      <c r="P443" t="n">
        <v>0</v>
      </c>
      <c r="Q443" t="n">
        <v>0</v>
      </c>
      <c r="R443" s="2" t="inlineStr"/>
    </row>
    <row r="444" ht="15" customHeight="1">
      <c r="A444" t="inlineStr">
        <is>
          <t>A 5738-2023</t>
        </is>
      </c>
      <c r="B444" s="1" t="n">
        <v>44962</v>
      </c>
      <c r="C444" s="1" t="n">
        <v>45927</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37952-2024</t>
        </is>
      </c>
      <c r="B445" s="1" t="n">
        <v>45544.5200462963</v>
      </c>
      <c r="C445" s="1" t="n">
        <v>45927</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8940-2023</t>
        </is>
      </c>
      <c r="B446" s="1" t="n">
        <v>44974</v>
      </c>
      <c r="C446" s="1" t="n">
        <v>45927</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11128-2023</t>
        </is>
      </c>
      <c r="B447" s="1" t="n">
        <v>44992</v>
      </c>
      <c r="C447" s="1" t="n">
        <v>45927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1458-2024</t>
        </is>
      </c>
      <c r="B448" s="1" t="n">
        <v>45303</v>
      </c>
      <c r="C448" s="1" t="n">
        <v>45927</v>
      </c>
      <c r="D448" t="inlineStr">
        <is>
          <t>DALARNAS LÄN</t>
        </is>
      </c>
      <c r="E448" t="inlineStr">
        <is>
          <t>LEKSAND</t>
        </is>
      </c>
      <c r="G448" t="n">
        <v>2</v>
      </c>
      <c r="H448" t="n">
        <v>0</v>
      </c>
      <c r="I448" t="n">
        <v>0</v>
      </c>
      <c r="J448" t="n">
        <v>0</v>
      </c>
      <c r="K448" t="n">
        <v>0</v>
      </c>
      <c r="L448" t="n">
        <v>0</v>
      </c>
      <c r="M448" t="n">
        <v>0</v>
      </c>
      <c r="N448" t="n">
        <v>0</v>
      </c>
      <c r="O448" t="n">
        <v>0</v>
      </c>
      <c r="P448" t="n">
        <v>0</v>
      </c>
      <c r="Q448" t="n">
        <v>0</v>
      </c>
      <c r="R448" s="2" t="inlineStr"/>
    </row>
    <row r="449" ht="15" customHeight="1">
      <c r="A449" t="inlineStr">
        <is>
          <t>A 1461-2024</t>
        </is>
      </c>
      <c r="B449" s="1" t="n">
        <v>45303</v>
      </c>
      <c r="C449" s="1" t="n">
        <v>45927</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38001-2023</t>
        </is>
      </c>
      <c r="B450" s="1" t="n">
        <v>45160</v>
      </c>
      <c r="C450" s="1" t="n">
        <v>45927</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15257-2025</t>
        </is>
      </c>
      <c r="B451" s="1" t="n">
        <v>45744</v>
      </c>
      <c r="C451" s="1" t="n">
        <v>45927</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47673-2023</t>
        </is>
      </c>
      <c r="B452" s="1" t="n">
        <v>45203</v>
      </c>
      <c r="C452" s="1" t="n">
        <v>45927</v>
      </c>
      <c r="D452" t="inlineStr">
        <is>
          <t>DALARNAS LÄN</t>
        </is>
      </c>
      <c r="E452" t="inlineStr">
        <is>
          <t>LEKSAND</t>
        </is>
      </c>
      <c r="G452" t="n">
        <v>2</v>
      </c>
      <c r="H452" t="n">
        <v>0</v>
      </c>
      <c r="I452" t="n">
        <v>0</v>
      </c>
      <c r="J452" t="n">
        <v>0</v>
      </c>
      <c r="K452" t="n">
        <v>0</v>
      </c>
      <c r="L452" t="n">
        <v>0</v>
      </c>
      <c r="M452" t="n">
        <v>0</v>
      </c>
      <c r="N452" t="n">
        <v>0</v>
      </c>
      <c r="O452" t="n">
        <v>0</v>
      </c>
      <c r="P452" t="n">
        <v>0</v>
      </c>
      <c r="Q452" t="n">
        <v>0</v>
      </c>
      <c r="R452" s="2" t="inlineStr"/>
    </row>
    <row r="453" ht="15" customHeight="1">
      <c r="A453" t="inlineStr">
        <is>
          <t>A 19820-2024</t>
        </is>
      </c>
      <c r="B453" s="1" t="n">
        <v>45433.33907407407</v>
      </c>
      <c r="C453" s="1" t="n">
        <v>45927</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19823-2024</t>
        </is>
      </c>
      <c r="B454" s="1" t="n">
        <v>45433.34469907408</v>
      </c>
      <c r="C454" s="1" t="n">
        <v>45927</v>
      </c>
      <c r="D454" t="inlineStr">
        <is>
          <t>DALARNAS LÄN</t>
        </is>
      </c>
      <c r="E454" t="inlineStr">
        <is>
          <t>LEKSAND</t>
        </is>
      </c>
      <c r="G454" t="n">
        <v>0.3</v>
      </c>
      <c r="H454" t="n">
        <v>0</v>
      </c>
      <c r="I454" t="n">
        <v>0</v>
      </c>
      <c r="J454" t="n">
        <v>0</v>
      </c>
      <c r="K454" t="n">
        <v>0</v>
      </c>
      <c r="L454" t="n">
        <v>0</v>
      </c>
      <c r="M454" t="n">
        <v>0</v>
      </c>
      <c r="N454" t="n">
        <v>0</v>
      </c>
      <c r="O454" t="n">
        <v>0</v>
      </c>
      <c r="P454" t="n">
        <v>0</v>
      </c>
      <c r="Q454" t="n">
        <v>0</v>
      </c>
      <c r="R454" s="2" t="inlineStr"/>
    </row>
    <row r="455" ht="15" customHeight="1">
      <c r="A455" t="inlineStr">
        <is>
          <t>A 46834-2023</t>
        </is>
      </c>
      <c r="B455" s="1" t="n">
        <v>45199.35668981481</v>
      </c>
      <c r="C455" s="1" t="n">
        <v>45927</v>
      </c>
      <c r="D455" t="inlineStr">
        <is>
          <t>DALARNAS LÄN</t>
        </is>
      </c>
      <c r="E455" t="inlineStr">
        <is>
          <t>LEKSAND</t>
        </is>
      </c>
      <c r="G455" t="n">
        <v>16.3</v>
      </c>
      <c r="H455" t="n">
        <v>0</v>
      </c>
      <c r="I455" t="n">
        <v>0</v>
      </c>
      <c r="J455" t="n">
        <v>0</v>
      </c>
      <c r="K455" t="n">
        <v>0</v>
      </c>
      <c r="L455" t="n">
        <v>0</v>
      </c>
      <c r="M455" t="n">
        <v>0</v>
      </c>
      <c r="N455" t="n">
        <v>0</v>
      </c>
      <c r="O455" t="n">
        <v>0</v>
      </c>
      <c r="P455" t="n">
        <v>0</v>
      </c>
      <c r="Q455" t="n">
        <v>0</v>
      </c>
      <c r="R455" s="2" t="inlineStr"/>
    </row>
    <row r="456" ht="15" customHeight="1">
      <c r="A456" t="inlineStr">
        <is>
          <t>A 7653-2025</t>
        </is>
      </c>
      <c r="B456" s="1" t="n">
        <v>45705.95238425926</v>
      </c>
      <c r="C456" s="1" t="n">
        <v>45927</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6039-2023</t>
        </is>
      </c>
      <c r="B457" s="1" t="n">
        <v>44959</v>
      </c>
      <c r="C457" s="1" t="n">
        <v>45927</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6758-2024</t>
        </is>
      </c>
      <c r="B458" s="1" t="n">
        <v>45342.46857638889</v>
      </c>
      <c r="C458" s="1" t="n">
        <v>45927</v>
      </c>
      <c r="D458" t="inlineStr">
        <is>
          <t>DALARNAS LÄN</t>
        </is>
      </c>
      <c r="E458" t="inlineStr">
        <is>
          <t>LEKSAND</t>
        </is>
      </c>
      <c r="F458" t="inlineStr">
        <is>
          <t>Bergvik skog väst AB</t>
        </is>
      </c>
      <c r="G458" t="n">
        <v>6.2</v>
      </c>
      <c r="H458" t="n">
        <v>0</v>
      </c>
      <c r="I458" t="n">
        <v>0</v>
      </c>
      <c r="J458" t="n">
        <v>0</v>
      </c>
      <c r="K458" t="n">
        <v>0</v>
      </c>
      <c r="L458" t="n">
        <v>0</v>
      </c>
      <c r="M458" t="n">
        <v>0</v>
      </c>
      <c r="N458" t="n">
        <v>0</v>
      </c>
      <c r="O458" t="n">
        <v>0</v>
      </c>
      <c r="P458" t="n">
        <v>0</v>
      </c>
      <c r="Q458" t="n">
        <v>0</v>
      </c>
      <c r="R458" s="2" t="inlineStr"/>
    </row>
    <row r="459" ht="15" customHeight="1">
      <c r="A459" t="inlineStr">
        <is>
          <t>A 12851-2023</t>
        </is>
      </c>
      <c r="B459" s="1" t="n">
        <v>45001.49347222222</v>
      </c>
      <c r="C459" s="1" t="n">
        <v>45927</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4257-2022</t>
        </is>
      </c>
      <c r="B460" s="1" t="n">
        <v>44588</v>
      </c>
      <c r="C460" s="1" t="n">
        <v>45927</v>
      </c>
      <c r="D460" t="inlineStr">
        <is>
          <t>DALARNAS LÄN</t>
        </is>
      </c>
      <c r="E460" t="inlineStr">
        <is>
          <t>LEKSAND</t>
        </is>
      </c>
      <c r="G460" t="n">
        <v>6.8</v>
      </c>
      <c r="H460" t="n">
        <v>0</v>
      </c>
      <c r="I460" t="n">
        <v>0</v>
      </c>
      <c r="J460" t="n">
        <v>0</v>
      </c>
      <c r="K460" t="n">
        <v>0</v>
      </c>
      <c r="L460" t="n">
        <v>0</v>
      </c>
      <c r="M460" t="n">
        <v>0</v>
      </c>
      <c r="N460" t="n">
        <v>0</v>
      </c>
      <c r="O460" t="n">
        <v>0</v>
      </c>
      <c r="P460" t="n">
        <v>0</v>
      </c>
      <c r="Q460" t="n">
        <v>0</v>
      </c>
      <c r="R460" s="2" t="inlineStr"/>
    </row>
    <row r="461" ht="15" customHeight="1">
      <c r="A461" t="inlineStr">
        <is>
          <t>A 28921-2023</t>
        </is>
      </c>
      <c r="B461" s="1" t="n">
        <v>45104</v>
      </c>
      <c r="C461" s="1" t="n">
        <v>45927</v>
      </c>
      <c r="D461" t="inlineStr">
        <is>
          <t>DALARNAS LÄN</t>
        </is>
      </c>
      <c r="E461" t="inlineStr">
        <is>
          <t>LEKSAND</t>
        </is>
      </c>
      <c r="G461" t="n">
        <v>4.4</v>
      </c>
      <c r="H461" t="n">
        <v>0</v>
      </c>
      <c r="I461" t="n">
        <v>0</v>
      </c>
      <c r="J461" t="n">
        <v>0</v>
      </c>
      <c r="K461" t="n">
        <v>0</v>
      </c>
      <c r="L461" t="n">
        <v>0</v>
      </c>
      <c r="M461" t="n">
        <v>0</v>
      </c>
      <c r="N461" t="n">
        <v>0</v>
      </c>
      <c r="O461" t="n">
        <v>0</v>
      </c>
      <c r="P461" t="n">
        <v>0</v>
      </c>
      <c r="Q461" t="n">
        <v>0</v>
      </c>
      <c r="R461" s="2" t="inlineStr"/>
    </row>
    <row r="462" ht="15" customHeight="1">
      <c r="A462" t="inlineStr">
        <is>
          <t>A 30998-2023</t>
        </is>
      </c>
      <c r="B462" s="1" t="n">
        <v>45113.54193287037</v>
      </c>
      <c r="C462" s="1" t="n">
        <v>45927</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31254-2023</t>
        </is>
      </c>
      <c r="B463" s="1" t="n">
        <v>45114</v>
      </c>
      <c r="C463" s="1" t="n">
        <v>45927</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34482-2022</t>
        </is>
      </c>
      <c r="B464" s="1" t="n">
        <v>44792</v>
      </c>
      <c r="C464" s="1" t="n">
        <v>45927</v>
      </c>
      <c r="D464" t="inlineStr">
        <is>
          <t>DALARNAS LÄN</t>
        </is>
      </c>
      <c r="E464" t="inlineStr">
        <is>
          <t>LEKSAND</t>
        </is>
      </c>
      <c r="G464" t="n">
        <v>2.6</v>
      </c>
      <c r="H464" t="n">
        <v>0</v>
      </c>
      <c r="I464" t="n">
        <v>0</v>
      </c>
      <c r="J464" t="n">
        <v>0</v>
      </c>
      <c r="K464" t="n">
        <v>0</v>
      </c>
      <c r="L464" t="n">
        <v>0</v>
      </c>
      <c r="M464" t="n">
        <v>0</v>
      </c>
      <c r="N464" t="n">
        <v>0</v>
      </c>
      <c r="O464" t="n">
        <v>0</v>
      </c>
      <c r="P464" t="n">
        <v>0</v>
      </c>
      <c r="Q464" t="n">
        <v>0</v>
      </c>
      <c r="R464" s="2" t="inlineStr"/>
    </row>
    <row r="465" ht="15" customHeight="1">
      <c r="A465" t="inlineStr">
        <is>
          <t>A 23283-2024</t>
        </is>
      </c>
      <c r="B465" s="1" t="n">
        <v>45453</v>
      </c>
      <c r="C465" s="1" t="n">
        <v>45927</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39807-2024</t>
        </is>
      </c>
      <c r="B466" s="1" t="n">
        <v>45553.35763888889</v>
      </c>
      <c r="C466" s="1" t="n">
        <v>45927</v>
      </c>
      <c r="D466" t="inlineStr">
        <is>
          <t>DALARNAS LÄN</t>
        </is>
      </c>
      <c r="E466" t="inlineStr">
        <is>
          <t>LEKSAND</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5584-2024</t>
        </is>
      </c>
      <c r="B467" s="1" t="n">
        <v>45334</v>
      </c>
      <c r="C467" s="1" t="n">
        <v>45927</v>
      </c>
      <c r="D467" t="inlineStr">
        <is>
          <t>DALARNAS LÄN</t>
        </is>
      </c>
      <c r="E467" t="inlineStr">
        <is>
          <t>LEKSAND</t>
        </is>
      </c>
      <c r="F467" t="inlineStr">
        <is>
          <t>Kyrkan</t>
        </is>
      </c>
      <c r="G467" t="n">
        <v>0.4</v>
      </c>
      <c r="H467" t="n">
        <v>0</v>
      </c>
      <c r="I467" t="n">
        <v>0</v>
      </c>
      <c r="J467" t="n">
        <v>0</v>
      </c>
      <c r="K467" t="n">
        <v>0</v>
      </c>
      <c r="L467" t="n">
        <v>0</v>
      </c>
      <c r="M467" t="n">
        <v>0</v>
      </c>
      <c r="N467" t="n">
        <v>0</v>
      </c>
      <c r="O467" t="n">
        <v>0</v>
      </c>
      <c r="P467" t="n">
        <v>0</v>
      </c>
      <c r="Q467" t="n">
        <v>0</v>
      </c>
      <c r="R467" s="2" t="inlineStr"/>
    </row>
    <row r="468" ht="15" customHeight="1">
      <c r="A468" t="inlineStr">
        <is>
          <t>A 51860-2024</t>
        </is>
      </c>
      <c r="B468" s="1" t="n">
        <v>45607.54511574074</v>
      </c>
      <c r="C468" s="1" t="n">
        <v>45927</v>
      </c>
      <c r="D468" t="inlineStr">
        <is>
          <t>DALARNAS LÄN</t>
        </is>
      </c>
      <c r="E468" t="inlineStr">
        <is>
          <t>LEKSAND</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1463-2024</t>
        </is>
      </c>
      <c r="B469" s="1" t="n">
        <v>45303</v>
      </c>
      <c r="C469" s="1" t="n">
        <v>45927</v>
      </c>
      <c r="D469" t="inlineStr">
        <is>
          <t>DALARNAS LÄN</t>
        </is>
      </c>
      <c r="E469" t="inlineStr">
        <is>
          <t>LEKSAND</t>
        </is>
      </c>
      <c r="G469" t="n">
        <v>1.5</v>
      </c>
      <c r="H469" t="n">
        <v>0</v>
      </c>
      <c r="I469" t="n">
        <v>0</v>
      </c>
      <c r="J469" t="n">
        <v>0</v>
      </c>
      <c r="K469" t="n">
        <v>0</v>
      </c>
      <c r="L469" t="n">
        <v>0</v>
      </c>
      <c r="M469" t="n">
        <v>0</v>
      </c>
      <c r="N469" t="n">
        <v>0</v>
      </c>
      <c r="O469" t="n">
        <v>0</v>
      </c>
      <c r="P469" t="n">
        <v>0</v>
      </c>
      <c r="Q469" t="n">
        <v>0</v>
      </c>
      <c r="R469" s="2" t="inlineStr"/>
    </row>
    <row r="470" ht="15" customHeight="1">
      <c r="A470" t="inlineStr">
        <is>
          <t>A 16611-2024</t>
        </is>
      </c>
      <c r="B470" s="1" t="n">
        <v>45408.55504629629</v>
      </c>
      <c r="C470" s="1" t="n">
        <v>45927</v>
      </c>
      <c r="D470" t="inlineStr">
        <is>
          <t>DALARNAS LÄN</t>
        </is>
      </c>
      <c r="E470" t="inlineStr">
        <is>
          <t>LEKSAND</t>
        </is>
      </c>
      <c r="G470" t="n">
        <v>5.9</v>
      </c>
      <c r="H470" t="n">
        <v>0</v>
      </c>
      <c r="I470" t="n">
        <v>0</v>
      </c>
      <c r="J470" t="n">
        <v>0</v>
      </c>
      <c r="K470" t="n">
        <v>0</v>
      </c>
      <c r="L470" t="n">
        <v>0</v>
      </c>
      <c r="M470" t="n">
        <v>0</v>
      </c>
      <c r="N470" t="n">
        <v>0</v>
      </c>
      <c r="O470" t="n">
        <v>0</v>
      </c>
      <c r="P470" t="n">
        <v>0</v>
      </c>
      <c r="Q470" t="n">
        <v>0</v>
      </c>
      <c r="R470" s="2" t="inlineStr"/>
    </row>
    <row r="471" ht="15" customHeight="1">
      <c r="A471" t="inlineStr">
        <is>
          <t>A 22681-2022</t>
        </is>
      </c>
      <c r="B471" s="1" t="n">
        <v>44714.50961805556</v>
      </c>
      <c r="C471" s="1" t="n">
        <v>45927</v>
      </c>
      <c r="D471" t="inlineStr">
        <is>
          <t>DALARNAS LÄN</t>
        </is>
      </c>
      <c r="E471" t="inlineStr">
        <is>
          <t>LEKSAND</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45927</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25025-2023</t>
        </is>
      </c>
      <c r="B473" s="1" t="n">
        <v>45085.92146990741</v>
      </c>
      <c r="C473" s="1" t="n">
        <v>45927</v>
      </c>
      <c r="D473" t="inlineStr">
        <is>
          <t>DALARNAS LÄN</t>
        </is>
      </c>
      <c r="E473" t="inlineStr">
        <is>
          <t>LEKSAND</t>
        </is>
      </c>
      <c r="G473" t="n">
        <v>3</v>
      </c>
      <c r="H473" t="n">
        <v>0</v>
      </c>
      <c r="I473" t="n">
        <v>0</v>
      </c>
      <c r="J473" t="n">
        <v>0</v>
      </c>
      <c r="K473" t="n">
        <v>0</v>
      </c>
      <c r="L473" t="n">
        <v>0</v>
      </c>
      <c r="M473" t="n">
        <v>0</v>
      </c>
      <c r="N473" t="n">
        <v>0</v>
      </c>
      <c r="O473" t="n">
        <v>0</v>
      </c>
      <c r="P473" t="n">
        <v>0</v>
      </c>
      <c r="Q473" t="n">
        <v>0</v>
      </c>
      <c r="R473" s="2" t="inlineStr"/>
    </row>
    <row r="474" ht="15" customHeight="1">
      <c r="A474" t="inlineStr">
        <is>
          <t>A 25038-2023</t>
        </is>
      </c>
      <c r="B474" s="1" t="n">
        <v>45085</v>
      </c>
      <c r="C474" s="1" t="n">
        <v>45927</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1457-2024</t>
        </is>
      </c>
      <c r="B475" s="1" t="n">
        <v>45303</v>
      </c>
      <c r="C475" s="1" t="n">
        <v>45927</v>
      </c>
      <c r="D475" t="inlineStr">
        <is>
          <t>DALARNAS LÄN</t>
        </is>
      </c>
      <c r="E475" t="inlineStr">
        <is>
          <t>LEKSAND</t>
        </is>
      </c>
      <c r="G475" t="n">
        <v>4.4</v>
      </c>
      <c r="H475" t="n">
        <v>0</v>
      </c>
      <c r="I475" t="n">
        <v>0</v>
      </c>
      <c r="J475" t="n">
        <v>0</v>
      </c>
      <c r="K475" t="n">
        <v>0</v>
      </c>
      <c r="L475" t="n">
        <v>0</v>
      </c>
      <c r="M475" t="n">
        <v>0</v>
      </c>
      <c r="N475" t="n">
        <v>0</v>
      </c>
      <c r="O475" t="n">
        <v>0</v>
      </c>
      <c r="P475" t="n">
        <v>0</v>
      </c>
      <c r="Q475" t="n">
        <v>0</v>
      </c>
      <c r="R475" s="2" t="inlineStr"/>
    </row>
    <row r="476" ht="15" customHeight="1">
      <c r="A476" t="inlineStr">
        <is>
          <t>A 30920-2025</t>
        </is>
      </c>
      <c r="B476" s="1" t="n">
        <v>45832.38484953704</v>
      </c>
      <c r="C476" s="1" t="n">
        <v>45927</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30969-2025</t>
        </is>
      </c>
      <c r="B477" s="1" t="n">
        <v>45832.45914351852</v>
      </c>
      <c r="C477" s="1" t="n">
        <v>45927</v>
      </c>
      <c r="D477" t="inlineStr">
        <is>
          <t>DALARNAS LÄN</t>
        </is>
      </c>
      <c r="E477" t="inlineStr">
        <is>
          <t>LEKSAND</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11277-2025</t>
        </is>
      </c>
      <c r="B478" s="1" t="n">
        <v>45726.41565972222</v>
      </c>
      <c r="C478" s="1" t="n">
        <v>45927</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30917-2025</t>
        </is>
      </c>
      <c r="B479" s="1" t="n">
        <v>45832.37989583334</v>
      </c>
      <c r="C479" s="1" t="n">
        <v>45927</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40007-2024</t>
        </is>
      </c>
      <c r="B480" s="1" t="n">
        <v>45553.6516550926</v>
      </c>
      <c r="C480" s="1" t="n">
        <v>45927</v>
      </c>
      <c r="D480" t="inlineStr">
        <is>
          <t>DALARNAS LÄN</t>
        </is>
      </c>
      <c r="E480" t="inlineStr">
        <is>
          <t>LEKSAND</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31619-2025</t>
        </is>
      </c>
      <c r="B481" s="1" t="n">
        <v>45833</v>
      </c>
      <c r="C481" s="1" t="n">
        <v>45927</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30916-2025</t>
        </is>
      </c>
      <c r="B482" s="1" t="n">
        <v>45832.37885416667</v>
      </c>
      <c r="C482" s="1" t="n">
        <v>45927</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31446-2025</t>
        </is>
      </c>
      <c r="B483" s="1" t="n">
        <v>45833</v>
      </c>
      <c r="C483" s="1" t="n">
        <v>45927</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30911-2025</t>
        </is>
      </c>
      <c r="B484" s="1" t="n">
        <v>45832.37547453704</v>
      </c>
      <c r="C484" s="1" t="n">
        <v>45927</v>
      </c>
      <c r="D484" t="inlineStr">
        <is>
          <t>DALARNAS LÄN</t>
        </is>
      </c>
      <c r="E484" t="inlineStr">
        <is>
          <t>LEKSAND</t>
        </is>
      </c>
      <c r="G484" t="n">
        <v>0.5</v>
      </c>
      <c r="H484" t="n">
        <v>0</v>
      </c>
      <c r="I484" t="n">
        <v>0</v>
      </c>
      <c r="J484" t="n">
        <v>0</v>
      </c>
      <c r="K484" t="n">
        <v>0</v>
      </c>
      <c r="L484" t="n">
        <v>0</v>
      </c>
      <c r="M484" t="n">
        <v>0</v>
      </c>
      <c r="N484" t="n">
        <v>0</v>
      </c>
      <c r="O484" t="n">
        <v>0</v>
      </c>
      <c r="P484" t="n">
        <v>0</v>
      </c>
      <c r="Q484" t="n">
        <v>0</v>
      </c>
      <c r="R484" s="2" t="inlineStr"/>
    </row>
    <row r="485" ht="15" customHeight="1">
      <c r="A485" t="inlineStr">
        <is>
          <t>A 5570-2024</t>
        </is>
      </c>
      <c r="B485" s="1" t="n">
        <v>45334</v>
      </c>
      <c r="C485" s="1" t="n">
        <v>45927</v>
      </c>
      <c r="D485" t="inlineStr">
        <is>
          <t>DALARNAS LÄN</t>
        </is>
      </c>
      <c r="E485" t="inlineStr">
        <is>
          <t>LEKSAND</t>
        </is>
      </c>
      <c r="G485" t="n">
        <v>0.3</v>
      </c>
      <c r="H485" t="n">
        <v>0</v>
      </c>
      <c r="I485" t="n">
        <v>0</v>
      </c>
      <c r="J485" t="n">
        <v>0</v>
      </c>
      <c r="K485" t="n">
        <v>0</v>
      </c>
      <c r="L485" t="n">
        <v>0</v>
      </c>
      <c r="M485" t="n">
        <v>0</v>
      </c>
      <c r="N485" t="n">
        <v>0</v>
      </c>
      <c r="O485" t="n">
        <v>0</v>
      </c>
      <c r="P485" t="n">
        <v>0</v>
      </c>
      <c r="Q485" t="n">
        <v>0</v>
      </c>
      <c r="R485" s="2" t="inlineStr"/>
    </row>
    <row r="486" ht="15" customHeight="1">
      <c r="A486" t="inlineStr">
        <is>
          <t>A 54917-2024</t>
        </is>
      </c>
      <c r="B486" s="1" t="n">
        <v>45618.69581018519</v>
      </c>
      <c r="C486" s="1" t="n">
        <v>45927</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31179-2025</t>
        </is>
      </c>
      <c r="B487" s="1" t="n">
        <v>45832.67648148148</v>
      </c>
      <c r="C487" s="1" t="n">
        <v>45927</v>
      </c>
      <c r="D487" t="inlineStr">
        <is>
          <t>DALARNAS LÄN</t>
        </is>
      </c>
      <c r="E487" t="inlineStr">
        <is>
          <t>LEKSAND</t>
        </is>
      </c>
      <c r="G487" t="n">
        <v>4.7</v>
      </c>
      <c r="H487" t="n">
        <v>0</v>
      </c>
      <c r="I487" t="n">
        <v>0</v>
      </c>
      <c r="J487" t="n">
        <v>0</v>
      </c>
      <c r="K487" t="n">
        <v>0</v>
      </c>
      <c r="L487" t="n">
        <v>0</v>
      </c>
      <c r="M487" t="n">
        <v>0</v>
      </c>
      <c r="N487" t="n">
        <v>0</v>
      </c>
      <c r="O487" t="n">
        <v>0</v>
      </c>
      <c r="P487" t="n">
        <v>0</v>
      </c>
      <c r="Q487" t="n">
        <v>0</v>
      </c>
      <c r="R487" s="2" t="inlineStr"/>
    </row>
    <row r="488" ht="15" customHeight="1">
      <c r="A488" t="inlineStr">
        <is>
          <t>A 31189-2025</t>
        </is>
      </c>
      <c r="B488" s="1" t="n">
        <v>45832.6799537037</v>
      </c>
      <c r="C488" s="1" t="n">
        <v>45927</v>
      </c>
      <c r="D488" t="inlineStr">
        <is>
          <t>DALARNAS LÄN</t>
        </is>
      </c>
      <c r="E488" t="inlineStr">
        <is>
          <t>LEKSAND</t>
        </is>
      </c>
      <c r="G488" t="n">
        <v>5</v>
      </c>
      <c r="H488" t="n">
        <v>0</v>
      </c>
      <c r="I488" t="n">
        <v>0</v>
      </c>
      <c r="J488" t="n">
        <v>0</v>
      </c>
      <c r="K488" t="n">
        <v>0</v>
      </c>
      <c r="L488" t="n">
        <v>0</v>
      </c>
      <c r="M488" t="n">
        <v>0</v>
      </c>
      <c r="N488" t="n">
        <v>0</v>
      </c>
      <c r="O488" t="n">
        <v>0</v>
      </c>
      <c r="P488" t="n">
        <v>0</v>
      </c>
      <c r="Q488" t="n">
        <v>0</v>
      </c>
      <c r="R488" s="2" t="inlineStr"/>
    </row>
    <row r="489" ht="15" customHeight="1">
      <c r="A489" t="inlineStr">
        <is>
          <t>A 30973-2025</t>
        </is>
      </c>
      <c r="B489" s="1" t="n">
        <v>45832.46300925926</v>
      </c>
      <c r="C489" s="1" t="n">
        <v>45927</v>
      </c>
      <c r="D489" t="inlineStr">
        <is>
          <t>DALARNAS LÄN</t>
        </is>
      </c>
      <c r="E489" t="inlineStr">
        <is>
          <t>LEKSAND</t>
        </is>
      </c>
      <c r="F489" t="inlineStr">
        <is>
          <t>Bergvik skog väst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11403-2023</t>
        </is>
      </c>
      <c r="B490" s="1" t="n">
        <v>44993</v>
      </c>
      <c r="C490" s="1" t="n">
        <v>45927</v>
      </c>
      <c r="D490" t="inlineStr">
        <is>
          <t>DALARNAS LÄN</t>
        </is>
      </c>
      <c r="E490" t="inlineStr">
        <is>
          <t>LEKSAND</t>
        </is>
      </c>
      <c r="G490" t="n">
        <v>0.1</v>
      </c>
      <c r="H490" t="n">
        <v>0</v>
      </c>
      <c r="I490" t="n">
        <v>0</v>
      </c>
      <c r="J490" t="n">
        <v>0</v>
      </c>
      <c r="K490" t="n">
        <v>0</v>
      </c>
      <c r="L490" t="n">
        <v>0</v>
      </c>
      <c r="M490" t="n">
        <v>0</v>
      </c>
      <c r="N490" t="n">
        <v>0</v>
      </c>
      <c r="O490" t="n">
        <v>0</v>
      </c>
      <c r="P490" t="n">
        <v>0</v>
      </c>
      <c r="Q490" t="n">
        <v>0</v>
      </c>
      <c r="R490" s="2" t="inlineStr"/>
    </row>
    <row r="491" ht="15" customHeight="1">
      <c r="A491" t="inlineStr">
        <is>
          <t>A 33198-2022</t>
        </is>
      </c>
      <c r="B491" s="1" t="n">
        <v>44785.68597222222</v>
      </c>
      <c r="C491" s="1" t="n">
        <v>45927</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31493-2025</t>
        </is>
      </c>
      <c r="B492" s="1" t="n">
        <v>45833</v>
      </c>
      <c r="C492" s="1" t="n">
        <v>45927</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31945-2025</t>
        </is>
      </c>
      <c r="B493" s="1" t="n">
        <v>45835</v>
      </c>
      <c r="C493" s="1" t="n">
        <v>45927</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9938-2023</t>
        </is>
      </c>
      <c r="B494" s="1" t="n">
        <v>44985</v>
      </c>
      <c r="C494" s="1" t="n">
        <v>45927</v>
      </c>
      <c r="D494" t="inlineStr">
        <is>
          <t>DALARNAS LÄN</t>
        </is>
      </c>
      <c r="E494" t="inlineStr">
        <is>
          <t>LEKSAND</t>
        </is>
      </c>
      <c r="G494" t="n">
        <v>3.1</v>
      </c>
      <c r="H494" t="n">
        <v>0</v>
      </c>
      <c r="I494" t="n">
        <v>0</v>
      </c>
      <c r="J494" t="n">
        <v>0</v>
      </c>
      <c r="K494" t="n">
        <v>0</v>
      </c>
      <c r="L494" t="n">
        <v>0</v>
      </c>
      <c r="M494" t="n">
        <v>0</v>
      </c>
      <c r="N494" t="n">
        <v>0</v>
      </c>
      <c r="O494" t="n">
        <v>0</v>
      </c>
      <c r="P494" t="n">
        <v>0</v>
      </c>
      <c r="Q494" t="n">
        <v>0</v>
      </c>
      <c r="R494" s="2" t="inlineStr"/>
    </row>
    <row r="495" ht="15" customHeight="1">
      <c r="A495" t="inlineStr">
        <is>
          <t>A 32104-2025</t>
        </is>
      </c>
      <c r="B495" s="1" t="n">
        <v>45835</v>
      </c>
      <c r="C495" s="1" t="n">
        <v>45927</v>
      </c>
      <c r="D495" t="inlineStr">
        <is>
          <t>DALARNAS LÄN</t>
        </is>
      </c>
      <c r="E495" t="inlineStr">
        <is>
          <t>LEKSAND</t>
        </is>
      </c>
      <c r="G495" t="n">
        <v>3.1</v>
      </c>
      <c r="H495" t="n">
        <v>0</v>
      </c>
      <c r="I495" t="n">
        <v>0</v>
      </c>
      <c r="J495" t="n">
        <v>0</v>
      </c>
      <c r="K495" t="n">
        <v>0</v>
      </c>
      <c r="L495" t="n">
        <v>0</v>
      </c>
      <c r="M495" t="n">
        <v>0</v>
      </c>
      <c r="N495" t="n">
        <v>0</v>
      </c>
      <c r="O495" t="n">
        <v>0</v>
      </c>
      <c r="P495" t="n">
        <v>0</v>
      </c>
      <c r="Q495" t="n">
        <v>0</v>
      </c>
      <c r="R495" s="2" t="inlineStr"/>
    </row>
    <row r="496" ht="15" customHeight="1">
      <c r="A496" t="inlineStr">
        <is>
          <t>A 31787-2025</t>
        </is>
      </c>
      <c r="B496" s="1" t="n">
        <v>45834</v>
      </c>
      <c r="C496" s="1" t="n">
        <v>45927</v>
      </c>
      <c r="D496" t="inlineStr">
        <is>
          <t>DALARNAS LÄN</t>
        </is>
      </c>
      <c r="E496" t="inlineStr">
        <is>
          <t>LEKSAND</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32301-2025</t>
        </is>
      </c>
      <c r="B497" s="1" t="n">
        <v>45835</v>
      </c>
      <c r="C497" s="1" t="n">
        <v>45927</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31726-2024</t>
        </is>
      </c>
      <c r="B498" s="1" t="n">
        <v>45509.33908564815</v>
      </c>
      <c r="C498" s="1" t="n">
        <v>45927</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26957-2023</t>
        </is>
      </c>
      <c r="B499" s="1" t="n">
        <v>45093</v>
      </c>
      <c r="C499" s="1" t="n">
        <v>45927</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39595-2023</t>
        </is>
      </c>
      <c r="B500" s="1" t="n">
        <v>45167</v>
      </c>
      <c r="C500" s="1" t="n">
        <v>45927</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32274-2025</t>
        </is>
      </c>
      <c r="B501" s="1" t="n">
        <v>45835</v>
      </c>
      <c r="C501" s="1" t="n">
        <v>45927</v>
      </c>
      <c r="D501" t="inlineStr">
        <is>
          <t>DALARNAS LÄN</t>
        </is>
      </c>
      <c r="E501" t="inlineStr">
        <is>
          <t>LEKSAND</t>
        </is>
      </c>
      <c r="G501" t="n">
        <v>4.5</v>
      </c>
      <c r="H501" t="n">
        <v>0</v>
      </c>
      <c r="I501" t="n">
        <v>0</v>
      </c>
      <c r="J501" t="n">
        <v>0</v>
      </c>
      <c r="K501" t="n">
        <v>0</v>
      </c>
      <c r="L501" t="n">
        <v>0</v>
      </c>
      <c r="M501" t="n">
        <v>0</v>
      </c>
      <c r="N501" t="n">
        <v>0</v>
      </c>
      <c r="O501" t="n">
        <v>0</v>
      </c>
      <c r="P501" t="n">
        <v>0</v>
      </c>
      <c r="Q501" t="n">
        <v>0</v>
      </c>
      <c r="R501" s="2" t="inlineStr"/>
    </row>
    <row r="502" ht="15" customHeight="1">
      <c r="A502" t="inlineStr">
        <is>
          <t>A 60129-2023</t>
        </is>
      </c>
      <c r="B502" s="1" t="n">
        <v>45258.49056712963</v>
      </c>
      <c r="C502" s="1" t="n">
        <v>45927</v>
      </c>
      <c r="D502" t="inlineStr">
        <is>
          <t>DALARNAS LÄN</t>
        </is>
      </c>
      <c r="E502" t="inlineStr">
        <is>
          <t>LEKSAND</t>
        </is>
      </c>
      <c r="F502" t="inlineStr">
        <is>
          <t>Bergvik skog väst AB</t>
        </is>
      </c>
      <c r="G502" t="n">
        <v>1.5</v>
      </c>
      <c r="H502" t="n">
        <v>0</v>
      </c>
      <c r="I502" t="n">
        <v>0</v>
      </c>
      <c r="J502" t="n">
        <v>0</v>
      </c>
      <c r="K502" t="n">
        <v>0</v>
      </c>
      <c r="L502" t="n">
        <v>0</v>
      </c>
      <c r="M502" t="n">
        <v>0</v>
      </c>
      <c r="N502" t="n">
        <v>0</v>
      </c>
      <c r="O502" t="n">
        <v>0</v>
      </c>
      <c r="P502" t="n">
        <v>0</v>
      </c>
      <c r="Q502" t="n">
        <v>0</v>
      </c>
      <c r="R502" s="2" t="inlineStr"/>
    </row>
    <row r="503" ht="15" customHeight="1">
      <c r="A503" t="inlineStr">
        <is>
          <t>A 32653-2025</t>
        </is>
      </c>
      <c r="B503" s="1" t="n">
        <v>45838</v>
      </c>
      <c r="C503" s="1" t="n">
        <v>45927</v>
      </c>
      <c r="D503" t="inlineStr">
        <is>
          <t>DALARNAS LÄN</t>
        </is>
      </c>
      <c r="E503" t="inlineStr">
        <is>
          <t>LEKSAND</t>
        </is>
      </c>
      <c r="G503" t="n">
        <v>5.6</v>
      </c>
      <c r="H503" t="n">
        <v>0</v>
      </c>
      <c r="I503" t="n">
        <v>0</v>
      </c>
      <c r="J503" t="n">
        <v>0</v>
      </c>
      <c r="K503" t="n">
        <v>0</v>
      </c>
      <c r="L503" t="n">
        <v>0</v>
      </c>
      <c r="M503" t="n">
        <v>0</v>
      </c>
      <c r="N503" t="n">
        <v>0</v>
      </c>
      <c r="O503" t="n">
        <v>0</v>
      </c>
      <c r="P503" t="n">
        <v>0</v>
      </c>
      <c r="Q503" t="n">
        <v>0</v>
      </c>
      <c r="R503" s="2" t="inlineStr"/>
    </row>
    <row r="504" ht="15" customHeight="1">
      <c r="A504" t="inlineStr">
        <is>
          <t>A 32855-2025</t>
        </is>
      </c>
      <c r="B504" s="1" t="n">
        <v>45839.57643518518</v>
      </c>
      <c r="C504" s="1" t="n">
        <v>45927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32661-2025</t>
        </is>
      </c>
      <c r="B505" s="1" t="n">
        <v>45838.67953703704</v>
      </c>
      <c r="C505" s="1" t="n">
        <v>45927</v>
      </c>
      <c r="D505" t="inlineStr">
        <is>
          <t>DALARNAS LÄN</t>
        </is>
      </c>
      <c r="E505" t="inlineStr">
        <is>
          <t>LEKSAND</t>
        </is>
      </c>
      <c r="G505" t="n">
        <v>0.8</v>
      </c>
      <c r="H505" t="n">
        <v>0</v>
      </c>
      <c r="I505" t="n">
        <v>0</v>
      </c>
      <c r="J505" t="n">
        <v>0</v>
      </c>
      <c r="K505" t="n">
        <v>0</v>
      </c>
      <c r="L505" t="n">
        <v>0</v>
      </c>
      <c r="M505" t="n">
        <v>0</v>
      </c>
      <c r="N505" t="n">
        <v>0</v>
      </c>
      <c r="O505" t="n">
        <v>0</v>
      </c>
      <c r="P505" t="n">
        <v>0</v>
      </c>
      <c r="Q505" t="n">
        <v>0</v>
      </c>
      <c r="R505" s="2" t="inlineStr"/>
    </row>
    <row r="506" ht="15" customHeight="1">
      <c r="A506" t="inlineStr">
        <is>
          <t>A 3737-2023</t>
        </is>
      </c>
      <c r="B506" s="1" t="n">
        <v>44951.42983796296</v>
      </c>
      <c r="C506" s="1" t="n">
        <v>45927</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43237-2024</t>
        </is>
      </c>
      <c r="B507" s="1" t="n">
        <v>45567</v>
      </c>
      <c r="C507" s="1" t="n">
        <v>45927</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40642-2023</t>
        </is>
      </c>
      <c r="B508" s="1" t="n">
        <v>45169</v>
      </c>
      <c r="C508" s="1" t="n">
        <v>45927</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23068-2024</t>
        </is>
      </c>
      <c r="B509" s="1" t="n">
        <v>45450.45521990741</v>
      </c>
      <c r="C509" s="1" t="n">
        <v>45927</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7894-2025</t>
        </is>
      </c>
      <c r="B510" s="1" t="n">
        <v>45707.30268518518</v>
      </c>
      <c r="C510" s="1" t="n">
        <v>45927</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32593-2025</t>
        </is>
      </c>
      <c r="B511" s="1" t="n">
        <v>45838</v>
      </c>
      <c r="C511" s="1" t="n">
        <v>45927</v>
      </c>
      <c r="D511" t="inlineStr">
        <is>
          <t>DALARNAS LÄN</t>
        </is>
      </c>
      <c r="E511" t="inlineStr">
        <is>
          <t>LEKSAND</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32726-2025</t>
        </is>
      </c>
      <c r="B512" s="1" t="n">
        <v>45839.3969212963</v>
      </c>
      <c r="C512" s="1" t="n">
        <v>45927</v>
      </c>
      <c r="D512" t="inlineStr">
        <is>
          <t>DALARNAS LÄN</t>
        </is>
      </c>
      <c r="E512" t="inlineStr">
        <is>
          <t>LEKSAND</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33160-2025</t>
        </is>
      </c>
      <c r="B513" s="1" t="n">
        <v>45840</v>
      </c>
      <c r="C513" s="1" t="n">
        <v>45927</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57933-2024</t>
        </is>
      </c>
      <c r="B514" s="1" t="n">
        <v>45630</v>
      </c>
      <c r="C514" s="1" t="n">
        <v>45927</v>
      </c>
      <c r="D514" t="inlineStr">
        <is>
          <t>DALARNAS LÄN</t>
        </is>
      </c>
      <c r="E514" t="inlineStr">
        <is>
          <t>LEKSAND</t>
        </is>
      </c>
      <c r="G514" t="n">
        <v>1.1</v>
      </c>
      <c r="H514" t="n">
        <v>0</v>
      </c>
      <c r="I514" t="n">
        <v>0</v>
      </c>
      <c r="J514" t="n">
        <v>0</v>
      </c>
      <c r="K514" t="n">
        <v>0</v>
      </c>
      <c r="L514" t="n">
        <v>0</v>
      </c>
      <c r="M514" t="n">
        <v>0</v>
      </c>
      <c r="N514" t="n">
        <v>0</v>
      </c>
      <c r="O514" t="n">
        <v>0</v>
      </c>
      <c r="P514" t="n">
        <v>0</v>
      </c>
      <c r="Q514" t="n">
        <v>0</v>
      </c>
      <c r="R514" s="2" t="inlineStr"/>
    </row>
    <row r="515" ht="15" customHeight="1">
      <c r="A515" t="inlineStr">
        <is>
          <t>A 60095-2022</t>
        </is>
      </c>
      <c r="B515" s="1" t="n">
        <v>44909</v>
      </c>
      <c r="C515" s="1" t="n">
        <v>45927</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28965-2023</t>
        </is>
      </c>
      <c r="B516" s="1" t="n">
        <v>45104</v>
      </c>
      <c r="C516" s="1" t="n">
        <v>45927</v>
      </c>
      <c r="D516" t="inlineStr">
        <is>
          <t>DALARNAS LÄN</t>
        </is>
      </c>
      <c r="E516" t="inlineStr">
        <is>
          <t>LEKSAND</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16293-2025</t>
        </is>
      </c>
      <c r="B517" s="1" t="n">
        <v>45751.33447916667</v>
      </c>
      <c r="C517" s="1" t="n">
        <v>45927</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30595-2023</t>
        </is>
      </c>
      <c r="B518" s="1" t="n">
        <v>45112</v>
      </c>
      <c r="C518" s="1" t="n">
        <v>45927</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6027-2025</t>
        </is>
      </c>
      <c r="B519" s="1" t="n">
        <v>45695</v>
      </c>
      <c r="C519" s="1" t="n">
        <v>45927</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38721-2025</t>
        </is>
      </c>
      <c r="B520" s="1" t="n">
        <v>45886.83605324074</v>
      </c>
      <c r="C520" s="1" t="n">
        <v>45927</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33804-2025</t>
        </is>
      </c>
      <c r="B521" s="1" t="n">
        <v>45842</v>
      </c>
      <c r="C521" s="1" t="n">
        <v>45927</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38498-2025</t>
        </is>
      </c>
      <c r="B522" s="1" t="n">
        <v>45884.3706712963</v>
      </c>
      <c r="C522" s="1" t="n">
        <v>45927</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6519-2025</t>
        </is>
      </c>
      <c r="B523" s="1" t="n">
        <v>45699</v>
      </c>
      <c r="C523" s="1" t="n">
        <v>45927</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11678-2023</t>
        </is>
      </c>
      <c r="B524" s="1" t="n">
        <v>44994</v>
      </c>
      <c r="C524" s="1" t="n">
        <v>45927</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40755-2024</t>
        </is>
      </c>
      <c r="B525" s="1" t="n">
        <v>45558.45815972222</v>
      </c>
      <c r="C525" s="1" t="n">
        <v>45927</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8755-2023</t>
        </is>
      </c>
      <c r="B526" s="1" t="n">
        <v>44978</v>
      </c>
      <c r="C526" s="1" t="n">
        <v>45927</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5582-2024</t>
        </is>
      </c>
      <c r="B527" s="1" t="n">
        <v>45334</v>
      </c>
      <c r="C527" s="1" t="n">
        <v>45927</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11218-2023</t>
        </is>
      </c>
      <c r="B528" s="1" t="n">
        <v>44992.62401620371</v>
      </c>
      <c r="C528" s="1" t="n">
        <v>45927</v>
      </c>
      <c r="D528" t="inlineStr">
        <is>
          <t>DALARNAS LÄN</t>
        </is>
      </c>
      <c r="E528" t="inlineStr">
        <is>
          <t>LEKSAND</t>
        </is>
      </c>
      <c r="G528" t="n">
        <v>2.6</v>
      </c>
      <c r="H528" t="n">
        <v>0</v>
      </c>
      <c r="I528" t="n">
        <v>0</v>
      </c>
      <c r="J528" t="n">
        <v>0</v>
      </c>
      <c r="K528" t="n">
        <v>0</v>
      </c>
      <c r="L528" t="n">
        <v>0</v>
      </c>
      <c r="M528" t="n">
        <v>0</v>
      </c>
      <c r="N528" t="n">
        <v>0</v>
      </c>
      <c r="O528" t="n">
        <v>0</v>
      </c>
      <c r="P528" t="n">
        <v>0</v>
      </c>
      <c r="Q528" t="n">
        <v>0</v>
      </c>
      <c r="R528" s="2" t="inlineStr"/>
    </row>
    <row r="529" ht="15" customHeight="1">
      <c r="A529" t="inlineStr">
        <is>
          <t>A 46505-2023</t>
        </is>
      </c>
      <c r="B529" s="1" t="n">
        <v>45197</v>
      </c>
      <c r="C529" s="1" t="n">
        <v>45927</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58619-2022</t>
        </is>
      </c>
      <c r="B530" s="1" t="n">
        <v>44902.59579861111</v>
      </c>
      <c r="C530" s="1" t="n">
        <v>45927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61680-2024</t>
        </is>
      </c>
      <c r="B531" s="1" t="n">
        <v>45647.42890046296</v>
      </c>
      <c r="C531" s="1" t="n">
        <v>45927</v>
      </c>
      <c r="D531" t="inlineStr">
        <is>
          <t>DALARNAS LÄN</t>
        </is>
      </c>
      <c r="E531" t="inlineStr">
        <is>
          <t>LEKSAND</t>
        </is>
      </c>
      <c r="G531" t="n">
        <v>3.6</v>
      </c>
      <c r="H531" t="n">
        <v>0</v>
      </c>
      <c r="I531" t="n">
        <v>0</v>
      </c>
      <c r="J531" t="n">
        <v>0</v>
      </c>
      <c r="K531" t="n">
        <v>0</v>
      </c>
      <c r="L531" t="n">
        <v>0</v>
      </c>
      <c r="M531" t="n">
        <v>0</v>
      </c>
      <c r="N531" t="n">
        <v>0</v>
      </c>
      <c r="O531" t="n">
        <v>0</v>
      </c>
      <c r="P531" t="n">
        <v>0</v>
      </c>
      <c r="Q531" t="n">
        <v>0</v>
      </c>
      <c r="R531" s="2" t="inlineStr"/>
    </row>
    <row r="532" ht="15" customHeight="1">
      <c r="A532" t="inlineStr">
        <is>
          <t>A 62295-2023</t>
        </is>
      </c>
      <c r="B532" s="1" t="n">
        <v>45267</v>
      </c>
      <c r="C532" s="1" t="n">
        <v>45927</v>
      </c>
      <c r="D532" t="inlineStr">
        <is>
          <t>DALARNAS LÄN</t>
        </is>
      </c>
      <c r="E532" t="inlineStr">
        <is>
          <t>LEKSAND</t>
        </is>
      </c>
      <c r="G532" t="n">
        <v>2.5</v>
      </c>
      <c r="H532" t="n">
        <v>0</v>
      </c>
      <c r="I532" t="n">
        <v>0</v>
      </c>
      <c r="J532" t="n">
        <v>0</v>
      </c>
      <c r="K532" t="n">
        <v>0</v>
      </c>
      <c r="L532" t="n">
        <v>0</v>
      </c>
      <c r="M532" t="n">
        <v>0</v>
      </c>
      <c r="N532" t="n">
        <v>0</v>
      </c>
      <c r="O532" t="n">
        <v>0</v>
      </c>
      <c r="P532" t="n">
        <v>0</v>
      </c>
      <c r="Q532" t="n">
        <v>0</v>
      </c>
      <c r="R532" s="2" t="inlineStr"/>
    </row>
    <row r="533" ht="15" customHeight="1">
      <c r="A533" t="inlineStr">
        <is>
          <t>A 776-2021</t>
        </is>
      </c>
      <c r="B533" s="1" t="n">
        <v>44203</v>
      </c>
      <c r="C533" s="1" t="n">
        <v>45927</v>
      </c>
      <c r="D533" t="inlineStr">
        <is>
          <t>DALARNAS LÄN</t>
        </is>
      </c>
      <c r="E533" t="inlineStr">
        <is>
          <t>LEKSAND</t>
        </is>
      </c>
      <c r="G533" t="n">
        <v>21</v>
      </c>
      <c r="H533" t="n">
        <v>0</v>
      </c>
      <c r="I533" t="n">
        <v>0</v>
      </c>
      <c r="J533" t="n">
        <v>0</v>
      </c>
      <c r="K533" t="n">
        <v>0</v>
      </c>
      <c r="L533" t="n">
        <v>0</v>
      </c>
      <c r="M533" t="n">
        <v>0</v>
      </c>
      <c r="N533" t="n">
        <v>0</v>
      </c>
      <c r="O533" t="n">
        <v>0</v>
      </c>
      <c r="P533" t="n">
        <v>0</v>
      </c>
      <c r="Q533" t="n">
        <v>0</v>
      </c>
      <c r="R533" s="2" t="inlineStr"/>
    </row>
    <row r="534" ht="15" customHeight="1">
      <c r="A534" t="inlineStr">
        <is>
          <t>A 15173-2025</t>
        </is>
      </c>
      <c r="B534" s="1" t="n">
        <v>45744.50858796296</v>
      </c>
      <c r="C534" s="1" t="n">
        <v>45927</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34537-2025</t>
        </is>
      </c>
      <c r="B535" s="1" t="n">
        <v>45847</v>
      </c>
      <c r="C535" s="1" t="n">
        <v>45927</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61054-2023</t>
        </is>
      </c>
      <c r="B536" s="1" t="n">
        <v>45261</v>
      </c>
      <c r="C536" s="1" t="n">
        <v>45927</v>
      </c>
      <c r="D536" t="inlineStr">
        <is>
          <t>DALARNAS LÄN</t>
        </is>
      </c>
      <c r="E536" t="inlineStr">
        <is>
          <t>LEKSAND</t>
        </is>
      </c>
      <c r="G536" t="n">
        <v>0.4</v>
      </c>
      <c r="H536" t="n">
        <v>0</v>
      </c>
      <c r="I536" t="n">
        <v>0</v>
      </c>
      <c r="J536" t="n">
        <v>0</v>
      </c>
      <c r="K536" t="n">
        <v>0</v>
      </c>
      <c r="L536" t="n">
        <v>0</v>
      </c>
      <c r="M536" t="n">
        <v>0</v>
      </c>
      <c r="N536" t="n">
        <v>0</v>
      </c>
      <c r="O536" t="n">
        <v>0</v>
      </c>
      <c r="P536" t="n">
        <v>0</v>
      </c>
      <c r="Q536" t="n">
        <v>0</v>
      </c>
      <c r="R536" s="2" t="inlineStr"/>
    </row>
    <row r="537" ht="15" customHeight="1">
      <c r="A537" t="inlineStr">
        <is>
          <t>A 61056-2023</t>
        </is>
      </c>
      <c r="B537" s="1" t="n">
        <v>45261</v>
      </c>
      <c r="C537" s="1" t="n">
        <v>45927</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8045-2024</t>
        </is>
      </c>
      <c r="B538" s="1" t="n">
        <v>45351.31371527778</v>
      </c>
      <c r="C538" s="1" t="n">
        <v>45927</v>
      </c>
      <c r="D538" t="inlineStr">
        <is>
          <t>DALARNAS LÄN</t>
        </is>
      </c>
      <c r="E538" t="inlineStr">
        <is>
          <t>LEKSAND</t>
        </is>
      </c>
      <c r="G538" t="n">
        <v>6.7</v>
      </c>
      <c r="H538" t="n">
        <v>0</v>
      </c>
      <c r="I538" t="n">
        <v>0</v>
      </c>
      <c r="J538" t="n">
        <v>0</v>
      </c>
      <c r="K538" t="n">
        <v>0</v>
      </c>
      <c r="L538" t="n">
        <v>0</v>
      </c>
      <c r="M538" t="n">
        <v>0</v>
      </c>
      <c r="N538" t="n">
        <v>0</v>
      </c>
      <c r="O538" t="n">
        <v>0</v>
      </c>
      <c r="P538" t="n">
        <v>0</v>
      </c>
      <c r="Q538" t="n">
        <v>0</v>
      </c>
      <c r="R538" s="2" t="inlineStr"/>
    </row>
    <row r="539" ht="15" customHeight="1">
      <c r="A539" t="inlineStr">
        <is>
          <t>A 33001-2023</t>
        </is>
      </c>
      <c r="B539" s="1" t="n">
        <v>45125</v>
      </c>
      <c r="C539" s="1" t="n">
        <v>45927</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1946-2024</t>
        </is>
      </c>
      <c r="B540" s="1" t="n">
        <v>45308</v>
      </c>
      <c r="C540" s="1" t="n">
        <v>45927</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39693-2025</t>
        </is>
      </c>
      <c r="B541" s="1" t="n">
        <v>45890.68304398148</v>
      </c>
      <c r="C541" s="1" t="n">
        <v>45927</v>
      </c>
      <c r="D541" t="inlineStr">
        <is>
          <t>DALARNAS LÄN</t>
        </is>
      </c>
      <c r="E541" t="inlineStr">
        <is>
          <t>LEKSAND</t>
        </is>
      </c>
      <c r="G541" t="n">
        <v>3.1</v>
      </c>
      <c r="H541" t="n">
        <v>0</v>
      </c>
      <c r="I541" t="n">
        <v>0</v>
      </c>
      <c r="J541" t="n">
        <v>0</v>
      </c>
      <c r="K541" t="n">
        <v>0</v>
      </c>
      <c r="L541" t="n">
        <v>0</v>
      </c>
      <c r="M541" t="n">
        <v>0</v>
      </c>
      <c r="N541" t="n">
        <v>0</v>
      </c>
      <c r="O541" t="n">
        <v>0</v>
      </c>
      <c r="P541" t="n">
        <v>0</v>
      </c>
      <c r="Q541" t="n">
        <v>0</v>
      </c>
      <c r="R541" s="2" t="inlineStr"/>
    </row>
    <row r="542" ht="15" customHeight="1">
      <c r="A542" t="inlineStr">
        <is>
          <t>A 39569-2025</t>
        </is>
      </c>
      <c r="B542" s="1" t="n">
        <v>45890</v>
      </c>
      <c r="C542" s="1" t="n">
        <v>45927</v>
      </c>
      <c r="D542" t="inlineStr">
        <is>
          <t>DALARNAS LÄN</t>
        </is>
      </c>
      <c r="E542" t="inlineStr">
        <is>
          <t>LEKSAND</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32394-2024</t>
        </is>
      </c>
      <c r="B543" s="1" t="n">
        <v>45512.64349537037</v>
      </c>
      <c r="C543" s="1" t="n">
        <v>45927</v>
      </c>
      <c r="D543" t="inlineStr">
        <is>
          <t>DALARNAS LÄN</t>
        </is>
      </c>
      <c r="E543" t="inlineStr">
        <is>
          <t>LEKSAND</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39516-2025</t>
        </is>
      </c>
      <c r="B544" s="1" t="n">
        <v>45890.42633101852</v>
      </c>
      <c r="C544" s="1" t="n">
        <v>45927</v>
      </c>
      <c r="D544" t="inlineStr">
        <is>
          <t>DALARNAS LÄN</t>
        </is>
      </c>
      <c r="E544" t="inlineStr">
        <is>
          <t>LEKSAND</t>
        </is>
      </c>
      <c r="G544" t="n">
        <v>3.6</v>
      </c>
      <c r="H544" t="n">
        <v>0</v>
      </c>
      <c r="I544" t="n">
        <v>0</v>
      </c>
      <c r="J544" t="n">
        <v>0</v>
      </c>
      <c r="K544" t="n">
        <v>0</v>
      </c>
      <c r="L544" t="n">
        <v>0</v>
      </c>
      <c r="M544" t="n">
        <v>0</v>
      </c>
      <c r="N544" t="n">
        <v>0</v>
      </c>
      <c r="O544" t="n">
        <v>0</v>
      </c>
      <c r="P544" t="n">
        <v>0</v>
      </c>
      <c r="Q544" t="n">
        <v>0</v>
      </c>
      <c r="R544" s="2" t="inlineStr"/>
    </row>
    <row r="545" ht="15" customHeight="1">
      <c r="A545" t="inlineStr">
        <is>
          <t>A 11015-2022</t>
        </is>
      </c>
      <c r="B545" s="1" t="n">
        <v>44628.52340277778</v>
      </c>
      <c r="C545" s="1" t="n">
        <v>45927</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row>
    <row r="546" ht="15" customHeight="1">
      <c r="A546" t="inlineStr">
        <is>
          <t>A 39660-2025</t>
        </is>
      </c>
      <c r="B546" s="1" t="n">
        <v>45890.63006944444</v>
      </c>
      <c r="C546" s="1" t="n">
        <v>45927</v>
      </c>
      <c r="D546" t="inlineStr">
        <is>
          <t>DALARNAS LÄN</t>
        </is>
      </c>
      <c r="E546" t="inlineStr">
        <is>
          <t>LEKSAND</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6846-2023</t>
        </is>
      </c>
      <c r="B547" s="1" t="n">
        <v>44967.43953703704</v>
      </c>
      <c r="C547" s="1" t="n">
        <v>45927</v>
      </c>
      <c r="D547" t="inlineStr">
        <is>
          <t>DALARNAS LÄN</t>
        </is>
      </c>
      <c r="E547" t="inlineStr">
        <is>
          <t>LEKSAND</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34965-2025</t>
        </is>
      </c>
      <c r="B548" s="1" t="n">
        <v>45849</v>
      </c>
      <c r="C548" s="1" t="n">
        <v>45927</v>
      </c>
      <c r="D548" t="inlineStr">
        <is>
          <t>DALARNAS LÄN</t>
        </is>
      </c>
      <c r="E548" t="inlineStr">
        <is>
          <t>LEKSAND</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41896-2024</t>
        </is>
      </c>
      <c r="B549" s="1" t="n">
        <v>45561.51310185185</v>
      </c>
      <c r="C549" s="1" t="n">
        <v>45927</v>
      </c>
      <c r="D549" t="inlineStr">
        <is>
          <t>DALARNAS LÄN</t>
        </is>
      </c>
      <c r="E549" t="inlineStr">
        <is>
          <t>LEKSAND</t>
        </is>
      </c>
      <c r="F549" t="inlineStr">
        <is>
          <t>Bergvik skog väst AB</t>
        </is>
      </c>
      <c r="G549" t="n">
        <v>2.8</v>
      </c>
      <c r="H549" t="n">
        <v>0</v>
      </c>
      <c r="I549" t="n">
        <v>0</v>
      </c>
      <c r="J549" t="n">
        <v>0</v>
      </c>
      <c r="K549" t="n">
        <v>0</v>
      </c>
      <c r="L549" t="n">
        <v>0</v>
      </c>
      <c r="M549" t="n">
        <v>0</v>
      </c>
      <c r="N549" t="n">
        <v>0</v>
      </c>
      <c r="O549" t="n">
        <v>0</v>
      </c>
      <c r="P549" t="n">
        <v>0</v>
      </c>
      <c r="Q549" t="n">
        <v>0</v>
      </c>
      <c r="R549" s="2" t="inlineStr"/>
    </row>
    <row r="550" ht="15" customHeight="1">
      <c r="A550" t="inlineStr">
        <is>
          <t>A 40752-2024</t>
        </is>
      </c>
      <c r="B550" s="1" t="n">
        <v>45558.45638888889</v>
      </c>
      <c r="C550" s="1" t="n">
        <v>45927</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17413-2023</t>
        </is>
      </c>
      <c r="B551" s="1" t="n">
        <v>45035</v>
      </c>
      <c r="C551" s="1" t="n">
        <v>45927</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39546-2025</t>
        </is>
      </c>
      <c r="B552" s="1" t="n">
        <v>45890.45706018519</v>
      </c>
      <c r="C552" s="1" t="n">
        <v>45927</v>
      </c>
      <c r="D552" t="inlineStr">
        <is>
          <t>DALARNAS LÄN</t>
        </is>
      </c>
      <c r="E552" t="inlineStr">
        <is>
          <t>LEKSAND</t>
        </is>
      </c>
      <c r="G552" t="n">
        <v>4.6</v>
      </c>
      <c r="H552" t="n">
        <v>0</v>
      </c>
      <c r="I552" t="n">
        <v>0</v>
      </c>
      <c r="J552" t="n">
        <v>0</v>
      </c>
      <c r="K552" t="n">
        <v>0</v>
      </c>
      <c r="L552" t="n">
        <v>0</v>
      </c>
      <c r="M552" t="n">
        <v>0</v>
      </c>
      <c r="N552" t="n">
        <v>0</v>
      </c>
      <c r="O552" t="n">
        <v>0</v>
      </c>
      <c r="P552" t="n">
        <v>0</v>
      </c>
      <c r="Q552" t="n">
        <v>0</v>
      </c>
      <c r="R552" s="2" t="inlineStr"/>
    </row>
    <row r="553" ht="15" customHeight="1">
      <c r="A553" t="inlineStr">
        <is>
          <t>A 39572-2025</t>
        </is>
      </c>
      <c r="B553" s="1" t="n">
        <v>45890</v>
      </c>
      <c r="C553" s="1" t="n">
        <v>45927</v>
      </c>
      <c r="D553" t="inlineStr">
        <is>
          <t>DALARNAS LÄN</t>
        </is>
      </c>
      <c r="E553" t="inlineStr">
        <is>
          <t>LEKSAND</t>
        </is>
      </c>
      <c r="F553" t="inlineStr">
        <is>
          <t>Bergvik skog väst AB</t>
        </is>
      </c>
      <c r="G553" t="n">
        <v>2.2</v>
      </c>
      <c r="H553" t="n">
        <v>0</v>
      </c>
      <c r="I553" t="n">
        <v>0</v>
      </c>
      <c r="J553" t="n">
        <v>0</v>
      </c>
      <c r="K553" t="n">
        <v>0</v>
      </c>
      <c r="L553" t="n">
        <v>0</v>
      </c>
      <c r="M553" t="n">
        <v>0</v>
      </c>
      <c r="N553" t="n">
        <v>0</v>
      </c>
      <c r="O553" t="n">
        <v>0</v>
      </c>
      <c r="P553" t="n">
        <v>0</v>
      </c>
      <c r="Q553" t="n">
        <v>0</v>
      </c>
      <c r="R553" s="2" t="inlineStr"/>
    </row>
    <row r="554" ht="15" customHeight="1">
      <c r="A554" t="inlineStr">
        <is>
          <t>A 34789-2025</t>
        </is>
      </c>
      <c r="B554" s="1" t="n">
        <v>45848</v>
      </c>
      <c r="C554" s="1" t="n">
        <v>45927</v>
      </c>
      <c r="D554" t="inlineStr">
        <is>
          <t>DALARNAS LÄN</t>
        </is>
      </c>
      <c r="E554" t="inlineStr">
        <is>
          <t>LEKSAND</t>
        </is>
      </c>
      <c r="F554" t="inlineStr">
        <is>
          <t>Bergvik skog väst AB</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1775-2022</t>
        </is>
      </c>
      <c r="B555" s="1" t="n">
        <v>44574</v>
      </c>
      <c r="C555" s="1" t="n">
        <v>45927</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56753-2023</t>
        </is>
      </c>
      <c r="B556" s="1" t="n">
        <v>45244.37094907407</v>
      </c>
      <c r="C556" s="1" t="n">
        <v>45927</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15882-2023</t>
        </is>
      </c>
      <c r="B557" s="1" t="n">
        <v>45022</v>
      </c>
      <c r="C557" s="1" t="n">
        <v>45927</v>
      </c>
      <c r="D557" t="inlineStr">
        <is>
          <t>DALARNAS LÄN</t>
        </is>
      </c>
      <c r="E557" t="inlineStr">
        <is>
          <t>LEKSAND</t>
        </is>
      </c>
      <c r="G557" t="n">
        <v>0.1</v>
      </c>
      <c r="H557" t="n">
        <v>0</v>
      </c>
      <c r="I557" t="n">
        <v>0</v>
      </c>
      <c r="J557" t="n">
        <v>0</v>
      </c>
      <c r="K557" t="n">
        <v>0</v>
      </c>
      <c r="L557" t="n">
        <v>0</v>
      </c>
      <c r="M557" t="n">
        <v>0</v>
      </c>
      <c r="N557" t="n">
        <v>0</v>
      </c>
      <c r="O557" t="n">
        <v>0</v>
      </c>
      <c r="P557" t="n">
        <v>0</v>
      </c>
      <c r="Q557" t="n">
        <v>0</v>
      </c>
      <c r="R557" s="2" t="inlineStr"/>
    </row>
    <row r="558" ht="15" customHeight="1">
      <c r="A558" t="inlineStr">
        <is>
          <t>A 34966-2025</t>
        </is>
      </c>
      <c r="B558" s="1" t="n">
        <v>45849</v>
      </c>
      <c r="C558" s="1" t="n">
        <v>45927</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43077-2024</t>
        </is>
      </c>
      <c r="B559" s="1" t="n">
        <v>45567.50030092592</v>
      </c>
      <c r="C559" s="1" t="n">
        <v>45927</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57899-2024</t>
        </is>
      </c>
      <c r="B560" s="1" t="n">
        <v>45630</v>
      </c>
      <c r="C560" s="1" t="n">
        <v>45927</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60873-2023</t>
        </is>
      </c>
      <c r="B561" s="1" t="n">
        <v>45261.03266203704</v>
      </c>
      <c r="C561" s="1" t="n">
        <v>45927</v>
      </c>
      <c r="D561" t="inlineStr">
        <is>
          <t>DALARNAS LÄN</t>
        </is>
      </c>
      <c r="E561" t="inlineStr">
        <is>
          <t>LEKSAND</t>
        </is>
      </c>
      <c r="G561" t="n">
        <v>5.2</v>
      </c>
      <c r="H561" t="n">
        <v>0</v>
      </c>
      <c r="I561" t="n">
        <v>0</v>
      </c>
      <c r="J561" t="n">
        <v>0</v>
      </c>
      <c r="K561" t="n">
        <v>0</v>
      </c>
      <c r="L561" t="n">
        <v>0</v>
      </c>
      <c r="M561" t="n">
        <v>0</v>
      </c>
      <c r="N561" t="n">
        <v>0</v>
      </c>
      <c r="O561" t="n">
        <v>0</v>
      </c>
      <c r="P561" t="n">
        <v>0</v>
      </c>
      <c r="Q561" t="n">
        <v>0</v>
      </c>
      <c r="R561" s="2" t="inlineStr"/>
    </row>
    <row r="562" ht="15" customHeight="1">
      <c r="A562" t="inlineStr">
        <is>
          <t>A 35094-2025</t>
        </is>
      </c>
      <c r="B562" s="1" t="n">
        <v>45852</v>
      </c>
      <c r="C562" s="1" t="n">
        <v>45927</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5583-2024</t>
        </is>
      </c>
      <c r="B563" s="1" t="n">
        <v>45334</v>
      </c>
      <c r="C563" s="1" t="n">
        <v>45927</v>
      </c>
      <c r="D563" t="inlineStr">
        <is>
          <t>DALARNAS LÄN</t>
        </is>
      </c>
      <c r="E563" t="inlineStr">
        <is>
          <t>LEKSAND</t>
        </is>
      </c>
      <c r="F563" t="inlineStr">
        <is>
          <t>Kyrkan</t>
        </is>
      </c>
      <c r="G563" t="n">
        <v>0.4</v>
      </c>
      <c r="H563" t="n">
        <v>0</v>
      </c>
      <c r="I563" t="n">
        <v>0</v>
      </c>
      <c r="J563" t="n">
        <v>0</v>
      </c>
      <c r="K563" t="n">
        <v>0</v>
      </c>
      <c r="L563" t="n">
        <v>0</v>
      </c>
      <c r="M563" t="n">
        <v>0</v>
      </c>
      <c r="N563" t="n">
        <v>0</v>
      </c>
      <c r="O563" t="n">
        <v>0</v>
      </c>
      <c r="P563" t="n">
        <v>0</v>
      </c>
      <c r="Q563" t="n">
        <v>0</v>
      </c>
      <c r="R563" s="2" t="inlineStr"/>
    </row>
    <row r="564" ht="15" customHeight="1">
      <c r="A564" t="inlineStr">
        <is>
          <t>A 56950-2024</t>
        </is>
      </c>
      <c r="B564" s="1" t="n">
        <v>45625</v>
      </c>
      <c r="C564" s="1" t="n">
        <v>45927</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15120-2023</t>
        </is>
      </c>
      <c r="B565" s="1" t="n">
        <v>45016.46484953703</v>
      </c>
      <c r="C565" s="1" t="n">
        <v>45927</v>
      </c>
      <c r="D565" t="inlineStr">
        <is>
          <t>DALARNAS LÄN</t>
        </is>
      </c>
      <c r="E565" t="inlineStr">
        <is>
          <t>LEKSAND</t>
        </is>
      </c>
      <c r="G565" t="n">
        <v>2.7</v>
      </c>
      <c r="H565" t="n">
        <v>0</v>
      </c>
      <c r="I565" t="n">
        <v>0</v>
      </c>
      <c r="J565" t="n">
        <v>0</v>
      </c>
      <c r="K565" t="n">
        <v>0</v>
      </c>
      <c r="L565" t="n">
        <v>0</v>
      </c>
      <c r="M565" t="n">
        <v>0</v>
      </c>
      <c r="N565" t="n">
        <v>0</v>
      </c>
      <c r="O565" t="n">
        <v>0</v>
      </c>
      <c r="P565" t="n">
        <v>0</v>
      </c>
      <c r="Q565" t="n">
        <v>0</v>
      </c>
      <c r="R565" s="2" t="inlineStr"/>
    </row>
    <row r="566" ht="15" customHeight="1">
      <c r="A566" t="inlineStr">
        <is>
          <t>A 43693-2022</t>
        </is>
      </c>
      <c r="B566" s="1" t="n">
        <v>44837.6369212963</v>
      </c>
      <c r="C566" s="1" t="n">
        <v>45927</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12581-2025</t>
        </is>
      </c>
      <c r="B567" s="1" t="n">
        <v>45732.62201388889</v>
      </c>
      <c r="C567" s="1" t="n">
        <v>45927</v>
      </c>
      <c r="D567" t="inlineStr">
        <is>
          <t>DALARNAS LÄN</t>
        </is>
      </c>
      <c r="E567" t="inlineStr">
        <is>
          <t>LEKSAND</t>
        </is>
      </c>
      <c r="G567" t="n">
        <v>5.1</v>
      </c>
      <c r="H567" t="n">
        <v>0</v>
      </c>
      <c r="I567" t="n">
        <v>0</v>
      </c>
      <c r="J567" t="n">
        <v>0</v>
      </c>
      <c r="K567" t="n">
        <v>0</v>
      </c>
      <c r="L567" t="n">
        <v>0</v>
      </c>
      <c r="M567" t="n">
        <v>0</v>
      </c>
      <c r="N567" t="n">
        <v>0</v>
      </c>
      <c r="O567" t="n">
        <v>0</v>
      </c>
      <c r="P567" t="n">
        <v>0</v>
      </c>
      <c r="Q567" t="n">
        <v>0</v>
      </c>
      <c r="R567" s="2" t="inlineStr"/>
    </row>
    <row r="568" ht="15" customHeight="1">
      <c r="A568" t="inlineStr">
        <is>
          <t>A 12620-2025</t>
        </is>
      </c>
      <c r="B568" s="1" t="n">
        <v>45733.35498842593</v>
      </c>
      <c r="C568" s="1" t="n">
        <v>45927</v>
      </c>
      <c r="D568" t="inlineStr">
        <is>
          <t>DALARNAS LÄN</t>
        </is>
      </c>
      <c r="E568" t="inlineStr">
        <is>
          <t>LEKSAND</t>
        </is>
      </c>
      <c r="F568" t="inlineStr">
        <is>
          <t>Bergvik skog väst AB</t>
        </is>
      </c>
      <c r="G568" t="n">
        <v>3.9</v>
      </c>
      <c r="H568" t="n">
        <v>0</v>
      </c>
      <c r="I568" t="n">
        <v>0</v>
      </c>
      <c r="J568" t="n">
        <v>0</v>
      </c>
      <c r="K568" t="n">
        <v>0</v>
      </c>
      <c r="L568" t="n">
        <v>0</v>
      </c>
      <c r="M568" t="n">
        <v>0</v>
      </c>
      <c r="N568" t="n">
        <v>0</v>
      </c>
      <c r="O568" t="n">
        <v>0</v>
      </c>
      <c r="P568" t="n">
        <v>0</v>
      </c>
      <c r="Q568" t="n">
        <v>0</v>
      </c>
      <c r="R568" s="2" t="inlineStr"/>
    </row>
    <row r="569" ht="15" customHeight="1">
      <c r="A569" t="inlineStr">
        <is>
          <t>A 12623-2025</t>
        </is>
      </c>
      <c r="B569" s="1" t="n">
        <v>45733.36079861111</v>
      </c>
      <c r="C569" s="1" t="n">
        <v>45927</v>
      </c>
      <c r="D569" t="inlineStr">
        <is>
          <t>DALARNAS LÄN</t>
        </is>
      </c>
      <c r="E569" t="inlineStr">
        <is>
          <t>LEKSAND</t>
        </is>
      </c>
      <c r="F569" t="inlineStr">
        <is>
          <t>Bergvik skog väst AB</t>
        </is>
      </c>
      <c r="G569" t="n">
        <v>13</v>
      </c>
      <c r="H569" t="n">
        <v>0</v>
      </c>
      <c r="I569" t="n">
        <v>0</v>
      </c>
      <c r="J569" t="n">
        <v>0</v>
      </c>
      <c r="K569" t="n">
        <v>0</v>
      </c>
      <c r="L569" t="n">
        <v>0</v>
      </c>
      <c r="M569" t="n">
        <v>0</v>
      </c>
      <c r="N569" t="n">
        <v>0</v>
      </c>
      <c r="O569" t="n">
        <v>0</v>
      </c>
      <c r="P569" t="n">
        <v>0</v>
      </c>
      <c r="Q569" t="n">
        <v>0</v>
      </c>
      <c r="R569" s="2" t="inlineStr"/>
    </row>
    <row r="570" ht="15" customHeight="1">
      <c r="A570" t="inlineStr">
        <is>
          <t>A 27445-2024</t>
        </is>
      </c>
      <c r="B570" s="1" t="n">
        <v>45474.42474537037</v>
      </c>
      <c r="C570" s="1" t="n">
        <v>45927</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5453-2025</t>
        </is>
      </c>
      <c r="B571" s="1" t="n">
        <v>45692.95231481481</v>
      </c>
      <c r="C571" s="1" t="n">
        <v>45927</v>
      </c>
      <c r="D571" t="inlineStr">
        <is>
          <t>DALARNAS LÄN</t>
        </is>
      </c>
      <c r="E571" t="inlineStr">
        <is>
          <t>LEKSAND</t>
        </is>
      </c>
      <c r="G571" t="n">
        <v>2.2</v>
      </c>
      <c r="H571" t="n">
        <v>0</v>
      </c>
      <c r="I571" t="n">
        <v>0</v>
      </c>
      <c r="J571" t="n">
        <v>0</v>
      </c>
      <c r="K571" t="n">
        <v>0</v>
      </c>
      <c r="L571" t="n">
        <v>0</v>
      </c>
      <c r="M571" t="n">
        <v>0</v>
      </c>
      <c r="N571" t="n">
        <v>0</v>
      </c>
      <c r="O571" t="n">
        <v>0</v>
      </c>
      <c r="P571" t="n">
        <v>0</v>
      </c>
      <c r="Q571" t="n">
        <v>0</v>
      </c>
      <c r="R571" s="2" t="inlineStr"/>
    </row>
    <row r="572" ht="15" customHeight="1">
      <c r="A572" t="inlineStr">
        <is>
          <t>A 3352-2024</t>
        </is>
      </c>
      <c r="B572" s="1" t="n">
        <v>45317</v>
      </c>
      <c r="C572" s="1" t="n">
        <v>45927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52755-2024</t>
        </is>
      </c>
      <c r="B573" s="1" t="n">
        <v>45610.50217592593</v>
      </c>
      <c r="C573" s="1" t="n">
        <v>45927</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40513-2025</t>
        </is>
      </c>
      <c r="B574" s="1" t="n">
        <v>45896.35100694445</v>
      </c>
      <c r="C574" s="1" t="n">
        <v>45927</v>
      </c>
      <c r="D574" t="inlineStr">
        <is>
          <t>DALARNAS LÄN</t>
        </is>
      </c>
      <c r="E574" t="inlineStr">
        <is>
          <t>LEKSAND</t>
        </is>
      </c>
      <c r="G574" t="n">
        <v>7.1</v>
      </c>
      <c r="H574" t="n">
        <v>0</v>
      </c>
      <c r="I574" t="n">
        <v>0</v>
      </c>
      <c r="J574" t="n">
        <v>0</v>
      </c>
      <c r="K574" t="n">
        <v>0</v>
      </c>
      <c r="L574" t="n">
        <v>0</v>
      </c>
      <c r="M574" t="n">
        <v>0</v>
      </c>
      <c r="N574" t="n">
        <v>0</v>
      </c>
      <c r="O574" t="n">
        <v>0</v>
      </c>
      <c r="P574" t="n">
        <v>0</v>
      </c>
      <c r="Q574" t="n">
        <v>0</v>
      </c>
      <c r="R574" s="2" t="inlineStr"/>
    </row>
    <row r="575" ht="15" customHeight="1">
      <c r="A575" t="inlineStr">
        <is>
          <t>A 13165-2023</t>
        </is>
      </c>
      <c r="B575" s="1" t="n">
        <v>45002.57731481481</v>
      </c>
      <c r="C575" s="1" t="n">
        <v>45927</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39620-2024</t>
        </is>
      </c>
      <c r="B576" s="1" t="n">
        <v>45552.43163194445</v>
      </c>
      <c r="C576" s="1" t="n">
        <v>45927</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40517-2025</t>
        </is>
      </c>
      <c r="B577" s="1" t="n">
        <v>45896.36368055556</v>
      </c>
      <c r="C577" s="1" t="n">
        <v>45927</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30204-2024</t>
        </is>
      </c>
      <c r="B578" s="1" t="n">
        <v>45490.35402777778</v>
      </c>
      <c r="C578" s="1" t="n">
        <v>45927</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6050-2023</t>
        </is>
      </c>
      <c r="B579" s="1" t="n">
        <v>44959</v>
      </c>
      <c r="C579" s="1" t="n">
        <v>45927</v>
      </c>
      <c r="D579" t="inlineStr">
        <is>
          <t>DALARNAS LÄN</t>
        </is>
      </c>
      <c r="E579" t="inlineStr">
        <is>
          <t>LEKSAND</t>
        </is>
      </c>
      <c r="G579" t="n">
        <v>6.2</v>
      </c>
      <c r="H579" t="n">
        <v>0</v>
      </c>
      <c r="I579" t="n">
        <v>0</v>
      </c>
      <c r="J579" t="n">
        <v>0</v>
      </c>
      <c r="K579" t="n">
        <v>0</v>
      </c>
      <c r="L579" t="n">
        <v>0</v>
      </c>
      <c r="M579" t="n">
        <v>0</v>
      </c>
      <c r="N579" t="n">
        <v>0</v>
      </c>
      <c r="O579" t="n">
        <v>0</v>
      </c>
      <c r="P579" t="n">
        <v>0</v>
      </c>
      <c r="Q579" t="n">
        <v>0</v>
      </c>
      <c r="R579" s="2" t="inlineStr"/>
    </row>
    <row r="580" ht="15" customHeight="1">
      <c r="A580" t="inlineStr">
        <is>
          <t>A 17730-2024</t>
        </is>
      </c>
      <c r="B580" s="1" t="n">
        <v>45418</v>
      </c>
      <c r="C580" s="1" t="n">
        <v>45927</v>
      </c>
      <c r="D580" t="inlineStr">
        <is>
          <t>DALARNAS LÄN</t>
        </is>
      </c>
      <c r="E580" t="inlineStr">
        <is>
          <t>LEKSAND</t>
        </is>
      </c>
      <c r="G580" t="n">
        <v>2.4</v>
      </c>
      <c r="H580" t="n">
        <v>0</v>
      </c>
      <c r="I580" t="n">
        <v>0</v>
      </c>
      <c r="J580" t="n">
        <v>0</v>
      </c>
      <c r="K580" t="n">
        <v>0</v>
      </c>
      <c r="L580" t="n">
        <v>0</v>
      </c>
      <c r="M580" t="n">
        <v>0</v>
      </c>
      <c r="N580" t="n">
        <v>0</v>
      </c>
      <c r="O580" t="n">
        <v>0</v>
      </c>
      <c r="P580" t="n">
        <v>0</v>
      </c>
      <c r="Q580" t="n">
        <v>0</v>
      </c>
      <c r="R580" s="2" t="inlineStr"/>
    </row>
    <row r="581" ht="15" customHeight="1">
      <c r="A581" t="inlineStr">
        <is>
          <t>A 41487-2025</t>
        </is>
      </c>
      <c r="B581" s="1" t="n">
        <v>45901.4815625</v>
      </c>
      <c r="C581" s="1" t="n">
        <v>45927</v>
      </c>
      <c r="D581" t="inlineStr">
        <is>
          <t>DALARNAS LÄN</t>
        </is>
      </c>
      <c r="E581" t="inlineStr">
        <is>
          <t>LEKSAND</t>
        </is>
      </c>
      <c r="F581" t="inlineStr">
        <is>
          <t>Bergvik skog väst AB</t>
        </is>
      </c>
      <c r="G581" t="n">
        <v>7.3</v>
      </c>
      <c r="H581" t="n">
        <v>0</v>
      </c>
      <c r="I581" t="n">
        <v>0</v>
      </c>
      <c r="J581" t="n">
        <v>0</v>
      </c>
      <c r="K581" t="n">
        <v>0</v>
      </c>
      <c r="L581" t="n">
        <v>0</v>
      </c>
      <c r="M581" t="n">
        <v>0</v>
      </c>
      <c r="N581" t="n">
        <v>0</v>
      </c>
      <c r="O581" t="n">
        <v>0</v>
      </c>
      <c r="P581" t="n">
        <v>0</v>
      </c>
      <c r="Q581" t="n">
        <v>0</v>
      </c>
      <c r="R581" s="2" t="inlineStr"/>
    </row>
    <row r="582" ht="15" customHeight="1">
      <c r="A582" t="inlineStr">
        <is>
          <t>A 41380-2025</t>
        </is>
      </c>
      <c r="B582" s="1" t="n">
        <v>45900.92826388889</v>
      </c>
      <c r="C582" s="1" t="n">
        <v>45927</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41335-2025</t>
        </is>
      </c>
      <c r="B583" s="1" t="n">
        <v>45899.36747685185</v>
      </c>
      <c r="C583" s="1" t="n">
        <v>45927</v>
      </c>
      <c r="D583" t="inlineStr">
        <is>
          <t>DALARNAS LÄN</t>
        </is>
      </c>
      <c r="E583" t="inlineStr">
        <is>
          <t>LEKSAND</t>
        </is>
      </c>
      <c r="G583" t="n">
        <v>5.9</v>
      </c>
      <c r="H583" t="n">
        <v>0</v>
      </c>
      <c r="I583" t="n">
        <v>0</v>
      </c>
      <c r="J583" t="n">
        <v>0</v>
      </c>
      <c r="K583" t="n">
        <v>0</v>
      </c>
      <c r="L583" t="n">
        <v>0</v>
      </c>
      <c r="M583" t="n">
        <v>0</v>
      </c>
      <c r="N583" t="n">
        <v>0</v>
      </c>
      <c r="O583" t="n">
        <v>0</v>
      </c>
      <c r="P583" t="n">
        <v>0</v>
      </c>
      <c r="Q583" t="n">
        <v>0</v>
      </c>
      <c r="R583" s="2" t="inlineStr"/>
    </row>
    <row r="584" ht="15" customHeight="1">
      <c r="A584" t="inlineStr">
        <is>
          <t>A 53799-2023</t>
        </is>
      </c>
      <c r="B584" s="1" t="n">
        <v>45231.35564814815</v>
      </c>
      <c r="C584" s="1" t="n">
        <v>45927</v>
      </c>
      <c r="D584" t="inlineStr">
        <is>
          <t>DALARNAS LÄN</t>
        </is>
      </c>
      <c r="E584" t="inlineStr">
        <is>
          <t>LEKSAND</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20946-2023</t>
        </is>
      </c>
      <c r="B585" s="1" t="n">
        <v>45061</v>
      </c>
      <c r="C585" s="1" t="n">
        <v>45927</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16748-2025</t>
        </is>
      </c>
      <c r="B586" s="1" t="n">
        <v>45754</v>
      </c>
      <c r="C586" s="1" t="n">
        <v>45927</v>
      </c>
      <c r="D586" t="inlineStr">
        <is>
          <t>DALARNAS LÄN</t>
        </is>
      </c>
      <c r="E586" t="inlineStr">
        <is>
          <t>LEKSAND</t>
        </is>
      </c>
      <c r="F586" t="inlineStr">
        <is>
          <t>Bergvik skog väst AB</t>
        </is>
      </c>
      <c r="G586" t="n">
        <v>2.9</v>
      </c>
      <c r="H586" t="n">
        <v>0</v>
      </c>
      <c r="I586" t="n">
        <v>0</v>
      </c>
      <c r="J586" t="n">
        <v>0</v>
      </c>
      <c r="K586" t="n">
        <v>0</v>
      </c>
      <c r="L586" t="n">
        <v>0</v>
      </c>
      <c r="M586" t="n">
        <v>0</v>
      </c>
      <c r="N586" t="n">
        <v>0</v>
      </c>
      <c r="O586" t="n">
        <v>0</v>
      </c>
      <c r="P586" t="n">
        <v>0</v>
      </c>
      <c r="Q586" t="n">
        <v>0</v>
      </c>
      <c r="R586" s="2" t="inlineStr"/>
    </row>
    <row r="587" ht="15" customHeight="1">
      <c r="A587" t="inlineStr">
        <is>
          <t>A 13705-2021</t>
        </is>
      </c>
      <c r="B587" s="1" t="n">
        <v>44274</v>
      </c>
      <c r="C587" s="1" t="n">
        <v>45927</v>
      </c>
      <c r="D587" t="inlineStr">
        <is>
          <t>DALARNAS LÄN</t>
        </is>
      </c>
      <c r="E587" t="inlineStr">
        <is>
          <t>LEKSAND</t>
        </is>
      </c>
      <c r="G587" t="n">
        <v>3.8</v>
      </c>
      <c r="H587" t="n">
        <v>0</v>
      </c>
      <c r="I587" t="n">
        <v>0</v>
      </c>
      <c r="J587" t="n">
        <v>0</v>
      </c>
      <c r="K587" t="n">
        <v>0</v>
      </c>
      <c r="L587" t="n">
        <v>0</v>
      </c>
      <c r="M587" t="n">
        <v>0</v>
      </c>
      <c r="N587" t="n">
        <v>0</v>
      </c>
      <c r="O587" t="n">
        <v>0</v>
      </c>
      <c r="P587" t="n">
        <v>0</v>
      </c>
      <c r="Q587" t="n">
        <v>0</v>
      </c>
      <c r="R587" s="2" t="inlineStr"/>
    </row>
    <row r="588" ht="15" customHeight="1">
      <c r="A588" t="inlineStr">
        <is>
          <t>A 41248-2025</t>
        </is>
      </c>
      <c r="B588" s="1" t="n">
        <v>45898.60199074074</v>
      </c>
      <c r="C588" s="1" t="n">
        <v>45927</v>
      </c>
      <c r="D588" t="inlineStr">
        <is>
          <t>DALARNAS LÄN</t>
        </is>
      </c>
      <c r="E588" t="inlineStr">
        <is>
          <t>LEKSAND</t>
        </is>
      </c>
      <c r="F588" t="inlineStr">
        <is>
          <t>Bergvik skog väst AB</t>
        </is>
      </c>
      <c r="G588" t="n">
        <v>2.5</v>
      </c>
      <c r="H588" t="n">
        <v>0</v>
      </c>
      <c r="I588" t="n">
        <v>0</v>
      </c>
      <c r="J588" t="n">
        <v>0</v>
      </c>
      <c r="K588" t="n">
        <v>0</v>
      </c>
      <c r="L588" t="n">
        <v>0</v>
      </c>
      <c r="M588" t="n">
        <v>0</v>
      </c>
      <c r="N588" t="n">
        <v>0</v>
      </c>
      <c r="O588" t="n">
        <v>0</v>
      </c>
      <c r="P588" t="n">
        <v>0</v>
      </c>
      <c r="Q588" t="n">
        <v>0</v>
      </c>
      <c r="R588" s="2" t="inlineStr"/>
    </row>
    <row r="589" ht="15" customHeight="1">
      <c r="A589" t="inlineStr">
        <is>
          <t>A 34039-2024</t>
        </is>
      </c>
      <c r="B589" s="1" t="n">
        <v>45523.5974537037</v>
      </c>
      <c r="C589" s="1" t="n">
        <v>45927</v>
      </c>
      <c r="D589" t="inlineStr">
        <is>
          <t>DALARNAS LÄN</t>
        </is>
      </c>
      <c r="E589" t="inlineStr">
        <is>
          <t>LEKSAND</t>
        </is>
      </c>
      <c r="G589" t="n">
        <v>7.1</v>
      </c>
      <c r="H589" t="n">
        <v>0</v>
      </c>
      <c r="I589" t="n">
        <v>0</v>
      </c>
      <c r="J589" t="n">
        <v>0</v>
      </c>
      <c r="K589" t="n">
        <v>0</v>
      </c>
      <c r="L589" t="n">
        <v>0</v>
      </c>
      <c r="M589" t="n">
        <v>0</v>
      </c>
      <c r="N589" t="n">
        <v>0</v>
      </c>
      <c r="O589" t="n">
        <v>0</v>
      </c>
      <c r="P589" t="n">
        <v>0</v>
      </c>
      <c r="Q589" t="n">
        <v>0</v>
      </c>
      <c r="R589" s="2" t="inlineStr"/>
    </row>
    <row r="590" ht="15" customHeight="1">
      <c r="A590" t="inlineStr">
        <is>
          <t>A 7759-2025</t>
        </is>
      </c>
      <c r="B590" s="1" t="n">
        <v>45706.53827546296</v>
      </c>
      <c r="C590" s="1" t="n">
        <v>45927</v>
      </c>
      <c r="D590" t="inlineStr">
        <is>
          <t>DALARNAS LÄN</t>
        </is>
      </c>
      <c r="E590" t="inlineStr">
        <is>
          <t>LEKSAND</t>
        </is>
      </c>
      <c r="G590" t="n">
        <v>3.3</v>
      </c>
      <c r="H590" t="n">
        <v>0</v>
      </c>
      <c r="I590" t="n">
        <v>0</v>
      </c>
      <c r="J590" t="n">
        <v>0</v>
      </c>
      <c r="K590" t="n">
        <v>0</v>
      </c>
      <c r="L590" t="n">
        <v>0</v>
      </c>
      <c r="M590" t="n">
        <v>0</v>
      </c>
      <c r="N590" t="n">
        <v>0</v>
      </c>
      <c r="O590" t="n">
        <v>0</v>
      </c>
      <c r="P590" t="n">
        <v>0</v>
      </c>
      <c r="Q590" t="n">
        <v>0</v>
      </c>
      <c r="R590" s="2" t="inlineStr"/>
    </row>
    <row r="591" ht="15" customHeight="1">
      <c r="A591" t="inlineStr">
        <is>
          <t>A 41237-2025</t>
        </is>
      </c>
      <c r="B591" s="1" t="n">
        <v>45898.59570601852</v>
      </c>
      <c r="C591" s="1" t="n">
        <v>45927</v>
      </c>
      <c r="D591" t="inlineStr">
        <is>
          <t>DALARNAS LÄN</t>
        </is>
      </c>
      <c r="E591" t="inlineStr">
        <is>
          <t>LEKSAND</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62130-2024</t>
        </is>
      </c>
      <c r="B592" s="1" t="n">
        <v>45656.61827546296</v>
      </c>
      <c r="C592" s="1" t="n">
        <v>45927</v>
      </c>
      <c r="D592" t="inlineStr">
        <is>
          <t>DALARNAS LÄN</t>
        </is>
      </c>
      <c r="E592" t="inlineStr">
        <is>
          <t>LEKSAND</t>
        </is>
      </c>
      <c r="G592" t="n">
        <v>11.4</v>
      </c>
      <c r="H592" t="n">
        <v>0</v>
      </c>
      <c r="I592" t="n">
        <v>0</v>
      </c>
      <c r="J592" t="n">
        <v>0</v>
      </c>
      <c r="K592" t="n">
        <v>0</v>
      </c>
      <c r="L592" t="n">
        <v>0</v>
      </c>
      <c r="M592" t="n">
        <v>0</v>
      </c>
      <c r="N592" t="n">
        <v>0</v>
      </c>
      <c r="O592" t="n">
        <v>0</v>
      </c>
      <c r="P592" t="n">
        <v>0</v>
      </c>
      <c r="Q592" t="n">
        <v>0</v>
      </c>
      <c r="R592" s="2" t="inlineStr"/>
    </row>
    <row r="593" ht="15" customHeight="1">
      <c r="A593" t="inlineStr">
        <is>
          <t>A 12356-2023</t>
        </is>
      </c>
      <c r="B593" s="1" t="n">
        <v>44998</v>
      </c>
      <c r="C593" s="1" t="n">
        <v>45927</v>
      </c>
      <c r="D593" t="inlineStr">
        <is>
          <t>DALARNAS LÄN</t>
        </is>
      </c>
      <c r="E593" t="inlineStr">
        <is>
          <t>LEKSAND</t>
        </is>
      </c>
      <c r="G593" t="n">
        <v>1.6</v>
      </c>
      <c r="H593" t="n">
        <v>0</v>
      </c>
      <c r="I593" t="n">
        <v>0</v>
      </c>
      <c r="J593" t="n">
        <v>0</v>
      </c>
      <c r="K593" t="n">
        <v>0</v>
      </c>
      <c r="L593" t="n">
        <v>0</v>
      </c>
      <c r="M593" t="n">
        <v>0</v>
      </c>
      <c r="N593" t="n">
        <v>0</v>
      </c>
      <c r="O593" t="n">
        <v>0</v>
      </c>
      <c r="P593" t="n">
        <v>0</v>
      </c>
      <c r="Q593" t="n">
        <v>0</v>
      </c>
      <c r="R593" s="2" t="inlineStr"/>
    </row>
    <row r="594" ht="15" customHeight="1">
      <c r="A594" t="inlineStr">
        <is>
          <t>A 12363-2023</t>
        </is>
      </c>
      <c r="B594" s="1" t="n">
        <v>44998</v>
      </c>
      <c r="C594" s="1" t="n">
        <v>45927</v>
      </c>
      <c r="D594" t="inlineStr">
        <is>
          <t>DALARNAS LÄN</t>
        </is>
      </c>
      <c r="E594" t="inlineStr">
        <is>
          <t>LEKSAND</t>
        </is>
      </c>
      <c r="G594" t="n">
        <v>10</v>
      </c>
      <c r="H594" t="n">
        <v>0</v>
      </c>
      <c r="I594" t="n">
        <v>0</v>
      </c>
      <c r="J594" t="n">
        <v>0</v>
      </c>
      <c r="K594" t="n">
        <v>0</v>
      </c>
      <c r="L594" t="n">
        <v>0</v>
      </c>
      <c r="M594" t="n">
        <v>0</v>
      </c>
      <c r="N594" t="n">
        <v>0</v>
      </c>
      <c r="O594" t="n">
        <v>0</v>
      </c>
      <c r="P594" t="n">
        <v>0</v>
      </c>
      <c r="Q594" t="n">
        <v>0</v>
      </c>
      <c r="R594" s="2" t="inlineStr"/>
    </row>
    <row r="595" ht="15" customHeight="1">
      <c r="A595" t="inlineStr">
        <is>
          <t>A 35866-2025</t>
        </is>
      </c>
      <c r="B595" s="1" t="n">
        <v>45861</v>
      </c>
      <c r="C595" s="1" t="n">
        <v>45927</v>
      </c>
      <c r="D595" t="inlineStr">
        <is>
          <t>DALARNAS LÄN</t>
        </is>
      </c>
      <c r="E595" t="inlineStr">
        <is>
          <t>LEKSAND</t>
        </is>
      </c>
      <c r="F595" t="inlineStr">
        <is>
          <t>Bergvik skog väst AB</t>
        </is>
      </c>
      <c r="G595" t="n">
        <v>2.1</v>
      </c>
      <c r="H595" t="n">
        <v>0</v>
      </c>
      <c r="I595" t="n">
        <v>0</v>
      </c>
      <c r="J595" t="n">
        <v>0</v>
      </c>
      <c r="K595" t="n">
        <v>0</v>
      </c>
      <c r="L595" t="n">
        <v>0</v>
      </c>
      <c r="M595" t="n">
        <v>0</v>
      </c>
      <c r="N595" t="n">
        <v>0</v>
      </c>
      <c r="O595" t="n">
        <v>0</v>
      </c>
      <c r="P595" t="n">
        <v>0</v>
      </c>
      <c r="Q595" t="n">
        <v>0</v>
      </c>
      <c r="R595" s="2" t="inlineStr"/>
    </row>
    <row r="596" ht="15" customHeight="1">
      <c r="A596" t="inlineStr">
        <is>
          <t>A 35746-2025</t>
        </is>
      </c>
      <c r="B596" s="1" t="n">
        <v>45860</v>
      </c>
      <c r="C596" s="1" t="n">
        <v>45927</v>
      </c>
      <c r="D596" t="inlineStr">
        <is>
          <t>DALARNAS LÄN</t>
        </is>
      </c>
      <c r="E596" t="inlineStr">
        <is>
          <t>LEKSAND</t>
        </is>
      </c>
      <c r="G596" t="n">
        <v>1.9</v>
      </c>
      <c r="H596" t="n">
        <v>0</v>
      </c>
      <c r="I596" t="n">
        <v>0</v>
      </c>
      <c r="J596" t="n">
        <v>0</v>
      </c>
      <c r="K596" t="n">
        <v>0</v>
      </c>
      <c r="L596" t="n">
        <v>0</v>
      </c>
      <c r="M596" t="n">
        <v>0</v>
      </c>
      <c r="N596" t="n">
        <v>0</v>
      </c>
      <c r="O596" t="n">
        <v>0</v>
      </c>
      <c r="P596" t="n">
        <v>0</v>
      </c>
      <c r="Q596" t="n">
        <v>0</v>
      </c>
      <c r="R596" s="2" t="inlineStr"/>
    </row>
    <row r="597" ht="15" customHeight="1">
      <c r="A597" t="inlineStr">
        <is>
          <t>A 63513-2023</t>
        </is>
      </c>
      <c r="B597" s="1" t="n">
        <v>45274</v>
      </c>
      <c r="C597" s="1" t="n">
        <v>45927</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55015-2024</t>
        </is>
      </c>
      <c r="B598" s="1" t="n">
        <v>45621.35554398148</v>
      </c>
      <c r="C598" s="1" t="n">
        <v>45927</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41934-2025</t>
        </is>
      </c>
      <c r="B599" s="1" t="n">
        <v>45903.43556712963</v>
      </c>
      <c r="C599" s="1" t="n">
        <v>45927</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28674-2024</t>
        </is>
      </c>
      <c r="B600" s="1" t="n">
        <v>45478.47863425926</v>
      </c>
      <c r="C600" s="1" t="n">
        <v>45927</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16231-2021</t>
        </is>
      </c>
      <c r="B601" s="1" t="n">
        <v>44292</v>
      </c>
      <c r="C601" s="1" t="n">
        <v>45927</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56283-2024</t>
        </is>
      </c>
      <c r="B602" s="1" t="n">
        <v>45624.67864583333</v>
      </c>
      <c r="C602" s="1" t="n">
        <v>45927</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19590-2023</t>
        </is>
      </c>
      <c r="B603" s="1" t="n">
        <v>45049</v>
      </c>
      <c r="C603" s="1" t="n">
        <v>45927</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53122-2023</t>
        </is>
      </c>
      <c r="B604" s="1" t="n">
        <v>45228</v>
      </c>
      <c r="C604" s="1" t="n">
        <v>45927</v>
      </c>
      <c r="D604" t="inlineStr">
        <is>
          <t>DALARNAS LÄN</t>
        </is>
      </c>
      <c r="E604" t="inlineStr">
        <is>
          <t>LEKSAND</t>
        </is>
      </c>
      <c r="G604" t="n">
        <v>1.9</v>
      </c>
      <c r="H604" t="n">
        <v>0</v>
      </c>
      <c r="I604" t="n">
        <v>0</v>
      </c>
      <c r="J604" t="n">
        <v>0</v>
      </c>
      <c r="K604" t="n">
        <v>0</v>
      </c>
      <c r="L604" t="n">
        <v>0</v>
      </c>
      <c r="M604" t="n">
        <v>0</v>
      </c>
      <c r="N604" t="n">
        <v>0</v>
      </c>
      <c r="O604" t="n">
        <v>0</v>
      </c>
      <c r="P604" t="n">
        <v>0</v>
      </c>
      <c r="Q604" t="n">
        <v>0</v>
      </c>
      <c r="R604" s="2" t="inlineStr"/>
    </row>
    <row r="605" ht="15" customHeight="1">
      <c r="A605" t="inlineStr">
        <is>
          <t>A 30000-2023</t>
        </is>
      </c>
      <c r="B605" s="1" t="n">
        <v>45109.71128472222</v>
      </c>
      <c r="C605" s="1" t="n">
        <v>45927</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61933-2023</t>
        </is>
      </c>
      <c r="B606" s="1" t="n">
        <v>45266</v>
      </c>
      <c r="C606" s="1" t="n">
        <v>45927</v>
      </c>
      <c r="D606" t="inlineStr">
        <is>
          <t>DALARNAS LÄN</t>
        </is>
      </c>
      <c r="E606" t="inlineStr">
        <is>
          <t>LEKSAND</t>
        </is>
      </c>
      <c r="G606" t="n">
        <v>0.2</v>
      </c>
      <c r="H606" t="n">
        <v>0</v>
      </c>
      <c r="I606" t="n">
        <v>0</v>
      </c>
      <c r="J606" t="n">
        <v>0</v>
      </c>
      <c r="K606" t="n">
        <v>0</v>
      </c>
      <c r="L606" t="n">
        <v>0</v>
      </c>
      <c r="M606" t="n">
        <v>0</v>
      </c>
      <c r="N606" t="n">
        <v>0</v>
      </c>
      <c r="O606" t="n">
        <v>0</v>
      </c>
      <c r="P606" t="n">
        <v>0</v>
      </c>
      <c r="Q606" t="n">
        <v>0</v>
      </c>
      <c r="R606" s="2" t="inlineStr"/>
    </row>
    <row r="607" ht="15" customHeight="1">
      <c r="A607" t="inlineStr">
        <is>
          <t>A 41015-2024</t>
        </is>
      </c>
      <c r="B607" s="1" t="n">
        <v>45559.32537037037</v>
      </c>
      <c r="C607" s="1" t="n">
        <v>45927</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42402-2025</t>
        </is>
      </c>
      <c r="B608" s="1" t="n">
        <v>45905.3753125</v>
      </c>
      <c r="C608" s="1" t="n">
        <v>45927</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18107-2025</t>
        </is>
      </c>
      <c r="B609" s="1" t="n">
        <v>45761.55939814815</v>
      </c>
      <c r="C609" s="1" t="n">
        <v>45927</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49395-2024</t>
        </is>
      </c>
      <c r="B610" s="1" t="n">
        <v>45595</v>
      </c>
      <c r="C610" s="1" t="n">
        <v>45927</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36020-2025</t>
        </is>
      </c>
      <c r="B611" s="1" t="n">
        <v>45863</v>
      </c>
      <c r="C611" s="1" t="n">
        <v>45927</v>
      </c>
      <c r="D611" t="inlineStr">
        <is>
          <t>DALARNAS LÄN</t>
        </is>
      </c>
      <c r="E611" t="inlineStr">
        <is>
          <t>LEKSAND</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42284-2025</t>
        </is>
      </c>
      <c r="B612" s="1" t="n">
        <v>45903</v>
      </c>
      <c r="C612" s="1" t="n">
        <v>45927</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36017-2025</t>
        </is>
      </c>
      <c r="B613" s="1" t="n">
        <v>45863</v>
      </c>
      <c r="C613" s="1" t="n">
        <v>45927</v>
      </c>
      <c r="D613" t="inlineStr">
        <is>
          <t>DALARNAS LÄN</t>
        </is>
      </c>
      <c r="E613" t="inlineStr">
        <is>
          <t>LEKSAND</t>
        </is>
      </c>
      <c r="F613" t="inlineStr">
        <is>
          <t>Bergvik skog väst AB</t>
        </is>
      </c>
      <c r="G613" t="n">
        <v>17.9</v>
      </c>
      <c r="H613" t="n">
        <v>0</v>
      </c>
      <c r="I613" t="n">
        <v>0</v>
      </c>
      <c r="J613" t="n">
        <v>0</v>
      </c>
      <c r="K613" t="n">
        <v>0</v>
      </c>
      <c r="L613" t="n">
        <v>0</v>
      </c>
      <c r="M613" t="n">
        <v>0</v>
      </c>
      <c r="N613" t="n">
        <v>0</v>
      </c>
      <c r="O613" t="n">
        <v>0</v>
      </c>
      <c r="P613" t="n">
        <v>0</v>
      </c>
      <c r="Q613" t="n">
        <v>0</v>
      </c>
      <c r="R613" s="2" t="inlineStr"/>
    </row>
    <row r="614" ht="15" customHeight="1">
      <c r="A614" t="inlineStr">
        <is>
          <t>A 481-2024</t>
        </is>
      </c>
      <c r="B614" s="1" t="n">
        <v>45298</v>
      </c>
      <c r="C614" s="1" t="n">
        <v>45927</v>
      </c>
      <c r="D614" t="inlineStr">
        <is>
          <t>DALARNAS LÄN</t>
        </is>
      </c>
      <c r="E614" t="inlineStr">
        <is>
          <t>LEKSAND</t>
        </is>
      </c>
      <c r="G614" t="n">
        <v>7</v>
      </c>
      <c r="H614" t="n">
        <v>0</v>
      </c>
      <c r="I614" t="n">
        <v>0</v>
      </c>
      <c r="J614" t="n">
        <v>0</v>
      </c>
      <c r="K614" t="n">
        <v>0</v>
      </c>
      <c r="L614" t="n">
        <v>0</v>
      </c>
      <c r="M614" t="n">
        <v>0</v>
      </c>
      <c r="N614" t="n">
        <v>0</v>
      </c>
      <c r="O614" t="n">
        <v>0</v>
      </c>
      <c r="P614" t="n">
        <v>0</v>
      </c>
      <c r="Q614" t="n">
        <v>0</v>
      </c>
      <c r="R614" s="2" t="inlineStr"/>
    </row>
    <row r="615" ht="15" customHeight="1">
      <c r="A615" t="inlineStr">
        <is>
          <t>A 35998-2025</t>
        </is>
      </c>
      <c r="B615" s="1" t="n">
        <v>45863.51550925926</v>
      </c>
      <c r="C615" s="1" t="n">
        <v>45927</v>
      </c>
      <c r="D615" t="inlineStr">
        <is>
          <t>DALARNAS LÄN</t>
        </is>
      </c>
      <c r="E615" t="inlineStr">
        <is>
          <t>LEKSAND</t>
        </is>
      </c>
      <c r="G615" t="n">
        <v>2</v>
      </c>
      <c r="H615" t="n">
        <v>0</v>
      </c>
      <c r="I615" t="n">
        <v>0</v>
      </c>
      <c r="J615" t="n">
        <v>0</v>
      </c>
      <c r="K615" t="n">
        <v>0</v>
      </c>
      <c r="L615" t="n">
        <v>0</v>
      </c>
      <c r="M615" t="n">
        <v>0</v>
      </c>
      <c r="N615" t="n">
        <v>0</v>
      </c>
      <c r="O615" t="n">
        <v>0</v>
      </c>
      <c r="P615" t="n">
        <v>0</v>
      </c>
      <c r="Q615" t="n">
        <v>0</v>
      </c>
      <c r="R615" s="2" t="inlineStr"/>
    </row>
    <row r="616" ht="15" customHeight="1">
      <c r="A616" t="inlineStr">
        <is>
          <t>A 36021-2025</t>
        </is>
      </c>
      <c r="B616" s="1" t="n">
        <v>45863.72346064815</v>
      </c>
      <c r="C616" s="1" t="n">
        <v>45927</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6778-2025</t>
        </is>
      </c>
      <c r="B617" s="1" t="n">
        <v>45700.64615740741</v>
      </c>
      <c r="C617" s="1" t="n">
        <v>45927</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11092-2023</t>
        </is>
      </c>
      <c r="B618" s="1" t="n">
        <v>44992</v>
      </c>
      <c r="C618" s="1" t="n">
        <v>45927</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28578-2023</t>
        </is>
      </c>
      <c r="B619" s="1" t="n">
        <v>45103</v>
      </c>
      <c r="C619" s="1" t="n">
        <v>45927</v>
      </c>
      <c r="D619" t="inlineStr">
        <is>
          <t>DALARNAS LÄN</t>
        </is>
      </c>
      <c r="E619" t="inlineStr">
        <is>
          <t>LEKSAND</t>
        </is>
      </c>
      <c r="G619" t="n">
        <v>4.4</v>
      </c>
      <c r="H619" t="n">
        <v>0</v>
      </c>
      <c r="I619" t="n">
        <v>0</v>
      </c>
      <c r="J619" t="n">
        <v>0</v>
      </c>
      <c r="K619" t="n">
        <v>0</v>
      </c>
      <c r="L619" t="n">
        <v>0</v>
      </c>
      <c r="M619" t="n">
        <v>0</v>
      </c>
      <c r="N619" t="n">
        <v>0</v>
      </c>
      <c r="O619" t="n">
        <v>0</v>
      </c>
      <c r="P619" t="n">
        <v>0</v>
      </c>
      <c r="Q619" t="n">
        <v>0</v>
      </c>
      <c r="R619" s="2" t="inlineStr"/>
    </row>
    <row r="620" ht="15" customHeight="1">
      <c r="A620" t="inlineStr">
        <is>
          <t>A 19371-2024</t>
        </is>
      </c>
      <c r="B620" s="1" t="n">
        <v>45429.34969907408</v>
      </c>
      <c r="C620" s="1" t="n">
        <v>45927</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54911-2024</t>
        </is>
      </c>
      <c r="B621" s="1" t="n">
        <v>45618.68929398148</v>
      </c>
      <c r="C621" s="1" t="n">
        <v>45927</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40193-2024</t>
        </is>
      </c>
      <c r="B622" s="1" t="n">
        <v>45554.5734375</v>
      </c>
      <c r="C622" s="1" t="n">
        <v>45927</v>
      </c>
      <c r="D622" t="inlineStr">
        <is>
          <t>DALARNAS LÄN</t>
        </is>
      </c>
      <c r="E622" t="inlineStr">
        <is>
          <t>LEKSAND</t>
        </is>
      </c>
      <c r="F622" t="inlineStr">
        <is>
          <t>Övriga statliga verk och myndigheter</t>
        </is>
      </c>
      <c r="G622" t="n">
        <v>1</v>
      </c>
      <c r="H622" t="n">
        <v>0</v>
      </c>
      <c r="I622" t="n">
        <v>0</v>
      </c>
      <c r="J622" t="n">
        <v>0</v>
      </c>
      <c r="K622" t="n">
        <v>0</v>
      </c>
      <c r="L622" t="n">
        <v>0</v>
      </c>
      <c r="M622" t="n">
        <v>0</v>
      </c>
      <c r="N622" t="n">
        <v>0</v>
      </c>
      <c r="O622" t="n">
        <v>0</v>
      </c>
      <c r="P622" t="n">
        <v>0</v>
      </c>
      <c r="Q622" t="n">
        <v>0</v>
      </c>
      <c r="R622" s="2" t="inlineStr"/>
    </row>
    <row r="623" ht="15" customHeight="1">
      <c r="A623" t="inlineStr">
        <is>
          <t>A 36190-2025</t>
        </is>
      </c>
      <c r="B623" s="1" t="n">
        <v>45867</v>
      </c>
      <c r="C623" s="1" t="n">
        <v>45927</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39558-2023</t>
        </is>
      </c>
      <c r="B624" s="1" t="n">
        <v>45167.38664351852</v>
      </c>
      <c r="C624" s="1" t="n">
        <v>45927</v>
      </c>
      <c r="D624" t="inlineStr">
        <is>
          <t>DALARNAS LÄN</t>
        </is>
      </c>
      <c r="E624" t="inlineStr">
        <is>
          <t>LEKSAND</t>
        </is>
      </c>
      <c r="G624" t="n">
        <v>39.9</v>
      </c>
      <c r="H624" t="n">
        <v>0</v>
      </c>
      <c r="I624" t="n">
        <v>0</v>
      </c>
      <c r="J624" t="n">
        <v>0</v>
      </c>
      <c r="K624" t="n">
        <v>0</v>
      </c>
      <c r="L624" t="n">
        <v>0</v>
      </c>
      <c r="M624" t="n">
        <v>0</v>
      </c>
      <c r="N624" t="n">
        <v>0</v>
      </c>
      <c r="O624" t="n">
        <v>0</v>
      </c>
      <c r="P624" t="n">
        <v>0</v>
      </c>
      <c r="Q624" t="n">
        <v>0</v>
      </c>
      <c r="R624" s="2" t="inlineStr"/>
    </row>
    <row r="625" ht="15" customHeight="1">
      <c r="A625" t="inlineStr">
        <is>
          <t>A 50278-2023</t>
        </is>
      </c>
      <c r="B625" s="1" t="n">
        <v>45216.43444444444</v>
      </c>
      <c r="C625" s="1" t="n">
        <v>45927</v>
      </c>
      <c r="D625" t="inlineStr">
        <is>
          <t>DALARNAS LÄN</t>
        </is>
      </c>
      <c r="E625" t="inlineStr">
        <is>
          <t>LEKSAND</t>
        </is>
      </c>
      <c r="G625" t="n">
        <v>0.4</v>
      </c>
      <c r="H625" t="n">
        <v>0</v>
      </c>
      <c r="I625" t="n">
        <v>0</v>
      </c>
      <c r="J625" t="n">
        <v>0</v>
      </c>
      <c r="K625" t="n">
        <v>0</v>
      </c>
      <c r="L625" t="n">
        <v>0</v>
      </c>
      <c r="M625" t="n">
        <v>0</v>
      </c>
      <c r="N625" t="n">
        <v>0</v>
      </c>
      <c r="O625" t="n">
        <v>0</v>
      </c>
      <c r="P625" t="n">
        <v>0</v>
      </c>
      <c r="Q625" t="n">
        <v>0</v>
      </c>
      <c r="R625" s="2" t="inlineStr"/>
    </row>
    <row r="626" ht="15" customHeight="1">
      <c r="A626" t="inlineStr">
        <is>
          <t>A 9138-2023</t>
        </is>
      </c>
      <c r="B626" s="1" t="n">
        <v>44974</v>
      </c>
      <c r="C626" s="1" t="n">
        <v>45927</v>
      </c>
      <c r="D626" t="inlineStr">
        <is>
          <t>DALARNAS LÄN</t>
        </is>
      </c>
      <c r="E626" t="inlineStr">
        <is>
          <t>LEKSAND</t>
        </is>
      </c>
      <c r="G626" t="n">
        <v>4.6</v>
      </c>
      <c r="H626" t="n">
        <v>0</v>
      </c>
      <c r="I626" t="n">
        <v>0</v>
      </c>
      <c r="J626" t="n">
        <v>0</v>
      </c>
      <c r="K626" t="n">
        <v>0</v>
      </c>
      <c r="L626" t="n">
        <v>0</v>
      </c>
      <c r="M626" t="n">
        <v>0</v>
      </c>
      <c r="N626" t="n">
        <v>0</v>
      </c>
      <c r="O626" t="n">
        <v>0</v>
      </c>
      <c r="P626" t="n">
        <v>0</v>
      </c>
      <c r="Q626" t="n">
        <v>0</v>
      </c>
      <c r="R626" s="2" t="inlineStr"/>
    </row>
    <row r="627" ht="15" customHeight="1">
      <c r="A627" t="inlineStr">
        <is>
          <t>A 9141-2023</t>
        </is>
      </c>
      <c r="B627" s="1" t="n">
        <v>44974</v>
      </c>
      <c r="C627" s="1" t="n">
        <v>45927</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2630-2025</t>
        </is>
      </c>
      <c r="B628" s="1" t="n">
        <v>45675.85865740741</v>
      </c>
      <c r="C628" s="1" t="n">
        <v>45927</v>
      </c>
      <c r="D628" t="inlineStr">
        <is>
          <t>DALARNAS LÄN</t>
        </is>
      </c>
      <c r="E628" t="inlineStr">
        <is>
          <t>LEKSAND</t>
        </is>
      </c>
      <c r="G628" t="n">
        <v>1.6</v>
      </c>
      <c r="H628" t="n">
        <v>0</v>
      </c>
      <c r="I628" t="n">
        <v>0</v>
      </c>
      <c r="J628" t="n">
        <v>0</v>
      </c>
      <c r="K628" t="n">
        <v>0</v>
      </c>
      <c r="L628" t="n">
        <v>0</v>
      </c>
      <c r="M628" t="n">
        <v>0</v>
      </c>
      <c r="N628" t="n">
        <v>0</v>
      </c>
      <c r="O628" t="n">
        <v>0</v>
      </c>
      <c r="P628" t="n">
        <v>0</v>
      </c>
      <c r="Q628" t="n">
        <v>0</v>
      </c>
      <c r="R628" s="2" t="inlineStr"/>
    </row>
    <row r="629" ht="15" customHeight="1">
      <c r="A629" t="inlineStr">
        <is>
          <t>A 15986-2025</t>
        </is>
      </c>
      <c r="B629" s="1" t="n">
        <v>45749.57331018519</v>
      </c>
      <c r="C629" s="1" t="n">
        <v>45927</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13401-2023</t>
        </is>
      </c>
      <c r="B630" s="1" t="n">
        <v>45005</v>
      </c>
      <c r="C630" s="1" t="n">
        <v>45927</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43629-2025</t>
        </is>
      </c>
      <c r="B631" s="1" t="n">
        <v>45911.70180555555</v>
      </c>
      <c r="C631" s="1" t="n">
        <v>45927</v>
      </c>
      <c r="D631" t="inlineStr">
        <is>
          <t>DALARNAS LÄN</t>
        </is>
      </c>
      <c r="E631" t="inlineStr">
        <is>
          <t>LEKSAND</t>
        </is>
      </c>
      <c r="G631" t="n">
        <v>2.1</v>
      </c>
      <c r="H631" t="n">
        <v>0</v>
      </c>
      <c r="I631" t="n">
        <v>0</v>
      </c>
      <c r="J631" t="n">
        <v>0</v>
      </c>
      <c r="K631" t="n">
        <v>0</v>
      </c>
      <c r="L631" t="n">
        <v>0</v>
      </c>
      <c r="M631" t="n">
        <v>0</v>
      </c>
      <c r="N631" t="n">
        <v>0</v>
      </c>
      <c r="O631" t="n">
        <v>0</v>
      </c>
      <c r="P631" t="n">
        <v>0</v>
      </c>
      <c r="Q631" t="n">
        <v>0</v>
      </c>
      <c r="R631" s="2" t="inlineStr"/>
    </row>
    <row r="632" ht="15" customHeight="1">
      <c r="A632" t="inlineStr">
        <is>
          <t>A 11678-2025</t>
        </is>
      </c>
      <c r="B632" s="1" t="n">
        <v>45726</v>
      </c>
      <c r="C632" s="1" t="n">
        <v>45927</v>
      </c>
      <c r="D632" t="inlineStr">
        <is>
          <t>DALARNAS LÄN</t>
        </is>
      </c>
      <c r="E632" t="inlineStr">
        <is>
          <t>LEKSAND</t>
        </is>
      </c>
      <c r="G632" t="n">
        <v>9.4</v>
      </c>
      <c r="H632" t="n">
        <v>0</v>
      </c>
      <c r="I632" t="n">
        <v>0</v>
      </c>
      <c r="J632" t="n">
        <v>0</v>
      </c>
      <c r="K632" t="n">
        <v>0</v>
      </c>
      <c r="L632" t="n">
        <v>0</v>
      </c>
      <c r="M632" t="n">
        <v>0</v>
      </c>
      <c r="N632" t="n">
        <v>0</v>
      </c>
      <c r="O632" t="n">
        <v>0</v>
      </c>
      <c r="P632" t="n">
        <v>0</v>
      </c>
      <c r="Q632" t="n">
        <v>0</v>
      </c>
      <c r="R632" s="2" t="inlineStr"/>
    </row>
    <row r="633" ht="15" customHeight="1">
      <c r="A633" t="inlineStr">
        <is>
          <t>A 43607-2025</t>
        </is>
      </c>
      <c r="B633" s="1" t="n">
        <v>45911.66873842593</v>
      </c>
      <c r="C633" s="1" t="n">
        <v>45927</v>
      </c>
      <c r="D633" t="inlineStr">
        <is>
          <t>DALARNAS LÄN</t>
        </is>
      </c>
      <c r="E633" t="inlineStr">
        <is>
          <t>LEKSAND</t>
        </is>
      </c>
      <c r="G633" t="n">
        <v>7.3</v>
      </c>
      <c r="H633" t="n">
        <v>0</v>
      </c>
      <c r="I633" t="n">
        <v>0</v>
      </c>
      <c r="J633" t="n">
        <v>0</v>
      </c>
      <c r="K633" t="n">
        <v>0</v>
      </c>
      <c r="L633" t="n">
        <v>0</v>
      </c>
      <c r="M633" t="n">
        <v>0</v>
      </c>
      <c r="N633" t="n">
        <v>0</v>
      </c>
      <c r="O633" t="n">
        <v>0</v>
      </c>
      <c r="P633" t="n">
        <v>0</v>
      </c>
      <c r="Q633" t="n">
        <v>0</v>
      </c>
      <c r="R633" s="2" t="inlineStr"/>
    </row>
    <row r="634" ht="15" customHeight="1">
      <c r="A634" t="inlineStr">
        <is>
          <t>A 43158-2025</t>
        </is>
      </c>
      <c r="B634" s="1" t="n">
        <v>45910.35496527778</v>
      </c>
      <c r="C634" s="1" t="n">
        <v>45927</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43628-2025</t>
        </is>
      </c>
      <c r="B635" s="1" t="n">
        <v>45911.70060185185</v>
      </c>
      <c r="C635" s="1" t="n">
        <v>45927</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43630-2025</t>
        </is>
      </c>
      <c r="B636" s="1" t="n">
        <v>45911.70278935185</v>
      </c>
      <c r="C636" s="1" t="n">
        <v>45927</v>
      </c>
      <c r="D636" t="inlineStr">
        <is>
          <t>DALARNAS LÄN</t>
        </is>
      </c>
      <c r="E636" t="inlineStr">
        <is>
          <t>LEKSAND</t>
        </is>
      </c>
      <c r="G636" t="n">
        <v>4.7</v>
      </c>
      <c r="H636" t="n">
        <v>0</v>
      </c>
      <c r="I636" t="n">
        <v>0</v>
      </c>
      <c r="J636" t="n">
        <v>0</v>
      </c>
      <c r="K636" t="n">
        <v>0</v>
      </c>
      <c r="L636" t="n">
        <v>0</v>
      </c>
      <c r="M636" t="n">
        <v>0</v>
      </c>
      <c r="N636" t="n">
        <v>0</v>
      </c>
      <c r="O636" t="n">
        <v>0</v>
      </c>
      <c r="P636" t="n">
        <v>0</v>
      </c>
      <c r="Q636" t="n">
        <v>0</v>
      </c>
      <c r="R636" s="2" t="inlineStr"/>
    </row>
    <row r="637" ht="15" customHeight="1">
      <c r="A637" t="inlineStr">
        <is>
          <t>A 36540-2025</t>
        </is>
      </c>
      <c r="B637" s="1" t="n">
        <v>45869.63885416667</v>
      </c>
      <c r="C637" s="1" t="n">
        <v>45927</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62161-2024</t>
        </is>
      </c>
      <c r="B638" s="1" t="n">
        <v>45656.86009259259</v>
      </c>
      <c r="C638" s="1" t="n">
        <v>45927</v>
      </c>
      <c r="D638" t="inlineStr">
        <is>
          <t>DALARNAS LÄN</t>
        </is>
      </c>
      <c r="E638" t="inlineStr">
        <is>
          <t>LEKSAND</t>
        </is>
      </c>
      <c r="G638" t="n">
        <v>2</v>
      </c>
      <c r="H638" t="n">
        <v>0</v>
      </c>
      <c r="I638" t="n">
        <v>0</v>
      </c>
      <c r="J638" t="n">
        <v>0</v>
      </c>
      <c r="K638" t="n">
        <v>0</v>
      </c>
      <c r="L638" t="n">
        <v>0</v>
      </c>
      <c r="M638" t="n">
        <v>0</v>
      </c>
      <c r="N638" t="n">
        <v>0</v>
      </c>
      <c r="O638" t="n">
        <v>0</v>
      </c>
      <c r="P638" t="n">
        <v>0</v>
      </c>
      <c r="Q638" t="n">
        <v>0</v>
      </c>
      <c r="R638" s="2" t="inlineStr"/>
    </row>
    <row r="639" ht="15" customHeight="1">
      <c r="A639" t="inlineStr">
        <is>
          <t>A 23323-2023</t>
        </is>
      </c>
      <c r="B639" s="1" t="n">
        <v>45076</v>
      </c>
      <c r="C639" s="1" t="n">
        <v>45927</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43195-2025</t>
        </is>
      </c>
      <c r="B640" s="1" t="n">
        <v>45910.4294212963</v>
      </c>
      <c r="C640" s="1" t="n">
        <v>45927</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17485-2025</t>
        </is>
      </c>
      <c r="B641" s="1" t="n">
        <v>45757.49976851852</v>
      </c>
      <c r="C641" s="1" t="n">
        <v>45927</v>
      </c>
      <c r="D641" t="inlineStr">
        <is>
          <t>DALARNAS LÄN</t>
        </is>
      </c>
      <c r="E641" t="inlineStr">
        <is>
          <t>LEKSAND</t>
        </is>
      </c>
      <c r="G641" t="n">
        <v>3.7</v>
      </c>
      <c r="H641" t="n">
        <v>0</v>
      </c>
      <c r="I641" t="n">
        <v>0</v>
      </c>
      <c r="J641" t="n">
        <v>0</v>
      </c>
      <c r="K641" t="n">
        <v>0</v>
      </c>
      <c r="L641" t="n">
        <v>0</v>
      </c>
      <c r="M641" t="n">
        <v>0</v>
      </c>
      <c r="N641" t="n">
        <v>0</v>
      </c>
      <c r="O641" t="n">
        <v>0</v>
      </c>
      <c r="P641" t="n">
        <v>0</v>
      </c>
      <c r="Q641" t="n">
        <v>0</v>
      </c>
      <c r="R641" s="2" t="inlineStr"/>
    </row>
    <row r="642" ht="15" customHeight="1">
      <c r="A642" t="inlineStr">
        <is>
          <t>A 18176-2024</t>
        </is>
      </c>
      <c r="B642" s="1" t="n">
        <v>45420.63901620371</v>
      </c>
      <c r="C642" s="1" t="n">
        <v>45927</v>
      </c>
      <c r="D642" t="inlineStr">
        <is>
          <t>DALARNAS LÄN</t>
        </is>
      </c>
      <c r="E642" t="inlineStr">
        <is>
          <t>LEKSAND</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33072-2021</t>
        </is>
      </c>
      <c r="B643" s="1" t="n">
        <v>44375</v>
      </c>
      <c r="C643" s="1" t="n">
        <v>45927</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412-2024</t>
        </is>
      </c>
      <c r="B644" s="1" t="n">
        <v>45296</v>
      </c>
      <c r="C644" s="1" t="n">
        <v>45927</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56330-2022</t>
        </is>
      </c>
      <c r="B645" s="1" t="n">
        <v>44890.62630787037</v>
      </c>
      <c r="C645" s="1" t="n">
        <v>45927</v>
      </c>
      <c r="D645" t="inlineStr">
        <is>
          <t>DALARNAS LÄN</t>
        </is>
      </c>
      <c r="E645" t="inlineStr">
        <is>
          <t>LEKSAND</t>
        </is>
      </c>
      <c r="G645" t="n">
        <v>4.9</v>
      </c>
      <c r="H645" t="n">
        <v>0</v>
      </c>
      <c r="I645" t="n">
        <v>0</v>
      </c>
      <c r="J645" t="n">
        <v>0</v>
      </c>
      <c r="K645" t="n">
        <v>0</v>
      </c>
      <c r="L645" t="n">
        <v>0</v>
      </c>
      <c r="M645" t="n">
        <v>0</v>
      </c>
      <c r="N645" t="n">
        <v>0</v>
      </c>
      <c r="O645" t="n">
        <v>0</v>
      </c>
      <c r="P645" t="n">
        <v>0</v>
      </c>
      <c r="Q645" t="n">
        <v>0</v>
      </c>
      <c r="R645" s="2" t="inlineStr"/>
    </row>
    <row r="646" ht="15" customHeight="1">
      <c r="A646" t="inlineStr">
        <is>
          <t>A 1983-2025</t>
        </is>
      </c>
      <c r="B646" s="1" t="n">
        <v>45670</v>
      </c>
      <c r="C646" s="1" t="n">
        <v>45927</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59840-2024</t>
        </is>
      </c>
      <c r="B647" s="1" t="n">
        <v>45638</v>
      </c>
      <c r="C647" s="1" t="n">
        <v>45927</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33566-2023</t>
        </is>
      </c>
      <c r="B648" s="1" t="n">
        <v>45131.64390046296</v>
      </c>
      <c r="C648" s="1" t="n">
        <v>45927</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41308-2025</t>
        </is>
      </c>
      <c r="B649" s="1" t="n">
        <v>45898</v>
      </c>
      <c r="C649" s="1" t="n">
        <v>45927</v>
      </c>
      <c r="D649" t="inlineStr">
        <is>
          <t>DALARNAS LÄN</t>
        </is>
      </c>
      <c r="E649" t="inlineStr">
        <is>
          <t>LEKSAND</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30611-2023</t>
        </is>
      </c>
      <c r="B650" s="1" t="n">
        <v>45112</v>
      </c>
      <c r="C650" s="1" t="n">
        <v>45927</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59673-2023</t>
        </is>
      </c>
      <c r="B651" s="1" t="n">
        <v>45255.44603009259</v>
      </c>
      <c r="C651" s="1" t="n">
        <v>45927</v>
      </c>
      <c r="D651" t="inlineStr">
        <is>
          <t>DALARNAS LÄN</t>
        </is>
      </c>
      <c r="E651" t="inlineStr">
        <is>
          <t>LEKSAND</t>
        </is>
      </c>
      <c r="G651" t="n">
        <v>12.2</v>
      </c>
      <c r="H651" t="n">
        <v>0</v>
      </c>
      <c r="I651" t="n">
        <v>0</v>
      </c>
      <c r="J651" t="n">
        <v>0</v>
      </c>
      <c r="K651" t="n">
        <v>0</v>
      </c>
      <c r="L651" t="n">
        <v>0</v>
      </c>
      <c r="M651" t="n">
        <v>0</v>
      </c>
      <c r="N651" t="n">
        <v>0</v>
      </c>
      <c r="O651" t="n">
        <v>0</v>
      </c>
      <c r="P651" t="n">
        <v>0</v>
      </c>
      <c r="Q651" t="n">
        <v>0</v>
      </c>
      <c r="R651" s="2" t="inlineStr"/>
    </row>
    <row r="652" ht="15" customHeight="1">
      <c r="A652" t="inlineStr">
        <is>
          <t>A 17726-2024</t>
        </is>
      </c>
      <c r="B652" s="1" t="n">
        <v>45418.55609953704</v>
      </c>
      <c r="C652" s="1" t="n">
        <v>45927</v>
      </c>
      <c r="D652" t="inlineStr">
        <is>
          <t>DALARNAS LÄN</t>
        </is>
      </c>
      <c r="E652" t="inlineStr">
        <is>
          <t>LEKSAND</t>
        </is>
      </c>
      <c r="G652" t="n">
        <v>5.2</v>
      </c>
      <c r="H652" t="n">
        <v>0</v>
      </c>
      <c r="I652" t="n">
        <v>0</v>
      </c>
      <c r="J652" t="n">
        <v>0</v>
      </c>
      <c r="K652" t="n">
        <v>0</v>
      </c>
      <c r="L652" t="n">
        <v>0</v>
      </c>
      <c r="M652" t="n">
        <v>0</v>
      </c>
      <c r="N652" t="n">
        <v>0</v>
      </c>
      <c r="O652" t="n">
        <v>0</v>
      </c>
      <c r="P652" t="n">
        <v>0</v>
      </c>
      <c r="Q652" t="n">
        <v>0</v>
      </c>
      <c r="R652" s="2" t="inlineStr"/>
    </row>
    <row r="653" ht="15" customHeight="1">
      <c r="A653" t="inlineStr">
        <is>
          <t>A 32-2024</t>
        </is>
      </c>
      <c r="B653" s="1" t="n">
        <v>45293</v>
      </c>
      <c r="C653" s="1" t="n">
        <v>45927</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43875-2025</t>
        </is>
      </c>
      <c r="B654" s="1" t="n">
        <v>45912.67685185185</v>
      </c>
      <c r="C654" s="1" t="n">
        <v>45927</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1719-2024</t>
        </is>
      </c>
      <c r="B655" s="1" t="n">
        <v>45307</v>
      </c>
      <c r="C655" s="1" t="n">
        <v>45927</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33463-2023</t>
        </is>
      </c>
      <c r="B656" s="1" t="n">
        <v>45131</v>
      </c>
      <c r="C656" s="1" t="n">
        <v>45927</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55516-2024</t>
        </is>
      </c>
      <c r="B657" s="1" t="n">
        <v>45621</v>
      </c>
      <c r="C657" s="1" t="n">
        <v>45927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12992-2022</t>
        </is>
      </c>
      <c r="B658" s="1" t="n">
        <v>44643</v>
      </c>
      <c r="C658" s="1" t="n">
        <v>45927</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12621-2025</t>
        </is>
      </c>
      <c r="B659" s="1" t="n">
        <v>45733.3575</v>
      </c>
      <c r="C659" s="1" t="n">
        <v>45927</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44237-2025</t>
        </is>
      </c>
      <c r="B660" s="1" t="n">
        <v>45915.6677199074</v>
      </c>
      <c r="C660" s="1" t="n">
        <v>45927</v>
      </c>
      <c r="D660" t="inlineStr">
        <is>
          <t>DALARNAS LÄN</t>
        </is>
      </c>
      <c r="E660" t="inlineStr">
        <is>
          <t>LEKSAND</t>
        </is>
      </c>
      <c r="G660" t="n">
        <v>1.2</v>
      </c>
      <c r="H660" t="n">
        <v>0</v>
      </c>
      <c r="I660" t="n">
        <v>0</v>
      </c>
      <c r="J660" t="n">
        <v>0</v>
      </c>
      <c r="K660" t="n">
        <v>0</v>
      </c>
      <c r="L660" t="n">
        <v>0</v>
      </c>
      <c r="M660" t="n">
        <v>0</v>
      </c>
      <c r="N660" t="n">
        <v>0</v>
      </c>
      <c r="O660" t="n">
        <v>0</v>
      </c>
      <c r="P660" t="n">
        <v>0</v>
      </c>
      <c r="Q660" t="n">
        <v>0</v>
      </c>
      <c r="R660" s="2" t="inlineStr"/>
    </row>
    <row r="661" ht="15" customHeight="1">
      <c r="A661" t="inlineStr">
        <is>
          <t>A 43781-2025</t>
        </is>
      </c>
      <c r="B661" s="1" t="n">
        <v>45912.52229166667</v>
      </c>
      <c r="C661" s="1" t="n">
        <v>45927</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51677-2024</t>
        </is>
      </c>
      <c r="B662" s="1" t="n">
        <v>45607.30265046296</v>
      </c>
      <c r="C662" s="1" t="n">
        <v>45927</v>
      </c>
      <c r="D662" t="inlineStr">
        <is>
          <t>DALARNAS LÄN</t>
        </is>
      </c>
      <c r="E662" t="inlineStr">
        <is>
          <t>LEKSAND</t>
        </is>
      </c>
      <c r="G662" t="n">
        <v>3.4</v>
      </c>
      <c r="H662" t="n">
        <v>0</v>
      </c>
      <c r="I662" t="n">
        <v>0</v>
      </c>
      <c r="J662" t="n">
        <v>0</v>
      </c>
      <c r="K662" t="n">
        <v>0</v>
      </c>
      <c r="L662" t="n">
        <v>0</v>
      </c>
      <c r="M662" t="n">
        <v>0</v>
      </c>
      <c r="N662" t="n">
        <v>0</v>
      </c>
      <c r="O662" t="n">
        <v>0</v>
      </c>
      <c r="P662" t="n">
        <v>0</v>
      </c>
      <c r="Q662" t="n">
        <v>0</v>
      </c>
      <c r="R662" s="2" t="inlineStr"/>
    </row>
    <row r="663" ht="15" customHeight="1">
      <c r="A663" t="inlineStr">
        <is>
          <t>A 10299-2024</t>
        </is>
      </c>
      <c r="B663" s="1" t="n">
        <v>45365.50425925926</v>
      </c>
      <c r="C663" s="1" t="n">
        <v>45927</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8211-2023</t>
        </is>
      </c>
      <c r="B664" s="1" t="n">
        <v>44974</v>
      </c>
      <c r="C664" s="1" t="n">
        <v>45927</v>
      </c>
      <c r="D664" t="inlineStr">
        <is>
          <t>DALARNAS LÄN</t>
        </is>
      </c>
      <c r="E664" t="inlineStr">
        <is>
          <t>LEKSAND</t>
        </is>
      </c>
      <c r="G664" t="n">
        <v>5.2</v>
      </c>
      <c r="H664" t="n">
        <v>0</v>
      </c>
      <c r="I664" t="n">
        <v>0</v>
      </c>
      <c r="J664" t="n">
        <v>0</v>
      </c>
      <c r="K664" t="n">
        <v>0</v>
      </c>
      <c r="L664" t="n">
        <v>0</v>
      </c>
      <c r="M664" t="n">
        <v>0</v>
      </c>
      <c r="N664" t="n">
        <v>0</v>
      </c>
      <c r="O664" t="n">
        <v>0</v>
      </c>
      <c r="P664" t="n">
        <v>0</v>
      </c>
      <c r="Q664" t="n">
        <v>0</v>
      </c>
      <c r="R664" s="2" t="inlineStr"/>
    </row>
    <row r="665" ht="15" customHeight="1">
      <c r="A665" t="inlineStr">
        <is>
          <t>A 16135-2023</t>
        </is>
      </c>
      <c r="B665" s="1" t="n">
        <v>45027.63717592593</v>
      </c>
      <c r="C665" s="1" t="n">
        <v>45927</v>
      </c>
      <c r="D665" t="inlineStr">
        <is>
          <t>DALARNAS LÄN</t>
        </is>
      </c>
      <c r="E665" t="inlineStr">
        <is>
          <t>LEKSAND</t>
        </is>
      </c>
      <c r="G665" t="n">
        <v>4.9</v>
      </c>
      <c r="H665" t="n">
        <v>0</v>
      </c>
      <c r="I665" t="n">
        <v>0</v>
      </c>
      <c r="J665" t="n">
        <v>0</v>
      </c>
      <c r="K665" t="n">
        <v>0</v>
      </c>
      <c r="L665" t="n">
        <v>0</v>
      </c>
      <c r="M665" t="n">
        <v>0</v>
      </c>
      <c r="N665" t="n">
        <v>0</v>
      </c>
      <c r="O665" t="n">
        <v>0</v>
      </c>
      <c r="P665" t="n">
        <v>0</v>
      </c>
      <c r="Q665" t="n">
        <v>0</v>
      </c>
      <c r="R665" s="2" t="inlineStr"/>
    </row>
    <row r="666" ht="15" customHeight="1">
      <c r="A666" t="inlineStr">
        <is>
          <t>A 59859-2023</t>
        </is>
      </c>
      <c r="B666" s="1" t="n">
        <v>45257</v>
      </c>
      <c r="C666" s="1" t="n">
        <v>45927</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7897-2025</t>
        </is>
      </c>
      <c r="B667" s="1" t="n">
        <v>45707.30969907407</v>
      </c>
      <c r="C667" s="1" t="n">
        <v>45927</v>
      </c>
      <c r="D667" t="inlineStr">
        <is>
          <t>DALARNAS LÄN</t>
        </is>
      </c>
      <c r="E667" t="inlineStr">
        <is>
          <t>LEKSAND</t>
        </is>
      </c>
      <c r="G667" t="n">
        <v>3.1</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45927</v>
      </c>
      <c r="D668" t="inlineStr">
        <is>
          <t>DALARNAS LÄN</t>
        </is>
      </c>
      <c r="E668" t="inlineStr">
        <is>
          <t>LEKSAND</t>
        </is>
      </c>
      <c r="G668" t="n">
        <v>0.3</v>
      </c>
      <c r="H668" t="n">
        <v>0</v>
      </c>
      <c r="I668" t="n">
        <v>0</v>
      </c>
      <c r="J668" t="n">
        <v>0</v>
      </c>
      <c r="K668" t="n">
        <v>0</v>
      </c>
      <c r="L668" t="n">
        <v>0</v>
      </c>
      <c r="M668" t="n">
        <v>0</v>
      </c>
      <c r="N668" t="n">
        <v>0</v>
      </c>
      <c r="O668" t="n">
        <v>0</v>
      </c>
      <c r="P668" t="n">
        <v>0</v>
      </c>
      <c r="Q668" t="n">
        <v>0</v>
      </c>
      <c r="R668" s="2" t="inlineStr"/>
    </row>
    <row r="669" ht="15" customHeight="1">
      <c r="A669" t="inlineStr">
        <is>
          <t>A 53193-2024</t>
        </is>
      </c>
      <c r="B669" s="1" t="n">
        <v>45610</v>
      </c>
      <c r="C669" s="1" t="n">
        <v>45927</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164-2023</t>
        </is>
      </c>
      <c r="B670" s="1" t="n">
        <v>44918</v>
      </c>
      <c r="C670" s="1" t="n">
        <v>45927</v>
      </c>
      <c r="D670" t="inlineStr">
        <is>
          <t>DALARNAS LÄN</t>
        </is>
      </c>
      <c r="E670" t="inlineStr">
        <is>
          <t>LEKSAND</t>
        </is>
      </c>
      <c r="G670" t="n">
        <v>0.7</v>
      </c>
      <c r="H670" t="n">
        <v>0</v>
      </c>
      <c r="I670" t="n">
        <v>0</v>
      </c>
      <c r="J670" t="n">
        <v>0</v>
      </c>
      <c r="K670" t="n">
        <v>0</v>
      </c>
      <c r="L670" t="n">
        <v>0</v>
      </c>
      <c r="M670" t="n">
        <v>0</v>
      </c>
      <c r="N670" t="n">
        <v>0</v>
      </c>
      <c r="O670" t="n">
        <v>0</v>
      </c>
      <c r="P670" t="n">
        <v>0</v>
      </c>
      <c r="Q670" t="n">
        <v>0</v>
      </c>
      <c r="R670" s="2" t="inlineStr"/>
    </row>
    <row r="671" ht="15" customHeight="1">
      <c r="A671" t="inlineStr">
        <is>
          <t>A 44672-2025</t>
        </is>
      </c>
      <c r="B671" s="1" t="n">
        <v>45917.56780092593</v>
      </c>
      <c r="C671" s="1" t="n">
        <v>45927</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50447-2023</t>
        </is>
      </c>
      <c r="B672" s="1" t="n">
        <v>45216.72185185185</v>
      </c>
      <c r="C672" s="1" t="n">
        <v>45927</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14615-2024</t>
        </is>
      </c>
      <c r="B673" s="1" t="n">
        <v>45397.26047453703</v>
      </c>
      <c r="C673" s="1" t="n">
        <v>45927</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23663-2024</t>
        </is>
      </c>
      <c r="B674" s="1" t="n">
        <v>45454.57049768518</v>
      </c>
      <c r="C674" s="1" t="n">
        <v>45927</v>
      </c>
      <c r="D674" t="inlineStr">
        <is>
          <t>DALARNAS LÄN</t>
        </is>
      </c>
      <c r="E674" t="inlineStr">
        <is>
          <t>LEKSAND</t>
        </is>
      </c>
      <c r="G674" t="n">
        <v>2.5</v>
      </c>
      <c r="H674" t="n">
        <v>0</v>
      </c>
      <c r="I674" t="n">
        <v>0</v>
      </c>
      <c r="J674" t="n">
        <v>0</v>
      </c>
      <c r="K674" t="n">
        <v>0</v>
      </c>
      <c r="L674" t="n">
        <v>0</v>
      </c>
      <c r="M674" t="n">
        <v>0</v>
      </c>
      <c r="N674" t="n">
        <v>0</v>
      </c>
      <c r="O674" t="n">
        <v>0</v>
      </c>
      <c r="P674" t="n">
        <v>0</v>
      </c>
      <c r="Q674" t="n">
        <v>0</v>
      </c>
      <c r="R674" s="2" t="inlineStr"/>
    </row>
    <row r="675" ht="15" customHeight="1">
      <c r="A675" t="inlineStr">
        <is>
          <t>A 44516-2025</t>
        </is>
      </c>
      <c r="B675" s="1" t="n">
        <v>45916.70982638889</v>
      </c>
      <c r="C675" s="1" t="n">
        <v>45927</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44519-2025</t>
        </is>
      </c>
      <c r="B676" s="1" t="n">
        <v>45916.71483796297</v>
      </c>
      <c r="C676" s="1" t="n">
        <v>45927</v>
      </c>
      <c r="D676" t="inlineStr">
        <is>
          <t>DALARNAS LÄN</t>
        </is>
      </c>
      <c r="E676" t="inlineStr">
        <is>
          <t>LEKSAND</t>
        </is>
      </c>
      <c r="G676" t="n">
        <v>3.6</v>
      </c>
      <c r="H676" t="n">
        <v>0</v>
      </c>
      <c r="I676" t="n">
        <v>0</v>
      </c>
      <c r="J676" t="n">
        <v>0</v>
      </c>
      <c r="K676" t="n">
        <v>0</v>
      </c>
      <c r="L676" t="n">
        <v>0</v>
      </c>
      <c r="M676" t="n">
        <v>0</v>
      </c>
      <c r="N676" t="n">
        <v>0</v>
      </c>
      <c r="O676" t="n">
        <v>0</v>
      </c>
      <c r="P676" t="n">
        <v>0</v>
      </c>
      <c r="Q676" t="n">
        <v>0</v>
      </c>
      <c r="R676" s="2" t="inlineStr"/>
    </row>
    <row r="677" ht="15" customHeight="1">
      <c r="A677" t="inlineStr">
        <is>
          <t>A 46876-2023</t>
        </is>
      </c>
      <c r="B677" s="1" t="n">
        <v>45200</v>
      </c>
      <c r="C677" s="1" t="n">
        <v>45927</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37508-2025</t>
        </is>
      </c>
      <c r="B678" s="1" t="n">
        <v>45877.66282407408</v>
      </c>
      <c r="C678" s="1" t="n">
        <v>45927</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19622-2024</t>
        </is>
      </c>
      <c r="B679" s="1" t="n">
        <v>45432.33592592592</v>
      </c>
      <c r="C679" s="1" t="n">
        <v>45927</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55512-2024</t>
        </is>
      </c>
      <c r="B680" s="1" t="n">
        <v>45621</v>
      </c>
      <c r="C680" s="1" t="n">
        <v>45927</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40230-2023</t>
        </is>
      </c>
      <c r="B681" s="1" t="n">
        <v>45169.46887731482</v>
      </c>
      <c r="C681" s="1" t="n">
        <v>45927</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43470-2024</t>
        </is>
      </c>
      <c r="B682" s="1" t="n">
        <v>45568</v>
      </c>
      <c r="C682" s="1" t="n">
        <v>45927</v>
      </c>
      <c r="D682" t="inlineStr">
        <is>
          <t>DALARNAS LÄN</t>
        </is>
      </c>
      <c r="E682" t="inlineStr">
        <is>
          <t>LEKSAND</t>
        </is>
      </c>
      <c r="G682" t="n">
        <v>3.1</v>
      </c>
      <c r="H682" t="n">
        <v>0</v>
      </c>
      <c r="I682" t="n">
        <v>0</v>
      </c>
      <c r="J682" t="n">
        <v>0</v>
      </c>
      <c r="K682" t="n">
        <v>0</v>
      </c>
      <c r="L682" t="n">
        <v>0</v>
      </c>
      <c r="M682" t="n">
        <v>0</v>
      </c>
      <c r="N682" t="n">
        <v>0</v>
      </c>
      <c r="O682" t="n">
        <v>0</v>
      </c>
      <c r="P682" t="n">
        <v>0</v>
      </c>
      <c r="Q682" t="n">
        <v>0</v>
      </c>
      <c r="R682" s="2" t="inlineStr"/>
    </row>
    <row r="683" ht="15" customHeight="1">
      <c r="A683" t="inlineStr">
        <is>
          <t>A 11606-2025</t>
        </is>
      </c>
      <c r="B683" s="1" t="n">
        <v>45727</v>
      </c>
      <c r="C683" s="1" t="n">
        <v>45927</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56749-2024</t>
        </is>
      </c>
      <c r="B684" s="1" t="n">
        <v>45628.37487268518</v>
      </c>
      <c r="C684" s="1" t="n">
        <v>45927</v>
      </c>
      <c r="D684" t="inlineStr">
        <is>
          <t>DALARNAS LÄN</t>
        </is>
      </c>
      <c r="E684" t="inlineStr">
        <is>
          <t>LEKSAND</t>
        </is>
      </c>
      <c r="G684" t="n">
        <v>5</v>
      </c>
      <c r="H684" t="n">
        <v>0</v>
      </c>
      <c r="I684" t="n">
        <v>0</v>
      </c>
      <c r="J684" t="n">
        <v>0</v>
      </c>
      <c r="K684" t="n">
        <v>0</v>
      </c>
      <c r="L684" t="n">
        <v>0</v>
      </c>
      <c r="M684" t="n">
        <v>0</v>
      </c>
      <c r="N684" t="n">
        <v>0</v>
      </c>
      <c r="O684" t="n">
        <v>0</v>
      </c>
      <c r="P684" t="n">
        <v>0</v>
      </c>
      <c r="Q684" t="n">
        <v>0</v>
      </c>
      <c r="R684" s="2" t="inlineStr"/>
    </row>
    <row r="685" ht="15" customHeight="1">
      <c r="A685" t="inlineStr">
        <is>
          <t>A 11712-2025</t>
        </is>
      </c>
      <c r="B685" s="1" t="n">
        <v>45727</v>
      </c>
      <c r="C685" s="1" t="n">
        <v>45927</v>
      </c>
      <c r="D685" t="inlineStr">
        <is>
          <t>DALARNAS LÄN</t>
        </is>
      </c>
      <c r="E685" t="inlineStr">
        <is>
          <t>LEKSAND</t>
        </is>
      </c>
      <c r="G685" t="n">
        <v>6</v>
      </c>
      <c r="H685" t="n">
        <v>0</v>
      </c>
      <c r="I685" t="n">
        <v>0</v>
      </c>
      <c r="J685" t="n">
        <v>0</v>
      </c>
      <c r="K685" t="n">
        <v>0</v>
      </c>
      <c r="L685" t="n">
        <v>0</v>
      </c>
      <c r="M685" t="n">
        <v>0</v>
      </c>
      <c r="N685" t="n">
        <v>0</v>
      </c>
      <c r="O685" t="n">
        <v>0</v>
      </c>
      <c r="P685" t="n">
        <v>0</v>
      </c>
      <c r="Q685" t="n">
        <v>0</v>
      </c>
      <c r="R685" s="2" t="inlineStr"/>
    </row>
    <row r="686" ht="15" customHeight="1">
      <c r="A686" t="inlineStr">
        <is>
          <t>A 22683-2022</t>
        </is>
      </c>
      <c r="B686" s="1" t="n">
        <v>44714</v>
      </c>
      <c r="C686" s="1" t="n">
        <v>45927</v>
      </c>
      <c r="D686" t="inlineStr">
        <is>
          <t>DALARNAS LÄN</t>
        </is>
      </c>
      <c r="E686" t="inlineStr">
        <is>
          <t>LEKSAND</t>
        </is>
      </c>
      <c r="F686" t="inlineStr">
        <is>
          <t>Bergvik skog väst AB</t>
        </is>
      </c>
      <c r="G686" t="n">
        <v>3.4</v>
      </c>
      <c r="H686" t="n">
        <v>0</v>
      </c>
      <c r="I686" t="n">
        <v>0</v>
      </c>
      <c r="J686" t="n">
        <v>0</v>
      </c>
      <c r="K686" t="n">
        <v>0</v>
      </c>
      <c r="L686" t="n">
        <v>0</v>
      </c>
      <c r="M686" t="n">
        <v>0</v>
      </c>
      <c r="N686" t="n">
        <v>0</v>
      </c>
      <c r="O686" t="n">
        <v>0</v>
      </c>
      <c r="P686" t="n">
        <v>0</v>
      </c>
      <c r="Q686" t="n">
        <v>0</v>
      </c>
      <c r="R686" s="2" t="inlineStr"/>
    </row>
    <row r="687" ht="15" customHeight="1">
      <c r="A687" t="inlineStr">
        <is>
          <t>A 6030-2025</t>
        </is>
      </c>
      <c r="B687" s="1" t="n">
        <v>45695</v>
      </c>
      <c r="C687" s="1" t="n">
        <v>45927</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13161-2024</t>
        </is>
      </c>
      <c r="B688" s="1" t="n">
        <v>45386.38972222222</v>
      </c>
      <c r="C688" s="1" t="n">
        <v>45927</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44948-2025</t>
        </is>
      </c>
      <c r="B689" s="1" t="n">
        <v>45918.60555555556</v>
      </c>
      <c r="C689" s="1" t="n">
        <v>45927</v>
      </c>
      <c r="D689" t="inlineStr">
        <is>
          <t>DALARNAS LÄN</t>
        </is>
      </c>
      <c r="E689" t="inlineStr">
        <is>
          <t>LEKSAND</t>
        </is>
      </c>
      <c r="G689" t="n">
        <v>5.1</v>
      </c>
      <c r="H689" t="n">
        <v>0</v>
      </c>
      <c r="I689" t="n">
        <v>0</v>
      </c>
      <c r="J689" t="n">
        <v>0</v>
      </c>
      <c r="K689" t="n">
        <v>0</v>
      </c>
      <c r="L689" t="n">
        <v>0</v>
      </c>
      <c r="M689" t="n">
        <v>0</v>
      </c>
      <c r="N689" t="n">
        <v>0</v>
      </c>
      <c r="O689" t="n">
        <v>0</v>
      </c>
      <c r="P689" t="n">
        <v>0</v>
      </c>
      <c r="Q689" t="n">
        <v>0</v>
      </c>
      <c r="R689" s="2" t="inlineStr"/>
    </row>
    <row r="690" ht="15" customHeight="1">
      <c r="A690" t="inlineStr">
        <is>
          <t>A 61208-2023</t>
        </is>
      </c>
      <c r="B690" s="1" t="n">
        <v>45260</v>
      </c>
      <c r="C690" s="1" t="n">
        <v>45927</v>
      </c>
      <c r="D690" t="inlineStr">
        <is>
          <t>DALARNAS LÄN</t>
        </is>
      </c>
      <c r="E690" t="inlineStr">
        <is>
          <t>LEKSAND</t>
        </is>
      </c>
      <c r="G690" t="n">
        <v>1.7</v>
      </c>
      <c r="H690" t="n">
        <v>0</v>
      </c>
      <c r="I690" t="n">
        <v>0</v>
      </c>
      <c r="J690" t="n">
        <v>0</v>
      </c>
      <c r="K690" t="n">
        <v>0</v>
      </c>
      <c r="L690" t="n">
        <v>0</v>
      </c>
      <c r="M690" t="n">
        <v>0</v>
      </c>
      <c r="N690" t="n">
        <v>0</v>
      </c>
      <c r="O690" t="n">
        <v>0</v>
      </c>
      <c r="P690" t="n">
        <v>0</v>
      </c>
      <c r="Q690" t="n">
        <v>0</v>
      </c>
      <c r="R690" s="2" t="inlineStr"/>
    </row>
    <row r="691" ht="15" customHeight="1">
      <c r="A691" t="inlineStr">
        <is>
          <t>A 26062-2024</t>
        </is>
      </c>
      <c r="B691" s="1" t="n">
        <v>45468.3509375</v>
      </c>
      <c r="C691" s="1" t="n">
        <v>45927</v>
      </c>
      <c r="D691" t="inlineStr">
        <is>
          <t>DALARNAS LÄN</t>
        </is>
      </c>
      <c r="E691" t="inlineStr">
        <is>
          <t>LEKSAND</t>
        </is>
      </c>
      <c r="F691" t="inlineStr">
        <is>
          <t>Övriga statliga verk och myndigheter</t>
        </is>
      </c>
      <c r="G691" t="n">
        <v>6.4</v>
      </c>
      <c r="H691" t="n">
        <v>0</v>
      </c>
      <c r="I691" t="n">
        <v>0</v>
      </c>
      <c r="J691" t="n">
        <v>0</v>
      </c>
      <c r="K691" t="n">
        <v>0</v>
      </c>
      <c r="L691" t="n">
        <v>0</v>
      </c>
      <c r="M691" t="n">
        <v>0</v>
      </c>
      <c r="N691" t="n">
        <v>0</v>
      </c>
      <c r="O691" t="n">
        <v>0</v>
      </c>
      <c r="P691" t="n">
        <v>0</v>
      </c>
      <c r="Q691" t="n">
        <v>0</v>
      </c>
      <c r="R691" s="2" t="inlineStr"/>
    </row>
    <row r="692" ht="15" customHeight="1">
      <c r="A692" t="inlineStr">
        <is>
          <t>A 22517-2024</t>
        </is>
      </c>
      <c r="B692" s="1" t="n">
        <v>45447.40143518519</v>
      </c>
      <c r="C692" s="1" t="n">
        <v>45927</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61953-2023</t>
        </is>
      </c>
      <c r="B693" s="1" t="n">
        <v>45266</v>
      </c>
      <c r="C693" s="1" t="n">
        <v>45927</v>
      </c>
      <c r="D693" t="inlineStr">
        <is>
          <t>DALARNAS LÄN</t>
        </is>
      </c>
      <c r="E693" t="inlineStr">
        <is>
          <t>LEKSAND</t>
        </is>
      </c>
      <c r="G693" t="n">
        <v>0.1</v>
      </c>
      <c r="H693" t="n">
        <v>0</v>
      </c>
      <c r="I693" t="n">
        <v>0</v>
      </c>
      <c r="J693" t="n">
        <v>0</v>
      </c>
      <c r="K693" t="n">
        <v>0</v>
      </c>
      <c r="L693" t="n">
        <v>0</v>
      </c>
      <c r="M693" t="n">
        <v>0</v>
      </c>
      <c r="N693" t="n">
        <v>0</v>
      </c>
      <c r="O693" t="n">
        <v>0</v>
      </c>
      <c r="P693" t="n">
        <v>0</v>
      </c>
      <c r="Q693" t="n">
        <v>0</v>
      </c>
      <c r="R693" s="2" t="inlineStr"/>
    </row>
    <row r="694" ht="15" customHeight="1">
      <c r="A694" t="inlineStr">
        <is>
          <t>A 45101-2025</t>
        </is>
      </c>
      <c r="B694" s="1" t="n">
        <v>45919.39679398148</v>
      </c>
      <c r="C694" s="1" t="n">
        <v>45927</v>
      </c>
      <c r="D694" t="inlineStr">
        <is>
          <t>DALARNAS LÄN</t>
        </is>
      </c>
      <c r="E694" t="inlineStr">
        <is>
          <t>LEKSAND</t>
        </is>
      </c>
      <c r="G694" t="n">
        <v>0.7</v>
      </c>
      <c r="H694" t="n">
        <v>0</v>
      </c>
      <c r="I694" t="n">
        <v>0</v>
      </c>
      <c r="J694" t="n">
        <v>0</v>
      </c>
      <c r="K694" t="n">
        <v>0</v>
      </c>
      <c r="L694" t="n">
        <v>0</v>
      </c>
      <c r="M694" t="n">
        <v>0</v>
      </c>
      <c r="N694" t="n">
        <v>0</v>
      </c>
      <c r="O694" t="n">
        <v>0</v>
      </c>
      <c r="P694" t="n">
        <v>0</v>
      </c>
      <c r="Q694" t="n">
        <v>0</v>
      </c>
      <c r="R694" s="2" t="inlineStr"/>
    </row>
    <row r="695" ht="15" customHeight="1">
      <c r="A695" t="inlineStr">
        <is>
          <t>A 16815-2025</t>
        </is>
      </c>
      <c r="B695" s="1" t="n">
        <v>45754</v>
      </c>
      <c r="C695" s="1" t="n">
        <v>45927</v>
      </c>
      <c r="D695" t="inlineStr">
        <is>
          <t>DALARNAS LÄN</t>
        </is>
      </c>
      <c r="E695" t="inlineStr">
        <is>
          <t>LEKSAND</t>
        </is>
      </c>
      <c r="G695" t="n">
        <v>2.8</v>
      </c>
      <c r="H695" t="n">
        <v>0</v>
      </c>
      <c r="I695" t="n">
        <v>0</v>
      </c>
      <c r="J695" t="n">
        <v>0</v>
      </c>
      <c r="K695" t="n">
        <v>0</v>
      </c>
      <c r="L695" t="n">
        <v>0</v>
      </c>
      <c r="M695" t="n">
        <v>0</v>
      </c>
      <c r="N695" t="n">
        <v>0</v>
      </c>
      <c r="O695" t="n">
        <v>0</v>
      </c>
      <c r="P695" t="n">
        <v>0</v>
      </c>
      <c r="Q695" t="n">
        <v>0</v>
      </c>
      <c r="R695" s="2" t="inlineStr"/>
    </row>
    <row r="696" ht="15" customHeight="1">
      <c r="A696" t="inlineStr">
        <is>
          <t>A 16854-2025</t>
        </is>
      </c>
      <c r="B696" s="1" t="n">
        <v>45754.72883101852</v>
      </c>
      <c r="C696" s="1" t="n">
        <v>45927</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62133-2023</t>
        </is>
      </c>
      <c r="B697" s="1" t="n">
        <v>45267.35582175926</v>
      </c>
      <c r="C697" s="1" t="n">
        <v>45927</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45318-2025</t>
        </is>
      </c>
      <c r="B698" s="1" t="n">
        <v>45921.85230324074</v>
      </c>
      <c r="C698" s="1" t="n">
        <v>45927</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40009-2024</t>
        </is>
      </c>
      <c r="B699" s="1" t="n">
        <v>45553.65361111111</v>
      </c>
      <c r="C699" s="1" t="n">
        <v>45927</v>
      </c>
      <c r="D699" t="inlineStr">
        <is>
          <t>DALARNAS LÄN</t>
        </is>
      </c>
      <c r="E699" t="inlineStr">
        <is>
          <t>LEKSAND</t>
        </is>
      </c>
      <c r="F699" t="inlineStr">
        <is>
          <t>Bergvik skog väst AB</t>
        </is>
      </c>
      <c r="G699" t="n">
        <v>3</v>
      </c>
      <c r="H699" t="n">
        <v>0</v>
      </c>
      <c r="I699" t="n">
        <v>0</v>
      </c>
      <c r="J699" t="n">
        <v>0</v>
      </c>
      <c r="K699" t="n">
        <v>0</v>
      </c>
      <c r="L699" t="n">
        <v>0</v>
      </c>
      <c r="M699" t="n">
        <v>0</v>
      </c>
      <c r="N699" t="n">
        <v>0</v>
      </c>
      <c r="O699" t="n">
        <v>0</v>
      </c>
      <c r="P699" t="n">
        <v>0</v>
      </c>
      <c r="Q699" t="n">
        <v>0</v>
      </c>
      <c r="R699" s="2" t="inlineStr"/>
    </row>
    <row r="700" ht="15" customHeight="1">
      <c r="A700" t="inlineStr">
        <is>
          <t>A 10967-2023</t>
        </is>
      </c>
      <c r="B700" s="1" t="n">
        <v>44991.58001157407</v>
      </c>
      <c r="C700" s="1" t="n">
        <v>45927</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10974-2023</t>
        </is>
      </c>
      <c r="B701" s="1" t="n">
        <v>44991.59049768518</v>
      </c>
      <c r="C701" s="1" t="n">
        <v>45927</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47203-2023</t>
        </is>
      </c>
      <c r="B702" s="1" t="n">
        <v>45202</v>
      </c>
      <c r="C702" s="1" t="n">
        <v>45927</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45381-2025</t>
        </is>
      </c>
      <c r="B703" s="1" t="n">
        <v>45922.39989583333</v>
      </c>
      <c r="C703" s="1" t="n">
        <v>45927</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45300-2025</t>
        </is>
      </c>
      <c r="B704" s="1" t="n">
        <v>45921.30490740741</v>
      </c>
      <c r="C704" s="1" t="n">
        <v>45927</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37996-2025</t>
        </is>
      </c>
      <c r="B705" s="1" t="n">
        <v>45881.8299537037</v>
      </c>
      <c r="C705" s="1" t="n">
        <v>45927</v>
      </c>
      <c r="D705" t="inlineStr">
        <is>
          <t>DALARNAS LÄN</t>
        </is>
      </c>
      <c r="E705" t="inlineStr">
        <is>
          <t>LEKSAND</t>
        </is>
      </c>
      <c r="G705" t="n">
        <v>4.2</v>
      </c>
      <c r="H705" t="n">
        <v>0</v>
      </c>
      <c r="I705" t="n">
        <v>0</v>
      </c>
      <c r="J705" t="n">
        <v>0</v>
      </c>
      <c r="K705" t="n">
        <v>0</v>
      </c>
      <c r="L705" t="n">
        <v>0</v>
      </c>
      <c r="M705" t="n">
        <v>0</v>
      </c>
      <c r="N705" t="n">
        <v>0</v>
      </c>
      <c r="O705" t="n">
        <v>0</v>
      </c>
      <c r="P705" t="n">
        <v>0</v>
      </c>
      <c r="Q705" t="n">
        <v>0</v>
      </c>
      <c r="R705" s="2" t="inlineStr"/>
    </row>
    <row r="706" ht="15" customHeight="1">
      <c r="A706" t="inlineStr">
        <is>
          <t>A 46176-2025</t>
        </is>
      </c>
      <c r="B706" s="1" t="n">
        <v>45924.65101851852</v>
      </c>
      <c r="C706" s="1" t="n">
        <v>45927</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19296-2024</t>
        </is>
      </c>
      <c r="B707" s="1" t="n">
        <v>45428.69438657408</v>
      </c>
      <c r="C707" s="1" t="n">
        <v>45927</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46405-2025</t>
        </is>
      </c>
      <c r="B708" s="1" t="n">
        <v>45925.56306712963</v>
      </c>
      <c r="C708" s="1" t="n">
        <v>45927</v>
      </c>
      <c r="D708" t="inlineStr">
        <is>
          <t>DALARNAS LÄN</t>
        </is>
      </c>
      <c r="E708" t="inlineStr">
        <is>
          <t>LEKSAND</t>
        </is>
      </c>
      <c r="G708" t="n">
        <v>5.7</v>
      </c>
      <c r="H708" t="n">
        <v>0</v>
      </c>
      <c r="I708" t="n">
        <v>0</v>
      </c>
      <c r="J708" t="n">
        <v>0</v>
      </c>
      <c r="K708" t="n">
        <v>0</v>
      </c>
      <c r="L708" t="n">
        <v>0</v>
      </c>
      <c r="M708" t="n">
        <v>0</v>
      </c>
      <c r="N708" t="n">
        <v>0</v>
      </c>
      <c r="O708" t="n">
        <v>0</v>
      </c>
      <c r="P708" t="n">
        <v>0</v>
      </c>
      <c r="Q708" t="n">
        <v>0</v>
      </c>
      <c r="R708" s="2" t="inlineStr"/>
    </row>
    <row r="709" ht="15" customHeight="1">
      <c r="A709" t="inlineStr">
        <is>
          <t>A 46483-2025</t>
        </is>
      </c>
      <c r="B709" s="1" t="n">
        <v>45925.70248842592</v>
      </c>
      <c r="C709" s="1" t="n">
        <v>45927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43830-2025</t>
        </is>
      </c>
      <c r="B710" s="1" t="n">
        <v>45912</v>
      </c>
      <c r="C710" s="1" t="n">
        <v>45927</v>
      </c>
      <c r="D710" t="inlineStr">
        <is>
          <t>DALARNAS LÄN</t>
        </is>
      </c>
      <c r="E710" t="inlineStr">
        <is>
          <t>LEKSAND</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23892-2025</t>
        </is>
      </c>
      <c r="B711" s="1" t="n">
        <v>45793</v>
      </c>
      <c r="C711" s="1" t="n">
        <v>45927</v>
      </c>
      <c r="D711" t="inlineStr">
        <is>
          <t>DALARNAS LÄN</t>
        </is>
      </c>
      <c r="E711" t="inlineStr">
        <is>
          <t>LEKSAND</t>
        </is>
      </c>
      <c r="F711" t="inlineStr">
        <is>
          <t>Kommuner</t>
        </is>
      </c>
      <c r="G711" t="n">
        <v>1.5</v>
      </c>
      <c r="H711" t="n">
        <v>0</v>
      </c>
      <c r="I711" t="n">
        <v>0</v>
      </c>
      <c r="J711" t="n">
        <v>0</v>
      </c>
      <c r="K711" t="n">
        <v>0</v>
      </c>
      <c r="L711" t="n">
        <v>0</v>
      </c>
      <c r="M711" t="n">
        <v>0</v>
      </c>
      <c r="N711" t="n">
        <v>0</v>
      </c>
      <c r="O711" t="n">
        <v>0</v>
      </c>
      <c r="P711" t="n">
        <v>0</v>
      </c>
      <c r="Q711" t="n">
        <v>0</v>
      </c>
      <c r="R711" s="2" t="inlineStr"/>
    </row>
    <row r="712" ht="15" customHeight="1">
      <c r="A712" t="inlineStr">
        <is>
          <t>A 38090-2025</t>
        </is>
      </c>
      <c r="B712" s="1" t="n">
        <v>45882.48440972222</v>
      </c>
      <c r="C712" s="1" t="n">
        <v>45927</v>
      </c>
      <c r="D712" t="inlineStr">
        <is>
          <t>DALARNAS LÄN</t>
        </is>
      </c>
      <c r="E712" t="inlineStr">
        <is>
          <t>LEKSAND</t>
        </is>
      </c>
      <c r="G712" t="n">
        <v>1.6</v>
      </c>
      <c r="H712" t="n">
        <v>0</v>
      </c>
      <c r="I712" t="n">
        <v>0</v>
      </c>
      <c r="J712" t="n">
        <v>0</v>
      </c>
      <c r="K712" t="n">
        <v>0</v>
      </c>
      <c r="L712" t="n">
        <v>0</v>
      </c>
      <c r="M712" t="n">
        <v>0</v>
      </c>
      <c r="N712" t="n">
        <v>0</v>
      </c>
      <c r="O712" t="n">
        <v>0</v>
      </c>
      <c r="P712" t="n">
        <v>0</v>
      </c>
      <c r="Q712" t="n">
        <v>0</v>
      </c>
      <c r="R712" s="2" t="inlineStr"/>
    </row>
    <row r="713">
      <c r="A713" t="inlineStr">
        <is>
          <t>A 43888-2025</t>
        </is>
      </c>
      <c r="B713" s="1" t="n">
        <v>45912</v>
      </c>
      <c r="C713" s="1" t="n">
        <v>45927</v>
      </c>
      <c r="D713" t="inlineStr">
        <is>
          <t>DALARNAS LÄN</t>
        </is>
      </c>
      <c r="E713" t="inlineStr">
        <is>
          <t>LEKSAND</t>
        </is>
      </c>
      <c r="F713" t="inlineStr">
        <is>
          <t>Bergvik skog väst AB</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2025-09-27T12:02:41Z</dcterms:created>
  <dcterms:modified xmlns:dcterms="http://purl.org/dc/terms/" xmlns:xsi="http://www.w3.org/2001/XMLSchema-instance" xsi:type="dcterms:W3CDTF">2025-09-27T12:02:42Z</dcterms:modified>
</cp:coreProperties>
</file>