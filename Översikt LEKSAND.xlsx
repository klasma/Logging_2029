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45966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45966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45966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45966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45966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45966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45966</v>
      </c>
      <c r="D13" t="inlineStr">
        <is>
          <t>DALARNAS LÄN</t>
        </is>
      </c>
      <c r="E13" t="inlineStr">
        <is>
          <t>LEKSAND</t>
        </is>
      </c>
      <c r="G13" t="n">
        <v>2.6</v>
      </c>
      <c r="H13" t="n">
        <v>2</v>
      </c>
      <c r="I13" t="n">
        <v>2</v>
      </c>
      <c r="J13" t="n">
        <v>3</v>
      </c>
      <c r="K13" t="n">
        <v>1</v>
      </c>
      <c r="L13" t="n">
        <v>0</v>
      </c>
      <c r="M13" t="n">
        <v>0</v>
      </c>
      <c r="N13" t="n">
        <v>0</v>
      </c>
      <c r="O13" t="n">
        <v>4</v>
      </c>
      <c r="P13" t="n">
        <v>1</v>
      </c>
      <c r="Q13" t="n">
        <v>6</v>
      </c>
      <c r="R13" s="2" t="inlineStr">
        <is>
          <t>Knärot
Garnlav
Rosenticka
Tretåig hackspett
Korallblylav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9501-2025</t>
        </is>
      </c>
      <c r="B14" s="1" t="n">
        <v>45715</v>
      </c>
      <c r="C14" s="1" t="n">
        <v>45966</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45966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45489.84730324074</v>
      </c>
      <c r="C16" s="1" t="n">
        <v>45966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40636-2025</t>
        </is>
      </c>
      <c r="B17" s="1" t="n">
        <v>45896.60490740741</v>
      </c>
      <c r="C17" s="1" t="n">
        <v>45966</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45966</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8529-2023</t>
        </is>
      </c>
      <c r="B19" s="1" t="n">
        <v>44977</v>
      </c>
      <c r="C19" s="1" t="n">
        <v>45966</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15377-2025</t>
        </is>
      </c>
      <c r="B20" s="1" t="n">
        <v>45747.40665509259</v>
      </c>
      <c r="C20" s="1" t="n">
        <v>45966</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45966</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45966</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45966</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6778-2022</t>
        </is>
      </c>
      <c r="B24" s="1" t="n">
        <v>44602</v>
      </c>
      <c r="C24" s="1" t="n">
        <v>45966</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9408-2024</t>
        </is>
      </c>
      <c r="B25" s="1" t="n">
        <v>45358</v>
      </c>
      <c r="C25" s="1" t="n">
        <v>45966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18860-2025</t>
        </is>
      </c>
      <c r="B26" s="1" t="n">
        <v>45764.42738425926</v>
      </c>
      <c r="C26" s="1" t="n">
        <v>45966</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55519-2021</t>
        </is>
      </c>
      <c r="B27" s="1" t="n">
        <v>44475</v>
      </c>
      <c r="C27" s="1" t="n">
        <v>45966</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59111-2024</t>
        </is>
      </c>
      <c r="B28" s="1" t="n">
        <v>45637.36484953704</v>
      </c>
      <c r="C28" s="1" t="n">
        <v>45966</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45966</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45966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45966</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41873-2022</t>
        </is>
      </c>
      <c r="B32" s="1" t="n">
        <v>44829</v>
      </c>
      <c r="C32" s="1" t="n">
        <v>45966</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11218-2023</t>
        </is>
      </c>
      <c r="B33" s="1" t="n">
        <v>44992.62401620371</v>
      </c>
      <c r="C33" s="1" t="n">
        <v>45966</v>
      </c>
      <c r="D33" t="inlineStr">
        <is>
          <t>DALARNAS LÄN</t>
        </is>
      </c>
      <c r="E33" t="inlineStr">
        <is>
          <t>LEKSAND</t>
        </is>
      </c>
      <c r="G33" t="n">
        <v>2.6</v>
      </c>
      <c r="H33" t="n">
        <v>1</v>
      </c>
      <c r="I33" t="n">
        <v>0</v>
      </c>
      <c r="J33" t="n">
        <v>0</v>
      </c>
      <c r="K33" t="n">
        <v>1</v>
      </c>
      <c r="L33" t="n">
        <v>0</v>
      </c>
      <c r="M33" t="n">
        <v>0</v>
      </c>
      <c r="N33" t="n">
        <v>0</v>
      </c>
      <c r="O33" t="n">
        <v>1</v>
      </c>
      <c r="P33" t="n">
        <v>1</v>
      </c>
      <c r="Q33" t="n">
        <v>1</v>
      </c>
      <c r="R33" s="2" t="inlineStr">
        <is>
          <t>Knärot</t>
        </is>
      </c>
      <c r="S33">
        <f>HYPERLINK("https://klasma.github.io/Logging_2029/artfynd/A 11218-2023 artfynd.xlsx", "A 11218-2023")</f>
        <v/>
      </c>
      <c r="T33">
        <f>HYPERLINK("https://klasma.github.io/Logging_2029/kartor/A 11218-2023 karta.png", "A 11218-2023")</f>
        <v/>
      </c>
      <c r="U33">
        <f>HYPERLINK("https://klasma.github.io/Logging_2029/knärot/A 11218-2023 karta knärot.png", "A 11218-2023")</f>
        <v/>
      </c>
      <c r="V33">
        <f>HYPERLINK("https://klasma.github.io/Logging_2029/klagomål/A 11218-2023 FSC-klagomål.docx", "A 11218-2023")</f>
        <v/>
      </c>
      <c r="W33">
        <f>HYPERLINK("https://klasma.github.io/Logging_2029/klagomålsmail/A 11218-2023 FSC-klagomål mail.docx", "A 11218-2023")</f>
        <v/>
      </c>
      <c r="X33">
        <f>HYPERLINK("https://klasma.github.io/Logging_2029/tillsyn/A 11218-2023 tillsynsbegäran.docx", "A 11218-2023")</f>
        <v/>
      </c>
      <c r="Y33">
        <f>HYPERLINK("https://klasma.github.io/Logging_2029/tillsynsmail/A 11218-2023 tillsynsbegäran mail.docx", "A 11218-2023")</f>
        <v/>
      </c>
    </row>
    <row r="34" ht="15" customHeight="1">
      <c r="A34" t="inlineStr">
        <is>
          <t>A 23137-2022</t>
        </is>
      </c>
      <c r="B34" s="1" t="n">
        <v>44719</v>
      </c>
      <c r="C34" s="1" t="n">
        <v>45966</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47601-2025</t>
        </is>
      </c>
      <c r="B35" s="1" t="n">
        <v>45931.46008101852</v>
      </c>
      <c r="C35" s="1" t="n">
        <v>45966</v>
      </c>
      <c r="D35" t="inlineStr">
        <is>
          <t>DALARNAS LÄN</t>
        </is>
      </c>
      <c r="E35" t="inlineStr">
        <is>
          <t>LEKSAND</t>
        </is>
      </c>
      <c r="G35" t="n">
        <v>1.9</v>
      </c>
      <c r="H35" t="n">
        <v>0</v>
      </c>
      <c r="I35" t="n">
        <v>1</v>
      </c>
      <c r="J35" t="n">
        <v>0</v>
      </c>
      <c r="K35" t="n">
        <v>0</v>
      </c>
      <c r="L35" t="n">
        <v>0</v>
      </c>
      <c r="M35" t="n">
        <v>0</v>
      </c>
      <c r="N35" t="n">
        <v>0</v>
      </c>
      <c r="O35" t="n">
        <v>0</v>
      </c>
      <c r="P35" t="n">
        <v>0</v>
      </c>
      <c r="Q35" t="n">
        <v>1</v>
      </c>
      <c r="R35" s="2" t="inlineStr">
        <is>
          <t>Vågbandad barkbock</t>
        </is>
      </c>
      <c r="S35">
        <f>HYPERLINK("https://klasma.github.io/Logging_2029/artfynd/A 47601-2025 artfynd.xlsx", "A 47601-2025")</f>
        <v/>
      </c>
      <c r="T35">
        <f>HYPERLINK("https://klasma.github.io/Logging_2029/kartor/A 47601-2025 karta.png", "A 47601-2025")</f>
        <v/>
      </c>
      <c r="V35">
        <f>HYPERLINK("https://klasma.github.io/Logging_2029/klagomål/A 47601-2025 FSC-klagomål.docx", "A 47601-2025")</f>
        <v/>
      </c>
      <c r="W35">
        <f>HYPERLINK("https://klasma.github.io/Logging_2029/klagomålsmail/A 47601-2025 FSC-klagomål mail.docx", "A 47601-2025")</f>
        <v/>
      </c>
      <c r="X35">
        <f>HYPERLINK("https://klasma.github.io/Logging_2029/tillsyn/A 47601-2025 tillsynsbegäran.docx", "A 47601-2025")</f>
        <v/>
      </c>
      <c r="Y35">
        <f>HYPERLINK("https://klasma.github.io/Logging_2029/tillsynsmail/A 47601-2025 tillsynsbegäran mail.docx", "A 47601-2025")</f>
        <v/>
      </c>
    </row>
    <row r="36" ht="15" customHeight="1">
      <c r="A36" t="inlineStr">
        <is>
          <t>A 26287-2023</t>
        </is>
      </c>
      <c r="B36" s="1" t="n">
        <v>45091</v>
      </c>
      <c r="C36" s="1" t="n">
        <v>45966</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59205-2023</t>
        </is>
      </c>
      <c r="B37" s="1" t="n">
        <v>45251</v>
      </c>
      <c r="C37" s="1" t="n">
        <v>45966</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6029-2025</t>
        </is>
      </c>
      <c r="B38" s="1" t="n">
        <v>45695</v>
      </c>
      <c r="C38" s="1" t="n">
        <v>45966</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16735-2025</t>
        </is>
      </c>
      <c r="B39" s="1" t="n">
        <v>45754.54314814815</v>
      </c>
      <c r="C39" s="1" t="n">
        <v>45966</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16333-2023</t>
        </is>
      </c>
      <c r="B40" s="1" t="n">
        <v>45028</v>
      </c>
      <c r="C40" s="1" t="n">
        <v>45966</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52600-2024</t>
        </is>
      </c>
      <c r="B41" s="1" t="n">
        <v>45609</v>
      </c>
      <c r="C41" s="1" t="n">
        <v>45966</v>
      </c>
      <c r="D41" t="inlineStr">
        <is>
          <t>DALARNAS LÄN</t>
        </is>
      </c>
      <c r="E41" t="inlineStr">
        <is>
          <t>LEKSAND</t>
        </is>
      </c>
      <c r="G41" t="n">
        <v>3.4</v>
      </c>
      <c r="H41" t="n">
        <v>1</v>
      </c>
      <c r="I41" t="n">
        <v>0</v>
      </c>
      <c r="J41" t="n">
        <v>0</v>
      </c>
      <c r="K41" t="n">
        <v>0</v>
      </c>
      <c r="L41" t="n">
        <v>0</v>
      </c>
      <c r="M41" t="n">
        <v>0</v>
      </c>
      <c r="N41" t="n">
        <v>0</v>
      </c>
      <c r="O41" t="n">
        <v>0</v>
      </c>
      <c r="P41" t="n">
        <v>0</v>
      </c>
      <c r="Q41" t="n">
        <v>1</v>
      </c>
      <c r="R41" s="2" t="inlineStr">
        <is>
          <t>Fläcknycklar</t>
        </is>
      </c>
      <c r="S41">
        <f>HYPERLINK("https://klasma.github.io/Logging_2029/artfynd/A 52600-2024 artfynd.xlsx", "A 52600-2024")</f>
        <v/>
      </c>
      <c r="T41">
        <f>HYPERLINK("https://klasma.github.io/Logging_2029/kartor/A 52600-2024 karta.png", "A 52600-2024")</f>
        <v/>
      </c>
      <c r="V41">
        <f>HYPERLINK("https://klasma.github.io/Logging_2029/klagomål/A 52600-2024 FSC-klagomål.docx", "A 52600-2024")</f>
        <v/>
      </c>
      <c r="W41">
        <f>HYPERLINK("https://klasma.github.io/Logging_2029/klagomålsmail/A 52600-2024 FSC-klagomål mail.docx", "A 52600-2024")</f>
        <v/>
      </c>
      <c r="X41">
        <f>HYPERLINK("https://klasma.github.io/Logging_2029/tillsyn/A 52600-2024 tillsynsbegäran.docx", "A 52600-2024")</f>
        <v/>
      </c>
      <c r="Y41">
        <f>HYPERLINK("https://klasma.github.io/Logging_2029/tillsynsmail/A 52600-2024 tillsynsbegäran mail.docx", "A 52600-2024")</f>
        <v/>
      </c>
    </row>
    <row r="42" ht="15" customHeight="1">
      <c r="A42" t="inlineStr">
        <is>
          <t>A 53633-2024</t>
        </is>
      </c>
      <c r="B42" s="1" t="n">
        <v>45614.83726851852</v>
      </c>
      <c r="C42" s="1" t="n">
        <v>45966</v>
      </c>
      <c r="D42" t="inlineStr">
        <is>
          <t>DALARNAS LÄN</t>
        </is>
      </c>
      <c r="E42" t="inlineStr">
        <is>
          <t>LEKSAND</t>
        </is>
      </c>
      <c r="G42" t="n">
        <v>1.6</v>
      </c>
      <c r="H42" t="n">
        <v>1</v>
      </c>
      <c r="I42" t="n">
        <v>0</v>
      </c>
      <c r="J42" t="n">
        <v>1</v>
      </c>
      <c r="K42" t="n">
        <v>0</v>
      </c>
      <c r="L42" t="n">
        <v>0</v>
      </c>
      <c r="M42" t="n">
        <v>0</v>
      </c>
      <c r="N42" t="n">
        <v>0</v>
      </c>
      <c r="O42" t="n">
        <v>1</v>
      </c>
      <c r="P42" t="n">
        <v>0</v>
      </c>
      <c r="Q42" t="n">
        <v>1</v>
      </c>
      <c r="R42" s="2" t="inlineStr">
        <is>
          <t>Tretåig hackspett</t>
        </is>
      </c>
      <c r="S42">
        <f>HYPERLINK("https://klasma.github.io/Logging_2029/artfynd/A 53633-2024 artfynd.xlsx", "A 53633-2024")</f>
        <v/>
      </c>
      <c r="T42">
        <f>HYPERLINK("https://klasma.github.io/Logging_2029/kartor/A 53633-2024 karta.png", "A 53633-2024")</f>
        <v/>
      </c>
      <c r="V42">
        <f>HYPERLINK("https://klasma.github.io/Logging_2029/klagomål/A 53633-2024 FSC-klagomål.docx", "A 53633-2024")</f>
        <v/>
      </c>
      <c r="W42">
        <f>HYPERLINK("https://klasma.github.io/Logging_2029/klagomålsmail/A 53633-2024 FSC-klagomål mail.docx", "A 53633-2024")</f>
        <v/>
      </c>
      <c r="X42">
        <f>HYPERLINK("https://klasma.github.io/Logging_2029/tillsyn/A 53633-2024 tillsynsbegäran.docx", "A 53633-2024")</f>
        <v/>
      </c>
      <c r="Y42">
        <f>HYPERLINK("https://klasma.github.io/Logging_2029/tillsynsmail/A 53633-2024 tillsynsbegäran mail.docx", "A 53633-2024")</f>
        <v/>
      </c>
      <c r="Z42">
        <f>HYPERLINK("https://klasma.github.io/Logging_2029/fåglar/A 53633-2024 prioriterade fågelarter.docx", "A 53633-2024")</f>
        <v/>
      </c>
    </row>
    <row r="43" ht="15" customHeight="1">
      <c r="A43" t="inlineStr">
        <is>
          <t>A 31124-2024</t>
        </is>
      </c>
      <c r="B43" s="1" t="n">
        <v>45502.62886574074</v>
      </c>
      <c r="C43" s="1" t="n">
        <v>45966</v>
      </c>
      <c r="D43" t="inlineStr">
        <is>
          <t>DALARNAS LÄN</t>
        </is>
      </c>
      <c r="E43" t="inlineStr">
        <is>
          <t>LEKSAND</t>
        </is>
      </c>
      <c r="G43" t="n">
        <v>1.9</v>
      </c>
      <c r="H43" t="n">
        <v>1</v>
      </c>
      <c r="I43" t="n">
        <v>0</v>
      </c>
      <c r="J43" t="n">
        <v>0</v>
      </c>
      <c r="K43" t="n">
        <v>1</v>
      </c>
      <c r="L43" t="n">
        <v>0</v>
      </c>
      <c r="M43" t="n">
        <v>0</v>
      </c>
      <c r="N43" t="n">
        <v>0</v>
      </c>
      <c r="O43" t="n">
        <v>1</v>
      </c>
      <c r="P43" t="n">
        <v>1</v>
      </c>
      <c r="Q43" t="n">
        <v>1</v>
      </c>
      <c r="R43" s="2" t="inlineStr">
        <is>
          <t>Väddnätfjäril</t>
        </is>
      </c>
      <c r="S43">
        <f>HYPERLINK("https://klasma.github.io/Logging_2029/artfynd/A 31124-2024 artfynd.xlsx", "A 31124-2024")</f>
        <v/>
      </c>
      <c r="T43">
        <f>HYPERLINK("https://klasma.github.io/Logging_2029/kartor/A 31124-2024 karta.png", "A 31124-2024")</f>
        <v/>
      </c>
      <c r="V43">
        <f>HYPERLINK("https://klasma.github.io/Logging_2029/klagomål/A 31124-2024 FSC-klagomål.docx", "A 31124-2024")</f>
        <v/>
      </c>
      <c r="W43">
        <f>HYPERLINK("https://klasma.github.io/Logging_2029/klagomålsmail/A 31124-2024 FSC-klagomål mail.docx", "A 31124-2024")</f>
        <v/>
      </c>
      <c r="X43">
        <f>HYPERLINK("https://klasma.github.io/Logging_2029/tillsyn/A 31124-2024 tillsynsbegäran.docx", "A 31124-2024")</f>
        <v/>
      </c>
      <c r="Y43">
        <f>HYPERLINK("https://klasma.github.io/Logging_2029/tillsynsmail/A 31124-2024 tillsynsbegäran mail.docx", "A 31124-2024")</f>
        <v/>
      </c>
    </row>
    <row r="44" ht="15" customHeight="1">
      <c r="A44" t="inlineStr">
        <is>
          <t>A 36778-2025</t>
        </is>
      </c>
      <c r="B44" s="1" t="n">
        <v>45873</v>
      </c>
      <c r="C44" s="1" t="n">
        <v>45966</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45375-2025</t>
        </is>
      </c>
      <c r="B45" s="1" t="n">
        <v>45922.39347222223</v>
      </c>
      <c r="C45" s="1" t="n">
        <v>45966</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31951-2025</t>
        </is>
      </c>
      <c r="B46" s="1" t="n">
        <v>45835.33481481481</v>
      </c>
      <c r="C46" s="1" t="n">
        <v>45966</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34993-2025</t>
        </is>
      </c>
      <c r="B47" s="1" t="n">
        <v>45849.82383101852</v>
      </c>
      <c r="C47" s="1" t="n">
        <v>45966</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45966</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4974-2025</t>
        </is>
      </c>
      <c r="B49" s="1" t="n">
        <v>45690.8478587963</v>
      </c>
      <c r="C49" s="1" t="n">
        <v>45966</v>
      </c>
      <c r="D49" t="inlineStr">
        <is>
          <t>DALARNAS LÄN</t>
        </is>
      </c>
      <c r="E49" t="inlineStr">
        <is>
          <t>LEKSAND</t>
        </is>
      </c>
      <c r="G49" t="n">
        <v>0.9</v>
      </c>
      <c r="H49" t="n">
        <v>1</v>
      </c>
      <c r="I49" t="n">
        <v>0</v>
      </c>
      <c r="J49" t="n">
        <v>1</v>
      </c>
      <c r="K49" t="n">
        <v>0</v>
      </c>
      <c r="L49" t="n">
        <v>0</v>
      </c>
      <c r="M49" t="n">
        <v>0</v>
      </c>
      <c r="N49" t="n">
        <v>0</v>
      </c>
      <c r="O49" t="n">
        <v>1</v>
      </c>
      <c r="P49" t="n">
        <v>0</v>
      </c>
      <c r="Q49" t="n">
        <v>1</v>
      </c>
      <c r="R49" s="2" t="inlineStr">
        <is>
          <t>Spillkråka</t>
        </is>
      </c>
      <c r="S49">
        <f>HYPERLINK("https://klasma.github.io/Logging_2029/artfynd/A 4974-2025 artfynd.xlsx", "A 4974-2025")</f>
        <v/>
      </c>
      <c r="T49">
        <f>HYPERLINK("https://klasma.github.io/Logging_2029/kartor/A 4974-2025 karta.png", "A 4974-2025")</f>
        <v/>
      </c>
      <c r="V49">
        <f>HYPERLINK("https://klasma.github.io/Logging_2029/klagomål/A 4974-2025 FSC-klagomål.docx", "A 4974-2025")</f>
        <v/>
      </c>
      <c r="W49">
        <f>HYPERLINK("https://klasma.github.io/Logging_2029/klagomålsmail/A 4974-2025 FSC-klagomål mail.docx", "A 4974-2025")</f>
        <v/>
      </c>
      <c r="X49">
        <f>HYPERLINK("https://klasma.github.io/Logging_2029/tillsyn/A 4974-2025 tillsynsbegäran.docx", "A 4974-2025")</f>
        <v/>
      </c>
      <c r="Y49">
        <f>HYPERLINK("https://klasma.github.io/Logging_2029/tillsynsmail/A 4974-2025 tillsynsbegäran mail.docx", "A 4974-2025")</f>
        <v/>
      </c>
      <c r="Z49">
        <f>HYPERLINK("https://klasma.github.io/Logging_2029/fåglar/A 4974-2025 prioriterade fågelarter.docx", "A 4974-2025")</f>
        <v/>
      </c>
    </row>
    <row r="50" ht="15" customHeight="1">
      <c r="A50" t="inlineStr">
        <is>
          <t>A 55633-2024</t>
        </is>
      </c>
      <c r="B50" s="1" t="n">
        <v>45621</v>
      </c>
      <c r="C50" s="1" t="n">
        <v>45966</v>
      </c>
      <c r="D50" t="inlineStr">
        <is>
          <t>DALARNAS LÄN</t>
        </is>
      </c>
      <c r="E50" t="inlineStr">
        <is>
          <t>LEKSAND</t>
        </is>
      </c>
      <c r="G50" t="n">
        <v>7.8</v>
      </c>
      <c r="H50" t="n">
        <v>0</v>
      </c>
      <c r="I50" t="n">
        <v>0</v>
      </c>
      <c r="J50" t="n">
        <v>1</v>
      </c>
      <c r="K50" t="n">
        <v>0</v>
      </c>
      <c r="L50" t="n">
        <v>0</v>
      </c>
      <c r="M50" t="n">
        <v>0</v>
      </c>
      <c r="N50" t="n">
        <v>0</v>
      </c>
      <c r="O50" t="n">
        <v>1</v>
      </c>
      <c r="P50" t="n">
        <v>0</v>
      </c>
      <c r="Q50" t="n">
        <v>1</v>
      </c>
      <c r="R50" s="2" t="inlineStr">
        <is>
          <t>Ullticka</t>
        </is>
      </c>
      <c r="S50">
        <f>HYPERLINK("https://klasma.github.io/Logging_2029/artfynd/A 55633-2024 artfynd.xlsx", "A 55633-2024")</f>
        <v/>
      </c>
      <c r="T50">
        <f>HYPERLINK("https://klasma.github.io/Logging_2029/kartor/A 55633-2024 karta.png", "A 55633-2024")</f>
        <v/>
      </c>
      <c r="V50">
        <f>HYPERLINK("https://klasma.github.io/Logging_2029/klagomål/A 55633-2024 FSC-klagomål.docx", "A 55633-2024")</f>
        <v/>
      </c>
      <c r="W50">
        <f>HYPERLINK("https://klasma.github.io/Logging_2029/klagomålsmail/A 55633-2024 FSC-klagomål mail.docx", "A 55633-2024")</f>
        <v/>
      </c>
      <c r="X50">
        <f>HYPERLINK("https://klasma.github.io/Logging_2029/tillsyn/A 55633-2024 tillsynsbegäran.docx", "A 55633-2024")</f>
        <v/>
      </c>
      <c r="Y50">
        <f>HYPERLINK("https://klasma.github.io/Logging_2029/tillsynsmail/A 55633-2024 tillsynsbegäran mail.docx", "A 55633-2024")</f>
        <v/>
      </c>
    </row>
    <row r="51" ht="15" customHeight="1">
      <c r="A51" t="inlineStr">
        <is>
          <t>A 1078-2021</t>
        </is>
      </c>
      <c r="B51" s="1" t="n">
        <v>44207</v>
      </c>
      <c r="C51" s="1" t="n">
        <v>45966</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45966</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45966</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45966</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45966</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45966</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45966</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45966</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45966</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45966</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45966</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45966</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45966</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45966</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45966</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45966</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45966</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45966</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45966</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45966</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45966</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45966</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45966</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45966</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45966</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45966</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45966</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45966</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45966</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45966</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45966</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45966</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45966</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45966</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45966</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45966</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19677-2021</t>
        </is>
      </c>
      <c r="B89" s="1" t="n">
        <v>44312</v>
      </c>
      <c r="C89" s="1" t="n">
        <v>45966</v>
      </c>
      <c r="D89" t="inlineStr">
        <is>
          <t>DALARNAS LÄN</t>
        </is>
      </c>
      <c r="E89" t="inlineStr">
        <is>
          <t>LEKSAND</t>
        </is>
      </c>
      <c r="F89" t="inlineStr">
        <is>
          <t>Bergvik skog väst AB</t>
        </is>
      </c>
      <c r="G89" t="n">
        <v>3.1</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45966</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45966</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45966</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64449-2020</t>
        </is>
      </c>
      <c r="B93" s="1" t="n">
        <v>44168</v>
      </c>
      <c r="C93" s="1" t="n">
        <v>45966</v>
      </c>
      <c r="D93" t="inlineStr">
        <is>
          <t>DALARNAS LÄN</t>
        </is>
      </c>
      <c r="E93" t="inlineStr">
        <is>
          <t>LEKSAND</t>
        </is>
      </c>
      <c r="G93" t="n">
        <v>1.1</v>
      </c>
      <c r="H93" t="n">
        <v>0</v>
      </c>
      <c r="I93" t="n">
        <v>0</v>
      </c>
      <c r="J93" t="n">
        <v>0</v>
      </c>
      <c r="K93" t="n">
        <v>0</v>
      </c>
      <c r="L93" t="n">
        <v>0</v>
      </c>
      <c r="M93" t="n">
        <v>0</v>
      </c>
      <c r="N93" t="n">
        <v>0</v>
      </c>
      <c r="O93" t="n">
        <v>0</v>
      </c>
      <c r="P93" t="n">
        <v>0</v>
      </c>
      <c r="Q93" t="n">
        <v>0</v>
      </c>
      <c r="R93" s="2" t="inlineStr"/>
    </row>
    <row r="94" ht="15" customHeight="1">
      <c r="A94" t="inlineStr">
        <is>
          <t>A 38619-2021</t>
        </is>
      </c>
      <c r="B94" s="1" t="n">
        <v>44409</v>
      </c>
      <c r="C94" s="1" t="n">
        <v>45966</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45966</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8501-2022</t>
        </is>
      </c>
      <c r="B96" s="1" t="n">
        <v>44613.40672453704</v>
      </c>
      <c r="C96" s="1" t="n">
        <v>45966</v>
      </c>
      <c r="D96" t="inlineStr">
        <is>
          <t>DALARNAS LÄN</t>
        </is>
      </c>
      <c r="E96" t="inlineStr">
        <is>
          <t>LEKSAND</t>
        </is>
      </c>
      <c r="G96" t="n">
        <v>3</v>
      </c>
      <c r="H96" t="n">
        <v>0</v>
      </c>
      <c r="I96" t="n">
        <v>0</v>
      </c>
      <c r="J96" t="n">
        <v>0</v>
      </c>
      <c r="K96" t="n">
        <v>0</v>
      </c>
      <c r="L96" t="n">
        <v>0</v>
      </c>
      <c r="M96" t="n">
        <v>0</v>
      </c>
      <c r="N96" t="n">
        <v>0</v>
      </c>
      <c r="O96" t="n">
        <v>0</v>
      </c>
      <c r="P96" t="n">
        <v>0</v>
      </c>
      <c r="Q96" t="n">
        <v>0</v>
      </c>
      <c r="R96" s="2" t="inlineStr"/>
    </row>
    <row r="97" ht="15" customHeight="1">
      <c r="A97" t="inlineStr">
        <is>
          <t>A 43275-2022</t>
        </is>
      </c>
      <c r="B97" s="1" t="n">
        <v>44824</v>
      </c>
      <c r="C97" s="1" t="n">
        <v>45966</v>
      </c>
      <c r="D97" t="inlineStr">
        <is>
          <t>DALARNAS LÄN</t>
        </is>
      </c>
      <c r="E97" t="inlineStr">
        <is>
          <t>LEKSAND</t>
        </is>
      </c>
      <c r="G97" t="n">
        <v>2.1</v>
      </c>
      <c r="H97" t="n">
        <v>0</v>
      </c>
      <c r="I97" t="n">
        <v>0</v>
      </c>
      <c r="J97" t="n">
        <v>0</v>
      </c>
      <c r="K97" t="n">
        <v>0</v>
      </c>
      <c r="L97" t="n">
        <v>0</v>
      </c>
      <c r="M97" t="n">
        <v>0</v>
      </c>
      <c r="N97" t="n">
        <v>0</v>
      </c>
      <c r="O97" t="n">
        <v>0</v>
      </c>
      <c r="P97" t="n">
        <v>0</v>
      </c>
      <c r="Q97" t="n">
        <v>0</v>
      </c>
      <c r="R97" s="2" t="inlineStr"/>
    </row>
    <row r="98" ht="15" customHeight="1">
      <c r="A98" t="inlineStr">
        <is>
          <t>A 43304-2022</t>
        </is>
      </c>
      <c r="B98" s="1" t="n">
        <v>44834</v>
      </c>
      <c r="C98" s="1" t="n">
        <v>45966</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18140-2022</t>
        </is>
      </c>
      <c r="B99" s="1" t="n">
        <v>44684.58278935185</v>
      </c>
      <c r="C99" s="1" t="n">
        <v>45966</v>
      </c>
      <c r="D99" t="inlineStr">
        <is>
          <t>DALARNAS LÄN</t>
        </is>
      </c>
      <c r="E99" t="inlineStr">
        <is>
          <t>LEKSAND</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19480-2022</t>
        </is>
      </c>
      <c r="B100" s="1" t="n">
        <v>44693</v>
      </c>
      <c r="C100" s="1" t="n">
        <v>45966</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67307-2020</t>
        </is>
      </c>
      <c r="B101" s="1" t="n">
        <v>44181</v>
      </c>
      <c r="C101" s="1" t="n">
        <v>45966</v>
      </c>
      <c r="D101" t="inlineStr">
        <is>
          <t>DALARNAS LÄN</t>
        </is>
      </c>
      <c r="E101" t="inlineStr">
        <is>
          <t>LEKSAND</t>
        </is>
      </c>
      <c r="G101" t="n">
        <v>5.9</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45966</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45966</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62279-2021</t>
        </is>
      </c>
      <c r="B104" s="1" t="n">
        <v>44503</v>
      </c>
      <c r="C104" s="1" t="n">
        <v>45966</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70026-2021</t>
        </is>
      </c>
      <c r="B105" s="1" t="n">
        <v>44533</v>
      </c>
      <c r="C105" s="1" t="n">
        <v>45966</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45966</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45155-2021</t>
        </is>
      </c>
      <c r="B107" s="1" t="n">
        <v>44439</v>
      </c>
      <c r="C107" s="1" t="n">
        <v>45966</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45966</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36956-2021</t>
        </is>
      </c>
      <c r="B109" s="1" t="n">
        <v>44393.55643518519</v>
      </c>
      <c r="C109" s="1" t="n">
        <v>45966</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45966</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45966</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45966</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45966</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45966</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27317-2021</t>
        </is>
      </c>
      <c r="B115" s="1" t="n">
        <v>44351</v>
      </c>
      <c r="C115" s="1" t="n">
        <v>45966</v>
      </c>
      <c r="D115" t="inlineStr">
        <is>
          <t>DALARNAS LÄN</t>
        </is>
      </c>
      <c r="E115" t="inlineStr">
        <is>
          <t>LEKSAND</t>
        </is>
      </c>
      <c r="G115" t="n">
        <v>1</v>
      </c>
      <c r="H115" t="n">
        <v>0</v>
      </c>
      <c r="I115" t="n">
        <v>0</v>
      </c>
      <c r="J115" t="n">
        <v>0</v>
      </c>
      <c r="K115" t="n">
        <v>0</v>
      </c>
      <c r="L115" t="n">
        <v>0</v>
      </c>
      <c r="M115" t="n">
        <v>0</v>
      </c>
      <c r="N115" t="n">
        <v>0</v>
      </c>
      <c r="O115" t="n">
        <v>0</v>
      </c>
      <c r="P115" t="n">
        <v>0</v>
      </c>
      <c r="Q115" t="n">
        <v>0</v>
      </c>
      <c r="R115" s="2" t="inlineStr"/>
    </row>
    <row r="116" ht="15" customHeight="1">
      <c r="A116" t="inlineStr">
        <is>
          <t>A 16005-2025</t>
        </is>
      </c>
      <c r="B116" s="1" t="n">
        <v>45749.59765046297</v>
      </c>
      <c r="C116" s="1" t="n">
        <v>45966</v>
      </c>
      <c r="D116" t="inlineStr">
        <is>
          <t>DALARNAS LÄN</t>
        </is>
      </c>
      <c r="E116" t="inlineStr">
        <is>
          <t>LEKSAND</t>
        </is>
      </c>
      <c r="G116" t="n">
        <v>2.1</v>
      </c>
      <c r="H116" t="n">
        <v>0</v>
      </c>
      <c r="I116" t="n">
        <v>0</v>
      </c>
      <c r="J116" t="n">
        <v>0</v>
      </c>
      <c r="K116" t="n">
        <v>0</v>
      </c>
      <c r="L116" t="n">
        <v>0</v>
      </c>
      <c r="M116" t="n">
        <v>0</v>
      </c>
      <c r="N116" t="n">
        <v>0</v>
      </c>
      <c r="O116" t="n">
        <v>0</v>
      </c>
      <c r="P116" t="n">
        <v>0</v>
      </c>
      <c r="Q116" t="n">
        <v>0</v>
      </c>
      <c r="R116" s="2" t="inlineStr"/>
    </row>
    <row r="117" ht="15" customHeight="1">
      <c r="A117" t="inlineStr">
        <is>
          <t>A 12923-2025</t>
        </is>
      </c>
      <c r="B117" s="1" t="n">
        <v>45734.29193287037</v>
      </c>
      <c r="C117" s="1" t="n">
        <v>45966</v>
      </c>
      <c r="D117" t="inlineStr">
        <is>
          <t>DALARNAS LÄN</t>
        </is>
      </c>
      <c r="E117" t="inlineStr">
        <is>
          <t>LEKSAND</t>
        </is>
      </c>
      <c r="G117" t="n">
        <v>7.2</v>
      </c>
      <c r="H117" t="n">
        <v>0</v>
      </c>
      <c r="I117" t="n">
        <v>0</v>
      </c>
      <c r="J117" t="n">
        <v>0</v>
      </c>
      <c r="K117" t="n">
        <v>0</v>
      </c>
      <c r="L117" t="n">
        <v>0</v>
      </c>
      <c r="M117" t="n">
        <v>0</v>
      </c>
      <c r="N117" t="n">
        <v>0</v>
      </c>
      <c r="O117" t="n">
        <v>0</v>
      </c>
      <c r="P117" t="n">
        <v>0</v>
      </c>
      <c r="Q117" t="n">
        <v>0</v>
      </c>
      <c r="R117" s="2" t="inlineStr"/>
    </row>
    <row r="118" ht="15" customHeight="1">
      <c r="A118" t="inlineStr">
        <is>
          <t>A 5738-2023</t>
        </is>
      </c>
      <c r="B118" s="1" t="n">
        <v>44962</v>
      </c>
      <c r="C118" s="1" t="n">
        <v>45966</v>
      </c>
      <c r="D118" t="inlineStr">
        <is>
          <t>DALARNAS LÄN</t>
        </is>
      </c>
      <c r="E118" t="inlineStr">
        <is>
          <t>LEKSAND</t>
        </is>
      </c>
      <c r="G118" t="n">
        <v>0.2</v>
      </c>
      <c r="H118" t="n">
        <v>0</v>
      </c>
      <c r="I118" t="n">
        <v>0</v>
      </c>
      <c r="J118" t="n">
        <v>0</v>
      </c>
      <c r="K118" t="n">
        <v>0</v>
      </c>
      <c r="L118" t="n">
        <v>0</v>
      </c>
      <c r="M118" t="n">
        <v>0</v>
      </c>
      <c r="N118" t="n">
        <v>0</v>
      </c>
      <c r="O118" t="n">
        <v>0</v>
      </c>
      <c r="P118" t="n">
        <v>0</v>
      </c>
      <c r="Q118" t="n">
        <v>0</v>
      </c>
      <c r="R118" s="2" t="inlineStr"/>
    </row>
    <row r="119" ht="15" customHeight="1">
      <c r="A119" t="inlineStr">
        <is>
          <t>A 8940-2023</t>
        </is>
      </c>
      <c r="B119" s="1" t="n">
        <v>44974</v>
      </c>
      <c r="C119" s="1" t="n">
        <v>45966</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11128-2023</t>
        </is>
      </c>
      <c r="B120" s="1" t="n">
        <v>44992</v>
      </c>
      <c r="C120" s="1" t="n">
        <v>45966</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34482-2022</t>
        </is>
      </c>
      <c r="B121" s="1" t="n">
        <v>44792</v>
      </c>
      <c r="C121" s="1" t="n">
        <v>45966</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1458-2024</t>
        </is>
      </c>
      <c r="B122" s="1" t="n">
        <v>45303</v>
      </c>
      <c r="C122" s="1" t="n">
        <v>45966</v>
      </c>
      <c r="D122" t="inlineStr">
        <is>
          <t>DALARNAS LÄN</t>
        </is>
      </c>
      <c r="E122" t="inlineStr">
        <is>
          <t>LEKSAND</t>
        </is>
      </c>
      <c r="G122" t="n">
        <v>2</v>
      </c>
      <c r="H122" t="n">
        <v>0</v>
      </c>
      <c r="I122" t="n">
        <v>0</v>
      </c>
      <c r="J122" t="n">
        <v>0</v>
      </c>
      <c r="K122" t="n">
        <v>0</v>
      </c>
      <c r="L122" t="n">
        <v>0</v>
      </c>
      <c r="M122" t="n">
        <v>0</v>
      </c>
      <c r="N122" t="n">
        <v>0</v>
      </c>
      <c r="O122" t="n">
        <v>0</v>
      </c>
      <c r="P122" t="n">
        <v>0</v>
      </c>
      <c r="Q122" t="n">
        <v>0</v>
      </c>
      <c r="R122" s="2" t="inlineStr"/>
    </row>
    <row r="123" ht="15" customHeight="1">
      <c r="A123" t="inlineStr">
        <is>
          <t>A 1461-2024</t>
        </is>
      </c>
      <c r="B123" s="1" t="n">
        <v>45303</v>
      </c>
      <c r="C123" s="1" t="n">
        <v>45966</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5584-2024</t>
        </is>
      </c>
      <c r="B124" s="1" t="n">
        <v>45334</v>
      </c>
      <c r="C124" s="1" t="n">
        <v>45966</v>
      </c>
      <c r="D124" t="inlineStr">
        <is>
          <t>DALARNAS LÄN</t>
        </is>
      </c>
      <c r="E124" t="inlineStr">
        <is>
          <t>LEKSAND</t>
        </is>
      </c>
      <c r="F124" t="inlineStr">
        <is>
          <t>Kyrkan</t>
        </is>
      </c>
      <c r="G124" t="n">
        <v>0.4</v>
      </c>
      <c r="H124" t="n">
        <v>0</v>
      </c>
      <c r="I124" t="n">
        <v>0</v>
      </c>
      <c r="J124" t="n">
        <v>0</v>
      </c>
      <c r="K124" t="n">
        <v>0</v>
      </c>
      <c r="L124" t="n">
        <v>0</v>
      </c>
      <c r="M124" t="n">
        <v>0</v>
      </c>
      <c r="N124" t="n">
        <v>0</v>
      </c>
      <c r="O124" t="n">
        <v>0</v>
      </c>
      <c r="P124" t="n">
        <v>0</v>
      </c>
      <c r="Q124" t="n">
        <v>0</v>
      </c>
      <c r="R124" s="2" t="inlineStr"/>
    </row>
    <row r="125" ht="15" customHeight="1">
      <c r="A125" t="inlineStr">
        <is>
          <t>A 51860-2024</t>
        </is>
      </c>
      <c r="B125" s="1" t="n">
        <v>45607.54511574074</v>
      </c>
      <c r="C125" s="1" t="n">
        <v>45966</v>
      </c>
      <c r="D125" t="inlineStr">
        <is>
          <t>DALARNAS LÄN</t>
        </is>
      </c>
      <c r="E125" t="inlineStr">
        <is>
          <t>LEKSAND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22681-2022</t>
        </is>
      </c>
      <c r="B126" s="1" t="n">
        <v>44714.50961805556</v>
      </c>
      <c r="C126" s="1" t="n">
        <v>45966</v>
      </c>
      <c r="D126" t="inlineStr">
        <is>
          <t>DALARNAS LÄN</t>
        </is>
      </c>
      <c r="E126" t="inlineStr">
        <is>
          <t>LEKSAND</t>
        </is>
      </c>
      <c r="F126" t="inlineStr">
        <is>
          <t>Bergvik skog väst AB</t>
        </is>
      </c>
      <c r="G126" t="n">
        <v>2.8</v>
      </c>
      <c r="H126" t="n">
        <v>0</v>
      </c>
      <c r="I126" t="n">
        <v>0</v>
      </c>
      <c r="J126" t="n">
        <v>0</v>
      </c>
      <c r="K126" t="n">
        <v>0</v>
      </c>
      <c r="L126" t="n">
        <v>0</v>
      </c>
      <c r="M126" t="n">
        <v>0</v>
      </c>
      <c r="N126" t="n">
        <v>0</v>
      </c>
      <c r="O126" t="n">
        <v>0</v>
      </c>
      <c r="P126" t="n">
        <v>0</v>
      </c>
      <c r="Q126" t="n">
        <v>0</v>
      </c>
      <c r="R126" s="2" t="inlineStr"/>
    </row>
    <row r="127" ht="15" customHeight="1">
      <c r="A127" t="inlineStr">
        <is>
          <t>A 38001-2023</t>
        </is>
      </c>
      <c r="B127" s="1" t="n">
        <v>45160</v>
      </c>
      <c r="C127" s="1" t="n">
        <v>45966</v>
      </c>
      <c r="D127" t="inlineStr">
        <is>
          <t>DALARNAS LÄN</t>
        </is>
      </c>
      <c r="E127" t="inlineStr">
        <is>
          <t>LEKSAND</t>
        </is>
      </c>
      <c r="G127" t="n">
        <v>3.6</v>
      </c>
      <c r="H127" t="n">
        <v>0</v>
      </c>
      <c r="I127" t="n">
        <v>0</v>
      </c>
      <c r="J127" t="n">
        <v>0</v>
      </c>
      <c r="K127" t="n">
        <v>0</v>
      </c>
      <c r="L127" t="n">
        <v>0</v>
      </c>
      <c r="M127" t="n">
        <v>0</v>
      </c>
      <c r="N127" t="n">
        <v>0</v>
      </c>
      <c r="O127" t="n">
        <v>0</v>
      </c>
      <c r="P127" t="n">
        <v>0</v>
      </c>
      <c r="Q127" t="n">
        <v>0</v>
      </c>
      <c r="R127" s="2" t="inlineStr"/>
    </row>
    <row r="128" ht="15" customHeight="1">
      <c r="A128" t="inlineStr">
        <is>
          <t>A 47673-2023</t>
        </is>
      </c>
      <c r="B128" s="1" t="n">
        <v>45203</v>
      </c>
      <c r="C128" s="1" t="n">
        <v>45966</v>
      </c>
      <c r="D128" t="inlineStr">
        <is>
          <t>DALARNAS LÄN</t>
        </is>
      </c>
      <c r="E128" t="inlineStr">
        <is>
          <t>LEKSAND</t>
        </is>
      </c>
      <c r="G128" t="n">
        <v>2</v>
      </c>
      <c r="H128" t="n">
        <v>0</v>
      </c>
      <c r="I128" t="n">
        <v>0</v>
      </c>
      <c r="J128" t="n">
        <v>0</v>
      </c>
      <c r="K128" t="n">
        <v>0</v>
      </c>
      <c r="L128" t="n">
        <v>0</v>
      </c>
      <c r="M128" t="n">
        <v>0</v>
      </c>
      <c r="N128" t="n">
        <v>0</v>
      </c>
      <c r="O128" t="n">
        <v>0</v>
      </c>
      <c r="P128" t="n">
        <v>0</v>
      </c>
      <c r="Q128" t="n">
        <v>0</v>
      </c>
      <c r="R128" s="2" t="inlineStr"/>
    </row>
    <row r="129" ht="15" customHeight="1">
      <c r="A129" t="inlineStr">
        <is>
          <t>A 19820-2024</t>
        </is>
      </c>
      <c r="B129" s="1" t="n">
        <v>45433.33907407407</v>
      </c>
      <c r="C129" s="1" t="n">
        <v>45966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19823-2024</t>
        </is>
      </c>
      <c r="B130" s="1" t="n">
        <v>45433.34469907408</v>
      </c>
      <c r="C130" s="1" t="n">
        <v>45966</v>
      </c>
      <c r="D130" t="inlineStr">
        <is>
          <t>DALARNAS LÄN</t>
        </is>
      </c>
      <c r="E130" t="inlineStr">
        <is>
          <t>LEKSAND</t>
        </is>
      </c>
      <c r="G130" t="n">
        <v>0.3</v>
      </c>
      <c r="H130" t="n">
        <v>0</v>
      </c>
      <c r="I130" t="n">
        <v>0</v>
      </c>
      <c r="J130" t="n">
        <v>0</v>
      </c>
      <c r="K130" t="n">
        <v>0</v>
      </c>
      <c r="L130" t="n">
        <v>0</v>
      </c>
      <c r="M130" t="n">
        <v>0</v>
      </c>
      <c r="N130" t="n">
        <v>0</v>
      </c>
      <c r="O130" t="n">
        <v>0</v>
      </c>
      <c r="P130" t="n">
        <v>0</v>
      </c>
      <c r="Q130" t="n">
        <v>0</v>
      </c>
      <c r="R130" s="2" t="inlineStr"/>
    </row>
    <row r="131" ht="15" customHeight="1">
      <c r="A131" t="inlineStr">
        <is>
          <t>A 32635-2021</t>
        </is>
      </c>
      <c r="B131" s="1" t="n">
        <v>44374</v>
      </c>
      <c r="C131" s="1" t="n">
        <v>45966</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7653-2025</t>
        </is>
      </c>
      <c r="B132" s="1" t="n">
        <v>45705.95238425926</v>
      </c>
      <c r="C132" s="1" t="n">
        <v>45966</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1457-2024</t>
        </is>
      </c>
      <c r="B133" s="1" t="n">
        <v>45303</v>
      </c>
      <c r="C133" s="1" t="n">
        <v>45966</v>
      </c>
      <c r="D133" t="inlineStr">
        <is>
          <t>DALARNAS LÄN</t>
        </is>
      </c>
      <c r="E133" t="inlineStr">
        <is>
          <t>LEKSAND</t>
        </is>
      </c>
      <c r="G133" t="n">
        <v>4.4</v>
      </c>
      <c r="H133" t="n">
        <v>0</v>
      </c>
      <c r="I133" t="n">
        <v>0</v>
      </c>
      <c r="J133" t="n">
        <v>0</v>
      </c>
      <c r="K133" t="n">
        <v>0</v>
      </c>
      <c r="L133" t="n">
        <v>0</v>
      </c>
      <c r="M133" t="n">
        <v>0</v>
      </c>
      <c r="N133" t="n">
        <v>0</v>
      </c>
      <c r="O133" t="n">
        <v>0</v>
      </c>
      <c r="P133" t="n">
        <v>0</v>
      </c>
      <c r="Q133" t="n">
        <v>0</v>
      </c>
      <c r="R133" s="2" t="inlineStr"/>
    </row>
    <row r="134" ht="15" customHeight="1">
      <c r="A134" t="inlineStr">
        <is>
          <t>A 6039-2023</t>
        </is>
      </c>
      <c r="B134" s="1" t="n">
        <v>44959</v>
      </c>
      <c r="C134" s="1" t="n">
        <v>45966</v>
      </c>
      <c r="D134" t="inlineStr">
        <is>
          <t>DALARNAS LÄN</t>
        </is>
      </c>
      <c r="E134" t="inlineStr">
        <is>
          <t>LEKSAND</t>
        </is>
      </c>
      <c r="G134" t="n">
        <v>1.3</v>
      </c>
      <c r="H134" t="n">
        <v>0</v>
      </c>
      <c r="I134" t="n">
        <v>0</v>
      </c>
      <c r="J134" t="n">
        <v>0</v>
      </c>
      <c r="K134" t="n">
        <v>0</v>
      </c>
      <c r="L134" t="n">
        <v>0</v>
      </c>
      <c r="M134" t="n">
        <v>0</v>
      </c>
      <c r="N134" t="n">
        <v>0</v>
      </c>
      <c r="O134" t="n">
        <v>0</v>
      </c>
      <c r="P134" t="n">
        <v>0</v>
      </c>
      <c r="Q134" t="n">
        <v>0</v>
      </c>
      <c r="R134" s="2" t="inlineStr"/>
    </row>
    <row r="135" ht="15" customHeight="1">
      <c r="A135" t="inlineStr">
        <is>
          <t>A 6758-2024</t>
        </is>
      </c>
      <c r="B135" s="1" t="n">
        <v>45342.46857638889</v>
      </c>
      <c r="C135" s="1" t="n">
        <v>45966</v>
      </c>
      <c r="D135" t="inlineStr">
        <is>
          <t>DALARNAS LÄN</t>
        </is>
      </c>
      <c r="E135" t="inlineStr">
        <is>
          <t>LEKSAND</t>
        </is>
      </c>
      <c r="F135" t="inlineStr">
        <is>
          <t>Bergvik skog väst AB</t>
        </is>
      </c>
      <c r="G135" t="n">
        <v>6.2</v>
      </c>
      <c r="H135" t="n">
        <v>0</v>
      </c>
      <c r="I135" t="n">
        <v>0</v>
      </c>
      <c r="J135" t="n">
        <v>0</v>
      </c>
      <c r="K135" t="n">
        <v>0</v>
      </c>
      <c r="L135" t="n">
        <v>0</v>
      </c>
      <c r="M135" t="n">
        <v>0</v>
      </c>
      <c r="N135" t="n">
        <v>0</v>
      </c>
      <c r="O135" t="n">
        <v>0</v>
      </c>
      <c r="P135" t="n">
        <v>0</v>
      </c>
      <c r="Q135" t="n">
        <v>0</v>
      </c>
      <c r="R135" s="2" t="inlineStr"/>
    </row>
    <row r="136" ht="15" customHeight="1">
      <c r="A136" t="inlineStr">
        <is>
          <t>A 47068-2025</t>
        </is>
      </c>
      <c r="B136" s="1" t="n">
        <v>45929.63511574074</v>
      </c>
      <c r="C136" s="1" t="n">
        <v>45966</v>
      </c>
      <c r="D136" t="inlineStr">
        <is>
          <t>DALARNAS LÄN</t>
        </is>
      </c>
      <c r="E136" t="inlineStr">
        <is>
          <t>LEKSAND</t>
        </is>
      </c>
      <c r="G136" t="n">
        <v>3.4</v>
      </c>
      <c r="H136" t="n">
        <v>0</v>
      </c>
      <c r="I136" t="n">
        <v>0</v>
      </c>
      <c r="J136" t="n">
        <v>0</v>
      </c>
      <c r="K136" t="n">
        <v>0</v>
      </c>
      <c r="L136" t="n">
        <v>0</v>
      </c>
      <c r="M136" t="n">
        <v>0</v>
      </c>
      <c r="N136" t="n">
        <v>0</v>
      </c>
      <c r="O136" t="n">
        <v>0</v>
      </c>
      <c r="P136" t="n">
        <v>0</v>
      </c>
      <c r="Q136" t="n">
        <v>0</v>
      </c>
      <c r="R136" s="2" t="inlineStr"/>
    </row>
    <row r="137" ht="15" customHeight="1">
      <c r="A137" t="inlineStr">
        <is>
          <t>A 4257-2022</t>
        </is>
      </c>
      <c r="B137" s="1" t="n">
        <v>44588</v>
      </c>
      <c r="C137" s="1" t="n">
        <v>45966</v>
      </c>
      <c r="D137" t="inlineStr">
        <is>
          <t>DALARNAS LÄN</t>
        </is>
      </c>
      <c r="E137" t="inlineStr">
        <is>
          <t>LEKSAND</t>
        </is>
      </c>
      <c r="G137" t="n">
        <v>6.8</v>
      </c>
      <c r="H137" t="n">
        <v>0</v>
      </c>
      <c r="I137" t="n">
        <v>0</v>
      </c>
      <c r="J137" t="n">
        <v>0</v>
      </c>
      <c r="K137" t="n">
        <v>0</v>
      </c>
      <c r="L137" t="n">
        <v>0</v>
      </c>
      <c r="M137" t="n">
        <v>0</v>
      </c>
      <c r="N137" t="n">
        <v>0</v>
      </c>
      <c r="O137" t="n">
        <v>0</v>
      </c>
      <c r="P137" t="n">
        <v>0</v>
      </c>
      <c r="Q137" t="n">
        <v>0</v>
      </c>
      <c r="R137" s="2" t="inlineStr"/>
    </row>
    <row r="138" ht="15" customHeight="1">
      <c r="A138" t="inlineStr">
        <is>
          <t>A 38498-2025</t>
        </is>
      </c>
      <c r="B138" s="1" t="n">
        <v>45884.3706712963</v>
      </c>
      <c r="C138" s="1" t="n">
        <v>45966</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40007-2024</t>
        </is>
      </c>
      <c r="B139" s="1" t="n">
        <v>45553.6516550926</v>
      </c>
      <c r="C139" s="1" t="n">
        <v>45966</v>
      </c>
      <c r="D139" t="inlineStr">
        <is>
          <t>DALARNAS LÄN</t>
        </is>
      </c>
      <c r="E139" t="inlineStr">
        <is>
          <t>LEKSAND</t>
        </is>
      </c>
      <c r="F139" t="inlineStr">
        <is>
          <t>Bergvik skog väst AB</t>
        </is>
      </c>
      <c r="G139" t="n">
        <v>3.2</v>
      </c>
      <c r="H139" t="n">
        <v>0</v>
      </c>
      <c r="I139" t="n">
        <v>0</v>
      </c>
      <c r="J139" t="n">
        <v>0</v>
      </c>
      <c r="K139" t="n">
        <v>0</v>
      </c>
      <c r="L139" t="n">
        <v>0</v>
      </c>
      <c r="M139" t="n">
        <v>0</v>
      </c>
      <c r="N139" t="n">
        <v>0</v>
      </c>
      <c r="O139" t="n">
        <v>0</v>
      </c>
      <c r="P139" t="n">
        <v>0</v>
      </c>
      <c r="Q139" t="n">
        <v>0</v>
      </c>
      <c r="R139" s="2" t="inlineStr"/>
    </row>
    <row r="140" ht="15" customHeight="1">
      <c r="A140" t="inlineStr">
        <is>
          <t>A 45040-2021</t>
        </is>
      </c>
      <c r="B140" s="1" t="n">
        <v>44438</v>
      </c>
      <c r="C140" s="1" t="n">
        <v>45966</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33198-2022</t>
        </is>
      </c>
      <c r="B141" s="1" t="n">
        <v>44785.68597222222</v>
      </c>
      <c r="C141" s="1" t="n">
        <v>45966</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28921-2023</t>
        </is>
      </c>
      <c r="B142" s="1" t="n">
        <v>45104</v>
      </c>
      <c r="C142" s="1" t="n">
        <v>45966</v>
      </c>
      <c r="D142" t="inlineStr">
        <is>
          <t>DALARNAS LÄN</t>
        </is>
      </c>
      <c r="E142" t="inlineStr">
        <is>
          <t>LEKSAND</t>
        </is>
      </c>
      <c r="G142" t="n">
        <v>4.4</v>
      </c>
      <c r="H142" t="n">
        <v>0</v>
      </c>
      <c r="I142" t="n">
        <v>0</v>
      </c>
      <c r="J142" t="n">
        <v>0</v>
      </c>
      <c r="K142" t="n">
        <v>0</v>
      </c>
      <c r="L142" t="n">
        <v>0</v>
      </c>
      <c r="M142" t="n">
        <v>0</v>
      </c>
      <c r="N142" t="n">
        <v>0</v>
      </c>
      <c r="O142" t="n">
        <v>0</v>
      </c>
      <c r="P142" t="n">
        <v>0</v>
      </c>
      <c r="Q142" t="n">
        <v>0</v>
      </c>
      <c r="R142" s="2" t="inlineStr"/>
    </row>
    <row r="143" ht="15" customHeight="1">
      <c r="A143" t="inlineStr">
        <is>
          <t>A 9938-2023</t>
        </is>
      </c>
      <c r="B143" s="1" t="n">
        <v>44985</v>
      </c>
      <c r="C143" s="1" t="n">
        <v>45966</v>
      </c>
      <c r="D143" t="inlineStr">
        <is>
          <t>DALARNAS LÄN</t>
        </is>
      </c>
      <c r="E143" t="inlineStr">
        <is>
          <t>LEKSAND</t>
        </is>
      </c>
      <c r="G143" t="n">
        <v>3.1</v>
      </c>
      <c r="H143" t="n">
        <v>0</v>
      </c>
      <c r="I143" t="n">
        <v>0</v>
      </c>
      <c r="J143" t="n">
        <v>0</v>
      </c>
      <c r="K143" t="n">
        <v>0</v>
      </c>
      <c r="L143" t="n">
        <v>0</v>
      </c>
      <c r="M143" t="n">
        <v>0</v>
      </c>
      <c r="N143" t="n">
        <v>0</v>
      </c>
      <c r="O143" t="n">
        <v>0</v>
      </c>
      <c r="P143" t="n">
        <v>0</v>
      </c>
      <c r="Q143" t="n">
        <v>0</v>
      </c>
      <c r="R143" s="2" t="inlineStr"/>
    </row>
    <row r="144" ht="15" customHeight="1">
      <c r="A144" t="inlineStr">
        <is>
          <t>A 30998-2023</t>
        </is>
      </c>
      <c r="B144" s="1" t="n">
        <v>45113.54193287037</v>
      </c>
      <c r="C144" s="1" t="n">
        <v>45966</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31254-2023</t>
        </is>
      </c>
      <c r="B145" s="1" t="n">
        <v>45114</v>
      </c>
      <c r="C145" s="1" t="n">
        <v>45966</v>
      </c>
      <c r="D145" t="inlineStr">
        <is>
          <t>DALARNAS LÄN</t>
        </is>
      </c>
      <c r="E145" t="inlineStr">
        <is>
          <t>LEKSAND</t>
        </is>
      </c>
      <c r="G145" t="n">
        <v>1.4</v>
      </c>
      <c r="H145" t="n">
        <v>0</v>
      </c>
      <c r="I145" t="n">
        <v>0</v>
      </c>
      <c r="J145" t="n">
        <v>0</v>
      </c>
      <c r="K145" t="n">
        <v>0</v>
      </c>
      <c r="L145" t="n">
        <v>0</v>
      </c>
      <c r="M145" t="n">
        <v>0</v>
      </c>
      <c r="N145" t="n">
        <v>0</v>
      </c>
      <c r="O145" t="n">
        <v>0</v>
      </c>
      <c r="P145" t="n">
        <v>0</v>
      </c>
      <c r="Q145" t="n">
        <v>0</v>
      </c>
      <c r="R145" s="2" t="inlineStr"/>
    </row>
    <row r="146" ht="15" customHeight="1">
      <c r="A146" t="inlineStr">
        <is>
          <t>A 31726-2024</t>
        </is>
      </c>
      <c r="B146" s="1" t="n">
        <v>45509.33908564815</v>
      </c>
      <c r="C146" s="1" t="n">
        <v>45966</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46978-2025</t>
        </is>
      </c>
      <c r="B147" s="1" t="n">
        <v>45929.51811342593</v>
      </c>
      <c r="C147" s="1" t="n">
        <v>45966</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26957-2023</t>
        </is>
      </c>
      <c r="B148" s="1" t="n">
        <v>45093</v>
      </c>
      <c r="C148" s="1" t="n">
        <v>45966</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39595-2023</t>
        </is>
      </c>
      <c r="B149" s="1" t="n">
        <v>45167</v>
      </c>
      <c r="C149" s="1" t="n">
        <v>45966</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23283-2024</t>
        </is>
      </c>
      <c r="B150" s="1" t="n">
        <v>45453</v>
      </c>
      <c r="C150" s="1" t="n">
        <v>45966</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7897-2025</t>
        </is>
      </c>
      <c r="B151" s="1" t="n">
        <v>45707.30969907407</v>
      </c>
      <c r="C151" s="1" t="n">
        <v>45966</v>
      </c>
      <c r="D151" t="inlineStr">
        <is>
          <t>DALARNAS LÄN</t>
        </is>
      </c>
      <c r="E151" t="inlineStr">
        <is>
          <t>LEKSAND</t>
        </is>
      </c>
      <c r="G151" t="n">
        <v>3.1</v>
      </c>
      <c r="H151" t="n">
        <v>0</v>
      </c>
      <c r="I151" t="n">
        <v>0</v>
      </c>
      <c r="J151" t="n">
        <v>0</v>
      </c>
      <c r="K151" t="n">
        <v>0</v>
      </c>
      <c r="L151" t="n">
        <v>0</v>
      </c>
      <c r="M151" t="n">
        <v>0</v>
      </c>
      <c r="N151" t="n">
        <v>0</v>
      </c>
      <c r="O151" t="n">
        <v>0</v>
      </c>
      <c r="P151" t="n">
        <v>0</v>
      </c>
      <c r="Q151" t="n">
        <v>0</v>
      </c>
      <c r="R151" s="2" t="inlineStr"/>
    </row>
    <row r="152" ht="15" customHeight="1">
      <c r="A152" t="inlineStr">
        <is>
          <t>A 39807-2024</t>
        </is>
      </c>
      <c r="B152" s="1" t="n">
        <v>45553.35763888889</v>
      </c>
      <c r="C152" s="1" t="n">
        <v>45966</v>
      </c>
      <c r="D152" t="inlineStr">
        <is>
          <t>DALARNAS LÄN</t>
        </is>
      </c>
      <c r="E152" t="inlineStr">
        <is>
          <t>LEKSAND</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38721-2025</t>
        </is>
      </c>
      <c r="B153" s="1" t="n">
        <v>45886.83605324074</v>
      </c>
      <c r="C153" s="1" t="n">
        <v>45966</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40642-2023</t>
        </is>
      </c>
      <c r="B154" s="1" t="n">
        <v>45169</v>
      </c>
      <c r="C154" s="1" t="n">
        <v>45966</v>
      </c>
      <c r="D154" t="inlineStr">
        <is>
          <t>DALARNAS LÄN</t>
        </is>
      </c>
      <c r="E154" t="inlineStr">
        <is>
          <t>LEKSAND</t>
        </is>
      </c>
      <c r="G154" t="n">
        <v>1.9</v>
      </c>
      <c r="H154" t="n">
        <v>0</v>
      </c>
      <c r="I154" t="n">
        <v>0</v>
      </c>
      <c r="J154" t="n">
        <v>0</v>
      </c>
      <c r="K154" t="n">
        <v>0</v>
      </c>
      <c r="L154" t="n">
        <v>0</v>
      </c>
      <c r="M154" t="n">
        <v>0</v>
      </c>
      <c r="N154" t="n">
        <v>0</v>
      </c>
      <c r="O154" t="n">
        <v>0</v>
      </c>
      <c r="P154" t="n">
        <v>0</v>
      </c>
      <c r="Q154" t="n">
        <v>0</v>
      </c>
      <c r="R154" s="2" t="inlineStr"/>
    </row>
    <row r="155" ht="15" customHeight="1">
      <c r="A155" t="inlineStr">
        <is>
          <t>A 46949-2025</t>
        </is>
      </c>
      <c r="B155" s="1" t="n">
        <v>45929.46811342592</v>
      </c>
      <c r="C155" s="1" t="n">
        <v>45966</v>
      </c>
      <c r="D155" t="inlineStr">
        <is>
          <t>DALARNAS LÄN</t>
        </is>
      </c>
      <c r="E155" t="inlineStr">
        <is>
          <t>LEKSAND</t>
        </is>
      </c>
      <c r="G155" t="n">
        <v>5</v>
      </c>
      <c r="H155" t="n">
        <v>0</v>
      </c>
      <c r="I155" t="n">
        <v>0</v>
      </c>
      <c r="J155" t="n">
        <v>0</v>
      </c>
      <c r="K155" t="n">
        <v>0</v>
      </c>
      <c r="L155" t="n">
        <v>0</v>
      </c>
      <c r="M155" t="n">
        <v>0</v>
      </c>
      <c r="N155" t="n">
        <v>0</v>
      </c>
      <c r="O155" t="n">
        <v>0</v>
      </c>
      <c r="P155" t="n">
        <v>0</v>
      </c>
      <c r="Q155" t="n">
        <v>0</v>
      </c>
      <c r="R155" s="2" t="inlineStr"/>
    </row>
    <row r="156" ht="15" customHeight="1">
      <c r="A156" t="inlineStr">
        <is>
          <t>A 1463-2024</t>
        </is>
      </c>
      <c r="B156" s="1" t="n">
        <v>45303</v>
      </c>
      <c r="C156" s="1" t="n">
        <v>45966</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16611-2024</t>
        </is>
      </c>
      <c r="B157" s="1" t="n">
        <v>45408.55504629629</v>
      </c>
      <c r="C157" s="1" t="n">
        <v>45966</v>
      </c>
      <c r="D157" t="inlineStr">
        <is>
          <t>DALARNAS LÄN</t>
        </is>
      </c>
      <c r="E157" t="inlineStr">
        <is>
          <t>LEKSAND</t>
        </is>
      </c>
      <c r="G157" t="n">
        <v>5.9</v>
      </c>
      <c r="H157" t="n">
        <v>0</v>
      </c>
      <c r="I157" t="n">
        <v>0</v>
      </c>
      <c r="J157" t="n">
        <v>0</v>
      </c>
      <c r="K157" t="n">
        <v>0</v>
      </c>
      <c r="L157" t="n">
        <v>0</v>
      </c>
      <c r="M157" t="n">
        <v>0</v>
      </c>
      <c r="N157" t="n">
        <v>0</v>
      </c>
      <c r="O157" t="n">
        <v>0</v>
      </c>
      <c r="P157" t="n">
        <v>0</v>
      </c>
      <c r="Q157" t="n">
        <v>0</v>
      </c>
      <c r="R157" s="2" t="inlineStr"/>
    </row>
    <row r="158" ht="15" customHeight="1">
      <c r="A158" t="inlineStr">
        <is>
          <t>A 47640-2024</t>
        </is>
      </c>
      <c r="B158" s="1" t="n">
        <v>45588.36508101852</v>
      </c>
      <c r="C158" s="1" t="n">
        <v>45966</v>
      </c>
      <c r="D158" t="inlineStr">
        <is>
          <t>DALARNAS LÄN</t>
        </is>
      </c>
      <c r="E158" t="inlineStr">
        <is>
          <t>LEKSAND</t>
        </is>
      </c>
      <c r="G158" t="n">
        <v>9.1</v>
      </c>
      <c r="H158" t="n">
        <v>0</v>
      </c>
      <c r="I158" t="n">
        <v>0</v>
      </c>
      <c r="J158" t="n">
        <v>0</v>
      </c>
      <c r="K158" t="n">
        <v>0</v>
      </c>
      <c r="L158" t="n">
        <v>0</v>
      </c>
      <c r="M158" t="n">
        <v>0</v>
      </c>
      <c r="N158" t="n">
        <v>0</v>
      </c>
      <c r="O158" t="n">
        <v>0</v>
      </c>
      <c r="P158" t="n">
        <v>0</v>
      </c>
      <c r="Q158" t="n">
        <v>0</v>
      </c>
      <c r="R158" s="2" t="inlineStr"/>
    </row>
    <row r="159" ht="15" customHeight="1">
      <c r="A159" t="inlineStr">
        <is>
          <t>A 57933-2024</t>
        </is>
      </c>
      <c r="B159" s="1" t="n">
        <v>45630</v>
      </c>
      <c r="C159" s="1" t="n">
        <v>45966</v>
      </c>
      <c r="D159" t="inlineStr">
        <is>
          <t>DALARNAS LÄN</t>
        </is>
      </c>
      <c r="E159" t="inlineStr">
        <is>
          <t>LEKSAND</t>
        </is>
      </c>
      <c r="G159" t="n">
        <v>1.1</v>
      </c>
      <c r="H159" t="n">
        <v>0</v>
      </c>
      <c r="I159" t="n">
        <v>0</v>
      </c>
      <c r="J159" t="n">
        <v>0</v>
      </c>
      <c r="K159" t="n">
        <v>0</v>
      </c>
      <c r="L159" t="n">
        <v>0</v>
      </c>
      <c r="M159" t="n">
        <v>0</v>
      </c>
      <c r="N159" t="n">
        <v>0</v>
      </c>
      <c r="O159" t="n">
        <v>0</v>
      </c>
      <c r="P159" t="n">
        <v>0</v>
      </c>
      <c r="Q159" t="n">
        <v>0</v>
      </c>
      <c r="R159" s="2" t="inlineStr"/>
    </row>
    <row r="160" ht="15" customHeight="1">
      <c r="A160" t="inlineStr">
        <is>
          <t>A 45768-2023</t>
        </is>
      </c>
      <c r="B160" s="1" t="n">
        <v>45195</v>
      </c>
      <c r="C160" s="1" t="n">
        <v>45966</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60095-2022</t>
        </is>
      </c>
      <c r="B161" s="1" t="n">
        <v>44909</v>
      </c>
      <c r="C161" s="1" t="n">
        <v>45966</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30595-2023</t>
        </is>
      </c>
      <c r="B162" s="1" t="n">
        <v>45112</v>
      </c>
      <c r="C162" s="1" t="n">
        <v>45966</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25025-2023</t>
        </is>
      </c>
      <c r="B163" s="1" t="n">
        <v>45085.92146990741</v>
      </c>
      <c r="C163" s="1" t="n">
        <v>45966</v>
      </c>
      <c r="D163" t="inlineStr">
        <is>
          <t>DALARNAS LÄN</t>
        </is>
      </c>
      <c r="E163" t="inlineStr">
        <is>
          <t>LEKSAND</t>
        </is>
      </c>
      <c r="G163" t="n">
        <v>3</v>
      </c>
      <c r="H163" t="n">
        <v>0</v>
      </c>
      <c r="I163" t="n">
        <v>0</v>
      </c>
      <c r="J163" t="n">
        <v>0</v>
      </c>
      <c r="K163" t="n">
        <v>0</v>
      </c>
      <c r="L163" t="n">
        <v>0</v>
      </c>
      <c r="M163" t="n">
        <v>0</v>
      </c>
      <c r="N163" t="n">
        <v>0</v>
      </c>
      <c r="O163" t="n">
        <v>0</v>
      </c>
      <c r="P163" t="n">
        <v>0</v>
      </c>
      <c r="Q163" t="n">
        <v>0</v>
      </c>
      <c r="R163" s="2" t="inlineStr"/>
    </row>
    <row r="164" ht="15" customHeight="1">
      <c r="A164" t="inlineStr">
        <is>
          <t>A 25038-2023</t>
        </is>
      </c>
      <c r="B164" s="1" t="n">
        <v>45085</v>
      </c>
      <c r="C164" s="1" t="n">
        <v>45966</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6519-2025</t>
        </is>
      </c>
      <c r="B165" s="1" t="n">
        <v>45699</v>
      </c>
      <c r="C165" s="1" t="n">
        <v>45966</v>
      </c>
      <c r="D165" t="inlineStr">
        <is>
          <t>DALARNAS LÄN</t>
        </is>
      </c>
      <c r="E165" t="inlineStr">
        <is>
          <t>LEKSAND</t>
        </is>
      </c>
      <c r="G165" t="n">
        <v>0.8</v>
      </c>
      <c r="H165" t="n">
        <v>0</v>
      </c>
      <c r="I165" t="n">
        <v>0</v>
      </c>
      <c r="J165" t="n">
        <v>0</v>
      </c>
      <c r="K165" t="n">
        <v>0</v>
      </c>
      <c r="L165" t="n">
        <v>0</v>
      </c>
      <c r="M165" t="n">
        <v>0</v>
      </c>
      <c r="N165" t="n">
        <v>0</v>
      </c>
      <c r="O165" t="n">
        <v>0</v>
      </c>
      <c r="P165" t="n">
        <v>0</v>
      </c>
      <c r="Q165" t="n">
        <v>0</v>
      </c>
      <c r="R165" s="2" t="inlineStr"/>
    </row>
    <row r="166" ht="15" customHeight="1">
      <c r="A166" t="inlineStr">
        <is>
          <t>A 11277-2025</t>
        </is>
      </c>
      <c r="B166" s="1" t="n">
        <v>45726.41565972222</v>
      </c>
      <c r="C166" s="1" t="n">
        <v>45966</v>
      </c>
      <c r="D166" t="inlineStr">
        <is>
          <t>DALARNAS LÄN</t>
        </is>
      </c>
      <c r="E166" t="inlineStr">
        <is>
          <t>LEKSAND</t>
        </is>
      </c>
      <c r="G166" t="n">
        <v>2</v>
      </c>
      <c r="H166" t="n">
        <v>0</v>
      </c>
      <c r="I166" t="n">
        <v>0</v>
      </c>
      <c r="J166" t="n">
        <v>0</v>
      </c>
      <c r="K166" t="n">
        <v>0</v>
      </c>
      <c r="L166" t="n">
        <v>0</v>
      </c>
      <c r="M166" t="n">
        <v>0</v>
      </c>
      <c r="N166" t="n">
        <v>0</v>
      </c>
      <c r="O166" t="n">
        <v>0</v>
      </c>
      <c r="P166" t="n">
        <v>0</v>
      </c>
      <c r="Q166" t="n">
        <v>0</v>
      </c>
      <c r="R166" s="2" t="inlineStr"/>
    </row>
    <row r="167" ht="15" customHeight="1">
      <c r="A167" t="inlineStr">
        <is>
          <t>A 30449-2022</t>
        </is>
      </c>
      <c r="B167" s="1" t="n">
        <v>44761.59276620371</v>
      </c>
      <c r="C167" s="1" t="n">
        <v>45966</v>
      </c>
      <c r="D167" t="inlineStr">
        <is>
          <t>DALARNAS LÄN</t>
        </is>
      </c>
      <c r="E167" t="inlineStr">
        <is>
          <t>LEKSAND</t>
        </is>
      </c>
      <c r="G167" t="n">
        <v>5.7</v>
      </c>
      <c r="H167" t="n">
        <v>0</v>
      </c>
      <c r="I167" t="n">
        <v>0</v>
      </c>
      <c r="J167" t="n">
        <v>0</v>
      </c>
      <c r="K167" t="n">
        <v>0</v>
      </c>
      <c r="L167" t="n">
        <v>0</v>
      </c>
      <c r="M167" t="n">
        <v>0</v>
      </c>
      <c r="N167" t="n">
        <v>0</v>
      </c>
      <c r="O167" t="n">
        <v>0</v>
      </c>
      <c r="P167" t="n">
        <v>0</v>
      </c>
      <c r="Q167" t="n">
        <v>0</v>
      </c>
      <c r="R167" s="2" t="inlineStr"/>
    </row>
    <row r="168" ht="15" customHeight="1">
      <c r="A168" t="inlineStr">
        <is>
          <t>A 40755-2024</t>
        </is>
      </c>
      <c r="B168" s="1" t="n">
        <v>45558.45815972222</v>
      </c>
      <c r="C168" s="1" t="n">
        <v>45966</v>
      </c>
      <c r="D168" t="inlineStr">
        <is>
          <t>DALARNAS LÄN</t>
        </is>
      </c>
      <c r="E168" t="inlineStr">
        <is>
          <t>LEKSAND</t>
        </is>
      </c>
      <c r="G168" t="n">
        <v>0.8</v>
      </c>
      <c r="H168" t="n">
        <v>0</v>
      </c>
      <c r="I168" t="n">
        <v>0</v>
      </c>
      <c r="J168" t="n">
        <v>0</v>
      </c>
      <c r="K168" t="n">
        <v>0</v>
      </c>
      <c r="L168" t="n">
        <v>0</v>
      </c>
      <c r="M168" t="n">
        <v>0</v>
      </c>
      <c r="N168" t="n">
        <v>0</v>
      </c>
      <c r="O168" t="n">
        <v>0</v>
      </c>
      <c r="P168" t="n">
        <v>0</v>
      </c>
      <c r="Q168" t="n">
        <v>0</v>
      </c>
      <c r="R168" s="2" t="inlineStr"/>
    </row>
    <row r="169" ht="15" customHeight="1">
      <c r="A169" t="inlineStr">
        <is>
          <t>A 5570-2024</t>
        </is>
      </c>
      <c r="B169" s="1" t="n">
        <v>45334</v>
      </c>
      <c r="C169" s="1" t="n">
        <v>45966</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54917-2024</t>
        </is>
      </c>
      <c r="B170" s="1" t="n">
        <v>45618.69581018519</v>
      </c>
      <c r="C170" s="1" t="n">
        <v>45966</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11403-2023</t>
        </is>
      </c>
      <c r="B171" s="1" t="n">
        <v>44993</v>
      </c>
      <c r="C171" s="1" t="n">
        <v>45966</v>
      </c>
      <c r="D171" t="inlineStr">
        <is>
          <t>DALARNAS LÄN</t>
        </is>
      </c>
      <c r="E171" t="inlineStr">
        <is>
          <t>LEKSAND</t>
        </is>
      </c>
      <c r="G171" t="n">
        <v>0.1</v>
      </c>
      <c r="H171" t="n">
        <v>0</v>
      </c>
      <c r="I171" t="n">
        <v>0</v>
      </c>
      <c r="J171" t="n">
        <v>0</v>
      </c>
      <c r="K171" t="n">
        <v>0</v>
      </c>
      <c r="L171" t="n">
        <v>0</v>
      </c>
      <c r="M171" t="n">
        <v>0</v>
      </c>
      <c r="N171" t="n">
        <v>0</v>
      </c>
      <c r="O171" t="n">
        <v>0</v>
      </c>
      <c r="P171" t="n">
        <v>0</v>
      </c>
      <c r="Q171" t="n">
        <v>0</v>
      </c>
      <c r="R171" s="2" t="inlineStr"/>
    </row>
    <row r="172" ht="15" customHeight="1">
      <c r="A172" t="inlineStr">
        <is>
          <t>A 61680-2024</t>
        </is>
      </c>
      <c r="B172" s="1" t="n">
        <v>45647.42890046296</v>
      </c>
      <c r="C172" s="1" t="n">
        <v>45966</v>
      </c>
      <c r="D172" t="inlineStr">
        <is>
          <t>DALARNAS LÄN</t>
        </is>
      </c>
      <c r="E172" t="inlineStr">
        <is>
          <t>LEKSAND</t>
        </is>
      </c>
      <c r="G172" t="n">
        <v>3.6</v>
      </c>
      <c r="H172" t="n">
        <v>0</v>
      </c>
      <c r="I172" t="n">
        <v>0</v>
      </c>
      <c r="J172" t="n">
        <v>0</v>
      </c>
      <c r="K172" t="n">
        <v>0</v>
      </c>
      <c r="L172" t="n">
        <v>0</v>
      </c>
      <c r="M172" t="n">
        <v>0</v>
      </c>
      <c r="N172" t="n">
        <v>0</v>
      </c>
      <c r="O172" t="n">
        <v>0</v>
      </c>
      <c r="P172" t="n">
        <v>0</v>
      </c>
      <c r="Q172" t="n">
        <v>0</v>
      </c>
      <c r="R172" s="2" t="inlineStr"/>
    </row>
    <row r="173" ht="15" customHeight="1">
      <c r="A173" t="inlineStr">
        <is>
          <t>A 62295-2023</t>
        </is>
      </c>
      <c r="B173" s="1" t="n">
        <v>45267</v>
      </c>
      <c r="C173" s="1" t="n">
        <v>45966</v>
      </c>
      <c r="D173" t="inlineStr">
        <is>
          <t>DALARNAS LÄN</t>
        </is>
      </c>
      <c r="E173" t="inlineStr">
        <is>
          <t>LEKSAND</t>
        </is>
      </c>
      <c r="G173" t="n">
        <v>2.5</v>
      </c>
      <c r="H173" t="n">
        <v>0</v>
      </c>
      <c r="I173" t="n">
        <v>0</v>
      </c>
      <c r="J173" t="n">
        <v>0</v>
      </c>
      <c r="K173" t="n">
        <v>0</v>
      </c>
      <c r="L173" t="n">
        <v>0</v>
      </c>
      <c r="M173" t="n">
        <v>0</v>
      </c>
      <c r="N173" t="n">
        <v>0</v>
      </c>
      <c r="O173" t="n">
        <v>0</v>
      </c>
      <c r="P173" t="n">
        <v>0</v>
      </c>
      <c r="Q173" t="n">
        <v>0</v>
      </c>
      <c r="R173" s="2" t="inlineStr"/>
    </row>
    <row r="174" ht="15" customHeight="1">
      <c r="A174" t="inlineStr">
        <is>
          <t>A 60129-2023</t>
        </is>
      </c>
      <c r="B174" s="1" t="n">
        <v>45258.49056712963</v>
      </c>
      <c r="C174" s="1" t="n">
        <v>45966</v>
      </c>
      <c r="D174" t="inlineStr">
        <is>
          <t>DALARNAS LÄN</t>
        </is>
      </c>
      <c r="E174" t="inlineStr">
        <is>
          <t>LEKSAND</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15173-2025</t>
        </is>
      </c>
      <c r="B175" s="1" t="n">
        <v>45744.50858796296</v>
      </c>
      <c r="C175" s="1" t="n">
        <v>45966</v>
      </c>
      <c r="D175" t="inlineStr">
        <is>
          <t>DALARNAS LÄN</t>
        </is>
      </c>
      <c r="E175" t="inlineStr">
        <is>
          <t>LEKSAND</t>
        </is>
      </c>
      <c r="G175" t="n">
        <v>0.3</v>
      </c>
      <c r="H175" t="n">
        <v>0</v>
      </c>
      <c r="I175" t="n">
        <v>0</v>
      </c>
      <c r="J175" t="n">
        <v>0</v>
      </c>
      <c r="K175" t="n">
        <v>0</v>
      </c>
      <c r="L175" t="n">
        <v>0</v>
      </c>
      <c r="M175" t="n">
        <v>0</v>
      </c>
      <c r="N175" t="n">
        <v>0</v>
      </c>
      <c r="O175" t="n">
        <v>0</v>
      </c>
      <c r="P175" t="n">
        <v>0</v>
      </c>
      <c r="Q175" t="n">
        <v>0</v>
      </c>
      <c r="R175" s="2" t="inlineStr"/>
    </row>
    <row r="176" ht="15" customHeight="1">
      <c r="A176" t="inlineStr">
        <is>
          <t>A 18040-2024</t>
        </is>
      </c>
      <c r="B176" s="1" t="n">
        <v>45420.36664351852</v>
      </c>
      <c r="C176" s="1" t="n">
        <v>45966</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3737-2023</t>
        </is>
      </c>
      <c r="B177" s="1" t="n">
        <v>44951.42983796296</v>
      </c>
      <c r="C177" s="1" t="n">
        <v>45966</v>
      </c>
      <c r="D177" t="inlineStr">
        <is>
          <t>DALARNAS LÄN</t>
        </is>
      </c>
      <c r="E177" t="inlineStr">
        <is>
          <t>LEKSAND</t>
        </is>
      </c>
      <c r="G177" t="n">
        <v>3.1</v>
      </c>
      <c r="H177" t="n">
        <v>0</v>
      </c>
      <c r="I177" t="n">
        <v>0</v>
      </c>
      <c r="J177" t="n">
        <v>0</v>
      </c>
      <c r="K177" t="n">
        <v>0</v>
      </c>
      <c r="L177" t="n">
        <v>0</v>
      </c>
      <c r="M177" t="n">
        <v>0</v>
      </c>
      <c r="N177" t="n">
        <v>0</v>
      </c>
      <c r="O177" t="n">
        <v>0</v>
      </c>
      <c r="P177" t="n">
        <v>0</v>
      </c>
      <c r="Q177" t="n">
        <v>0</v>
      </c>
      <c r="R177" s="2" t="inlineStr"/>
    </row>
    <row r="178" ht="15" customHeight="1">
      <c r="A178" t="inlineStr">
        <is>
          <t>A 43237-2024</t>
        </is>
      </c>
      <c r="B178" s="1" t="n">
        <v>45567</v>
      </c>
      <c r="C178" s="1" t="n">
        <v>45966</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61054-2023</t>
        </is>
      </c>
      <c r="B179" s="1" t="n">
        <v>45261</v>
      </c>
      <c r="C179" s="1" t="n">
        <v>45966</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61056-2023</t>
        </is>
      </c>
      <c r="B180" s="1" t="n">
        <v>45261</v>
      </c>
      <c r="C180" s="1" t="n">
        <v>45966</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23068-2024</t>
        </is>
      </c>
      <c r="B181" s="1" t="n">
        <v>45450.45521990741</v>
      </c>
      <c r="C181" s="1" t="n">
        <v>45966</v>
      </c>
      <c r="D181" t="inlineStr">
        <is>
          <t>DALARNAS LÄN</t>
        </is>
      </c>
      <c r="E181" t="inlineStr">
        <is>
          <t>LEKSAND</t>
        </is>
      </c>
      <c r="G181" t="n">
        <v>2.4</v>
      </c>
      <c r="H181" t="n">
        <v>0</v>
      </c>
      <c r="I181" t="n">
        <v>0</v>
      </c>
      <c r="J181" t="n">
        <v>0</v>
      </c>
      <c r="K181" t="n">
        <v>0</v>
      </c>
      <c r="L181" t="n">
        <v>0</v>
      </c>
      <c r="M181" t="n">
        <v>0</v>
      </c>
      <c r="N181" t="n">
        <v>0</v>
      </c>
      <c r="O181" t="n">
        <v>0</v>
      </c>
      <c r="P181" t="n">
        <v>0</v>
      </c>
      <c r="Q181" t="n">
        <v>0</v>
      </c>
      <c r="R181" s="2" t="inlineStr"/>
    </row>
    <row r="182" ht="15" customHeight="1">
      <c r="A182" t="inlineStr">
        <is>
          <t>A 7894-2025</t>
        </is>
      </c>
      <c r="B182" s="1" t="n">
        <v>45707.30268518518</v>
      </c>
      <c r="C182" s="1" t="n">
        <v>45966</v>
      </c>
      <c r="D182" t="inlineStr">
        <is>
          <t>DALARNAS LÄN</t>
        </is>
      </c>
      <c r="E182" t="inlineStr">
        <is>
          <t>LEKSAND</t>
        </is>
      </c>
      <c r="G182" t="n">
        <v>1.6</v>
      </c>
      <c r="H182" t="n">
        <v>0</v>
      </c>
      <c r="I182" t="n">
        <v>0</v>
      </c>
      <c r="J182" t="n">
        <v>0</v>
      </c>
      <c r="K182" t="n">
        <v>0</v>
      </c>
      <c r="L182" t="n">
        <v>0</v>
      </c>
      <c r="M182" t="n">
        <v>0</v>
      </c>
      <c r="N182" t="n">
        <v>0</v>
      </c>
      <c r="O182" t="n">
        <v>0</v>
      </c>
      <c r="P182" t="n">
        <v>0</v>
      </c>
      <c r="Q182" t="n">
        <v>0</v>
      </c>
      <c r="R182" s="2" t="inlineStr"/>
    </row>
    <row r="183" ht="15" customHeight="1">
      <c r="A183" t="inlineStr">
        <is>
          <t>A 46141-2022</t>
        </is>
      </c>
      <c r="B183" s="1" t="n">
        <v>44846</v>
      </c>
      <c r="C183" s="1" t="n">
        <v>45966</v>
      </c>
      <c r="D183" t="inlineStr">
        <is>
          <t>DALARNAS LÄN</t>
        </is>
      </c>
      <c r="E183" t="inlineStr">
        <is>
          <t>LEKSAND</t>
        </is>
      </c>
      <c r="G183" t="n">
        <v>2.8</v>
      </c>
      <c r="H183" t="n">
        <v>0</v>
      </c>
      <c r="I183" t="n">
        <v>0</v>
      </c>
      <c r="J183" t="n">
        <v>0</v>
      </c>
      <c r="K183" t="n">
        <v>0</v>
      </c>
      <c r="L183" t="n">
        <v>0</v>
      </c>
      <c r="M183" t="n">
        <v>0</v>
      </c>
      <c r="N183" t="n">
        <v>0</v>
      </c>
      <c r="O183" t="n">
        <v>0</v>
      </c>
      <c r="P183" t="n">
        <v>0</v>
      </c>
      <c r="Q183" t="n">
        <v>0</v>
      </c>
      <c r="R183" s="2" t="inlineStr"/>
    </row>
    <row r="184" ht="15" customHeight="1">
      <c r="A184" t="inlineStr">
        <is>
          <t>A 14616-2024</t>
        </is>
      </c>
      <c r="B184" s="1" t="n">
        <v>45397.2624537037</v>
      </c>
      <c r="C184" s="1" t="n">
        <v>45966</v>
      </c>
      <c r="D184" t="inlineStr">
        <is>
          <t>DALARNAS LÄN</t>
        </is>
      </c>
      <c r="E184" t="inlineStr">
        <is>
          <t>LEKSAND</t>
        </is>
      </c>
      <c r="G184" t="n">
        <v>0.5</v>
      </c>
      <c r="H184" t="n">
        <v>0</v>
      </c>
      <c r="I184" t="n">
        <v>0</v>
      </c>
      <c r="J184" t="n">
        <v>0</v>
      </c>
      <c r="K184" t="n">
        <v>0</v>
      </c>
      <c r="L184" t="n">
        <v>0</v>
      </c>
      <c r="M184" t="n">
        <v>0</v>
      </c>
      <c r="N184" t="n">
        <v>0</v>
      </c>
      <c r="O184" t="n">
        <v>0</v>
      </c>
      <c r="P184" t="n">
        <v>0</v>
      </c>
      <c r="Q184" t="n">
        <v>0</v>
      </c>
      <c r="R184" s="2" t="inlineStr"/>
    </row>
    <row r="185" ht="15" customHeight="1">
      <c r="A185" t="inlineStr">
        <is>
          <t>A 6846-2023</t>
        </is>
      </c>
      <c r="B185" s="1" t="n">
        <v>44967.43953703704</v>
      </c>
      <c r="C185" s="1" t="n">
        <v>45966</v>
      </c>
      <c r="D185" t="inlineStr">
        <is>
          <t>DALARNAS LÄN</t>
        </is>
      </c>
      <c r="E185" t="inlineStr">
        <is>
          <t>LEKSAND</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28965-2023</t>
        </is>
      </c>
      <c r="B186" s="1" t="n">
        <v>45104</v>
      </c>
      <c r="C186" s="1" t="n">
        <v>45966</v>
      </c>
      <c r="D186" t="inlineStr">
        <is>
          <t>DALARNAS LÄN</t>
        </is>
      </c>
      <c r="E186" t="inlineStr">
        <is>
          <t>LEKSAND</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16293-2025</t>
        </is>
      </c>
      <c r="B187" s="1" t="n">
        <v>45751.33447916667</v>
      </c>
      <c r="C187" s="1" t="n">
        <v>45966</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17413-2023</t>
        </is>
      </c>
      <c r="B188" s="1" t="n">
        <v>45035</v>
      </c>
      <c r="C188" s="1" t="n">
        <v>45966</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41840-2024</t>
        </is>
      </c>
      <c r="B189" s="1" t="n">
        <v>45561.42170138889</v>
      </c>
      <c r="C189" s="1" t="n">
        <v>45966</v>
      </c>
      <c r="D189" t="inlineStr">
        <is>
          <t>DALARNAS LÄN</t>
        </is>
      </c>
      <c r="E189" t="inlineStr">
        <is>
          <t>LEKSAND</t>
        </is>
      </c>
      <c r="G189" t="n">
        <v>0.4</v>
      </c>
      <c r="H189" t="n">
        <v>0</v>
      </c>
      <c r="I189" t="n">
        <v>0</v>
      </c>
      <c r="J189" t="n">
        <v>0</v>
      </c>
      <c r="K189" t="n">
        <v>0</v>
      </c>
      <c r="L189" t="n">
        <v>0</v>
      </c>
      <c r="M189" t="n">
        <v>0</v>
      </c>
      <c r="N189" t="n">
        <v>0</v>
      </c>
      <c r="O189" t="n">
        <v>0</v>
      </c>
      <c r="P189" t="n">
        <v>0</v>
      </c>
      <c r="Q189" t="n">
        <v>0</v>
      </c>
      <c r="R189" s="2" t="inlineStr"/>
    </row>
    <row r="190" ht="15" customHeight="1">
      <c r="A190" t="inlineStr">
        <is>
          <t>A 1775-2022</t>
        </is>
      </c>
      <c r="B190" s="1" t="n">
        <v>44574</v>
      </c>
      <c r="C190" s="1" t="n">
        <v>45966</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6027-2025</t>
        </is>
      </c>
      <c r="B191" s="1" t="n">
        <v>45695</v>
      </c>
      <c r="C191" s="1" t="n">
        <v>45966</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56753-2023</t>
        </is>
      </c>
      <c r="B192" s="1" t="n">
        <v>45244.37094907407</v>
      </c>
      <c r="C192" s="1" t="n">
        <v>45966</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43077-2024</t>
        </is>
      </c>
      <c r="B193" s="1" t="n">
        <v>45567.50030092592</v>
      </c>
      <c r="C193" s="1" t="n">
        <v>45966</v>
      </c>
      <c r="D193" t="inlineStr">
        <is>
          <t>DALARNAS LÄN</t>
        </is>
      </c>
      <c r="E193" t="inlineStr">
        <is>
          <t>LEKSAND</t>
        </is>
      </c>
      <c r="G193" t="n">
        <v>1.6</v>
      </c>
      <c r="H193" t="n">
        <v>0</v>
      </c>
      <c r="I193" t="n">
        <v>0</v>
      </c>
      <c r="J193" t="n">
        <v>0</v>
      </c>
      <c r="K193" t="n">
        <v>0</v>
      </c>
      <c r="L193" t="n">
        <v>0</v>
      </c>
      <c r="M193" t="n">
        <v>0</v>
      </c>
      <c r="N193" t="n">
        <v>0</v>
      </c>
      <c r="O193" t="n">
        <v>0</v>
      </c>
      <c r="P193" t="n">
        <v>0</v>
      </c>
      <c r="Q193" t="n">
        <v>0</v>
      </c>
      <c r="R193" s="2" t="inlineStr"/>
    </row>
    <row r="194" ht="15" customHeight="1">
      <c r="A194" t="inlineStr">
        <is>
          <t>A 57899-2024</t>
        </is>
      </c>
      <c r="B194" s="1" t="n">
        <v>45630</v>
      </c>
      <c r="C194" s="1" t="n">
        <v>45966</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60873-2023</t>
        </is>
      </c>
      <c r="B195" s="1" t="n">
        <v>45261.03266203704</v>
      </c>
      <c r="C195" s="1" t="n">
        <v>45966</v>
      </c>
      <c r="D195" t="inlineStr">
        <is>
          <t>DALARNAS LÄN</t>
        </is>
      </c>
      <c r="E195" t="inlineStr">
        <is>
          <t>LEKSAND</t>
        </is>
      </c>
      <c r="G195" t="n">
        <v>5.2</v>
      </c>
      <c r="H195" t="n">
        <v>0</v>
      </c>
      <c r="I195" t="n">
        <v>0</v>
      </c>
      <c r="J195" t="n">
        <v>0</v>
      </c>
      <c r="K195" t="n">
        <v>0</v>
      </c>
      <c r="L195" t="n">
        <v>0</v>
      </c>
      <c r="M195" t="n">
        <v>0</v>
      </c>
      <c r="N195" t="n">
        <v>0</v>
      </c>
      <c r="O195" t="n">
        <v>0</v>
      </c>
      <c r="P195" t="n">
        <v>0</v>
      </c>
      <c r="Q195" t="n">
        <v>0</v>
      </c>
      <c r="R195" s="2" t="inlineStr"/>
    </row>
    <row r="196" ht="15" customHeight="1">
      <c r="A196" t="inlineStr">
        <is>
          <t>A 39569-2025</t>
        </is>
      </c>
      <c r="B196" s="1" t="n">
        <v>45890</v>
      </c>
      <c r="C196" s="1" t="n">
        <v>45966</v>
      </c>
      <c r="D196" t="inlineStr">
        <is>
          <t>DALARNAS LÄN</t>
        </is>
      </c>
      <c r="E196" t="inlineStr">
        <is>
          <t>LEKSAND</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11678-2023</t>
        </is>
      </c>
      <c r="B197" s="1" t="n">
        <v>44994</v>
      </c>
      <c r="C197" s="1" t="n">
        <v>45966</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39572-2025</t>
        </is>
      </c>
      <c r="B198" s="1" t="n">
        <v>45890</v>
      </c>
      <c r="C198" s="1" t="n">
        <v>45966</v>
      </c>
      <c r="D198" t="inlineStr">
        <is>
          <t>DALARNAS LÄN</t>
        </is>
      </c>
      <c r="E198" t="inlineStr">
        <is>
          <t>LEKSAND</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12581-2025</t>
        </is>
      </c>
      <c r="B199" s="1" t="n">
        <v>45732.62201388889</v>
      </c>
      <c r="C199" s="1" t="n">
        <v>45966</v>
      </c>
      <c r="D199" t="inlineStr">
        <is>
          <t>DALARNAS LÄN</t>
        </is>
      </c>
      <c r="E199" t="inlineStr">
        <is>
          <t>LEKSAND</t>
        </is>
      </c>
      <c r="G199" t="n">
        <v>5.1</v>
      </c>
      <c r="H199" t="n">
        <v>0</v>
      </c>
      <c r="I199" t="n">
        <v>0</v>
      </c>
      <c r="J199" t="n">
        <v>0</v>
      </c>
      <c r="K199" t="n">
        <v>0</v>
      </c>
      <c r="L199" t="n">
        <v>0</v>
      </c>
      <c r="M199" t="n">
        <v>0</v>
      </c>
      <c r="N199" t="n">
        <v>0</v>
      </c>
      <c r="O199" t="n">
        <v>0</v>
      </c>
      <c r="P199" t="n">
        <v>0</v>
      </c>
      <c r="Q199" t="n">
        <v>0</v>
      </c>
      <c r="R199" s="2" t="inlineStr"/>
    </row>
    <row r="200" ht="15" customHeight="1">
      <c r="A200" t="inlineStr">
        <is>
          <t>A 12620-2025</t>
        </is>
      </c>
      <c r="B200" s="1" t="n">
        <v>45733.35498842593</v>
      </c>
      <c r="C200" s="1" t="n">
        <v>45966</v>
      </c>
      <c r="D200" t="inlineStr">
        <is>
          <t>DALARNAS LÄN</t>
        </is>
      </c>
      <c r="E200" t="inlineStr">
        <is>
          <t>LEKSAND</t>
        </is>
      </c>
      <c r="F200" t="inlineStr">
        <is>
          <t>Bergvik skog väst AB</t>
        </is>
      </c>
      <c r="G200" t="n">
        <v>3.9</v>
      </c>
      <c r="H200" t="n">
        <v>0</v>
      </c>
      <c r="I200" t="n">
        <v>0</v>
      </c>
      <c r="J200" t="n">
        <v>0</v>
      </c>
      <c r="K200" t="n">
        <v>0</v>
      </c>
      <c r="L200" t="n">
        <v>0</v>
      </c>
      <c r="M200" t="n">
        <v>0</v>
      </c>
      <c r="N200" t="n">
        <v>0</v>
      </c>
      <c r="O200" t="n">
        <v>0</v>
      </c>
      <c r="P200" t="n">
        <v>0</v>
      </c>
      <c r="Q200" t="n">
        <v>0</v>
      </c>
      <c r="R200" s="2" t="inlineStr"/>
    </row>
    <row r="201" ht="15" customHeight="1">
      <c r="A201" t="inlineStr">
        <is>
          <t>A 12623-2025</t>
        </is>
      </c>
      <c r="B201" s="1" t="n">
        <v>45733.36079861111</v>
      </c>
      <c r="C201" s="1" t="n">
        <v>45966</v>
      </c>
      <c r="D201" t="inlineStr">
        <is>
          <t>DALARNAS LÄN</t>
        </is>
      </c>
      <c r="E201" t="inlineStr">
        <is>
          <t>LEKSAND</t>
        </is>
      </c>
      <c r="F201" t="inlineStr">
        <is>
          <t>Bergvik skog väst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27445-2024</t>
        </is>
      </c>
      <c r="B202" s="1" t="n">
        <v>45474.42474537037</v>
      </c>
      <c r="C202" s="1" t="n">
        <v>45966</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39660-2025</t>
        </is>
      </c>
      <c r="B203" s="1" t="n">
        <v>45890.63006944444</v>
      </c>
      <c r="C203" s="1" t="n">
        <v>45966</v>
      </c>
      <c r="D203" t="inlineStr">
        <is>
          <t>DALARNAS LÄN</t>
        </is>
      </c>
      <c r="E203" t="inlineStr">
        <is>
          <t>LEKSAND</t>
        </is>
      </c>
      <c r="F203" t="inlineStr">
        <is>
          <t>Bergvik skog väst AB</t>
        </is>
      </c>
      <c r="G203" t="n">
        <v>5.8</v>
      </c>
      <c r="H203" t="n">
        <v>0</v>
      </c>
      <c r="I203" t="n">
        <v>0</v>
      </c>
      <c r="J203" t="n">
        <v>0</v>
      </c>
      <c r="K203" t="n">
        <v>0</v>
      </c>
      <c r="L203" t="n">
        <v>0</v>
      </c>
      <c r="M203" t="n">
        <v>0</v>
      </c>
      <c r="N203" t="n">
        <v>0</v>
      </c>
      <c r="O203" t="n">
        <v>0</v>
      </c>
      <c r="P203" t="n">
        <v>0</v>
      </c>
      <c r="Q203" t="n">
        <v>0</v>
      </c>
      <c r="R203" s="2" t="inlineStr"/>
    </row>
    <row r="204" ht="15" customHeight="1">
      <c r="A204" t="inlineStr">
        <is>
          <t>A 39693-2025</t>
        </is>
      </c>
      <c r="B204" s="1" t="n">
        <v>45890.68304398148</v>
      </c>
      <c r="C204" s="1" t="n">
        <v>45966</v>
      </c>
      <c r="D204" t="inlineStr">
        <is>
          <t>DALARNAS LÄN</t>
        </is>
      </c>
      <c r="E204" t="inlineStr">
        <is>
          <t>LEKSAND</t>
        </is>
      </c>
      <c r="G204" t="n">
        <v>3.1</v>
      </c>
      <c r="H204" t="n">
        <v>0</v>
      </c>
      <c r="I204" t="n">
        <v>0</v>
      </c>
      <c r="J204" t="n">
        <v>0</v>
      </c>
      <c r="K204" t="n">
        <v>0</v>
      </c>
      <c r="L204" t="n">
        <v>0</v>
      </c>
      <c r="M204" t="n">
        <v>0</v>
      </c>
      <c r="N204" t="n">
        <v>0</v>
      </c>
      <c r="O204" t="n">
        <v>0</v>
      </c>
      <c r="P204" t="n">
        <v>0</v>
      </c>
      <c r="Q204" t="n">
        <v>0</v>
      </c>
      <c r="R204" s="2" t="inlineStr"/>
    </row>
    <row r="205" ht="15" customHeight="1">
      <c r="A205" t="inlineStr">
        <is>
          <t>A 8755-2023</t>
        </is>
      </c>
      <c r="B205" s="1" t="n">
        <v>44978</v>
      </c>
      <c r="C205" s="1" t="n">
        <v>45966</v>
      </c>
      <c r="D205" t="inlineStr">
        <is>
          <t>DALARNAS LÄN</t>
        </is>
      </c>
      <c r="E205" t="inlineStr">
        <is>
          <t>LEKSAND</t>
        </is>
      </c>
      <c r="G205" t="n">
        <v>2.3</v>
      </c>
      <c r="H205" t="n">
        <v>0</v>
      </c>
      <c r="I205" t="n">
        <v>0</v>
      </c>
      <c r="J205" t="n">
        <v>0</v>
      </c>
      <c r="K205" t="n">
        <v>0</v>
      </c>
      <c r="L205" t="n">
        <v>0</v>
      </c>
      <c r="M205" t="n">
        <v>0</v>
      </c>
      <c r="N205" t="n">
        <v>0</v>
      </c>
      <c r="O205" t="n">
        <v>0</v>
      </c>
      <c r="P205" t="n">
        <v>0</v>
      </c>
      <c r="Q205" t="n">
        <v>0</v>
      </c>
      <c r="R205" s="2" t="inlineStr"/>
    </row>
    <row r="206" ht="15" customHeight="1">
      <c r="A206" t="inlineStr">
        <is>
          <t>A 5582-2024</t>
        </is>
      </c>
      <c r="B206" s="1" t="n">
        <v>45334</v>
      </c>
      <c r="C206" s="1" t="n">
        <v>45966</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46505-2023</t>
        </is>
      </c>
      <c r="B207" s="1" t="n">
        <v>45197</v>
      </c>
      <c r="C207" s="1" t="n">
        <v>45966</v>
      </c>
      <c r="D207" t="inlineStr">
        <is>
          <t>DALARNAS LÄN</t>
        </is>
      </c>
      <c r="E207" t="inlineStr">
        <is>
          <t>LEKSAND</t>
        </is>
      </c>
      <c r="G207" t="n">
        <v>2.3</v>
      </c>
      <c r="H207" t="n">
        <v>0</v>
      </c>
      <c r="I207" t="n">
        <v>0</v>
      </c>
      <c r="J207" t="n">
        <v>0</v>
      </c>
      <c r="K207" t="n">
        <v>0</v>
      </c>
      <c r="L207" t="n">
        <v>0</v>
      </c>
      <c r="M207" t="n">
        <v>0</v>
      </c>
      <c r="N207" t="n">
        <v>0</v>
      </c>
      <c r="O207" t="n">
        <v>0</v>
      </c>
      <c r="P207" t="n">
        <v>0</v>
      </c>
      <c r="Q207" t="n">
        <v>0</v>
      </c>
      <c r="R207" s="2" t="inlineStr"/>
    </row>
    <row r="208" ht="15" customHeight="1">
      <c r="A208" t="inlineStr">
        <is>
          <t>A 39546-2025</t>
        </is>
      </c>
      <c r="B208" s="1" t="n">
        <v>45890.45706018519</v>
      </c>
      <c r="C208" s="1" t="n">
        <v>45966</v>
      </c>
      <c r="D208" t="inlineStr">
        <is>
          <t>DALARNAS LÄN</t>
        </is>
      </c>
      <c r="E208" t="inlineStr">
        <is>
          <t>LEKSAND</t>
        </is>
      </c>
      <c r="G208" t="n">
        <v>4.6</v>
      </c>
      <c r="H208" t="n">
        <v>0</v>
      </c>
      <c r="I208" t="n">
        <v>0</v>
      </c>
      <c r="J208" t="n">
        <v>0</v>
      </c>
      <c r="K208" t="n">
        <v>0</v>
      </c>
      <c r="L208" t="n">
        <v>0</v>
      </c>
      <c r="M208" t="n">
        <v>0</v>
      </c>
      <c r="N208" t="n">
        <v>0</v>
      </c>
      <c r="O208" t="n">
        <v>0</v>
      </c>
      <c r="P208" t="n">
        <v>0</v>
      </c>
      <c r="Q208" t="n">
        <v>0</v>
      </c>
      <c r="R208" s="2" t="inlineStr"/>
    </row>
    <row r="209" ht="15" customHeight="1">
      <c r="A209" t="inlineStr">
        <is>
          <t>A 39516-2025</t>
        </is>
      </c>
      <c r="B209" s="1" t="n">
        <v>45890.42633101852</v>
      </c>
      <c r="C209" s="1" t="n">
        <v>45966</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47976-2025</t>
        </is>
      </c>
      <c r="B210" s="1" t="n">
        <v>45932.60846064815</v>
      </c>
      <c r="C210" s="1" t="n">
        <v>45966</v>
      </c>
      <c r="D210" t="inlineStr">
        <is>
          <t>DALARNAS LÄN</t>
        </is>
      </c>
      <c r="E210" t="inlineStr">
        <is>
          <t>LEKSAND</t>
        </is>
      </c>
      <c r="F210" t="inlineStr">
        <is>
          <t>Bergvik skog väst AB</t>
        </is>
      </c>
      <c r="G210" t="n">
        <v>0.3</v>
      </c>
      <c r="H210" t="n">
        <v>0</v>
      </c>
      <c r="I210" t="n">
        <v>0</v>
      </c>
      <c r="J210" t="n">
        <v>0</v>
      </c>
      <c r="K210" t="n">
        <v>0</v>
      </c>
      <c r="L210" t="n">
        <v>0</v>
      </c>
      <c r="M210" t="n">
        <v>0</v>
      </c>
      <c r="N210" t="n">
        <v>0</v>
      </c>
      <c r="O210" t="n">
        <v>0</v>
      </c>
      <c r="P210" t="n">
        <v>0</v>
      </c>
      <c r="Q210" t="n">
        <v>0</v>
      </c>
      <c r="R210" s="2" t="inlineStr"/>
    </row>
    <row r="211" ht="15" customHeight="1">
      <c r="A211" t="inlineStr">
        <is>
          <t>A 47977-2025</t>
        </is>
      </c>
      <c r="B211" s="1" t="n">
        <v>45932.60920138889</v>
      </c>
      <c r="C211" s="1" t="n">
        <v>45966</v>
      </c>
      <c r="D211" t="inlineStr">
        <is>
          <t>DALARNAS LÄN</t>
        </is>
      </c>
      <c r="E211" t="inlineStr">
        <is>
          <t>LEKSAND</t>
        </is>
      </c>
      <c r="F211" t="inlineStr">
        <is>
          <t>Bergvik skog väst AB</t>
        </is>
      </c>
      <c r="G211" t="n">
        <v>0.2</v>
      </c>
      <c r="H211" t="n">
        <v>0</v>
      </c>
      <c r="I211" t="n">
        <v>0</v>
      </c>
      <c r="J211" t="n">
        <v>0</v>
      </c>
      <c r="K211" t="n">
        <v>0</v>
      </c>
      <c r="L211" t="n">
        <v>0</v>
      </c>
      <c r="M211" t="n">
        <v>0</v>
      </c>
      <c r="N211" t="n">
        <v>0</v>
      </c>
      <c r="O211" t="n">
        <v>0</v>
      </c>
      <c r="P211" t="n">
        <v>0</v>
      </c>
      <c r="Q211" t="n">
        <v>0</v>
      </c>
      <c r="R211" s="2" t="inlineStr"/>
    </row>
    <row r="212" ht="15" customHeight="1">
      <c r="A212" t="inlineStr">
        <is>
          <t>A 58619-2022</t>
        </is>
      </c>
      <c r="B212" s="1" t="n">
        <v>44902.59579861111</v>
      </c>
      <c r="C212" s="1" t="n">
        <v>45966</v>
      </c>
      <c r="D212" t="inlineStr">
        <is>
          <t>DALARNAS LÄN</t>
        </is>
      </c>
      <c r="E212" t="inlineStr">
        <is>
          <t>LEKSAND</t>
        </is>
      </c>
      <c r="G212" t="n">
        <v>0.9</v>
      </c>
      <c r="H212" t="n">
        <v>0</v>
      </c>
      <c r="I212" t="n">
        <v>0</v>
      </c>
      <c r="J212" t="n">
        <v>0</v>
      </c>
      <c r="K212" t="n">
        <v>0</v>
      </c>
      <c r="L212" t="n">
        <v>0</v>
      </c>
      <c r="M212" t="n">
        <v>0</v>
      </c>
      <c r="N212" t="n">
        <v>0</v>
      </c>
      <c r="O212" t="n">
        <v>0</v>
      </c>
      <c r="P212" t="n">
        <v>0</v>
      </c>
      <c r="Q212" t="n">
        <v>0</v>
      </c>
      <c r="R212" s="2" t="inlineStr"/>
    </row>
    <row r="213" ht="15" customHeight="1">
      <c r="A213" t="inlineStr">
        <is>
          <t>A 41169-2024</t>
        </is>
      </c>
      <c r="B213" s="1" t="n">
        <v>45559.48637731482</v>
      </c>
      <c r="C213" s="1" t="n">
        <v>45966</v>
      </c>
      <c r="D213" t="inlineStr">
        <is>
          <t>DALARNAS LÄN</t>
        </is>
      </c>
      <c r="E213" t="inlineStr">
        <is>
          <t>LEKSAND</t>
        </is>
      </c>
      <c r="G213" t="n">
        <v>8.9</v>
      </c>
      <c r="H213" t="n">
        <v>0</v>
      </c>
      <c r="I213" t="n">
        <v>0</v>
      </c>
      <c r="J213" t="n">
        <v>0</v>
      </c>
      <c r="K213" t="n">
        <v>0</v>
      </c>
      <c r="L213" t="n">
        <v>0</v>
      </c>
      <c r="M213" t="n">
        <v>0</v>
      </c>
      <c r="N213" t="n">
        <v>0</v>
      </c>
      <c r="O213" t="n">
        <v>0</v>
      </c>
      <c r="P213" t="n">
        <v>0</v>
      </c>
      <c r="Q213" t="n">
        <v>0</v>
      </c>
      <c r="R213" s="2" t="inlineStr"/>
    </row>
    <row r="214" ht="15" customHeight="1">
      <c r="A214" t="inlineStr">
        <is>
          <t>A 53799-2023</t>
        </is>
      </c>
      <c r="B214" s="1" t="n">
        <v>45231.35564814815</v>
      </c>
      <c r="C214" s="1" t="n">
        <v>45966</v>
      </c>
      <c r="D214" t="inlineStr">
        <is>
          <t>DALARNAS LÄN</t>
        </is>
      </c>
      <c r="E214" t="inlineStr">
        <is>
          <t>LEKSAND</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62130-2024</t>
        </is>
      </c>
      <c r="B215" s="1" t="n">
        <v>45656.61827546296</v>
      </c>
      <c r="C215" s="1" t="n">
        <v>45966</v>
      </c>
      <c r="D215" t="inlineStr">
        <is>
          <t>DALARNAS LÄN</t>
        </is>
      </c>
      <c r="E215" t="inlineStr">
        <is>
          <t>LEKSAND</t>
        </is>
      </c>
      <c r="G215" t="n">
        <v>11.4</v>
      </c>
      <c r="H215" t="n">
        <v>0</v>
      </c>
      <c r="I215" t="n">
        <v>0</v>
      </c>
      <c r="J215" t="n">
        <v>0</v>
      </c>
      <c r="K215" t="n">
        <v>0</v>
      </c>
      <c r="L215" t="n">
        <v>0</v>
      </c>
      <c r="M215" t="n">
        <v>0</v>
      </c>
      <c r="N215" t="n">
        <v>0</v>
      </c>
      <c r="O215" t="n">
        <v>0</v>
      </c>
      <c r="P215" t="n">
        <v>0</v>
      </c>
      <c r="Q215" t="n">
        <v>0</v>
      </c>
      <c r="R215" s="2" t="inlineStr"/>
    </row>
    <row r="216" ht="15" customHeight="1">
      <c r="A216" t="inlineStr">
        <is>
          <t>A 49076-2025</t>
        </is>
      </c>
      <c r="B216" s="1" t="n">
        <v>45937.65601851852</v>
      </c>
      <c r="C216" s="1" t="n">
        <v>45966</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776-2021</t>
        </is>
      </c>
      <c r="B217" s="1" t="n">
        <v>44203</v>
      </c>
      <c r="C217" s="1" t="n">
        <v>45966</v>
      </c>
      <c r="D217" t="inlineStr">
        <is>
          <t>DALARNAS LÄN</t>
        </is>
      </c>
      <c r="E217" t="inlineStr">
        <is>
          <t>LEKSAND</t>
        </is>
      </c>
      <c r="G217" t="n">
        <v>21</v>
      </c>
      <c r="H217" t="n">
        <v>0</v>
      </c>
      <c r="I217" t="n">
        <v>0</v>
      </c>
      <c r="J217" t="n">
        <v>0</v>
      </c>
      <c r="K217" t="n">
        <v>0</v>
      </c>
      <c r="L217" t="n">
        <v>0</v>
      </c>
      <c r="M217" t="n">
        <v>0</v>
      </c>
      <c r="N217" t="n">
        <v>0</v>
      </c>
      <c r="O217" t="n">
        <v>0</v>
      </c>
      <c r="P217" t="n">
        <v>0</v>
      </c>
      <c r="Q217" t="n">
        <v>0</v>
      </c>
      <c r="R217" s="2" t="inlineStr"/>
    </row>
    <row r="218" ht="15" customHeight="1">
      <c r="A218" t="inlineStr">
        <is>
          <t>A 48824-2025</t>
        </is>
      </c>
      <c r="B218" s="1" t="n">
        <v>45937.37949074074</v>
      </c>
      <c r="C218" s="1" t="n">
        <v>45966</v>
      </c>
      <c r="D218" t="inlineStr">
        <is>
          <t>DALARNAS LÄN</t>
        </is>
      </c>
      <c r="E218" t="inlineStr">
        <is>
          <t>LEKSAND</t>
        </is>
      </c>
      <c r="G218" t="n">
        <v>6.3</v>
      </c>
      <c r="H218" t="n">
        <v>0</v>
      </c>
      <c r="I218" t="n">
        <v>0</v>
      </c>
      <c r="J218" t="n">
        <v>0</v>
      </c>
      <c r="K218" t="n">
        <v>0</v>
      </c>
      <c r="L218" t="n">
        <v>0</v>
      </c>
      <c r="M218" t="n">
        <v>0</v>
      </c>
      <c r="N218" t="n">
        <v>0</v>
      </c>
      <c r="O218" t="n">
        <v>0</v>
      </c>
      <c r="P218" t="n">
        <v>0</v>
      </c>
      <c r="Q218" t="n">
        <v>0</v>
      </c>
      <c r="R218" s="2" t="inlineStr"/>
    </row>
    <row r="219" ht="15" customHeight="1">
      <c r="A219" t="inlineStr">
        <is>
          <t>A 63513-2023</t>
        </is>
      </c>
      <c r="B219" s="1" t="n">
        <v>45274</v>
      </c>
      <c r="C219" s="1" t="n">
        <v>45966</v>
      </c>
      <c r="D219" t="inlineStr">
        <is>
          <t>DALARNAS LÄN</t>
        </is>
      </c>
      <c r="E219" t="inlineStr">
        <is>
          <t>LEKSAND</t>
        </is>
      </c>
      <c r="G219" t="n">
        <v>2.3</v>
      </c>
      <c r="H219" t="n">
        <v>0</v>
      </c>
      <c r="I219" t="n">
        <v>0</v>
      </c>
      <c r="J219" t="n">
        <v>0</v>
      </c>
      <c r="K219" t="n">
        <v>0</v>
      </c>
      <c r="L219" t="n">
        <v>0</v>
      </c>
      <c r="M219" t="n">
        <v>0</v>
      </c>
      <c r="N219" t="n">
        <v>0</v>
      </c>
      <c r="O219" t="n">
        <v>0</v>
      </c>
      <c r="P219" t="n">
        <v>0</v>
      </c>
      <c r="Q219" t="n">
        <v>0</v>
      </c>
      <c r="R219" s="2" t="inlineStr"/>
    </row>
    <row r="220" ht="15" customHeight="1">
      <c r="A220" t="inlineStr">
        <is>
          <t>A 8045-2024</t>
        </is>
      </c>
      <c r="B220" s="1" t="n">
        <v>45351.31371527778</v>
      </c>
      <c r="C220" s="1" t="n">
        <v>45966</v>
      </c>
      <c r="D220" t="inlineStr">
        <is>
          <t>DALARNAS LÄN</t>
        </is>
      </c>
      <c r="E220" t="inlineStr">
        <is>
          <t>LEKSAND</t>
        </is>
      </c>
      <c r="G220" t="n">
        <v>6.7</v>
      </c>
      <c r="H220" t="n">
        <v>0</v>
      </c>
      <c r="I220" t="n">
        <v>0</v>
      </c>
      <c r="J220" t="n">
        <v>0</v>
      </c>
      <c r="K220" t="n">
        <v>0</v>
      </c>
      <c r="L220" t="n">
        <v>0</v>
      </c>
      <c r="M220" t="n">
        <v>0</v>
      </c>
      <c r="N220" t="n">
        <v>0</v>
      </c>
      <c r="O220" t="n">
        <v>0</v>
      </c>
      <c r="P220" t="n">
        <v>0</v>
      </c>
      <c r="Q220" t="n">
        <v>0</v>
      </c>
      <c r="R220" s="2" t="inlineStr"/>
    </row>
    <row r="221" ht="15" customHeight="1">
      <c r="A221" t="inlineStr">
        <is>
          <t>A 33001-2023</t>
        </is>
      </c>
      <c r="B221" s="1" t="n">
        <v>45125</v>
      </c>
      <c r="C221" s="1" t="n">
        <v>45966</v>
      </c>
      <c r="D221" t="inlineStr">
        <is>
          <t>DALARNAS LÄN</t>
        </is>
      </c>
      <c r="E221" t="inlineStr">
        <is>
          <t>LEKSAND</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1946-2024</t>
        </is>
      </c>
      <c r="B222" s="1" t="n">
        <v>45308</v>
      </c>
      <c r="C222" s="1" t="n">
        <v>45966</v>
      </c>
      <c r="D222" t="inlineStr">
        <is>
          <t>DALARNAS LÄN</t>
        </is>
      </c>
      <c r="E222" t="inlineStr">
        <is>
          <t>LEKSAND</t>
        </is>
      </c>
      <c r="G222" t="n">
        <v>2.3</v>
      </c>
      <c r="H222" t="n">
        <v>0</v>
      </c>
      <c r="I222" t="n">
        <v>0</v>
      </c>
      <c r="J222" t="n">
        <v>0</v>
      </c>
      <c r="K222" t="n">
        <v>0</v>
      </c>
      <c r="L222" t="n">
        <v>0</v>
      </c>
      <c r="M222" t="n">
        <v>0</v>
      </c>
      <c r="N222" t="n">
        <v>0</v>
      </c>
      <c r="O222" t="n">
        <v>0</v>
      </c>
      <c r="P222" t="n">
        <v>0</v>
      </c>
      <c r="Q222" t="n">
        <v>0</v>
      </c>
      <c r="R222" s="2" t="inlineStr"/>
    </row>
    <row r="223" ht="15" customHeight="1">
      <c r="A223" t="inlineStr">
        <is>
          <t>A 19590-2023</t>
        </is>
      </c>
      <c r="B223" s="1" t="n">
        <v>45049</v>
      </c>
      <c r="C223" s="1" t="n">
        <v>45966</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30000-2023</t>
        </is>
      </c>
      <c r="B224" s="1" t="n">
        <v>45109.71128472222</v>
      </c>
      <c r="C224" s="1" t="n">
        <v>45966</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61933-2023</t>
        </is>
      </c>
      <c r="B225" s="1" t="n">
        <v>45266</v>
      </c>
      <c r="C225" s="1" t="n">
        <v>45966</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41015-2024</t>
        </is>
      </c>
      <c r="B226" s="1" t="n">
        <v>45559.32537037037</v>
      </c>
      <c r="C226" s="1" t="n">
        <v>45966</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18107-2025</t>
        </is>
      </c>
      <c r="B227" s="1" t="n">
        <v>45761.55939814815</v>
      </c>
      <c r="C227" s="1" t="n">
        <v>45966</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48829-2025</t>
        </is>
      </c>
      <c r="B228" s="1" t="n">
        <v>45936</v>
      </c>
      <c r="C228" s="1" t="n">
        <v>45966</v>
      </c>
      <c r="D228" t="inlineStr">
        <is>
          <t>DALARNAS LÄN</t>
        </is>
      </c>
      <c r="E228" t="inlineStr">
        <is>
          <t>LEKSAND</t>
        </is>
      </c>
      <c r="G228" t="n">
        <v>1.9</v>
      </c>
      <c r="H228" t="n">
        <v>0</v>
      </c>
      <c r="I228" t="n">
        <v>0</v>
      </c>
      <c r="J228" t="n">
        <v>0</v>
      </c>
      <c r="K228" t="n">
        <v>0</v>
      </c>
      <c r="L228" t="n">
        <v>0</v>
      </c>
      <c r="M228" t="n">
        <v>0</v>
      </c>
      <c r="N228" t="n">
        <v>0</v>
      </c>
      <c r="O228" t="n">
        <v>0</v>
      </c>
      <c r="P228" t="n">
        <v>0</v>
      </c>
      <c r="Q228" t="n">
        <v>0</v>
      </c>
      <c r="R228" s="2" t="inlineStr"/>
    </row>
    <row r="229" ht="15" customHeight="1">
      <c r="A229" t="inlineStr">
        <is>
          <t>A 49395-2024</t>
        </is>
      </c>
      <c r="B229" s="1" t="n">
        <v>45595</v>
      </c>
      <c r="C229" s="1" t="n">
        <v>45966</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32394-2024</t>
        </is>
      </c>
      <c r="B230" s="1" t="n">
        <v>45512.64349537037</v>
      </c>
      <c r="C230" s="1" t="n">
        <v>45966</v>
      </c>
      <c r="D230" t="inlineStr">
        <is>
          <t>DALARNAS LÄN</t>
        </is>
      </c>
      <c r="E230" t="inlineStr">
        <is>
          <t>LEKSAND</t>
        </is>
      </c>
      <c r="F230" t="inlineStr">
        <is>
          <t>Bergvik skog väst AB</t>
        </is>
      </c>
      <c r="G230" t="n">
        <v>6</v>
      </c>
      <c r="H230" t="n">
        <v>0</v>
      </c>
      <c r="I230" t="n">
        <v>0</v>
      </c>
      <c r="J230" t="n">
        <v>0</v>
      </c>
      <c r="K230" t="n">
        <v>0</v>
      </c>
      <c r="L230" t="n">
        <v>0</v>
      </c>
      <c r="M230" t="n">
        <v>0</v>
      </c>
      <c r="N230" t="n">
        <v>0</v>
      </c>
      <c r="O230" t="n">
        <v>0</v>
      </c>
      <c r="P230" t="n">
        <v>0</v>
      </c>
      <c r="Q230" t="n">
        <v>0</v>
      </c>
      <c r="R230" s="2" t="inlineStr"/>
    </row>
    <row r="231" ht="15" customHeight="1">
      <c r="A231" t="inlineStr">
        <is>
          <t>A 11015-2022</t>
        </is>
      </c>
      <c r="B231" s="1" t="n">
        <v>44628.52340277778</v>
      </c>
      <c r="C231" s="1" t="n">
        <v>45966</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48421-2025</t>
        </is>
      </c>
      <c r="B232" s="1" t="n">
        <v>45934.67564814815</v>
      </c>
      <c r="C232" s="1" t="n">
        <v>45966</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40752-2024</t>
        </is>
      </c>
      <c r="B233" s="1" t="n">
        <v>45558.45638888889</v>
      </c>
      <c r="C233" s="1" t="n">
        <v>45966</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481-2024</t>
        </is>
      </c>
      <c r="B234" s="1" t="n">
        <v>45298</v>
      </c>
      <c r="C234" s="1" t="n">
        <v>45966</v>
      </c>
      <c r="D234" t="inlineStr">
        <is>
          <t>DALARNAS LÄN</t>
        </is>
      </c>
      <c r="E234" t="inlineStr">
        <is>
          <t>LEKSAND</t>
        </is>
      </c>
      <c r="G234" t="n">
        <v>7</v>
      </c>
      <c r="H234" t="n">
        <v>0</v>
      </c>
      <c r="I234" t="n">
        <v>0</v>
      </c>
      <c r="J234" t="n">
        <v>0</v>
      </c>
      <c r="K234" t="n">
        <v>0</v>
      </c>
      <c r="L234" t="n">
        <v>0</v>
      </c>
      <c r="M234" t="n">
        <v>0</v>
      </c>
      <c r="N234" t="n">
        <v>0</v>
      </c>
      <c r="O234" t="n">
        <v>0</v>
      </c>
      <c r="P234" t="n">
        <v>0</v>
      </c>
      <c r="Q234" t="n">
        <v>0</v>
      </c>
      <c r="R234" s="2" t="inlineStr"/>
    </row>
    <row r="235" ht="15" customHeight="1">
      <c r="A235" t="inlineStr">
        <is>
          <t>A 15882-2023</t>
        </is>
      </c>
      <c r="B235" s="1" t="n">
        <v>45022</v>
      </c>
      <c r="C235" s="1" t="n">
        <v>45966</v>
      </c>
      <c r="D235" t="inlineStr">
        <is>
          <t>DALARNAS LÄN</t>
        </is>
      </c>
      <c r="E235" t="inlineStr">
        <is>
          <t>LEKSAND</t>
        </is>
      </c>
      <c r="G235" t="n">
        <v>0.1</v>
      </c>
      <c r="H235" t="n">
        <v>0</v>
      </c>
      <c r="I235" t="n">
        <v>0</v>
      </c>
      <c r="J235" t="n">
        <v>0</v>
      </c>
      <c r="K235" t="n">
        <v>0</v>
      </c>
      <c r="L235" t="n">
        <v>0</v>
      </c>
      <c r="M235" t="n">
        <v>0</v>
      </c>
      <c r="N235" t="n">
        <v>0</v>
      </c>
      <c r="O235" t="n">
        <v>0</v>
      </c>
      <c r="P235" t="n">
        <v>0</v>
      </c>
      <c r="Q235" t="n">
        <v>0</v>
      </c>
      <c r="R235" s="2" t="inlineStr"/>
    </row>
    <row r="236" ht="15" customHeight="1">
      <c r="A236" t="inlineStr">
        <is>
          <t>A 28592-2023</t>
        </is>
      </c>
      <c r="B236" s="1" t="n">
        <v>45103</v>
      </c>
      <c r="C236" s="1" t="n">
        <v>45966</v>
      </c>
      <c r="D236" t="inlineStr">
        <is>
          <t>DALARNAS LÄN</t>
        </is>
      </c>
      <c r="E236" t="inlineStr">
        <is>
          <t>LEKSAND</t>
        </is>
      </c>
      <c r="G236" t="n">
        <v>0.5</v>
      </c>
      <c r="H236" t="n">
        <v>0</v>
      </c>
      <c r="I236" t="n">
        <v>0</v>
      </c>
      <c r="J236" t="n">
        <v>0</v>
      </c>
      <c r="K236" t="n">
        <v>0</v>
      </c>
      <c r="L236" t="n">
        <v>0</v>
      </c>
      <c r="M236" t="n">
        <v>0</v>
      </c>
      <c r="N236" t="n">
        <v>0</v>
      </c>
      <c r="O236" t="n">
        <v>0</v>
      </c>
      <c r="P236" t="n">
        <v>0</v>
      </c>
      <c r="Q236" t="n">
        <v>0</v>
      </c>
      <c r="R236" s="2" t="inlineStr"/>
    </row>
    <row r="237" ht="15" customHeight="1">
      <c r="A237" t="inlineStr">
        <is>
          <t>A 48922-2025</t>
        </is>
      </c>
      <c r="B237" s="1" t="n">
        <v>45937.50077546296</v>
      </c>
      <c r="C237" s="1" t="n">
        <v>45966</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6778-2025</t>
        </is>
      </c>
      <c r="B238" s="1" t="n">
        <v>45700.64615740741</v>
      </c>
      <c r="C238" s="1" t="n">
        <v>45966</v>
      </c>
      <c r="D238" t="inlineStr">
        <is>
          <t>DALARNAS LÄN</t>
        </is>
      </c>
      <c r="E238" t="inlineStr">
        <is>
          <t>LEKSAND</t>
        </is>
      </c>
      <c r="G238" t="n">
        <v>2.4</v>
      </c>
      <c r="H238" t="n">
        <v>0</v>
      </c>
      <c r="I238" t="n">
        <v>0</v>
      </c>
      <c r="J238" t="n">
        <v>0</v>
      </c>
      <c r="K238" t="n">
        <v>0</v>
      </c>
      <c r="L238" t="n">
        <v>0</v>
      </c>
      <c r="M238" t="n">
        <v>0</v>
      </c>
      <c r="N238" t="n">
        <v>0</v>
      </c>
      <c r="O238" t="n">
        <v>0</v>
      </c>
      <c r="P238" t="n">
        <v>0</v>
      </c>
      <c r="Q238" t="n">
        <v>0</v>
      </c>
      <c r="R238" s="2" t="inlineStr"/>
    </row>
    <row r="239" ht="15" customHeight="1">
      <c r="A239" t="inlineStr">
        <is>
          <t>A 5583-2024</t>
        </is>
      </c>
      <c r="B239" s="1" t="n">
        <v>45334</v>
      </c>
      <c r="C239" s="1" t="n">
        <v>45966</v>
      </c>
      <c r="D239" t="inlineStr">
        <is>
          <t>DALARNAS LÄN</t>
        </is>
      </c>
      <c r="E239" t="inlineStr">
        <is>
          <t>LEKSAND</t>
        </is>
      </c>
      <c r="F239" t="inlineStr">
        <is>
          <t>Kyrkan</t>
        </is>
      </c>
      <c r="G239" t="n">
        <v>0.4</v>
      </c>
      <c r="H239" t="n">
        <v>0</v>
      </c>
      <c r="I239" t="n">
        <v>0</v>
      </c>
      <c r="J239" t="n">
        <v>0</v>
      </c>
      <c r="K239" t="n">
        <v>0</v>
      </c>
      <c r="L239" t="n">
        <v>0</v>
      </c>
      <c r="M239" t="n">
        <v>0</v>
      </c>
      <c r="N239" t="n">
        <v>0</v>
      </c>
      <c r="O239" t="n">
        <v>0</v>
      </c>
      <c r="P239" t="n">
        <v>0</v>
      </c>
      <c r="Q239" t="n">
        <v>0</v>
      </c>
      <c r="R239" s="2" t="inlineStr"/>
    </row>
    <row r="240" ht="15" customHeight="1">
      <c r="A240" t="inlineStr">
        <is>
          <t>A 56950-2024</t>
        </is>
      </c>
      <c r="B240" s="1" t="n">
        <v>45625</v>
      </c>
      <c r="C240" s="1" t="n">
        <v>45966</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15120-2023</t>
        </is>
      </c>
      <c r="B241" s="1" t="n">
        <v>45016.46484953703</v>
      </c>
      <c r="C241" s="1" t="n">
        <v>45966</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50278-2023</t>
        </is>
      </c>
      <c r="B242" s="1" t="n">
        <v>45216.43444444444</v>
      </c>
      <c r="C242" s="1" t="n">
        <v>45966</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43693-2022</t>
        </is>
      </c>
      <c r="B243" s="1" t="n">
        <v>44837.6369212963</v>
      </c>
      <c r="C243" s="1" t="n">
        <v>45966</v>
      </c>
      <c r="D243" t="inlineStr">
        <is>
          <t>DALARNAS LÄN</t>
        </is>
      </c>
      <c r="E243" t="inlineStr">
        <is>
          <t>LEKSAND</t>
        </is>
      </c>
      <c r="G243" t="n">
        <v>2.7</v>
      </c>
      <c r="H243" t="n">
        <v>0</v>
      </c>
      <c r="I243" t="n">
        <v>0</v>
      </c>
      <c r="J243" t="n">
        <v>0</v>
      </c>
      <c r="K243" t="n">
        <v>0</v>
      </c>
      <c r="L243" t="n">
        <v>0</v>
      </c>
      <c r="M243" t="n">
        <v>0</v>
      </c>
      <c r="N243" t="n">
        <v>0</v>
      </c>
      <c r="O243" t="n">
        <v>0</v>
      </c>
      <c r="P243" t="n">
        <v>0</v>
      </c>
      <c r="Q243" t="n">
        <v>0</v>
      </c>
      <c r="R243" s="2" t="inlineStr"/>
    </row>
    <row r="244" ht="15" customHeight="1">
      <c r="A244" t="inlineStr">
        <is>
          <t>A 13401-2023</t>
        </is>
      </c>
      <c r="B244" s="1" t="n">
        <v>45005</v>
      </c>
      <c r="C244" s="1" t="n">
        <v>45966</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40513-2025</t>
        </is>
      </c>
      <c r="B245" s="1" t="n">
        <v>45896.35100694445</v>
      </c>
      <c r="C245" s="1" t="n">
        <v>45966</v>
      </c>
      <c r="D245" t="inlineStr">
        <is>
          <t>DALARNAS LÄN</t>
        </is>
      </c>
      <c r="E245" t="inlineStr">
        <is>
          <t>LEKSAND</t>
        </is>
      </c>
      <c r="G245" t="n">
        <v>7.1</v>
      </c>
      <c r="H245" t="n">
        <v>0</v>
      </c>
      <c r="I245" t="n">
        <v>0</v>
      </c>
      <c r="J245" t="n">
        <v>0</v>
      </c>
      <c r="K245" t="n">
        <v>0</v>
      </c>
      <c r="L245" t="n">
        <v>0</v>
      </c>
      <c r="M245" t="n">
        <v>0</v>
      </c>
      <c r="N245" t="n">
        <v>0</v>
      </c>
      <c r="O245" t="n">
        <v>0</v>
      </c>
      <c r="P245" t="n">
        <v>0</v>
      </c>
      <c r="Q245" t="n">
        <v>0</v>
      </c>
      <c r="R245" s="2" t="inlineStr"/>
    </row>
    <row r="246" ht="15" customHeight="1">
      <c r="A246" t="inlineStr">
        <is>
          <t>A 5453-2025</t>
        </is>
      </c>
      <c r="B246" s="1" t="n">
        <v>45692.95231481481</v>
      </c>
      <c r="C246" s="1" t="n">
        <v>45966</v>
      </c>
      <c r="D246" t="inlineStr">
        <is>
          <t>DALARNAS LÄN</t>
        </is>
      </c>
      <c r="E246" t="inlineStr">
        <is>
          <t>LEKSAND</t>
        </is>
      </c>
      <c r="G246" t="n">
        <v>2.2</v>
      </c>
      <c r="H246" t="n">
        <v>0</v>
      </c>
      <c r="I246" t="n">
        <v>0</v>
      </c>
      <c r="J246" t="n">
        <v>0</v>
      </c>
      <c r="K246" t="n">
        <v>0</v>
      </c>
      <c r="L246" t="n">
        <v>0</v>
      </c>
      <c r="M246" t="n">
        <v>0</v>
      </c>
      <c r="N246" t="n">
        <v>0</v>
      </c>
      <c r="O246" t="n">
        <v>0</v>
      </c>
      <c r="P246" t="n">
        <v>0</v>
      </c>
      <c r="Q246" t="n">
        <v>0</v>
      </c>
      <c r="R246" s="2" t="inlineStr"/>
    </row>
    <row r="247" ht="15" customHeight="1">
      <c r="A247" t="inlineStr">
        <is>
          <t>A 3352-2024</t>
        </is>
      </c>
      <c r="B247" s="1" t="n">
        <v>45317</v>
      </c>
      <c r="C247" s="1" t="n">
        <v>45966</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52755-2024</t>
        </is>
      </c>
      <c r="B248" s="1" t="n">
        <v>45610.50217592593</v>
      </c>
      <c r="C248" s="1" t="n">
        <v>45966</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49212-2025</t>
        </is>
      </c>
      <c r="B249" s="1" t="n">
        <v>45938.43855324074</v>
      </c>
      <c r="C249" s="1" t="n">
        <v>45966</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49209-2025</t>
        </is>
      </c>
      <c r="B250" s="1" t="n">
        <v>45938.43589120371</v>
      </c>
      <c r="C250" s="1" t="n">
        <v>45966</v>
      </c>
      <c r="D250" t="inlineStr">
        <is>
          <t>DALARNAS LÄN</t>
        </is>
      </c>
      <c r="E250" t="inlineStr">
        <is>
          <t>LEKSAND</t>
        </is>
      </c>
      <c r="G250" t="n">
        <v>4.8</v>
      </c>
      <c r="H250" t="n">
        <v>0</v>
      </c>
      <c r="I250" t="n">
        <v>0</v>
      </c>
      <c r="J250" t="n">
        <v>0</v>
      </c>
      <c r="K250" t="n">
        <v>0</v>
      </c>
      <c r="L250" t="n">
        <v>0</v>
      </c>
      <c r="M250" t="n">
        <v>0</v>
      </c>
      <c r="N250" t="n">
        <v>0</v>
      </c>
      <c r="O250" t="n">
        <v>0</v>
      </c>
      <c r="P250" t="n">
        <v>0</v>
      </c>
      <c r="Q250" t="n">
        <v>0</v>
      </c>
      <c r="R250" s="2" t="inlineStr"/>
    </row>
    <row r="251" ht="15" customHeight="1">
      <c r="A251" t="inlineStr">
        <is>
          <t>A 13165-2023</t>
        </is>
      </c>
      <c r="B251" s="1" t="n">
        <v>45002.57731481481</v>
      </c>
      <c r="C251" s="1" t="n">
        <v>45966</v>
      </c>
      <c r="D251" t="inlineStr">
        <is>
          <t>DALARNAS LÄN</t>
        </is>
      </c>
      <c r="E251" t="inlineStr">
        <is>
          <t>LEKSAND</t>
        </is>
      </c>
      <c r="G251" t="n">
        <v>2.4</v>
      </c>
      <c r="H251" t="n">
        <v>0</v>
      </c>
      <c r="I251" t="n">
        <v>0</v>
      </c>
      <c r="J251" t="n">
        <v>0</v>
      </c>
      <c r="K251" t="n">
        <v>0</v>
      </c>
      <c r="L251" t="n">
        <v>0</v>
      </c>
      <c r="M251" t="n">
        <v>0</v>
      </c>
      <c r="N251" t="n">
        <v>0</v>
      </c>
      <c r="O251" t="n">
        <v>0</v>
      </c>
      <c r="P251" t="n">
        <v>0</v>
      </c>
      <c r="Q251" t="n">
        <v>0</v>
      </c>
      <c r="R251" s="2" t="inlineStr"/>
    </row>
    <row r="252" ht="15" customHeight="1">
      <c r="A252" t="inlineStr">
        <is>
          <t>A 39620-2024</t>
        </is>
      </c>
      <c r="B252" s="1" t="n">
        <v>45552.43163194445</v>
      </c>
      <c r="C252" s="1" t="n">
        <v>45966</v>
      </c>
      <c r="D252" t="inlineStr">
        <is>
          <t>DALARNAS LÄN</t>
        </is>
      </c>
      <c r="E252" t="inlineStr">
        <is>
          <t>LEKSAND</t>
        </is>
      </c>
      <c r="G252" t="n">
        <v>2.3</v>
      </c>
      <c r="H252" t="n">
        <v>0</v>
      </c>
      <c r="I252" t="n">
        <v>0</v>
      </c>
      <c r="J252" t="n">
        <v>0</v>
      </c>
      <c r="K252" t="n">
        <v>0</v>
      </c>
      <c r="L252" t="n">
        <v>0</v>
      </c>
      <c r="M252" t="n">
        <v>0</v>
      </c>
      <c r="N252" t="n">
        <v>0</v>
      </c>
      <c r="O252" t="n">
        <v>0</v>
      </c>
      <c r="P252" t="n">
        <v>0</v>
      </c>
      <c r="Q252" t="n">
        <v>0</v>
      </c>
      <c r="R252" s="2" t="inlineStr"/>
    </row>
    <row r="253" ht="15" customHeight="1">
      <c r="A253" t="inlineStr">
        <is>
          <t>A 40517-2025</t>
        </is>
      </c>
      <c r="B253" s="1" t="n">
        <v>45896.36368055556</v>
      </c>
      <c r="C253" s="1" t="n">
        <v>45966</v>
      </c>
      <c r="D253" t="inlineStr">
        <is>
          <t>DALARNAS LÄN</t>
        </is>
      </c>
      <c r="E253" t="inlineStr">
        <is>
          <t>LEKSAND</t>
        </is>
      </c>
      <c r="G253" t="n">
        <v>1.6</v>
      </c>
      <c r="H253" t="n">
        <v>0</v>
      </c>
      <c r="I253" t="n">
        <v>0</v>
      </c>
      <c r="J253" t="n">
        <v>0</v>
      </c>
      <c r="K253" t="n">
        <v>0</v>
      </c>
      <c r="L253" t="n">
        <v>0</v>
      </c>
      <c r="M253" t="n">
        <v>0</v>
      </c>
      <c r="N253" t="n">
        <v>0</v>
      </c>
      <c r="O253" t="n">
        <v>0</v>
      </c>
      <c r="P253" t="n">
        <v>0</v>
      </c>
      <c r="Q253" t="n">
        <v>0</v>
      </c>
      <c r="R253" s="2" t="inlineStr"/>
    </row>
    <row r="254" ht="15" customHeight="1">
      <c r="A254" t="inlineStr">
        <is>
          <t>A 23323-2023</t>
        </is>
      </c>
      <c r="B254" s="1" t="n">
        <v>45076</v>
      </c>
      <c r="C254" s="1" t="n">
        <v>45966</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49505-2025</t>
        </is>
      </c>
      <c r="B255" s="1" t="n">
        <v>45939.37564814815</v>
      </c>
      <c r="C255" s="1" t="n">
        <v>45966</v>
      </c>
      <c r="D255" t="inlineStr">
        <is>
          <t>DALARNAS LÄN</t>
        </is>
      </c>
      <c r="E255" t="inlineStr">
        <is>
          <t>LEKSAND</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17485-2025</t>
        </is>
      </c>
      <c r="B256" s="1" t="n">
        <v>45757.49976851852</v>
      </c>
      <c r="C256" s="1" t="n">
        <v>45966</v>
      </c>
      <c r="D256" t="inlineStr">
        <is>
          <t>DALARNAS LÄN</t>
        </is>
      </c>
      <c r="E256" t="inlineStr">
        <is>
          <t>LEKSAND</t>
        </is>
      </c>
      <c r="G256" t="n">
        <v>3.7</v>
      </c>
      <c r="H256" t="n">
        <v>0</v>
      </c>
      <c r="I256" t="n">
        <v>0</v>
      </c>
      <c r="J256" t="n">
        <v>0</v>
      </c>
      <c r="K256" t="n">
        <v>0</v>
      </c>
      <c r="L256" t="n">
        <v>0</v>
      </c>
      <c r="M256" t="n">
        <v>0</v>
      </c>
      <c r="N256" t="n">
        <v>0</v>
      </c>
      <c r="O256" t="n">
        <v>0</v>
      </c>
      <c r="P256" t="n">
        <v>0</v>
      </c>
      <c r="Q256" t="n">
        <v>0</v>
      </c>
      <c r="R256" s="2" t="inlineStr"/>
    </row>
    <row r="257" ht="15" customHeight="1">
      <c r="A257" t="inlineStr">
        <is>
          <t>A 18176-2024</t>
        </is>
      </c>
      <c r="B257" s="1" t="n">
        <v>45420.63901620371</v>
      </c>
      <c r="C257" s="1" t="n">
        <v>45966</v>
      </c>
      <c r="D257" t="inlineStr">
        <is>
          <t>DALARNAS LÄN</t>
        </is>
      </c>
      <c r="E257" t="inlineStr">
        <is>
          <t>LEKSAND</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30204-2024</t>
        </is>
      </c>
      <c r="B258" s="1" t="n">
        <v>45490.35402777778</v>
      </c>
      <c r="C258" s="1" t="n">
        <v>45966</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41487-2025</t>
        </is>
      </c>
      <c r="B259" s="1" t="n">
        <v>45901.4815625</v>
      </c>
      <c r="C259" s="1" t="n">
        <v>45966</v>
      </c>
      <c r="D259" t="inlineStr">
        <is>
          <t>DALARNAS LÄN</t>
        </is>
      </c>
      <c r="E259" t="inlineStr">
        <is>
          <t>LEKSAND</t>
        </is>
      </c>
      <c r="F259" t="inlineStr">
        <is>
          <t>Bergvik skog väst AB</t>
        </is>
      </c>
      <c r="G259" t="n">
        <v>7.3</v>
      </c>
      <c r="H259" t="n">
        <v>0</v>
      </c>
      <c r="I259" t="n">
        <v>0</v>
      </c>
      <c r="J259" t="n">
        <v>0</v>
      </c>
      <c r="K259" t="n">
        <v>0</v>
      </c>
      <c r="L259" t="n">
        <v>0</v>
      </c>
      <c r="M259" t="n">
        <v>0</v>
      </c>
      <c r="N259" t="n">
        <v>0</v>
      </c>
      <c r="O259" t="n">
        <v>0</v>
      </c>
      <c r="P259" t="n">
        <v>0</v>
      </c>
      <c r="Q259" t="n">
        <v>0</v>
      </c>
      <c r="R259" s="2" t="inlineStr"/>
    </row>
    <row r="260" ht="15" customHeight="1">
      <c r="A260" t="inlineStr">
        <is>
          <t>A 6050-2023</t>
        </is>
      </c>
      <c r="B260" s="1" t="n">
        <v>44959</v>
      </c>
      <c r="C260" s="1" t="n">
        <v>45966</v>
      </c>
      <c r="D260" t="inlineStr">
        <is>
          <t>DALARNAS LÄN</t>
        </is>
      </c>
      <c r="E260" t="inlineStr">
        <is>
          <t>LEKSAND</t>
        </is>
      </c>
      <c r="G260" t="n">
        <v>6.2</v>
      </c>
      <c r="H260" t="n">
        <v>0</v>
      </c>
      <c r="I260" t="n">
        <v>0</v>
      </c>
      <c r="J260" t="n">
        <v>0</v>
      </c>
      <c r="K260" t="n">
        <v>0</v>
      </c>
      <c r="L260" t="n">
        <v>0</v>
      </c>
      <c r="M260" t="n">
        <v>0</v>
      </c>
      <c r="N260" t="n">
        <v>0</v>
      </c>
      <c r="O260" t="n">
        <v>0</v>
      </c>
      <c r="P260" t="n">
        <v>0</v>
      </c>
      <c r="Q260" t="n">
        <v>0</v>
      </c>
      <c r="R260" s="2" t="inlineStr"/>
    </row>
    <row r="261" ht="15" customHeight="1">
      <c r="A261" t="inlineStr">
        <is>
          <t>A 17730-2024</t>
        </is>
      </c>
      <c r="B261" s="1" t="n">
        <v>45418</v>
      </c>
      <c r="C261" s="1" t="n">
        <v>45966</v>
      </c>
      <c r="D261" t="inlineStr">
        <is>
          <t>DALARNAS LÄN</t>
        </is>
      </c>
      <c r="E261" t="inlineStr">
        <is>
          <t>LEKSAND</t>
        </is>
      </c>
      <c r="G261" t="n">
        <v>2.4</v>
      </c>
      <c r="H261" t="n">
        <v>0</v>
      </c>
      <c r="I261" t="n">
        <v>0</v>
      </c>
      <c r="J261" t="n">
        <v>0</v>
      </c>
      <c r="K261" t="n">
        <v>0</v>
      </c>
      <c r="L261" t="n">
        <v>0</v>
      </c>
      <c r="M261" t="n">
        <v>0</v>
      </c>
      <c r="N261" t="n">
        <v>0</v>
      </c>
      <c r="O261" t="n">
        <v>0</v>
      </c>
      <c r="P261" t="n">
        <v>0</v>
      </c>
      <c r="Q261" t="n">
        <v>0</v>
      </c>
      <c r="R261" s="2" t="inlineStr"/>
    </row>
    <row r="262" ht="15" customHeight="1">
      <c r="A262" t="inlineStr">
        <is>
          <t>A 33072-2021</t>
        </is>
      </c>
      <c r="B262" s="1" t="n">
        <v>44375</v>
      </c>
      <c r="C262" s="1" t="n">
        <v>45966</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412-2024</t>
        </is>
      </c>
      <c r="B263" s="1" t="n">
        <v>45296</v>
      </c>
      <c r="C263" s="1" t="n">
        <v>45966</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41237-2025</t>
        </is>
      </c>
      <c r="B264" s="1" t="n">
        <v>45898.59570601852</v>
      </c>
      <c r="C264" s="1" t="n">
        <v>45966</v>
      </c>
      <c r="D264" t="inlineStr">
        <is>
          <t>DALARNAS LÄN</t>
        </is>
      </c>
      <c r="E264" t="inlineStr">
        <is>
          <t>LEKSAND</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41248-2025</t>
        </is>
      </c>
      <c r="B265" s="1" t="n">
        <v>45898.60199074074</v>
      </c>
      <c r="C265" s="1" t="n">
        <v>45966</v>
      </c>
      <c r="D265" t="inlineStr">
        <is>
          <t>DALARNAS LÄN</t>
        </is>
      </c>
      <c r="E265" t="inlineStr">
        <is>
          <t>LEKSAND</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56330-2022</t>
        </is>
      </c>
      <c r="B266" s="1" t="n">
        <v>44890.62630787037</v>
      </c>
      <c r="C266" s="1" t="n">
        <v>45966</v>
      </c>
      <c r="D266" t="inlineStr">
        <is>
          <t>DALARNAS LÄN</t>
        </is>
      </c>
      <c r="E266" t="inlineStr">
        <is>
          <t>LEKSAND</t>
        </is>
      </c>
      <c r="G266" t="n">
        <v>4.9</v>
      </c>
      <c r="H266" t="n">
        <v>0</v>
      </c>
      <c r="I266" t="n">
        <v>0</v>
      </c>
      <c r="J266" t="n">
        <v>0</v>
      </c>
      <c r="K266" t="n">
        <v>0</v>
      </c>
      <c r="L266" t="n">
        <v>0</v>
      </c>
      <c r="M266" t="n">
        <v>0</v>
      </c>
      <c r="N266" t="n">
        <v>0</v>
      </c>
      <c r="O266" t="n">
        <v>0</v>
      </c>
      <c r="P266" t="n">
        <v>0</v>
      </c>
      <c r="Q266" t="n">
        <v>0</v>
      </c>
      <c r="R266" s="2" t="inlineStr"/>
    </row>
    <row r="267" ht="15" customHeight="1">
      <c r="A267" t="inlineStr">
        <is>
          <t>A 20946-2023</t>
        </is>
      </c>
      <c r="B267" s="1" t="n">
        <v>45061</v>
      </c>
      <c r="C267" s="1" t="n">
        <v>45966</v>
      </c>
      <c r="D267" t="inlineStr">
        <is>
          <t>DALARNAS LÄN</t>
        </is>
      </c>
      <c r="E267" t="inlineStr">
        <is>
          <t>LEKSAND</t>
        </is>
      </c>
      <c r="G267" t="n">
        <v>2.7</v>
      </c>
      <c r="H267" t="n">
        <v>0</v>
      </c>
      <c r="I267" t="n">
        <v>0</v>
      </c>
      <c r="J267" t="n">
        <v>0</v>
      </c>
      <c r="K267" t="n">
        <v>0</v>
      </c>
      <c r="L267" t="n">
        <v>0</v>
      </c>
      <c r="M267" t="n">
        <v>0</v>
      </c>
      <c r="N267" t="n">
        <v>0</v>
      </c>
      <c r="O267" t="n">
        <v>0</v>
      </c>
      <c r="P267" t="n">
        <v>0</v>
      </c>
      <c r="Q267" t="n">
        <v>0</v>
      </c>
      <c r="R267" s="2" t="inlineStr"/>
    </row>
    <row r="268" ht="15" customHeight="1">
      <c r="A268" t="inlineStr">
        <is>
          <t>A 41308-2025</t>
        </is>
      </c>
      <c r="B268" s="1" t="n">
        <v>45898</v>
      </c>
      <c r="C268" s="1" t="n">
        <v>45966</v>
      </c>
      <c r="D268" t="inlineStr">
        <is>
          <t>DALARNAS LÄN</t>
        </is>
      </c>
      <c r="E268" t="inlineStr">
        <is>
          <t>LEKSAND</t>
        </is>
      </c>
      <c r="F268" t="inlineStr">
        <is>
          <t>Bergvik skog väst AB</t>
        </is>
      </c>
      <c r="G268" t="n">
        <v>6.7</v>
      </c>
      <c r="H268" t="n">
        <v>0</v>
      </c>
      <c r="I268" t="n">
        <v>0</v>
      </c>
      <c r="J268" t="n">
        <v>0</v>
      </c>
      <c r="K268" t="n">
        <v>0</v>
      </c>
      <c r="L268" t="n">
        <v>0</v>
      </c>
      <c r="M268" t="n">
        <v>0</v>
      </c>
      <c r="N268" t="n">
        <v>0</v>
      </c>
      <c r="O268" t="n">
        <v>0</v>
      </c>
      <c r="P268" t="n">
        <v>0</v>
      </c>
      <c r="Q268" t="n">
        <v>0</v>
      </c>
      <c r="R268" s="2" t="inlineStr"/>
    </row>
    <row r="269" ht="15" customHeight="1">
      <c r="A269" t="inlineStr">
        <is>
          <t>A 34039-2024</t>
        </is>
      </c>
      <c r="B269" s="1" t="n">
        <v>45523.5974537037</v>
      </c>
      <c r="C269" s="1" t="n">
        <v>45966</v>
      </c>
      <c r="D269" t="inlineStr">
        <is>
          <t>DALARNAS LÄN</t>
        </is>
      </c>
      <c r="E269" t="inlineStr">
        <is>
          <t>LEKSAND</t>
        </is>
      </c>
      <c r="G269" t="n">
        <v>7.1</v>
      </c>
      <c r="H269" t="n">
        <v>0</v>
      </c>
      <c r="I269" t="n">
        <v>0</v>
      </c>
      <c r="J269" t="n">
        <v>0</v>
      </c>
      <c r="K269" t="n">
        <v>0</v>
      </c>
      <c r="L269" t="n">
        <v>0</v>
      </c>
      <c r="M269" t="n">
        <v>0</v>
      </c>
      <c r="N269" t="n">
        <v>0</v>
      </c>
      <c r="O269" t="n">
        <v>0</v>
      </c>
      <c r="P269" t="n">
        <v>0</v>
      </c>
      <c r="Q269" t="n">
        <v>0</v>
      </c>
      <c r="R269" s="2" t="inlineStr"/>
    </row>
    <row r="270" ht="15" customHeight="1">
      <c r="A270" t="inlineStr">
        <is>
          <t>A 7759-2025</t>
        </is>
      </c>
      <c r="B270" s="1" t="n">
        <v>45706.53827546296</v>
      </c>
      <c r="C270" s="1" t="n">
        <v>45966</v>
      </c>
      <c r="D270" t="inlineStr">
        <is>
          <t>DALARNAS LÄN</t>
        </is>
      </c>
      <c r="E270" t="inlineStr">
        <is>
          <t>LEKSAND</t>
        </is>
      </c>
      <c r="G270" t="n">
        <v>3.3</v>
      </c>
      <c r="H270" t="n">
        <v>0</v>
      </c>
      <c r="I270" t="n">
        <v>0</v>
      </c>
      <c r="J270" t="n">
        <v>0</v>
      </c>
      <c r="K270" t="n">
        <v>0</v>
      </c>
      <c r="L270" t="n">
        <v>0</v>
      </c>
      <c r="M270" t="n">
        <v>0</v>
      </c>
      <c r="N270" t="n">
        <v>0</v>
      </c>
      <c r="O270" t="n">
        <v>0</v>
      </c>
      <c r="P270" t="n">
        <v>0</v>
      </c>
      <c r="Q270" t="n">
        <v>0</v>
      </c>
      <c r="R270" s="2" t="inlineStr"/>
    </row>
    <row r="271" ht="15" customHeight="1">
      <c r="A271" t="inlineStr">
        <is>
          <t>A 12356-2023</t>
        </is>
      </c>
      <c r="B271" s="1" t="n">
        <v>44998</v>
      </c>
      <c r="C271" s="1" t="n">
        <v>45966</v>
      </c>
      <c r="D271" t="inlineStr">
        <is>
          <t>DALARNAS LÄN</t>
        </is>
      </c>
      <c r="E271" t="inlineStr">
        <is>
          <t>LEKSAND</t>
        </is>
      </c>
      <c r="G271" t="n">
        <v>1.6</v>
      </c>
      <c r="H271" t="n">
        <v>0</v>
      </c>
      <c r="I271" t="n">
        <v>0</v>
      </c>
      <c r="J271" t="n">
        <v>0</v>
      </c>
      <c r="K271" t="n">
        <v>0</v>
      </c>
      <c r="L271" t="n">
        <v>0</v>
      </c>
      <c r="M271" t="n">
        <v>0</v>
      </c>
      <c r="N271" t="n">
        <v>0</v>
      </c>
      <c r="O271" t="n">
        <v>0</v>
      </c>
      <c r="P271" t="n">
        <v>0</v>
      </c>
      <c r="Q271" t="n">
        <v>0</v>
      </c>
      <c r="R271" s="2" t="inlineStr"/>
    </row>
    <row r="272" ht="15" customHeight="1">
      <c r="A272" t="inlineStr">
        <is>
          <t>A 12363-2023</t>
        </is>
      </c>
      <c r="B272" s="1" t="n">
        <v>44998</v>
      </c>
      <c r="C272" s="1" t="n">
        <v>45966</v>
      </c>
      <c r="D272" t="inlineStr">
        <is>
          <t>DALARNAS LÄN</t>
        </is>
      </c>
      <c r="E272" t="inlineStr">
        <is>
          <t>LEKSAND</t>
        </is>
      </c>
      <c r="G272" t="n">
        <v>10</v>
      </c>
      <c r="H272" t="n">
        <v>0</v>
      </c>
      <c r="I272" t="n">
        <v>0</v>
      </c>
      <c r="J272" t="n">
        <v>0</v>
      </c>
      <c r="K272" t="n">
        <v>0</v>
      </c>
      <c r="L272" t="n">
        <v>0</v>
      </c>
      <c r="M272" t="n">
        <v>0</v>
      </c>
      <c r="N272" t="n">
        <v>0</v>
      </c>
      <c r="O272" t="n">
        <v>0</v>
      </c>
      <c r="P272" t="n">
        <v>0</v>
      </c>
      <c r="Q272" t="n">
        <v>0</v>
      </c>
      <c r="R272" s="2" t="inlineStr"/>
    </row>
    <row r="273" ht="15" customHeight="1">
      <c r="A273" t="inlineStr">
        <is>
          <t>A 41335-2025</t>
        </is>
      </c>
      <c r="B273" s="1" t="n">
        <v>45899.36747685185</v>
      </c>
      <c r="C273" s="1" t="n">
        <v>45966</v>
      </c>
      <c r="D273" t="inlineStr">
        <is>
          <t>DALARNAS LÄN</t>
        </is>
      </c>
      <c r="E273" t="inlineStr">
        <is>
          <t>LEKSAND</t>
        </is>
      </c>
      <c r="G273" t="n">
        <v>5.9</v>
      </c>
      <c r="H273" t="n">
        <v>0</v>
      </c>
      <c r="I273" t="n">
        <v>0</v>
      </c>
      <c r="J273" t="n">
        <v>0</v>
      </c>
      <c r="K273" t="n">
        <v>0</v>
      </c>
      <c r="L273" t="n">
        <v>0</v>
      </c>
      <c r="M273" t="n">
        <v>0</v>
      </c>
      <c r="N273" t="n">
        <v>0</v>
      </c>
      <c r="O273" t="n">
        <v>0</v>
      </c>
      <c r="P273" t="n">
        <v>0</v>
      </c>
      <c r="Q273" t="n">
        <v>0</v>
      </c>
      <c r="R273" s="2" t="inlineStr"/>
    </row>
    <row r="274" ht="15" customHeight="1">
      <c r="A274" t="inlineStr">
        <is>
          <t>A 59673-2023</t>
        </is>
      </c>
      <c r="B274" s="1" t="n">
        <v>45255.44603009259</v>
      </c>
      <c r="C274" s="1" t="n">
        <v>45966</v>
      </c>
      <c r="D274" t="inlineStr">
        <is>
          <t>DALARNAS LÄN</t>
        </is>
      </c>
      <c r="E274" t="inlineStr">
        <is>
          <t>LEKSAND</t>
        </is>
      </c>
      <c r="G274" t="n">
        <v>12.2</v>
      </c>
      <c r="H274" t="n">
        <v>0</v>
      </c>
      <c r="I274" t="n">
        <v>0</v>
      </c>
      <c r="J274" t="n">
        <v>0</v>
      </c>
      <c r="K274" t="n">
        <v>0</v>
      </c>
      <c r="L274" t="n">
        <v>0</v>
      </c>
      <c r="M274" t="n">
        <v>0</v>
      </c>
      <c r="N274" t="n">
        <v>0</v>
      </c>
      <c r="O274" t="n">
        <v>0</v>
      </c>
      <c r="P274" t="n">
        <v>0</v>
      </c>
      <c r="Q274" t="n">
        <v>0</v>
      </c>
      <c r="R274" s="2" t="inlineStr"/>
    </row>
    <row r="275" ht="15" customHeight="1">
      <c r="A275" t="inlineStr">
        <is>
          <t>A 17726-2024</t>
        </is>
      </c>
      <c r="B275" s="1" t="n">
        <v>45418.55609953704</v>
      </c>
      <c r="C275" s="1" t="n">
        <v>45966</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32-2024</t>
        </is>
      </c>
      <c r="B276" s="1" t="n">
        <v>45293</v>
      </c>
      <c r="C276" s="1" t="n">
        <v>45966</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1719-2024</t>
        </is>
      </c>
      <c r="B277" s="1" t="n">
        <v>45307</v>
      </c>
      <c r="C277" s="1" t="n">
        <v>45966</v>
      </c>
      <c r="D277" t="inlineStr">
        <is>
          <t>DALARNAS LÄN</t>
        </is>
      </c>
      <c r="E277" t="inlineStr">
        <is>
          <t>LEKSAND</t>
        </is>
      </c>
      <c r="G277" t="n">
        <v>2.8</v>
      </c>
      <c r="H277" t="n">
        <v>0</v>
      </c>
      <c r="I277" t="n">
        <v>0</v>
      </c>
      <c r="J277" t="n">
        <v>0</v>
      </c>
      <c r="K277" t="n">
        <v>0</v>
      </c>
      <c r="L277" t="n">
        <v>0</v>
      </c>
      <c r="M277" t="n">
        <v>0</v>
      </c>
      <c r="N277" t="n">
        <v>0</v>
      </c>
      <c r="O277" t="n">
        <v>0</v>
      </c>
      <c r="P277" t="n">
        <v>0</v>
      </c>
      <c r="Q277" t="n">
        <v>0</v>
      </c>
      <c r="R277" s="2" t="inlineStr"/>
    </row>
    <row r="278" ht="15" customHeight="1">
      <c r="A278" t="inlineStr">
        <is>
          <t>A 33463-2023</t>
        </is>
      </c>
      <c r="B278" s="1" t="n">
        <v>45131</v>
      </c>
      <c r="C278" s="1" t="n">
        <v>45966</v>
      </c>
      <c r="D278" t="inlineStr">
        <is>
          <t>DALARNAS LÄN</t>
        </is>
      </c>
      <c r="E278" t="inlineStr">
        <is>
          <t>LEKSAND</t>
        </is>
      </c>
      <c r="G278" t="n">
        <v>0.7</v>
      </c>
      <c r="H278" t="n">
        <v>0</v>
      </c>
      <c r="I278" t="n">
        <v>0</v>
      </c>
      <c r="J278" t="n">
        <v>0</v>
      </c>
      <c r="K278" t="n">
        <v>0</v>
      </c>
      <c r="L278" t="n">
        <v>0</v>
      </c>
      <c r="M278" t="n">
        <v>0</v>
      </c>
      <c r="N278" t="n">
        <v>0</v>
      </c>
      <c r="O278" t="n">
        <v>0</v>
      </c>
      <c r="P278" t="n">
        <v>0</v>
      </c>
      <c r="Q278" t="n">
        <v>0</v>
      </c>
      <c r="R278" s="2" t="inlineStr"/>
    </row>
    <row r="279" ht="15" customHeight="1">
      <c r="A279" t="inlineStr">
        <is>
          <t>A 18484-2024</t>
        </is>
      </c>
      <c r="B279" s="1" t="n">
        <v>45425.52559027778</v>
      </c>
      <c r="C279" s="1" t="n">
        <v>45966</v>
      </c>
      <c r="D279" t="inlineStr">
        <is>
          <t>DALARNAS LÄN</t>
        </is>
      </c>
      <c r="E279" t="inlineStr">
        <is>
          <t>LEKSAND</t>
        </is>
      </c>
      <c r="G279" t="n">
        <v>2</v>
      </c>
      <c r="H279" t="n">
        <v>0</v>
      </c>
      <c r="I279" t="n">
        <v>0</v>
      </c>
      <c r="J279" t="n">
        <v>0</v>
      </c>
      <c r="K279" t="n">
        <v>0</v>
      </c>
      <c r="L279" t="n">
        <v>0</v>
      </c>
      <c r="M279" t="n">
        <v>0</v>
      </c>
      <c r="N279" t="n">
        <v>0</v>
      </c>
      <c r="O279" t="n">
        <v>0</v>
      </c>
      <c r="P279" t="n">
        <v>0</v>
      </c>
      <c r="Q279" t="n">
        <v>0</v>
      </c>
      <c r="R279" s="2" t="inlineStr"/>
    </row>
    <row r="280" ht="15" customHeight="1">
      <c r="A280" t="inlineStr">
        <is>
          <t>A 55015-2024</t>
        </is>
      </c>
      <c r="B280" s="1" t="n">
        <v>45621.35554398148</v>
      </c>
      <c r="C280" s="1" t="n">
        <v>45966</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28674-2024</t>
        </is>
      </c>
      <c r="B281" s="1" t="n">
        <v>45478.47863425926</v>
      </c>
      <c r="C281" s="1" t="n">
        <v>45966</v>
      </c>
      <c r="D281" t="inlineStr">
        <is>
          <t>DALARNAS LÄN</t>
        </is>
      </c>
      <c r="E281" t="inlineStr">
        <is>
          <t>LEKSAND</t>
        </is>
      </c>
      <c r="G281" t="n">
        <v>4.9</v>
      </c>
      <c r="H281" t="n">
        <v>0</v>
      </c>
      <c r="I281" t="n">
        <v>0</v>
      </c>
      <c r="J281" t="n">
        <v>0</v>
      </c>
      <c r="K281" t="n">
        <v>0</v>
      </c>
      <c r="L281" t="n">
        <v>0</v>
      </c>
      <c r="M281" t="n">
        <v>0</v>
      </c>
      <c r="N281" t="n">
        <v>0</v>
      </c>
      <c r="O281" t="n">
        <v>0</v>
      </c>
      <c r="P281" t="n">
        <v>0</v>
      </c>
      <c r="Q281" t="n">
        <v>0</v>
      </c>
      <c r="R281" s="2" t="inlineStr"/>
    </row>
    <row r="282" ht="15" customHeight="1">
      <c r="A282" t="inlineStr">
        <is>
          <t>A 55516-2024</t>
        </is>
      </c>
      <c r="B282" s="1" t="n">
        <v>45621</v>
      </c>
      <c r="C282" s="1" t="n">
        <v>45966</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16231-2021</t>
        </is>
      </c>
      <c r="B283" s="1" t="n">
        <v>44292</v>
      </c>
      <c r="C283" s="1" t="n">
        <v>45966</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12992-2022</t>
        </is>
      </c>
      <c r="B284" s="1" t="n">
        <v>44643</v>
      </c>
      <c r="C284" s="1" t="n">
        <v>45966</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41380-2025</t>
        </is>
      </c>
      <c r="B285" s="1" t="n">
        <v>45900.92826388889</v>
      </c>
      <c r="C285" s="1" t="n">
        <v>45966</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56283-2024</t>
        </is>
      </c>
      <c r="B286" s="1" t="n">
        <v>45624.67864583333</v>
      </c>
      <c r="C286" s="1" t="n">
        <v>45966</v>
      </c>
      <c r="D286" t="inlineStr">
        <is>
          <t>DALARNAS LÄN</t>
        </is>
      </c>
      <c r="E286" t="inlineStr">
        <is>
          <t>LEKSAND</t>
        </is>
      </c>
      <c r="G286" t="n">
        <v>1.3</v>
      </c>
      <c r="H286" t="n">
        <v>0</v>
      </c>
      <c r="I286" t="n">
        <v>0</v>
      </c>
      <c r="J286" t="n">
        <v>0</v>
      </c>
      <c r="K286" t="n">
        <v>0</v>
      </c>
      <c r="L286" t="n">
        <v>0</v>
      </c>
      <c r="M286" t="n">
        <v>0</v>
      </c>
      <c r="N286" t="n">
        <v>0</v>
      </c>
      <c r="O286" t="n">
        <v>0</v>
      </c>
      <c r="P286" t="n">
        <v>0</v>
      </c>
      <c r="Q286" t="n">
        <v>0</v>
      </c>
      <c r="R286" s="2" t="inlineStr"/>
    </row>
    <row r="287" ht="15" customHeight="1">
      <c r="A287" t="inlineStr">
        <is>
          <t>A 53122-2023</t>
        </is>
      </c>
      <c r="B287" s="1" t="n">
        <v>45228</v>
      </c>
      <c r="C287" s="1" t="n">
        <v>45966</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8211-2023</t>
        </is>
      </c>
      <c r="B288" s="1" t="n">
        <v>44974</v>
      </c>
      <c r="C288" s="1" t="n">
        <v>45966</v>
      </c>
      <c r="D288" t="inlineStr">
        <is>
          <t>DALARNAS LÄN</t>
        </is>
      </c>
      <c r="E288" t="inlineStr">
        <is>
          <t>LEKSAND</t>
        </is>
      </c>
      <c r="G288" t="n">
        <v>5.2</v>
      </c>
      <c r="H288" t="n">
        <v>0</v>
      </c>
      <c r="I288" t="n">
        <v>0</v>
      </c>
      <c r="J288" t="n">
        <v>0</v>
      </c>
      <c r="K288" t="n">
        <v>0</v>
      </c>
      <c r="L288" t="n">
        <v>0</v>
      </c>
      <c r="M288" t="n">
        <v>0</v>
      </c>
      <c r="N288" t="n">
        <v>0</v>
      </c>
      <c r="O288" t="n">
        <v>0</v>
      </c>
      <c r="P288" t="n">
        <v>0</v>
      </c>
      <c r="Q288" t="n">
        <v>0</v>
      </c>
      <c r="R288" s="2" t="inlineStr"/>
    </row>
    <row r="289" ht="15" customHeight="1">
      <c r="A289" t="inlineStr">
        <is>
          <t>A 23892-2025</t>
        </is>
      </c>
      <c r="B289" s="1" t="n">
        <v>45793</v>
      </c>
      <c r="C289" s="1" t="n">
        <v>45966</v>
      </c>
      <c r="D289" t="inlineStr">
        <is>
          <t>DALARNAS LÄN</t>
        </is>
      </c>
      <c r="E289" t="inlineStr">
        <is>
          <t>LEKSAND</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11418-2023</t>
        </is>
      </c>
      <c r="B290" s="1" t="n">
        <v>44993</v>
      </c>
      <c r="C290" s="1" t="n">
        <v>45966</v>
      </c>
      <c r="D290" t="inlineStr">
        <is>
          <t>DALARNAS LÄN</t>
        </is>
      </c>
      <c r="E290" t="inlineStr">
        <is>
          <t>LEKSAND</t>
        </is>
      </c>
      <c r="G290" t="n">
        <v>2.7</v>
      </c>
      <c r="H290" t="n">
        <v>0</v>
      </c>
      <c r="I290" t="n">
        <v>0</v>
      </c>
      <c r="J290" t="n">
        <v>0</v>
      </c>
      <c r="K290" t="n">
        <v>0</v>
      </c>
      <c r="L290" t="n">
        <v>0</v>
      </c>
      <c r="M290" t="n">
        <v>0</v>
      </c>
      <c r="N290" t="n">
        <v>0</v>
      </c>
      <c r="O290" t="n">
        <v>0</v>
      </c>
      <c r="P290" t="n">
        <v>0</v>
      </c>
      <c r="Q290" t="n">
        <v>0</v>
      </c>
      <c r="R290" s="2" t="inlineStr"/>
    </row>
    <row r="291" ht="15" customHeight="1">
      <c r="A291" t="inlineStr">
        <is>
          <t>A 11092-2023</t>
        </is>
      </c>
      <c r="B291" s="1" t="n">
        <v>44992</v>
      </c>
      <c r="C291" s="1" t="n">
        <v>45966</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28578-2023</t>
        </is>
      </c>
      <c r="B292" s="1" t="n">
        <v>45103</v>
      </c>
      <c r="C292" s="1" t="n">
        <v>45966</v>
      </c>
      <c r="D292" t="inlineStr">
        <is>
          <t>DALARNAS LÄN</t>
        </is>
      </c>
      <c r="E292" t="inlineStr">
        <is>
          <t>LEKSAND</t>
        </is>
      </c>
      <c r="G292" t="n">
        <v>4.4</v>
      </c>
      <c r="H292" t="n">
        <v>0</v>
      </c>
      <c r="I292" t="n">
        <v>0</v>
      </c>
      <c r="J292" t="n">
        <v>0</v>
      </c>
      <c r="K292" t="n">
        <v>0</v>
      </c>
      <c r="L292" t="n">
        <v>0</v>
      </c>
      <c r="M292" t="n">
        <v>0</v>
      </c>
      <c r="N292" t="n">
        <v>0</v>
      </c>
      <c r="O292" t="n">
        <v>0</v>
      </c>
      <c r="P292" t="n">
        <v>0</v>
      </c>
      <c r="Q292" t="n">
        <v>0</v>
      </c>
      <c r="R292" s="2" t="inlineStr"/>
    </row>
    <row r="293" ht="15" customHeight="1">
      <c r="A293" t="inlineStr">
        <is>
          <t>A 42284-2025</t>
        </is>
      </c>
      <c r="B293" s="1" t="n">
        <v>45903</v>
      </c>
      <c r="C293" s="1" t="n">
        <v>45966</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19371-2024</t>
        </is>
      </c>
      <c r="B294" s="1" t="n">
        <v>45429.34969907408</v>
      </c>
      <c r="C294" s="1" t="n">
        <v>45966</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54911-2024</t>
        </is>
      </c>
      <c r="B295" s="1" t="n">
        <v>45618.68929398148</v>
      </c>
      <c r="C295" s="1" t="n">
        <v>45966</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50447-2023</t>
        </is>
      </c>
      <c r="B296" s="1" t="n">
        <v>45216.72185185185</v>
      </c>
      <c r="C296" s="1" t="n">
        <v>45966</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40193-2024</t>
        </is>
      </c>
      <c r="B297" s="1" t="n">
        <v>45554.5734375</v>
      </c>
      <c r="C297" s="1" t="n">
        <v>45966</v>
      </c>
      <c r="D297" t="inlineStr">
        <is>
          <t>DALARNAS LÄN</t>
        </is>
      </c>
      <c r="E297" t="inlineStr">
        <is>
          <t>LEKSAND</t>
        </is>
      </c>
      <c r="F297" t="inlineStr">
        <is>
          <t>Övriga statliga verk och myndigheter</t>
        </is>
      </c>
      <c r="G297" t="n">
        <v>1</v>
      </c>
      <c r="H297" t="n">
        <v>0</v>
      </c>
      <c r="I297" t="n">
        <v>0</v>
      </c>
      <c r="J297" t="n">
        <v>0</v>
      </c>
      <c r="K297" t="n">
        <v>0</v>
      </c>
      <c r="L297" t="n">
        <v>0</v>
      </c>
      <c r="M297" t="n">
        <v>0</v>
      </c>
      <c r="N297" t="n">
        <v>0</v>
      </c>
      <c r="O297" t="n">
        <v>0</v>
      </c>
      <c r="P297" t="n">
        <v>0</v>
      </c>
      <c r="Q297" t="n">
        <v>0</v>
      </c>
      <c r="R297" s="2" t="inlineStr"/>
    </row>
    <row r="298" ht="15" customHeight="1">
      <c r="A298" t="inlineStr">
        <is>
          <t>A 39558-2023</t>
        </is>
      </c>
      <c r="B298" s="1" t="n">
        <v>45167.38664351852</v>
      </c>
      <c r="C298" s="1" t="n">
        <v>45966</v>
      </c>
      <c r="D298" t="inlineStr">
        <is>
          <t>DALARNAS LÄN</t>
        </is>
      </c>
      <c r="E298" t="inlineStr">
        <is>
          <t>LEKSAND</t>
        </is>
      </c>
      <c r="G298" t="n">
        <v>39.9</v>
      </c>
      <c r="H298" t="n">
        <v>0</v>
      </c>
      <c r="I298" t="n">
        <v>0</v>
      </c>
      <c r="J298" t="n">
        <v>0</v>
      </c>
      <c r="K298" t="n">
        <v>0</v>
      </c>
      <c r="L298" t="n">
        <v>0</v>
      </c>
      <c r="M298" t="n">
        <v>0</v>
      </c>
      <c r="N298" t="n">
        <v>0</v>
      </c>
      <c r="O298" t="n">
        <v>0</v>
      </c>
      <c r="P298" t="n">
        <v>0</v>
      </c>
      <c r="Q298" t="n">
        <v>0</v>
      </c>
      <c r="R298" s="2" t="inlineStr"/>
    </row>
    <row r="299" ht="15" customHeight="1">
      <c r="A299" t="inlineStr">
        <is>
          <t>A 46876-2023</t>
        </is>
      </c>
      <c r="B299" s="1" t="n">
        <v>45200</v>
      </c>
      <c r="C299" s="1" t="n">
        <v>45966</v>
      </c>
      <c r="D299" t="inlineStr">
        <is>
          <t>DALARNAS LÄN</t>
        </is>
      </c>
      <c r="E299" t="inlineStr">
        <is>
          <t>LEKSAND</t>
        </is>
      </c>
      <c r="G299" t="n">
        <v>2.4</v>
      </c>
      <c r="H299" t="n">
        <v>0</v>
      </c>
      <c r="I299" t="n">
        <v>0</v>
      </c>
      <c r="J299" t="n">
        <v>0</v>
      </c>
      <c r="K299" t="n">
        <v>0</v>
      </c>
      <c r="L299" t="n">
        <v>0</v>
      </c>
      <c r="M299" t="n">
        <v>0</v>
      </c>
      <c r="N299" t="n">
        <v>0</v>
      </c>
      <c r="O299" t="n">
        <v>0</v>
      </c>
      <c r="P299" t="n">
        <v>0</v>
      </c>
      <c r="Q299" t="n">
        <v>0</v>
      </c>
      <c r="R299" s="2" t="inlineStr"/>
    </row>
    <row r="300" ht="15" customHeight="1">
      <c r="A300" t="inlineStr">
        <is>
          <t>A 50332-2025</t>
        </is>
      </c>
      <c r="B300" s="1" t="n">
        <v>45944.47092592593</v>
      </c>
      <c r="C300" s="1" t="n">
        <v>45966</v>
      </c>
      <c r="D300" t="inlineStr">
        <is>
          <t>DALARNAS LÄN</t>
        </is>
      </c>
      <c r="E300" t="inlineStr">
        <is>
          <t>LEKSAND</t>
        </is>
      </c>
      <c r="G300" t="n">
        <v>2.4</v>
      </c>
      <c r="H300" t="n">
        <v>0</v>
      </c>
      <c r="I300" t="n">
        <v>0</v>
      </c>
      <c r="J300" t="n">
        <v>0</v>
      </c>
      <c r="K300" t="n">
        <v>0</v>
      </c>
      <c r="L300" t="n">
        <v>0</v>
      </c>
      <c r="M300" t="n">
        <v>0</v>
      </c>
      <c r="N300" t="n">
        <v>0</v>
      </c>
      <c r="O300" t="n">
        <v>0</v>
      </c>
      <c r="P300" t="n">
        <v>0</v>
      </c>
      <c r="Q300" t="n">
        <v>0</v>
      </c>
      <c r="R300" s="2" t="inlineStr"/>
    </row>
    <row r="301" ht="15" customHeight="1">
      <c r="A301" t="inlineStr">
        <is>
          <t>A 9138-2023</t>
        </is>
      </c>
      <c r="B301" s="1" t="n">
        <v>44974</v>
      </c>
      <c r="C301" s="1" t="n">
        <v>45966</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9141-2023</t>
        </is>
      </c>
      <c r="B302" s="1" t="n">
        <v>44974</v>
      </c>
      <c r="C302" s="1" t="n">
        <v>45966</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2630-2025</t>
        </is>
      </c>
      <c r="B303" s="1" t="n">
        <v>45675.85865740741</v>
      </c>
      <c r="C303" s="1" t="n">
        <v>45966</v>
      </c>
      <c r="D303" t="inlineStr">
        <is>
          <t>DALARNAS LÄN</t>
        </is>
      </c>
      <c r="E303" t="inlineStr">
        <is>
          <t>LEKSAND</t>
        </is>
      </c>
      <c r="G303" t="n">
        <v>1.6</v>
      </c>
      <c r="H303" t="n">
        <v>0</v>
      </c>
      <c r="I303" t="n">
        <v>0</v>
      </c>
      <c r="J303" t="n">
        <v>0</v>
      </c>
      <c r="K303" t="n">
        <v>0</v>
      </c>
      <c r="L303" t="n">
        <v>0</v>
      </c>
      <c r="M303" t="n">
        <v>0</v>
      </c>
      <c r="N303" t="n">
        <v>0</v>
      </c>
      <c r="O303" t="n">
        <v>0</v>
      </c>
      <c r="P303" t="n">
        <v>0</v>
      </c>
      <c r="Q303" t="n">
        <v>0</v>
      </c>
      <c r="R303" s="2" t="inlineStr"/>
    </row>
    <row r="304" ht="15" customHeight="1">
      <c r="A304" t="inlineStr">
        <is>
          <t>A 15986-2025</t>
        </is>
      </c>
      <c r="B304" s="1" t="n">
        <v>45749.57331018519</v>
      </c>
      <c r="C304" s="1" t="n">
        <v>45966</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40407-2024</t>
        </is>
      </c>
      <c r="B305" s="1" t="n">
        <v>45555</v>
      </c>
      <c r="C305" s="1" t="n">
        <v>45966</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33180-2024</t>
        </is>
      </c>
      <c r="B306" s="1" t="n">
        <v>45518.44481481481</v>
      </c>
      <c r="C306" s="1" t="n">
        <v>45966</v>
      </c>
      <c r="D306" t="inlineStr">
        <is>
          <t>DALARNAS LÄN</t>
        </is>
      </c>
      <c r="E306" t="inlineStr">
        <is>
          <t>LEKSAND</t>
        </is>
      </c>
      <c r="G306" t="n">
        <v>7.6</v>
      </c>
      <c r="H306" t="n">
        <v>0</v>
      </c>
      <c r="I306" t="n">
        <v>0</v>
      </c>
      <c r="J306" t="n">
        <v>0</v>
      </c>
      <c r="K306" t="n">
        <v>0</v>
      </c>
      <c r="L306" t="n">
        <v>0</v>
      </c>
      <c r="M306" t="n">
        <v>0</v>
      </c>
      <c r="N306" t="n">
        <v>0</v>
      </c>
      <c r="O306" t="n">
        <v>0</v>
      </c>
      <c r="P306" t="n">
        <v>0</v>
      </c>
      <c r="Q306" t="n">
        <v>0</v>
      </c>
      <c r="R306" s="2" t="inlineStr"/>
    </row>
    <row r="307" ht="15" customHeight="1">
      <c r="A307" t="inlineStr">
        <is>
          <t>A 11678-2025</t>
        </is>
      </c>
      <c r="B307" s="1" t="n">
        <v>45726</v>
      </c>
      <c r="C307" s="1" t="n">
        <v>45966</v>
      </c>
      <c r="D307" t="inlineStr">
        <is>
          <t>DALARNAS LÄN</t>
        </is>
      </c>
      <c r="E307" t="inlineStr">
        <is>
          <t>LEKSAND</t>
        </is>
      </c>
      <c r="G307" t="n">
        <v>9.4</v>
      </c>
      <c r="H307" t="n">
        <v>0</v>
      </c>
      <c r="I307" t="n">
        <v>0</v>
      </c>
      <c r="J307" t="n">
        <v>0</v>
      </c>
      <c r="K307" t="n">
        <v>0</v>
      </c>
      <c r="L307" t="n">
        <v>0</v>
      </c>
      <c r="M307" t="n">
        <v>0</v>
      </c>
      <c r="N307" t="n">
        <v>0</v>
      </c>
      <c r="O307" t="n">
        <v>0</v>
      </c>
      <c r="P307" t="n">
        <v>0</v>
      </c>
      <c r="Q307" t="n">
        <v>0</v>
      </c>
      <c r="R307" s="2" t="inlineStr"/>
    </row>
    <row r="308" ht="15" customHeight="1">
      <c r="A308" t="inlineStr">
        <is>
          <t>A 70099-2021</t>
        </is>
      </c>
      <c r="B308" s="1" t="n">
        <v>44533</v>
      </c>
      <c r="C308" s="1" t="n">
        <v>45966</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55512-2024</t>
        </is>
      </c>
      <c r="B309" s="1" t="n">
        <v>45621</v>
      </c>
      <c r="C309" s="1" t="n">
        <v>45966</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50704-2025</t>
        </is>
      </c>
      <c r="B310" s="1" t="n">
        <v>45946.27984953704</v>
      </c>
      <c r="C310" s="1" t="n">
        <v>45966</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62161-2024</t>
        </is>
      </c>
      <c r="B311" s="1" t="n">
        <v>45656.86009259259</v>
      </c>
      <c r="C311" s="1" t="n">
        <v>45966</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43470-2024</t>
        </is>
      </c>
      <c r="B312" s="1" t="n">
        <v>45568</v>
      </c>
      <c r="C312" s="1" t="n">
        <v>45966</v>
      </c>
      <c r="D312" t="inlineStr">
        <is>
          <t>DALARNAS LÄN</t>
        </is>
      </c>
      <c r="E312" t="inlineStr">
        <is>
          <t>LEKSAND</t>
        </is>
      </c>
      <c r="G312" t="n">
        <v>3.1</v>
      </c>
      <c r="H312" t="n">
        <v>0</v>
      </c>
      <c r="I312" t="n">
        <v>0</v>
      </c>
      <c r="J312" t="n">
        <v>0</v>
      </c>
      <c r="K312" t="n">
        <v>0</v>
      </c>
      <c r="L312" t="n">
        <v>0</v>
      </c>
      <c r="M312" t="n">
        <v>0</v>
      </c>
      <c r="N312" t="n">
        <v>0</v>
      </c>
      <c r="O312" t="n">
        <v>0</v>
      </c>
      <c r="P312" t="n">
        <v>0</v>
      </c>
      <c r="Q312" t="n">
        <v>0</v>
      </c>
      <c r="R312" s="2" t="inlineStr"/>
    </row>
    <row r="313" ht="15" customHeight="1">
      <c r="A313" t="inlineStr">
        <is>
          <t>A 11606-2025</t>
        </is>
      </c>
      <c r="B313" s="1" t="n">
        <v>45727</v>
      </c>
      <c r="C313" s="1" t="n">
        <v>45966</v>
      </c>
      <c r="D313" t="inlineStr">
        <is>
          <t>DALARNAS LÄN</t>
        </is>
      </c>
      <c r="E313" t="inlineStr">
        <is>
          <t>LEKSAND</t>
        </is>
      </c>
      <c r="G313" t="n">
        <v>2.3</v>
      </c>
      <c r="H313" t="n">
        <v>0</v>
      </c>
      <c r="I313" t="n">
        <v>0</v>
      </c>
      <c r="J313" t="n">
        <v>0</v>
      </c>
      <c r="K313" t="n">
        <v>0</v>
      </c>
      <c r="L313" t="n">
        <v>0</v>
      </c>
      <c r="M313" t="n">
        <v>0</v>
      </c>
      <c r="N313" t="n">
        <v>0</v>
      </c>
      <c r="O313" t="n">
        <v>0</v>
      </c>
      <c r="P313" t="n">
        <v>0</v>
      </c>
      <c r="Q313" t="n">
        <v>0</v>
      </c>
      <c r="R313" s="2" t="inlineStr"/>
    </row>
    <row r="314" ht="15" customHeight="1">
      <c r="A314" t="inlineStr">
        <is>
          <t>A 42402-2025</t>
        </is>
      </c>
      <c r="B314" s="1" t="n">
        <v>45905.3753125</v>
      </c>
      <c r="C314" s="1" t="n">
        <v>45966</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1983-2025</t>
        </is>
      </c>
      <c r="B315" s="1" t="n">
        <v>45670</v>
      </c>
      <c r="C315" s="1" t="n">
        <v>45966</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22683-2022</t>
        </is>
      </c>
      <c r="B316" s="1" t="n">
        <v>44714</v>
      </c>
      <c r="C316" s="1" t="n">
        <v>45966</v>
      </c>
      <c r="D316" t="inlineStr">
        <is>
          <t>DALARNAS LÄN</t>
        </is>
      </c>
      <c r="E316" t="inlineStr">
        <is>
          <t>LEKSAND</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13161-2024</t>
        </is>
      </c>
      <c r="B317" s="1" t="n">
        <v>45386.38972222222</v>
      </c>
      <c r="C317" s="1" t="n">
        <v>45966</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61208-2023</t>
        </is>
      </c>
      <c r="B318" s="1" t="n">
        <v>45260</v>
      </c>
      <c r="C318" s="1" t="n">
        <v>45966</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59840-2024</t>
        </is>
      </c>
      <c r="B319" s="1" t="n">
        <v>45638</v>
      </c>
      <c r="C319" s="1" t="n">
        <v>45966</v>
      </c>
      <c r="D319" t="inlineStr">
        <is>
          <t>DALARNAS LÄN</t>
        </is>
      </c>
      <c r="E319" t="inlineStr">
        <is>
          <t>LEKSAND</t>
        </is>
      </c>
      <c r="G319" t="n">
        <v>0.6</v>
      </c>
      <c r="H319" t="n">
        <v>0</v>
      </c>
      <c r="I319" t="n">
        <v>0</v>
      </c>
      <c r="J319" t="n">
        <v>0</v>
      </c>
      <c r="K319" t="n">
        <v>0</v>
      </c>
      <c r="L319" t="n">
        <v>0</v>
      </c>
      <c r="M319" t="n">
        <v>0</v>
      </c>
      <c r="N319" t="n">
        <v>0</v>
      </c>
      <c r="O319" t="n">
        <v>0</v>
      </c>
      <c r="P319" t="n">
        <v>0</v>
      </c>
      <c r="Q319" t="n">
        <v>0</v>
      </c>
      <c r="R319" s="2" t="inlineStr"/>
    </row>
    <row r="320" ht="15" customHeight="1">
      <c r="A320" t="inlineStr">
        <is>
          <t>A 26062-2024</t>
        </is>
      </c>
      <c r="B320" s="1" t="n">
        <v>45468.3509375</v>
      </c>
      <c r="C320" s="1" t="n">
        <v>45966</v>
      </c>
      <c r="D320" t="inlineStr">
        <is>
          <t>DALARNAS LÄN</t>
        </is>
      </c>
      <c r="E320" t="inlineStr">
        <is>
          <t>LEKSAND</t>
        </is>
      </c>
      <c r="F320" t="inlineStr">
        <is>
          <t>Övriga statliga verk och myndigheter</t>
        </is>
      </c>
      <c r="G320" t="n">
        <v>6.4</v>
      </c>
      <c r="H320" t="n">
        <v>0</v>
      </c>
      <c r="I320" t="n">
        <v>0</v>
      </c>
      <c r="J320" t="n">
        <v>0</v>
      </c>
      <c r="K320" t="n">
        <v>0</v>
      </c>
      <c r="L320" t="n">
        <v>0</v>
      </c>
      <c r="M320" t="n">
        <v>0</v>
      </c>
      <c r="N320" t="n">
        <v>0</v>
      </c>
      <c r="O320" t="n">
        <v>0</v>
      </c>
      <c r="P320" t="n">
        <v>0</v>
      </c>
      <c r="Q320" t="n">
        <v>0</v>
      </c>
      <c r="R320" s="2" t="inlineStr"/>
    </row>
    <row r="321" ht="15" customHeight="1">
      <c r="A321" t="inlineStr">
        <is>
          <t>A 22517-2024</t>
        </is>
      </c>
      <c r="B321" s="1" t="n">
        <v>45447.40143518519</v>
      </c>
      <c r="C321" s="1" t="n">
        <v>45966</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61953-2023</t>
        </is>
      </c>
      <c r="B322" s="1" t="n">
        <v>45266</v>
      </c>
      <c r="C322" s="1" t="n">
        <v>45966</v>
      </c>
      <c r="D322" t="inlineStr">
        <is>
          <t>DALARNAS LÄN</t>
        </is>
      </c>
      <c r="E322" t="inlineStr">
        <is>
          <t>LEKSAND</t>
        </is>
      </c>
      <c r="G322" t="n">
        <v>0.1</v>
      </c>
      <c r="H322" t="n">
        <v>0</v>
      </c>
      <c r="I322" t="n">
        <v>0</v>
      </c>
      <c r="J322" t="n">
        <v>0</v>
      </c>
      <c r="K322" t="n">
        <v>0</v>
      </c>
      <c r="L322" t="n">
        <v>0</v>
      </c>
      <c r="M322" t="n">
        <v>0</v>
      </c>
      <c r="N322" t="n">
        <v>0</v>
      </c>
      <c r="O322" t="n">
        <v>0</v>
      </c>
      <c r="P322" t="n">
        <v>0</v>
      </c>
      <c r="Q322" t="n">
        <v>0</v>
      </c>
      <c r="R322" s="2" t="inlineStr"/>
    </row>
    <row r="323" ht="15" customHeight="1">
      <c r="A323" t="inlineStr">
        <is>
          <t>A 33566-2023</t>
        </is>
      </c>
      <c r="B323" s="1" t="n">
        <v>45131.64390046296</v>
      </c>
      <c r="C323" s="1" t="n">
        <v>45966</v>
      </c>
      <c r="D323" t="inlineStr">
        <is>
          <t>DALARNAS LÄN</t>
        </is>
      </c>
      <c r="E323" t="inlineStr">
        <is>
          <t>LEKSAND</t>
        </is>
      </c>
      <c r="G323" t="n">
        <v>0.9</v>
      </c>
      <c r="H323" t="n">
        <v>0</v>
      </c>
      <c r="I323" t="n">
        <v>0</v>
      </c>
      <c r="J323" t="n">
        <v>0</v>
      </c>
      <c r="K323" t="n">
        <v>0</v>
      </c>
      <c r="L323" t="n">
        <v>0</v>
      </c>
      <c r="M323" t="n">
        <v>0</v>
      </c>
      <c r="N323" t="n">
        <v>0</v>
      </c>
      <c r="O323" t="n">
        <v>0</v>
      </c>
      <c r="P323" t="n">
        <v>0</v>
      </c>
      <c r="Q323" t="n">
        <v>0</v>
      </c>
      <c r="R323" s="2" t="inlineStr"/>
    </row>
    <row r="324" ht="15" customHeight="1">
      <c r="A324" t="inlineStr">
        <is>
          <t>A 16815-2025</t>
        </is>
      </c>
      <c r="B324" s="1" t="n">
        <v>45754</v>
      </c>
      <c r="C324" s="1" t="n">
        <v>45966</v>
      </c>
      <c r="D324" t="inlineStr">
        <is>
          <t>DALARNAS LÄN</t>
        </is>
      </c>
      <c r="E324" t="inlineStr">
        <is>
          <t>LEKSAND</t>
        </is>
      </c>
      <c r="G324" t="n">
        <v>2.8</v>
      </c>
      <c r="H324" t="n">
        <v>0</v>
      </c>
      <c r="I324" t="n">
        <v>0</v>
      </c>
      <c r="J324" t="n">
        <v>0</v>
      </c>
      <c r="K324" t="n">
        <v>0</v>
      </c>
      <c r="L324" t="n">
        <v>0</v>
      </c>
      <c r="M324" t="n">
        <v>0</v>
      </c>
      <c r="N324" t="n">
        <v>0</v>
      </c>
      <c r="O324" t="n">
        <v>0</v>
      </c>
      <c r="P324" t="n">
        <v>0</v>
      </c>
      <c r="Q324" t="n">
        <v>0</v>
      </c>
      <c r="R324" s="2" t="inlineStr"/>
    </row>
    <row r="325" ht="15" customHeight="1">
      <c r="A325" t="inlineStr">
        <is>
          <t>A 16854-2025</t>
        </is>
      </c>
      <c r="B325" s="1" t="n">
        <v>45754.72883101852</v>
      </c>
      <c r="C325" s="1" t="n">
        <v>45966</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62133-2023</t>
        </is>
      </c>
      <c r="B326" s="1" t="n">
        <v>45267.35582175926</v>
      </c>
      <c r="C326" s="1" t="n">
        <v>45966</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30611-2023</t>
        </is>
      </c>
      <c r="B327" s="1" t="n">
        <v>45112</v>
      </c>
      <c r="C327" s="1" t="n">
        <v>45966</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40009-2024</t>
        </is>
      </c>
      <c r="B328" s="1" t="n">
        <v>45553.65361111111</v>
      </c>
      <c r="C328" s="1" t="n">
        <v>45966</v>
      </c>
      <c r="D328" t="inlineStr">
        <is>
          <t>DALARNAS LÄN</t>
        </is>
      </c>
      <c r="E328" t="inlineStr">
        <is>
          <t>LEKSAND</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10967-2023</t>
        </is>
      </c>
      <c r="B329" s="1" t="n">
        <v>44991.58001157407</v>
      </c>
      <c r="C329" s="1" t="n">
        <v>45966</v>
      </c>
      <c r="D329" t="inlineStr">
        <is>
          <t>DALARNAS LÄN</t>
        </is>
      </c>
      <c r="E329" t="inlineStr">
        <is>
          <t>LEKSAND</t>
        </is>
      </c>
      <c r="G329" t="n">
        <v>0.5</v>
      </c>
      <c r="H329" t="n">
        <v>0</v>
      </c>
      <c r="I329" t="n">
        <v>0</v>
      </c>
      <c r="J329" t="n">
        <v>0</v>
      </c>
      <c r="K329" t="n">
        <v>0</v>
      </c>
      <c r="L329" t="n">
        <v>0</v>
      </c>
      <c r="M329" t="n">
        <v>0</v>
      </c>
      <c r="N329" t="n">
        <v>0</v>
      </c>
      <c r="O329" t="n">
        <v>0</v>
      </c>
      <c r="P329" t="n">
        <v>0</v>
      </c>
      <c r="Q329" t="n">
        <v>0</v>
      </c>
      <c r="R329" s="2" t="inlineStr"/>
    </row>
    <row r="330" ht="15" customHeight="1">
      <c r="A330" t="inlineStr">
        <is>
          <t>A 10974-2023</t>
        </is>
      </c>
      <c r="B330" s="1" t="n">
        <v>44991.59049768518</v>
      </c>
      <c r="C330" s="1" t="n">
        <v>45966</v>
      </c>
      <c r="D330" t="inlineStr">
        <is>
          <t>DALARNAS LÄN</t>
        </is>
      </c>
      <c r="E330" t="inlineStr">
        <is>
          <t>LEKSAND</t>
        </is>
      </c>
      <c r="G330" t="n">
        <v>0.3</v>
      </c>
      <c r="H330" t="n">
        <v>0</v>
      </c>
      <c r="I330" t="n">
        <v>0</v>
      </c>
      <c r="J330" t="n">
        <v>0</v>
      </c>
      <c r="K330" t="n">
        <v>0</v>
      </c>
      <c r="L330" t="n">
        <v>0</v>
      </c>
      <c r="M330" t="n">
        <v>0</v>
      </c>
      <c r="N330" t="n">
        <v>0</v>
      </c>
      <c r="O330" t="n">
        <v>0</v>
      </c>
      <c r="P330" t="n">
        <v>0</v>
      </c>
      <c r="Q330" t="n">
        <v>0</v>
      </c>
      <c r="R330" s="2" t="inlineStr"/>
    </row>
    <row r="331" ht="15" customHeight="1">
      <c r="A331" t="inlineStr">
        <is>
          <t>A 47203-2023</t>
        </is>
      </c>
      <c r="B331" s="1" t="n">
        <v>45202</v>
      </c>
      <c r="C331" s="1" t="n">
        <v>45966</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51663-2025</t>
        </is>
      </c>
      <c r="B332" s="1" t="n">
        <v>45951</v>
      </c>
      <c r="C332" s="1" t="n">
        <v>45966</v>
      </c>
      <c r="D332" t="inlineStr">
        <is>
          <t>DALARNAS LÄN</t>
        </is>
      </c>
      <c r="E332" t="inlineStr">
        <is>
          <t>LEKSAND</t>
        </is>
      </c>
      <c r="F332" t="inlineStr">
        <is>
          <t>Bergvik skog väst AB</t>
        </is>
      </c>
      <c r="G332" t="n">
        <v>3.1</v>
      </c>
      <c r="H332" t="n">
        <v>0</v>
      </c>
      <c r="I332" t="n">
        <v>0</v>
      </c>
      <c r="J332" t="n">
        <v>0</v>
      </c>
      <c r="K332" t="n">
        <v>0</v>
      </c>
      <c r="L332" t="n">
        <v>0</v>
      </c>
      <c r="M332" t="n">
        <v>0</v>
      </c>
      <c r="N332" t="n">
        <v>0</v>
      </c>
      <c r="O332" t="n">
        <v>0</v>
      </c>
      <c r="P332" t="n">
        <v>0</v>
      </c>
      <c r="Q332" t="n">
        <v>0</v>
      </c>
      <c r="R332" s="2" t="inlineStr"/>
    </row>
    <row r="333" ht="15" customHeight="1">
      <c r="A333" t="inlineStr">
        <is>
          <t>A 12621-2025</t>
        </is>
      </c>
      <c r="B333" s="1" t="n">
        <v>45733.3575</v>
      </c>
      <c r="C333" s="1" t="n">
        <v>45966</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42727-2024</t>
        </is>
      </c>
      <c r="B334" s="1" t="n">
        <v>45566</v>
      </c>
      <c r="C334" s="1" t="n">
        <v>45966</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27791-2023</t>
        </is>
      </c>
      <c r="B335" s="1" t="n">
        <v>45098</v>
      </c>
      <c r="C335" s="1" t="n">
        <v>45966</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19295-2024</t>
        </is>
      </c>
      <c r="B336" s="1" t="n">
        <v>45428.69106481481</v>
      </c>
      <c r="C336" s="1" t="n">
        <v>45966</v>
      </c>
      <c r="D336" t="inlineStr">
        <is>
          <t>DALARNAS LÄN</t>
        </is>
      </c>
      <c r="E336" t="inlineStr">
        <is>
          <t>LEKSAND</t>
        </is>
      </c>
      <c r="G336" t="n">
        <v>1.6</v>
      </c>
      <c r="H336" t="n">
        <v>0</v>
      </c>
      <c r="I336" t="n">
        <v>0</v>
      </c>
      <c r="J336" t="n">
        <v>0</v>
      </c>
      <c r="K336" t="n">
        <v>0</v>
      </c>
      <c r="L336" t="n">
        <v>0</v>
      </c>
      <c r="M336" t="n">
        <v>0</v>
      </c>
      <c r="N336" t="n">
        <v>0</v>
      </c>
      <c r="O336" t="n">
        <v>0</v>
      </c>
      <c r="P336" t="n">
        <v>0</v>
      </c>
      <c r="Q336" t="n">
        <v>0</v>
      </c>
      <c r="R336" s="2" t="inlineStr"/>
    </row>
    <row r="337" ht="15" customHeight="1">
      <c r="A337" t="inlineStr">
        <is>
          <t>A 16197-2024</t>
        </is>
      </c>
      <c r="B337" s="1" t="n">
        <v>45406.70356481482</v>
      </c>
      <c r="C337" s="1" t="n">
        <v>45966</v>
      </c>
      <c r="D337" t="inlineStr">
        <is>
          <t>DALARNAS LÄN</t>
        </is>
      </c>
      <c r="E337" t="inlineStr">
        <is>
          <t>LEKSAND</t>
        </is>
      </c>
      <c r="G337" t="n">
        <v>2.4</v>
      </c>
      <c r="H337" t="n">
        <v>0</v>
      </c>
      <c r="I337" t="n">
        <v>0</v>
      </c>
      <c r="J337" t="n">
        <v>0</v>
      </c>
      <c r="K337" t="n">
        <v>0</v>
      </c>
      <c r="L337" t="n">
        <v>0</v>
      </c>
      <c r="M337" t="n">
        <v>0</v>
      </c>
      <c r="N337" t="n">
        <v>0</v>
      </c>
      <c r="O337" t="n">
        <v>0</v>
      </c>
      <c r="P337" t="n">
        <v>0</v>
      </c>
      <c r="Q337" t="n">
        <v>0</v>
      </c>
      <c r="R337" s="2" t="inlineStr"/>
    </row>
    <row r="338" ht="15" customHeight="1">
      <c r="A338" t="inlineStr">
        <is>
          <t>A 10299-2024</t>
        </is>
      </c>
      <c r="B338" s="1" t="n">
        <v>45365.50425925926</v>
      </c>
      <c r="C338" s="1" t="n">
        <v>45966</v>
      </c>
      <c r="D338" t="inlineStr">
        <is>
          <t>DALARNAS LÄN</t>
        </is>
      </c>
      <c r="E338" t="inlineStr">
        <is>
          <t>LEKSAND</t>
        </is>
      </c>
      <c r="G338" t="n">
        <v>3.6</v>
      </c>
      <c r="H338" t="n">
        <v>0</v>
      </c>
      <c r="I338" t="n">
        <v>0</v>
      </c>
      <c r="J338" t="n">
        <v>0</v>
      </c>
      <c r="K338" t="n">
        <v>0</v>
      </c>
      <c r="L338" t="n">
        <v>0</v>
      </c>
      <c r="M338" t="n">
        <v>0</v>
      </c>
      <c r="N338" t="n">
        <v>0</v>
      </c>
      <c r="O338" t="n">
        <v>0</v>
      </c>
      <c r="P338" t="n">
        <v>0</v>
      </c>
      <c r="Q338" t="n">
        <v>0</v>
      </c>
      <c r="R338" s="2" t="inlineStr"/>
    </row>
    <row r="339" ht="15" customHeight="1">
      <c r="A339" t="inlineStr">
        <is>
          <t>A 52801-2023</t>
        </is>
      </c>
      <c r="B339" s="1" t="n">
        <v>45219</v>
      </c>
      <c r="C339" s="1" t="n">
        <v>45966</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51768-2025</t>
        </is>
      </c>
      <c r="B340" s="1" t="n">
        <v>45951.64041666667</v>
      </c>
      <c r="C340" s="1" t="n">
        <v>45966</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9781-2024</t>
        </is>
      </c>
      <c r="B341" s="1" t="n">
        <v>45362.66299768518</v>
      </c>
      <c r="C341" s="1" t="n">
        <v>45966</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24714-2025</t>
        </is>
      </c>
      <c r="B342" s="1" t="n">
        <v>45798.96927083333</v>
      </c>
      <c r="C342" s="1" t="n">
        <v>45966</v>
      </c>
      <c r="D342" t="inlineStr">
        <is>
          <t>DALARNAS LÄN</t>
        </is>
      </c>
      <c r="E342" t="inlineStr">
        <is>
          <t>LEKSAND</t>
        </is>
      </c>
      <c r="F342" t="inlineStr">
        <is>
          <t>Bergvik skog väst AB</t>
        </is>
      </c>
      <c r="G342" t="n">
        <v>6.2</v>
      </c>
      <c r="H342" t="n">
        <v>0</v>
      </c>
      <c r="I342" t="n">
        <v>0</v>
      </c>
      <c r="J342" t="n">
        <v>0</v>
      </c>
      <c r="K342" t="n">
        <v>0</v>
      </c>
      <c r="L342" t="n">
        <v>0</v>
      </c>
      <c r="M342" t="n">
        <v>0</v>
      </c>
      <c r="N342" t="n">
        <v>0</v>
      </c>
      <c r="O342" t="n">
        <v>0</v>
      </c>
      <c r="P342" t="n">
        <v>0</v>
      </c>
      <c r="Q342" t="n">
        <v>0</v>
      </c>
      <c r="R342" s="2" t="inlineStr"/>
    </row>
    <row r="343" ht="15" customHeight="1">
      <c r="A343" t="inlineStr">
        <is>
          <t>A 16135-2023</t>
        </is>
      </c>
      <c r="B343" s="1" t="n">
        <v>45027.63717592593</v>
      </c>
      <c r="C343" s="1" t="n">
        <v>45966</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20937-2025</t>
        </is>
      </c>
      <c r="B344" s="1" t="n">
        <v>45777.42769675926</v>
      </c>
      <c r="C344" s="1" t="n">
        <v>45966</v>
      </c>
      <c r="D344" t="inlineStr">
        <is>
          <t>DALARNAS LÄN</t>
        </is>
      </c>
      <c r="E344" t="inlineStr">
        <is>
          <t>LEKSAND</t>
        </is>
      </c>
      <c r="G344" t="n">
        <v>2.2</v>
      </c>
      <c r="H344" t="n">
        <v>0</v>
      </c>
      <c r="I344" t="n">
        <v>0</v>
      </c>
      <c r="J344" t="n">
        <v>0</v>
      </c>
      <c r="K344" t="n">
        <v>0</v>
      </c>
      <c r="L344" t="n">
        <v>0</v>
      </c>
      <c r="M344" t="n">
        <v>0</v>
      </c>
      <c r="N344" t="n">
        <v>0</v>
      </c>
      <c r="O344" t="n">
        <v>0</v>
      </c>
      <c r="P344" t="n">
        <v>0</v>
      </c>
      <c r="Q344" t="n">
        <v>0</v>
      </c>
      <c r="R344" s="2" t="inlineStr"/>
    </row>
    <row r="345" ht="15" customHeight="1">
      <c r="A345" t="inlineStr">
        <is>
          <t>A 71817-2021</t>
        </is>
      </c>
      <c r="B345" s="1" t="n">
        <v>44543.59780092593</v>
      </c>
      <c r="C345" s="1" t="n">
        <v>45966</v>
      </c>
      <c r="D345" t="inlineStr">
        <is>
          <t>DALARNAS LÄN</t>
        </is>
      </c>
      <c r="E345" t="inlineStr">
        <is>
          <t>LEKSAND</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59859-2023</t>
        </is>
      </c>
      <c r="B346" s="1" t="n">
        <v>45257</v>
      </c>
      <c r="C346" s="1" t="n">
        <v>45966</v>
      </c>
      <c r="D346" t="inlineStr">
        <is>
          <t>DALARNAS LÄN</t>
        </is>
      </c>
      <c r="E346" t="inlineStr">
        <is>
          <t>LEKSAND</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39136-2023</t>
        </is>
      </c>
      <c r="B347" s="1" t="n">
        <v>45165</v>
      </c>
      <c r="C347" s="1" t="n">
        <v>45966</v>
      </c>
      <c r="D347" t="inlineStr">
        <is>
          <t>DALARNAS LÄN</t>
        </is>
      </c>
      <c r="E347" t="inlineStr">
        <is>
          <t>LEKSAND</t>
        </is>
      </c>
      <c r="G347" t="n">
        <v>0.3</v>
      </c>
      <c r="H347" t="n">
        <v>0</v>
      </c>
      <c r="I347" t="n">
        <v>0</v>
      </c>
      <c r="J347" t="n">
        <v>0</v>
      </c>
      <c r="K347" t="n">
        <v>0</v>
      </c>
      <c r="L347" t="n">
        <v>0</v>
      </c>
      <c r="M347" t="n">
        <v>0</v>
      </c>
      <c r="N347" t="n">
        <v>0</v>
      </c>
      <c r="O347" t="n">
        <v>0</v>
      </c>
      <c r="P347" t="n">
        <v>0</v>
      </c>
      <c r="Q347" t="n">
        <v>0</v>
      </c>
      <c r="R347" s="2" t="inlineStr"/>
    </row>
    <row r="348" ht="15" customHeight="1">
      <c r="A348" t="inlineStr">
        <is>
          <t>A 20683-2025</t>
        </is>
      </c>
      <c r="B348" s="1" t="n">
        <v>45776</v>
      </c>
      <c r="C348" s="1" t="n">
        <v>45966</v>
      </c>
      <c r="D348" t="inlineStr">
        <is>
          <t>DALARNAS LÄN</t>
        </is>
      </c>
      <c r="E348" t="inlineStr">
        <is>
          <t>LEKSAND</t>
        </is>
      </c>
      <c r="F348" t="inlineStr">
        <is>
          <t>Bergvik skog väst AB</t>
        </is>
      </c>
      <c r="G348" t="n">
        <v>4.1</v>
      </c>
      <c r="H348" t="n">
        <v>0</v>
      </c>
      <c r="I348" t="n">
        <v>0</v>
      </c>
      <c r="J348" t="n">
        <v>0</v>
      </c>
      <c r="K348" t="n">
        <v>0</v>
      </c>
      <c r="L348" t="n">
        <v>0</v>
      </c>
      <c r="M348" t="n">
        <v>0</v>
      </c>
      <c r="N348" t="n">
        <v>0</v>
      </c>
      <c r="O348" t="n">
        <v>0</v>
      </c>
      <c r="P348" t="n">
        <v>0</v>
      </c>
      <c r="Q348" t="n">
        <v>0</v>
      </c>
      <c r="R348" s="2" t="inlineStr"/>
    </row>
    <row r="349" ht="15" customHeight="1">
      <c r="A349" t="inlineStr">
        <is>
          <t>A 43158-2025</t>
        </is>
      </c>
      <c r="B349" s="1" t="n">
        <v>45910.35496527778</v>
      </c>
      <c r="C349" s="1" t="n">
        <v>45966</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43629-2025</t>
        </is>
      </c>
      <c r="B350" s="1" t="n">
        <v>45911.70180555555</v>
      </c>
      <c r="C350" s="1" t="n">
        <v>45966</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53193-2024</t>
        </is>
      </c>
      <c r="B351" s="1" t="n">
        <v>45610</v>
      </c>
      <c r="C351" s="1" t="n">
        <v>45966</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14615-2024</t>
        </is>
      </c>
      <c r="B352" s="1" t="n">
        <v>45397.26047453703</v>
      </c>
      <c r="C352" s="1" t="n">
        <v>45966</v>
      </c>
      <c r="D352" t="inlineStr">
        <is>
          <t>DALARNAS LÄN</t>
        </is>
      </c>
      <c r="E352" t="inlineStr">
        <is>
          <t>LEKSAND</t>
        </is>
      </c>
      <c r="G352" t="n">
        <v>0.4</v>
      </c>
      <c r="H352" t="n">
        <v>0</v>
      </c>
      <c r="I352" t="n">
        <v>0</v>
      </c>
      <c r="J352" t="n">
        <v>0</v>
      </c>
      <c r="K352" t="n">
        <v>0</v>
      </c>
      <c r="L352" t="n">
        <v>0</v>
      </c>
      <c r="M352" t="n">
        <v>0</v>
      </c>
      <c r="N352" t="n">
        <v>0</v>
      </c>
      <c r="O352" t="n">
        <v>0</v>
      </c>
      <c r="P352" t="n">
        <v>0</v>
      </c>
      <c r="Q352" t="n">
        <v>0</v>
      </c>
      <c r="R352" s="2" t="inlineStr"/>
    </row>
    <row r="353" ht="15" customHeight="1">
      <c r="A353" t="inlineStr">
        <is>
          <t>A 30175-2023</t>
        </is>
      </c>
      <c r="B353" s="1" t="n">
        <v>45110</v>
      </c>
      <c r="C353" s="1" t="n">
        <v>45966</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51926-2025</t>
        </is>
      </c>
      <c r="B354" s="1" t="n">
        <v>45952.49537037037</v>
      </c>
      <c r="C354" s="1" t="n">
        <v>45966</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43628-2025</t>
        </is>
      </c>
      <c r="B355" s="1" t="n">
        <v>45911.70060185185</v>
      </c>
      <c r="C355" s="1" t="n">
        <v>45966</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43607-2025</t>
        </is>
      </c>
      <c r="B356" s="1" t="n">
        <v>45911.66873842593</v>
      </c>
      <c r="C356" s="1" t="n">
        <v>45966</v>
      </c>
      <c r="D356" t="inlineStr">
        <is>
          <t>DALARNAS LÄN</t>
        </is>
      </c>
      <c r="E356" t="inlineStr">
        <is>
          <t>LEKSAND</t>
        </is>
      </c>
      <c r="G356" t="n">
        <v>7.3</v>
      </c>
      <c r="H356" t="n">
        <v>0</v>
      </c>
      <c r="I356" t="n">
        <v>0</v>
      </c>
      <c r="J356" t="n">
        <v>0</v>
      </c>
      <c r="K356" t="n">
        <v>0</v>
      </c>
      <c r="L356" t="n">
        <v>0</v>
      </c>
      <c r="M356" t="n">
        <v>0</v>
      </c>
      <c r="N356" t="n">
        <v>0</v>
      </c>
      <c r="O356" t="n">
        <v>0</v>
      </c>
      <c r="P356" t="n">
        <v>0</v>
      </c>
      <c r="Q356" t="n">
        <v>0</v>
      </c>
      <c r="R356" s="2" t="inlineStr"/>
    </row>
    <row r="357" ht="15" customHeight="1">
      <c r="A357" t="inlineStr">
        <is>
          <t>A 23663-2024</t>
        </is>
      </c>
      <c r="B357" s="1" t="n">
        <v>45454.57049768518</v>
      </c>
      <c r="C357" s="1" t="n">
        <v>45966</v>
      </c>
      <c r="D357" t="inlineStr">
        <is>
          <t>DALARNAS LÄN</t>
        </is>
      </c>
      <c r="E357" t="inlineStr">
        <is>
          <t>LEKSAND</t>
        </is>
      </c>
      <c r="G357" t="n">
        <v>2.5</v>
      </c>
      <c r="H357" t="n">
        <v>0</v>
      </c>
      <c r="I357" t="n">
        <v>0</v>
      </c>
      <c r="J357" t="n">
        <v>0</v>
      </c>
      <c r="K357" t="n">
        <v>0</v>
      </c>
      <c r="L357" t="n">
        <v>0</v>
      </c>
      <c r="M357" t="n">
        <v>0</v>
      </c>
      <c r="N357" t="n">
        <v>0</v>
      </c>
      <c r="O357" t="n">
        <v>0</v>
      </c>
      <c r="P357" t="n">
        <v>0</v>
      </c>
      <c r="Q357" t="n">
        <v>0</v>
      </c>
      <c r="R357" s="2" t="inlineStr"/>
    </row>
    <row r="358" ht="15" customHeight="1">
      <c r="A358" t="inlineStr">
        <is>
          <t>A 21230-2025</t>
        </is>
      </c>
      <c r="B358" s="1" t="n">
        <v>45779.54589120371</v>
      </c>
      <c r="C358" s="1" t="n">
        <v>45966</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21193-2025</t>
        </is>
      </c>
      <c r="B359" s="1" t="n">
        <v>45779.46675925926</v>
      </c>
      <c r="C359" s="1" t="n">
        <v>45966</v>
      </c>
      <c r="D359" t="inlineStr">
        <is>
          <t>DALARNAS LÄN</t>
        </is>
      </c>
      <c r="E359" t="inlineStr">
        <is>
          <t>LEKSAND</t>
        </is>
      </c>
      <c r="G359" t="n">
        <v>3.7</v>
      </c>
      <c r="H359" t="n">
        <v>0</v>
      </c>
      <c r="I359" t="n">
        <v>0</v>
      </c>
      <c r="J359" t="n">
        <v>0</v>
      </c>
      <c r="K359" t="n">
        <v>0</v>
      </c>
      <c r="L359" t="n">
        <v>0</v>
      </c>
      <c r="M359" t="n">
        <v>0</v>
      </c>
      <c r="N359" t="n">
        <v>0</v>
      </c>
      <c r="O359" t="n">
        <v>0</v>
      </c>
      <c r="P359" t="n">
        <v>0</v>
      </c>
      <c r="Q359" t="n">
        <v>0</v>
      </c>
      <c r="R359" s="2" t="inlineStr"/>
    </row>
    <row r="360" ht="15" customHeight="1">
      <c r="A360" t="inlineStr">
        <is>
          <t>A 43195-2025</t>
        </is>
      </c>
      <c r="B360" s="1" t="n">
        <v>45910.4294212963</v>
      </c>
      <c r="C360" s="1" t="n">
        <v>45966</v>
      </c>
      <c r="D360" t="inlineStr">
        <is>
          <t>DALARNAS LÄN</t>
        </is>
      </c>
      <c r="E360" t="inlineStr">
        <is>
          <t>LEKSAND</t>
        </is>
      </c>
      <c r="G360" t="n">
        <v>2.5</v>
      </c>
      <c r="H360" t="n">
        <v>0</v>
      </c>
      <c r="I360" t="n">
        <v>0</v>
      </c>
      <c r="J360" t="n">
        <v>0</v>
      </c>
      <c r="K360" t="n">
        <v>0</v>
      </c>
      <c r="L360" t="n">
        <v>0</v>
      </c>
      <c r="M360" t="n">
        <v>0</v>
      </c>
      <c r="N360" t="n">
        <v>0</v>
      </c>
      <c r="O360" t="n">
        <v>0</v>
      </c>
      <c r="P360" t="n">
        <v>0</v>
      </c>
      <c r="Q360" t="n">
        <v>0</v>
      </c>
      <c r="R360" s="2" t="inlineStr"/>
    </row>
    <row r="361" ht="15" customHeight="1">
      <c r="A361" t="inlineStr">
        <is>
          <t>A 40627-2023</t>
        </is>
      </c>
      <c r="B361" s="1" t="n">
        <v>45170</v>
      </c>
      <c r="C361" s="1" t="n">
        <v>45966</v>
      </c>
      <c r="D361" t="inlineStr">
        <is>
          <t>DALARNAS LÄN</t>
        </is>
      </c>
      <c r="E361" t="inlineStr">
        <is>
          <t>LEKSAND</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43630-2025</t>
        </is>
      </c>
      <c r="B362" s="1" t="n">
        <v>45911.70278935185</v>
      </c>
      <c r="C362" s="1" t="n">
        <v>45966</v>
      </c>
      <c r="D362" t="inlineStr">
        <is>
          <t>DALARNAS LÄN</t>
        </is>
      </c>
      <c r="E362" t="inlineStr">
        <is>
          <t>LEKSAND</t>
        </is>
      </c>
      <c r="G362" t="n">
        <v>4.7</v>
      </c>
      <c r="H362" t="n">
        <v>0</v>
      </c>
      <c r="I362" t="n">
        <v>0</v>
      </c>
      <c r="J362" t="n">
        <v>0</v>
      </c>
      <c r="K362" t="n">
        <v>0</v>
      </c>
      <c r="L362" t="n">
        <v>0</v>
      </c>
      <c r="M362" t="n">
        <v>0</v>
      </c>
      <c r="N362" t="n">
        <v>0</v>
      </c>
      <c r="O362" t="n">
        <v>0</v>
      </c>
      <c r="P362" t="n">
        <v>0</v>
      </c>
      <c r="Q362" t="n">
        <v>0</v>
      </c>
      <c r="R362" s="2" t="inlineStr"/>
    </row>
    <row r="363" ht="15" customHeight="1">
      <c r="A363" t="inlineStr">
        <is>
          <t>A 21600-2025</t>
        </is>
      </c>
      <c r="B363" s="1" t="n">
        <v>45783.3521875</v>
      </c>
      <c r="C363" s="1" t="n">
        <v>45966</v>
      </c>
      <c r="D363" t="inlineStr">
        <is>
          <t>DALARNAS LÄN</t>
        </is>
      </c>
      <c r="E363" t="inlineStr">
        <is>
          <t>LEKSAND</t>
        </is>
      </c>
      <c r="G363" t="n">
        <v>7.7</v>
      </c>
      <c r="H363" t="n">
        <v>0</v>
      </c>
      <c r="I363" t="n">
        <v>0</v>
      </c>
      <c r="J363" t="n">
        <v>0</v>
      </c>
      <c r="K363" t="n">
        <v>0</v>
      </c>
      <c r="L363" t="n">
        <v>0</v>
      </c>
      <c r="M363" t="n">
        <v>0</v>
      </c>
      <c r="N363" t="n">
        <v>0</v>
      </c>
      <c r="O363" t="n">
        <v>0</v>
      </c>
      <c r="P363" t="n">
        <v>0</v>
      </c>
      <c r="Q363" t="n">
        <v>0</v>
      </c>
      <c r="R363" s="2" t="inlineStr"/>
    </row>
    <row r="364" ht="15" customHeight="1">
      <c r="A364" t="inlineStr">
        <is>
          <t>A 11872-2024</t>
        </is>
      </c>
      <c r="B364" s="1" t="n">
        <v>45376.46833333333</v>
      </c>
      <c r="C364" s="1" t="n">
        <v>45966</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51728-2025</t>
        </is>
      </c>
      <c r="B365" s="1" t="n">
        <v>45951</v>
      </c>
      <c r="C365" s="1" t="n">
        <v>45966</v>
      </c>
      <c r="D365" t="inlineStr">
        <is>
          <t>DALARNAS LÄN</t>
        </is>
      </c>
      <c r="E365" t="inlineStr">
        <is>
          <t>LEKSAND</t>
        </is>
      </c>
      <c r="F365" t="inlineStr">
        <is>
          <t>Bergvik skog väst AB</t>
        </is>
      </c>
      <c r="G365" t="n">
        <v>14.2</v>
      </c>
      <c r="H365" t="n">
        <v>0</v>
      </c>
      <c r="I365" t="n">
        <v>0</v>
      </c>
      <c r="J365" t="n">
        <v>0</v>
      </c>
      <c r="K365" t="n">
        <v>0</v>
      </c>
      <c r="L365" t="n">
        <v>0</v>
      </c>
      <c r="M365" t="n">
        <v>0</v>
      </c>
      <c r="N365" t="n">
        <v>0</v>
      </c>
      <c r="O365" t="n">
        <v>0</v>
      </c>
      <c r="P365" t="n">
        <v>0</v>
      </c>
      <c r="Q365" t="n">
        <v>0</v>
      </c>
      <c r="R365" s="2" t="inlineStr"/>
    </row>
    <row r="366" ht="15" customHeight="1">
      <c r="A366" t="inlineStr">
        <is>
          <t>A 19622-2024</t>
        </is>
      </c>
      <c r="B366" s="1" t="n">
        <v>45432.33592592592</v>
      </c>
      <c r="C366" s="1" t="n">
        <v>45966</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21457-2025</t>
        </is>
      </c>
      <c r="B367" s="1" t="n">
        <v>45782.55451388889</v>
      </c>
      <c r="C367" s="1" t="n">
        <v>45966</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59103-2024</t>
        </is>
      </c>
      <c r="B368" s="1" t="n">
        <v>45637.34184027778</v>
      </c>
      <c r="C368" s="1" t="n">
        <v>45966</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40230-2023</t>
        </is>
      </c>
      <c r="B369" s="1" t="n">
        <v>45169.46887731482</v>
      </c>
      <c r="C369" s="1" t="n">
        <v>45966</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43830-2025</t>
        </is>
      </c>
      <c r="B370" s="1" t="n">
        <v>45912</v>
      </c>
      <c r="C370" s="1" t="n">
        <v>45966</v>
      </c>
      <c r="D370" t="inlineStr">
        <is>
          <t>DALARNAS LÄN</t>
        </is>
      </c>
      <c r="E370" t="inlineStr">
        <is>
          <t>LEKSAND</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43888-2025</t>
        </is>
      </c>
      <c r="B371" s="1" t="n">
        <v>45912</v>
      </c>
      <c r="C371" s="1" t="n">
        <v>45966</v>
      </c>
      <c r="D371" t="inlineStr">
        <is>
          <t>DALARNAS LÄN</t>
        </is>
      </c>
      <c r="E371" t="inlineStr">
        <is>
          <t>LEKSAND</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43781-2025</t>
        </is>
      </c>
      <c r="B372" s="1" t="n">
        <v>45912.52229166667</v>
      </c>
      <c r="C372" s="1" t="n">
        <v>45966</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61554-2024</t>
        </is>
      </c>
      <c r="B373" s="1" t="n">
        <v>45646.60748842593</v>
      </c>
      <c r="C373" s="1" t="n">
        <v>45966</v>
      </c>
      <c r="D373" t="inlineStr">
        <is>
          <t>DALARNAS LÄN</t>
        </is>
      </c>
      <c r="E373" t="inlineStr">
        <is>
          <t>LEKSAND</t>
        </is>
      </c>
      <c r="G373" t="n">
        <v>2.6</v>
      </c>
      <c r="H373" t="n">
        <v>0</v>
      </c>
      <c r="I373" t="n">
        <v>0</v>
      </c>
      <c r="J373" t="n">
        <v>0</v>
      </c>
      <c r="K373" t="n">
        <v>0</v>
      </c>
      <c r="L373" t="n">
        <v>0</v>
      </c>
      <c r="M373" t="n">
        <v>0</v>
      </c>
      <c r="N373" t="n">
        <v>0</v>
      </c>
      <c r="O373" t="n">
        <v>0</v>
      </c>
      <c r="P373" t="n">
        <v>0</v>
      </c>
      <c r="Q373" t="n">
        <v>0</v>
      </c>
      <c r="R373" s="2" t="inlineStr"/>
    </row>
    <row r="374" ht="15" customHeight="1">
      <c r="A374" t="inlineStr">
        <is>
          <t>A 11712-2025</t>
        </is>
      </c>
      <c r="B374" s="1" t="n">
        <v>45727</v>
      </c>
      <c r="C374" s="1" t="n">
        <v>45966</v>
      </c>
      <c r="D374" t="inlineStr">
        <is>
          <t>DALARNAS LÄN</t>
        </is>
      </c>
      <c r="E374" t="inlineStr">
        <is>
          <t>LEKSAND</t>
        </is>
      </c>
      <c r="G374" t="n">
        <v>6</v>
      </c>
      <c r="H374" t="n">
        <v>0</v>
      </c>
      <c r="I374" t="n">
        <v>0</v>
      </c>
      <c r="J374" t="n">
        <v>0</v>
      </c>
      <c r="K374" t="n">
        <v>0</v>
      </c>
      <c r="L374" t="n">
        <v>0</v>
      </c>
      <c r="M374" t="n">
        <v>0</v>
      </c>
      <c r="N374" t="n">
        <v>0</v>
      </c>
      <c r="O374" t="n">
        <v>0</v>
      </c>
      <c r="P374" t="n">
        <v>0</v>
      </c>
      <c r="Q374" t="n">
        <v>0</v>
      </c>
      <c r="R374" s="2" t="inlineStr"/>
    </row>
    <row r="375" ht="15" customHeight="1">
      <c r="A375" t="inlineStr">
        <is>
          <t>A 6030-2025</t>
        </is>
      </c>
      <c r="B375" s="1" t="n">
        <v>45695</v>
      </c>
      <c r="C375" s="1" t="n">
        <v>45966</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22080-2025</t>
        </is>
      </c>
      <c r="B376" s="1" t="n">
        <v>45785</v>
      </c>
      <c r="C376" s="1" t="n">
        <v>45966</v>
      </c>
      <c r="D376" t="inlineStr">
        <is>
          <t>DALARNAS LÄN</t>
        </is>
      </c>
      <c r="E376" t="inlineStr">
        <is>
          <t>LEKSAND</t>
        </is>
      </c>
      <c r="G376" t="n">
        <v>7</v>
      </c>
      <c r="H376" t="n">
        <v>0</v>
      </c>
      <c r="I376" t="n">
        <v>0</v>
      </c>
      <c r="J376" t="n">
        <v>0</v>
      </c>
      <c r="K376" t="n">
        <v>0</v>
      </c>
      <c r="L376" t="n">
        <v>0</v>
      </c>
      <c r="M376" t="n">
        <v>0</v>
      </c>
      <c r="N376" t="n">
        <v>0</v>
      </c>
      <c r="O376" t="n">
        <v>0</v>
      </c>
      <c r="P376" t="n">
        <v>0</v>
      </c>
      <c r="Q376" t="n">
        <v>0</v>
      </c>
      <c r="R376" s="2" t="inlineStr"/>
    </row>
    <row r="377" ht="15" customHeight="1">
      <c r="A377" t="inlineStr">
        <is>
          <t>A 42230-2023</t>
        </is>
      </c>
      <c r="B377" s="1" t="n">
        <v>45180</v>
      </c>
      <c r="C377" s="1" t="n">
        <v>45966</v>
      </c>
      <c r="D377" t="inlineStr">
        <is>
          <t>DALARNAS LÄN</t>
        </is>
      </c>
      <c r="E377" t="inlineStr">
        <is>
          <t>LEKSAND</t>
        </is>
      </c>
      <c r="G377" t="n">
        <v>0.6</v>
      </c>
      <c r="H377" t="n">
        <v>0</v>
      </c>
      <c r="I377" t="n">
        <v>0</v>
      </c>
      <c r="J377" t="n">
        <v>0</v>
      </c>
      <c r="K377" t="n">
        <v>0</v>
      </c>
      <c r="L377" t="n">
        <v>0</v>
      </c>
      <c r="M377" t="n">
        <v>0</v>
      </c>
      <c r="N377" t="n">
        <v>0</v>
      </c>
      <c r="O377" t="n">
        <v>0</v>
      </c>
      <c r="P377" t="n">
        <v>0</v>
      </c>
      <c r="Q377" t="n">
        <v>0</v>
      </c>
      <c r="R377" s="2" t="inlineStr"/>
    </row>
    <row r="378" ht="15" customHeight="1">
      <c r="A378" t="inlineStr">
        <is>
          <t>A 52671-2025</t>
        </is>
      </c>
      <c r="B378" s="1" t="n">
        <v>45955.98113425926</v>
      </c>
      <c r="C378" s="1" t="n">
        <v>45966</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21916-2025</t>
        </is>
      </c>
      <c r="B379" s="1" t="n">
        <v>45784.50115740741</v>
      </c>
      <c r="C379" s="1" t="n">
        <v>45966</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44237-2025</t>
        </is>
      </c>
      <c r="B380" s="1" t="n">
        <v>45915.6677199074</v>
      </c>
      <c r="C380" s="1" t="n">
        <v>45966</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62307-2023</t>
        </is>
      </c>
      <c r="B381" s="1" t="n">
        <v>45266</v>
      </c>
      <c r="C381" s="1" t="n">
        <v>45966</v>
      </c>
      <c r="D381" t="inlineStr">
        <is>
          <t>DALARNAS LÄN</t>
        </is>
      </c>
      <c r="E381" t="inlineStr">
        <is>
          <t>LEKSAND</t>
        </is>
      </c>
      <c r="G381" t="n">
        <v>3.9</v>
      </c>
      <c r="H381" t="n">
        <v>0</v>
      </c>
      <c r="I381" t="n">
        <v>0</v>
      </c>
      <c r="J381" t="n">
        <v>0</v>
      </c>
      <c r="K381" t="n">
        <v>0</v>
      </c>
      <c r="L381" t="n">
        <v>0</v>
      </c>
      <c r="M381" t="n">
        <v>0</v>
      </c>
      <c r="N381" t="n">
        <v>0</v>
      </c>
      <c r="O381" t="n">
        <v>0</v>
      </c>
      <c r="P381" t="n">
        <v>0</v>
      </c>
      <c r="Q381" t="n">
        <v>0</v>
      </c>
      <c r="R381" s="2" t="inlineStr"/>
    </row>
    <row r="382" ht="15" customHeight="1">
      <c r="A382" t="inlineStr">
        <is>
          <t>A 14967-2023</t>
        </is>
      </c>
      <c r="B382" s="1" t="n">
        <v>45015</v>
      </c>
      <c r="C382" s="1" t="n">
        <v>45966</v>
      </c>
      <c r="D382" t="inlineStr">
        <is>
          <t>DALARNAS LÄN</t>
        </is>
      </c>
      <c r="E382" t="inlineStr">
        <is>
          <t>LEKSAND</t>
        </is>
      </c>
      <c r="G382" t="n">
        <v>1.4</v>
      </c>
      <c r="H382" t="n">
        <v>0</v>
      </c>
      <c r="I382" t="n">
        <v>0</v>
      </c>
      <c r="J382" t="n">
        <v>0</v>
      </c>
      <c r="K382" t="n">
        <v>0</v>
      </c>
      <c r="L382" t="n">
        <v>0</v>
      </c>
      <c r="M382" t="n">
        <v>0</v>
      </c>
      <c r="N382" t="n">
        <v>0</v>
      </c>
      <c r="O382" t="n">
        <v>0</v>
      </c>
      <c r="P382" t="n">
        <v>0</v>
      </c>
      <c r="Q382" t="n">
        <v>0</v>
      </c>
      <c r="R382" s="2" t="inlineStr"/>
    </row>
    <row r="383" ht="15" customHeight="1">
      <c r="A383" t="inlineStr">
        <is>
          <t>A 43875-2025</t>
        </is>
      </c>
      <c r="B383" s="1" t="n">
        <v>45912.67685185185</v>
      </c>
      <c r="C383" s="1" t="n">
        <v>45966</v>
      </c>
      <c r="D383" t="inlineStr">
        <is>
          <t>DALARNAS LÄN</t>
        </is>
      </c>
      <c r="E383" t="inlineStr">
        <is>
          <t>LEKSAND</t>
        </is>
      </c>
      <c r="G383" t="n">
        <v>1.7</v>
      </c>
      <c r="H383" t="n">
        <v>0</v>
      </c>
      <c r="I383" t="n">
        <v>0</v>
      </c>
      <c r="J383" t="n">
        <v>0</v>
      </c>
      <c r="K383" t="n">
        <v>0</v>
      </c>
      <c r="L383" t="n">
        <v>0</v>
      </c>
      <c r="M383" t="n">
        <v>0</v>
      </c>
      <c r="N383" t="n">
        <v>0</v>
      </c>
      <c r="O383" t="n">
        <v>0</v>
      </c>
      <c r="P383" t="n">
        <v>0</v>
      </c>
      <c r="Q383" t="n">
        <v>0</v>
      </c>
      <c r="R383" s="2" t="inlineStr"/>
    </row>
    <row r="384" ht="15" customHeight="1">
      <c r="A384" t="inlineStr">
        <is>
          <t>A 7861-2024</t>
        </is>
      </c>
      <c r="B384" s="1" t="n">
        <v>45350.30831018519</v>
      </c>
      <c r="C384" s="1" t="n">
        <v>45966</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36534-2024</t>
        </is>
      </c>
      <c r="B385" s="1" t="n">
        <v>45537.45143518518</v>
      </c>
      <c r="C385" s="1" t="n">
        <v>45966</v>
      </c>
      <c r="D385" t="inlineStr">
        <is>
          <t>DALARNAS LÄN</t>
        </is>
      </c>
      <c r="E385" t="inlineStr">
        <is>
          <t>LEKSAND</t>
        </is>
      </c>
      <c r="G385" t="n">
        <v>4</v>
      </c>
      <c r="H385" t="n">
        <v>0</v>
      </c>
      <c r="I385" t="n">
        <v>0</v>
      </c>
      <c r="J385" t="n">
        <v>0</v>
      </c>
      <c r="K385" t="n">
        <v>0</v>
      </c>
      <c r="L385" t="n">
        <v>0</v>
      </c>
      <c r="M385" t="n">
        <v>0</v>
      </c>
      <c r="N385" t="n">
        <v>0</v>
      </c>
      <c r="O385" t="n">
        <v>0</v>
      </c>
      <c r="P385" t="n">
        <v>0</v>
      </c>
      <c r="Q385" t="n">
        <v>0</v>
      </c>
      <c r="R385" s="2" t="inlineStr"/>
    </row>
    <row r="386" ht="15" customHeight="1">
      <c r="A386" t="inlineStr">
        <is>
          <t>A 22536-2025</t>
        </is>
      </c>
      <c r="B386" s="1" t="n">
        <v>45787.33037037037</v>
      </c>
      <c r="C386" s="1" t="n">
        <v>45966</v>
      </c>
      <c r="D386" t="inlineStr">
        <is>
          <t>DALARNAS LÄN</t>
        </is>
      </c>
      <c r="E386" t="inlineStr">
        <is>
          <t>LEKSAND</t>
        </is>
      </c>
      <c r="G386" t="n">
        <v>1.8</v>
      </c>
      <c r="H386" t="n">
        <v>0</v>
      </c>
      <c r="I386" t="n">
        <v>0</v>
      </c>
      <c r="J386" t="n">
        <v>0</v>
      </c>
      <c r="K386" t="n">
        <v>0</v>
      </c>
      <c r="L386" t="n">
        <v>0</v>
      </c>
      <c r="M386" t="n">
        <v>0</v>
      </c>
      <c r="N386" t="n">
        <v>0</v>
      </c>
      <c r="O386" t="n">
        <v>0</v>
      </c>
      <c r="P386" t="n">
        <v>0</v>
      </c>
      <c r="Q386" t="n">
        <v>0</v>
      </c>
      <c r="R386" s="2" t="inlineStr"/>
    </row>
    <row r="387" ht="15" customHeight="1">
      <c r="A387" t="inlineStr">
        <is>
          <t>A 55643-2024</t>
        </is>
      </c>
      <c r="B387" s="1" t="n">
        <v>45621</v>
      </c>
      <c r="C387" s="1" t="n">
        <v>45966</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60042-2023</t>
        </is>
      </c>
      <c r="B388" s="1" t="n">
        <v>45256</v>
      </c>
      <c r="C388" s="1" t="n">
        <v>45966</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22281-2024</t>
        </is>
      </c>
      <c r="B389" s="1" t="n">
        <v>45446.54756944445</v>
      </c>
      <c r="C389" s="1" t="n">
        <v>45966</v>
      </c>
      <c r="D389" t="inlineStr">
        <is>
          <t>DALARNAS LÄN</t>
        </is>
      </c>
      <c r="E389" t="inlineStr">
        <is>
          <t>LEKSAND</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34244-2024</t>
        </is>
      </c>
      <c r="B390" s="1" t="n">
        <v>45524.58349537037</v>
      </c>
      <c r="C390" s="1" t="n">
        <v>45966</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17282-2025</t>
        </is>
      </c>
      <c r="B391" s="1" t="n">
        <v>45756.57114583333</v>
      </c>
      <c r="C391" s="1" t="n">
        <v>45966</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44519-2025</t>
        </is>
      </c>
      <c r="B392" s="1" t="n">
        <v>45916.71483796297</v>
      </c>
      <c r="C392" s="1" t="n">
        <v>45966</v>
      </c>
      <c r="D392" t="inlineStr">
        <is>
          <t>DALARNAS LÄN</t>
        </is>
      </c>
      <c r="E392" t="inlineStr">
        <is>
          <t>LEKSAND</t>
        </is>
      </c>
      <c r="G392" t="n">
        <v>3.6</v>
      </c>
      <c r="H392" t="n">
        <v>0</v>
      </c>
      <c r="I392" t="n">
        <v>0</v>
      </c>
      <c r="J392" t="n">
        <v>0</v>
      </c>
      <c r="K392" t="n">
        <v>0</v>
      </c>
      <c r="L392" t="n">
        <v>0</v>
      </c>
      <c r="M392" t="n">
        <v>0</v>
      </c>
      <c r="N392" t="n">
        <v>0</v>
      </c>
      <c r="O392" t="n">
        <v>0</v>
      </c>
      <c r="P392" t="n">
        <v>0</v>
      </c>
      <c r="Q392" t="n">
        <v>0</v>
      </c>
      <c r="R392" s="2" t="inlineStr"/>
    </row>
    <row r="393" ht="15" customHeight="1">
      <c r="A393" t="inlineStr">
        <is>
          <t>A 53438-2025</t>
        </is>
      </c>
      <c r="B393" s="1" t="n">
        <v>45959.63711805556</v>
      </c>
      <c r="C393" s="1" t="n">
        <v>45966</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56016-2024</t>
        </is>
      </c>
      <c r="B394" s="1" t="n">
        <v>45623.87737268519</v>
      </c>
      <c r="C394" s="1" t="n">
        <v>45966</v>
      </c>
      <c r="D394" t="inlineStr">
        <is>
          <t>DALARNAS LÄN</t>
        </is>
      </c>
      <c r="E394" t="inlineStr">
        <is>
          <t>LEKSAND</t>
        </is>
      </c>
      <c r="G394" t="n">
        <v>6.1</v>
      </c>
      <c r="H394" t="n">
        <v>0</v>
      </c>
      <c r="I394" t="n">
        <v>0</v>
      </c>
      <c r="J394" t="n">
        <v>0</v>
      </c>
      <c r="K394" t="n">
        <v>0</v>
      </c>
      <c r="L394" t="n">
        <v>0</v>
      </c>
      <c r="M394" t="n">
        <v>0</v>
      </c>
      <c r="N394" t="n">
        <v>0</v>
      </c>
      <c r="O394" t="n">
        <v>0</v>
      </c>
      <c r="P394" t="n">
        <v>0</v>
      </c>
      <c r="Q394" t="n">
        <v>0</v>
      </c>
      <c r="R394" s="2" t="inlineStr"/>
    </row>
    <row r="395" ht="15" customHeight="1">
      <c r="A395" t="inlineStr">
        <is>
          <t>A 11617-2024</t>
        </is>
      </c>
      <c r="B395" s="1" t="n">
        <v>45373.42898148148</v>
      </c>
      <c r="C395" s="1" t="n">
        <v>45966</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9857-2025</t>
        </is>
      </c>
      <c r="B396" s="1" t="n">
        <v>45716.62609953704</v>
      </c>
      <c r="C396" s="1" t="n">
        <v>45966</v>
      </c>
      <c r="D396" t="inlineStr">
        <is>
          <t>DALARNAS LÄN</t>
        </is>
      </c>
      <c r="E396" t="inlineStr">
        <is>
          <t>LEKSAND</t>
        </is>
      </c>
      <c r="G396" t="n">
        <v>1.7</v>
      </c>
      <c r="H396" t="n">
        <v>0</v>
      </c>
      <c r="I396" t="n">
        <v>0</v>
      </c>
      <c r="J396" t="n">
        <v>0</v>
      </c>
      <c r="K396" t="n">
        <v>0</v>
      </c>
      <c r="L396" t="n">
        <v>0</v>
      </c>
      <c r="M396" t="n">
        <v>0</v>
      </c>
      <c r="N396" t="n">
        <v>0</v>
      </c>
      <c r="O396" t="n">
        <v>0</v>
      </c>
      <c r="P396" t="n">
        <v>0</v>
      </c>
      <c r="Q396" t="n">
        <v>0</v>
      </c>
      <c r="R396" s="2" t="inlineStr"/>
    </row>
    <row r="397" ht="15" customHeight="1">
      <c r="A397" t="inlineStr">
        <is>
          <t>A 5873-2025</t>
        </is>
      </c>
      <c r="B397" s="1" t="n">
        <v>45695.36715277778</v>
      </c>
      <c r="C397" s="1" t="n">
        <v>45966</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45966</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53243-2025</t>
        </is>
      </c>
      <c r="B399" s="1" t="n">
        <v>45958.6442824074</v>
      </c>
      <c r="C399" s="1" t="n">
        <v>45966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33306-2023</t>
        </is>
      </c>
      <c r="B400" s="1" t="n">
        <v>45127</v>
      </c>
      <c r="C400" s="1" t="n">
        <v>45966</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33316-2023</t>
        </is>
      </c>
      <c r="B401" s="1" t="n">
        <v>45127</v>
      </c>
      <c r="C401" s="1" t="n">
        <v>45966</v>
      </c>
      <c r="D401" t="inlineStr">
        <is>
          <t>DALARNAS LÄN</t>
        </is>
      </c>
      <c r="E401" t="inlineStr">
        <is>
          <t>LEKSAND</t>
        </is>
      </c>
      <c r="G401" t="n">
        <v>8.9</v>
      </c>
      <c r="H401" t="n">
        <v>0</v>
      </c>
      <c r="I401" t="n">
        <v>0</v>
      </c>
      <c r="J401" t="n">
        <v>0</v>
      </c>
      <c r="K401" t="n">
        <v>0</v>
      </c>
      <c r="L401" t="n">
        <v>0</v>
      </c>
      <c r="M401" t="n">
        <v>0</v>
      </c>
      <c r="N401" t="n">
        <v>0</v>
      </c>
      <c r="O401" t="n">
        <v>0</v>
      </c>
      <c r="P401" t="n">
        <v>0</v>
      </c>
      <c r="Q401" t="n">
        <v>0</v>
      </c>
      <c r="R401" s="2" t="inlineStr"/>
    </row>
    <row r="402" ht="15" customHeight="1">
      <c r="A402" t="inlineStr">
        <is>
          <t>A 37832-2023</t>
        </is>
      </c>
      <c r="B402" s="1" t="n">
        <v>45160.3479050926</v>
      </c>
      <c r="C402" s="1" t="n">
        <v>45966</v>
      </c>
      <c r="D402" t="inlineStr">
        <is>
          <t>DALARNAS LÄN</t>
        </is>
      </c>
      <c r="E402" t="inlineStr">
        <is>
          <t>LEKSAND</t>
        </is>
      </c>
      <c r="G402" t="n">
        <v>2</v>
      </c>
      <c r="H402" t="n">
        <v>0</v>
      </c>
      <c r="I402" t="n">
        <v>0</v>
      </c>
      <c r="J402" t="n">
        <v>0</v>
      </c>
      <c r="K402" t="n">
        <v>0</v>
      </c>
      <c r="L402" t="n">
        <v>0</v>
      </c>
      <c r="M402" t="n">
        <v>0</v>
      </c>
      <c r="N402" t="n">
        <v>0</v>
      </c>
      <c r="O402" t="n">
        <v>0</v>
      </c>
      <c r="P402" t="n">
        <v>0</v>
      </c>
      <c r="Q402" t="n">
        <v>0</v>
      </c>
      <c r="R402" s="2" t="inlineStr"/>
    </row>
    <row r="403" ht="15" customHeight="1">
      <c r="A403" t="inlineStr">
        <is>
          <t>A 57468-2023</t>
        </is>
      </c>
      <c r="B403" s="1" t="n">
        <v>45246</v>
      </c>
      <c r="C403" s="1" t="n">
        <v>45966</v>
      </c>
      <c r="D403" t="inlineStr">
        <is>
          <t>DALARNAS LÄN</t>
        </is>
      </c>
      <c r="E403" t="inlineStr">
        <is>
          <t>LEKSAND</t>
        </is>
      </c>
      <c r="G403" t="n">
        <v>4.6</v>
      </c>
      <c r="H403" t="n">
        <v>0</v>
      </c>
      <c r="I403" t="n">
        <v>0</v>
      </c>
      <c r="J403" t="n">
        <v>0</v>
      </c>
      <c r="K403" t="n">
        <v>0</v>
      </c>
      <c r="L403" t="n">
        <v>0</v>
      </c>
      <c r="M403" t="n">
        <v>0</v>
      </c>
      <c r="N403" t="n">
        <v>0</v>
      </c>
      <c r="O403" t="n">
        <v>0</v>
      </c>
      <c r="P403" t="n">
        <v>0</v>
      </c>
      <c r="Q403" t="n">
        <v>0</v>
      </c>
      <c r="R403" s="2" t="inlineStr"/>
    </row>
    <row r="404" ht="15" customHeight="1">
      <c r="A404" t="inlineStr">
        <is>
          <t>A 9143-2023</t>
        </is>
      </c>
      <c r="B404" s="1" t="n">
        <v>44974</v>
      </c>
      <c r="C404" s="1" t="n">
        <v>45966</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22876-2025</t>
        </is>
      </c>
      <c r="B405" s="1" t="n">
        <v>45790.3728587963</v>
      </c>
      <c r="C405" s="1" t="n">
        <v>45966</v>
      </c>
      <c r="D405" t="inlineStr">
        <is>
          <t>DALARNAS LÄN</t>
        </is>
      </c>
      <c r="E405" t="inlineStr">
        <is>
          <t>LEKSAND</t>
        </is>
      </c>
      <c r="G405" t="n">
        <v>5.9</v>
      </c>
      <c r="H405" t="n">
        <v>0</v>
      </c>
      <c r="I405" t="n">
        <v>0</v>
      </c>
      <c r="J405" t="n">
        <v>0</v>
      </c>
      <c r="K405" t="n">
        <v>0</v>
      </c>
      <c r="L405" t="n">
        <v>0</v>
      </c>
      <c r="M405" t="n">
        <v>0</v>
      </c>
      <c r="N405" t="n">
        <v>0</v>
      </c>
      <c r="O405" t="n">
        <v>0</v>
      </c>
      <c r="P405" t="n">
        <v>0</v>
      </c>
      <c r="Q405" t="n">
        <v>0</v>
      </c>
      <c r="R405" s="2" t="inlineStr"/>
    </row>
    <row r="406" ht="15" customHeight="1">
      <c r="A406" t="inlineStr">
        <is>
          <t>A 33310-2023</t>
        </is>
      </c>
      <c r="B406" s="1" t="n">
        <v>45127.82231481482</v>
      </c>
      <c r="C406" s="1" t="n">
        <v>45966</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53041-2025</t>
        </is>
      </c>
      <c r="B407" s="1" t="n">
        <v>45958.35487268519</v>
      </c>
      <c r="C407" s="1" t="n">
        <v>45966</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54844-2021</t>
        </is>
      </c>
      <c r="B408" s="1" t="n">
        <v>44474.30614583333</v>
      </c>
      <c r="C408" s="1" t="n">
        <v>45966</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44516-2025</t>
        </is>
      </c>
      <c r="B409" s="1" t="n">
        <v>45916.70982638889</v>
      </c>
      <c r="C409" s="1" t="n">
        <v>45966</v>
      </c>
      <c r="D409" t="inlineStr">
        <is>
          <t>DALARNAS LÄN</t>
        </is>
      </c>
      <c r="E409" t="inlineStr">
        <is>
          <t>LEKSAND</t>
        </is>
      </c>
      <c r="G409" t="n">
        <v>1.8</v>
      </c>
      <c r="H409" t="n">
        <v>0</v>
      </c>
      <c r="I409" t="n">
        <v>0</v>
      </c>
      <c r="J409" t="n">
        <v>0</v>
      </c>
      <c r="K409" t="n">
        <v>0</v>
      </c>
      <c r="L409" t="n">
        <v>0</v>
      </c>
      <c r="M409" t="n">
        <v>0</v>
      </c>
      <c r="N409" t="n">
        <v>0</v>
      </c>
      <c r="O409" t="n">
        <v>0</v>
      </c>
      <c r="P409" t="n">
        <v>0</v>
      </c>
      <c r="Q409" t="n">
        <v>0</v>
      </c>
      <c r="R409" s="2" t="inlineStr"/>
    </row>
    <row r="410" ht="15" customHeight="1">
      <c r="A410" t="inlineStr">
        <is>
          <t>A 49499-2024</t>
        </is>
      </c>
      <c r="B410" s="1" t="n">
        <v>45596</v>
      </c>
      <c r="C410" s="1" t="n">
        <v>45966</v>
      </c>
      <c r="D410" t="inlineStr">
        <is>
          <t>DALARNAS LÄN</t>
        </is>
      </c>
      <c r="E410" t="inlineStr">
        <is>
          <t>LEKSAND</t>
        </is>
      </c>
      <c r="G410" t="n">
        <v>1</v>
      </c>
      <c r="H410" t="n">
        <v>0</v>
      </c>
      <c r="I410" t="n">
        <v>0</v>
      </c>
      <c r="J410" t="n">
        <v>0</v>
      </c>
      <c r="K410" t="n">
        <v>0</v>
      </c>
      <c r="L410" t="n">
        <v>0</v>
      </c>
      <c r="M410" t="n">
        <v>0</v>
      </c>
      <c r="N410" t="n">
        <v>0</v>
      </c>
      <c r="O410" t="n">
        <v>0</v>
      </c>
      <c r="P410" t="n">
        <v>0</v>
      </c>
      <c r="Q410" t="n">
        <v>0</v>
      </c>
      <c r="R410" s="2" t="inlineStr"/>
    </row>
    <row r="411" ht="15" customHeight="1">
      <c r="A411" t="inlineStr">
        <is>
          <t>A 471-2025</t>
        </is>
      </c>
      <c r="B411" s="1" t="n">
        <v>45664.43394675926</v>
      </c>
      <c r="C411" s="1" t="n">
        <v>45966</v>
      </c>
      <c r="D411" t="inlineStr">
        <is>
          <t>DALARNAS LÄN</t>
        </is>
      </c>
      <c r="E411" t="inlineStr">
        <is>
          <t>LEKSAND</t>
        </is>
      </c>
      <c r="G411" t="n">
        <v>1.3</v>
      </c>
      <c r="H411" t="n">
        <v>0</v>
      </c>
      <c r="I411" t="n">
        <v>0</v>
      </c>
      <c r="J411" t="n">
        <v>0</v>
      </c>
      <c r="K411" t="n">
        <v>0</v>
      </c>
      <c r="L411" t="n">
        <v>0</v>
      </c>
      <c r="M411" t="n">
        <v>0</v>
      </c>
      <c r="N411" t="n">
        <v>0</v>
      </c>
      <c r="O411" t="n">
        <v>0</v>
      </c>
      <c r="P411" t="n">
        <v>0</v>
      </c>
      <c r="Q411" t="n">
        <v>0</v>
      </c>
      <c r="R411" s="2" t="inlineStr"/>
    </row>
    <row r="412" ht="15" customHeight="1">
      <c r="A412" t="inlineStr">
        <is>
          <t>A 53190-2025</t>
        </is>
      </c>
      <c r="B412" s="1" t="n">
        <v>45958.56283564815</v>
      </c>
      <c r="C412" s="1" t="n">
        <v>45966</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44672-2025</t>
        </is>
      </c>
      <c r="B413" s="1" t="n">
        <v>45917.56780092593</v>
      </c>
      <c r="C413" s="1" t="n">
        <v>45966</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44822-2024</t>
        </is>
      </c>
      <c r="B414" s="1" t="n">
        <v>45574.6646412037</v>
      </c>
      <c r="C414" s="1" t="n">
        <v>45966</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23058-2025</t>
        </is>
      </c>
      <c r="B415" s="1" t="n">
        <v>45790.78076388889</v>
      </c>
      <c r="C415" s="1" t="n">
        <v>45966</v>
      </c>
      <c r="D415" t="inlineStr">
        <is>
          <t>DALARNAS LÄN</t>
        </is>
      </c>
      <c r="E415" t="inlineStr">
        <is>
          <t>LEKSAND</t>
        </is>
      </c>
      <c r="G415" t="n">
        <v>6.7</v>
      </c>
      <c r="H415" t="n">
        <v>0</v>
      </c>
      <c r="I415" t="n">
        <v>0</v>
      </c>
      <c r="J415" t="n">
        <v>0</v>
      </c>
      <c r="K415" t="n">
        <v>0</v>
      </c>
      <c r="L415" t="n">
        <v>0</v>
      </c>
      <c r="M415" t="n">
        <v>0</v>
      </c>
      <c r="N415" t="n">
        <v>0</v>
      </c>
      <c r="O415" t="n">
        <v>0</v>
      </c>
      <c r="P415" t="n">
        <v>0</v>
      </c>
      <c r="Q415" t="n">
        <v>0</v>
      </c>
      <c r="R415" s="2" t="inlineStr"/>
    </row>
    <row r="416" ht="15" customHeight="1">
      <c r="A416" t="inlineStr">
        <is>
          <t>A 23076-2025</t>
        </is>
      </c>
      <c r="B416" s="1" t="n">
        <v>45790.90960648148</v>
      </c>
      <c r="C416" s="1" t="n">
        <v>45966</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54015-2025</t>
        </is>
      </c>
      <c r="B417" s="1" t="n">
        <v>45961.64158564815</v>
      </c>
      <c r="C417" s="1" t="n">
        <v>45966</v>
      </c>
      <c r="D417" t="inlineStr">
        <is>
          <t>DALARNAS LÄN</t>
        </is>
      </c>
      <c r="E417" t="inlineStr">
        <is>
          <t>LEKSAND</t>
        </is>
      </c>
      <c r="G417" t="n">
        <v>1</v>
      </c>
      <c r="H417" t="n">
        <v>0</v>
      </c>
      <c r="I417" t="n">
        <v>0</v>
      </c>
      <c r="J417" t="n">
        <v>0</v>
      </c>
      <c r="K417" t="n">
        <v>0</v>
      </c>
      <c r="L417" t="n">
        <v>0</v>
      </c>
      <c r="M417" t="n">
        <v>0</v>
      </c>
      <c r="N417" t="n">
        <v>0</v>
      </c>
      <c r="O417" t="n">
        <v>0</v>
      </c>
      <c r="P417" t="n">
        <v>0</v>
      </c>
      <c r="Q417" t="n">
        <v>0</v>
      </c>
      <c r="R417" s="2" t="inlineStr"/>
    </row>
    <row r="418" ht="15" customHeight="1">
      <c r="A418" t="inlineStr">
        <is>
          <t>A 53804-2025</t>
        </is>
      </c>
      <c r="B418" s="1" t="n">
        <v>45960.83247685185</v>
      </c>
      <c r="C418" s="1" t="n">
        <v>45966</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52293-2024</t>
        </is>
      </c>
      <c r="B419" s="1" t="n">
        <v>45608.71297453704</v>
      </c>
      <c r="C419" s="1" t="n">
        <v>45966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44948-2025</t>
        </is>
      </c>
      <c r="B420" s="1" t="n">
        <v>45918.60555555556</v>
      </c>
      <c r="C420" s="1" t="n">
        <v>45966</v>
      </c>
      <c r="D420" t="inlineStr">
        <is>
          <t>DALARNAS LÄN</t>
        </is>
      </c>
      <c r="E420" t="inlineStr">
        <is>
          <t>LEKSAND</t>
        </is>
      </c>
      <c r="G420" t="n">
        <v>5.1</v>
      </c>
      <c r="H420" t="n">
        <v>0</v>
      </c>
      <c r="I420" t="n">
        <v>0</v>
      </c>
      <c r="J420" t="n">
        <v>0</v>
      </c>
      <c r="K420" t="n">
        <v>0</v>
      </c>
      <c r="L420" t="n">
        <v>0</v>
      </c>
      <c r="M420" t="n">
        <v>0</v>
      </c>
      <c r="N420" t="n">
        <v>0</v>
      </c>
      <c r="O420" t="n">
        <v>0</v>
      </c>
      <c r="P420" t="n">
        <v>0</v>
      </c>
      <c r="Q420" t="n">
        <v>0</v>
      </c>
      <c r="R420" s="2" t="inlineStr"/>
    </row>
    <row r="421" ht="15" customHeight="1">
      <c r="A421" t="inlineStr">
        <is>
          <t>A 1182-2025</t>
        </is>
      </c>
      <c r="B421" s="1" t="n">
        <v>45667.35712962963</v>
      </c>
      <c r="C421" s="1" t="n">
        <v>45966</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23855-2025</t>
        </is>
      </c>
      <c r="B422" s="1" t="n">
        <v>45793.65900462963</v>
      </c>
      <c r="C422" s="1" t="n">
        <v>45966</v>
      </c>
      <c r="D422" t="inlineStr">
        <is>
          <t>DALARNAS LÄN</t>
        </is>
      </c>
      <c r="E422" t="inlineStr">
        <is>
          <t>LEKSAND</t>
        </is>
      </c>
      <c r="G422" t="n">
        <v>0.6</v>
      </c>
      <c r="H422" t="n">
        <v>0</v>
      </c>
      <c r="I422" t="n">
        <v>0</v>
      </c>
      <c r="J422" t="n">
        <v>0</v>
      </c>
      <c r="K422" t="n">
        <v>0</v>
      </c>
      <c r="L422" t="n">
        <v>0</v>
      </c>
      <c r="M422" t="n">
        <v>0</v>
      </c>
      <c r="N422" t="n">
        <v>0</v>
      </c>
      <c r="O422" t="n">
        <v>0</v>
      </c>
      <c r="P422" t="n">
        <v>0</v>
      </c>
      <c r="Q422" t="n">
        <v>0</v>
      </c>
      <c r="R422" s="2" t="inlineStr"/>
    </row>
    <row r="423" ht="15" customHeight="1">
      <c r="A423" t="inlineStr">
        <is>
          <t>A 23891-2025</t>
        </is>
      </c>
      <c r="B423" s="1" t="n">
        <v>45793</v>
      </c>
      <c r="C423" s="1" t="n">
        <v>45966</v>
      </c>
      <c r="D423" t="inlineStr">
        <is>
          <t>DALARNAS LÄN</t>
        </is>
      </c>
      <c r="E423" t="inlineStr">
        <is>
          <t>LEKSAND</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23517-2025</t>
        </is>
      </c>
      <c r="B424" s="1" t="n">
        <v>45792</v>
      </c>
      <c r="C424" s="1" t="n">
        <v>45966</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45101-2025</t>
        </is>
      </c>
      <c r="B425" s="1" t="n">
        <v>45919.39679398148</v>
      </c>
      <c r="C425" s="1" t="n">
        <v>45966</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46665-2023</t>
        </is>
      </c>
      <c r="B426" s="1" t="n">
        <v>45198.47399305556</v>
      </c>
      <c r="C426" s="1" t="n">
        <v>45966</v>
      </c>
      <c r="D426" t="inlineStr">
        <is>
          <t>DALARNAS LÄN</t>
        </is>
      </c>
      <c r="E426" t="inlineStr">
        <is>
          <t>LEKSAND</t>
        </is>
      </c>
      <c r="G426" t="n">
        <v>0.6</v>
      </c>
      <c r="H426" t="n">
        <v>0</v>
      </c>
      <c r="I426" t="n">
        <v>0</v>
      </c>
      <c r="J426" t="n">
        <v>0</v>
      </c>
      <c r="K426" t="n">
        <v>0</v>
      </c>
      <c r="L426" t="n">
        <v>0</v>
      </c>
      <c r="M426" t="n">
        <v>0</v>
      </c>
      <c r="N426" t="n">
        <v>0</v>
      </c>
      <c r="O426" t="n">
        <v>0</v>
      </c>
      <c r="P426" t="n">
        <v>0</v>
      </c>
      <c r="Q426" t="n">
        <v>0</v>
      </c>
      <c r="R426" s="2" t="inlineStr"/>
    </row>
    <row r="427" ht="15" customHeight="1">
      <c r="A427" t="inlineStr">
        <is>
          <t>A 56943-2024</t>
        </is>
      </c>
      <c r="B427" s="1" t="n">
        <v>45625</v>
      </c>
      <c r="C427" s="1" t="n">
        <v>45966</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53619-2025</t>
        </is>
      </c>
      <c r="B428" s="1" t="n">
        <v>45960</v>
      </c>
      <c r="C428" s="1" t="n">
        <v>45966</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60715-2022</t>
        </is>
      </c>
      <c r="B429" s="1" t="n">
        <v>44912</v>
      </c>
      <c r="C429" s="1" t="n">
        <v>45966</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53718-2025</t>
        </is>
      </c>
      <c r="B430" s="1" t="n">
        <v>45960.61840277778</v>
      </c>
      <c r="C430" s="1" t="n">
        <v>45966</v>
      </c>
      <c r="D430" t="inlineStr">
        <is>
          <t>DALARNAS LÄN</t>
        </is>
      </c>
      <c r="E430" t="inlineStr">
        <is>
          <t>LEKSAND</t>
        </is>
      </c>
      <c r="G430" t="n">
        <v>7.5</v>
      </c>
      <c r="H430" t="n">
        <v>0</v>
      </c>
      <c r="I430" t="n">
        <v>0</v>
      </c>
      <c r="J430" t="n">
        <v>0</v>
      </c>
      <c r="K430" t="n">
        <v>0</v>
      </c>
      <c r="L430" t="n">
        <v>0</v>
      </c>
      <c r="M430" t="n">
        <v>0</v>
      </c>
      <c r="N430" t="n">
        <v>0</v>
      </c>
      <c r="O430" t="n">
        <v>0</v>
      </c>
      <c r="P430" t="n">
        <v>0</v>
      </c>
      <c r="Q430" t="n">
        <v>0</v>
      </c>
      <c r="R430" s="2" t="inlineStr"/>
    </row>
    <row r="431" ht="15" customHeight="1">
      <c r="A431" t="inlineStr">
        <is>
          <t>A 15619-2025</t>
        </is>
      </c>
      <c r="B431" s="1" t="n">
        <v>45747</v>
      </c>
      <c r="C431" s="1" t="n">
        <v>45966</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53836-2025</t>
        </is>
      </c>
      <c r="B432" s="1" t="n">
        <v>45961.3475462963</v>
      </c>
      <c r="C432" s="1" t="n">
        <v>45966</v>
      </c>
      <c r="D432" t="inlineStr">
        <is>
          <t>DALARNAS LÄN</t>
        </is>
      </c>
      <c r="E432" t="inlineStr">
        <is>
          <t>LEKSAND</t>
        </is>
      </c>
      <c r="G432" t="n">
        <v>3.5</v>
      </c>
      <c r="H432" t="n">
        <v>0</v>
      </c>
      <c r="I432" t="n">
        <v>0</v>
      </c>
      <c r="J432" t="n">
        <v>0</v>
      </c>
      <c r="K432" t="n">
        <v>0</v>
      </c>
      <c r="L432" t="n">
        <v>0</v>
      </c>
      <c r="M432" t="n">
        <v>0</v>
      </c>
      <c r="N432" t="n">
        <v>0</v>
      </c>
      <c r="O432" t="n">
        <v>0</v>
      </c>
      <c r="P432" t="n">
        <v>0</v>
      </c>
      <c r="Q432" t="n">
        <v>0</v>
      </c>
      <c r="R432" s="2" t="inlineStr"/>
    </row>
    <row r="433" ht="15" customHeight="1">
      <c r="A433" t="inlineStr">
        <is>
          <t>A 53838-2025</t>
        </is>
      </c>
      <c r="B433" s="1" t="n">
        <v>45961.34895833334</v>
      </c>
      <c r="C433" s="1" t="n">
        <v>45966</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21954-2023</t>
        </is>
      </c>
      <c r="B434" s="1" t="n">
        <v>45068</v>
      </c>
      <c r="C434" s="1" t="n">
        <v>45966</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24187-2025</t>
        </is>
      </c>
      <c r="B435" s="1" t="n">
        <v>45796</v>
      </c>
      <c r="C435" s="1" t="n">
        <v>45966</v>
      </c>
      <c r="D435" t="inlineStr">
        <is>
          <t>DALARNAS LÄN</t>
        </is>
      </c>
      <c r="E435" t="inlineStr">
        <is>
          <t>LEKSAND</t>
        </is>
      </c>
      <c r="G435" t="n">
        <v>2.1</v>
      </c>
      <c r="H435" t="n">
        <v>0</v>
      </c>
      <c r="I435" t="n">
        <v>0</v>
      </c>
      <c r="J435" t="n">
        <v>0</v>
      </c>
      <c r="K435" t="n">
        <v>0</v>
      </c>
      <c r="L435" t="n">
        <v>0</v>
      </c>
      <c r="M435" t="n">
        <v>0</v>
      </c>
      <c r="N435" t="n">
        <v>0</v>
      </c>
      <c r="O435" t="n">
        <v>0</v>
      </c>
      <c r="P435" t="n">
        <v>0</v>
      </c>
      <c r="Q435" t="n">
        <v>0</v>
      </c>
      <c r="R435" s="2" t="inlineStr"/>
    </row>
    <row r="436" ht="15" customHeight="1">
      <c r="A436" t="inlineStr">
        <is>
          <t>A 24188-2025</t>
        </is>
      </c>
      <c r="B436" s="1" t="n">
        <v>45796</v>
      </c>
      <c r="C436" s="1" t="n">
        <v>45966</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7450-2023</t>
        </is>
      </c>
      <c r="B437" s="1" t="n">
        <v>44971</v>
      </c>
      <c r="C437" s="1" t="n">
        <v>45966</v>
      </c>
      <c r="D437" t="inlineStr">
        <is>
          <t>DALARNAS LÄN</t>
        </is>
      </c>
      <c r="E437" t="inlineStr">
        <is>
          <t>LEKSAND</t>
        </is>
      </c>
      <c r="G437" t="n">
        <v>3</v>
      </c>
      <c r="H437" t="n">
        <v>0</v>
      </c>
      <c r="I437" t="n">
        <v>0</v>
      </c>
      <c r="J437" t="n">
        <v>0</v>
      </c>
      <c r="K437" t="n">
        <v>0</v>
      </c>
      <c r="L437" t="n">
        <v>0</v>
      </c>
      <c r="M437" t="n">
        <v>0</v>
      </c>
      <c r="N437" t="n">
        <v>0</v>
      </c>
      <c r="O437" t="n">
        <v>0</v>
      </c>
      <c r="P437" t="n">
        <v>0</v>
      </c>
      <c r="Q437" t="n">
        <v>0</v>
      </c>
      <c r="R437" s="2" t="inlineStr"/>
    </row>
    <row r="438" ht="15" customHeight="1">
      <c r="A438" t="inlineStr">
        <is>
          <t>A 24373-2025</t>
        </is>
      </c>
      <c r="B438" s="1" t="n">
        <v>45797.61113425926</v>
      </c>
      <c r="C438" s="1" t="n">
        <v>45966</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22646-2025</t>
        </is>
      </c>
      <c r="B439" s="1" t="n">
        <v>45786</v>
      </c>
      <c r="C439" s="1" t="n">
        <v>45966</v>
      </c>
      <c r="D439" t="inlineStr">
        <is>
          <t>DALARNAS LÄN</t>
        </is>
      </c>
      <c r="E439" t="inlineStr">
        <is>
          <t>LEKSAND</t>
        </is>
      </c>
      <c r="F439" t="inlineStr">
        <is>
          <t>Kommuner</t>
        </is>
      </c>
      <c r="G439" t="n">
        <v>1.6</v>
      </c>
      <c r="H439" t="n">
        <v>0</v>
      </c>
      <c r="I439" t="n">
        <v>0</v>
      </c>
      <c r="J439" t="n">
        <v>0</v>
      </c>
      <c r="K439" t="n">
        <v>0</v>
      </c>
      <c r="L439" t="n">
        <v>0</v>
      </c>
      <c r="M439" t="n">
        <v>0</v>
      </c>
      <c r="N439" t="n">
        <v>0</v>
      </c>
      <c r="O439" t="n">
        <v>0</v>
      </c>
      <c r="P439" t="n">
        <v>0</v>
      </c>
      <c r="Q439" t="n">
        <v>0</v>
      </c>
      <c r="R439" s="2" t="inlineStr"/>
    </row>
    <row r="440" ht="15" customHeight="1">
      <c r="A440" t="inlineStr">
        <is>
          <t>A 38117-2023</t>
        </is>
      </c>
      <c r="B440" s="1" t="n">
        <v>45161</v>
      </c>
      <c r="C440" s="1" t="n">
        <v>45966</v>
      </c>
      <c r="D440" t="inlineStr">
        <is>
          <t>DALARNAS LÄN</t>
        </is>
      </c>
      <c r="E440" t="inlineStr">
        <is>
          <t>LEKSAND</t>
        </is>
      </c>
      <c r="G440" t="n">
        <v>1.5</v>
      </c>
      <c r="H440" t="n">
        <v>0</v>
      </c>
      <c r="I440" t="n">
        <v>0</v>
      </c>
      <c r="J440" t="n">
        <v>0</v>
      </c>
      <c r="K440" t="n">
        <v>0</v>
      </c>
      <c r="L440" t="n">
        <v>0</v>
      </c>
      <c r="M440" t="n">
        <v>0</v>
      </c>
      <c r="N440" t="n">
        <v>0</v>
      </c>
      <c r="O440" t="n">
        <v>0</v>
      </c>
      <c r="P440" t="n">
        <v>0</v>
      </c>
      <c r="Q440" t="n">
        <v>0</v>
      </c>
      <c r="R440" s="2" t="inlineStr"/>
    </row>
    <row r="441" ht="15" customHeight="1">
      <c r="A441" t="inlineStr">
        <is>
          <t>A 14797-2025</t>
        </is>
      </c>
      <c r="B441" s="1" t="n">
        <v>45742.90363425926</v>
      </c>
      <c r="C441" s="1" t="n">
        <v>45966</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59751-2024</t>
        </is>
      </c>
      <c r="B442" s="1" t="n">
        <v>45638</v>
      </c>
      <c r="C442" s="1" t="n">
        <v>45966</v>
      </c>
      <c r="D442" t="inlineStr">
        <is>
          <t>DALARNAS LÄN</t>
        </is>
      </c>
      <c r="E442" t="inlineStr">
        <is>
          <t>LEKSAND</t>
        </is>
      </c>
      <c r="G442" t="n">
        <v>5.2</v>
      </c>
      <c r="H442" t="n">
        <v>0</v>
      </c>
      <c r="I442" t="n">
        <v>0</v>
      </c>
      <c r="J442" t="n">
        <v>0</v>
      </c>
      <c r="K442" t="n">
        <v>0</v>
      </c>
      <c r="L442" t="n">
        <v>0</v>
      </c>
      <c r="M442" t="n">
        <v>0</v>
      </c>
      <c r="N442" t="n">
        <v>0</v>
      </c>
      <c r="O442" t="n">
        <v>0</v>
      </c>
      <c r="P442" t="n">
        <v>0</v>
      </c>
      <c r="Q442" t="n">
        <v>0</v>
      </c>
      <c r="R442" s="2" t="inlineStr"/>
    </row>
    <row r="443" ht="15" customHeight="1">
      <c r="A443" t="inlineStr">
        <is>
          <t>A 54120-2025</t>
        </is>
      </c>
      <c r="B443" s="1" t="n">
        <v>45964.45040509259</v>
      </c>
      <c r="C443" s="1" t="n">
        <v>45966</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54125-2025</t>
        </is>
      </c>
      <c r="B444" s="1" t="n">
        <v>45964.45671296296</v>
      </c>
      <c r="C444" s="1" t="n">
        <v>45966</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59763-2023</t>
        </is>
      </c>
      <c r="B445" s="1" t="n">
        <v>45257</v>
      </c>
      <c r="C445" s="1" t="n">
        <v>45966</v>
      </c>
      <c r="D445" t="inlineStr">
        <is>
          <t>DALARNAS LÄN</t>
        </is>
      </c>
      <c r="E445" t="inlineStr">
        <is>
          <t>LEKSAND</t>
        </is>
      </c>
      <c r="G445" t="n">
        <v>1.6</v>
      </c>
      <c r="H445" t="n">
        <v>0</v>
      </c>
      <c r="I445" t="n">
        <v>0</v>
      </c>
      <c r="J445" t="n">
        <v>0</v>
      </c>
      <c r="K445" t="n">
        <v>0</v>
      </c>
      <c r="L445" t="n">
        <v>0</v>
      </c>
      <c r="M445" t="n">
        <v>0</v>
      </c>
      <c r="N445" t="n">
        <v>0</v>
      </c>
      <c r="O445" t="n">
        <v>0</v>
      </c>
      <c r="P445" t="n">
        <v>0</v>
      </c>
      <c r="Q445" t="n">
        <v>0</v>
      </c>
      <c r="R445" s="2" t="inlineStr"/>
    </row>
    <row r="446" ht="15" customHeight="1">
      <c r="A446" t="inlineStr">
        <is>
          <t>A 33674-2023</t>
        </is>
      </c>
      <c r="B446" s="1" t="n">
        <v>45132</v>
      </c>
      <c r="C446" s="1" t="n">
        <v>45966</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28128-2022</t>
        </is>
      </c>
      <c r="B447" s="1" t="n">
        <v>44746.50628472222</v>
      </c>
      <c r="C447" s="1" t="n">
        <v>45966</v>
      </c>
      <c r="D447" t="inlineStr">
        <is>
          <t>DALARNAS LÄN</t>
        </is>
      </c>
      <c r="E447" t="inlineStr">
        <is>
          <t>LEKSAND</t>
        </is>
      </c>
      <c r="G447" t="n">
        <v>3.5</v>
      </c>
      <c r="H447" t="n">
        <v>0</v>
      </c>
      <c r="I447" t="n">
        <v>0</v>
      </c>
      <c r="J447" t="n">
        <v>0</v>
      </c>
      <c r="K447" t="n">
        <v>0</v>
      </c>
      <c r="L447" t="n">
        <v>0</v>
      </c>
      <c r="M447" t="n">
        <v>0</v>
      </c>
      <c r="N447" t="n">
        <v>0</v>
      </c>
      <c r="O447" t="n">
        <v>0</v>
      </c>
      <c r="P447" t="n">
        <v>0</v>
      </c>
      <c r="Q447" t="n">
        <v>0</v>
      </c>
      <c r="R447" s="2" t="inlineStr"/>
    </row>
    <row r="448" ht="15" customHeight="1">
      <c r="A448" t="inlineStr">
        <is>
          <t>A 61787-2022</t>
        </is>
      </c>
      <c r="B448" s="1" t="n">
        <v>44917</v>
      </c>
      <c r="C448" s="1" t="n">
        <v>45966</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62306-2023</t>
        </is>
      </c>
      <c r="B449" s="1" t="n">
        <v>45266</v>
      </c>
      <c r="C449" s="1" t="n">
        <v>45966</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31971-2024</t>
        </is>
      </c>
      <c r="B450" s="1" t="n">
        <v>45510.55171296297</v>
      </c>
      <c r="C450" s="1" t="n">
        <v>45966</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24919-2024</t>
        </is>
      </c>
      <c r="B451" s="1" t="n">
        <v>45461.60636574074</v>
      </c>
      <c r="C451" s="1" t="n">
        <v>45966</v>
      </c>
      <c r="D451" t="inlineStr">
        <is>
          <t>DALARNAS LÄN</t>
        </is>
      </c>
      <c r="E451" t="inlineStr">
        <is>
          <t>LEKSAND</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56211-2023</t>
        </is>
      </c>
      <c r="B452" s="1" t="n">
        <v>45240</v>
      </c>
      <c r="C452" s="1" t="n">
        <v>45966</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54293-2025</t>
        </is>
      </c>
      <c r="B453" s="1" t="n">
        <v>45964.86651620371</v>
      </c>
      <c r="C453" s="1" t="n">
        <v>45966</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54295-2025</t>
        </is>
      </c>
      <c r="B454" s="1" t="n">
        <v>45964.87122685185</v>
      </c>
      <c r="C454" s="1" t="n">
        <v>45966</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24369-2025</t>
        </is>
      </c>
      <c r="B455" s="1" t="n">
        <v>45797.60731481481</v>
      </c>
      <c r="C455" s="1" t="n">
        <v>45966</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24715-2025</t>
        </is>
      </c>
      <c r="B456" s="1" t="n">
        <v>45798.97899305556</v>
      </c>
      <c r="C456" s="1" t="n">
        <v>45966</v>
      </c>
      <c r="D456" t="inlineStr">
        <is>
          <t>DALARNAS LÄN</t>
        </is>
      </c>
      <c r="E456" t="inlineStr">
        <is>
          <t>LEKSAND</t>
        </is>
      </c>
      <c r="G456" t="n">
        <v>8.4</v>
      </c>
      <c r="H456" t="n">
        <v>0</v>
      </c>
      <c r="I456" t="n">
        <v>0</v>
      </c>
      <c r="J456" t="n">
        <v>0</v>
      </c>
      <c r="K456" t="n">
        <v>0</v>
      </c>
      <c r="L456" t="n">
        <v>0</v>
      </c>
      <c r="M456" t="n">
        <v>0</v>
      </c>
      <c r="N456" t="n">
        <v>0</v>
      </c>
      <c r="O456" t="n">
        <v>0</v>
      </c>
      <c r="P456" t="n">
        <v>0</v>
      </c>
      <c r="Q456" t="n">
        <v>0</v>
      </c>
      <c r="R456" s="2" t="inlineStr"/>
    </row>
    <row r="457" ht="15" customHeight="1">
      <c r="A457" t="inlineStr">
        <is>
          <t>A 61269-2022</t>
        </is>
      </c>
      <c r="B457" s="1" t="n">
        <v>44909</v>
      </c>
      <c r="C457" s="1" t="n">
        <v>45966</v>
      </c>
      <c r="D457" t="inlineStr">
        <is>
          <t>DALARNAS LÄN</t>
        </is>
      </c>
      <c r="E457" t="inlineStr">
        <is>
          <t>LEKSAND</t>
        </is>
      </c>
      <c r="G457" t="n">
        <v>4.2</v>
      </c>
      <c r="H457" t="n">
        <v>0</v>
      </c>
      <c r="I457" t="n">
        <v>0</v>
      </c>
      <c r="J457" t="n">
        <v>0</v>
      </c>
      <c r="K457" t="n">
        <v>0</v>
      </c>
      <c r="L457" t="n">
        <v>0</v>
      </c>
      <c r="M457" t="n">
        <v>0</v>
      </c>
      <c r="N457" t="n">
        <v>0</v>
      </c>
      <c r="O457" t="n">
        <v>0</v>
      </c>
      <c r="P457" t="n">
        <v>0</v>
      </c>
      <c r="Q457" t="n">
        <v>0</v>
      </c>
      <c r="R457" s="2" t="inlineStr"/>
    </row>
    <row r="458" ht="15" customHeight="1">
      <c r="A458" t="inlineStr">
        <is>
          <t>A 64933-2023</t>
        </is>
      </c>
      <c r="B458" s="1" t="n">
        <v>45282</v>
      </c>
      <c r="C458" s="1" t="n">
        <v>45966</v>
      </c>
      <c r="D458" t="inlineStr">
        <is>
          <t>DALARNAS LÄN</t>
        </is>
      </c>
      <c r="E458" t="inlineStr">
        <is>
          <t>LEKSAND</t>
        </is>
      </c>
      <c r="G458" t="n">
        <v>2.3</v>
      </c>
      <c r="H458" t="n">
        <v>0</v>
      </c>
      <c r="I458" t="n">
        <v>0</v>
      </c>
      <c r="J458" t="n">
        <v>0</v>
      </c>
      <c r="K458" t="n">
        <v>0</v>
      </c>
      <c r="L458" t="n">
        <v>0</v>
      </c>
      <c r="M458" t="n">
        <v>0</v>
      </c>
      <c r="N458" t="n">
        <v>0</v>
      </c>
      <c r="O458" t="n">
        <v>0</v>
      </c>
      <c r="P458" t="n">
        <v>0</v>
      </c>
      <c r="Q458" t="n">
        <v>0</v>
      </c>
      <c r="R458" s="2" t="inlineStr"/>
    </row>
    <row r="459" ht="15" customHeight="1">
      <c r="A459" t="inlineStr">
        <is>
          <t>A 40868-2024</t>
        </is>
      </c>
      <c r="B459" s="1" t="n">
        <v>45558</v>
      </c>
      <c r="C459" s="1" t="n">
        <v>45966</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24003-2024</t>
        </is>
      </c>
      <c r="B460" s="1" t="n">
        <v>45456.39003472222</v>
      </c>
      <c r="C460" s="1" t="n">
        <v>45966</v>
      </c>
      <c r="D460" t="inlineStr">
        <is>
          <t>DALARNAS LÄN</t>
        </is>
      </c>
      <c r="E460" t="inlineStr">
        <is>
          <t>LEKSAND</t>
        </is>
      </c>
      <c r="F460" t="inlineStr">
        <is>
          <t>Bergvik skog väst AB</t>
        </is>
      </c>
      <c r="G460" t="n">
        <v>3.2</v>
      </c>
      <c r="H460" t="n">
        <v>0</v>
      </c>
      <c r="I460" t="n">
        <v>0</v>
      </c>
      <c r="J460" t="n">
        <v>0</v>
      </c>
      <c r="K460" t="n">
        <v>0</v>
      </c>
      <c r="L460" t="n">
        <v>0</v>
      </c>
      <c r="M460" t="n">
        <v>0</v>
      </c>
      <c r="N460" t="n">
        <v>0</v>
      </c>
      <c r="O460" t="n">
        <v>0</v>
      </c>
      <c r="P460" t="n">
        <v>0</v>
      </c>
      <c r="Q460" t="n">
        <v>0</v>
      </c>
      <c r="R460" s="2" t="inlineStr"/>
    </row>
    <row r="461" ht="15" customHeight="1">
      <c r="A461" t="inlineStr">
        <is>
          <t>A 45381-2025</t>
        </is>
      </c>
      <c r="B461" s="1" t="n">
        <v>45922.39989583333</v>
      </c>
      <c r="C461" s="1" t="n">
        <v>45966</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45300-2025</t>
        </is>
      </c>
      <c r="B462" s="1" t="n">
        <v>45921.30490740741</v>
      </c>
      <c r="C462" s="1" t="n">
        <v>45966</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45318-2025</t>
        </is>
      </c>
      <c r="B463" s="1" t="n">
        <v>45921.85230324074</v>
      </c>
      <c r="C463" s="1" t="n">
        <v>45966</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34585-2024</t>
        </is>
      </c>
      <c r="B464" s="1" t="n">
        <v>45526.37697916666</v>
      </c>
      <c r="C464" s="1" t="n">
        <v>45966</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54440-2025</t>
        </is>
      </c>
      <c r="B465" s="1" t="n">
        <v>45965.50385416667</v>
      </c>
      <c r="C465" s="1" t="n">
        <v>45966</v>
      </c>
      <c r="D465" t="inlineStr">
        <is>
          <t>DALARNAS LÄN</t>
        </is>
      </c>
      <c r="E465" t="inlineStr">
        <is>
          <t>LEKSAND</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10743-2024</t>
        </is>
      </c>
      <c r="B466" s="1" t="n">
        <v>45369.52167824074</v>
      </c>
      <c r="C466" s="1" t="n">
        <v>45966</v>
      </c>
      <c r="D466" t="inlineStr">
        <is>
          <t>DALARNAS LÄN</t>
        </is>
      </c>
      <c r="E466" t="inlineStr">
        <is>
          <t>LEKSAND</t>
        </is>
      </c>
      <c r="G466" t="n">
        <v>2.7</v>
      </c>
      <c r="H466" t="n">
        <v>0</v>
      </c>
      <c r="I466" t="n">
        <v>0</v>
      </c>
      <c r="J466" t="n">
        <v>0</v>
      </c>
      <c r="K466" t="n">
        <v>0</v>
      </c>
      <c r="L466" t="n">
        <v>0</v>
      </c>
      <c r="M466" t="n">
        <v>0</v>
      </c>
      <c r="N466" t="n">
        <v>0</v>
      </c>
      <c r="O466" t="n">
        <v>0</v>
      </c>
      <c r="P466" t="n">
        <v>0</v>
      </c>
      <c r="Q466" t="n">
        <v>0</v>
      </c>
      <c r="R466" s="2" t="inlineStr"/>
    </row>
    <row r="467" ht="15" customHeight="1">
      <c r="A467" t="inlineStr">
        <is>
          <t>A 10771-2024</t>
        </is>
      </c>
      <c r="B467" s="1" t="n">
        <v>45369.57342592593</v>
      </c>
      <c r="C467" s="1" t="n">
        <v>45966</v>
      </c>
      <c r="D467" t="inlineStr">
        <is>
          <t>DALARNAS LÄN</t>
        </is>
      </c>
      <c r="E467" t="inlineStr">
        <is>
          <t>LEKSAND</t>
        </is>
      </c>
      <c r="G467" t="n">
        <v>0.4</v>
      </c>
      <c r="H467" t="n">
        <v>0</v>
      </c>
      <c r="I467" t="n">
        <v>0</v>
      </c>
      <c r="J467" t="n">
        <v>0</v>
      </c>
      <c r="K467" t="n">
        <v>0</v>
      </c>
      <c r="L467" t="n">
        <v>0</v>
      </c>
      <c r="M467" t="n">
        <v>0</v>
      </c>
      <c r="N467" t="n">
        <v>0</v>
      </c>
      <c r="O467" t="n">
        <v>0</v>
      </c>
      <c r="P467" t="n">
        <v>0</v>
      </c>
      <c r="Q467" t="n">
        <v>0</v>
      </c>
      <c r="R467" s="2" t="inlineStr"/>
    </row>
    <row r="468" ht="15" customHeight="1">
      <c r="A468" t="inlineStr">
        <is>
          <t>A 25610-2025</t>
        </is>
      </c>
      <c r="B468" s="1" t="n">
        <v>45803.56033564815</v>
      </c>
      <c r="C468" s="1" t="n">
        <v>45966</v>
      </c>
      <c r="D468" t="inlineStr">
        <is>
          <t>DALARNAS LÄN</t>
        </is>
      </c>
      <c r="E468" t="inlineStr">
        <is>
          <t>LEKSAND</t>
        </is>
      </c>
      <c r="G468" t="n">
        <v>5.2</v>
      </c>
      <c r="H468" t="n">
        <v>0</v>
      </c>
      <c r="I468" t="n">
        <v>0</v>
      </c>
      <c r="J468" t="n">
        <v>0</v>
      </c>
      <c r="K468" t="n">
        <v>0</v>
      </c>
      <c r="L468" t="n">
        <v>0</v>
      </c>
      <c r="M468" t="n">
        <v>0</v>
      </c>
      <c r="N468" t="n">
        <v>0</v>
      </c>
      <c r="O468" t="n">
        <v>0</v>
      </c>
      <c r="P468" t="n">
        <v>0</v>
      </c>
      <c r="Q468" t="n">
        <v>0</v>
      </c>
      <c r="R468" s="2" t="inlineStr"/>
    </row>
    <row r="469" ht="15" customHeight="1">
      <c r="A469" t="inlineStr">
        <is>
          <t>A 54494-2025</t>
        </is>
      </c>
      <c r="B469" s="1" t="n">
        <v>45965.59965277778</v>
      </c>
      <c r="C469" s="1" t="n">
        <v>45966</v>
      </c>
      <c r="D469" t="inlineStr">
        <is>
          <t>DALARNAS LÄN</t>
        </is>
      </c>
      <c r="E469" t="inlineStr">
        <is>
          <t>LEKSAND</t>
        </is>
      </c>
      <c r="G469" t="n">
        <v>1.3</v>
      </c>
      <c r="H469" t="n">
        <v>0</v>
      </c>
      <c r="I469" t="n">
        <v>0</v>
      </c>
      <c r="J469" t="n">
        <v>0</v>
      </c>
      <c r="K469" t="n">
        <v>0</v>
      </c>
      <c r="L469" t="n">
        <v>0</v>
      </c>
      <c r="M469" t="n">
        <v>0</v>
      </c>
      <c r="N469" t="n">
        <v>0</v>
      </c>
      <c r="O469" t="n">
        <v>0</v>
      </c>
      <c r="P469" t="n">
        <v>0</v>
      </c>
      <c r="Q469" t="n">
        <v>0</v>
      </c>
      <c r="R469" s="2" t="inlineStr"/>
    </row>
    <row r="470" ht="15" customHeight="1">
      <c r="A470" t="inlineStr">
        <is>
          <t>A 25105-2025</t>
        </is>
      </c>
      <c r="B470" s="1" t="n">
        <v>45800.34751157407</v>
      </c>
      <c r="C470" s="1" t="n">
        <v>45966</v>
      </c>
      <c r="D470" t="inlineStr">
        <is>
          <t>DALARNAS LÄN</t>
        </is>
      </c>
      <c r="E470" t="inlineStr">
        <is>
          <t>LEKSAND</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56941-2024</t>
        </is>
      </c>
      <c r="B471" s="1" t="n">
        <v>45625</v>
      </c>
      <c r="C471" s="1" t="n">
        <v>45966</v>
      </c>
      <c r="D471" t="inlineStr">
        <is>
          <t>DALARNAS LÄN</t>
        </is>
      </c>
      <c r="E471" t="inlineStr">
        <is>
          <t>LEKSAND</t>
        </is>
      </c>
      <c r="G471" t="n">
        <v>1.8</v>
      </c>
      <c r="H471" t="n">
        <v>0</v>
      </c>
      <c r="I471" t="n">
        <v>0</v>
      </c>
      <c r="J471" t="n">
        <v>0</v>
      </c>
      <c r="K471" t="n">
        <v>0</v>
      </c>
      <c r="L471" t="n">
        <v>0</v>
      </c>
      <c r="M471" t="n">
        <v>0</v>
      </c>
      <c r="N471" t="n">
        <v>0</v>
      </c>
      <c r="O471" t="n">
        <v>0</v>
      </c>
      <c r="P471" t="n">
        <v>0</v>
      </c>
      <c r="Q471" t="n">
        <v>0</v>
      </c>
      <c r="R471" s="2" t="inlineStr"/>
    </row>
    <row r="472" ht="15" customHeight="1">
      <c r="A472" t="inlineStr">
        <is>
          <t>A 16051-2023</t>
        </is>
      </c>
      <c r="B472" s="1" t="n">
        <v>45027</v>
      </c>
      <c r="C472" s="1" t="n">
        <v>45966</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63514-2023</t>
        </is>
      </c>
      <c r="B473" s="1" t="n">
        <v>45274</v>
      </c>
      <c r="C473" s="1" t="n">
        <v>45966</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2311-2021</t>
        </is>
      </c>
      <c r="B474" s="1" t="n">
        <v>44213</v>
      </c>
      <c r="C474" s="1" t="n">
        <v>45966</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25096-2025</t>
        </is>
      </c>
      <c r="B475" s="1" t="n">
        <v>45800.33868055556</v>
      </c>
      <c r="C475" s="1" t="n">
        <v>45966</v>
      </c>
      <c r="D475" t="inlineStr">
        <is>
          <t>DALARNAS LÄN</t>
        </is>
      </c>
      <c r="E475" t="inlineStr">
        <is>
          <t>LEKSAND</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31255-2023</t>
        </is>
      </c>
      <c r="B476" s="1" t="n">
        <v>45114.36729166667</v>
      </c>
      <c r="C476" s="1" t="n">
        <v>45966</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46446-2023</t>
        </is>
      </c>
      <c r="B477" s="1" t="n">
        <v>45197.59344907408</v>
      </c>
      <c r="C477" s="1" t="n">
        <v>45966</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52100-2024</t>
        </is>
      </c>
      <c r="B478" s="1" t="n">
        <v>45608.41634259259</v>
      </c>
      <c r="C478" s="1" t="n">
        <v>45966</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22388-2024</t>
        </is>
      </c>
      <c r="B479" s="1" t="n">
        <v>45446</v>
      </c>
      <c r="C479" s="1" t="n">
        <v>45966</v>
      </c>
      <c r="D479" t="inlineStr">
        <is>
          <t>DALARNAS LÄN</t>
        </is>
      </c>
      <c r="E479" t="inlineStr">
        <is>
          <t>LEKSAND</t>
        </is>
      </c>
      <c r="F479" t="inlineStr">
        <is>
          <t>Bergvik skog väst AB</t>
        </is>
      </c>
      <c r="G479" t="n">
        <v>5.3</v>
      </c>
      <c r="H479" t="n">
        <v>0</v>
      </c>
      <c r="I479" t="n">
        <v>0</v>
      </c>
      <c r="J479" t="n">
        <v>0</v>
      </c>
      <c r="K479" t="n">
        <v>0</v>
      </c>
      <c r="L479" t="n">
        <v>0</v>
      </c>
      <c r="M479" t="n">
        <v>0</v>
      </c>
      <c r="N479" t="n">
        <v>0</v>
      </c>
      <c r="O479" t="n">
        <v>0</v>
      </c>
      <c r="P479" t="n">
        <v>0</v>
      </c>
      <c r="Q479" t="n">
        <v>0</v>
      </c>
      <c r="R479" s="2" t="inlineStr"/>
    </row>
    <row r="480" ht="15" customHeight="1">
      <c r="A480" t="inlineStr">
        <is>
          <t>A 53981-2024</t>
        </is>
      </c>
      <c r="B480" s="1" t="n">
        <v>45615</v>
      </c>
      <c r="C480" s="1" t="n">
        <v>45966</v>
      </c>
      <c r="D480" t="inlineStr">
        <is>
          <t>DALARNAS LÄN</t>
        </is>
      </c>
      <c r="E480" t="inlineStr">
        <is>
          <t>LEKSAND</t>
        </is>
      </c>
      <c r="G480" t="n">
        <v>5.4</v>
      </c>
      <c r="H480" t="n">
        <v>0</v>
      </c>
      <c r="I480" t="n">
        <v>0</v>
      </c>
      <c r="J480" t="n">
        <v>0</v>
      </c>
      <c r="K480" t="n">
        <v>0</v>
      </c>
      <c r="L480" t="n">
        <v>0</v>
      </c>
      <c r="M480" t="n">
        <v>0</v>
      </c>
      <c r="N480" t="n">
        <v>0</v>
      </c>
      <c r="O480" t="n">
        <v>0</v>
      </c>
      <c r="P480" t="n">
        <v>0</v>
      </c>
      <c r="Q480" t="n">
        <v>0</v>
      </c>
      <c r="R480" s="2" t="inlineStr"/>
    </row>
    <row r="481" ht="15" customHeight="1">
      <c r="A481" t="inlineStr">
        <is>
          <t>A 31728-2024</t>
        </is>
      </c>
      <c r="B481" s="1" t="n">
        <v>45509.34517361111</v>
      </c>
      <c r="C481" s="1" t="n">
        <v>45966</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48644-2023</t>
        </is>
      </c>
      <c r="B482" s="1" t="n">
        <v>45208.58997685185</v>
      </c>
      <c r="C482" s="1" t="n">
        <v>45966</v>
      </c>
      <c r="D482" t="inlineStr">
        <is>
          <t>DALARNAS LÄN</t>
        </is>
      </c>
      <c r="E482" t="inlineStr">
        <is>
          <t>LEKSAND</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34033-2024</t>
        </is>
      </c>
      <c r="B483" s="1" t="n">
        <v>45523.59265046296</v>
      </c>
      <c r="C483" s="1" t="n">
        <v>45966</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26423-2025</t>
        </is>
      </c>
      <c r="B484" s="1" t="n">
        <v>45807.37829861111</v>
      </c>
      <c r="C484" s="1" t="n">
        <v>45966</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26386-2025</t>
        </is>
      </c>
      <c r="B485" s="1" t="n">
        <v>45806</v>
      </c>
      <c r="C485" s="1" t="n">
        <v>45966</v>
      </c>
      <c r="D485" t="inlineStr">
        <is>
          <t>DALARNAS LÄN</t>
        </is>
      </c>
      <c r="E485" t="inlineStr">
        <is>
          <t>LEKSAND</t>
        </is>
      </c>
      <c r="F485" t="inlineStr">
        <is>
          <t>Bergvik skog väst AB</t>
        </is>
      </c>
      <c r="G485" t="n">
        <v>26.3</v>
      </c>
      <c r="H485" t="n">
        <v>0</v>
      </c>
      <c r="I485" t="n">
        <v>0</v>
      </c>
      <c r="J485" t="n">
        <v>0</v>
      </c>
      <c r="K485" t="n">
        <v>0</v>
      </c>
      <c r="L485" t="n">
        <v>0</v>
      </c>
      <c r="M485" t="n">
        <v>0</v>
      </c>
      <c r="N485" t="n">
        <v>0</v>
      </c>
      <c r="O485" t="n">
        <v>0</v>
      </c>
      <c r="P485" t="n">
        <v>0</v>
      </c>
      <c r="Q485" t="n">
        <v>0</v>
      </c>
      <c r="R485" s="2" t="inlineStr"/>
    </row>
    <row r="486" ht="15" customHeight="1">
      <c r="A486" t="inlineStr">
        <is>
          <t>A 14504-2025</t>
        </is>
      </c>
      <c r="B486" s="1" t="n">
        <v>45741</v>
      </c>
      <c r="C486" s="1" t="n">
        <v>45966</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64516-2023</t>
        </is>
      </c>
      <c r="B487" s="1" t="n">
        <v>45280</v>
      </c>
      <c r="C487" s="1" t="n">
        <v>45966</v>
      </c>
      <c r="D487" t="inlineStr">
        <is>
          <t>DALARNAS LÄN</t>
        </is>
      </c>
      <c r="E487" t="inlineStr">
        <is>
          <t>LEKSAND</t>
        </is>
      </c>
      <c r="G487" t="n">
        <v>4.4</v>
      </c>
      <c r="H487" t="n">
        <v>0</v>
      </c>
      <c r="I487" t="n">
        <v>0</v>
      </c>
      <c r="J487" t="n">
        <v>0</v>
      </c>
      <c r="K487" t="n">
        <v>0</v>
      </c>
      <c r="L487" t="n">
        <v>0</v>
      </c>
      <c r="M487" t="n">
        <v>0</v>
      </c>
      <c r="N487" t="n">
        <v>0</v>
      </c>
      <c r="O487" t="n">
        <v>0</v>
      </c>
      <c r="P487" t="n">
        <v>0</v>
      </c>
      <c r="Q487" t="n">
        <v>0</v>
      </c>
      <c r="R487" s="2" t="inlineStr"/>
    </row>
    <row r="488" ht="15" customHeight="1">
      <c r="A488" t="inlineStr">
        <is>
          <t>A 45788-2021</t>
        </is>
      </c>
      <c r="B488" s="1" t="n">
        <v>44441</v>
      </c>
      <c r="C488" s="1" t="n">
        <v>45966</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25329-2022</t>
        </is>
      </c>
      <c r="B489" s="1" t="n">
        <v>44731.8799537037</v>
      </c>
      <c r="C489" s="1" t="n">
        <v>45966</v>
      </c>
      <c r="D489" t="inlineStr">
        <is>
          <t>DALARNAS LÄN</t>
        </is>
      </c>
      <c r="E489" t="inlineStr">
        <is>
          <t>LEKSAND</t>
        </is>
      </c>
      <c r="G489" t="n">
        <v>1.4</v>
      </c>
      <c r="H489" t="n">
        <v>0</v>
      </c>
      <c r="I489" t="n">
        <v>0</v>
      </c>
      <c r="J489" t="n">
        <v>0</v>
      </c>
      <c r="K489" t="n">
        <v>0</v>
      </c>
      <c r="L489" t="n">
        <v>0</v>
      </c>
      <c r="M489" t="n">
        <v>0</v>
      </c>
      <c r="N489" t="n">
        <v>0</v>
      </c>
      <c r="O489" t="n">
        <v>0</v>
      </c>
      <c r="P489" t="n">
        <v>0</v>
      </c>
      <c r="Q489" t="n">
        <v>0</v>
      </c>
      <c r="R489" s="2" t="inlineStr"/>
    </row>
    <row r="490" ht="15" customHeight="1">
      <c r="A490" t="inlineStr">
        <is>
          <t>A 52977-2022</t>
        </is>
      </c>
      <c r="B490" s="1" t="n">
        <v>44875</v>
      </c>
      <c r="C490" s="1" t="n">
        <v>45966</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325-2023</t>
        </is>
      </c>
      <c r="B491" s="1" t="n">
        <v>44929</v>
      </c>
      <c r="C491" s="1" t="n">
        <v>45966</v>
      </c>
      <c r="D491" t="inlineStr">
        <is>
          <t>DALARNAS LÄN</t>
        </is>
      </c>
      <c r="E491" t="inlineStr">
        <is>
          <t>LEKSAND</t>
        </is>
      </c>
      <c r="F491" t="inlineStr">
        <is>
          <t>Övriga Aktiebolag</t>
        </is>
      </c>
      <c r="G491" t="n">
        <v>7.1</v>
      </c>
      <c r="H491" t="n">
        <v>0</v>
      </c>
      <c r="I491" t="n">
        <v>0</v>
      </c>
      <c r="J491" t="n">
        <v>0</v>
      </c>
      <c r="K491" t="n">
        <v>0</v>
      </c>
      <c r="L491" t="n">
        <v>0</v>
      </c>
      <c r="M491" t="n">
        <v>0</v>
      </c>
      <c r="N491" t="n">
        <v>0</v>
      </c>
      <c r="O491" t="n">
        <v>0</v>
      </c>
      <c r="P491" t="n">
        <v>0</v>
      </c>
      <c r="Q491" t="n">
        <v>0</v>
      </c>
      <c r="R491" s="2" t="inlineStr"/>
    </row>
    <row r="492" ht="15" customHeight="1">
      <c r="A492" t="inlineStr">
        <is>
          <t>A 27323-2025</t>
        </is>
      </c>
      <c r="B492" s="1" t="n">
        <v>45812.60392361111</v>
      </c>
      <c r="C492" s="1" t="n">
        <v>45966</v>
      </c>
      <c r="D492" t="inlineStr">
        <is>
          <t>DALARNAS LÄN</t>
        </is>
      </c>
      <c r="E492" t="inlineStr">
        <is>
          <t>LEKSAND</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43221-2024</t>
        </is>
      </c>
      <c r="B493" s="1" t="n">
        <v>45567.86695601852</v>
      </c>
      <c r="C493" s="1" t="n">
        <v>45966</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27262-2025</t>
        </is>
      </c>
      <c r="B494" s="1" t="n">
        <v>45812</v>
      </c>
      <c r="C494" s="1" t="n">
        <v>45966</v>
      </c>
      <c r="D494" t="inlineStr">
        <is>
          <t>DALARNAS LÄN</t>
        </is>
      </c>
      <c r="E494" t="inlineStr">
        <is>
          <t>LEKSAND</t>
        </is>
      </c>
      <c r="F494" t="inlineStr">
        <is>
          <t>Bergvik skog väst AB</t>
        </is>
      </c>
      <c r="G494" t="n">
        <v>7.7</v>
      </c>
      <c r="H494" t="n">
        <v>0</v>
      </c>
      <c r="I494" t="n">
        <v>0</v>
      </c>
      <c r="J494" t="n">
        <v>0</v>
      </c>
      <c r="K494" t="n">
        <v>0</v>
      </c>
      <c r="L494" t="n">
        <v>0</v>
      </c>
      <c r="M494" t="n">
        <v>0</v>
      </c>
      <c r="N494" t="n">
        <v>0</v>
      </c>
      <c r="O494" t="n">
        <v>0</v>
      </c>
      <c r="P494" t="n">
        <v>0</v>
      </c>
      <c r="Q494" t="n">
        <v>0</v>
      </c>
      <c r="R494" s="2" t="inlineStr"/>
    </row>
    <row r="495" ht="15" customHeight="1">
      <c r="A495" t="inlineStr">
        <is>
          <t>A 27332-2025</t>
        </is>
      </c>
      <c r="B495" s="1" t="n">
        <v>45812.61265046296</v>
      </c>
      <c r="C495" s="1" t="n">
        <v>45966</v>
      </c>
      <c r="D495" t="inlineStr">
        <is>
          <t>DALARNAS LÄN</t>
        </is>
      </c>
      <c r="E495" t="inlineStr">
        <is>
          <t>LEKSAND</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27183-2025</t>
        </is>
      </c>
      <c r="B496" s="1" t="n">
        <v>45812.36097222222</v>
      </c>
      <c r="C496" s="1" t="n">
        <v>45966</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17589-2025</t>
        </is>
      </c>
      <c r="B497" s="1" t="n">
        <v>45757.67844907408</v>
      </c>
      <c r="C497" s="1" t="n">
        <v>45966</v>
      </c>
      <c r="D497" t="inlineStr">
        <is>
          <t>DALARNAS LÄN</t>
        </is>
      </c>
      <c r="E497" t="inlineStr">
        <is>
          <t>LEKSAND</t>
        </is>
      </c>
      <c r="G497" t="n">
        <v>5.8</v>
      </c>
      <c r="H497" t="n">
        <v>0</v>
      </c>
      <c r="I497" t="n">
        <v>0</v>
      </c>
      <c r="J497" t="n">
        <v>0</v>
      </c>
      <c r="K497" t="n">
        <v>0</v>
      </c>
      <c r="L497" t="n">
        <v>0</v>
      </c>
      <c r="M497" t="n">
        <v>0</v>
      </c>
      <c r="N497" t="n">
        <v>0</v>
      </c>
      <c r="O497" t="n">
        <v>0</v>
      </c>
      <c r="P497" t="n">
        <v>0</v>
      </c>
      <c r="Q497" t="n">
        <v>0</v>
      </c>
      <c r="R497" s="2" t="inlineStr"/>
    </row>
    <row r="498" ht="15" customHeight="1">
      <c r="A498" t="inlineStr">
        <is>
          <t>A 27680-2025</t>
        </is>
      </c>
      <c r="B498" s="1" t="n">
        <v>45813.64618055556</v>
      </c>
      <c r="C498" s="1" t="n">
        <v>45966</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29157-2022</t>
        </is>
      </c>
      <c r="B499" s="1" t="n">
        <v>44750.48355324074</v>
      </c>
      <c r="C499" s="1" t="n">
        <v>45966</v>
      </c>
      <c r="D499" t="inlineStr">
        <is>
          <t>DALARNAS LÄN</t>
        </is>
      </c>
      <c r="E499" t="inlineStr">
        <is>
          <t>LEKSAND</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11080-2023</t>
        </is>
      </c>
      <c r="B500" s="1" t="n">
        <v>44992</v>
      </c>
      <c r="C500" s="1" t="n">
        <v>45966</v>
      </c>
      <c r="D500" t="inlineStr">
        <is>
          <t>DALARNAS LÄN</t>
        </is>
      </c>
      <c r="E500" t="inlineStr">
        <is>
          <t>LEKSAND</t>
        </is>
      </c>
      <c r="G500" t="n">
        <v>6.9</v>
      </c>
      <c r="H500" t="n">
        <v>0</v>
      </c>
      <c r="I500" t="n">
        <v>0</v>
      </c>
      <c r="J500" t="n">
        <v>0</v>
      </c>
      <c r="K500" t="n">
        <v>0</v>
      </c>
      <c r="L500" t="n">
        <v>0</v>
      </c>
      <c r="M500" t="n">
        <v>0</v>
      </c>
      <c r="N500" t="n">
        <v>0</v>
      </c>
      <c r="O500" t="n">
        <v>0</v>
      </c>
      <c r="P500" t="n">
        <v>0</v>
      </c>
      <c r="Q500" t="n">
        <v>0</v>
      </c>
      <c r="R500" s="2" t="inlineStr"/>
    </row>
    <row r="501" ht="15" customHeight="1">
      <c r="A501" t="inlineStr">
        <is>
          <t>A 320-2023</t>
        </is>
      </c>
      <c r="B501" s="1" t="n">
        <v>44929</v>
      </c>
      <c r="C501" s="1" t="n">
        <v>45966</v>
      </c>
      <c r="D501" t="inlineStr">
        <is>
          <t>DALARNAS LÄN</t>
        </is>
      </c>
      <c r="E501" t="inlineStr">
        <is>
          <t>LEKSAND</t>
        </is>
      </c>
      <c r="F501" t="inlineStr">
        <is>
          <t>Övriga Aktiebolag</t>
        </is>
      </c>
      <c r="G501" t="n">
        <v>5.4</v>
      </c>
      <c r="H501" t="n">
        <v>0</v>
      </c>
      <c r="I501" t="n">
        <v>0</v>
      </c>
      <c r="J501" t="n">
        <v>0</v>
      </c>
      <c r="K501" t="n">
        <v>0</v>
      </c>
      <c r="L501" t="n">
        <v>0</v>
      </c>
      <c r="M501" t="n">
        <v>0</v>
      </c>
      <c r="N501" t="n">
        <v>0</v>
      </c>
      <c r="O501" t="n">
        <v>0</v>
      </c>
      <c r="P501" t="n">
        <v>0</v>
      </c>
      <c r="Q501" t="n">
        <v>0</v>
      </c>
      <c r="R501" s="2" t="inlineStr"/>
    </row>
    <row r="502" ht="15" customHeight="1">
      <c r="A502" t="inlineStr">
        <is>
          <t>A 40181-2023</t>
        </is>
      </c>
      <c r="B502" s="1" t="n">
        <v>45169</v>
      </c>
      <c r="C502" s="1" t="n">
        <v>45966</v>
      </c>
      <c r="D502" t="inlineStr">
        <is>
          <t>DALARNAS LÄN</t>
        </is>
      </c>
      <c r="E502" t="inlineStr">
        <is>
          <t>LEKSAND</t>
        </is>
      </c>
      <c r="G502" t="n">
        <v>2.8</v>
      </c>
      <c r="H502" t="n">
        <v>0</v>
      </c>
      <c r="I502" t="n">
        <v>0</v>
      </c>
      <c r="J502" t="n">
        <v>0</v>
      </c>
      <c r="K502" t="n">
        <v>0</v>
      </c>
      <c r="L502" t="n">
        <v>0</v>
      </c>
      <c r="M502" t="n">
        <v>0</v>
      </c>
      <c r="N502" t="n">
        <v>0</v>
      </c>
      <c r="O502" t="n">
        <v>0</v>
      </c>
      <c r="P502" t="n">
        <v>0</v>
      </c>
      <c r="Q502" t="n">
        <v>0</v>
      </c>
      <c r="R502" s="2" t="inlineStr"/>
    </row>
    <row r="503" ht="15" customHeight="1">
      <c r="A503" t="inlineStr">
        <is>
          <t>A 27682-2025</t>
        </is>
      </c>
      <c r="B503" s="1" t="n">
        <v>45813.64782407408</v>
      </c>
      <c r="C503" s="1" t="n">
        <v>45966</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27705-2025</t>
        </is>
      </c>
      <c r="B504" s="1" t="n">
        <v>45813</v>
      </c>
      <c r="C504" s="1" t="n">
        <v>45966</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27329-2025</t>
        </is>
      </c>
      <c r="B505" s="1" t="n">
        <v>45812.60864583333</v>
      </c>
      <c r="C505" s="1" t="n">
        <v>45966</v>
      </c>
      <c r="D505" t="inlineStr">
        <is>
          <t>DALARNAS LÄN</t>
        </is>
      </c>
      <c r="E505" t="inlineStr">
        <is>
          <t>LEKSAND</t>
        </is>
      </c>
      <c r="F505" t="inlineStr">
        <is>
          <t>Bergvik skog väst AB</t>
        </is>
      </c>
      <c r="G505" t="n">
        <v>3</v>
      </c>
      <c r="H505" t="n">
        <v>0</v>
      </c>
      <c r="I505" t="n">
        <v>0</v>
      </c>
      <c r="J505" t="n">
        <v>0</v>
      </c>
      <c r="K505" t="n">
        <v>0</v>
      </c>
      <c r="L505" t="n">
        <v>0</v>
      </c>
      <c r="M505" t="n">
        <v>0</v>
      </c>
      <c r="N505" t="n">
        <v>0</v>
      </c>
      <c r="O505" t="n">
        <v>0</v>
      </c>
      <c r="P505" t="n">
        <v>0</v>
      </c>
      <c r="Q505" t="n">
        <v>0</v>
      </c>
      <c r="R505" s="2" t="inlineStr"/>
    </row>
    <row r="506" ht="15" customHeight="1">
      <c r="A506" t="inlineStr">
        <is>
          <t>A 63544-2023</t>
        </is>
      </c>
      <c r="B506" s="1" t="n">
        <v>45275</v>
      </c>
      <c r="C506" s="1" t="n">
        <v>45966</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58877-2023</t>
        </is>
      </c>
      <c r="B507" s="1" t="n">
        <v>45252</v>
      </c>
      <c r="C507" s="1" t="n">
        <v>45966</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51377-2023</t>
        </is>
      </c>
      <c r="B508" s="1" t="n">
        <v>45219</v>
      </c>
      <c r="C508" s="1" t="n">
        <v>45966</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59236-2024</t>
        </is>
      </c>
      <c r="B509" s="1" t="n">
        <v>45637.58795138889</v>
      </c>
      <c r="C509" s="1" t="n">
        <v>45966</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27984-2025</t>
        </is>
      </c>
      <c r="B510" s="1" t="n">
        <v>45817.57710648148</v>
      </c>
      <c r="C510" s="1" t="n">
        <v>45966</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52572-2024</t>
        </is>
      </c>
      <c r="B511" s="1" t="n">
        <v>45609.66488425926</v>
      </c>
      <c r="C511" s="1" t="n">
        <v>45966</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41853-2023</t>
        </is>
      </c>
      <c r="B512" s="1" t="n">
        <v>45176.62483796296</v>
      </c>
      <c r="C512" s="1" t="n">
        <v>45966</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28499-2025</t>
        </is>
      </c>
      <c r="B513" s="1" t="n">
        <v>45818</v>
      </c>
      <c r="C513" s="1" t="n">
        <v>45966</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28483-2025</t>
        </is>
      </c>
      <c r="B514" s="1" t="n">
        <v>45818</v>
      </c>
      <c r="C514" s="1" t="n">
        <v>45966</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28458-2025</t>
        </is>
      </c>
      <c r="B515" s="1" t="n">
        <v>45819.413125</v>
      </c>
      <c r="C515" s="1" t="n">
        <v>45966</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27520-2023</t>
        </is>
      </c>
      <c r="B516" s="1" t="n">
        <v>45097</v>
      </c>
      <c r="C516" s="1" t="n">
        <v>45966</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55926-2024</t>
        </is>
      </c>
      <c r="B517" s="1" t="n">
        <v>45623.601875</v>
      </c>
      <c r="C517" s="1" t="n">
        <v>45966</v>
      </c>
      <c r="D517" t="inlineStr">
        <is>
          <t>DALARNAS LÄN</t>
        </is>
      </c>
      <c r="E517" t="inlineStr">
        <is>
          <t>LEKSAND</t>
        </is>
      </c>
      <c r="G517" t="n">
        <v>0.6</v>
      </c>
      <c r="H517" t="n">
        <v>0</v>
      </c>
      <c r="I517" t="n">
        <v>0</v>
      </c>
      <c r="J517" t="n">
        <v>0</v>
      </c>
      <c r="K517" t="n">
        <v>0</v>
      </c>
      <c r="L517" t="n">
        <v>0</v>
      </c>
      <c r="M517" t="n">
        <v>0</v>
      </c>
      <c r="N517" t="n">
        <v>0</v>
      </c>
      <c r="O517" t="n">
        <v>0</v>
      </c>
      <c r="P517" t="n">
        <v>0</v>
      </c>
      <c r="Q517" t="n">
        <v>0</v>
      </c>
      <c r="R517" s="2" t="inlineStr"/>
    </row>
    <row r="518" ht="15" customHeight="1">
      <c r="A518" t="inlineStr">
        <is>
          <t>A 28505-2025</t>
        </is>
      </c>
      <c r="B518" s="1" t="n">
        <v>45818</v>
      </c>
      <c r="C518" s="1" t="n">
        <v>45966</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28488-2025</t>
        </is>
      </c>
      <c r="B519" s="1" t="n">
        <v>45818</v>
      </c>
      <c r="C519" s="1" t="n">
        <v>45966</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49405-2024</t>
        </is>
      </c>
      <c r="B520" s="1" t="n">
        <v>45595</v>
      </c>
      <c r="C520" s="1" t="n">
        <v>45966</v>
      </c>
      <c r="D520" t="inlineStr">
        <is>
          <t>DALARNAS LÄN</t>
        </is>
      </c>
      <c r="E520" t="inlineStr">
        <is>
          <t>LEKSAND</t>
        </is>
      </c>
      <c r="G520" t="n">
        <v>0.7</v>
      </c>
      <c r="H520" t="n">
        <v>0</v>
      </c>
      <c r="I520" t="n">
        <v>0</v>
      </c>
      <c r="J520" t="n">
        <v>0</v>
      </c>
      <c r="K520" t="n">
        <v>0</v>
      </c>
      <c r="L520" t="n">
        <v>0</v>
      </c>
      <c r="M520" t="n">
        <v>0</v>
      </c>
      <c r="N520" t="n">
        <v>0</v>
      </c>
      <c r="O520" t="n">
        <v>0</v>
      </c>
      <c r="P520" t="n">
        <v>0</v>
      </c>
      <c r="Q520" t="n">
        <v>0</v>
      </c>
      <c r="R520" s="2" t="inlineStr"/>
    </row>
    <row r="521" ht="15" customHeight="1">
      <c r="A521" t="inlineStr">
        <is>
          <t>A 28770-2025</t>
        </is>
      </c>
      <c r="B521" s="1" t="n">
        <v>45820</v>
      </c>
      <c r="C521" s="1" t="n">
        <v>45966</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33317-2023</t>
        </is>
      </c>
      <c r="B522" s="1" t="n">
        <v>45127.84586805556</v>
      </c>
      <c r="C522" s="1" t="n">
        <v>45966</v>
      </c>
      <c r="D522" t="inlineStr">
        <is>
          <t>DALARNAS LÄN</t>
        </is>
      </c>
      <c r="E522" t="inlineStr">
        <is>
          <t>LEKSAND</t>
        </is>
      </c>
      <c r="G522" t="n">
        <v>2.7</v>
      </c>
      <c r="H522" t="n">
        <v>0</v>
      </c>
      <c r="I522" t="n">
        <v>0</v>
      </c>
      <c r="J522" t="n">
        <v>0</v>
      </c>
      <c r="K522" t="n">
        <v>0</v>
      </c>
      <c r="L522" t="n">
        <v>0</v>
      </c>
      <c r="M522" t="n">
        <v>0</v>
      </c>
      <c r="N522" t="n">
        <v>0</v>
      </c>
      <c r="O522" t="n">
        <v>0</v>
      </c>
      <c r="P522" t="n">
        <v>0</v>
      </c>
      <c r="Q522" t="n">
        <v>0</v>
      </c>
      <c r="R522" s="2" t="inlineStr"/>
    </row>
    <row r="523" ht="15" customHeight="1">
      <c r="A523" t="inlineStr">
        <is>
          <t>A 33318-2023</t>
        </is>
      </c>
      <c r="B523" s="1" t="n">
        <v>45127</v>
      </c>
      <c r="C523" s="1" t="n">
        <v>45966</v>
      </c>
      <c r="D523" t="inlineStr">
        <is>
          <t>DALARNAS LÄN</t>
        </is>
      </c>
      <c r="E523" t="inlineStr">
        <is>
          <t>LEKSAND</t>
        </is>
      </c>
      <c r="G523" t="n">
        <v>5.5</v>
      </c>
      <c r="H523" t="n">
        <v>0</v>
      </c>
      <c r="I523" t="n">
        <v>0</v>
      </c>
      <c r="J523" t="n">
        <v>0</v>
      </c>
      <c r="K523" t="n">
        <v>0</v>
      </c>
      <c r="L523" t="n">
        <v>0</v>
      </c>
      <c r="M523" t="n">
        <v>0</v>
      </c>
      <c r="N523" t="n">
        <v>0</v>
      </c>
      <c r="O523" t="n">
        <v>0</v>
      </c>
      <c r="P523" t="n">
        <v>0</v>
      </c>
      <c r="Q523" t="n">
        <v>0</v>
      </c>
      <c r="R523" s="2" t="inlineStr"/>
    </row>
    <row r="524" ht="15" customHeight="1">
      <c r="A524" t="inlineStr">
        <is>
          <t>A 61055-2023</t>
        </is>
      </c>
      <c r="B524" s="1" t="n">
        <v>45261</v>
      </c>
      <c r="C524" s="1" t="n">
        <v>45966</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28985-2025</t>
        </is>
      </c>
      <c r="B525" s="1" t="n">
        <v>45821.36862268519</v>
      </c>
      <c r="C525" s="1" t="n">
        <v>45966</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34038-2024</t>
        </is>
      </c>
      <c r="B526" s="1" t="n">
        <v>45523.59578703704</v>
      </c>
      <c r="C526" s="1" t="n">
        <v>45966</v>
      </c>
      <c r="D526" t="inlineStr">
        <is>
          <t>DALARNAS LÄN</t>
        </is>
      </c>
      <c r="E526" t="inlineStr">
        <is>
          <t>LEKSAND</t>
        </is>
      </c>
      <c r="G526" t="n">
        <v>0.3</v>
      </c>
      <c r="H526" t="n">
        <v>0</v>
      </c>
      <c r="I526" t="n">
        <v>0</v>
      </c>
      <c r="J526" t="n">
        <v>0</v>
      </c>
      <c r="K526" t="n">
        <v>0</v>
      </c>
      <c r="L526" t="n">
        <v>0</v>
      </c>
      <c r="M526" t="n">
        <v>0</v>
      </c>
      <c r="N526" t="n">
        <v>0</v>
      </c>
      <c r="O526" t="n">
        <v>0</v>
      </c>
      <c r="P526" t="n">
        <v>0</v>
      </c>
      <c r="Q526" t="n">
        <v>0</v>
      </c>
      <c r="R526" s="2" t="inlineStr"/>
    </row>
    <row r="527" ht="15" customHeight="1">
      <c r="A527" t="inlineStr">
        <is>
          <t>A 34041-2024</t>
        </is>
      </c>
      <c r="B527" s="1" t="n">
        <v>45523.59895833334</v>
      </c>
      <c r="C527" s="1" t="n">
        <v>45966</v>
      </c>
      <c r="D527" t="inlineStr">
        <is>
          <t>DALARNAS LÄN</t>
        </is>
      </c>
      <c r="E527" t="inlineStr">
        <is>
          <t>LEKSAND</t>
        </is>
      </c>
      <c r="G527" t="n">
        <v>4</v>
      </c>
      <c r="H527" t="n">
        <v>0</v>
      </c>
      <c r="I527" t="n">
        <v>0</v>
      </c>
      <c r="J527" t="n">
        <v>0</v>
      </c>
      <c r="K527" t="n">
        <v>0</v>
      </c>
      <c r="L527" t="n">
        <v>0</v>
      </c>
      <c r="M527" t="n">
        <v>0</v>
      </c>
      <c r="N527" t="n">
        <v>0</v>
      </c>
      <c r="O527" t="n">
        <v>0</v>
      </c>
      <c r="P527" t="n">
        <v>0</v>
      </c>
      <c r="Q527" t="n">
        <v>0</v>
      </c>
      <c r="R527" s="2" t="inlineStr"/>
    </row>
    <row r="528" ht="15" customHeight="1">
      <c r="A528" t="inlineStr">
        <is>
          <t>A 17078-2023</t>
        </is>
      </c>
      <c r="B528" s="1" t="n">
        <v>45034</v>
      </c>
      <c r="C528" s="1" t="n">
        <v>45966</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29553-2025</t>
        </is>
      </c>
      <c r="B529" s="1" t="n">
        <v>45825.35315972222</v>
      </c>
      <c r="C529" s="1" t="n">
        <v>45966</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11110-2023</t>
        </is>
      </c>
      <c r="B530" s="1" t="n">
        <v>44992</v>
      </c>
      <c r="C530" s="1" t="n">
        <v>45966</v>
      </c>
      <c r="D530" t="inlineStr">
        <is>
          <t>DALARNAS LÄN</t>
        </is>
      </c>
      <c r="E530" t="inlineStr">
        <is>
          <t>LEKSAND</t>
        </is>
      </c>
      <c r="G530" t="n">
        <v>11.2</v>
      </c>
      <c r="H530" t="n">
        <v>0</v>
      </c>
      <c r="I530" t="n">
        <v>0</v>
      </c>
      <c r="J530" t="n">
        <v>0</v>
      </c>
      <c r="K530" t="n">
        <v>0</v>
      </c>
      <c r="L530" t="n">
        <v>0</v>
      </c>
      <c r="M530" t="n">
        <v>0</v>
      </c>
      <c r="N530" t="n">
        <v>0</v>
      </c>
      <c r="O530" t="n">
        <v>0</v>
      </c>
      <c r="P530" t="n">
        <v>0</v>
      </c>
      <c r="Q530" t="n">
        <v>0</v>
      </c>
      <c r="R530" s="2" t="inlineStr"/>
    </row>
    <row r="531" ht="15" customHeight="1">
      <c r="A531" t="inlineStr">
        <is>
          <t>A 23896-2024</t>
        </is>
      </c>
      <c r="B531" s="1" t="n">
        <v>45455.6758449074</v>
      </c>
      <c r="C531" s="1" t="n">
        <v>45966</v>
      </c>
      <c r="D531" t="inlineStr">
        <is>
          <t>DALARNAS LÄN</t>
        </is>
      </c>
      <c r="E531" t="inlineStr">
        <is>
          <t>LEKSAND</t>
        </is>
      </c>
      <c r="F531" t="inlineStr">
        <is>
          <t>Övriga Aktiebolag</t>
        </is>
      </c>
      <c r="G531" t="n">
        <v>0.9</v>
      </c>
      <c r="H531" t="n">
        <v>0</v>
      </c>
      <c r="I531" t="n">
        <v>0</v>
      </c>
      <c r="J531" t="n">
        <v>0</v>
      </c>
      <c r="K531" t="n">
        <v>0</v>
      </c>
      <c r="L531" t="n">
        <v>0</v>
      </c>
      <c r="M531" t="n">
        <v>0</v>
      </c>
      <c r="N531" t="n">
        <v>0</v>
      </c>
      <c r="O531" t="n">
        <v>0</v>
      </c>
      <c r="P531" t="n">
        <v>0</v>
      </c>
      <c r="Q531" t="n">
        <v>0</v>
      </c>
      <c r="R531" s="2" t="inlineStr"/>
    </row>
    <row r="532" ht="15" customHeight="1">
      <c r="A532" t="inlineStr">
        <is>
          <t>A 29005-2025</t>
        </is>
      </c>
      <c r="B532" s="1" t="n">
        <v>45821.39326388889</v>
      </c>
      <c r="C532" s="1" t="n">
        <v>45966</v>
      </c>
      <c r="D532" t="inlineStr">
        <is>
          <t>DALARNAS LÄN</t>
        </is>
      </c>
      <c r="E532" t="inlineStr">
        <is>
          <t>LEKSAND</t>
        </is>
      </c>
      <c r="G532" t="n">
        <v>2.1</v>
      </c>
      <c r="H532" t="n">
        <v>0</v>
      </c>
      <c r="I532" t="n">
        <v>0</v>
      </c>
      <c r="J532" t="n">
        <v>0</v>
      </c>
      <c r="K532" t="n">
        <v>0</v>
      </c>
      <c r="L532" t="n">
        <v>0</v>
      </c>
      <c r="M532" t="n">
        <v>0</v>
      </c>
      <c r="N532" t="n">
        <v>0</v>
      </c>
      <c r="O532" t="n">
        <v>0</v>
      </c>
      <c r="P532" t="n">
        <v>0</v>
      </c>
      <c r="Q532" t="n">
        <v>0</v>
      </c>
      <c r="R532" s="2" t="inlineStr"/>
    </row>
    <row r="533" ht="15" customHeight="1">
      <c r="A533" t="inlineStr">
        <is>
          <t>A 56059-2024</t>
        </is>
      </c>
      <c r="B533" s="1" t="n">
        <v>45624.36729166667</v>
      </c>
      <c r="C533" s="1" t="n">
        <v>45966</v>
      </c>
      <c r="D533" t="inlineStr">
        <is>
          <t>DALARNAS LÄN</t>
        </is>
      </c>
      <c r="E533" t="inlineStr">
        <is>
          <t>LEKSAND</t>
        </is>
      </c>
      <c r="G533" t="n">
        <v>3.1</v>
      </c>
      <c r="H533" t="n">
        <v>0</v>
      </c>
      <c r="I533" t="n">
        <v>0</v>
      </c>
      <c r="J533" t="n">
        <v>0</v>
      </c>
      <c r="K533" t="n">
        <v>0</v>
      </c>
      <c r="L533" t="n">
        <v>0</v>
      </c>
      <c r="M533" t="n">
        <v>0</v>
      </c>
      <c r="N533" t="n">
        <v>0</v>
      </c>
      <c r="O533" t="n">
        <v>0</v>
      </c>
      <c r="P533" t="n">
        <v>0</v>
      </c>
      <c r="Q533" t="n">
        <v>0</v>
      </c>
      <c r="R533" s="2" t="inlineStr"/>
    </row>
    <row r="534" ht="15" customHeight="1">
      <c r="A534" t="inlineStr">
        <is>
          <t>A 29729-2025</t>
        </is>
      </c>
      <c r="B534" s="1" t="n">
        <v>45825.58077546296</v>
      </c>
      <c r="C534" s="1" t="n">
        <v>45966</v>
      </c>
      <c r="D534" t="inlineStr">
        <is>
          <t>DALARNAS LÄN</t>
        </is>
      </c>
      <c r="E534" t="inlineStr">
        <is>
          <t>LEKSAND</t>
        </is>
      </c>
      <c r="F534" t="inlineStr">
        <is>
          <t>Bergvik skog väst AB</t>
        </is>
      </c>
      <c r="G534" t="n">
        <v>4.3</v>
      </c>
      <c r="H534" t="n">
        <v>0</v>
      </c>
      <c r="I534" t="n">
        <v>0</v>
      </c>
      <c r="J534" t="n">
        <v>0</v>
      </c>
      <c r="K534" t="n">
        <v>0</v>
      </c>
      <c r="L534" t="n">
        <v>0</v>
      </c>
      <c r="M534" t="n">
        <v>0</v>
      </c>
      <c r="N534" t="n">
        <v>0</v>
      </c>
      <c r="O534" t="n">
        <v>0</v>
      </c>
      <c r="P534" t="n">
        <v>0</v>
      </c>
      <c r="Q534" t="n">
        <v>0</v>
      </c>
      <c r="R534" s="2" t="inlineStr"/>
    </row>
    <row r="535" ht="15" customHeight="1">
      <c r="A535" t="inlineStr">
        <is>
          <t>A 45943-2022</t>
        </is>
      </c>
      <c r="B535" s="1" t="n">
        <v>44846.64418981481</v>
      </c>
      <c r="C535" s="1" t="n">
        <v>45966</v>
      </c>
      <c r="D535" t="inlineStr">
        <is>
          <t>DALARNAS LÄN</t>
        </is>
      </c>
      <c r="E535" t="inlineStr">
        <is>
          <t>LEKSAND</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30254-2025</t>
        </is>
      </c>
      <c r="B536" s="1" t="n">
        <v>45827.42336805556</v>
      </c>
      <c r="C536" s="1" t="n">
        <v>45966</v>
      </c>
      <c r="D536" t="inlineStr">
        <is>
          <t>DALARNAS LÄN</t>
        </is>
      </c>
      <c r="E536" t="inlineStr">
        <is>
          <t>LEKSAND</t>
        </is>
      </c>
      <c r="G536" t="n">
        <v>3.5</v>
      </c>
      <c r="H536" t="n">
        <v>0</v>
      </c>
      <c r="I536" t="n">
        <v>0</v>
      </c>
      <c r="J536" t="n">
        <v>0</v>
      </c>
      <c r="K536" t="n">
        <v>0</v>
      </c>
      <c r="L536" t="n">
        <v>0</v>
      </c>
      <c r="M536" t="n">
        <v>0</v>
      </c>
      <c r="N536" t="n">
        <v>0</v>
      </c>
      <c r="O536" t="n">
        <v>0</v>
      </c>
      <c r="P536" t="n">
        <v>0</v>
      </c>
      <c r="Q536" t="n">
        <v>0</v>
      </c>
      <c r="R536" s="2" t="inlineStr"/>
    </row>
    <row r="537" ht="15" customHeight="1">
      <c r="A537" t="inlineStr">
        <is>
          <t>A 7928-2023</t>
        </is>
      </c>
      <c r="B537" s="1" t="n">
        <v>44973</v>
      </c>
      <c r="C537" s="1" t="n">
        <v>45966</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24142-2021</t>
        </is>
      </c>
      <c r="B538" s="1" t="n">
        <v>44336</v>
      </c>
      <c r="C538" s="1" t="n">
        <v>45966</v>
      </c>
      <c r="D538" t="inlineStr">
        <is>
          <t>DALARNAS LÄN</t>
        </is>
      </c>
      <c r="E538" t="inlineStr">
        <is>
          <t>LEKSAND</t>
        </is>
      </c>
      <c r="F538" t="inlineStr">
        <is>
          <t>Bergvik skog väst AB</t>
        </is>
      </c>
      <c r="G538" t="n">
        <v>18.9</v>
      </c>
      <c r="H538" t="n">
        <v>0</v>
      </c>
      <c r="I538" t="n">
        <v>0</v>
      </c>
      <c r="J538" t="n">
        <v>0</v>
      </c>
      <c r="K538" t="n">
        <v>0</v>
      </c>
      <c r="L538" t="n">
        <v>0</v>
      </c>
      <c r="M538" t="n">
        <v>0</v>
      </c>
      <c r="N538" t="n">
        <v>0</v>
      </c>
      <c r="O538" t="n">
        <v>0</v>
      </c>
      <c r="P538" t="n">
        <v>0</v>
      </c>
      <c r="Q538" t="n">
        <v>0</v>
      </c>
      <c r="R538" s="2" t="inlineStr"/>
    </row>
    <row r="539" ht="15" customHeight="1">
      <c r="A539" t="inlineStr">
        <is>
          <t>A 14865-2025</t>
        </is>
      </c>
      <c r="B539" s="1" t="n">
        <v>45743.43929398148</v>
      </c>
      <c r="C539" s="1" t="n">
        <v>45966</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28032-2024</t>
        </is>
      </c>
      <c r="B540" s="1" t="n">
        <v>45476.49346064815</v>
      </c>
      <c r="C540" s="1" t="n">
        <v>45966</v>
      </c>
      <c r="D540" t="inlineStr">
        <is>
          <t>DALARNAS LÄN</t>
        </is>
      </c>
      <c r="E540" t="inlineStr">
        <is>
          <t>LEKSAND</t>
        </is>
      </c>
      <c r="G540" t="n">
        <v>2</v>
      </c>
      <c r="H540" t="n">
        <v>0</v>
      </c>
      <c r="I540" t="n">
        <v>0</v>
      </c>
      <c r="J540" t="n">
        <v>0</v>
      </c>
      <c r="K540" t="n">
        <v>0</v>
      </c>
      <c r="L540" t="n">
        <v>0</v>
      </c>
      <c r="M540" t="n">
        <v>0</v>
      </c>
      <c r="N540" t="n">
        <v>0</v>
      </c>
      <c r="O540" t="n">
        <v>0</v>
      </c>
      <c r="P540" t="n">
        <v>0</v>
      </c>
      <c r="Q540" t="n">
        <v>0</v>
      </c>
      <c r="R540" s="2" t="inlineStr"/>
    </row>
    <row r="541" ht="15" customHeight="1">
      <c r="A541" t="inlineStr">
        <is>
          <t>A 60113-2022</t>
        </is>
      </c>
      <c r="B541" s="1" t="n">
        <v>44909</v>
      </c>
      <c r="C541" s="1" t="n">
        <v>45966</v>
      </c>
      <c r="D541" t="inlineStr">
        <is>
          <t>DALARNAS LÄN</t>
        </is>
      </c>
      <c r="E541" t="inlineStr">
        <is>
          <t>LEKSAND</t>
        </is>
      </c>
      <c r="G541" t="n">
        <v>3.7</v>
      </c>
      <c r="H541" t="n">
        <v>0</v>
      </c>
      <c r="I541" t="n">
        <v>0</v>
      </c>
      <c r="J541" t="n">
        <v>0</v>
      </c>
      <c r="K541" t="n">
        <v>0</v>
      </c>
      <c r="L541" t="n">
        <v>0</v>
      </c>
      <c r="M541" t="n">
        <v>0</v>
      </c>
      <c r="N541" t="n">
        <v>0</v>
      </c>
      <c r="O541" t="n">
        <v>0</v>
      </c>
      <c r="P541" t="n">
        <v>0</v>
      </c>
      <c r="Q541" t="n">
        <v>0</v>
      </c>
      <c r="R541" s="2" t="inlineStr"/>
    </row>
    <row r="542" ht="15" customHeight="1">
      <c r="A542" t="inlineStr">
        <is>
          <t>A 19550-2023</t>
        </is>
      </c>
      <c r="B542" s="1" t="n">
        <v>45049</v>
      </c>
      <c r="C542" s="1" t="n">
        <v>45966</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31915-2024</t>
        </is>
      </c>
      <c r="B543" s="1" t="n">
        <v>45510.38956018518</v>
      </c>
      <c r="C543" s="1" t="n">
        <v>45966</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51480-2022</t>
        </is>
      </c>
      <c r="B544" s="1" t="n">
        <v>44869.57961805556</v>
      </c>
      <c r="C544" s="1" t="n">
        <v>45966</v>
      </c>
      <c r="D544" t="inlineStr">
        <is>
          <t>DALARNAS LÄN</t>
        </is>
      </c>
      <c r="E544" t="inlineStr">
        <is>
          <t>LEKSAND</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43220-2024</t>
        </is>
      </c>
      <c r="B545" s="1" t="n">
        <v>45567.86112268519</v>
      </c>
      <c r="C545" s="1" t="n">
        <v>45966</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18837-2023</t>
        </is>
      </c>
      <c r="B546" s="1" t="n">
        <v>45044.42940972222</v>
      </c>
      <c r="C546" s="1" t="n">
        <v>45966</v>
      </c>
      <c r="D546" t="inlineStr">
        <is>
          <t>DALARNAS LÄN</t>
        </is>
      </c>
      <c r="E546" t="inlineStr">
        <is>
          <t>LEKSAND</t>
        </is>
      </c>
      <c r="G546" t="n">
        <v>1.5</v>
      </c>
      <c r="H546" t="n">
        <v>0</v>
      </c>
      <c r="I546" t="n">
        <v>0</v>
      </c>
      <c r="J546" t="n">
        <v>0</v>
      </c>
      <c r="K546" t="n">
        <v>0</v>
      </c>
      <c r="L546" t="n">
        <v>0</v>
      </c>
      <c r="M546" t="n">
        <v>0</v>
      </c>
      <c r="N546" t="n">
        <v>0</v>
      </c>
      <c r="O546" t="n">
        <v>0</v>
      </c>
      <c r="P546" t="n">
        <v>0</v>
      </c>
      <c r="Q546" t="n">
        <v>0</v>
      </c>
      <c r="R546" s="2" t="inlineStr"/>
    </row>
    <row r="547" ht="15" customHeight="1">
      <c r="A547" t="inlineStr">
        <is>
          <t>A 61288-2022</t>
        </is>
      </c>
      <c r="B547" s="1" t="n">
        <v>44915</v>
      </c>
      <c r="C547" s="1" t="n">
        <v>45966</v>
      </c>
      <c r="D547" t="inlineStr">
        <is>
          <t>DALARNAS LÄN</t>
        </is>
      </c>
      <c r="E547" t="inlineStr">
        <is>
          <t>LEKSAND</t>
        </is>
      </c>
      <c r="G547" t="n">
        <v>1.7</v>
      </c>
      <c r="H547" t="n">
        <v>0</v>
      </c>
      <c r="I547" t="n">
        <v>0</v>
      </c>
      <c r="J547" t="n">
        <v>0</v>
      </c>
      <c r="K547" t="n">
        <v>0</v>
      </c>
      <c r="L547" t="n">
        <v>0</v>
      </c>
      <c r="M547" t="n">
        <v>0</v>
      </c>
      <c r="N547" t="n">
        <v>0</v>
      </c>
      <c r="O547" t="n">
        <v>0</v>
      </c>
      <c r="P547" t="n">
        <v>0</v>
      </c>
      <c r="Q547" t="n">
        <v>0</v>
      </c>
      <c r="R547" s="2" t="inlineStr"/>
    </row>
    <row r="548" ht="15" customHeight="1">
      <c r="A548" t="inlineStr">
        <is>
          <t>A 30920-2025</t>
        </is>
      </c>
      <c r="B548" s="1" t="n">
        <v>45832.38484953704</v>
      </c>
      <c r="C548" s="1" t="n">
        <v>45966</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30969-2025</t>
        </is>
      </c>
      <c r="B549" s="1" t="n">
        <v>45832.45914351852</v>
      </c>
      <c r="C549" s="1" t="n">
        <v>45966</v>
      </c>
      <c r="D549" t="inlineStr">
        <is>
          <t>DALARNAS LÄN</t>
        </is>
      </c>
      <c r="E549" t="inlineStr">
        <is>
          <t>LEKSAND</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30917-2025</t>
        </is>
      </c>
      <c r="B550" s="1" t="n">
        <v>45832.37989583334</v>
      </c>
      <c r="C550" s="1" t="n">
        <v>45966</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31619-2025</t>
        </is>
      </c>
      <c r="B551" s="1" t="n">
        <v>45833</v>
      </c>
      <c r="C551" s="1" t="n">
        <v>45966</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30916-2025</t>
        </is>
      </c>
      <c r="B552" s="1" t="n">
        <v>45832.37885416667</v>
      </c>
      <c r="C552" s="1" t="n">
        <v>45966</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1215-2024</t>
        </is>
      </c>
      <c r="B553" s="1" t="n">
        <v>45302</v>
      </c>
      <c r="C553" s="1" t="n">
        <v>45966</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31446-2025</t>
        </is>
      </c>
      <c r="B554" s="1" t="n">
        <v>45833</v>
      </c>
      <c r="C554" s="1" t="n">
        <v>45966</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49397-2024</t>
        </is>
      </c>
      <c r="B555" s="1" t="n">
        <v>45595</v>
      </c>
      <c r="C555" s="1" t="n">
        <v>45966</v>
      </c>
      <c r="D555" t="inlineStr">
        <is>
          <t>DALARNAS LÄN</t>
        </is>
      </c>
      <c r="E555" t="inlineStr">
        <is>
          <t>LEKSAND</t>
        </is>
      </c>
      <c r="G555" t="n">
        <v>4.3</v>
      </c>
      <c r="H555" t="n">
        <v>0</v>
      </c>
      <c r="I555" t="n">
        <v>0</v>
      </c>
      <c r="J555" t="n">
        <v>0</v>
      </c>
      <c r="K555" t="n">
        <v>0</v>
      </c>
      <c r="L555" t="n">
        <v>0</v>
      </c>
      <c r="M555" t="n">
        <v>0</v>
      </c>
      <c r="N555" t="n">
        <v>0</v>
      </c>
      <c r="O555" t="n">
        <v>0</v>
      </c>
      <c r="P555" t="n">
        <v>0</v>
      </c>
      <c r="Q555" t="n">
        <v>0</v>
      </c>
      <c r="R555" s="2" t="inlineStr"/>
    </row>
    <row r="556" ht="15" customHeight="1">
      <c r="A556" t="inlineStr">
        <is>
          <t>A 61502-2023</t>
        </is>
      </c>
      <c r="B556" s="1" t="n">
        <v>45264</v>
      </c>
      <c r="C556" s="1" t="n">
        <v>45966</v>
      </c>
      <c r="D556" t="inlineStr">
        <is>
          <t>DALARNAS LÄN</t>
        </is>
      </c>
      <c r="E556" t="inlineStr">
        <is>
          <t>LEKSAND</t>
        </is>
      </c>
      <c r="G556" t="n">
        <v>5.2</v>
      </c>
      <c r="H556" t="n">
        <v>0</v>
      </c>
      <c r="I556" t="n">
        <v>0</v>
      </c>
      <c r="J556" t="n">
        <v>0</v>
      </c>
      <c r="K556" t="n">
        <v>0</v>
      </c>
      <c r="L556" t="n">
        <v>0</v>
      </c>
      <c r="M556" t="n">
        <v>0</v>
      </c>
      <c r="N556" t="n">
        <v>0</v>
      </c>
      <c r="O556" t="n">
        <v>0</v>
      </c>
      <c r="P556" t="n">
        <v>0</v>
      </c>
      <c r="Q556" t="n">
        <v>0</v>
      </c>
      <c r="R556" s="2" t="inlineStr"/>
    </row>
    <row r="557" ht="15" customHeight="1">
      <c r="A557" t="inlineStr">
        <is>
          <t>A 30911-2025</t>
        </is>
      </c>
      <c r="B557" s="1" t="n">
        <v>45832.37547453704</v>
      </c>
      <c r="C557" s="1" t="n">
        <v>45966</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57907-2024</t>
        </is>
      </c>
      <c r="B558" s="1" t="n">
        <v>45630</v>
      </c>
      <c r="C558" s="1" t="n">
        <v>45966</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60040-2023</t>
        </is>
      </c>
      <c r="B559" s="1" t="n">
        <v>45256</v>
      </c>
      <c r="C559" s="1" t="n">
        <v>45966</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31179-2025</t>
        </is>
      </c>
      <c r="B560" s="1" t="n">
        <v>45832.67648148148</v>
      </c>
      <c r="C560" s="1" t="n">
        <v>45966</v>
      </c>
      <c r="D560" t="inlineStr">
        <is>
          <t>DALARNAS LÄN</t>
        </is>
      </c>
      <c r="E560" t="inlineStr">
        <is>
          <t>LEKSAND</t>
        </is>
      </c>
      <c r="G560" t="n">
        <v>4.7</v>
      </c>
      <c r="H560" t="n">
        <v>0</v>
      </c>
      <c r="I560" t="n">
        <v>0</v>
      </c>
      <c r="J560" t="n">
        <v>0</v>
      </c>
      <c r="K560" t="n">
        <v>0</v>
      </c>
      <c r="L560" t="n">
        <v>0</v>
      </c>
      <c r="M560" t="n">
        <v>0</v>
      </c>
      <c r="N560" t="n">
        <v>0</v>
      </c>
      <c r="O560" t="n">
        <v>0</v>
      </c>
      <c r="P560" t="n">
        <v>0</v>
      </c>
      <c r="Q560" t="n">
        <v>0</v>
      </c>
      <c r="R560" s="2" t="inlineStr"/>
    </row>
    <row r="561" ht="15" customHeight="1">
      <c r="A561" t="inlineStr">
        <is>
          <t>A 31189-2025</t>
        </is>
      </c>
      <c r="B561" s="1" t="n">
        <v>45832.6799537037</v>
      </c>
      <c r="C561" s="1" t="n">
        <v>45966</v>
      </c>
      <c r="D561" t="inlineStr">
        <is>
          <t>DALARNAS LÄN</t>
        </is>
      </c>
      <c r="E561" t="inlineStr">
        <is>
          <t>LEKSAND</t>
        </is>
      </c>
      <c r="G561" t="n">
        <v>5</v>
      </c>
      <c r="H561" t="n">
        <v>0</v>
      </c>
      <c r="I561" t="n">
        <v>0</v>
      </c>
      <c r="J561" t="n">
        <v>0</v>
      </c>
      <c r="K561" t="n">
        <v>0</v>
      </c>
      <c r="L561" t="n">
        <v>0</v>
      </c>
      <c r="M561" t="n">
        <v>0</v>
      </c>
      <c r="N561" t="n">
        <v>0</v>
      </c>
      <c r="O561" t="n">
        <v>0</v>
      </c>
      <c r="P561" t="n">
        <v>0</v>
      </c>
      <c r="Q561" t="n">
        <v>0</v>
      </c>
      <c r="R561" s="2" t="inlineStr"/>
    </row>
    <row r="562" ht="15" customHeight="1">
      <c r="A562" t="inlineStr">
        <is>
          <t>A 30973-2025</t>
        </is>
      </c>
      <c r="B562" s="1" t="n">
        <v>45832.46300925926</v>
      </c>
      <c r="C562" s="1" t="n">
        <v>45966</v>
      </c>
      <c r="D562" t="inlineStr">
        <is>
          <t>DALARNAS LÄN</t>
        </is>
      </c>
      <c r="E562" t="inlineStr">
        <is>
          <t>LEKSAND</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31493-2025</t>
        </is>
      </c>
      <c r="B563" s="1" t="n">
        <v>45833</v>
      </c>
      <c r="C563" s="1" t="n">
        <v>45966</v>
      </c>
      <c r="D563" t="inlineStr">
        <is>
          <t>DALARNAS LÄN</t>
        </is>
      </c>
      <c r="E563" t="inlineStr">
        <is>
          <t>LEKSAND</t>
        </is>
      </c>
      <c r="G563" t="n">
        <v>0.9</v>
      </c>
      <c r="H563" t="n">
        <v>0</v>
      </c>
      <c r="I563" t="n">
        <v>0</v>
      </c>
      <c r="J563" t="n">
        <v>0</v>
      </c>
      <c r="K563" t="n">
        <v>0</v>
      </c>
      <c r="L563" t="n">
        <v>0</v>
      </c>
      <c r="M563" t="n">
        <v>0</v>
      </c>
      <c r="N563" t="n">
        <v>0</v>
      </c>
      <c r="O563" t="n">
        <v>0</v>
      </c>
      <c r="P563" t="n">
        <v>0</v>
      </c>
      <c r="Q563" t="n">
        <v>0</v>
      </c>
      <c r="R563" s="2" t="inlineStr"/>
    </row>
    <row r="564" ht="15" customHeight="1">
      <c r="A564" t="inlineStr">
        <is>
          <t>A 31945-2025</t>
        </is>
      </c>
      <c r="B564" s="1" t="n">
        <v>45835</v>
      </c>
      <c r="C564" s="1" t="n">
        <v>45966</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52059-2024</t>
        </is>
      </c>
      <c r="B565" s="1" t="n">
        <v>45608.35609953704</v>
      </c>
      <c r="C565" s="1" t="n">
        <v>45966</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21839-2022</t>
        </is>
      </c>
      <c r="B566" s="1" t="n">
        <v>44711</v>
      </c>
      <c r="C566" s="1" t="n">
        <v>45966</v>
      </c>
      <c r="D566" t="inlineStr">
        <is>
          <t>DALARNAS LÄN</t>
        </is>
      </c>
      <c r="E566" t="inlineStr">
        <is>
          <t>LEKSAND</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32104-2025</t>
        </is>
      </c>
      <c r="B567" s="1" t="n">
        <v>45835</v>
      </c>
      <c r="C567" s="1" t="n">
        <v>45966</v>
      </c>
      <c r="D567" t="inlineStr">
        <is>
          <t>DALARNAS LÄN</t>
        </is>
      </c>
      <c r="E567" t="inlineStr">
        <is>
          <t>LEKSAND</t>
        </is>
      </c>
      <c r="G567" t="n">
        <v>3.1</v>
      </c>
      <c r="H567" t="n">
        <v>0</v>
      </c>
      <c r="I567" t="n">
        <v>0</v>
      </c>
      <c r="J567" t="n">
        <v>0</v>
      </c>
      <c r="K567" t="n">
        <v>0</v>
      </c>
      <c r="L567" t="n">
        <v>0</v>
      </c>
      <c r="M567" t="n">
        <v>0</v>
      </c>
      <c r="N567" t="n">
        <v>0</v>
      </c>
      <c r="O567" t="n">
        <v>0</v>
      </c>
      <c r="P567" t="n">
        <v>0</v>
      </c>
      <c r="Q567" t="n">
        <v>0</v>
      </c>
      <c r="R567" s="2" t="inlineStr"/>
    </row>
    <row r="568" ht="15" customHeight="1">
      <c r="A568" t="inlineStr">
        <is>
          <t>A 31787-2025</t>
        </is>
      </c>
      <c r="B568" s="1" t="n">
        <v>45834</v>
      </c>
      <c r="C568" s="1" t="n">
        <v>45966</v>
      </c>
      <c r="D568" t="inlineStr">
        <is>
          <t>DALARNAS LÄN</t>
        </is>
      </c>
      <c r="E568" t="inlineStr">
        <is>
          <t>LEKSAND</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32301-2025</t>
        </is>
      </c>
      <c r="B569" s="1" t="n">
        <v>45835</v>
      </c>
      <c r="C569" s="1" t="n">
        <v>45966</v>
      </c>
      <c r="D569" t="inlineStr">
        <is>
          <t>DALARNAS LÄN</t>
        </is>
      </c>
      <c r="E569" t="inlineStr">
        <is>
          <t>LEKSAND</t>
        </is>
      </c>
      <c r="G569" t="n">
        <v>2.2</v>
      </c>
      <c r="H569" t="n">
        <v>0</v>
      </c>
      <c r="I569" t="n">
        <v>0</v>
      </c>
      <c r="J569" t="n">
        <v>0</v>
      </c>
      <c r="K569" t="n">
        <v>0</v>
      </c>
      <c r="L569" t="n">
        <v>0</v>
      </c>
      <c r="M569" t="n">
        <v>0</v>
      </c>
      <c r="N569" t="n">
        <v>0</v>
      </c>
      <c r="O569" t="n">
        <v>0</v>
      </c>
      <c r="P569" t="n">
        <v>0</v>
      </c>
      <c r="Q569" t="n">
        <v>0</v>
      </c>
      <c r="R569" s="2" t="inlineStr"/>
    </row>
    <row r="570" ht="15" customHeight="1">
      <c r="A570" t="inlineStr">
        <is>
          <t>A 32653-2025</t>
        </is>
      </c>
      <c r="B570" s="1" t="n">
        <v>45838</v>
      </c>
      <c r="C570" s="1" t="n">
        <v>45966</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9105-2024</t>
        </is>
      </c>
      <c r="B571" s="1" t="n">
        <v>45357</v>
      </c>
      <c r="C571" s="1" t="n">
        <v>45966</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32855-2025</t>
        </is>
      </c>
      <c r="B572" s="1" t="n">
        <v>45839.57643518518</v>
      </c>
      <c r="C572" s="1" t="n">
        <v>45966</v>
      </c>
      <c r="D572" t="inlineStr">
        <is>
          <t>DALARNAS LÄN</t>
        </is>
      </c>
      <c r="E572" t="inlineStr">
        <is>
          <t>LEKSAND</t>
        </is>
      </c>
      <c r="G572" t="n">
        <v>0.7</v>
      </c>
      <c r="H572" t="n">
        <v>0</v>
      </c>
      <c r="I572" t="n">
        <v>0</v>
      </c>
      <c r="J572" t="n">
        <v>0</v>
      </c>
      <c r="K572" t="n">
        <v>0</v>
      </c>
      <c r="L572" t="n">
        <v>0</v>
      </c>
      <c r="M572" t="n">
        <v>0</v>
      </c>
      <c r="N572" t="n">
        <v>0</v>
      </c>
      <c r="O572" t="n">
        <v>0</v>
      </c>
      <c r="P572" t="n">
        <v>0</v>
      </c>
      <c r="Q572" t="n">
        <v>0</v>
      </c>
      <c r="R572" s="2" t="inlineStr"/>
    </row>
    <row r="573" ht="15" customHeight="1">
      <c r="A573" t="inlineStr">
        <is>
          <t>A 32661-2025</t>
        </is>
      </c>
      <c r="B573" s="1" t="n">
        <v>45838.67953703704</v>
      </c>
      <c r="C573" s="1" t="n">
        <v>45966</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24005-2024</t>
        </is>
      </c>
      <c r="B574" s="1" t="n">
        <v>45456.39239583333</v>
      </c>
      <c r="C574" s="1" t="n">
        <v>45966</v>
      </c>
      <c r="D574" t="inlineStr">
        <is>
          <t>DALARNAS LÄN</t>
        </is>
      </c>
      <c r="E574" t="inlineStr">
        <is>
          <t>LEKSAND</t>
        </is>
      </c>
      <c r="F574" t="inlineStr">
        <is>
          <t>Bergvik skog väst AB</t>
        </is>
      </c>
      <c r="G574" t="n">
        <v>3</v>
      </c>
      <c r="H574" t="n">
        <v>0</v>
      </c>
      <c r="I574" t="n">
        <v>0</v>
      </c>
      <c r="J574" t="n">
        <v>0</v>
      </c>
      <c r="K574" t="n">
        <v>0</v>
      </c>
      <c r="L574" t="n">
        <v>0</v>
      </c>
      <c r="M574" t="n">
        <v>0</v>
      </c>
      <c r="N574" t="n">
        <v>0</v>
      </c>
      <c r="O574" t="n">
        <v>0</v>
      </c>
      <c r="P574" t="n">
        <v>0</v>
      </c>
      <c r="Q574" t="n">
        <v>0</v>
      </c>
      <c r="R574" s="2" t="inlineStr"/>
    </row>
    <row r="575" ht="15" customHeight="1">
      <c r="A575" t="inlineStr">
        <is>
          <t>A 55268-2024</t>
        </is>
      </c>
      <c r="B575" s="1" t="n">
        <v>45621.61266203703</v>
      </c>
      <c r="C575" s="1" t="n">
        <v>45966</v>
      </c>
      <c r="D575" t="inlineStr">
        <is>
          <t>DALARNAS LÄN</t>
        </is>
      </c>
      <c r="E575" t="inlineStr">
        <is>
          <t>LEKSAND</t>
        </is>
      </c>
      <c r="G575" t="n">
        <v>4.2</v>
      </c>
      <c r="H575" t="n">
        <v>0</v>
      </c>
      <c r="I575" t="n">
        <v>0</v>
      </c>
      <c r="J575" t="n">
        <v>0</v>
      </c>
      <c r="K575" t="n">
        <v>0</v>
      </c>
      <c r="L575" t="n">
        <v>0</v>
      </c>
      <c r="M575" t="n">
        <v>0</v>
      </c>
      <c r="N575" t="n">
        <v>0</v>
      </c>
      <c r="O575" t="n">
        <v>0</v>
      </c>
      <c r="P575" t="n">
        <v>0</v>
      </c>
      <c r="Q575" t="n">
        <v>0</v>
      </c>
      <c r="R575" s="2" t="inlineStr"/>
    </row>
    <row r="576" ht="15" customHeight="1">
      <c r="A576" t="inlineStr">
        <is>
          <t>A 61225-2023</t>
        </is>
      </c>
      <c r="B576" s="1" t="n">
        <v>45264</v>
      </c>
      <c r="C576" s="1" t="n">
        <v>45966</v>
      </c>
      <c r="D576" t="inlineStr">
        <is>
          <t>DALARNAS LÄN</t>
        </is>
      </c>
      <c r="E576" t="inlineStr">
        <is>
          <t>LEKSAND</t>
        </is>
      </c>
      <c r="G576" t="n">
        <v>7</v>
      </c>
      <c r="H576" t="n">
        <v>0</v>
      </c>
      <c r="I576" t="n">
        <v>0</v>
      </c>
      <c r="J576" t="n">
        <v>0</v>
      </c>
      <c r="K576" t="n">
        <v>0</v>
      </c>
      <c r="L576" t="n">
        <v>0</v>
      </c>
      <c r="M576" t="n">
        <v>0</v>
      </c>
      <c r="N576" t="n">
        <v>0</v>
      </c>
      <c r="O576" t="n">
        <v>0</v>
      </c>
      <c r="P576" t="n">
        <v>0</v>
      </c>
      <c r="Q576" t="n">
        <v>0</v>
      </c>
      <c r="R576" s="2" t="inlineStr"/>
    </row>
    <row r="577" ht="15" customHeight="1">
      <c r="A577" t="inlineStr">
        <is>
          <t>A 8743-2023</t>
        </is>
      </c>
      <c r="B577" s="1" t="n">
        <v>44978</v>
      </c>
      <c r="C577" s="1" t="n">
        <v>45966</v>
      </c>
      <c r="D577" t="inlineStr">
        <is>
          <t>DALARNAS LÄN</t>
        </is>
      </c>
      <c r="E577" t="inlineStr">
        <is>
          <t>LEKSAND</t>
        </is>
      </c>
      <c r="G577" t="n">
        <v>3</v>
      </c>
      <c r="H577" t="n">
        <v>0</v>
      </c>
      <c r="I577" t="n">
        <v>0</v>
      </c>
      <c r="J577" t="n">
        <v>0</v>
      </c>
      <c r="K577" t="n">
        <v>0</v>
      </c>
      <c r="L577" t="n">
        <v>0</v>
      </c>
      <c r="M577" t="n">
        <v>0</v>
      </c>
      <c r="N577" t="n">
        <v>0</v>
      </c>
      <c r="O577" t="n">
        <v>0</v>
      </c>
      <c r="P577" t="n">
        <v>0</v>
      </c>
      <c r="Q577" t="n">
        <v>0</v>
      </c>
      <c r="R577" s="2" t="inlineStr"/>
    </row>
    <row r="578" ht="15" customHeight="1">
      <c r="A578" t="inlineStr">
        <is>
          <t>A 32593-2025</t>
        </is>
      </c>
      <c r="B578" s="1" t="n">
        <v>45838</v>
      </c>
      <c r="C578" s="1" t="n">
        <v>45966</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15020-2023</t>
        </is>
      </c>
      <c r="B579" s="1" t="n">
        <v>45015.6196412037</v>
      </c>
      <c r="C579" s="1" t="n">
        <v>45966</v>
      </c>
      <c r="D579" t="inlineStr">
        <is>
          <t>DALARNAS LÄN</t>
        </is>
      </c>
      <c r="E579" t="inlineStr">
        <is>
          <t>LEKSAND</t>
        </is>
      </c>
      <c r="G579" t="n">
        <v>2.6</v>
      </c>
      <c r="H579" t="n">
        <v>0</v>
      </c>
      <c r="I579" t="n">
        <v>0</v>
      </c>
      <c r="J579" t="n">
        <v>0</v>
      </c>
      <c r="K579" t="n">
        <v>0</v>
      </c>
      <c r="L579" t="n">
        <v>0</v>
      </c>
      <c r="M579" t="n">
        <v>0</v>
      </c>
      <c r="N579" t="n">
        <v>0</v>
      </c>
      <c r="O579" t="n">
        <v>0</v>
      </c>
      <c r="P579" t="n">
        <v>0</v>
      </c>
      <c r="Q579" t="n">
        <v>0</v>
      </c>
      <c r="R579" s="2" t="inlineStr"/>
    </row>
    <row r="580" ht="15" customHeight="1">
      <c r="A580" t="inlineStr">
        <is>
          <t>A 15968-2025</t>
        </is>
      </c>
      <c r="B580" s="1" t="n">
        <v>45749.54818287037</v>
      </c>
      <c r="C580" s="1" t="n">
        <v>45966</v>
      </c>
      <c r="D580" t="inlineStr">
        <is>
          <t>DALARNAS LÄN</t>
        </is>
      </c>
      <c r="E580" t="inlineStr">
        <is>
          <t>LEKSAND</t>
        </is>
      </c>
      <c r="G580" t="n">
        <v>3.2</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45966</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32726-2025</t>
        </is>
      </c>
      <c r="B582" s="1" t="n">
        <v>45839.3969212963</v>
      </c>
      <c r="C582" s="1" t="n">
        <v>45966</v>
      </c>
      <c r="D582" t="inlineStr">
        <is>
          <t>DALARNAS LÄN</t>
        </is>
      </c>
      <c r="E582" t="inlineStr">
        <is>
          <t>LEKSAND</t>
        </is>
      </c>
      <c r="F582" t="inlineStr">
        <is>
          <t>Bergvik skog väst AB</t>
        </is>
      </c>
      <c r="G582" t="n">
        <v>2.5</v>
      </c>
      <c r="H582" t="n">
        <v>0</v>
      </c>
      <c r="I582" t="n">
        <v>0</v>
      </c>
      <c r="J582" t="n">
        <v>0</v>
      </c>
      <c r="K582" t="n">
        <v>0</v>
      </c>
      <c r="L582" t="n">
        <v>0</v>
      </c>
      <c r="M582" t="n">
        <v>0</v>
      </c>
      <c r="N582" t="n">
        <v>0</v>
      </c>
      <c r="O582" t="n">
        <v>0</v>
      </c>
      <c r="P582" t="n">
        <v>0</v>
      </c>
      <c r="Q582" t="n">
        <v>0</v>
      </c>
      <c r="R582" s="2" t="inlineStr"/>
    </row>
    <row r="583" ht="15" customHeight="1">
      <c r="A583" t="inlineStr">
        <is>
          <t>A 10833-2023</t>
        </is>
      </c>
      <c r="B583" s="1" t="n">
        <v>44990</v>
      </c>
      <c r="C583" s="1" t="n">
        <v>45966</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47121-2021</t>
        </is>
      </c>
      <c r="B584" s="1" t="n">
        <v>44446</v>
      </c>
      <c r="C584" s="1" t="n">
        <v>45966</v>
      </c>
      <c r="D584" t="inlineStr">
        <is>
          <t>DALARNAS LÄN</t>
        </is>
      </c>
      <c r="E584" t="inlineStr">
        <is>
          <t>LEKSAND</t>
        </is>
      </c>
      <c r="G584" t="n">
        <v>3.5</v>
      </c>
      <c r="H584" t="n">
        <v>0</v>
      </c>
      <c r="I584" t="n">
        <v>0</v>
      </c>
      <c r="J584" t="n">
        <v>0</v>
      </c>
      <c r="K584" t="n">
        <v>0</v>
      </c>
      <c r="L584" t="n">
        <v>0</v>
      </c>
      <c r="M584" t="n">
        <v>0</v>
      </c>
      <c r="N584" t="n">
        <v>0</v>
      </c>
      <c r="O584" t="n">
        <v>0</v>
      </c>
      <c r="P584" t="n">
        <v>0</v>
      </c>
      <c r="Q584" t="n">
        <v>0</v>
      </c>
      <c r="R584" s="2" t="inlineStr"/>
    </row>
    <row r="585" ht="15" customHeight="1">
      <c r="A585" t="inlineStr">
        <is>
          <t>A 36444-2023</t>
        </is>
      </c>
      <c r="B585" s="1" t="n">
        <v>45152.63138888889</v>
      </c>
      <c r="C585" s="1" t="n">
        <v>45966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21402-2023</t>
        </is>
      </c>
      <c r="B586" s="1" t="n">
        <v>45061</v>
      </c>
      <c r="C586" s="1" t="n">
        <v>45966</v>
      </c>
      <c r="D586" t="inlineStr">
        <is>
          <t>DALARNAS LÄN</t>
        </is>
      </c>
      <c r="E586" t="inlineStr">
        <is>
          <t>LEKSAND</t>
        </is>
      </c>
      <c r="G586" t="n">
        <v>0.7</v>
      </c>
      <c r="H586" t="n">
        <v>0</v>
      </c>
      <c r="I586" t="n">
        <v>0</v>
      </c>
      <c r="J586" t="n">
        <v>0</v>
      </c>
      <c r="K586" t="n">
        <v>0</v>
      </c>
      <c r="L586" t="n">
        <v>0</v>
      </c>
      <c r="M586" t="n">
        <v>0</v>
      </c>
      <c r="N586" t="n">
        <v>0</v>
      </c>
      <c r="O586" t="n">
        <v>0</v>
      </c>
      <c r="P586" t="n">
        <v>0</v>
      </c>
      <c r="Q586" t="n">
        <v>0</v>
      </c>
      <c r="R586" s="2" t="inlineStr"/>
    </row>
    <row r="587" ht="15" customHeight="1">
      <c r="A587" t="inlineStr">
        <is>
          <t>A 31391-2024</t>
        </is>
      </c>
      <c r="B587" s="1" t="n">
        <v>45505.46616898148</v>
      </c>
      <c r="C587" s="1" t="n">
        <v>45966</v>
      </c>
      <c r="D587" t="inlineStr">
        <is>
          <t>DALARNAS LÄN</t>
        </is>
      </c>
      <c r="E587" t="inlineStr">
        <is>
          <t>LEKSAND</t>
        </is>
      </c>
      <c r="F587" t="inlineStr">
        <is>
          <t>Bergvik skog väst AB</t>
        </is>
      </c>
      <c r="G587" t="n">
        <v>2.7</v>
      </c>
      <c r="H587" t="n">
        <v>0</v>
      </c>
      <c r="I587" t="n">
        <v>0</v>
      </c>
      <c r="J587" t="n">
        <v>0</v>
      </c>
      <c r="K587" t="n">
        <v>0</v>
      </c>
      <c r="L587" t="n">
        <v>0</v>
      </c>
      <c r="M587" t="n">
        <v>0</v>
      </c>
      <c r="N587" t="n">
        <v>0</v>
      </c>
      <c r="O587" t="n">
        <v>0</v>
      </c>
      <c r="P587" t="n">
        <v>0</v>
      </c>
      <c r="Q587" t="n">
        <v>0</v>
      </c>
      <c r="R587" s="2" t="inlineStr"/>
    </row>
    <row r="588" ht="15" customHeight="1">
      <c r="A588" t="inlineStr">
        <is>
          <t>A 167-2023</t>
        </is>
      </c>
      <c r="B588" s="1" t="n">
        <v>44918</v>
      </c>
      <c r="C588" s="1" t="n">
        <v>45966</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33160-2025</t>
        </is>
      </c>
      <c r="B589" s="1" t="n">
        <v>45840</v>
      </c>
      <c r="C589" s="1" t="n">
        <v>45966</v>
      </c>
      <c r="D589" t="inlineStr">
        <is>
          <t>DALARNAS LÄN</t>
        </is>
      </c>
      <c r="E589" t="inlineStr">
        <is>
          <t>LEKSAND</t>
        </is>
      </c>
      <c r="G589" t="n">
        <v>2.3</v>
      </c>
      <c r="H589" t="n">
        <v>0</v>
      </c>
      <c r="I589" t="n">
        <v>0</v>
      </c>
      <c r="J589" t="n">
        <v>0</v>
      </c>
      <c r="K589" t="n">
        <v>0</v>
      </c>
      <c r="L589" t="n">
        <v>0</v>
      </c>
      <c r="M589" t="n">
        <v>0</v>
      </c>
      <c r="N589" t="n">
        <v>0</v>
      </c>
      <c r="O589" t="n">
        <v>0</v>
      </c>
      <c r="P589" t="n">
        <v>0</v>
      </c>
      <c r="Q589" t="n">
        <v>0</v>
      </c>
      <c r="R589" s="2" t="inlineStr"/>
    </row>
    <row r="590" ht="15" customHeight="1">
      <c r="A590" t="inlineStr">
        <is>
          <t>A 31850-2024</t>
        </is>
      </c>
      <c r="B590" s="1" t="n">
        <v>45509.67334490741</v>
      </c>
      <c r="C590" s="1" t="n">
        <v>45966</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27244-2023</t>
        </is>
      </c>
      <c r="B591" s="1" t="n">
        <v>45096</v>
      </c>
      <c r="C591" s="1" t="n">
        <v>45966</v>
      </c>
      <c r="D591" t="inlineStr">
        <is>
          <t>DALARNAS LÄN</t>
        </is>
      </c>
      <c r="E591" t="inlineStr">
        <is>
          <t>LEKSAND</t>
        </is>
      </c>
      <c r="G591" t="n">
        <v>5</v>
      </c>
      <c r="H591" t="n">
        <v>0</v>
      </c>
      <c r="I591" t="n">
        <v>0</v>
      </c>
      <c r="J591" t="n">
        <v>0</v>
      </c>
      <c r="K591" t="n">
        <v>0</v>
      </c>
      <c r="L591" t="n">
        <v>0</v>
      </c>
      <c r="M591" t="n">
        <v>0</v>
      </c>
      <c r="N591" t="n">
        <v>0</v>
      </c>
      <c r="O591" t="n">
        <v>0</v>
      </c>
      <c r="P591" t="n">
        <v>0</v>
      </c>
      <c r="Q591" t="n">
        <v>0</v>
      </c>
      <c r="R591" s="2" t="inlineStr"/>
    </row>
    <row r="592" ht="15" customHeight="1">
      <c r="A592" t="inlineStr">
        <is>
          <t>A 3183-2025</t>
        </is>
      </c>
      <c r="B592" s="1" t="n">
        <v>45679.40298611111</v>
      </c>
      <c r="C592" s="1" t="n">
        <v>45966</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33804-2025</t>
        </is>
      </c>
      <c r="B593" s="1" t="n">
        <v>45842</v>
      </c>
      <c r="C593" s="1" t="n">
        <v>45966</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17759-2023</t>
        </is>
      </c>
      <c r="B594" s="1" t="n">
        <v>45037.48765046296</v>
      </c>
      <c r="C594" s="1" t="n">
        <v>45966</v>
      </c>
      <c r="D594" t="inlineStr">
        <is>
          <t>DALARNAS LÄN</t>
        </is>
      </c>
      <c r="E594" t="inlineStr">
        <is>
          <t>LEKSAND</t>
        </is>
      </c>
      <c r="G594" t="n">
        <v>2.1</v>
      </c>
      <c r="H594" t="n">
        <v>0</v>
      </c>
      <c r="I594" t="n">
        <v>0</v>
      </c>
      <c r="J594" t="n">
        <v>0</v>
      </c>
      <c r="K594" t="n">
        <v>0</v>
      </c>
      <c r="L594" t="n">
        <v>0</v>
      </c>
      <c r="M594" t="n">
        <v>0</v>
      </c>
      <c r="N594" t="n">
        <v>0</v>
      </c>
      <c r="O594" t="n">
        <v>0</v>
      </c>
      <c r="P594" t="n">
        <v>0</v>
      </c>
      <c r="Q594" t="n">
        <v>0</v>
      </c>
      <c r="R594" s="2" t="inlineStr"/>
    </row>
    <row r="595" ht="15" customHeight="1">
      <c r="A595" t="inlineStr">
        <is>
          <t>A 16592-2023</t>
        </is>
      </c>
      <c r="B595" s="1" t="n">
        <v>45030</v>
      </c>
      <c r="C595" s="1" t="n">
        <v>45966</v>
      </c>
      <c r="D595" t="inlineStr">
        <is>
          <t>DALARNAS LÄN</t>
        </is>
      </c>
      <c r="E595" t="inlineStr">
        <is>
          <t>LEKSAND</t>
        </is>
      </c>
      <c r="G595" t="n">
        <v>11.5</v>
      </c>
      <c r="H595" t="n">
        <v>0</v>
      </c>
      <c r="I595" t="n">
        <v>0</v>
      </c>
      <c r="J595" t="n">
        <v>0</v>
      </c>
      <c r="K595" t="n">
        <v>0</v>
      </c>
      <c r="L595" t="n">
        <v>0</v>
      </c>
      <c r="M595" t="n">
        <v>0</v>
      </c>
      <c r="N595" t="n">
        <v>0</v>
      </c>
      <c r="O595" t="n">
        <v>0</v>
      </c>
      <c r="P595" t="n">
        <v>0</v>
      </c>
      <c r="Q595" t="n">
        <v>0</v>
      </c>
      <c r="R595" s="2" t="inlineStr"/>
    </row>
    <row r="596" ht="15" customHeight="1">
      <c r="A596" t="inlineStr">
        <is>
          <t>A 12290-2024</t>
        </is>
      </c>
      <c r="B596" s="1" t="n">
        <v>45378.57877314815</v>
      </c>
      <c r="C596" s="1" t="n">
        <v>45966</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17606-2024</t>
        </is>
      </c>
      <c r="B597" s="1" t="n">
        <v>45415</v>
      </c>
      <c r="C597" s="1" t="n">
        <v>45966</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39819-2024</t>
        </is>
      </c>
      <c r="B598" s="1" t="n">
        <v>45553.38774305556</v>
      </c>
      <c r="C598" s="1" t="n">
        <v>45966</v>
      </c>
      <c r="D598" t="inlineStr">
        <is>
          <t>DALARNAS LÄN</t>
        </is>
      </c>
      <c r="E598" t="inlineStr">
        <is>
          <t>LEKSAND</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34537-2025</t>
        </is>
      </c>
      <c r="B599" s="1" t="n">
        <v>45847</v>
      </c>
      <c r="C599" s="1" t="n">
        <v>45966</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36450-2023</t>
        </is>
      </c>
      <c r="B600" s="1" t="n">
        <v>45152.64842592592</v>
      </c>
      <c r="C600" s="1" t="n">
        <v>45966</v>
      </c>
      <c r="D600" t="inlineStr">
        <is>
          <t>DALARNAS LÄN</t>
        </is>
      </c>
      <c r="E600" t="inlineStr">
        <is>
          <t>LEKSAND</t>
        </is>
      </c>
      <c r="G600" t="n">
        <v>2.4</v>
      </c>
      <c r="H600" t="n">
        <v>0</v>
      </c>
      <c r="I600" t="n">
        <v>0</v>
      </c>
      <c r="J600" t="n">
        <v>0</v>
      </c>
      <c r="K600" t="n">
        <v>0</v>
      </c>
      <c r="L600" t="n">
        <v>0</v>
      </c>
      <c r="M600" t="n">
        <v>0</v>
      </c>
      <c r="N600" t="n">
        <v>0</v>
      </c>
      <c r="O600" t="n">
        <v>0</v>
      </c>
      <c r="P600" t="n">
        <v>0</v>
      </c>
      <c r="Q600" t="n">
        <v>0</v>
      </c>
      <c r="R600" s="2" t="inlineStr"/>
    </row>
    <row r="601" ht="15" customHeight="1">
      <c r="A601" t="inlineStr">
        <is>
          <t>A 19559-2023</t>
        </is>
      </c>
      <c r="B601" s="1" t="n">
        <v>45050</v>
      </c>
      <c r="C601" s="1" t="n">
        <v>45966</v>
      </c>
      <c r="D601" t="inlineStr">
        <is>
          <t>DALARNAS LÄN</t>
        </is>
      </c>
      <c r="E601" t="inlineStr">
        <is>
          <t>LEKSAND</t>
        </is>
      </c>
      <c r="G601" t="n">
        <v>0.1</v>
      </c>
      <c r="H601" t="n">
        <v>0</v>
      </c>
      <c r="I601" t="n">
        <v>0</v>
      </c>
      <c r="J601" t="n">
        <v>0</v>
      </c>
      <c r="K601" t="n">
        <v>0</v>
      </c>
      <c r="L601" t="n">
        <v>0</v>
      </c>
      <c r="M601" t="n">
        <v>0</v>
      </c>
      <c r="N601" t="n">
        <v>0</v>
      </c>
      <c r="O601" t="n">
        <v>0</v>
      </c>
      <c r="P601" t="n">
        <v>0</v>
      </c>
      <c r="Q601" t="n">
        <v>0</v>
      </c>
      <c r="R601" s="2" t="inlineStr"/>
    </row>
    <row r="602" ht="15" customHeight="1">
      <c r="A602" t="inlineStr">
        <is>
          <t>A 48721-2023</t>
        </is>
      </c>
      <c r="B602" s="1" t="n">
        <v>45203</v>
      </c>
      <c r="C602" s="1" t="n">
        <v>45966</v>
      </c>
      <c r="D602" t="inlineStr">
        <is>
          <t>DALARNAS LÄN</t>
        </is>
      </c>
      <c r="E602" t="inlineStr">
        <is>
          <t>LEKSAND</t>
        </is>
      </c>
      <c r="G602" t="n">
        <v>2.9</v>
      </c>
      <c r="H602" t="n">
        <v>0</v>
      </c>
      <c r="I602" t="n">
        <v>0</v>
      </c>
      <c r="J602" t="n">
        <v>0</v>
      </c>
      <c r="K602" t="n">
        <v>0</v>
      </c>
      <c r="L602" t="n">
        <v>0</v>
      </c>
      <c r="M602" t="n">
        <v>0</v>
      </c>
      <c r="N602" t="n">
        <v>0</v>
      </c>
      <c r="O602" t="n">
        <v>0</v>
      </c>
      <c r="P602" t="n">
        <v>0</v>
      </c>
      <c r="Q602" t="n">
        <v>0</v>
      </c>
      <c r="R602" s="2" t="inlineStr"/>
    </row>
    <row r="603" ht="15" customHeight="1">
      <c r="A603" t="inlineStr">
        <is>
          <t>A 43142-2024</t>
        </is>
      </c>
      <c r="B603" s="1" t="n">
        <v>45567.62144675926</v>
      </c>
      <c r="C603" s="1" t="n">
        <v>45966</v>
      </c>
      <c r="D603" t="inlineStr">
        <is>
          <t>DALARNAS LÄN</t>
        </is>
      </c>
      <c r="E603" t="inlineStr">
        <is>
          <t>LEKSAND</t>
        </is>
      </c>
      <c r="F603" t="inlineStr">
        <is>
          <t>Bergvik skog väst AB</t>
        </is>
      </c>
      <c r="G603" t="n">
        <v>2.9</v>
      </c>
      <c r="H603" t="n">
        <v>0</v>
      </c>
      <c r="I603" t="n">
        <v>0</v>
      </c>
      <c r="J603" t="n">
        <v>0</v>
      </c>
      <c r="K603" t="n">
        <v>0</v>
      </c>
      <c r="L603" t="n">
        <v>0</v>
      </c>
      <c r="M603" t="n">
        <v>0</v>
      </c>
      <c r="N603" t="n">
        <v>0</v>
      </c>
      <c r="O603" t="n">
        <v>0</v>
      </c>
      <c r="P603" t="n">
        <v>0</v>
      </c>
      <c r="Q603" t="n">
        <v>0</v>
      </c>
      <c r="R603" s="2" t="inlineStr"/>
    </row>
    <row r="604" ht="15" customHeight="1">
      <c r="A604" t="inlineStr">
        <is>
          <t>A 34965-2025</t>
        </is>
      </c>
      <c r="B604" s="1" t="n">
        <v>45849</v>
      </c>
      <c r="C604" s="1" t="n">
        <v>45966</v>
      </c>
      <c r="D604" t="inlineStr">
        <is>
          <t>DALARNAS LÄN</t>
        </is>
      </c>
      <c r="E604" t="inlineStr">
        <is>
          <t>LEKSAND</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41896-2024</t>
        </is>
      </c>
      <c r="B605" s="1" t="n">
        <v>45561.51310185185</v>
      </c>
      <c r="C605" s="1" t="n">
        <v>45966</v>
      </c>
      <c r="D605" t="inlineStr">
        <is>
          <t>DALARNAS LÄN</t>
        </is>
      </c>
      <c r="E605" t="inlineStr">
        <is>
          <t>LEKSAND</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1984-2025</t>
        </is>
      </c>
      <c r="B606" s="1" t="n">
        <v>45670</v>
      </c>
      <c r="C606" s="1" t="n">
        <v>45966</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1443-2024</t>
        </is>
      </c>
      <c r="B607" s="1" t="n">
        <v>45303</v>
      </c>
      <c r="C607" s="1" t="n">
        <v>45966</v>
      </c>
      <c r="D607" t="inlineStr">
        <is>
          <t>DALARNAS LÄN</t>
        </is>
      </c>
      <c r="E607" t="inlineStr">
        <is>
          <t>LEKSAND</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34789-2025</t>
        </is>
      </c>
      <c r="B608" s="1" t="n">
        <v>45848</v>
      </c>
      <c r="C608" s="1" t="n">
        <v>45966</v>
      </c>
      <c r="D608" t="inlineStr">
        <is>
          <t>DALARNAS LÄN</t>
        </is>
      </c>
      <c r="E608" t="inlineStr">
        <is>
          <t>LEKSAND</t>
        </is>
      </c>
      <c r="F608" t="inlineStr">
        <is>
          <t>Bergvik skog väst AB</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34966-2025</t>
        </is>
      </c>
      <c r="B609" s="1" t="n">
        <v>45849</v>
      </c>
      <c r="C609" s="1" t="n">
        <v>45966</v>
      </c>
      <c r="D609" t="inlineStr">
        <is>
          <t>DALARNAS LÄN</t>
        </is>
      </c>
      <c r="E609" t="inlineStr">
        <is>
          <t>LEKSAND</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72575-2021</t>
        </is>
      </c>
      <c r="B610" s="1" t="n">
        <v>44546</v>
      </c>
      <c r="C610" s="1" t="n">
        <v>45966</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72581-2021</t>
        </is>
      </c>
      <c r="B611" s="1" t="n">
        <v>44546.46354166666</v>
      </c>
      <c r="C611" s="1" t="n">
        <v>45966</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33143-2024</t>
        </is>
      </c>
      <c r="B612" s="1" t="n">
        <v>45518</v>
      </c>
      <c r="C612" s="1" t="n">
        <v>45966</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35094-2025</t>
        </is>
      </c>
      <c r="B613" s="1" t="n">
        <v>45852</v>
      </c>
      <c r="C613" s="1" t="n">
        <v>45966</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27446-2024</t>
        </is>
      </c>
      <c r="B614" s="1" t="n">
        <v>45474.42671296297</v>
      </c>
      <c r="C614" s="1" t="n">
        <v>45966</v>
      </c>
      <c r="D614" t="inlineStr">
        <is>
          <t>DALARNAS LÄN</t>
        </is>
      </c>
      <c r="E614" t="inlineStr">
        <is>
          <t>LEKSAND</t>
        </is>
      </c>
      <c r="G614" t="n">
        <v>2.9</v>
      </c>
      <c r="H614" t="n">
        <v>0</v>
      </c>
      <c r="I614" t="n">
        <v>0</v>
      </c>
      <c r="J614" t="n">
        <v>0</v>
      </c>
      <c r="K614" t="n">
        <v>0</v>
      </c>
      <c r="L614" t="n">
        <v>0</v>
      </c>
      <c r="M614" t="n">
        <v>0</v>
      </c>
      <c r="N614" t="n">
        <v>0</v>
      </c>
      <c r="O614" t="n">
        <v>0</v>
      </c>
      <c r="P614" t="n">
        <v>0</v>
      </c>
      <c r="Q614" t="n">
        <v>0</v>
      </c>
      <c r="R614" s="2" t="inlineStr"/>
    </row>
    <row r="615" ht="15" customHeight="1">
      <c r="A615" t="inlineStr">
        <is>
          <t>A 53817-2023</t>
        </is>
      </c>
      <c r="B615" s="1" t="n">
        <v>45231.40488425926</v>
      </c>
      <c r="C615" s="1" t="n">
        <v>45966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62993-2023</t>
        </is>
      </c>
      <c r="B616" s="1" t="n">
        <v>45272</v>
      </c>
      <c r="C616" s="1" t="n">
        <v>45966</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13705-2021</t>
        </is>
      </c>
      <c r="B617" s="1" t="n">
        <v>44274</v>
      </c>
      <c r="C617" s="1" t="n">
        <v>45966</v>
      </c>
      <c r="D617" t="inlineStr">
        <is>
          <t>DALARNAS LÄN</t>
        </is>
      </c>
      <c r="E617" t="inlineStr">
        <is>
          <t>LEKSAND</t>
        </is>
      </c>
      <c r="G617" t="n">
        <v>3.8</v>
      </c>
      <c r="H617" t="n">
        <v>0</v>
      </c>
      <c r="I617" t="n">
        <v>0</v>
      </c>
      <c r="J617" t="n">
        <v>0</v>
      </c>
      <c r="K617" t="n">
        <v>0</v>
      </c>
      <c r="L617" t="n">
        <v>0</v>
      </c>
      <c r="M617" t="n">
        <v>0</v>
      </c>
      <c r="N617" t="n">
        <v>0</v>
      </c>
      <c r="O617" t="n">
        <v>0</v>
      </c>
      <c r="P617" t="n">
        <v>0</v>
      </c>
      <c r="Q617" t="n">
        <v>0</v>
      </c>
      <c r="R617" s="2" t="inlineStr"/>
    </row>
    <row r="618" ht="15" customHeight="1">
      <c r="A618" t="inlineStr">
        <is>
          <t>A 35866-2025</t>
        </is>
      </c>
      <c r="B618" s="1" t="n">
        <v>45861</v>
      </c>
      <c r="C618" s="1" t="n">
        <v>45966</v>
      </c>
      <c r="D618" t="inlineStr">
        <is>
          <t>DALARNAS LÄN</t>
        </is>
      </c>
      <c r="E618" t="inlineStr">
        <is>
          <t>LEKSAND</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35746-2025</t>
        </is>
      </c>
      <c r="B619" s="1" t="n">
        <v>45860</v>
      </c>
      <c r="C619" s="1" t="n">
        <v>45966</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41934-2025</t>
        </is>
      </c>
      <c r="B620" s="1" t="n">
        <v>45903.43556712963</v>
      </c>
      <c r="C620" s="1" t="n">
        <v>45966</v>
      </c>
      <c r="D620" t="inlineStr">
        <is>
          <t>DALARNAS LÄN</t>
        </is>
      </c>
      <c r="E620" t="inlineStr">
        <is>
          <t>LEKSAND</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17455-2022</t>
        </is>
      </c>
      <c r="B621" s="1" t="n">
        <v>44679.3775</v>
      </c>
      <c r="C621" s="1" t="n">
        <v>45966</v>
      </c>
      <c r="D621" t="inlineStr">
        <is>
          <t>DALARNAS LÄN</t>
        </is>
      </c>
      <c r="E621" t="inlineStr">
        <is>
          <t>LEKSAND</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36020-2025</t>
        </is>
      </c>
      <c r="B622" s="1" t="n">
        <v>45863</v>
      </c>
      <c r="C622" s="1" t="n">
        <v>45966</v>
      </c>
      <c r="D622" t="inlineStr">
        <is>
          <t>DALARNAS LÄN</t>
        </is>
      </c>
      <c r="E622" t="inlineStr">
        <is>
          <t>LEKSAND</t>
        </is>
      </c>
      <c r="F622" t="inlineStr">
        <is>
          <t>Bergvik skog väst AB</t>
        </is>
      </c>
      <c r="G622" t="n">
        <v>2.8</v>
      </c>
      <c r="H622" t="n">
        <v>0</v>
      </c>
      <c r="I622" t="n">
        <v>0</v>
      </c>
      <c r="J622" t="n">
        <v>0</v>
      </c>
      <c r="K622" t="n">
        <v>0</v>
      </c>
      <c r="L622" t="n">
        <v>0</v>
      </c>
      <c r="M622" t="n">
        <v>0</v>
      </c>
      <c r="N622" t="n">
        <v>0</v>
      </c>
      <c r="O622" t="n">
        <v>0</v>
      </c>
      <c r="P622" t="n">
        <v>0</v>
      </c>
      <c r="Q622" t="n">
        <v>0</v>
      </c>
      <c r="R622" s="2" t="inlineStr"/>
    </row>
    <row r="623" ht="15" customHeight="1">
      <c r="A623" t="inlineStr">
        <is>
          <t>A 36017-2025</t>
        </is>
      </c>
      <c r="B623" s="1" t="n">
        <v>45863</v>
      </c>
      <c r="C623" s="1" t="n">
        <v>45966</v>
      </c>
      <c r="D623" t="inlineStr">
        <is>
          <t>DALARNAS LÄN</t>
        </is>
      </c>
      <c r="E623" t="inlineStr">
        <is>
          <t>LEKSAND</t>
        </is>
      </c>
      <c r="F623" t="inlineStr">
        <is>
          <t>Bergvik skog väst AB</t>
        </is>
      </c>
      <c r="G623" t="n">
        <v>17.9</v>
      </c>
      <c r="H623" t="n">
        <v>0</v>
      </c>
      <c r="I623" t="n">
        <v>0</v>
      </c>
      <c r="J623" t="n">
        <v>0</v>
      </c>
      <c r="K623" t="n">
        <v>0</v>
      </c>
      <c r="L623" t="n">
        <v>0</v>
      </c>
      <c r="M623" t="n">
        <v>0</v>
      </c>
      <c r="N623" t="n">
        <v>0</v>
      </c>
      <c r="O623" t="n">
        <v>0</v>
      </c>
      <c r="P623" t="n">
        <v>0</v>
      </c>
      <c r="Q623" t="n">
        <v>0</v>
      </c>
      <c r="R623" s="2" t="inlineStr"/>
    </row>
    <row r="624" ht="15" customHeight="1">
      <c r="A624" t="inlineStr">
        <is>
          <t>A 35998-2025</t>
        </is>
      </c>
      <c r="B624" s="1" t="n">
        <v>45863.51550925926</v>
      </c>
      <c r="C624" s="1" t="n">
        <v>45966</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36021-2025</t>
        </is>
      </c>
      <c r="B625" s="1" t="n">
        <v>45863.72346064815</v>
      </c>
      <c r="C625" s="1" t="n">
        <v>45966</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7417-2024</t>
        </is>
      </c>
      <c r="B626" s="1" t="n">
        <v>45345.62378472222</v>
      </c>
      <c r="C626" s="1" t="n">
        <v>45966</v>
      </c>
      <c r="D626" t="inlineStr">
        <is>
          <t>DALARNAS LÄN</t>
        </is>
      </c>
      <c r="E626" t="inlineStr">
        <is>
          <t>LEKSAND</t>
        </is>
      </c>
      <c r="G626" t="n">
        <v>2.8</v>
      </c>
      <c r="H626" t="n">
        <v>0</v>
      </c>
      <c r="I626" t="n">
        <v>0</v>
      </c>
      <c r="J626" t="n">
        <v>0</v>
      </c>
      <c r="K626" t="n">
        <v>0</v>
      </c>
      <c r="L626" t="n">
        <v>0</v>
      </c>
      <c r="M626" t="n">
        <v>0</v>
      </c>
      <c r="N626" t="n">
        <v>0</v>
      </c>
      <c r="O626" t="n">
        <v>0</v>
      </c>
      <c r="P626" t="n">
        <v>0</v>
      </c>
      <c r="Q626" t="n">
        <v>0</v>
      </c>
      <c r="R626" s="2" t="inlineStr"/>
    </row>
    <row r="627" ht="15" customHeight="1">
      <c r="A627" t="inlineStr">
        <is>
          <t>A 36190-2025</t>
        </is>
      </c>
      <c r="B627" s="1" t="n">
        <v>45867</v>
      </c>
      <c r="C627" s="1" t="n">
        <v>45966</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36540-2025</t>
        </is>
      </c>
      <c r="B628" s="1" t="n">
        <v>45869.63885416667</v>
      </c>
      <c r="C628" s="1" t="n">
        <v>45966</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5574-2024</t>
        </is>
      </c>
      <c r="B629" s="1" t="n">
        <v>45334</v>
      </c>
      <c r="C629" s="1" t="n">
        <v>45966</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4121-2024</t>
        </is>
      </c>
      <c r="B630" s="1" t="n">
        <v>45323</v>
      </c>
      <c r="C630" s="1" t="n">
        <v>45966</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57665-2023</t>
        </is>
      </c>
      <c r="B631" s="1" t="n">
        <v>45246</v>
      </c>
      <c r="C631" s="1" t="n">
        <v>45966</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402-2024</t>
        </is>
      </c>
      <c r="B632" s="1" t="n">
        <v>45296.45545138889</v>
      </c>
      <c r="C632" s="1" t="n">
        <v>45966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30858-2024</t>
        </is>
      </c>
      <c r="B633" s="1" t="n">
        <v>45497.67601851852</v>
      </c>
      <c r="C633" s="1" t="n">
        <v>45966</v>
      </c>
      <c r="D633" t="inlineStr">
        <is>
          <t>DALARNAS LÄN</t>
        </is>
      </c>
      <c r="E633" t="inlineStr">
        <is>
          <t>LEKSAND</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51677-2024</t>
        </is>
      </c>
      <c r="B634" s="1" t="n">
        <v>45607.30265046296</v>
      </c>
      <c r="C634" s="1" t="n">
        <v>45966</v>
      </c>
      <c r="D634" t="inlineStr">
        <is>
          <t>DALARNAS LÄN</t>
        </is>
      </c>
      <c r="E634" t="inlineStr">
        <is>
          <t>LEKSAND</t>
        </is>
      </c>
      <c r="G634" t="n">
        <v>3.4</v>
      </c>
      <c r="H634" t="n">
        <v>0</v>
      </c>
      <c r="I634" t="n">
        <v>0</v>
      </c>
      <c r="J634" t="n">
        <v>0</v>
      </c>
      <c r="K634" t="n">
        <v>0</v>
      </c>
      <c r="L634" t="n">
        <v>0</v>
      </c>
      <c r="M634" t="n">
        <v>0</v>
      </c>
      <c r="N634" t="n">
        <v>0</v>
      </c>
      <c r="O634" t="n">
        <v>0</v>
      </c>
      <c r="P634" t="n">
        <v>0</v>
      </c>
      <c r="Q634" t="n">
        <v>0</v>
      </c>
      <c r="R634" s="2" t="inlineStr"/>
    </row>
    <row r="635" ht="15" customHeight="1">
      <c r="A635" t="inlineStr">
        <is>
          <t>A 25921-2024</t>
        </is>
      </c>
      <c r="B635" s="1" t="n">
        <v>45467.6053587963</v>
      </c>
      <c r="C635" s="1" t="n">
        <v>45966</v>
      </c>
      <c r="D635" t="inlineStr">
        <is>
          <t>DALARNAS LÄN</t>
        </is>
      </c>
      <c r="E635" t="inlineStr">
        <is>
          <t>LEKSAND</t>
        </is>
      </c>
      <c r="G635" t="n">
        <v>2.8</v>
      </c>
      <c r="H635" t="n">
        <v>0</v>
      </c>
      <c r="I635" t="n">
        <v>0</v>
      </c>
      <c r="J635" t="n">
        <v>0</v>
      </c>
      <c r="K635" t="n">
        <v>0</v>
      </c>
      <c r="L635" t="n">
        <v>0</v>
      </c>
      <c r="M635" t="n">
        <v>0</v>
      </c>
      <c r="N635" t="n">
        <v>0</v>
      </c>
      <c r="O635" t="n">
        <v>0</v>
      </c>
      <c r="P635" t="n">
        <v>0</v>
      </c>
      <c r="Q635" t="n">
        <v>0</v>
      </c>
      <c r="R635" s="2" t="inlineStr"/>
    </row>
    <row r="636" ht="15" customHeight="1">
      <c r="A636" t="inlineStr">
        <is>
          <t>A 41306-2024</t>
        </is>
      </c>
      <c r="B636" s="1" t="n">
        <v>45559.62550925926</v>
      </c>
      <c r="C636" s="1" t="n">
        <v>45966</v>
      </c>
      <c r="D636" t="inlineStr">
        <is>
          <t>DALARNAS LÄN</t>
        </is>
      </c>
      <c r="E636" t="inlineStr">
        <is>
          <t>LEKSAND</t>
        </is>
      </c>
      <c r="G636" t="n">
        <v>0.5</v>
      </c>
      <c r="H636" t="n">
        <v>0</v>
      </c>
      <c r="I636" t="n">
        <v>0</v>
      </c>
      <c r="J636" t="n">
        <v>0</v>
      </c>
      <c r="K636" t="n">
        <v>0</v>
      </c>
      <c r="L636" t="n">
        <v>0</v>
      </c>
      <c r="M636" t="n">
        <v>0</v>
      </c>
      <c r="N636" t="n">
        <v>0</v>
      </c>
      <c r="O636" t="n">
        <v>0</v>
      </c>
      <c r="P636" t="n">
        <v>0</v>
      </c>
      <c r="Q636" t="n">
        <v>0</v>
      </c>
      <c r="R636" s="2" t="inlineStr"/>
    </row>
    <row r="637" ht="15" customHeight="1">
      <c r="A637" t="inlineStr">
        <is>
          <t>A 17377-2025</t>
        </is>
      </c>
      <c r="B637" s="1" t="n">
        <v>45756.983125</v>
      </c>
      <c r="C637" s="1" t="n">
        <v>45966</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164-2023</t>
        </is>
      </c>
      <c r="B638" s="1" t="n">
        <v>44918</v>
      </c>
      <c r="C638" s="1" t="n">
        <v>45966</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2517-2024</t>
        </is>
      </c>
      <c r="B639" s="1" t="n">
        <v>45313</v>
      </c>
      <c r="C639" s="1" t="n">
        <v>45966</v>
      </c>
      <c r="D639" t="inlineStr">
        <is>
          <t>DALARNAS LÄN</t>
        </is>
      </c>
      <c r="E639" t="inlineStr">
        <is>
          <t>LEKSAND</t>
        </is>
      </c>
      <c r="F639" t="inlineStr">
        <is>
          <t>Bergvik skog väst AB</t>
        </is>
      </c>
      <c r="G639" t="n">
        <v>4</v>
      </c>
      <c r="H639" t="n">
        <v>0</v>
      </c>
      <c r="I639" t="n">
        <v>0</v>
      </c>
      <c r="J639" t="n">
        <v>0</v>
      </c>
      <c r="K639" t="n">
        <v>0</v>
      </c>
      <c r="L639" t="n">
        <v>0</v>
      </c>
      <c r="M639" t="n">
        <v>0</v>
      </c>
      <c r="N639" t="n">
        <v>0</v>
      </c>
      <c r="O639" t="n">
        <v>0</v>
      </c>
      <c r="P639" t="n">
        <v>0</v>
      </c>
      <c r="Q639" t="n">
        <v>0</v>
      </c>
      <c r="R639" s="2" t="inlineStr"/>
    </row>
    <row r="640" ht="15" customHeight="1">
      <c r="A640" t="inlineStr">
        <is>
          <t>A 13288-2023</t>
        </is>
      </c>
      <c r="B640" s="1" t="n">
        <v>45004.8160300926</v>
      </c>
      <c r="C640" s="1" t="n">
        <v>45966</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17233-2023</t>
        </is>
      </c>
      <c r="B641" s="1" t="n">
        <v>45035</v>
      </c>
      <c r="C641" s="1" t="n">
        <v>45966</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37508-2025</t>
        </is>
      </c>
      <c r="B642" s="1" t="n">
        <v>45877.66282407408</v>
      </c>
      <c r="C642" s="1" t="n">
        <v>45966</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46931-2023</t>
        </is>
      </c>
      <c r="B643" s="1" t="n">
        <v>45201</v>
      </c>
      <c r="C643" s="1" t="n">
        <v>45966</v>
      </c>
      <c r="D643" t="inlineStr">
        <is>
          <t>DALARNAS LÄN</t>
        </is>
      </c>
      <c r="E643" t="inlineStr">
        <is>
          <t>LEKSAND</t>
        </is>
      </c>
      <c r="G643" t="n">
        <v>1.4</v>
      </c>
      <c r="H643" t="n">
        <v>0</v>
      </c>
      <c r="I643" t="n">
        <v>0</v>
      </c>
      <c r="J643" t="n">
        <v>0</v>
      </c>
      <c r="K643" t="n">
        <v>0</v>
      </c>
      <c r="L643" t="n">
        <v>0</v>
      </c>
      <c r="M643" t="n">
        <v>0</v>
      </c>
      <c r="N643" t="n">
        <v>0</v>
      </c>
      <c r="O643" t="n">
        <v>0</v>
      </c>
      <c r="P643" t="n">
        <v>0</v>
      </c>
      <c r="Q643" t="n">
        <v>0</v>
      </c>
      <c r="R643" s="2" t="inlineStr"/>
    </row>
    <row r="644" ht="15" customHeight="1">
      <c r="A644" t="inlineStr">
        <is>
          <t>A 11740-2025</t>
        </is>
      </c>
      <c r="B644" s="1" t="n">
        <v>45727.62582175926</v>
      </c>
      <c r="C644" s="1" t="n">
        <v>45966</v>
      </c>
      <c r="D644" t="inlineStr">
        <is>
          <t>DALARNAS LÄN</t>
        </is>
      </c>
      <c r="E644" t="inlineStr">
        <is>
          <t>LEKSAND</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10373-2023</t>
        </is>
      </c>
      <c r="B645" s="1" t="n">
        <v>44987</v>
      </c>
      <c r="C645" s="1" t="n">
        <v>45966</v>
      </c>
      <c r="D645" t="inlineStr">
        <is>
          <t>DALARNAS LÄN</t>
        </is>
      </c>
      <c r="E645" t="inlineStr">
        <is>
          <t>LEKSAND</t>
        </is>
      </c>
      <c r="G645" t="n">
        <v>0.3</v>
      </c>
      <c r="H645" t="n">
        <v>0</v>
      </c>
      <c r="I645" t="n">
        <v>0</v>
      </c>
      <c r="J645" t="n">
        <v>0</v>
      </c>
      <c r="K645" t="n">
        <v>0</v>
      </c>
      <c r="L645" t="n">
        <v>0</v>
      </c>
      <c r="M645" t="n">
        <v>0</v>
      </c>
      <c r="N645" t="n">
        <v>0</v>
      </c>
      <c r="O645" t="n">
        <v>0</v>
      </c>
      <c r="P645" t="n">
        <v>0</v>
      </c>
      <c r="Q645" t="n">
        <v>0</v>
      </c>
      <c r="R645" s="2" t="inlineStr"/>
    </row>
    <row r="646" ht="15" customHeight="1">
      <c r="A646" t="inlineStr">
        <is>
          <t>A 2820-2024</t>
        </is>
      </c>
      <c r="B646" s="1" t="n">
        <v>45314.76287037037</v>
      </c>
      <c r="C646" s="1" t="n">
        <v>45966</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2822-2024</t>
        </is>
      </c>
      <c r="B647" s="1" t="n">
        <v>45314.76622685185</v>
      </c>
      <c r="C647" s="1" t="n">
        <v>45966</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37996-2025</t>
        </is>
      </c>
      <c r="B648" s="1" t="n">
        <v>45881.8299537037</v>
      </c>
      <c r="C648" s="1" t="n">
        <v>45966</v>
      </c>
      <c r="D648" t="inlineStr">
        <is>
          <t>DALARNAS LÄN</t>
        </is>
      </c>
      <c r="E648" t="inlineStr">
        <is>
          <t>LEKSAND</t>
        </is>
      </c>
      <c r="G648" t="n">
        <v>4.2</v>
      </c>
      <c r="H648" t="n">
        <v>0</v>
      </c>
      <c r="I648" t="n">
        <v>0</v>
      </c>
      <c r="J648" t="n">
        <v>0</v>
      </c>
      <c r="K648" t="n">
        <v>0</v>
      </c>
      <c r="L648" t="n">
        <v>0</v>
      </c>
      <c r="M648" t="n">
        <v>0</v>
      </c>
      <c r="N648" t="n">
        <v>0</v>
      </c>
      <c r="O648" t="n">
        <v>0</v>
      </c>
      <c r="P648" t="n">
        <v>0</v>
      </c>
      <c r="Q648" t="n">
        <v>0</v>
      </c>
      <c r="R648" s="2" t="inlineStr"/>
    </row>
    <row r="649" ht="15" customHeight="1">
      <c r="A649" t="inlineStr">
        <is>
          <t>A 59199-2024</t>
        </is>
      </c>
      <c r="B649" s="1" t="n">
        <v>45637</v>
      </c>
      <c r="C649" s="1" t="n">
        <v>45966</v>
      </c>
      <c r="D649" t="inlineStr">
        <is>
          <t>DALARNAS LÄN</t>
        </is>
      </c>
      <c r="E649" t="inlineStr">
        <is>
          <t>LEKSAND</t>
        </is>
      </c>
      <c r="G649" t="n">
        <v>5.4</v>
      </c>
      <c r="H649" t="n">
        <v>0</v>
      </c>
      <c r="I649" t="n">
        <v>0</v>
      </c>
      <c r="J649" t="n">
        <v>0</v>
      </c>
      <c r="K649" t="n">
        <v>0</v>
      </c>
      <c r="L649" t="n">
        <v>0</v>
      </c>
      <c r="M649" t="n">
        <v>0</v>
      </c>
      <c r="N649" t="n">
        <v>0</v>
      </c>
      <c r="O649" t="n">
        <v>0</v>
      </c>
      <c r="P649" t="n">
        <v>0</v>
      </c>
      <c r="Q649" t="n">
        <v>0</v>
      </c>
      <c r="R649" s="2" t="inlineStr"/>
    </row>
    <row r="650" ht="15" customHeight="1">
      <c r="A650" t="inlineStr">
        <is>
          <t>A 46176-2025</t>
        </is>
      </c>
      <c r="B650" s="1" t="n">
        <v>45924.65101851852</v>
      </c>
      <c r="C650" s="1" t="n">
        <v>45966</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37952-2024</t>
        </is>
      </c>
      <c r="B651" s="1" t="n">
        <v>45544.5200462963</v>
      </c>
      <c r="C651" s="1" t="n">
        <v>45966</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19296-2024</t>
        </is>
      </c>
      <c r="B652" s="1" t="n">
        <v>45428.69438657408</v>
      </c>
      <c r="C652" s="1" t="n">
        <v>45966</v>
      </c>
      <c r="D652" t="inlineStr">
        <is>
          <t>DALARNAS LÄN</t>
        </is>
      </c>
      <c r="E652" t="inlineStr">
        <is>
          <t>LEKSAND</t>
        </is>
      </c>
      <c r="G652" t="n">
        <v>2.4</v>
      </c>
      <c r="H652" t="n">
        <v>0</v>
      </c>
      <c r="I652" t="n">
        <v>0</v>
      </c>
      <c r="J652" t="n">
        <v>0</v>
      </c>
      <c r="K652" t="n">
        <v>0</v>
      </c>
      <c r="L652" t="n">
        <v>0</v>
      </c>
      <c r="M652" t="n">
        <v>0</v>
      </c>
      <c r="N652" t="n">
        <v>0</v>
      </c>
      <c r="O652" t="n">
        <v>0</v>
      </c>
      <c r="P652" t="n">
        <v>0</v>
      </c>
      <c r="Q652" t="n">
        <v>0</v>
      </c>
      <c r="R652" s="2" t="inlineStr"/>
    </row>
    <row r="653" ht="15" customHeight="1">
      <c r="A653" t="inlineStr">
        <is>
          <t>A 46405-2025</t>
        </is>
      </c>
      <c r="B653" s="1" t="n">
        <v>45925.56306712963</v>
      </c>
      <c r="C653" s="1" t="n">
        <v>45966</v>
      </c>
      <c r="D653" t="inlineStr">
        <is>
          <t>DALARNAS LÄN</t>
        </is>
      </c>
      <c r="E653" t="inlineStr">
        <is>
          <t>LEKSAND</t>
        </is>
      </c>
      <c r="G653" t="n">
        <v>5.7</v>
      </c>
      <c r="H653" t="n">
        <v>0</v>
      </c>
      <c r="I653" t="n">
        <v>0</v>
      </c>
      <c r="J653" t="n">
        <v>0</v>
      </c>
      <c r="K653" t="n">
        <v>0</v>
      </c>
      <c r="L653" t="n">
        <v>0</v>
      </c>
      <c r="M653" t="n">
        <v>0</v>
      </c>
      <c r="N653" t="n">
        <v>0</v>
      </c>
      <c r="O653" t="n">
        <v>0</v>
      </c>
      <c r="P653" t="n">
        <v>0</v>
      </c>
      <c r="Q653" t="n">
        <v>0</v>
      </c>
      <c r="R653" s="2" t="inlineStr"/>
    </row>
    <row r="654" ht="15" customHeight="1">
      <c r="A654" t="inlineStr">
        <is>
          <t>A 46483-2025</t>
        </is>
      </c>
      <c r="B654" s="1" t="n">
        <v>45925.70248842592</v>
      </c>
      <c r="C654" s="1" t="n">
        <v>45966</v>
      </c>
      <c r="D654" t="inlineStr">
        <is>
          <t>DALARNAS LÄN</t>
        </is>
      </c>
      <c r="E654" t="inlineStr">
        <is>
          <t>LEKSAND</t>
        </is>
      </c>
      <c r="G654" t="n">
        <v>3.6</v>
      </c>
      <c r="H654" t="n">
        <v>0</v>
      </c>
      <c r="I654" t="n">
        <v>0</v>
      </c>
      <c r="J654" t="n">
        <v>0</v>
      </c>
      <c r="K654" t="n">
        <v>0</v>
      </c>
      <c r="L654" t="n">
        <v>0</v>
      </c>
      <c r="M654" t="n">
        <v>0</v>
      </c>
      <c r="N654" t="n">
        <v>0</v>
      </c>
      <c r="O654" t="n">
        <v>0</v>
      </c>
      <c r="P654" t="n">
        <v>0</v>
      </c>
      <c r="Q654" t="n">
        <v>0</v>
      </c>
      <c r="R654" s="2" t="inlineStr"/>
    </row>
    <row r="655" ht="15" customHeight="1">
      <c r="A655" t="inlineStr">
        <is>
          <t>A 36932-2023</t>
        </is>
      </c>
      <c r="B655" s="1" t="n">
        <v>45154</v>
      </c>
      <c r="C655" s="1" t="n">
        <v>45966</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2579-2022</t>
        </is>
      </c>
      <c r="B656" s="1" t="n">
        <v>44580</v>
      </c>
      <c r="C656" s="1" t="n">
        <v>45966</v>
      </c>
      <c r="D656" t="inlineStr">
        <is>
          <t>DALARNAS LÄN</t>
        </is>
      </c>
      <c r="E656" t="inlineStr">
        <is>
          <t>LEKSAND</t>
        </is>
      </c>
      <c r="G656" t="n">
        <v>0.3</v>
      </c>
      <c r="H656" t="n">
        <v>0</v>
      </c>
      <c r="I656" t="n">
        <v>0</v>
      </c>
      <c r="J656" t="n">
        <v>0</v>
      </c>
      <c r="K656" t="n">
        <v>0</v>
      </c>
      <c r="L656" t="n">
        <v>0</v>
      </c>
      <c r="M656" t="n">
        <v>0</v>
      </c>
      <c r="N656" t="n">
        <v>0</v>
      </c>
      <c r="O656" t="n">
        <v>0</v>
      </c>
      <c r="P656" t="n">
        <v>0</v>
      </c>
      <c r="Q656" t="n">
        <v>0</v>
      </c>
      <c r="R656" s="2" t="inlineStr"/>
    </row>
    <row r="657" ht="15" customHeight="1">
      <c r="A657" t="inlineStr">
        <is>
          <t>A 15257-2025</t>
        </is>
      </c>
      <c r="B657" s="1" t="n">
        <v>45744</v>
      </c>
      <c r="C657" s="1" t="n">
        <v>45966</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38090-2025</t>
        </is>
      </c>
      <c r="B658" s="1" t="n">
        <v>45882.48440972222</v>
      </c>
      <c r="C658" s="1" t="n">
        <v>45966</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46834-2023</t>
        </is>
      </c>
      <c r="B659" s="1" t="n">
        <v>45199.35668981481</v>
      </c>
      <c r="C659" s="1" t="n">
        <v>45966</v>
      </c>
      <c r="D659" t="inlineStr">
        <is>
          <t>DALARNAS LÄN</t>
        </is>
      </c>
      <c r="E659" t="inlineStr">
        <is>
          <t>LEKSAND</t>
        </is>
      </c>
      <c r="G659" t="n">
        <v>16.3</v>
      </c>
      <c r="H659" t="n">
        <v>0</v>
      </c>
      <c r="I659" t="n">
        <v>0</v>
      </c>
      <c r="J659" t="n">
        <v>0</v>
      </c>
      <c r="K659" t="n">
        <v>0</v>
      </c>
      <c r="L659" t="n">
        <v>0</v>
      </c>
      <c r="M659" t="n">
        <v>0</v>
      </c>
      <c r="N659" t="n">
        <v>0</v>
      </c>
      <c r="O659" t="n">
        <v>0</v>
      </c>
      <c r="P659" t="n">
        <v>0</v>
      </c>
      <c r="Q659" t="n">
        <v>0</v>
      </c>
      <c r="R659" s="2" t="inlineStr"/>
    </row>
    <row r="660" ht="15" customHeight="1">
      <c r="A660" t="inlineStr">
        <is>
          <t>A 57013-2023</t>
        </is>
      </c>
      <c r="B660" s="1" t="n">
        <v>45244</v>
      </c>
      <c r="C660" s="1" t="n">
        <v>45966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2140-2024</t>
        </is>
      </c>
      <c r="B661" s="1" t="n">
        <v>45309</v>
      </c>
      <c r="C661" s="1" t="n">
        <v>45966</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12851-2023</t>
        </is>
      </c>
      <c r="B662" s="1" t="n">
        <v>45001.49347222222</v>
      </c>
      <c r="C662" s="1" t="n">
        <v>45966</v>
      </c>
      <c r="D662" t="inlineStr">
        <is>
          <t>DALARNAS LÄN</t>
        </is>
      </c>
      <c r="E662" t="inlineStr">
        <is>
          <t>LEKSAND</t>
        </is>
      </c>
      <c r="G662" t="n">
        <v>1.9</v>
      </c>
      <c r="H662" t="n">
        <v>0</v>
      </c>
      <c r="I662" t="n">
        <v>0</v>
      </c>
      <c r="J662" t="n">
        <v>0</v>
      </c>
      <c r="K662" t="n">
        <v>0</v>
      </c>
      <c r="L662" t="n">
        <v>0</v>
      </c>
      <c r="M662" t="n">
        <v>0</v>
      </c>
      <c r="N662" t="n">
        <v>0</v>
      </c>
      <c r="O662" t="n">
        <v>0</v>
      </c>
      <c r="P662" t="n">
        <v>0</v>
      </c>
      <c r="Q662" t="n">
        <v>0</v>
      </c>
      <c r="R662" s="2" t="inlineStr"/>
    </row>
    <row r="663" ht="15" customHeight="1">
      <c r="A663" t="inlineStr">
        <is>
          <t>A 23615-2024</t>
        </is>
      </c>
      <c r="B663" s="1" t="n">
        <v>45454.43050925926</v>
      </c>
      <c r="C663" s="1" t="n">
        <v>45966</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22349-2024</t>
        </is>
      </c>
      <c r="B664" s="1" t="n">
        <v>45446</v>
      </c>
      <c r="C664" s="1" t="n">
        <v>45966</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53717-2023</t>
        </is>
      </c>
      <c r="B665" s="1" t="n">
        <v>45230</v>
      </c>
      <c r="C665" s="1" t="n">
        <v>45966</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57925-2024</t>
        </is>
      </c>
      <c r="B666" s="1" t="n">
        <v>45630</v>
      </c>
      <c r="C666" s="1" t="n">
        <v>45966</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11004-2023</t>
        </is>
      </c>
      <c r="B667" s="1" t="n">
        <v>44986</v>
      </c>
      <c r="C667" s="1" t="n">
        <v>45966</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32688-2024</t>
        </is>
      </c>
      <c r="B668" s="1" t="n">
        <v>45515.83091435185</v>
      </c>
      <c r="C668" s="1" t="n">
        <v>45966</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43419-2024</t>
        </is>
      </c>
      <c r="B669" s="1" t="n">
        <v>45568</v>
      </c>
      <c r="C669" s="1" t="n">
        <v>45966</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47854-2023</t>
        </is>
      </c>
      <c r="B670" s="1" t="n">
        <v>45198</v>
      </c>
      <c r="C670" s="1" t="n">
        <v>45966</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28633-2023</t>
        </is>
      </c>
      <c r="B671" s="1" t="n">
        <v>45103.61575231481</v>
      </c>
      <c r="C671" s="1" t="n">
        <v>45966</v>
      </c>
      <c r="D671" t="inlineStr">
        <is>
          <t>DALARNAS LÄN</t>
        </is>
      </c>
      <c r="E671" t="inlineStr">
        <is>
          <t>LEKSAND</t>
        </is>
      </c>
      <c r="F671" t="inlineStr">
        <is>
          <t>Bergvik skog väst AB</t>
        </is>
      </c>
      <c r="G671" t="n">
        <v>0.5</v>
      </c>
      <c r="H671" t="n">
        <v>0</v>
      </c>
      <c r="I671" t="n">
        <v>0</v>
      </c>
      <c r="J671" t="n">
        <v>0</v>
      </c>
      <c r="K671" t="n">
        <v>0</v>
      </c>
      <c r="L671" t="n">
        <v>0</v>
      </c>
      <c r="M671" t="n">
        <v>0</v>
      </c>
      <c r="N671" t="n">
        <v>0</v>
      </c>
      <c r="O671" t="n">
        <v>0</v>
      </c>
      <c r="P671" t="n">
        <v>0</v>
      </c>
      <c r="Q671" t="n">
        <v>0</v>
      </c>
      <c r="R671" s="2" t="inlineStr"/>
    </row>
    <row r="672" ht="15" customHeight="1">
      <c r="A672" t="inlineStr">
        <is>
          <t>A 9459-2023</t>
        </is>
      </c>
      <c r="B672" s="1" t="n">
        <v>44977</v>
      </c>
      <c r="C672" s="1" t="n">
        <v>45966</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30198-2024</t>
        </is>
      </c>
      <c r="B673" s="1" t="n">
        <v>45490.34765046297</v>
      </c>
      <c r="C673" s="1" t="n">
        <v>45966</v>
      </c>
      <c r="D673" t="inlineStr">
        <is>
          <t>DALARNAS LÄN</t>
        </is>
      </c>
      <c r="E673" t="inlineStr">
        <is>
          <t>LEKSAND</t>
        </is>
      </c>
      <c r="G673" t="n">
        <v>0.8</v>
      </c>
      <c r="H673" t="n">
        <v>0</v>
      </c>
      <c r="I673" t="n">
        <v>0</v>
      </c>
      <c r="J673" t="n">
        <v>0</v>
      </c>
      <c r="K673" t="n">
        <v>0</v>
      </c>
      <c r="L673" t="n">
        <v>0</v>
      </c>
      <c r="M673" t="n">
        <v>0</v>
      </c>
      <c r="N673" t="n">
        <v>0</v>
      </c>
      <c r="O673" t="n">
        <v>0</v>
      </c>
      <c r="P673" t="n">
        <v>0</v>
      </c>
      <c r="Q673" t="n">
        <v>0</v>
      </c>
      <c r="R673" s="2" t="inlineStr"/>
    </row>
    <row r="674" ht="15" customHeight="1">
      <c r="A674" t="inlineStr">
        <is>
          <t>A 59718-2023</t>
        </is>
      </c>
      <c r="B674" s="1" t="n">
        <v>45257</v>
      </c>
      <c r="C674" s="1" t="n">
        <v>45966</v>
      </c>
      <c r="D674" t="inlineStr">
        <is>
          <t>DALARNAS LÄN</t>
        </is>
      </c>
      <c r="E674" t="inlineStr">
        <is>
          <t>LEKSAND</t>
        </is>
      </c>
      <c r="G674" t="n">
        <v>2.2</v>
      </c>
      <c r="H674" t="n">
        <v>0</v>
      </c>
      <c r="I674" t="n">
        <v>0</v>
      </c>
      <c r="J674" t="n">
        <v>0</v>
      </c>
      <c r="K674" t="n">
        <v>0</v>
      </c>
      <c r="L674" t="n">
        <v>0</v>
      </c>
      <c r="M674" t="n">
        <v>0</v>
      </c>
      <c r="N674" t="n">
        <v>0</v>
      </c>
      <c r="O674" t="n">
        <v>0</v>
      </c>
      <c r="P674" t="n">
        <v>0</v>
      </c>
      <c r="Q674" t="n">
        <v>0</v>
      </c>
      <c r="R674" s="2" t="inlineStr"/>
    </row>
    <row r="675" ht="15" customHeight="1">
      <c r="A675" t="inlineStr">
        <is>
          <t>A 7395-2025</t>
        </is>
      </c>
      <c r="B675" s="1" t="n">
        <v>45705.34516203704</v>
      </c>
      <c r="C675" s="1" t="n">
        <v>45966</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16744-2025</t>
        </is>
      </c>
      <c r="B676" s="1" t="n">
        <v>45754</v>
      </c>
      <c r="C676" s="1" t="n">
        <v>45966</v>
      </c>
      <c r="D676" t="inlineStr">
        <is>
          <t>DALARNAS LÄN</t>
        </is>
      </c>
      <c r="E676" t="inlineStr">
        <is>
          <t>LEKSAND</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11859-2024</t>
        </is>
      </c>
      <c r="B677" s="1" t="n">
        <v>45376.44569444445</v>
      </c>
      <c r="C677" s="1" t="n">
        <v>45966</v>
      </c>
      <c r="D677" t="inlineStr">
        <is>
          <t>DALARNAS LÄN</t>
        </is>
      </c>
      <c r="E677" t="inlineStr">
        <is>
          <t>LEKSAND</t>
        </is>
      </c>
      <c r="G677" t="n">
        <v>2.1</v>
      </c>
      <c r="H677" t="n">
        <v>0</v>
      </c>
      <c r="I677" t="n">
        <v>0</v>
      </c>
      <c r="J677" t="n">
        <v>0</v>
      </c>
      <c r="K677" t="n">
        <v>0</v>
      </c>
      <c r="L677" t="n">
        <v>0</v>
      </c>
      <c r="M677" t="n">
        <v>0</v>
      </c>
      <c r="N677" t="n">
        <v>0</v>
      </c>
      <c r="O677" t="n">
        <v>0</v>
      </c>
      <c r="P677" t="n">
        <v>0</v>
      </c>
      <c r="Q677" t="n">
        <v>0</v>
      </c>
      <c r="R677" s="2" t="inlineStr"/>
    </row>
    <row r="678" ht="15" customHeight="1">
      <c r="A678" t="inlineStr">
        <is>
          <t>A 51320-2023</t>
        </is>
      </c>
      <c r="B678" s="1" t="n">
        <v>45219.57456018519</v>
      </c>
      <c r="C678" s="1" t="n">
        <v>45966</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28630-2023</t>
        </is>
      </c>
      <c r="B679" s="1" t="n">
        <v>45103.61003472222</v>
      </c>
      <c r="C679" s="1" t="n">
        <v>45966</v>
      </c>
      <c r="D679" t="inlineStr">
        <is>
          <t>DALARNAS LÄN</t>
        </is>
      </c>
      <c r="E679" t="inlineStr">
        <is>
          <t>LEKSAND</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30860-2024</t>
        </is>
      </c>
      <c r="B680" s="1" t="n">
        <v>45497.69108796296</v>
      </c>
      <c r="C680" s="1" t="n">
        <v>45966</v>
      </c>
      <c r="D680" t="inlineStr">
        <is>
          <t>DALARNAS LÄN</t>
        </is>
      </c>
      <c r="E680" t="inlineStr">
        <is>
          <t>LEKSAND</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30864-2024</t>
        </is>
      </c>
      <c r="B681" s="1" t="n">
        <v>45497.71550925926</v>
      </c>
      <c r="C681" s="1" t="n">
        <v>45966</v>
      </c>
      <c r="D681" t="inlineStr">
        <is>
          <t>DALARNAS LÄN</t>
        </is>
      </c>
      <c r="E681" t="inlineStr">
        <is>
          <t>LEKSAND</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61252-2023</t>
        </is>
      </c>
      <c r="B682" s="1" t="n">
        <v>45261</v>
      </c>
      <c r="C682" s="1" t="n">
        <v>45966</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45512-2023</t>
        </is>
      </c>
      <c r="B683" s="1" t="n">
        <v>45194.49178240741</v>
      </c>
      <c r="C683" s="1" t="n">
        <v>45966</v>
      </c>
      <c r="D683" t="inlineStr">
        <is>
          <t>DALARNAS LÄN</t>
        </is>
      </c>
      <c r="E683" t="inlineStr">
        <is>
          <t>LEKSAND</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60024-2023</t>
        </is>
      </c>
      <c r="B684" s="1" t="n">
        <v>45258</v>
      </c>
      <c r="C684" s="1" t="n">
        <v>45966</v>
      </c>
      <c r="D684" t="inlineStr">
        <is>
          <t>DALARNAS LÄN</t>
        </is>
      </c>
      <c r="E684" t="inlineStr">
        <is>
          <t>LEKSAND</t>
        </is>
      </c>
      <c r="G684" t="n">
        <v>4.2</v>
      </c>
      <c r="H684" t="n">
        <v>0</v>
      </c>
      <c r="I684" t="n">
        <v>0</v>
      </c>
      <c r="J684" t="n">
        <v>0</v>
      </c>
      <c r="K684" t="n">
        <v>0</v>
      </c>
      <c r="L684" t="n">
        <v>0</v>
      </c>
      <c r="M684" t="n">
        <v>0</v>
      </c>
      <c r="N684" t="n">
        <v>0</v>
      </c>
      <c r="O684" t="n">
        <v>0</v>
      </c>
      <c r="P684" t="n">
        <v>0</v>
      </c>
      <c r="Q684" t="n">
        <v>0</v>
      </c>
      <c r="R684" s="2" t="inlineStr"/>
    </row>
    <row r="685" ht="15" customHeight="1">
      <c r="A685" t="inlineStr">
        <is>
          <t>A 19330-2025</t>
        </is>
      </c>
      <c r="B685" s="1" t="n">
        <v>45769</v>
      </c>
      <c r="C685" s="1" t="n">
        <v>45966</v>
      </c>
      <c r="D685" t="inlineStr">
        <is>
          <t>DALARNAS LÄN</t>
        </is>
      </c>
      <c r="E685" t="inlineStr">
        <is>
          <t>LEKSAND</t>
        </is>
      </c>
      <c r="G685" t="n">
        <v>1.6</v>
      </c>
      <c r="H685" t="n">
        <v>0</v>
      </c>
      <c r="I685" t="n">
        <v>0</v>
      </c>
      <c r="J685" t="n">
        <v>0</v>
      </c>
      <c r="K685" t="n">
        <v>0</v>
      </c>
      <c r="L685" t="n">
        <v>0</v>
      </c>
      <c r="M685" t="n">
        <v>0</v>
      </c>
      <c r="N685" t="n">
        <v>0</v>
      </c>
      <c r="O685" t="n">
        <v>0</v>
      </c>
      <c r="P685" t="n">
        <v>0</v>
      </c>
      <c r="Q685" t="n">
        <v>0</v>
      </c>
      <c r="R685" s="2" t="inlineStr"/>
    </row>
    <row r="686" ht="15" customHeight="1">
      <c r="A686" t="inlineStr">
        <is>
          <t>A 59826-2023</t>
        </is>
      </c>
      <c r="B686" s="1" t="n">
        <v>45254</v>
      </c>
      <c r="C686" s="1" t="n">
        <v>45966</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28913-2024</t>
        </is>
      </c>
      <c r="B687" s="1" t="n">
        <v>45480.75318287037</v>
      </c>
      <c r="C687" s="1" t="n">
        <v>45966</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14617-2024</t>
        </is>
      </c>
      <c r="B688" s="1" t="n">
        <v>45397</v>
      </c>
      <c r="C688" s="1" t="n">
        <v>45966</v>
      </c>
      <c r="D688" t="inlineStr">
        <is>
          <t>DALARNAS LÄN</t>
        </is>
      </c>
      <c r="E688" t="inlineStr">
        <is>
          <t>LEKSAND</t>
        </is>
      </c>
      <c r="G688" t="n">
        <v>0.2</v>
      </c>
      <c r="H688" t="n">
        <v>0</v>
      </c>
      <c r="I688" t="n">
        <v>0</v>
      </c>
      <c r="J688" t="n">
        <v>0</v>
      </c>
      <c r="K688" t="n">
        <v>0</v>
      </c>
      <c r="L688" t="n">
        <v>0</v>
      </c>
      <c r="M688" t="n">
        <v>0</v>
      </c>
      <c r="N688" t="n">
        <v>0</v>
      </c>
      <c r="O688" t="n">
        <v>0</v>
      </c>
      <c r="P688" t="n">
        <v>0</v>
      </c>
      <c r="Q688" t="n">
        <v>0</v>
      </c>
      <c r="R688" s="2" t="inlineStr"/>
    </row>
    <row r="689" ht="15" customHeight="1">
      <c r="A689" t="inlineStr">
        <is>
          <t>A 60945-2024</t>
        </is>
      </c>
      <c r="B689" s="1" t="n">
        <v>45645.37893518519</v>
      </c>
      <c r="C689" s="1" t="n">
        <v>45966</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60692-2023</t>
        </is>
      </c>
      <c r="B690" s="1" t="n">
        <v>45260.50008101852</v>
      </c>
      <c r="C690" s="1" t="n">
        <v>45966</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7467-2023</t>
        </is>
      </c>
      <c r="B691" s="1" t="n">
        <v>44966</v>
      </c>
      <c r="C691" s="1" t="n">
        <v>45966</v>
      </c>
      <c r="D691" t="inlineStr">
        <is>
          <t>DALARNAS LÄN</t>
        </is>
      </c>
      <c r="E691" t="inlineStr">
        <is>
          <t>LEKSAND</t>
        </is>
      </c>
      <c r="G691" t="n">
        <v>2.4</v>
      </c>
      <c r="H691" t="n">
        <v>0</v>
      </c>
      <c r="I691" t="n">
        <v>0</v>
      </c>
      <c r="J691" t="n">
        <v>0</v>
      </c>
      <c r="K691" t="n">
        <v>0</v>
      </c>
      <c r="L691" t="n">
        <v>0</v>
      </c>
      <c r="M691" t="n">
        <v>0</v>
      </c>
      <c r="N691" t="n">
        <v>0</v>
      </c>
      <c r="O691" t="n">
        <v>0</v>
      </c>
      <c r="P691" t="n">
        <v>0</v>
      </c>
      <c r="Q691" t="n">
        <v>0</v>
      </c>
      <c r="R691" s="2" t="inlineStr"/>
    </row>
    <row r="692" ht="15" customHeight="1">
      <c r="A692" t="inlineStr">
        <is>
          <t>A 44491-2023</t>
        </is>
      </c>
      <c r="B692" s="1" t="n">
        <v>45183</v>
      </c>
      <c r="C692" s="1" t="n">
        <v>45966</v>
      </c>
      <c r="D692" t="inlineStr">
        <is>
          <t>DALARNAS LÄN</t>
        </is>
      </c>
      <c r="E692" t="inlineStr">
        <is>
          <t>LEKSAND</t>
        </is>
      </c>
      <c r="G692" t="n">
        <v>2.6</v>
      </c>
      <c r="H692" t="n">
        <v>0</v>
      </c>
      <c r="I692" t="n">
        <v>0</v>
      </c>
      <c r="J692" t="n">
        <v>0</v>
      </c>
      <c r="K692" t="n">
        <v>0</v>
      </c>
      <c r="L692" t="n">
        <v>0</v>
      </c>
      <c r="M692" t="n">
        <v>0</v>
      </c>
      <c r="N692" t="n">
        <v>0</v>
      </c>
      <c r="O692" t="n">
        <v>0</v>
      </c>
      <c r="P692" t="n">
        <v>0</v>
      </c>
      <c r="Q692" t="n">
        <v>0</v>
      </c>
      <c r="R692" s="2" t="inlineStr"/>
    </row>
    <row r="693" ht="15" customHeight="1">
      <c r="A693" t="inlineStr">
        <is>
          <t>A 60920-2020</t>
        </is>
      </c>
      <c r="B693" s="1" t="n">
        <v>44153</v>
      </c>
      <c r="C693" s="1" t="n">
        <v>45966</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61614-2023</t>
        </is>
      </c>
      <c r="B694" s="1" t="n">
        <v>45261</v>
      </c>
      <c r="C694" s="1" t="n">
        <v>45966</v>
      </c>
      <c r="D694" t="inlineStr">
        <is>
          <t>DALARNAS LÄN</t>
        </is>
      </c>
      <c r="E694" t="inlineStr">
        <is>
          <t>LEKSAND</t>
        </is>
      </c>
      <c r="G694" t="n">
        <v>0.8</v>
      </c>
      <c r="H694" t="n">
        <v>0</v>
      </c>
      <c r="I694" t="n">
        <v>0</v>
      </c>
      <c r="J694" t="n">
        <v>0</v>
      </c>
      <c r="K694" t="n">
        <v>0</v>
      </c>
      <c r="L694" t="n">
        <v>0</v>
      </c>
      <c r="M694" t="n">
        <v>0</v>
      </c>
      <c r="N694" t="n">
        <v>0</v>
      </c>
      <c r="O694" t="n">
        <v>0</v>
      </c>
      <c r="P694" t="n">
        <v>0</v>
      </c>
      <c r="Q694" t="n">
        <v>0</v>
      </c>
      <c r="R694" s="2" t="inlineStr"/>
    </row>
    <row r="695" ht="15" customHeight="1">
      <c r="A695" t="inlineStr">
        <is>
          <t>A 51857-2022</t>
        </is>
      </c>
      <c r="B695" s="1" t="n">
        <v>44867</v>
      </c>
      <c r="C695" s="1" t="n">
        <v>45966</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1267-2025</t>
        </is>
      </c>
      <c r="B696" s="1" t="n">
        <v>45667</v>
      </c>
      <c r="C696" s="1" t="n">
        <v>45966</v>
      </c>
      <c r="D696" t="inlineStr">
        <is>
          <t>DALARNAS LÄN</t>
        </is>
      </c>
      <c r="E696" t="inlineStr">
        <is>
          <t>LEKSAND</t>
        </is>
      </c>
      <c r="G696" t="n">
        <v>0.8</v>
      </c>
      <c r="H696" t="n">
        <v>0</v>
      </c>
      <c r="I696" t="n">
        <v>0</v>
      </c>
      <c r="J696" t="n">
        <v>0</v>
      </c>
      <c r="K696" t="n">
        <v>0</v>
      </c>
      <c r="L696" t="n">
        <v>0</v>
      </c>
      <c r="M696" t="n">
        <v>0</v>
      </c>
      <c r="N696" t="n">
        <v>0</v>
      </c>
      <c r="O696" t="n">
        <v>0</v>
      </c>
      <c r="P696" t="n">
        <v>0</v>
      </c>
      <c r="Q696" t="n">
        <v>0</v>
      </c>
      <c r="R696" s="2" t="inlineStr"/>
    </row>
    <row r="697" ht="15" customHeight="1">
      <c r="A697" t="inlineStr">
        <is>
          <t>A 19700-2025</t>
        </is>
      </c>
      <c r="B697" s="1" t="n">
        <v>45771.32445601852</v>
      </c>
      <c r="C697" s="1" t="n">
        <v>45966</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12582-2025</t>
        </is>
      </c>
      <c r="B698" s="1" t="n">
        <v>45732.62988425926</v>
      </c>
      <c r="C698" s="1" t="n">
        <v>45966</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62116-2024</t>
        </is>
      </c>
      <c r="B699" s="1" t="n">
        <v>45646</v>
      </c>
      <c r="C699" s="1" t="n">
        <v>45966</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30169-2023</t>
        </is>
      </c>
      <c r="B700" s="1" t="n">
        <v>45110</v>
      </c>
      <c r="C700" s="1" t="n">
        <v>45966</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13063-2023</t>
        </is>
      </c>
      <c r="B701" s="1" t="n">
        <v>45001</v>
      </c>
      <c r="C701" s="1" t="n">
        <v>45966</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14943-2023</t>
        </is>
      </c>
      <c r="B702" s="1" t="n">
        <v>45015</v>
      </c>
      <c r="C702" s="1" t="n">
        <v>45966</v>
      </c>
      <c r="D702" t="inlineStr">
        <is>
          <t>DALARNAS LÄN</t>
        </is>
      </c>
      <c r="E702" t="inlineStr">
        <is>
          <t>LEKSAND</t>
        </is>
      </c>
      <c r="G702" t="n">
        <v>1.7</v>
      </c>
      <c r="H702" t="n">
        <v>0</v>
      </c>
      <c r="I702" t="n">
        <v>0</v>
      </c>
      <c r="J702" t="n">
        <v>0</v>
      </c>
      <c r="K702" t="n">
        <v>0</v>
      </c>
      <c r="L702" t="n">
        <v>0</v>
      </c>
      <c r="M702" t="n">
        <v>0</v>
      </c>
      <c r="N702" t="n">
        <v>0</v>
      </c>
      <c r="O702" t="n">
        <v>0</v>
      </c>
      <c r="P702" t="n">
        <v>0</v>
      </c>
      <c r="Q702" t="n">
        <v>0</v>
      </c>
      <c r="R702" s="2" t="inlineStr"/>
    </row>
    <row r="703" ht="15" customHeight="1">
      <c r="A703" t="inlineStr">
        <is>
          <t>A 54289-2023</t>
        </is>
      </c>
      <c r="B703" s="1" t="n">
        <v>45232.71193287037</v>
      </c>
      <c r="C703" s="1" t="n">
        <v>45966</v>
      </c>
      <c r="D703" t="inlineStr">
        <is>
          <t>DALARNAS LÄN</t>
        </is>
      </c>
      <c r="E703" t="inlineStr">
        <is>
          <t>LEKSAND</t>
        </is>
      </c>
      <c r="G703" t="n">
        <v>2</v>
      </c>
      <c r="H703" t="n">
        <v>0</v>
      </c>
      <c r="I703" t="n">
        <v>0</v>
      </c>
      <c r="J703" t="n">
        <v>0</v>
      </c>
      <c r="K703" t="n">
        <v>0</v>
      </c>
      <c r="L703" t="n">
        <v>0</v>
      </c>
      <c r="M703" t="n">
        <v>0</v>
      </c>
      <c r="N703" t="n">
        <v>0</v>
      </c>
      <c r="O703" t="n">
        <v>0</v>
      </c>
      <c r="P703" t="n">
        <v>0</v>
      </c>
      <c r="Q703" t="n">
        <v>0</v>
      </c>
      <c r="R703" s="2" t="inlineStr"/>
    </row>
    <row r="704" ht="15" customHeight="1">
      <c r="A704" t="inlineStr">
        <is>
          <t>A 11869-2024</t>
        </is>
      </c>
      <c r="B704" s="1" t="n">
        <v>45376.45800925926</v>
      </c>
      <c r="C704" s="1" t="n">
        <v>45966</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32666-2023</t>
        </is>
      </c>
      <c r="B705" s="1" t="n">
        <v>45121</v>
      </c>
      <c r="C705" s="1" t="n">
        <v>45966</v>
      </c>
      <c r="D705" t="inlineStr">
        <is>
          <t>DALARNAS LÄN</t>
        </is>
      </c>
      <c r="E705" t="inlineStr">
        <is>
          <t>LEKSAND</t>
        </is>
      </c>
      <c r="G705" t="n">
        <v>9.9</v>
      </c>
      <c r="H705" t="n">
        <v>0</v>
      </c>
      <c r="I705" t="n">
        <v>0</v>
      </c>
      <c r="J705" t="n">
        <v>0</v>
      </c>
      <c r="K705" t="n">
        <v>0</v>
      </c>
      <c r="L705" t="n">
        <v>0</v>
      </c>
      <c r="M705" t="n">
        <v>0</v>
      </c>
      <c r="N705" t="n">
        <v>0</v>
      </c>
      <c r="O705" t="n">
        <v>0</v>
      </c>
      <c r="P705" t="n">
        <v>0</v>
      </c>
      <c r="Q705" t="n">
        <v>0</v>
      </c>
      <c r="R705" s="2" t="inlineStr"/>
    </row>
    <row r="706" ht="15" customHeight="1">
      <c r="A706" t="inlineStr">
        <is>
          <t>A 5231-2024</t>
        </is>
      </c>
      <c r="B706" s="1" t="n">
        <v>45330</v>
      </c>
      <c r="C706" s="1" t="n">
        <v>45966</v>
      </c>
      <c r="D706" t="inlineStr">
        <is>
          <t>DALARNAS LÄN</t>
        </is>
      </c>
      <c r="E706" t="inlineStr">
        <is>
          <t>LEKSAND</t>
        </is>
      </c>
      <c r="F706" t="inlineStr">
        <is>
          <t>Bergvik skog väst AB</t>
        </is>
      </c>
      <c r="G706" t="n">
        <v>11.2</v>
      </c>
      <c r="H706" t="n">
        <v>0</v>
      </c>
      <c r="I706" t="n">
        <v>0</v>
      </c>
      <c r="J706" t="n">
        <v>0</v>
      </c>
      <c r="K706" t="n">
        <v>0</v>
      </c>
      <c r="L706" t="n">
        <v>0</v>
      </c>
      <c r="M706" t="n">
        <v>0</v>
      </c>
      <c r="N706" t="n">
        <v>0</v>
      </c>
      <c r="O706" t="n">
        <v>0</v>
      </c>
      <c r="P706" t="n">
        <v>0</v>
      </c>
      <c r="Q706" t="n">
        <v>0</v>
      </c>
      <c r="R706" s="2" t="inlineStr"/>
    </row>
    <row r="707" ht="15" customHeight="1">
      <c r="A707" t="inlineStr">
        <is>
          <t>A 16137-2023</t>
        </is>
      </c>
      <c r="B707" s="1" t="n">
        <v>45027</v>
      </c>
      <c r="C707" s="1" t="n">
        <v>45966</v>
      </c>
      <c r="D707" t="inlineStr">
        <is>
          <t>DALARNAS LÄN</t>
        </is>
      </c>
      <c r="E707" t="inlineStr">
        <is>
          <t>LEKSAND</t>
        </is>
      </c>
      <c r="G707" t="n">
        <v>1.6</v>
      </c>
      <c r="H707" t="n">
        <v>0</v>
      </c>
      <c r="I707" t="n">
        <v>0</v>
      </c>
      <c r="J707" t="n">
        <v>0</v>
      </c>
      <c r="K707" t="n">
        <v>0</v>
      </c>
      <c r="L707" t="n">
        <v>0</v>
      </c>
      <c r="M707" t="n">
        <v>0</v>
      </c>
      <c r="N707" t="n">
        <v>0</v>
      </c>
      <c r="O707" t="n">
        <v>0</v>
      </c>
      <c r="P707" t="n">
        <v>0</v>
      </c>
      <c r="Q707" t="n">
        <v>0</v>
      </c>
      <c r="R707" s="2" t="inlineStr"/>
    </row>
    <row r="708" ht="15" customHeight="1">
      <c r="A708" t="inlineStr">
        <is>
          <t>A 19618-2024</t>
        </is>
      </c>
      <c r="B708" s="1" t="n">
        <v>45432.32896990741</v>
      </c>
      <c r="C708" s="1" t="n">
        <v>45966</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45235.90439814814</v>
      </c>
      <c r="C709" s="1" t="n">
        <v>45966</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5847-2025</t>
        </is>
      </c>
      <c r="B710" s="1" t="n">
        <v>45695.30824074074</v>
      </c>
      <c r="C710" s="1" t="n">
        <v>45966</v>
      </c>
      <c r="D710" t="inlineStr">
        <is>
          <t>DALARNAS LÄN</t>
        </is>
      </c>
      <c r="E710" t="inlineStr">
        <is>
          <t>LEKSAND</t>
        </is>
      </c>
      <c r="G710" t="n">
        <v>2.6</v>
      </c>
      <c r="H710" t="n">
        <v>0</v>
      </c>
      <c r="I710" t="n">
        <v>0</v>
      </c>
      <c r="J710" t="n">
        <v>0</v>
      </c>
      <c r="K710" t="n">
        <v>0</v>
      </c>
      <c r="L710" t="n">
        <v>0</v>
      </c>
      <c r="M710" t="n">
        <v>0</v>
      </c>
      <c r="N710" t="n">
        <v>0</v>
      </c>
      <c r="O710" t="n">
        <v>0</v>
      </c>
      <c r="P710" t="n">
        <v>0</v>
      </c>
      <c r="Q710" t="n">
        <v>0</v>
      </c>
      <c r="R710" s="2" t="inlineStr"/>
    </row>
    <row r="711" ht="15" customHeight="1">
      <c r="A711" t="inlineStr">
        <is>
          <t>A 60878-2023</t>
        </is>
      </c>
      <c r="B711" s="1" t="n">
        <v>45259</v>
      </c>
      <c r="C711" s="1" t="n">
        <v>45966</v>
      </c>
      <c r="D711" t="inlineStr">
        <is>
          <t>DALARNAS LÄN</t>
        </is>
      </c>
      <c r="E711" t="inlineStr">
        <is>
          <t>LEKSAND</t>
        </is>
      </c>
      <c r="G711" t="n">
        <v>0.6</v>
      </c>
      <c r="H711" t="n">
        <v>0</v>
      </c>
      <c r="I711" t="n">
        <v>0</v>
      </c>
      <c r="J711" t="n">
        <v>0</v>
      </c>
      <c r="K711" t="n">
        <v>0</v>
      </c>
      <c r="L711" t="n">
        <v>0</v>
      </c>
      <c r="M711" t="n">
        <v>0</v>
      </c>
      <c r="N711" t="n">
        <v>0</v>
      </c>
      <c r="O711" t="n">
        <v>0</v>
      </c>
      <c r="P711" t="n">
        <v>0</v>
      </c>
      <c r="Q711" t="n">
        <v>0</v>
      </c>
      <c r="R711" s="2" t="inlineStr"/>
    </row>
    <row r="712" ht="15" customHeight="1">
      <c r="A712" t="inlineStr">
        <is>
          <t>A 36262-2023</t>
        </is>
      </c>
      <c r="B712" s="1" t="n">
        <v>45151.9096875</v>
      </c>
      <c r="C712" s="1" t="n">
        <v>45966</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10367-2023</t>
        </is>
      </c>
      <c r="B713" s="1" t="n">
        <v>44987</v>
      </c>
      <c r="C713" s="1" t="n">
        <v>45966</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30863-2024</t>
        </is>
      </c>
      <c r="B714" s="1" t="n">
        <v>45497.71074074074</v>
      </c>
      <c r="C714" s="1" t="n">
        <v>45966</v>
      </c>
      <c r="D714" t="inlineStr">
        <is>
          <t>DALARNAS LÄN</t>
        </is>
      </c>
      <c r="E714" t="inlineStr">
        <is>
          <t>LEKSAND</t>
        </is>
      </c>
      <c r="F714" t="inlineStr">
        <is>
          <t>Bergvik skog väst AB</t>
        </is>
      </c>
      <c r="G714" t="n">
        <v>0.6</v>
      </c>
      <c r="H714" t="n">
        <v>0</v>
      </c>
      <c r="I714" t="n">
        <v>0</v>
      </c>
      <c r="J714" t="n">
        <v>0</v>
      </c>
      <c r="K714" t="n">
        <v>0</v>
      </c>
      <c r="L714" t="n">
        <v>0</v>
      </c>
      <c r="M714" t="n">
        <v>0</v>
      </c>
      <c r="N714" t="n">
        <v>0</v>
      </c>
      <c r="O714" t="n">
        <v>0</v>
      </c>
      <c r="P714" t="n">
        <v>0</v>
      </c>
      <c r="Q714" t="n">
        <v>0</v>
      </c>
      <c r="R714" s="2" t="inlineStr"/>
    </row>
    <row r="715" ht="15" customHeight="1">
      <c r="A715" t="inlineStr">
        <is>
          <t>A 24481-2024</t>
        </is>
      </c>
      <c r="B715" s="1" t="n">
        <v>45459.36460648148</v>
      </c>
      <c r="C715" s="1" t="n">
        <v>45966</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58495-2023</t>
        </is>
      </c>
      <c r="B716" s="1" t="n">
        <v>45251</v>
      </c>
      <c r="C716" s="1" t="n">
        <v>45966</v>
      </c>
      <c r="D716" t="inlineStr">
        <is>
          <t>DALARNAS LÄN</t>
        </is>
      </c>
      <c r="E716" t="inlineStr">
        <is>
          <t>LEKSAND</t>
        </is>
      </c>
      <c r="G716" t="n">
        <v>1.7</v>
      </c>
      <c r="H716" t="n">
        <v>0</v>
      </c>
      <c r="I716" t="n">
        <v>0</v>
      </c>
      <c r="J716" t="n">
        <v>0</v>
      </c>
      <c r="K716" t="n">
        <v>0</v>
      </c>
      <c r="L716" t="n">
        <v>0</v>
      </c>
      <c r="M716" t="n">
        <v>0</v>
      </c>
      <c r="N716" t="n">
        <v>0</v>
      </c>
      <c r="O716" t="n">
        <v>0</v>
      </c>
      <c r="P716" t="n">
        <v>0</v>
      </c>
      <c r="Q716" t="n">
        <v>0</v>
      </c>
      <c r="R716" s="2" t="inlineStr"/>
    </row>
    <row r="717" ht="15" customHeight="1">
      <c r="A717" t="inlineStr">
        <is>
          <t>A 1519-2024</t>
        </is>
      </c>
      <c r="B717" s="1" t="n">
        <v>45306</v>
      </c>
      <c r="C717" s="1" t="n">
        <v>45966</v>
      </c>
      <c r="D717" t="inlineStr">
        <is>
          <t>DALARNAS LÄN</t>
        </is>
      </c>
      <c r="E717" t="inlineStr">
        <is>
          <t>LEKSAND</t>
        </is>
      </c>
      <c r="G717" t="n">
        <v>3.3</v>
      </c>
      <c r="H717" t="n">
        <v>0</v>
      </c>
      <c r="I717" t="n">
        <v>0</v>
      </c>
      <c r="J717" t="n">
        <v>0</v>
      </c>
      <c r="K717" t="n">
        <v>0</v>
      </c>
      <c r="L717" t="n">
        <v>0</v>
      </c>
      <c r="M717" t="n">
        <v>0</v>
      </c>
      <c r="N717" t="n">
        <v>0</v>
      </c>
      <c r="O717" t="n">
        <v>0</v>
      </c>
      <c r="P717" t="n">
        <v>0</v>
      </c>
      <c r="Q717" t="n">
        <v>0</v>
      </c>
      <c r="R717" s="2" t="inlineStr"/>
    </row>
    <row r="718" ht="15" customHeight="1">
      <c r="A718" t="inlineStr">
        <is>
          <t>A 2694-2025</t>
        </is>
      </c>
      <c r="B718" s="1" t="n">
        <v>45677.38246527778</v>
      </c>
      <c r="C718" s="1" t="n">
        <v>45966</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28892-2022</t>
        </is>
      </c>
      <c r="B719" s="1" t="n">
        <v>44749</v>
      </c>
      <c r="C719" s="1" t="n">
        <v>45966</v>
      </c>
      <c r="D719" t="inlineStr">
        <is>
          <t>DALARNAS LÄN</t>
        </is>
      </c>
      <c r="E719" t="inlineStr">
        <is>
          <t>LEKSAND</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33593-2024</t>
        </is>
      </c>
      <c r="B720" s="1" t="n">
        <v>45520.36055555556</v>
      </c>
      <c r="C720" s="1" t="n">
        <v>45966</v>
      </c>
      <c r="D720" t="inlineStr">
        <is>
          <t>DALARNAS LÄN</t>
        </is>
      </c>
      <c r="E720" t="inlineStr">
        <is>
          <t>LEKSAND</t>
        </is>
      </c>
      <c r="G720" t="n">
        <v>0.3</v>
      </c>
      <c r="H720" t="n">
        <v>0</v>
      </c>
      <c r="I720" t="n">
        <v>0</v>
      </c>
      <c r="J720" t="n">
        <v>0</v>
      </c>
      <c r="K720" t="n">
        <v>0</v>
      </c>
      <c r="L720" t="n">
        <v>0</v>
      </c>
      <c r="M720" t="n">
        <v>0</v>
      </c>
      <c r="N720" t="n">
        <v>0</v>
      </c>
      <c r="O720" t="n">
        <v>0</v>
      </c>
      <c r="P720" t="n">
        <v>0</v>
      </c>
      <c r="Q720" t="n">
        <v>0</v>
      </c>
      <c r="R720" s="2" t="inlineStr"/>
    </row>
    <row r="721" ht="15" customHeight="1">
      <c r="A721" t="inlineStr">
        <is>
          <t>A 7778-2025</t>
        </is>
      </c>
      <c r="B721" s="1" t="n">
        <v>45706</v>
      </c>
      <c r="C721" s="1" t="n">
        <v>45966</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12857-2023</t>
        </is>
      </c>
      <c r="B722" s="1" t="n">
        <v>45001.5000462963</v>
      </c>
      <c r="C722" s="1" t="n">
        <v>45966</v>
      </c>
      <c r="D722" t="inlineStr">
        <is>
          <t>DALARNAS LÄN</t>
        </is>
      </c>
      <c r="E722" t="inlineStr">
        <is>
          <t>LEKSAND</t>
        </is>
      </c>
      <c r="G722" t="n">
        <v>0.2</v>
      </c>
      <c r="H722" t="n">
        <v>0</v>
      </c>
      <c r="I722" t="n">
        <v>0</v>
      </c>
      <c r="J722" t="n">
        <v>0</v>
      </c>
      <c r="K722" t="n">
        <v>0</v>
      </c>
      <c r="L722" t="n">
        <v>0</v>
      </c>
      <c r="M722" t="n">
        <v>0</v>
      </c>
      <c r="N722" t="n">
        <v>0</v>
      </c>
      <c r="O722" t="n">
        <v>0</v>
      </c>
      <c r="P722" t="n">
        <v>0</v>
      </c>
      <c r="Q722" t="n">
        <v>0</v>
      </c>
      <c r="R722" s="2" t="inlineStr"/>
    </row>
    <row r="723" ht="15" customHeight="1">
      <c r="A723" t="inlineStr">
        <is>
          <t>A 32072-2024</t>
        </is>
      </c>
      <c r="B723" s="1" t="n">
        <v>45510.98405092592</v>
      </c>
      <c r="C723" s="1" t="n">
        <v>45966</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56299-2024</t>
        </is>
      </c>
      <c r="B724" s="1" t="n">
        <v>45624.68607638889</v>
      </c>
      <c r="C724" s="1" t="n">
        <v>45966</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17483-2025</t>
        </is>
      </c>
      <c r="B725" s="1" t="n">
        <v>45757.49408564815</v>
      </c>
      <c r="C725" s="1" t="n">
        <v>45966</v>
      </c>
      <c r="D725" t="inlineStr">
        <is>
          <t>DALARNAS LÄN</t>
        </is>
      </c>
      <c r="E725" t="inlineStr">
        <is>
          <t>LEKSAND</t>
        </is>
      </c>
      <c r="G725" t="n">
        <v>4.1</v>
      </c>
      <c r="H725" t="n">
        <v>0</v>
      </c>
      <c r="I725" t="n">
        <v>0</v>
      </c>
      <c r="J725" t="n">
        <v>0</v>
      </c>
      <c r="K725" t="n">
        <v>0</v>
      </c>
      <c r="L725" t="n">
        <v>0</v>
      </c>
      <c r="M725" t="n">
        <v>0</v>
      </c>
      <c r="N725" t="n">
        <v>0</v>
      </c>
      <c r="O725" t="n">
        <v>0</v>
      </c>
      <c r="P725" t="n">
        <v>0</v>
      </c>
      <c r="Q725" t="n">
        <v>0</v>
      </c>
      <c r="R725" s="2" t="inlineStr"/>
    </row>
    <row r="726" ht="15" customHeight="1">
      <c r="A726" t="inlineStr">
        <is>
          <t>A 18481-2024</t>
        </is>
      </c>
      <c r="B726" s="1" t="n">
        <v>45425.52193287037</v>
      </c>
      <c r="C726" s="1" t="n">
        <v>45966</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8046-2024</t>
        </is>
      </c>
      <c r="B727" s="1" t="n">
        <v>45351.31555555556</v>
      </c>
      <c r="C727" s="1" t="n">
        <v>45966</v>
      </c>
      <c r="D727" t="inlineStr">
        <is>
          <t>DALARNAS LÄN</t>
        </is>
      </c>
      <c r="E727" t="inlineStr">
        <is>
          <t>LEKSAND</t>
        </is>
      </c>
      <c r="G727" t="n">
        <v>2.9</v>
      </c>
      <c r="H727" t="n">
        <v>0</v>
      </c>
      <c r="I727" t="n">
        <v>0</v>
      </c>
      <c r="J727" t="n">
        <v>0</v>
      </c>
      <c r="K727" t="n">
        <v>0</v>
      </c>
      <c r="L727" t="n">
        <v>0</v>
      </c>
      <c r="M727" t="n">
        <v>0</v>
      </c>
      <c r="N727" t="n">
        <v>0</v>
      </c>
      <c r="O727" t="n">
        <v>0</v>
      </c>
      <c r="P727" t="n">
        <v>0</v>
      </c>
      <c r="Q727" t="n">
        <v>0</v>
      </c>
      <c r="R727" s="2" t="inlineStr"/>
    </row>
    <row r="728" ht="15" customHeight="1">
      <c r="A728" t="inlineStr">
        <is>
          <t>A 7827-2024</t>
        </is>
      </c>
      <c r="B728" s="1" t="n">
        <v>45349.7467824074</v>
      </c>
      <c r="C728" s="1" t="n">
        <v>45966</v>
      </c>
      <c r="D728" t="inlineStr">
        <is>
          <t>DALARNAS LÄN</t>
        </is>
      </c>
      <c r="E728" t="inlineStr">
        <is>
          <t>LEKSAND</t>
        </is>
      </c>
      <c r="G728" t="n">
        <v>2.2</v>
      </c>
      <c r="H728" t="n">
        <v>0</v>
      </c>
      <c r="I728" t="n">
        <v>0</v>
      </c>
      <c r="J728" t="n">
        <v>0</v>
      </c>
      <c r="K728" t="n">
        <v>0</v>
      </c>
      <c r="L728" t="n">
        <v>0</v>
      </c>
      <c r="M728" t="n">
        <v>0</v>
      </c>
      <c r="N728" t="n">
        <v>0</v>
      </c>
      <c r="O728" t="n">
        <v>0</v>
      </c>
      <c r="P728" t="n">
        <v>0</v>
      </c>
      <c r="Q728" t="n">
        <v>0</v>
      </c>
      <c r="R728" s="2" t="inlineStr"/>
    </row>
    <row r="729" ht="15" customHeight="1">
      <c r="A729" t="inlineStr">
        <is>
          <t>A 43735-2022</t>
        </is>
      </c>
      <c r="B729" s="1" t="n">
        <v>44837.70210648148</v>
      </c>
      <c r="C729" s="1" t="n">
        <v>45966</v>
      </c>
      <c r="D729" t="inlineStr">
        <is>
          <t>DALARNAS LÄN</t>
        </is>
      </c>
      <c r="E729" t="inlineStr">
        <is>
          <t>LEKSAND</t>
        </is>
      </c>
      <c r="G729" t="n">
        <v>2.9</v>
      </c>
      <c r="H729" t="n">
        <v>0</v>
      </c>
      <c r="I729" t="n">
        <v>0</v>
      </c>
      <c r="J729" t="n">
        <v>0</v>
      </c>
      <c r="K729" t="n">
        <v>0</v>
      </c>
      <c r="L729" t="n">
        <v>0</v>
      </c>
      <c r="M729" t="n">
        <v>0</v>
      </c>
      <c r="N729" t="n">
        <v>0</v>
      </c>
      <c r="O729" t="n">
        <v>0</v>
      </c>
      <c r="P729" t="n">
        <v>0</v>
      </c>
      <c r="Q729" t="n">
        <v>0</v>
      </c>
      <c r="R729" s="2" t="inlineStr"/>
    </row>
    <row r="730" ht="15" customHeight="1">
      <c r="A730" t="inlineStr">
        <is>
          <t>A 20936-2023</t>
        </is>
      </c>
      <c r="B730" s="1" t="n">
        <v>45061</v>
      </c>
      <c r="C730" s="1" t="n">
        <v>45966</v>
      </c>
      <c r="D730" t="inlineStr">
        <is>
          <t>DALARNAS LÄN</t>
        </is>
      </c>
      <c r="E730" t="inlineStr">
        <is>
          <t>LEKSAND</t>
        </is>
      </c>
      <c r="G730" t="n">
        <v>0.3</v>
      </c>
      <c r="H730" t="n">
        <v>0</v>
      </c>
      <c r="I730" t="n">
        <v>0</v>
      </c>
      <c r="J730" t="n">
        <v>0</v>
      </c>
      <c r="K730" t="n">
        <v>0</v>
      </c>
      <c r="L730" t="n">
        <v>0</v>
      </c>
      <c r="M730" t="n">
        <v>0</v>
      </c>
      <c r="N730" t="n">
        <v>0</v>
      </c>
      <c r="O730" t="n">
        <v>0</v>
      </c>
      <c r="P730" t="n">
        <v>0</v>
      </c>
      <c r="Q730" t="n">
        <v>0</v>
      </c>
      <c r="R730" s="2" t="inlineStr"/>
    </row>
    <row r="731" ht="15" customHeight="1">
      <c r="A731" t="inlineStr">
        <is>
          <t>A 44469-2024</t>
        </is>
      </c>
      <c r="B731" s="1" t="n">
        <v>45574</v>
      </c>
      <c r="C731" s="1" t="n">
        <v>45966</v>
      </c>
      <c r="D731" t="inlineStr">
        <is>
          <t>DALARNAS LÄN</t>
        </is>
      </c>
      <c r="E731" t="inlineStr">
        <is>
          <t>LEKSAND</t>
        </is>
      </c>
      <c r="G731" t="n">
        <v>2</v>
      </c>
      <c r="H731" t="n">
        <v>0</v>
      </c>
      <c r="I731" t="n">
        <v>0</v>
      </c>
      <c r="J731" t="n">
        <v>0</v>
      </c>
      <c r="K731" t="n">
        <v>0</v>
      </c>
      <c r="L731" t="n">
        <v>0</v>
      </c>
      <c r="M731" t="n">
        <v>0</v>
      </c>
      <c r="N731" t="n">
        <v>0</v>
      </c>
      <c r="O731" t="n">
        <v>0</v>
      </c>
      <c r="P731" t="n">
        <v>0</v>
      </c>
      <c r="Q731" t="n">
        <v>0</v>
      </c>
      <c r="R731" s="2" t="inlineStr"/>
    </row>
    <row r="732" ht="15" customHeight="1">
      <c r="A732" t="inlineStr">
        <is>
          <t>A 53464-2024</t>
        </is>
      </c>
      <c r="B732" s="1" t="n">
        <v>45611</v>
      </c>
      <c r="C732" s="1" t="n">
        <v>45966</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46628-2024</t>
        </is>
      </c>
      <c r="B733" s="1" t="n">
        <v>45583.33195601852</v>
      </c>
      <c r="C733" s="1" t="n">
        <v>45966</v>
      </c>
      <c r="D733" t="inlineStr">
        <is>
          <t>DALARNAS LÄN</t>
        </is>
      </c>
      <c r="E733" t="inlineStr">
        <is>
          <t>LEKSAND</t>
        </is>
      </c>
      <c r="G733" t="n">
        <v>0.2</v>
      </c>
      <c r="H733" t="n">
        <v>0</v>
      </c>
      <c r="I733" t="n">
        <v>0</v>
      </c>
      <c r="J733" t="n">
        <v>0</v>
      </c>
      <c r="K733" t="n">
        <v>0</v>
      </c>
      <c r="L733" t="n">
        <v>0</v>
      </c>
      <c r="M733" t="n">
        <v>0</v>
      </c>
      <c r="N733" t="n">
        <v>0</v>
      </c>
      <c r="O733" t="n">
        <v>0</v>
      </c>
      <c r="P733" t="n">
        <v>0</v>
      </c>
      <c r="Q733" t="n">
        <v>0</v>
      </c>
      <c r="R733" s="2" t="inlineStr"/>
    </row>
    <row r="734" ht="15" customHeight="1">
      <c r="A734" t="inlineStr">
        <is>
          <t>A 43222-2024</t>
        </is>
      </c>
      <c r="B734" s="1" t="n">
        <v>45567.87177083334</v>
      </c>
      <c r="C734" s="1" t="n">
        <v>45966</v>
      </c>
      <c r="D734" t="inlineStr">
        <is>
          <t>DALARNAS LÄN</t>
        </is>
      </c>
      <c r="E734" t="inlineStr">
        <is>
          <t>LEKSAND</t>
        </is>
      </c>
      <c r="F734" t="inlineStr">
        <is>
          <t>Bergvik skog väst AB</t>
        </is>
      </c>
      <c r="G734" t="n">
        <v>8.6</v>
      </c>
      <c r="H734" t="n">
        <v>0</v>
      </c>
      <c r="I734" t="n">
        <v>0</v>
      </c>
      <c r="J734" t="n">
        <v>0</v>
      </c>
      <c r="K734" t="n">
        <v>0</v>
      </c>
      <c r="L734" t="n">
        <v>0</v>
      </c>
      <c r="M734" t="n">
        <v>0</v>
      </c>
      <c r="N734" t="n">
        <v>0</v>
      </c>
      <c r="O734" t="n">
        <v>0</v>
      </c>
      <c r="P734" t="n">
        <v>0</v>
      </c>
      <c r="Q734" t="n">
        <v>0</v>
      </c>
      <c r="R734" s="2" t="inlineStr"/>
    </row>
    <row r="735" ht="15" customHeight="1">
      <c r="A735" t="inlineStr">
        <is>
          <t>A 43231-2024</t>
        </is>
      </c>
      <c r="B735" s="1" t="n">
        <v>45567.89709490741</v>
      </c>
      <c r="C735" s="1" t="n">
        <v>45966</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17533-2023</t>
        </is>
      </c>
      <c r="B736" s="1" t="n">
        <v>45036</v>
      </c>
      <c r="C736" s="1" t="n">
        <v>45966</v>
      </c>
      <c r="D736" t="inlineStr">
        <is>
          <t>DALARNAS LÄN</t>
        </is>
      </c>
      <c r="E736" t="inlineStr">
        <is>
          <t>LEKSAND</t>
        </is>
      </c>
      <c r="G736" t="n">
        <v>3</v>
      </c>
      <c r="H736" t="n">
        <v>0</v>
      </c>
      <c r="I736" t="n">
        <v>0</v>
      </c>
      <c r="J736" t="n">
        <v>0</v>
      </c>
      <c r="K736" t="n">
        <v>0</v>
      </c>
      <c r="L736" t="n">
        <v>0</v>
      </c>
      <c r="M736" t="n">
        <v>0</v>
      </c>
      <c r="N736" t="n">
        <v>0</v>
      </c>
      <c r="O736" t="n">
        <v>0</v>
      </c>
      <c r="P736" t="n">
        <v>0</v>
      </c>
      <c r="Q736" t="n">
        <v>0</v>
      </c>
      <c r="R736" s="2" t="inlineStr"/>
    </row>
    <row r="737" ht="15" customHeight="1">
      <c r="A737" t="inlineStr">
        <is>
          <t>A 54914-2024</t>
        </is>
      </c>
      <c r="B737" s="1" t="n">
        <v>45618.69380787037</v>
      </c>
      <c r="C737" s="1" t="n">
        <v>45966</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39921-2024</t>
        </is>
      </c>
      <c r="B738" s="1" t="n">
        <v>45553</v>
      </c>
      <c r="C738" s="1" t="n">
        <v>45966</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58244-2024</t>
        </is>
      </c>
      <c r="B739" s="1" t="n">
        <v>45631</v>
      </c>
      <c r="C739" s="1" t="n">
        <v>45966</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61546-2021</t>
        </is>
      </c>
      <c r="B740" s="1" t="n">
        <v>44501</v>
      </c>
      <c r="C740" s="1" t="n">
        <v>45966</v>
      </c>
      <c r="D740" t="inlineStr">
        <is>
          <t>DALARNAS LÄN</t>
        </is>
      </c>
      <c r="E740" t="inlineStr">
        <is>
          <t>LEKSAND</t>
        </is>
      </c>
      <c r="G740" t="n">
        <v>3</v>
      </c>
      <c r="H740" t="n">
        <v>0</v>
      </c>
      <c r="I740" t="n">
        <v>0</v>
      </c>
      <c r="J740" t="n">
        <v>0</v>
      </c>
      <c r="K740" t="n">
        <v>0</v>
      </c>
      <c r="L740" t="n">
        <v>0</v>
      </c>
      <c r="M740" t="n">
        <v>0</v>
      </c>
      <c r="N740" t="n">
        <v>0</v>
      </c>
      <c r="O740" t="n">
        <v>0</v>
      </c>
      <c r="P740" t="n">
        <v>0</v>
      </c>
      <c r="Q740" t="n">
        <v>0</v>
      </c>
      <c r="R740" s="2" t="inlineStr"/>
    </row>
    <row r="741">
      <c r="A741" t="inlineStr">
        <is>
          <t>A 41046-2024</t>
        </is>
      </c>
      <c r="B741" s="1" t="n">
        <v>45559.36677083333</v>
      </c>
      <c r="C741" s="1" t="n">
        <v>45966</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2025-11-05T10:11:19Z</dcterms:created>
  <dcterms:modified xmlns:dcterms="http://purl.org/dc/terms/" xmlns:xsi="http://www.w3.org/2001/XMLSchema-instance" xsi:type="dcterms:W3CDTF">2025-11-05T10:11:20Z</dcterms:modified>
</cp:coreProperties>
</file>